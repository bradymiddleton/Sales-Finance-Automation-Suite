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icing &amp; Rebates" sheetId="2" state="visible" r:id="rId2"/>
    <sheet xmlns:r="http://schemas.openxmlformats.org/officeDocument/2006/relationships" name="Deal Scorecard" sheetId="3" state="visible" r:id="rId3"/>
    <sheet xmlns:r="http://schemas.openxmlformats.org/officeDocument/2006/relationships" name="Channel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"/>
    <numFmt numFmtId="166" formatCode="$#,##0.00"/>
    <numFmt numFmtId="167" formatCode="+0.0%;(0.0%);-"/>
    <numFmt numFmtId="168" formatCode="$#,##0.0"/>
    <numFmt numFmtId="169" formatCode="$#,##0"/>
    <numFmt numFmtId="170" formatCode="$#,##0;($#,##0)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b val="1"/>
      <color rgb="00006600"/>
      <sz val="9"/>
    </font>
    <font>
      <name val="Arial"/>
      <b val="1"/>
      <color rgb="00DAA520"/>
      <sz val="9"/>
    </font>
    <font>
      <name val="Arial"/>
      <b val="1"/>
      <color rgb="00FFFFFF"/>
      <sz val="10"/>
    </font>
    <font>
      <name val="Arial"/>
      <color rgb="00006600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D5D8DC"/>
      </patternFill>
    </fill>
    <fill>
      <patternFill patternType="solid">
        <fgColor rgb="00E8F8E8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indent="1"/>
    </xf>
    <xf numFmtId="0" fontId="3" fillId="0" borderId="0" pivotButton="0" quotePrefix="0" xfId="0"/>
    <xf numFmtId="164" fontId="4" fillId="4" borderId="1" applyAlignment="1" pivotButton="0" quotePrefix="0" xfId="0">
      <alignment horizontal="center"/>
    </xf>
    <xf numFmtId="0" fontId="5" fillId="0" borderId="0" pivotButton="0" quotePrefix="0" xfId="0"/>
    <xf numFmtId="165" fontId="4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right"/>
    </xf>
    <xf numFmtId="166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168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166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167" fontId="6" fillId="6" borderId="1" applyAlignment="1" pivotButton="0" quotePrefix="0" xfId="0">
      <alignment horizontal="right"/>
    </xf>
    <xf numFmtId="168" fontId="3" fillId="6" borderId="1" applyAlignment="1" pivotButton="0" quotePrefix="0" xfId="0">
      <alignment horizontal="right"/>
    </xf>
    <xf numFmtId="0" fontId="3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3" fontId="6" fillId="7" borderId="1" applyAlignment="1" pivotButton="0" quotePrefix="0" xfId="0">
      <alignment horizontal="right"/>
    </xf>
    <xf numFmtId="166" fontId="6" fillId="7" borderId="1" applyAlignment="1" pivotButton="0" quotePrefix="0" xfId="0">
      <alignment horizontal="right"/>
    </xf>
    <xf numFmtId="164" fontId="6" fillId="7" borderId="1" applyAlignment="1" pivotButton="0" quotePrefix="0" xfId="0">
      <alignment horizontal="right"/>
    </xf>
    <xf numFmtId="167" fontId="6" fillId="7" borderId="1" applyAlignment="1" pivotButton="0" quotePrefix="0" xfId="0">
      <alignment horizontal="right"/>
    </xf>
    <xf numFmtId="168" fontId="6" fillId="7" borderId="1" applyAlignment="1" pivotButton="0" quotePrefix="0" xfId="0">
      <alignment horizontal="right"/>
    </xf>
    <xf numFmtId="168" fontId="4" fillId="6" borderId="1" applyAlignment="1" pivotButton="0" quotePrefix="0" xfId="0">
      <alignment horizontal="right"/>
    </xf>
    <xf numFmtId="166" fontId="12" fillId="6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  <xf numFmtId="166" fontId="12" fillId="5" borderId="1" applyAlignment="1" pivotButton="0" quotePrefix="0" xfId="0">
      <alignment horizontal="right"/>
    </xf>
    <xf numFmtId="169" fontId="3" fillId="6" borderId="1" applyAlignment="1" pivotButton="0" quotePrefix="0" xfId="0">
      <alignment horizontal="right"/>
    </xf>
    <xf numFmtId="169" fontId="3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169" fontId="3" fillId="5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49" fontId="3" fillId="5" borderId="1" applyAlignment="1" pivotButton="0" quotePrefix="0" xfId="0">
      <alignment horizontal="center"/>
    </xf>
    <xf numFmtId="169" fontId="3" fillId="5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169" fontId="3" fillId="8" borderId="1" applyAlignment="1" pivotButton="0" quotePrefix="0" xfId="0">
      <alignment horizontal="right"/>
    </xf>
    <xf numFmtId="164" fontId="3" fillId="8" borderId="1" applyAlignment="1" pivotButton="0" quotePrefix="0" xfId="0">
      <alignment horizontal="right"/>
    </xf>
    <xf numFmtId="169" fontId="6" fillId="8" borderId="1" applyAlignment="1" pivotButton="0" quotePrefix="0" xfId="0">
      <alignment horizontal="right"/>
    </xf>
    <xf numFmtId="165" fontId="6" fillId="8" borderId="1" applyAlignment="1" pivotButton="0" quotePrefix="0" xfId="0">
      <alignment horizontal="right"/>
    </xf>
    <xf numFmtId="0" fontId="6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left"/>
    </xf>
    <xf numFmtId="169" fontId="3" fillId="9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9" fontId="6" fillId="9" borderId="1" applyAlignment="1" pivotButton="0" quotePrefix="0" xfId="0">
      <alignment horizontal="right"/>
    </xf>
    <xf numFmtId="165" fontId="6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left"/>
    </xf>
    <xf numFmtId="169" fontId="3" fillId="10" borderId="1" applyAlignment="1" pivotButton="0" quotePrefix="0" xfId="0">
      <alignment horizontal="right"/>
    </xf>
    <xf numFmtId="164" fontId="3" fillId="10" borderId="1" applyAlignment="1" pivotButton="0" quotePrefix="0" xfId="0">
      <alignment horizontal="right"/>
    </xf>
    <xf numFmtId="169" fontId="6" fillId="10" borderId="1" applyAlignment="1" pivotButton="0" quotePrefix="0" xfId="0">
      <alignment horizontal="right"/>
    </xf>
    <xf numFmtId="165" fontId="6" fillId="10" borderId="1" applyAlignment="1" pivotButton="0" quotePrefix="0" xfId="0">
      <alignment horizontal="right"/>
    </xf>
    <xf numFmtId="0" fontId="6" fillId="10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169" fontId="4" fillId="8" borderId="1" applyAlignment="1" pivotButton="0" quotePrefix="0" xfId="0">
      <alignment horizontal="right"/>
    </xf>
    <xf numFmtId="164" fontId="6" fillId="8" borderId="1" applyAlignment="1" pivotButton="0" quotePrefix="0" xfId="0">
      <alignment horizontal="right"/>
    </xf>
    <xf numFmtId="0" fontId="6" fillId="9" borderId="1" applyAlignment="1" pivotButton="0" quotePrefix="0" xfId="0">
      <alignment horizontal="left"/>
    </xf>
    <xf numFmtId="169" fontId="4" fillId="9" borderId="1" applyAlignment="1" pivotButton="0" quotePrefix="0" xfId="0">
      <alignment horizontal="right"/>
    </xf>
    <xf numFmtId="164" fontId="6" fillId="9" borderId="1" applyAlignment="1" pivotButton="0" quotePrefix="0" xfId="0">
      <alignment horizontal="right"/>
    </xf>
    <xf numFmtId="0" fontId="6" fillId="10" borderId="1" applyAlignment="1" pivotButton="0" quotePrefix="0" xfId="0">
      <alignment horizontal="left"/>
    </xf>
    <xf numFmtId="169" fontId="4" fillId="10" borderId="1" applyAlignment="1" pivotButton="0" quotePrefix="0" xfId="0">
      <alignment horizontal="right"/>
    </xf>
    <xf numFmtId="164" fontId="6" fillId="10" borderId="1" applyAlignment="1" pivotButton="0" quotePrefix="0" xfId="0">
      <alignment horizontal="right"/>
    </xf>
    <xf numFmtId="169" fontId="6" fillId="7" borderId="1" applyAlignment="1" pivotButton="0" quotePrefix="0" xfId="0">
      <alignment horizontal="right"/>
    </xf>
    <xf numFmtId="169" fontId="4" fillId="5" borderId="1" applyAlignment="1" pivotButton="0" quotePrefix="0" xfId="0">
      <alignment horizontal="right"/>
    </xf>
    <xf numFmtId="170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169" fontId="4" fillId="6" borderId="1" applyAlignment="1" pivotButton="0" quotePrefix="0" xfId="0">
      <alignment horizontal="right"/>
    </xf>
    <xf numFmtId="170" fontId="6" fillId="6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</cols>
  <sheetData>
    <row r="1" ht="28" customHeight="1">
      <c r="A1" s="1" t="inlineStr">
        <is>
          <t>⚙  Model Assumptions &amp; Inputs — Middleton Finance Suite Suite</t>
        </is>
      </c>
    </row>
    <row r="2" ht="6" customHeight="1"/>
    <row r="3" ht="20" customHeight="1">
      <c r="A3" s="2" t="inlineStr">
        <is>
          <t>DISCOUNT POLICY</t>
        </is>
      </c>
    </row>
    <row r="4" ht="18" customHeight="1">
      <c r="A4" s="3" t="inlineStr">
        <is>
          <t>Max Allowable Discount — Enterprise</t>
        </is>
      </c>
      <c r="B4" s="4" t="n">
        <v>0.3</v>
      </c>
      <c r="C4" s="5" t="inlineStr">
        <is>
          <t>Deal approval matrix policy cap</t>
        </is>
      </c>
    </row>
    <row r="5" ht="18" customHeight="1">
      <c r="A5" s="3" t="inlineStr">
        <is>
          <t>Max Allowable Discount — Commercial</t>
        </is>
      </c>
      <c r="B5" s="4" t="n">
        <v>0.22</v>
      </c>
      <c r="C5" s="5" t="inlineStr">
        <is>
          <t>Deal approval matrix policy cap</t>
        </is>
      </c>
    </row>
    <row r="6" ht="18" customHeight="1">
      <c r="A6" s="3" t="inlineStr">
        <is>
          <t>Max Allowable Discount — SMB/Public</t>
        </is>
      </c>
      <c r="B6" s="4" t="n">
        <v>0.18</v>
      </c>
      <c r="C6" s="5" t="inlineStr">
        <is>
          <t>Deal approval matrix policy cap</t>
        </is>
      </c>
    </row>
    <row r="7" ht="18" customHeight="1">
      <c r="A7" s="3" t="inlineStr">
        <is>
          <t>Plan Discount Rate (blended FY2024)</t>
        </is>
      </c>
      <c r="B7" s="4" t="n">
        <v>0.14</v>
      </c>
      <c r="C7" s="5" t="inlineStr">
        <is>
          <t>Finance budget assumption</t>
        </is>
      </c>
    </row>
    <row r="9" ht="20" customHeight="1">
      <c r="A9" s="2" t="inlineStr">
        <is>
          <t>GROSS MARGIN TARGETS</t>
        </is>
      </c>
    </row>
    <row r="10" ht="18" customHeight="1">
      <c r="A10" s="3" t="inlineStr">
        <is>
          <t>Target GM% — GPUs</t>
        </is>
      </c>
      <c r="B10" s="4" t="n">
        <v>0.35</v>
      </c>
      <c r="C10" s="5" t="inlineStr">
        <is>
          <t>FY2024 product finance target</t>
        </is>
      </c>
    </row>
    <row r="11" ht="18" customHeight="1">
      <c r="A11" s="3" t="inlineStr">
        <is>
          <t>Target GM% — CPUs</t>
        </is>
      </c>
      <c r="B11" s="4" t="n">
        <v>0.38</v>
      </c>
      <c r="C11" s="5" t="inlineStr">
        <is>
          <t>FY2024 product finance target</t>
        </is>
      </c>
    </row>
    <row r="12" ht="18" customHeight="1">
      <c r="A12" s="3" t="inlineStr">
        <is>
          <t>Target GM% — Embedded</t>
        </is>
      </c>
      <c r="B12" s="4" t="n">
        <v>0.42</v>
      </c>
      <c r="C12" s="5" t="inlineStr">
        <is>
          <t>FY2024 product finance target</t>
        </is>
      </c>
    </row>
    <row r="13" ht="18" customHeight="1">
      <c r="A13" s="3" t="inlineStr">
        <is>
          <t>Target GM% — Semi-Custom</t>
        </is>
      </c>
      <c r="B13" s="4" t="n">
        <v>0.28</v>
      </c>
      <c r="C13" s="5" t="inlineStr">
        <is>
          <t>FY2024 product finance target</t>
        </is>
      </c>
    </row>
    <row r="14" ht="18" customHeight="1">
      <c r="A14" s="3" t="inlineStr">
        <is>
          <t>Target GM% — Adaptive Computing</t>
        </is>
      </c>
      <c r="B14" s="4" t="n">
        <v>0.4</v>
      </c>
      <c r="C14" s="5" t="inlineStr">
        <is>
          <t>FY2024 product finance target</t>
        </is>
      </c>
    </row>
    <row r="16" ht="20" customHeight="1">
      <c r="A16" s="2" t="inlineStr">
        <is>
          <t>REBATE ACCRUAL</t>
        </is>
      </c>
    </row>
    <row r="17" ht="18" customHeight="1">
      <c r="A17" s="3" t="inlineStr">
        <is>
          <t>Rebate Rate — Gold Partners</t>
        </is>
      </c>
      <c r="B17" s="4" t="n">
        <v>0.05</v>
      </c>
      <c r="C17" s="5" t="inlineStr">
        <is>
          <t>Applied to net revenue, accrued monthly</t>
        </is>
      </c>
    </row>
    <row r="18" ht="18" customHeight="1">
      <c r="A18" s="3" t="inlineStr">
        <is>
          <t>Rebate Rate — Silver Partners</t>
        </is>
      </c>
      <c r="B18" s="4" t="n">
        <v>0.03</v>
      </c>
      <c r="C18" s="5" t="inlineStr">
        <is>
          <t>Applied to net revenue, accrued monthly</t>
        </is>
      </c>
    </row>
    <row r="19" ht="18" customHeight="1">
      <c r="A19" s="3" t="inlineStr">
        <is>
          <t>Rebate Rate — Bronze Partners</t>
        </is>
      </c>
      <c r="B19" s="4" t="n">
        <v>0.015</v>
      </c>
      <c r="C19" s="5" t="inlineStr">
        <is>
          <t>Applied to net revenue, accrued monthly</t>
        </is>
      </c>
    </row>
    <row r="20" ht="18" customHeight="1">
      <c r="A20" s="3" t="inlineStr">
        <is>
          <t>MDF Allocation % of Net Revenue</t>
        </is>
      </c>
      <c r="B20" s="4" t="n">
        <v>0.02</v>
      </c>
      <c r="C20" s="5" t="inlineStr">
        <is>
          <t>Market Development Funds annual budget</t>
        </is>
      </c>
    </row>
    <row r="22" ht="20" customHeight="1">
      <c r="A22" s="2" t="inlineStr">
        <is>
          <t>DEAL SCORING MODEL</t>
        </is>
      </c>
    </row>
    <row r="23" ht="18" customHeight="1">
      <c r="A23" s="3" t="inlineStr">
        <is>
          <t>Weight — Gross Margin Component</t>
        </is>
      </c>
      <c r="B23" s="4" t="n">
        <v>0.35</v>
      </c>
      <c r="C23" s="5" t="inlineStr">
        <is>
          <t>Composite score formula</t>
        </is>
      </c>
    </row>
    <row r="24" ht="18" customHeight="1">
      <c r="A24" s="3" t="inlineStr">
        <is>
          <t>Weight — Discount Component</t>
        </is>
      </c>
      <c r="B24" s="4" t="n">
        <v>0.25</v>
      </c>
      <c r="C24" s="5" t="inlineStr">
        <is>
          <t>Composite score formula</t>
        </is>
      </c>
    </row>
    <row r="25" ht="18" customHeight="1">
      <c r="A25" s="3" t="inlineStr">
        <is>
          <t>Weight — Strategic Value Component</t>
        </is>
      </c>
      <c r="B25" s="4" t="n">
        <v>0.25</v>
      </c>
      <c r="C25" s="5" t="inlineStr">
        <is>
          <t>Composite score formula</t>
        </is>
      </c>
    </row>
    <row r="26" ht="18" customHeight="1">
      <c r="A26" s="3" t="inlineStr">
        <is>
          <t>Weight — Risk Component</t>
        </is>
      </c>
      <c r="B26" s="4" t="n">
        <v>0.15</v>
      </c>
      <c r="C26" s="5" t="inlineStr">
        <is>
          <t>Composite score formula</t>
        </is>
      </c>
    </row>
    <row r="27" ht="18" customHeight="1">
      <c r="A27" s="3" t="inlineStr">
        <is>
          <t>Auto-Approve Threshold (score ≥)</t>
        </is>
      </c>
      <c r="B27" s="6" t="n">
        <v>7.5</v>
      </c>
      <c r="C27" s="5" t="inlineStr">
        <is>
          <t>Deals auto-cleared below VP review</t>
        </is>
      </c>
    </row>
    <row r="28" ht="18" customHeight="1">
      <c r="A28" s="3" t="inlineStr">
        <is>
          <t>Escalate to VP Threshold (score &lt;)</t>
        </is>
      </c>
      <c r="B28" s="6" t="n">
        <v>5</v>
      </c>
      <c r="C28" s="5" t="inlineStr">
        <is>
          <t>Deals below this require CFO sign-off</t>
        </is>
      </c>
    </row>
    <row r="31">
      <c r="A31" s="7" t="inlineStr">
        <is>
          <t>COLOR CODING STANDARD</t>
        </is>
      </c>
    </row>
    <row r="32">
      <c r="A32" s="8" t="inlineStr">
        <is>
          <t xml:space="preserve">  Blue text</t>
        </is>
      </c>
      <c r="C32" s="5" t="inlineStr">
        <is>
          <t>Hardcoded input — editable for scenario analysis</t>
        </is>
      </c>
    </row>
    <row r="33">
      <c r="A33" s="9" t="inlineStr">
        <is>
          <t xml:space="preserve">  Black text</t>
        </is>
      </c>
      <c r="C33" s="5" t="inlineStr">
        <is>
          <t>Formula — calculated, do not edit directly</t>
        </is>
      </c>
    </row>
    <row r="34">
      <c r="A34" s="10" t="inlineStr">
        <is>
          <t xml:space="preserve">  Green text</t>
        </is>
      </c>
      <c r="C34" s="5" t="inlineStr">
        <is>
          <t>Cross-sheet reference link</t>
        </is>
      </c>
    </row>
    <row r="35">
      <c r="A35" s="11" t="inlineStr">
        <is>
          <t xml:space="preserve">  Yellow background</t>
        </is>
      </c>
      <c r="C35" s="5" t="inlineStr">
        <is>
          <t>Key assumption requiring periodic review</t>
        </is>
      </c>
    </row>
  </sheetData>
  <mergeCells count="5">
    <mergeCell ref="A1:C1"/>
    <mergeCell ref="A22:C22"/>
    <mergeCell ref="A9:C9"/>
    <mergeCell ref="A3:C3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  <col width="16" customWidth="1" min="10" max="10"/>
    <col width="13" customWidth="1" min="11" max="11"/>
  </cols>
  <sheetData>
    <row r="1" ht="28" customHeight="1">
      <c r="A1" s="1" t="inlineStr">
        <is>
          <t>💰  Pricing &amp; Rebate Intelligence — FY2024 Actuals vs. Plan</t>
        </is>
      </c>
    </row>
    <row r="2" ht="6" customHeight="1"/>
    <row r="3" ht="28" customHeight="1">
      <c r="A3" s="12" t="inlineStr">
        <is>
          <t>A  |  Discount Rate &amp; Gross Margin: Actual vs. Plan by Product Category</t>
        </is>
      </c>
    </row>
    <row r="4" ht="34" customHeight="1">
      <c r="A4" s="13" t="inlineStr">
        <is>
          <t>Product Category</t>
        </is>
      </c>
      <c r="B4" s="13" t="inlineStr">
        <is>
          <t>Orders</t>
        </is>
      </c>
      <c r="C4" s="13" t="inlineStr">
        <is>
          <t>Net Revenue ($M)</t>
        </is>
      </c>
      <c r="D4" s="13" t="inlineStr">
        <is>
          <t>Actual Disc%</t>
        </is>
      </c>
      <c r="E4" s="13" t="inlineStr">
        <is>
          <t>Plan Disc%</t>
        </is>
      </c>
      <c r="F4" s="13" t="inlineStr">
        <is>
          <t>Variance (pp)</t>
        </is>
      </c>
      <c r="G4" s="13" t="inlineStr">
        <is>
          <t>Actual GM%</t>
        </is>
      </c>
      <c r="H4" s="13" t="inlineStr">
        <is>
          <t>Target GM%</t>
        </is>
      </c>
      <c r="I4" s="13" t="inlineStr">
        <is>
          <t>GM vs Target</t>
        </is>
      </c>
      <c r="J4" s="13" t="inlineStr">
        <is>
          <t>Rebate Accrual ($K)</t>
        </is>
      </c>
      <c r="K4" s="13" t="inlineStr">
        <is>
          <t>Status</t>
        </is>
      </c>
    </row>
    <row r="5">
      <c r="A5" s="14" t="inlineStr">
        <is>
          <t>Adaptive Computing</t>
        </is>
      </c>
      <c r="B5" s="15" t="n">
        <v>956</v>
      </c>
      <c r="C5" s="16" t="n">
        <v>217.18112559</v>
      </c>
      <c r="D5" s="17" t="n">
        <v>0.09755188284518829</v>
      </c>
      <c r="E5" s="18" t="n">
        <v>0.09269121338912133</v>
      </c>
      <c r="F5" s="19" t="n">
        <v>0.00486066945606696</v>
      </c>
      <c r="G5" s="17" t="n">
        <v>0.3332457112970711</v>
      </c>
      <c r="H5" s="18" t="n">
        <v>0.4</v>
      </c>
      <c r="I5" s="19" t="n">
        <v>-0.06675428870292888</v>
      </c>
      <c r="J5" s="20" t="n">
        <v>6515.433767699999</v>
      </c>
      <c r="K5" s="21" t="inlineStr">
        <is>
          <t>✓ On Plan</t>
        </is>
      </c>
    </row>
    <row r="6">
      <c r="A6" s="22" t="inlineStr">
        <is>
          <t>CPUs</t>
        </is>
      </c>
      <c r="B6" s="23" t="n">
        <v>952</v>
      </c>
      <c r="C6" s="24" t="n">
        <v>167.1915943</v>
      </c>
      <c r="D6" s="25" t="n">
        <v>0.09617111344537815</v>
      </c>
      <c r="E6" s="26" t="n">
        <v>0.09116071428571428</v>
      </c>
      <c r="F6" s="27" t="n">
        <v>0.005010399159663878</v>
      </c>
      <c r="G6" s="25" t="n">
        <v>0.3564441176470588</v>
      </c>
      <c r="H6" s="26" t="n">
        <v>0.38</v>
      </c>
      <c r="I6" s="27" t="n">
        <v>-0.0235558823529412</v>
      </c>
      <c r="J6" s="28" t="n">
        <v>5015.747829</v>
      </c>
      <c r="K6" s="29" t="inlineStr">
        <is>
          <t>✓ On Plan</t>
        </is>
      </c>
    </row>
    <row r="7">
      <c r="A7" s="14" t="inlineStr">
        <is>
          <t>Embedded</t>
        </is>
      </c>
      <c r="B7" s="15" t="n">
        <v>932</v>
      </c>
      <c r="C7" s="16" t="n">
        <v>49.5258146</v>
      </c>
      <c r="D7" s="17" t="n">
        <v>0.09517950643776825</v>
      </c>
      <c r="E7" s="18" t="n">
        <v>0.09064291845493563</v>
      </c>
      <c r="F7" s="19" t="n">
        <v>0.004536587982832616</v>
      </c>
      <c r="G7" s="17" t="n">
        <v>0.3904607296137339</v>
      </c>
      <c r="H7" s="18" t="n">
        <v>0.42</v>
      </c>
      <c r="I7" s="19" t="n">
        <v>-0.02953927038626608</v>
      </c>
      <c r="J7" s="20" t="n">
        <v>742.8872190000001</v>
      </c>
      <c r="K7" s="21" t="inlineStr">
        <is>
          <t>✓ On Plan</t>
        </is>
      </c>
    </row>
    <row r="8">
      <c r="A8" s="22" t="inlineStr">
        <is>
          <t>GPUs</t>
        </is>
      </c>
      <c r="B8" s="23" t="n">
        <v>935</v>
      </c>
      <c r="C8" s="24" t="n">
        <v>517.45006383</v>
      </c>
      <c r="D8" s="25" t="n">
        <v>0.09473486631016043</v>
      </c>
      <c r="E8" s="26" t="n">
        <v>0.08967818181818181</v>
      </c>
      <c r="F8" s="27" t="n">
        <v>0.005056684491978616</v>
      </c>
      <c r="G8" s="25" t="n">
        <v>0.3132017112299465</v>
      </c>
      <c r="H8" s="26" t="n">
        <v>0.35</v>
      </c>
      <c r="I8" s="27" t="n">
        <v>-0.03679828877005348</v>
      </c>
      <c r="J8" s="28" t="n">
        <v>15523.5019149</v>
      </c>
      <c r="K8" s="29" t="inlineStr">
        <is>
          <t>✓ On Plan</t>
        </is>
      </c>
    </row>
    <row r="9">
      <c r="A9" s="14" t="inlineStr">
        <is>
          <t>Semi-Custom</t>
        </is>
      </c>
      <c r="B9" s="15" t="n">
        <v>1025</v>
      </c>
      <c r="C9" s="16" t="n">
        <v>86.42798291</v>
      </c>
      <c r="D9" s="17" t="n">
        <v>0.09588936585365852</v>
      </c>
      <c r="E9" s="18" t="n">
        <v>0.09137834146341464</v>
      </c>
      <c r="F9" s="19" t="n">
        <v>0.004511024390243881</v>
      </c>
      <c r="G9" s="17" t="n">
        <v>0.2458253658536586</v>
      </c>
      <c r="H9" s="18" t="n">
        <v>0.28</v>
      </c>
      <c r="I9" s="19" t="n">
        <v>-0.03417463414634148</v>
      </c>
      <c r="J9" s="20" t="n">
        <v>2592.8394873</v>
      </c>
      <c r="K9" s="21" t="inlineStr">
        <is>
          <t>✓ On Plan</t>
        </is>
      </c>
    </row>
    <row r="10">
      <c r="A10" s="30" t="inlineStr">
        <is>
          <t>TOTAL / BLENDED AVERAGE</t>
        </is>
      </c>
      <c r="B10" s="31">
        <f>SUM(B5:B9)</f>
        <v/>
      </c>
      <c r="C10" s="32">
        <f>SUM(C5:C9)</f>
        <v/>
      </c>
      <c r="D10" s="33">
        <f>AVERAGE(D5:D9)</f>
        <v/>
      </c>
      <c r="E10" s="33">
        <f>AVERAGE(E5:E9)</f>
        <v/>
      </c>
      <c r="F10" s="34">
        <f>D10-E10</f>
        <v/>
      </c>
      <c r="G10" s="33">
        <f>AVERAGE(G5:G9)</f>
        <v/>
      </c>
      <c r="H10" s="33">
        <f>AVERAGE(H5:H9)</f>
        <v/>
      </c>
      <c r="I10" s="34">
        <f>G10-H10</f>
        <v/>
      </c>
      <c r="J10" s="35">
        <f>SUM(J5:J9)</f>
        <v/>
      </c>
    </row>
    <row r="12" ht="28" customHeight="1">
      <c r="A12" s="12" t="inlineStr">
        <is>
          <t>B  |  Channel Partner Rebate Accrual Schedule (FY2024)</t>
        </is>
      </c>
    </row>
    <row r="13" ht="34" customHeight="1">
      <c r="A13" s="13" t="inlineStr">
        <is>
          <t>Channel Partner</t>
        </is>
      </c>
      <c r="B13" s="13" t="inlineStr">
        <is>
          <t>Tier</t>
        </is>
      </c>
      <c r="C13" s="13" t="inlineStr">
        <is>
          <t>Rev Threshold ($M)</t>
        </is>
      </c>
      <c r="D13" s="13" t="inlineStr">
        <is>
          <t>Net Revenue ($M)</t>
        </is>
      </c>
      <c r="E13" s="13" t="inlineStr">
        <is>
          <t>Rebate %</t>
        </is>
      </c>
      <c r="F13" s="13" t="inlineStr">
        <is>
          <t>Accrued Rebate ($K)</t>
        </is>
      </c>
      <c r="G13" s="13" t="inlineStr">
        <is>
          <t>MDF Eligible</t>
        </is>
      </c>
      <c r="H13" s="13" t="inlineStr">
        <is>
          <t>Contract End</t>
        </is>
      </c>
    </row>
    <row r="14">
      <c r="A14" s="22" t="inlineStr">
        <is>
          <t>Arrow Electronics</t>
        </is>
      </c>
      <c r="B14" s="29" t="inlineStr">
        <is>
          <t>Gold</t>
        </is>
      </c>
      <c r="C14" s="36" t="n">
        <v>5</v>
      </c>
      <c r="D14" s="37" t="n">
        <v>82.99238331000001</v>
      </c>
      <c r="E14" s="26" t="n">
        <v>0.05</v>
      </c>
      <c r="F14" s="28" t="n">
        <v>4149.619165500001</v>
      </c>
      <c r="G14" s="29" t="inlineStr">
        <is>
          <t>Yes</t>
        </is>
      </c>
      <c r="H14" s="29" t="inlineStr">
        <is>
          <t>2024-12-31</t>
        </is>
      </c>
    </row>
    <row r="15">
      <c r="A15" s="14" t="inlineStr">
        <is>
          <t>Avnet</t>
        </is>
      </c>
      <c r="B15" s="21" t="inlineStr">
        <is>
          <t>Silver</t>
        </is>
      </c>
      <c r="C15" s="38" t="n">
        <v>1</v>
      </c>
      <c r="D15" s="39" t="n">
        <v>102.25895738</v>
      </c>
      <c r="E15" s="18" t="n">
        <v>0.03</v>
      </c>
      <c r="F15" s="20" t="n">
        <v>3067.7687214</v>
      </c>
      <c r="G15" s="21" t="inlineStr">
        <is>
          <t>Yes</t>
        </is>
      </c>
      <c r="H15" s="21" t="inlineStr">
        <is>
          <t>2024-12-31</t>
        </is>
      </c>
    </row>
    <row r="16">
      <c r="A16" s="22" t="inlineStr">
        <is>
          <t>TD Synnex</t>
        </is>
      </c>
      <c r="B16" s="29" t="inlineStr">
        <is>
          <t>Bronze</t>
        </is>
      </c>
      <c r="C16" s="36" t="n">
        <v>0.5</v>
      </c>
      <c r="D16" s="37" t="n">
        <v>90.60303481</v>
      </c>
      <c r="E16" s="26" t="n">
        <v>0.015</v>
      </c>
      <c r="F16" s="28" t="n">
        <v>1359.04552215</v>
      </c>
      <c r="G16" s="29" t="inlineStr">
        <is>
          <t>Yes</t>
        </is>
      </c>
      <c r="H16" s="29" t="inlineStr">
        <is>
          <t>2024-12-31</t>
        </is>
      </c>
    </row>
    <row r="17">
      <c r="A17" s="14" t="inlineStr">
        <is>
          <t>Ingram Micro</t>
        </is>
      </c>
      <c r="B17" s="21" t="inlineStr">
        <is>
          <t>Bronze</t>
        </is>
      </c>
      <c r="C17" s="38" t="n">
        <v>0.5</v>
      </c>
      <c r="D17" s="39" t="n">
        <v>81.14169038999999</v>
      </c>
      <c r="E17" s="18" t="n">
        <v>0.015</v>
      </c>
      <c r="F17" s="20" t="n">
        <v>1217.12535585</v>
      </c>
      <c r="G17" s="21" t="inlineStr">
        <is>
          <t>No</t>
        </is>
      </c>
      <c r="H17" s="21" t="inlineStr">
        <is>
          <t>2024-12-31</t>
        </is>
      </c>
    </row>
    <row r="18">
      <c r="A18" s="22" t="inlineStr">
        <is>
          <t>CDW</t>
        </is>
      </c>
      <c r="B18" s="29" t="inlineStr">
        <is>
          <t>Silver</t>
        </is>
      </c>
      <c r="C18" s="36" t="n">
        <v>2.5</v>
      </c>
      <c r="D18" s="37" t="n">
        <v>85.60714290999999</v>
      </c>
      <c r="E18" s="26" t="n">
        <v>0.03</v>
      </c>
      <c r="F18" s="28" t="n">
        <v>2568.214287299999</v>
      </c>
      <c r="G18" s="29" t="inlineStr">
        <is>
          <t>Yes</t>
        </is>
      </c>
      <c r="H18" s="29" t="inlineStr">
        <is>
          <t>2024-12-31</t>
        </is>
      </c>
    </row>
    <row r="19">
      <c r="A19" s="14" t="inlineStr">
        <is>
          <t>Insight Direct</t>
        </is>
      </c>
      <c r="B19" s="21" t="inlineStr">
        <is>
          <t>Gold</t>
        </is>
      </c>
      <c r="C19" s="38" t="n">
        <v>10</v>
      </c>
      <c r="D19" s="39" t="n">
        <v>81.39650106000001</v>
      </c>
      <c r="E19" s="18" t="n">
        <v>0.05</v>
      </c>
      <c r="F19" s="20" t="n">
        <v>4069.825053</v>
      </c>
      <c r="G19" s="21" t="inlineStr">
        <is>
          <t>Yes</t>
        </is>
      </c>
      <c r="H19" s="21" t="inlineStr">
        <is>
          <t>2024-12-31</t>
        </is>
      </c>
    </row>
    <row r="20">
      <c r="A20" s="22" t="inlineStr">
        <is>
          <t>SHI International</t>
        </is>
      </c>
      <c r="B20" s="29" t="inlineStr">
        <is>
          <t>Gold</t>
        </is>
      </c>
      <c r="C20" s="36" t="n">
        <v>10</v>
      </c>
      <c r="D20" s="37" t="n">
        <v>91.32599974999999</v>
      </c>
      <c r="E20" s="26" t="n">
        <v>0.05</v>
      </c>
      <c r="F20" s="28" t="n">
        <v>4566.2999875</v>
      </c>
      <c r="G20" s="29" t="inlineStr">
        <is>
          <t>Yes</t>
        </is>
      </c>
      <c r="H20" s="29" t="inlineStr">
        <is>
          <t>2024-12-31</t>
        </is>
      </c>
    </row>
    <row r="21">
      <c r="A21" s="14" t="inlineStr">
        <is>
          <t>Connection</t>
        </is>
      </c>
      <c r="B21" s="21" t="inlineStr">
        <is>
          <t>Silver</t>
        </is>
      </c>
      <c r="C21" s="38" t="n">
        <v>2.5</v>
      </c>
      <c r="D21" s="39" t="n">
        <v>73.96888893000001</v>
      </c>
      <c r="E21" s="18" t="n">
        <v>0.03</v>
      </c>
      <c r="F21" s="20" t="n">
        <v>2219.0666679</v>
      </c>
      <c r="G21" s="21" t="inlineStr">
        <is>
          <t>Yes</t>
        </is>
      </c>
      <c r="H21" s="21" t="inlineStr">
        <is>
          <t>2024-12-31</t>
        </is>
      </c>
    </row>
    <row r="22">
      <c r="A22" s="22" t="inlineStr">
        <is>
          <t>PC Mall Gov</t>
        </is>
      </c>
      <c r="B22" s="29" t="inlineStr">
        <is>
          <t>Gold</t>
        </is>
      </c>
      <c r="C22" s="36" t="n">
        <v>10</v>
      </c>
      <c r="D22" s="37" t="n">
        <v>87.08603629000001</v>
      </c>
      <c r="E22" s="26" t="n">
        <v>0.05</v>
      </c>
      <c r="F22" s="28" t="n">
        <v>4354.301814500001</v>
      </c>
      <c r="G22" s="29" t="inlineStr">
        <is>
          <t>Yes</t>
        </is>
      </c>
      <c r="H22" s="29" t="inlineStr">
        <is>
          <t>2024-12-31</t>
        </is>
      </c>
    </row>
    <row r="23">
      <c r="A23" s="14" t="inlineStr">
        <is>
          <t>Presidio</t>
        </is>
      </c>
      <c r="B23" s="21" t="inlineStr">
        <is>
          <t>Bronze</t>
        </is>
      </c>
      <c r="C23" s="38" t="n">
        <v>0.5</v>
      </c>
      <c r="D23" s="39" t="n">
        <v>82.77539385</v>
      </c>
      <c r="E23" s="18" t="n">
        <v>0.015</v>
      </c>
      <c r="F23" s="20" t="n">
        <v>1241.63090775</v>
      </c>
      <c r="G23" s="21" t="inlineStr">
        <is>
          <t>Yes</t>
        </is>
      </c>
      <c r="H23" s="21" t="inlineStr">
        <is>
          <t>2024-12-31</t>
        </is>
      </c>
    </row>
    <row r="24">
      <c r="A24" s="22" t="inlineStr">
        <is>
          <t>World Wide Technology</t>
        </is>
      </c>
      <c r="B24" s="29" t="inlineStr">
        <is>
          <t>Gold</t>
        </is>
      </c>
      <c r="C24" s="36" t="n">
        <v>5</v>
      </c>
      <c r="D24" s="37" t="n">
        <v>96.90770635</v>
      </c>
      <c r="E24" s="26" t="n">
        <v>0.05</v>
      </c>
      <c r="F24" s="28" t="n">
        <v>4845.385317499999</v>
      </c>
      <c r="G24" s="29" t="inlineStr">
        <is>
          <t>No</t>
        </is>
      </c>
      <c r="H24" s="29" t="inlineStr">
        <is>
          <t>2024-12-31</t>
        </is>
      </c>
    </row>
    <row r="25">
      <c r="A25" s="14" t="inlineStr">
        <is>
          <t>Trace3</t>
        </is>
      </c>
      <c r="B25" s="21" t="inlineStr">
        <is>
          <t>Bronze</t>
        </is>
      </c>
      <c r="C25" s="38" t="n">
        <v>0.5</v>
      </c>
      <c r="D25" s="39" t="n">
        <v>81.7128462</v>
      </c>
      <c r="E25" s="18" t="n">
        <v>0.015</v>
      </c>
      <c r="F25" s="20" t="n">
        <v>1225.692693</v>
      </c>
      <c r="G25" s="21" t="inlineStr">
        <is>
          <t>Yes</t>
        </is>
      </c>
      <c r="H25" s="21" t="inlineStr">
        <is>
          <t>2024-12-31</t>
        </is>
      </c>
    </row>
    <row r="27" ht="28" customHeight="1">
      <c r="A27" s="12" t="inlineStr">
        <is>
          <t>C  |  Quarterly Discount Variance vs. Plan (FY2024)</t>
        </is>
      </c>
    </row>
    <row r="28" ht="34" customHeight="1">
      <c r="A28" s="13" t="inlineStr">
        <is>
          <t>Quarter</t>
        </is>
      </c>
      <c r="B28" s="13" t="inlineStr">
        <is>
          <t>Orders</t>
        </is>
      </c>
      <c r="C28" s="13" t="inlineStr">
        <is>
          <t>Net Revenue ($M)</t>
        </is>
      </c>
      <c r="D28" s="13" t="inlineStr">
        <is>
          <t>Actual Disc%</t>
        </is>
      </c>
      <c r="E28" s="13" t="inlineStr">
        <is>
          <t>Plan Disc%</t>
        </is>
      </c>
      <c r="F28" s="13" t="inlineStr">
        <is>
          <t>Variance (pp)</t>
        </is>
      </c>
      <c r="G28" s="13" t="inlineStr">
        <is>
          <t>Trend</t>
        </is>
      </c>
    </row>
    <row r="29">
      <c r="A29" s="21" t="inlineStr">
        <is>
          <t>Q1 2024</t>
        </is>
      </c>
      <c r="B29" s="15" t="n">
        <v>407</v>
      </c>
      <c r="C29" s="16" t="n">
        <v>84.27677618999999</v>
      </c>
      <c r="D29" s="17" t="n">
        <v>0.09566117936117936</v>
      </c>
      <c r="E29" s="18" t="n">
        <v>0.09067788697788698</v>
      </c>
      <c r="F29" s="19" t="n">
        <v>0.004983292383292384</v>
      </c>
      <c r="G29" s="21" t="inlineStr">
        <is>
          <t>→ Stable</t>
        </is>
      </c>
    </row>
    <row r="30">
      <c r="A30" s="29" t="inlineStr">
        <is>
          <t>Q2 2024</t>
        </is>
      </c>
      <c r="B30" s="23" t="n">
        <v>400</v>
      </c>
      <c r="C30" s="24" t="n">
        <v>93.04237448000001</v>
      </c>
      <c r="D30" s="25" t="n">
        <v>0.09480675</v>
      </c>
      <c r="E30" s="26" t="n">
        <v>0.09046124999999999</v>
      </c>
      <c r="F30" s="27" t="n">
        <v>0.004345500000000002</v>
      </c>
      <c r="G30" s="29" t="inlineStr">
        <is>
          <t>→ Stable</t>
        </is>
      </c>
    </row>
    <row r="31">
      <c r="A31" s="21" t="inlineStr">
        <is>
          <t>Q3 2024</t>
        </is>
      </c>
      <c r="B31" s="15" t="n">
        <v>422</v>
      </c>
      <c r="C31" s="16" t="n">
        <v>93.44329283</v>
      </c>
      <c r="D31" s="17" t="n">
        <v>0.09114454976303318</v>
      </c>
      <c r="E31" s="18" t="n">
        <v>0.0862175355450237</v>
      </c>
      <c r="F31" s="19" t="n">
        <v>0.004927014218009479</v>
      </c>
      <c r="G31" s="21" t="inlineStr">
        <is>
          <t>→ Stable</t>
        </is>
      </c>
    </row>
    <row r="32">
      <c r="A32" s="29" t="inlineStr">
        <is>
          <t>Q4 2024</t>
        </is>
      </c>
      <c r="B32" s="23" t="n">
        <v>397</v>
      </c>
      <c r="C32" s="24" t="n">
        <v>81.46403941</v>
      </c>
      <c r="D32" s="25" t="n">
        <v>0.09709042821158689</v>
      </c>
      <c r="E32" s="26" t="n">
        <v>0.09271889168765743</v>
      </c>
      <c r="F32" s="27" t="n">
        <v>0.004371536523929465</v>
      </c>
      <c r="G32" s="29" t="inlineStr">
        <is>
          <t>→ Stable</t>
        </is>
      </c>
    </row>
  </sheetData>
  <mergeCells count="4">
    <mergeCell ref="A1:K1"/>
    <mergeCell ref="A12:K12"/>
    <mergeCell ref="A27:K27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18D"/>
    <outlinePr summaryBelow="1" summaryRight="1"/>
    <pageSetUpPr/>
  </sheetPr>
  <dimension ref="A1:L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</cols>
  <sheetData>
    <row r="1" ht="28" customHeight="1">
      <c r="A1" s="1" t="inlineStr">
        <is>
          <t>📋  Deal Evaluation Scorecard — Pipeline Analysis &amp; Approval Status</t>
        </is>
      </c>
    </row>
    <row r="2" ht="6" customHeight="1"/>
    <row r="3" ht="28" customHeight="1">
      <c r="A3" s="12" t="inlineStr">
        <is>
          <t>A  |  Scenario Model — Discount Rate Sensitivity on Gross Margin</t>
        </is>
      </c>
    </row>
    <row r="4" ht="34" customHeight="1">
      <c r="A4" s="13" t="inlineStr">
        <is>
          <t>Scenario</t>
        </is>
      </c>
      <c r="B4" s="13" t="inlineStr">
        <is>
          <t>Discount Rate</t>
        </is>
      </c>
      <c r="C4" s="13" t="inlineStr">
        <is>
          <t>Net Deal Value</t>
        </is>
      </c>
      <c r="D4" s="13" t="inlineStr">
        <is>
          <t>COGS (est.)</t>
        </is>
      </c>
      <c r="E4" s="13" t="inlineStr">
        <is>
          <t>Gross Margin $</t>
        </is>
      </c>
      <c r="F4" s="13" t="inlineStr">
        <is>
          <t>GM%</t>
        </is>
      </c>
      <c r="G4" s="13" t="inlineStr">
        <is>
          <t>vs. Base</t>
        </is>
      </c>
    </row>
    <row r="5">
      <c r="A5" s="22" t="inlineStr">
        <is>
          <t>Conservative (Low Disc.)</t>
        </is>
      </c>
      <c r="B5" s="26" t="n">
        <v>0.08</v>
      </c>
      <c r="C5" s="40" t="n">
        <v>2051486.289916666</v>
      </c>
      <c r="D5" s="40" t="n">
        <v>1271921.499748333</v>
      </c>
      <c r="E5" s="40" t="n">
        <v>779564.7901683333</v>
      </c>
      <c r="F5" s="25" t="n">
        <v>0.3800000000000001</v>
      </c>
      <c r="G5" s="41" t="n">
        <v>0</v>
      </c>
    </row>
    <row r="6">
      <c r="A6" s="42" t="inlineStr">
        <is>
          <t>Base Case</t>
        </is>
      </c>
      <c r="B6" s="18" t="n">
        <v>0.14</v>
      </c>
      <c r="C6" s="43" t="n">
        <v>2051486.289916667</v>
      </c>
      <c r="D6" s="43" t="n">
        <v>1271921.499748333</v>
      </c>
      <c r="E6" s="44" t="n">
        <v>779564.7901683333</v>
      </c>
      <c r="F6" s="45" t="n">
        <v>0.38</v>
      </c>
      <c r="G6" s="46" t="inlineStr">
        <is>
          <t>—</t>
        </is>
      </c>
    </row>
    <row r="7">
      <c r="A7" s="22" t="inlineStr">
        <is>
          <t>Stretched (High Disc.)</t>
        </is>
      </c>
      <c r="B7" s="26" t="n">
        <v>0.22</v>
      </c>
      <c r="C7" s="40" t="n">
        <v>2051486.289916667</v>
      </c>
      <c r="D7" s="40" t="n">
        <v>1271921.499748333</v>
      </c>
      <c r="E7" s="40" t="n">
        <v>779564.7901683333</v>
      </c>
      <c r="F7" s="25" t="n">
        <v>0.38</v>
      </c>
      <c r="G7" s="41" t="n">
        <v>0</v>
      </c>
    </row>
    <row r="8">
      <c r="A8" s="14" t="inlineStr">
        <is>
          <t>Max Policy</t>
        </is>
      </c>
      <c r="B8" s="18" t="n">
        <v>0.3</v>
      </c>
      <c r="C8" s="43" t="n">
        <v>2051486.289916667</v>
      </c>
      <c r="D8" s="43" t="n">
        <v>1271921.499748333</v>
      </c>
      <c r="E8" s="43" t="n">
        <v>779564.7901683333</v>
      </c>
      <c r="F8" s="17" t="n">
        <v>0.38</v>
      </c>
      <c r="G8" s="47" t="n">
        <v>0</v>
      </c>
    </row>
    <row r="10" ht="28" customHeight="1">
      <c r="A10" s="12" t="inlineStr">
        <is>
          <t>B  |  Deal Pipeline — Scored &amp; Classified (1200 Deals)</t>
        </is>
      </c>
    </row>
    <row r="11" ht="34" customHeight="1">
      <c r="A11" s="13" t="inlineStr">
        <is>
          <t>Deal ID</t>
        </is>
      </c>
      <c r="B11" s="13" t="inlineStr">
        <is>
          <t>Stage</t>
        </is>
      </c>
      <c r="C11" s="13" t="inlineStr">
        <is>
          <t>Product</t>
        </is>
      </c>
      <c r="D11" s="13" t="inlineStr">
        <is>
          <t>Region</t>
        </is>
      </c>
      <c r="E11" s="13" t="inlineStr">
        <is>
          <t>Segment</t>
        </is>
      </c>
      <c r="F11" s="13" t="inlineStr">
        <is>
          <t>List Value</t>
        </is>
      </c>
      <c r="G11" s="13" t="inlineStr">
        <is>
          <t>Disc%</t>
        </is>
      </c>
      <c r="H11" s="13" t="inlineStr">
        <is>
          <t>Net Value</t>
        </is>
      </c>
      <c r="I11" s="13" t="inlineStr">
        <is>
          <t>GM%</t>
        </is>
      </c>
      <c r="J11" s="13" t="inlineStr">
        <is>
          <t>Score</t>
        </is>
      </c>
      <c r="K11" s="13" t="inlineStr">
        <is>
          <t>Recommendation</t>
        </is>
      </c>
      <c r="L11" s="13" t="inlineStr">
        <is>
          <t>Partner</t>
        </is>
      </c>
    </row>
    <row r="12">
      <c r="A12" s="48" t="inlineStr">
        <is>
          <t>DEAL-5411</t>
        </is>
      </c>
      <c r="B12" s="48" t="inlineStr">
        <is>
          <t>Negotiation</t>
        </is>
      </c>
      <c r="C12" s="49" t="inlineStr">
        <is>
          <t>GPUs</t>
        </is>
      </c>
      <c r="D12" s="48" t="inlineStr">
        <is>
          <t>South</t>
        </is>
      </c>
      <c r="E12" s="48" t="inlineStr">
        <is>
          <t>Commercial</t>
        </is>
      </c>
      <c r="F12" s="50" t="n">
        <v>2501467.3</v>
      </c>
      <c r="G12" s="51" t="n">
        <v>0.0658</v>
      </c>
      <c r="H12" s="52" t="n">
        <v>2336870.75</v>
      </c>
      <c r="I12" s="51" t="n">
        <v>0.476</v>
      </c>
      <c r="J12" s="53" t="n">
        <v>8.300000000000001</v>
      </c>
      <c r="K12" s="54" t="inlineStr">
        <is>
          <t>Approve</t>
        </is>
      </c>
      <c r="L12" s="49" t="inlineStr">
        <is>
          <t>Trace3</t>
        </is>
      </c>
    </row>
    <row r="13">
      <c r="A13" s="48" t="inlineStr">
        <is>
          <t>DEAL-5362</t>
        </is>
      </c>
      <c r="B13" s="48" t="inlineStr">
        <is>
          <t>Qualified</t>
        </is>
      </c>
      <c r="C13" s="49" t="inlineStr">
        <is>
          <t>CPUs</t>
        </is>
      </c>
      <c r="D13" s="48" t="inlineStr">
        <is>
          <t>East</t>
        </is>
      </c>
      <c r="E13" s="48" t="inlineStr">
        <is>
          <t>SMB</t>
        </is>
      </c>
      <c r="F13" s="50" t="n">
        <v>1282289.27</v>
      </c>
      <c r="G13" s="51" t="n">
        <v>0.1581</v>
      </c>
      <c r="H13" s="52" t="n">
        <v>1079559.34</v>
      </c>
      <c r="I13" s="51" t="n">
        <v>0.4632</v>
      </c>
      <c r="J13" s="53" t="n">
        <v>7.7</v>
      </c>
      <c r="K13" s="54" t="inlineStr">
        <is>
          <t>Approve</t>
        </is>
      </c>
      <c r="L13" s="49" t="inlineStr">
        <is>
          <t>PC Mall Gov</t>
        </is>
      </c>
    </row>
    <row r="14">
      <c r="A14" s="48" t="inlineStr">
        <is>
          <t>DEAL-5377</t>
        </is>
      </c>
      <c r="B14" s="48" t="inlineStr">
        <is>
          <t>Proposal</t>
        </is>
      </c>
      <c r="C14" s="49" t="inlineStr">
        <is>
          <t>Semi-Custom</t>
        </is>
      </c>
      <c r="D14" s="48" t="inlineStr">
        <is>
          <t>West</t>
        </is>
      </c>
      <c r="E14" s="48" t="inlineStr">
        <is>
          <t>Enterprise</t>
        </is>
      </c>
      <c r="F14" s="50" t="n">
        <v>4484188.05</v>
      </c>
      <c r="G14" s="51" t="n">
        <v>0.062</v>
      </c>
      <c r="H14" s="52" t="n">
        <v>4206168.39</v>
      </c>
      <c r="I14" s="51" t="n">
        <v>0.4353</v>
      </c>
      <c r="J14" s="53" t="n">
        <v>7.7</v>
      </c>
      <c r="K14" s="54" t="inlineStr">
        <is>
          <t>Approve</t>
        </is>
      </c>
      <c r="L14" s="49" t="inlineStr">
        <is>
          <t>CDW</t>
        </is>
      </c>
    </row>
    <row r="15">
      <c r="A15" s="48" t="inlineStr">
        <is>
          <t>DEAL-5893</t>
        </is>
      </c>
      <c r="B15" s="48" t="inlineStr">
        <is>
          <t>Negotiation</t>
        </is>
      </c>
      <c r="C15" s="49" t="inlineStr">
        <is>
          <t>Semi-Custom</t>
        </is>
      </c>
      <c r="D15" s="48" t="inlineStr">
        <is>
          <t>East</t>
        </is>
      </c>
      <c r="E15" s="48" t="inlineStr">
        <is>
          <t>SMB</t>
        </is>
      </c>
      <c r="F15" s="50" t="n">
        <v>4190140.76</v>
      </c>
      <c r="G15" s="51" t="n">
        <v>0.0539</v>
      </c>
      <c r="H15" s="52" t="n">
        <v>3964292.17</v>
      </c>
      <c r="I15" s="51" t="n">
        <v>0.4757</v>
      </c>
      <c r="J15" s="53" t="n">
        <v>7.5</v>
      </c>
      <c r="K15" s="54" t="inlineStr">
        <is>
          <t>Approve</t>
        </is>
      </c>
      <c r="L15" s="49" t="inlineStr">
        <is>
          <t>CDW</t>
        </is>
      </c>
    </row>
    <row r="16">
      <c r="A16" s="48" t="inlineStr">
        <is>
          <t>DEAL-5155</t>
        </is>
      </c>
      <c r="B16" s="48" t="inlineStr">
        <is>
          <t>Prospect</t>
        </is>
      </c>
      <c r="C16" s="49" t="inlineStr">
        <is>
          <t>Embedded</t>
        </is>
      </c>
      <c r="D16" s="48" t="inlineStr">
        <is>
          <t>South</t>
        </is>
      </c>
      <c r="E16" s="48" t="inlineStr">
        <is>
          <t>Enterprise</t>
        </is>
      </c>
      <c r="F16" s="50" t="n">
        <v>1725591.44</v>
      </c>
      <c r="G16" s="51" t="n">
        <v>0.0576</v>
      </c>
      <c r="H16" s="52" t="n">
        <v>1626197.37</v>
      </c>
      <c r="I16" s="51" t="n">
        <v>0.3625</v>
      </c>
      <c r="J16" s="53" t="n">
        <v>7.4</v>
      </c>
      <c r="K16" s="54" t="inlineStr">
        <is>
          <t>Approve</t>
        </is>
      </c>
      <c r="L16" s="49" t="inlineStr">
        <is>
          <t>PC Mall Gov</t>
        </is>
      </c>
    </row>
    <row r="17">
      <c r="A17" s="48" t="inlineStr">
        <is>
          <t>DEAL-5070</t>
        </is>
      </c>
      <c r="B17" s="48" t="inlineStr">
        <is>
          <t>Negotiation</t>
        </is>
      </c>
      <c r="C17" s="49" t="inlineStr">
        <is>
          <t>GPUs</t>
        </is>
      </c>
      <c r="D17" s="48" t="inlineStr">
        <is>
          <t>West</t>
        </is>
      </c>
      <c r="E17" s="48" t="inlineStr">
        <is>
          <t>Public Sector</t>
        </is>
      </c>
      <c r="F17" s="50" t="n">
        <v>1152557.46</v>
      </c>
      <c r="G17" s="51" t="n">
        <v>0.1137</v>
      </c>
      <c r="H17" s="52" t="n">
        <v>1021511.68</v>
      </c>
      <c r="I17" s="51" t="n">
        <v>0.4489</v>
      </c>
      <c r="J17" s="53" t="n">
        <v>7.3</v>
      </c>
      <c r="K17" s="54" t="inlineStr">
        <is>
          <t>Approve</t>
        </is>
      </c>
      <c r="L17" s="49" t="inlineStr">
        <is>
          <t>Avnet</t>
        </is>
      </c>
    </row>
    <row r="18">
      <c r="A18" s="48" t="inlineStr">
        <is>
          <t>DEAL-5988</t>
        </is>
      </c>
      <c r="B18" s="48" t="inlineStr">
        <is>
          <t>Closed Won</t>
        </is>
      </c>
      <c r="C18" s="49" t="inlineStr">
        <is>
          <t>Adaptive Computing</t>
        </is>
      </c>
      <c r="D18" s="48" t="inlineStr">
        <is>
          <t>Central</t>
        </is>
      </c>
      <c r="E18" s="48" t="inlineStr">
        <is>
          <t>SMB</t>
        </is>
      </c>
      <c r="F18" s="50" t="n">
        <v>889423.83</v>
      </c>
      <c r="G18" s="51" t="n">
        <v>0.0572</v>
      </c>
      <c r="H18" s="52" t="n">
        <v>838548.79</v>
      </c>
      <c r="I18" s="51" t="n">
        <v>0.3182</v>
      </c>
      <c r="J18" s="53" t="n">
        <v>7.2</v>
      </c>
      <c r="K18" s="54" t="inlineStr">
        <is>
          <t>Approve</t>
        </is>
      </c>
      <c r="L18" s="49" t="inlineStr">
        <is>
          <t>CDW</t>
        </is>
      </c>
    </row>
    <row r="19">
      <c r="A19" s="48" t="inlineStr">
        <is>
          <t>DEAL-5820</t>
        </is>
      </c>
      <c r="B19" s="48" t="inlineStr">
        <is>
          <t>Proposal</t>
        </is>
      </c>
      <c r="C19" s="49" t="inlineStr">
        <is>
          <t>Adaptive Computing</t>
        </is>
      </c>
      <c r="D19" s="48" t="inlineStr">
        <is>
          <t>East</t>
        </is>
      </c>
      <c r="E19" s="48" t="inlineStr">
        <is>
          <t>Enterprise</t>
        </is>
      </c>
      <c r="F19" s="50" t="n">
        <v>1809071.56</v>
      </c>
      <c r="G19" s="51" t="n">
        <v>0.1416</v>
      </c>
      <c r="H19" s="52" t="n">
        <v>1552907.03</v>
      </c>
      <c r="I19" s="51" t="n">
        <v>0.4596</v>
      </c>
      <c r="J19" s="53" t="n">
        <v>7.1</v>
      </c>
      <c r="K19" s="54" t="inlineStr">
        <is>
          <t>Approve</t>
        </is>
      </c>
      <c r="L19" s="49" t="inlineStr">
        <is>
          <t>Presidio</t>
        </is>
      </c>
    </row>
    <row r="20">
      <c r="A20" s="48" t="inlineStr">
        <is>
          <t>DEAL-5380</t>
        </is>
      </c>
      <c r="B20" s="48" t="inlineStr">
        <is>
          <t>Proposal</t>
        </is>
      </c>
      <c r="C20" s="49" t="inlineStr">
        <is>
          <t>Adaptive Computing</t>
        </is>
      </c>
      <c r="D20" s="48" t="inlineStr">
        <is>
          <t>South</t>
        </is>
      </c>
      <c r="E20" s="48" t="inlineStr">
        <is>
          <t>SMB</t>
        </is>
      </c>
      <c r="F20" s="50" t="n">
        <v>2560355.73</v>
      </c>
      <c r="G20" s="51" t="n">
        <v>0.1502</v>
      </c>
      <c r="H20" s="52" t="n">
        <v>2175790.3</v>
      </c>
      <c r="I20" s="51" t="n">
        <v>0.43</v>
      </c>
      <c r="J20" s="53" t="n">
        <v>7.1</v>
      </c>
      <c r="K20" s="54" t="inlineStr">
        <is>
          <t>Approve</t>
        </is>
      </c>
      <c r="L20" s="49" t="inlineStr">
        <is>
          <t>Insight Direct</t>
        </is>
      </c>
    </row>
    <row r="21">
      <c r="A21" s="48" t="inlineStr">
        <is>
          <t>DEAL-5321</t>
        </is>
      </c>
      <c r="B21" s="48" t="inlineStr">
        <is>
          <t>Proposal</t>
        </is>
      </c>
      <c r="C21" s="49" t="inlineStr">
        <is>
          <t>GPUs</t>
        </is>
      </c>
      <c r="D21" s="48" t="inlineStr">
        <is>
          <t>West</t>
        </is>
      </c>
      <c r="E21" s="48" t="inlineStr">
        <is>
          <t>Enterprise</t>
        </is>
      </c>
      <c r="F21" s="50" t="n">
        <v>4694313.87</v>
      </c>
      <c r="G21" s="51" t="n">
        <v>0.09279999999999999</v>
      </c>
      <c r="H21" s="52" t="n">
        <v>4258681.54</v>
      </c>
      <c r="I21" s="51" t="n">
        <v>0.3481</v>
      </c>
      <c r="J21" s="53" t="n">
        <v>7.1</v>
      </c>
      <c r="K21" s="54" t="inlineStr">
        <is>
          <t>Approve</t>
        </is>
      </c>
      <c r="L21" s="49" t="inlineStr">
        <is>
          <t>TD Synnex</t>
        </is>
      </c>
    </row>
    <row r="22">
      <c r="A22" s="48" t="inlineStr">
        <is>
          <t>DEAL-5078</t>
        </is>
      </c>
      <c r="B22" s="48" t="inlineStr">
        <is>
          <t>Closed Won</t>
        </is>
      </c>
      <c r="C22" s="49" t="inlineStr">
        <is>
          <t>Semi-Custom</t>
        </is>
      </c>
      <c r="D22" s="48" t="inlineStr">
        <is>
          <t>East</t>
        </is>
      </c>
      <c r="E22" s="48" t="inlineStr">
        <is>
          <t>Enterprise</t>
        </is>
      </c>
      <c r="F22" s="50" t="n">
        <v>321582.11</v>
      </c>
      <c r="G22" s="51" t="n">
        <v>0.1318</v>
      </c>
      <c r="H22" s="52" t="n">
        <v>279197.59</v>
      </c>
      <c r="I22" s="51" t="n">
        <v>0.4188</v>
      </c>
      <c r="J22" s="53" t="n">
        <v>7</v>
      </c>
      <c r="K22" s="54" t="inlineStr">
        <is>
          <t>Approve</t>
        </is>
      </c>
      <c r="L22" s="49" t="inlineStr">
        <is>
          <t>Trace3</t>
        </is>
      </c>
    </row>
    <row r="23">
      <c r="A23" s="48" t="inlineStr">
        <is>
          <t>DEAL-5358</t>
        </is>
      </c>
      <c r="B23" s="48" t="inlineStr">
        <is>
          <t>Proposal</t>
        </is>
      </c>
      <c r="C23" s="49" t="inlineStr">
        <is>
          <t>Embedded</t>
        </is>
      </c>
      <c r="D23" s="48" t="inlineStr">
        <is>
          <t>South</t>
        </is>
      </c>
      <c r="E23" s="48" t="inlineStr">
        <is>
          <t>SMB</t>
        </is>
      </c>
      <c r="F23" s="50" t="n">
        <v>1339964.42</v>
      </c>
      <c r="G23" s="51" t="n">
        <v>0.0934</v>
      </c>
      <c r="H23" s="52" t="n">
        <v>1214811.74</v>
      </c>
      <c r="I23" s="51" t="n">
        <v>0.4314</v>
      </c>
      <c r="J23" s="53" t="n">
        <v>6.9</v>
      </c>
      <c r="K23" s="54" t="inlineStr">
        <is>
          <t>Approve</t>
        </is>
      </c>
      <c r="L23" s="49" t="inlineStr">
        <is>
          <t>TD Synnex</t>
        </is>
      </c>
    </row>
    <row r="24">
      <c r="A24" s="48" t="inlineStr">
        <is>
          <t>DEAL-5344</t>
        </is>
      </c>
      <c r="B24" s="48" t="inlineStr">
        <is>
          <t>Closed Won</t>
        </is>
      </c>
      <c r="C24" s="49" t="inlineStr">
        <is>
          <t>GPUs</t>
        </is>
      </c>
      <c r="D24" s="48" t="inlineStr">
        <is>
          <t>East</t>
        </is>
      </c>
      <c r="E24" s="48" t="inlineStr">
        <is>
          <t>Public Sector</t>
        </is>
      </c>
      <c r="F24" s="50" t="n">
        <v>2328004.5</v>
      </c>
      <c r="G24" s="51" t="n">
        <v>0.0698</v>
      </c>
      <c r="H24" s="52" t="n">
        <v>2165509.79</v>
      </c>
      <c r="I24" s="51" t="n">
        <v>0.472</v>
      </c>
      <c r="J24" s="53" t="n">
        <v>6.9</v>
      </c>
      <c r="K24" s="54" t="inlineStr">
        <is>
          <t>Approve</t>
        </is>
      </c>
      <c r="L24" s="49" t="inlineStr">
        <is>
          <t>World Wide Technology</t>
        </is>
      </c>
    </row>
    <row r="25">
      <c r="A25" s="48" t="inlineStr">
        <is>
          <t>DEAL-5677</t>
        </is>
      </c>
      <c r="B25" s="48" t="inlineStr">
        <is>
          <t>Proposal</t>
        </is>
      </c>
      <c r="C25" s="49" t="inlineStr">
        <is>
          <t>GPUs</t>
        </is>
      </c>
      <c r="D25" s="48" t="inlineStr">
        <is>
          <t>West</t>
        </is>
      </c>
      <c r="E25" s="48" t="inlineStr">
        <is>
          <t>Enterprise</t>
        </is>
      </c>
      <c r="F25" s="50" t="n">
        <v>734715.04</v>
      </c>
      <c r="G25" s="51" t="n">
        <v>0.0535</v>
      </c>
      <c r="H25" s="52" t="n">
        <v>695407.79</v>
      </c>
      <c r="I25" s="51" t="n">
        <v>0.405</v>
      </c>
      <c r="J25" s="53" t="n">
        <v>6.8</v>
      </c>
      <c r="K25" s="54" t="inlineStr">
        <is>
          <t>Approve</t>
        </is>
      </c>
      <c r="L25" s="49" t="inlineStr">
        <is>
          <t>Connection</t>
        </is>
      </c>
    </row>
    <row r="26">
      <c r="A26" s="48" t="inlineStr">
        <is>
          <t>DEAL-5974</t>
        </is>
      </c>
      <c r="B26" s="48" t="inlineStr">
        <is>
          <t>Qualified</t>
        </is>
      </c>
      <c r="C26" s="49" t="inlineStr">
        <is>
          <t>Adaptive Computing</t>
        </is>
      </c>
      <c r="D26" s="48" t="inlineStr">
        <is>
          <t>Central</t>
        </is>
      </c>
      <c r="E26" s="48" t="inlineStr">
        <is>
          <t>Enterprise</t>
        </is>
      </c>
      <c r="F26" s="50" t="n">
        <v>2166117.59</v>
      </c>
      <c r="G26" s="51" t="n">
        <v>0.2427</v>
      </c>
      <c r="H26" s="52" t="n">
        <v>1640400.85</v>
      </c>
      <c r="I26" s="51" t="n">
        <v>0.4471</v>
      </c>
      <c r="J26" s="53" t="n">
        <v>6.8</v>
      </c>
      <c r="K26" s="54" t="inlineStr">
        <is>
          <t>Approve</t>
        </is>
      </c>
      <c r="L26" s="49" t="inlineStr">
        <is>
          <t>Ingram Micro</t>
        </is>
      </c>
    </row>
    <row r="27">
      <c r="A27" s="48" t="inlineStr">
        <is>
          <t>DEAL-6191</t>
        </is>
      </c>
      <c r="B27" s="48" t="inlineStr">
        <is>
          <t>Closed Lost</t>
        </is>
      </c>
      <c r="C27" s="49" t="inlineStr">
        <is>
          <t>Embedded</t>
        </is>
      </c>
      <c r="D27" s="48" t="inlineStr">
        <is>
          <t>East</t>
        </is>
      </c>
      <c r="E27" s="48" t="inlineStr">
        <is>
          <t>SMB</t>
        </is>
      </c>
      <c r="F27" s="50" t="n">
        <v>2720863.12</v>
      </c>
      <c r="G27" s="51" t="n">
        <v>0.2384</v>
      </c>
      <c r="H27" s="52" t="n">
        <v>2072209.35</v>
      </c>
      <c r="I27" s="51" t="n">
        <v>0.4106</v>
      </c>
      <c r="J27" s="53" t="n">
        <v>6.8</v>
      </c>
      <c r="K27" s="54" t="inlineStr">
        <is>
          <t>Approve</t>
        </is>
      </c>
      <c r="L27" s="49" t="inlineStr">
        <is>
          <t>Insight Direct</t>
        </is>
      </c>
    </row>
    <row r="28">
      <c r="A28" s="48" t="inlineStr">
        <is>
          <t>DEAL-5163</t>
        </is>
      </c>
      <c r="B28" s="48" t="inlineStr">
        <is>
          <t>Proposal</t>
        </is>
      </c>
      <c r="C28" s="49" t="inlineStr">
        <is>
          <t>Adaptive Computing</t>
        </is>
      </c>
      <c r="D28" s="48" t="inlineStr">
        <is>
          <t>East</t>
        </is>
      </c>
      <c r="E28" s="48" t="inlineStr">
        <is>
          <t>SMB</t>
        </is>
      </c>
      <c r="F28" s="50" t="n">
        <v>2398862.53</v>
      </c>
      <c r="G28" s="51" t="n">
        <v>0.06859999999999999</v>
      </c>
      <c r="H28" s="52" t="n">
        <v>2234300.56</v>
      </c>
      <c r="I28" s="51" t="n">
        <v>0.3974</v>
      </c>
      <c r="J28" s="53" t="n">
        <v>6.8</v>
      </c>
      <c r="K28" s="54" t="inlineStr">
        <is>
          <t>Approve</t>
        </is>
      </c>
      <c r="L28" s="49" t="inlineStr">
        <is>
          <t>SHI International</t>
        </is>
      </c>
    </row>
    <row r="29">
      <c r="A29" s="48" t="inlineStr">
        <is>
          <t>DEAL-5323</t>
        </is>
      </c>
      <c r="B29" s="48" t="inlineStr">
        <is>
          <t>Closed Won</t>
        </is>
      </c>
      <c r="C29" s="49" t="inlineStr">
        <is>
          <t>Adaptive Computing</t>
        </is>
      </c>
      <c r="D29" s="48" t="inlineStr">
        <is>
          <t>Central</t>
        </is>
      </c>
      <c r="E29" s="48" t="inlineStr">
        <is>
          <t>SMB</t>
        </is>
      </c>
      <c r="F29" s="50" t="n">
        <v>4009236.17</v>
      </c>
      <c r="G29" s="51" t="n">
        <v>0.1215</v>
      </c>
      <c r="H29" s="52" t="n">
        <v>3522113.98</v>
      </c>
      <c r="I29" s="51" t="n">
        <v>0.3001</v>
      </c>
      <c r="J29" s="53" t="n">
        <v>6.8</v>
      </c>
      <c r="K29" s="54" t="inlineStr">
        <is>
          <t>Approve</t>
        </is>
      </c>
      <c r="L29" s="49" t="inlineStr">
        <is>
          <t>SHI International</t>
        </is>
      </c>
    </row>
    <row r="30">
      <c r="A30" s="48" t="inlineStr">
        <is>
          <t>DEAL-6135</t>
        </is>
      </c>
      <c r="B30" s="48" t="inlineStr">
        <is>
          <t>Negotiation</t>
        </is>
      </c>
      <c r="C30" s="49" t="inlineStr">
        <is>
          <t>Embedded</t>
        </is>
      </c>
      <c r="D30" s="48" t="inlineStr">
        <is>
          <t>West</t>
        </is>
      </c>
      <c r="E30" s="48" t="inlineStr">
        <is>
          <t>Commercial</t>
        </is>
      </c>
      <c r="F30" s="50" t="n">
        <v>527548.4</v>
      </c>
      <c r="G30" s="51" t="n">
        <v>0.197</v>
      </c>
      <c r="H30" s="52" t="n">
        <v>423621.37</v>
      </c>
      <c r="I30" s="51" t="n">
        <v>0.3178</v>
      </c>
      <c r="J30" s="53" t="n">
        <v>6.6</v>
      </c>
      <c r="K30" s="54" t="inlineStr">
        <is>
          <t>Approve</t>
        </is>
      </c>
      <c r="L30" s="49" t="inlineStr">
        <is>
          <t>Connection</t>
        </is>
      </c>
    </row>
    <row r="31">
      <c r="A31" s="48" t="inlineStr">
        <is>
          <t>DEAL-5309</t>
        </is>
      </c>
      <c r="B31" s="48" t="inlineStr">
        <is>
          <t>Closed Won</t>
        </is>
      </c>
      <c r="C31" s="49" t="inlineStr">
        <is>
          <t>Embedded</t>
        </is>
      </c>
      <c r="D31" s="48" t="inlineStr">
        <is>
          <t>West</t>
        </is>
      </c>
      <c r="E31" s="48" t="inlineStr">
        <is>
          <t>Public Sector</t>
        </is>
      </c>
      <c r="F31" s="50" t="n">
        <v>3981707.05</v>
      </c>
      <c r="G31" s="51" t="n">
        <v>0.128</v>
      </c>
      <c r="H31" s="52" t="n">
        <v>3472048.55</v>
      </c>
      <c r="I31" s="51" t="n">
        <v>0.4073</v>
      </c>
      <c r="J31" s="53" t="n">
        <v>6.6</v>
      </c>
      <c r="K31" s="54" t="inlineStr">
        <is>
          <t>Approve</t>
        </is>
      </c>
      <c r="L31" s="49" t="inlineStr">
        <is>
          <t>CDW</t>
        </is>
      </c>
    </row>
    <row r="32">
      <c r="A32" s="48" t="inlineStr">
        <is>
          <t>DEAL-6065</t>
        </is>
      </c>
      <c r="B32" s="48" t="inlineStr">
        <is>
          <t>Qualified</t>
        </is>
      </c>
      <c r="C32" s="49" t="inlineStr">
        <is>
          <t>GPUs</t>
        </is>
      </c>
      <c r="D32" s="48" t="inlineStr">
        <is>
          <t>West</t>
        </is>
      </c>
      <c r="E32" s="48" t="inlineStr">
        <is>
          <t>Commercial</t>
        </is>
      </c>
      <c r="F32" s="50" t="n">
        <v>4202414.67</v>
      </c>
      <c r="G32" s="51" t="n">
        <v>0.1851</v>
      </c>
      <c r="H32" s="52" t="n">
        <v>3424547.71</v>
      </c>
      <c r="I32" s="51" t="n">
        <v>0.4144</v>
      </c>
      <c r="J32" s="53" t="n">
        <v>6.6</v>
      </c>
      <c r="K32" s="54" t="inlineStr">
        <is>
          <t>Approve</t>
        </is>
      </c>
      <c r="L32" s="49" t="inlineStr">
        <is>
          <t>Presidio</t>
        </is>
      </c>
    </row>
    <row r="33">
      <c r="A33" s="48" t="inlineStr">
        <is>
          <t>DEAL-5086</t>
        </is>
      </c>
      <c r="B33" s="48" t="inlineStr">
        <is>
          <t>Prospect</t>
        </is>
      </c>
      <c r="C33" s="49" t="inlineStr">
        <is>
          <t>Semi-Custom</t>
        </is>
      </c>
      <c r="D33" s="48" t="inlineStr">
        <is>
          <t>East</t>
        </is>
      </c>
      <c r="E33" s="48" t="inlineStr">
        <is>
          <t>Public Sector</t>
        </is>
      </c>
      <c r="F33" s="50" t="n">
        <v>1792698</v>
      </c>
      <c r="G33" s="51" t="n">
        <v>0.0832</v>
      </c>
      <c r="H33" s="52" t="n">
        <v>1643545.53</v>
      </c>
      <c r="I33" s="51" t="n">
        <v>0.3447</v>
      </c>
      <c r="J33" s="53" t="n">
        <v>6.5</v>
      </c>
      <c r="K33" s="54" t="inlineStr">
        <is>
          <t>Approve</t>
        </is>
      </c>
      <c r="L33" s="49" t="inlineStr">
        <is>
          <t>PC Mall Gov</t>
        </is>
      </c>
    </row>
    <row r="34">
      <c r="A34" s="48" t="inlineStr">
        <is>
          <t>DEAL-5692</t>
        </is>
      </c>
      <c r="B34" s="48" t="inlineStr">
        <is>
          <t>Closed Won</t>
        </is>
      </c>
      <c r="C34" s="49" t="inlineStr">
        <is>
          <t>GPUs</t>
        </is>
      </c>
      <c r="D34" s="48" t="inlineStr">
        <is>
          <t>East</t>
        </is>
      </c>
      <c r="E34" s="48" t="inlineStr">
        <is>
          <t>Public Sector</t>
        </is>
      </c>
      <c r="F34" s="50" t="n">
        <v>50976.36</v>
      </c>
      <c r="G34" s="51" t="n">
        <v>0.1999</v>
      </c>
      <c r="H34" s="52" t="n">
        <v>40786.19</v>
      </c>
      <c r="I34" s="51" t="n">
        <v>0.4518</v>
      </c>
      <c r="J34" s="53" t="n">
        <v>6.5</v>
      </c>
      <c r="K34" s="54" t="inlineStr">
        <is>
          <t>Approve</t>
        </is>
      </c>
      <c r="L34" s="49" t="inlineStr">
        <is>
          <t>Avnet</t>
        </is>
      </c>
    </row>
    <row r="35">
      <c r="A35" s="55" t="inlineStr">
        <is>
          <t>DEAL-5184</t>
        </is>
      </c>
      <c r="B35" s="55" t="inlineStr">
        <is>
          <t>Closed Won</t>
        </is>
      </c>
      <c r="C35" s="56" t="inlineStr">
        <is>
          <t>CPUs</t>
        </is>
      </c>
      <c r="D35" s="55" t="inlineStr">
        <is>
          <t>East</t>
        </is>
      </c>
      <c r="E35" s="55" t="inlineStr">
        <is>
          <t>Public Sector</t>
        </is>
      </c>
      <c r="F35" s="57" t="n">
        <v>1946000.79</v>
      </c>
      <c r="G35" s="58" t="n">
        <v>0.1045</v>
      </c>
      <c r="H35" s="59" t="n">
        <v>1742643.71</v>
      </c>
      <c r="I35" s="58" t="n">
        <v>0.4641</v>
      </c>
      <c r="J35" s="60" t="n">
        <v>6.4</v>
      </c>
      <c r="K35" s="61" t="inlineStr">
        <is>
          <t>Escalate</t>
        </is>
      </c>
      <c r="L35" s="56" t="inlineStr">
        <is>
          <t>CDW</t>
        </is>
      </c>
    </row>
    <row r="36">
      <c r="A36" s="55" t="inlineStr">
        <is>
          <t>DEAL-5950</t>
        </is>
      </c>
      <c r="B36" s="55" t="inlineStr">
        <is>
          <t>Closed Lost</t>
        </is>
      </c>
      <c r="C36" s="56" t="inlineStr">
        <is>
          <t>Embedded</t>
        </is>
      </c>
      <c r="D36" s="55" t="inlineStr">
        <is>
          <t>West</t>
        </is>
      </c>
      <c r="E36" s="55" t="inlineStr">
        <is>
          <t>Commercial</t>
        </is>
      </c>
      <c r="F36" s="57" t="n">
        <v>3244874.35</v>
      </c>
      <c r="G36" s="58" t="n">
        <v>0.177</v>
      </c>
      <c r="H36" s="59" t="n">
        <v>2670531.59</v>
      </c>
      <c r="I36" s="58" t="n">
        <v>0.4643</v>
      </c>
      <c r="J36" s="60" t="n">
        <v>6.3</v>
      </c>
      <c r="K36" s="61" t="inlineStr">
        <is>
          <t>Escalate</t>
        </is>
      </c>
      <c r="L36" s="56" t="inlineStr">
        <is>
          <t>Avnet</t>
        </is>
      </c>
    </row>
    <row r="37">
      <c r="A37" s="55" t="inlineStr">
        <is>
          <t>DEAL-5135</t>
        </is>
      </c>
      <c r="B37" s="55" t="inlineStr">
        <is>
          <t>Closed Won</t>
        </is>
      </c>
      <c r="C37" s="56" t="inlineStr">
        <is>
          <t>Embedded</t>
        </is>
      </c>
      <c r="D37" s="55" t="inlineStr">
        <is>
          <t>West</t>
        </is>
      </c>
      <c r="E37" s="55" t="inlineStr">
        <is>
          <t>Public Sector</t>
        </is>
      </c>
      <c r="F37" s="57" t="n">
        <v>3204865.81</v>
      </c>
      <c r="G37" s="58" t="n">
        <v>0.166</v>
      </c>
      <c r="H37" s="59" t="n">
        <v>2672858.09</v>
      </c>
      <c r="I37" s="58" t="n">
        <v>0.3996</v>
      </c>
      <c r="J37" s="60" t="n">
        <v>6.3</v>
      </c>
      <c r="K37" s="61" t="inlineStr">
        <is>
          <t>Escalate</t>
        </is>
      </c>
      <c r="L37" s="56" t="inlineStr">
        <is>
          <t>Avnet</t>
        </is>
      </c>
    </row>
    <row r="38">
      <c r="A38" s="55" t="inlineStr">
        <is>
          <t>DEAL-5855</t>
        </is>
      </c>
      <c r="B38" s="55" t="inlineStr">
        <is>
          <t>Closed Won</t>
        </is>
      </c>
      <c r="C38" s="56" t="inlineStr">
        <is>
          <t>CPUs</t>
        </is>
      </c>
      <c r="D38" s="55" t="inlineStr">
        <is>
          <t>West</t>
        </is>
      </c>
      <c r="E38" s="55" t="inlineStr">
        <is>
          <t>Public Sector</t>
        </is>
      </c>
      <c r="F38" s="57" t="n">
        <v>3477150.36</v>
      </c>
      <c r="G38" s="58" t="n">
        <v>0.0895</v>
      </c>
      <c r="H38" s="59" t="n">
        <v>3165945.4</v>
      </c>
      <c r="I38" s="58" t="n">
        <v>0.3975</v>
      </c>
      <c r="J38" s="60" t="n">
        <v>6.2</v>
      </c>
      <c r="K38" s="61" t="inlineStr">
        <is>
          <t>Escalate</t>
        </is>
      </c>
      <c r="L38" s="56" t="inlineStr">
        <is>
          <t>PC Mall Gov</t>
        </is>
      </c>
    </row>
    <row r="39">
      <c r="A39" s="55" t="inlineStr">
        <is>
          <t>DEAL-5168</t>
        </is>
      </c>
      <c r="B39" s="55" t="inlineStr">
        <is>
          <t>Closed Won</t>
        </is>
      </c>
      <c r="C39" s="56" t="inlineStr">
        <is>
          <t>GPUs</t>
        </is>
      </c>
      <c r="D39" s="55" t="inlineStr">
        <is>
          <t>West</t>
        </is>
      </c>
      <c r="E39" s="55" t="inlineStr">
        <is>
          <t>Public Sector</t>
        </is>
      </c>
      <c r="F39" s="57" t="n">
        <v>4814544.65</v>
      </c>
      <c r="G39" s="58" t="n">
        <v>0.1595</v>
      </c>
      <c r="H39" s="59" t="n">
        <v>4046624.78</v>
      </c>
      <c r="I39" s="58" t="n">
        <v>0.3978</v>
      </c>
      <c r="J39" s="60" t="n">
        <v>6.2</v>
      </c>
      <c r="K39" s="61" t="inlineStr">
        <is>
          <t>Escalate</t>
        </is>
      </c>
      <c r="L39" s="56" t="inlineStr">
        <is>
          <t>Avnet</t>
        </is>
      </c>
    </row>
    <row r="40">
      <c r="A40" s="55" t="inlineStr">
        <is>
          <t>DEAL-5570</t>
        </is>
      </c>
      <c r="B40" s="55" t="inlineStr">
        <is>
          <t>Closed Lost</t>
        </is>
      </c>
      <c r="C40" s="56" t="inlineStr">
        <is>
          <t>Adaptive Computing</t>
        </is>
      </c>
      <c r="D40" s="55" t="inlineStr">
        <is>
          <t>East</t>
        </is>
      </c>
      <c r="E40" s="55" t="inlineStr">
        <is>
          <t>SMB</t>
        </is>
      </c>
      <c r="F40" s="57" t="n">
        <v>2471053.83</v>
      </c>
      <c r="G40" s="58" t="n">
        <v>0.1545</v>
      </c>
      <c r="H40" s="59" t="n">
        <v>2089276.01</v>
      </c>
      <c r="I40" s="58" t="n">
        <v>0.4603</v>
      </c>
      <c r="J40" s="60" t="n">
        <v>6.2</v>
      </c>
      <c r="K40" s="61" t="inlineStr">
        <is>
          <t>Escalate</t>
        </is>
      </c>
      <c r="L40" s="56" t="inlineStr">
        <is>
          <t>Avnet</t>
        </is>
      </c>
    </row>
    <row r="41">
      <c r="A41" s="55" t="inlineStr">
        <is>
          <t>DEAL-5549</t>
        </is>
      </c>
      <c r="B41" s="55" t="inlineStr">
        <is>
          <t>Prospect</t>
        </is>
      </c>
      <c r="C41" s="56" t="inlineStr">
        <is>
          <t>Adaptive Computing</t>
        </is>
      </c>
      <c r="D41" s="55" t="inlineStr">
        <is>
          <t>East</t>
        </is>
      </c>
      <c r="E41" s="55" t="inlineStr">
        <is>
          <t>Enterprise</t>
        </is>
      </c>
      <c r="F41" s="57" t="n">
        <v>3926085.03</v>
      </c>
      <c r="G41" s="58" t="n">
        <v>0.07340000000000001</v>
      </c>
      <c r="H41" s="59" t="n">
        <v>3637910.39</v>
      </c>
      <c r="I41" s="58" t="n">
        <v>0.3918</v>
      </c>
      <c r="J41" s="60" t="n">
        <v>6.2</v>
      </c>
      <c r="K41" s="61" t="inlineStr">
        <is>
          <t>Escalate</t>
        </is>
      </c>
      <c r="L41" s="56" t="inlineStr">
        <is>
          <t>Insight Direct</t>
        </is>
      </c>
    </row>
    <row r="42">
      <c r="A42" s="55" t="inlineStr">
        <is>
          <t>DEAL-6108</t>
        </is>
      </c>
      <c r="B42" s="55" t="inlineStr">
        <is>
          <t>Proposal</t>
        </is>
      </c>
      <c r="C42" s="56" t="inlineStr">
        <is>
          <t>Semi-Custom</t>
        </is>
      </c>
      <c r="D42" s="55" t="inlineStr">
        <is>
          <t>Central</t>
        </is>
      </c>
      <c r="E42" s="55" t="inlineStr">
        <is>
          <t>Enterprise</t>
        </is>
      </c>
      <c r="F42" s="57" t="n">
        <v>4694882.16</v>
      </c>
      <c r="G42" s="58" t="n">
        <v>0.2384</v>
      </c>
      <c r="H42" s="59" t="n">
        <v>3575622.25</v>
      </c>
      <c r="I42" s="58" t="n">
        <v>0.2948</v>
      </c>
      <c r="J42" s="60" t="n">
        <v>6.2</v>
      </c>
      <c r="K42" s="61" t="inlineStr">
        <is>
          <t>Escalate</t>
        </is>
      </c>
      <c r="L42" s="56" t="inlineStr">
        <is>
          <t>Avnet</t>
        </is>
      </c>
    </row>
    <row r="43">
      <c r="A43" s="55" t="inlineStr">
        <is>
          <t>DEAL-5727</t>
        </is>
      </c>
      <c r="B43" s="55" t="inlineStr">
        <is>
          <t>Closed Won</t>
        </is>
      </c>
      <c r="C43" s="56" t="inlineStr">
        <is>
          <t>CPUs</t>
        </is>
      </c>
      <c r="D43" s="55" t="inlineStr">
        <is>
          <t>South</t>
        </is>
      </c>
      <c r="E43" s="55" t="inlineStr">
        <is>
          <t>SMB</t>
        </is>
      </c>
      <c r="F43" s="57" t="n">
        <v>4812688.14</v>
      </c>
      <c r="G43" s="58" t="n">
        <v>0.1481</v>
      </c>
      <c r="H43" s="59" t="n">
        <v>4099929.03</v>
      </c>
      <c r="I43" s="58" t="n">
        <v>0.3087</v>
      </c>
      <c r="J43" s="60" t="n">
        <v>6.2</v>
      </c>
      <c r="K43" s="61" t="inlineStr">
        <is>
          <t>Escalate</t>
        </is>
      </c>
      <c r="L43" s="56" t="inlineStr">
        <is>
          <t>Connection</t>
        </is>
      </c>
    </row>
    <row r="44">
      <c r="A44" s="55" t="inlineStr">
        <is>
          <t>DEAL-5051</t>
        </is>
      </c>
      <c r="B44" s="55" t="inlineStr">
        <is>
          <t>Proposal</t>
        </is>
      </c>
      <c r="C44" s="56" t="inlineStr">
        <is>
          <t>CPUs</t>
        </is>
      </c>
      <c r="D44" s="55" t="inlineStr">
        <is>
          <t>South</t>
        </is>
      </c>
      <c r="E44" s="55" t="inlineStr">
        <is>
          <t>Commercial</t>
        </is>
      </c>
      <c r="F44" s="57" t="n">
        <v>3252931.04</v>
      </c>
      <c r="G44" s="58" t="n">
        <v>0.06469999999999999</v>
      </c>
      <c r="H44" s="59" t="n">
        <v>3042466.4</v>
      </c>
      <c r="I44" s="58" t="n">
        <v>0.3452</v>
      </c>
      <c r="J44" s="60" t="n">
        <v>6.2</v>
      </c>
      <c r="K44" s="61" t="inlineStr">
        <is>
          <t>Escalate</t>
        </is>
      </c>
      <c r="L44" s="56" t="inlineStr">
        <is>
          <t>PC Mall Gov</t>
        </is>
      </c>
    </row>
    <row r="45">
      <c r="A45" s="55" t="inlineStr">
        <is>
          <t>DEAL-5490</t>
        </is>
      </c>
      <c r="B45" s="55" t="inlineStr">
        <is>
          <t>Closed Lost</t>
        </is>
      </c>
      <c r="C45" s="56" t="inlineStr">
        <is>
          <t>GPUs</t>
        </is>
      </c>
      <c r="D45" s="55" t="inlineStr">
        <is>
          <t>West</t>
        </is>
      </c>
      <c r="E45" s="55" t="inlineStr">
        <is>
          <t>Enterprise</t>
        </is>
      </c>
      <c r="F45" s="57" t="n">
        <v>3470217.79</v>
      </c>
      <c r="G45" s="58" t="n">
        <v>0.1678</v>
      </c>
      <c r="H45" s="59" t="n">
        <v>2887915.24</v>
      </c>
      <c r="I45" s="58" t="n">
        <v>0.3067</v>
      </c>
      <c r="J45" s="60" t="n">
        <v>6.1</v>
      </c>
      <c r="K45" s="61" t="inlineStr">
        <is>
          <t>Escalate</t>
        </is>
      </c>
      <c r="L45" s="56" t="inlineStr">
        <is>
          <t>SHI International</t>
        </is>
      </c>
    </row>
    <row r="46">
      <c r="A46" s="55" t="inlineStr">
        <is>
          <t>DEAL-5101</t>
        </is>
      </c>
      <c r="B46" s="55" t="inlineStr">
        <is>
          <t>Closed Won</t>
        </is>
      </c>
      <c r="C46" s="56" t="inlineStr">
        <is>
          <t>Semi-Custom</t>
        </is>
      </c>
      <c r="D46" s="55" t="inlineStr">
        <is>
          <t>Central</t>
        </is>
      </c>
      <c r="E46" s="55" t="inlineStr">
        <is>
          <t>Commercial</t>
        </is>
      </c>
      <c r="F46" s="57" t="n">
        <v>924053.8</v>
      </c>
      <c r="G46" s="58" t="n">
        <v>0.1888</v>
      </c>
      <c r="H46" s="59" t="n">
        <v>749592.4399999999</v>
      </c>
      <c r="I46" s="58" t="n">
        <v>0.3688</v>
      </c>
      <c r="J46" s="60" t="n">
        <v>6.1</v>
      </c>
      <c r="K46" s="61" t="inlineStr">
        <is>
          <t>Escalate</t>
        </is>
      </c>
      <c r="L46" s="56" t="inlineStr">
        <is>
          <t>Trace3</t>
        </is>
      </c>
    </row>
    <row r="47">
      <c r="A47" s="55" t="inlineStr">
        <is>
          <t>DEAL-5598</t>
        </is>
      </c>
      <c r="B47" s="55" t="inlineStr">
        <is>
          <t>Prospect</t>
        </is>
      </c>
      <c r="C47" s="56" t="inlineStr">
        <is>
          <t>CPUs</t>
        </is>
      </c>
      <c r="D47" s="55" t="inlineStr">
        <is>
          <t>East</t>
        </is>
      </c>
      <c r="E47" s="55" t="inlineStr">
        <is>
          <t>Public Sector</t>
        </is>
      </c>
      <c r="F47" s="57" t="n">
        <v>2562076.76</v>
      </c>
      <c r="G47" s="58" t="n">
        <v>0.0854</v>
      </c>
      <c r="H47" s="59" t="n">
        <v>2343275.4</v>
      </c>
      <c r="I47" s="58" t="n">
        <v>0.3042</v>
      </c>
      <c r="J47" s="60" t="n">
        <v>6.1</v>
      </c>
      <c r="K47" s="61" t="inlineStr">
        <is>
          <t>Escalate</t>
        </is>
      </c>
      <c r="L47" s="56" t="inlineStr">
        <is>
          <t>Trace3</t>
        </is>
      </c>
    </row>
    <row r="48">
      <c r="A48" s="55" t="inlineStr">
        <is>
          <t>DEAL-5390</t>
        </is>
      </c>
      <c r="B48" s="55" t="inlineStr">
        <is>
          <t>Closed Won</t>
        </is>
      </c>
      <c r="C48" s="56" t="inlineStr">
        <is>
          <t>CPUs</t>
        </is>
      </c>
      <c r="D48" s="55" t="inlineStr">
        <is>
          <t>West</t>
        </is>
      </c>
      <c r="E48" s="55" t="inlineStr">
        <is>
          <t>Public Sector</t>
        </is>
      </c>
      <c r="F48" s="57" t="n">
        <v>1046946.03</v>
      </c>
      <c r="G48" s="58" t="n">
        <v>0.1698</v>
      </c>
      <c r="H48" s="59" t="n">
        <v>869174.59</v>
      </c>
      <c r="I48" s="58" t="n">
        <v>0.3867</v>
      </c>
      <c r="J48" s="60" t="n">
        <v>6</v>
      </c>
      <c r="K48" s="61" t="inlineStr">
        <is>
          <t>Escalate</t>
        </is>
      </c>
      <c r="L48" s="56" t="inlineStr">
        <is>
          <t>Insight Direct</t>
        </is>
      </c>
    </row>
    <row r="49">
      <c r="A49" s="55" t="inlineStr">
        <is>
          <t>DEAL-5430</t>
        </is>
      </c>
      <c r="B49" s="55" t="inlineStr">
        <is>
          <t>Proposal</t>
        </is>
      </c>
      <c r="C49" s="56" t="inlineStr">
        <is>
          <t>Semi-Custom</t>
        </is>
      </c>
      <c r="D49" s="55" t="inlineStr">
        <is>
          <t>East</t>
        </is>
      </c>
      <c r="E49" s="55" t="inlineStr">
        <is>
          <t>Public Sector</t>
        </is>
      </c>
      <c r="F49" s="57" t="n">
        <v>1020347.39</v>
      </c>
      <c r="G49" s="58" t="n">
        <v>0.0756</v>
      </c>
      <c r="H49" s="59" t="n">
        <v>943209.13</v>
      </c>
      <c r="I49" s="58" t="n">
        <v>0.3035</v>
      </c>
      <c r="J49" s="60" t="n">
        <v>6</v>
      </c>
      <c r="K49" s="61" t="inlineStr">
        <is>
          <t>Escalate</t>
        </is>
      </c>
      <c r="L49" s="56" t="inlineStr">
        <is>
          <t>Insight Direct</t>
        </is>
      </c>
    </row>
    <row r="50">
      <c r="A50" s="55" t="inlineStr">
        <is>
          <t>DEAL-5596</t>
        </is>
      </c>
      <c r="B50" s="55" t="inlineStr">
        <is>
          <t>Qualified</t>
        </is>
      </c>
      <c r="C50" s="56" t="inlineStr">
        <is>
          <t>Embedded</t>
        </is>
      </c>
      <c r="D50" s="55" t="inlineStr">
        <is>
          <t>East</t>
        </is>
      </c>
      <c r="E50" s="55" t="inlineStr">
        <is>
          <t>SMB</t>
        </is>
      </c>
      <c r="F50" s="57" t="n">
        <v>514122.44</v>
      </c>
      <c r="G50" s="58" t="n">
        <v>0.1088</v>
      </c>
      <c r="H50" s="59" t="n">
        <v>458185.92</v>
      </c>
      <c r="I50" s="58" t="n">
        <v>0.4249</v>
      </c>
      <c r="J50" s="60" t="n">
        <v>5.9</v>
      </c>
      <c r="K50" s="61" t="inlineStr">
        <is>
          <t>Escalate</t>
        </is>
      </c>
      <c r="L50" s="56" t="inlineStr">
        <is>
          <t>TD Synnex</t>
        </is>
      </c>
    </row>
    <row r="51">
      <c r="A51" s="55" t="inlineStr">
        <is>
          <t>DEAL-5170</t>
        </is>
      </c>
      <c r="B51" s="55" t="inlineStr">
        <is>
          <t>Closed Won</t>
        </is>
      </c>
      <c r="C51" s="56" t="inlineStr">
        <is>
          <t>GPUs</t>
        </is>
      </c>
      <c r="D51" s="55" t="inlineStr">
        <is>
          <t>West</t>
        </is>
      </c>
      <c r="E51" s="55" t="inlineStr">
        <is>
          <t>Commercial</t>
        </is>
      </c>
      <c r="F51" s="57" t="n">
        <v>553282.77</v>
      </c>
      <c r="G51" s="58" t="n">
        <v>0.2564</v>
      </c>
      <c r="H51" s="59" t="n">
        <v>411421.07</v>
      </c>
      <c r="I51" s="58" t="n">
        <v>0.3875</v>
      </c>
      <c r="J51" s="60" t="n">
        <v>5.9</v>
      </c>
      <c r="K51" s="61" t="inlineStr">
        <is>
          <t>Escalate</t>
        </is>
      </c>
      <c r="L51" s="56" t="inlineStr">
        <is>
          <t>SHI International</t>
        </is>
      </c>
    </row>
    <row r="52">
      <c r="A52" s="55" t="inlineStr">
        <is>
          <t>DEAL-5049</t>
        </is>
      </c>
      <c r="B52" s="55" t="inlineStr">
        <is>
          <t>Qualified</t>
        </is>
      </c>
      <c r="C52" s="56" t="inlineStr">
        <is>
          <t>Embedded</t>
        </is>
      </c>
      <c r="D52" s="55" t="inlineStr">
        <is>
          <t>Central</t>
        </is>
      </c>
      <c r="E52" s="55" t="inlineStr">
        <is>
          <t>SMB</t>
        </is>
      </c>
      <c r="F52" s="57" t="n">
        <v>3925843.21</v>
      </c>
      <c r="G52" s="58" t="n">
        <v>0.0788</v>
      </c>
      <c r="H52" s="59" t="n">
        <v>3616486.77</v>
      </c>
      <c r="I52" s="58" t="n">
        <v>0.3387</v>
      </c>
      <c r="J52" s="60" t="n">
        <v>5.9</v>
      </c>
      <c r="K52" s="61" t="inlineStr">
        <is>
          <t>Escalate</t>
        </is>
      </c>
      <c r="L52" s="56" t="inlineStr">
        <is>
          <t>Presidio</t>
        </is>
      </c>
    </row>
    <row r="53">
      <c r="A53" s="55" t="inlineStr">
        <is>
          <t>DEAL-5355</t>
        </is>
      </c>
      <c r="B53" s="55" t="inlineStr">
        <is>
          <t>Closed Won</t>
        </is>
      </c>
      <c r="C53" s="56" t="inlineStr">
        <is>
          <t>Semi-Custom</t>
        </is>
      </c>
      <c r="D53" s="55" t="inlineStr">
        <is>
          <t>East</t>
        </is>
      </c>
      <c r="E53" s="55" t="inlineStr">
        <is>
          <t>Public Sector</t>
        </is>
      </c>
      <c r="F53" s="57" t="n">
        <v>4617640.69</v>
      </c>
      <c r="G53" s="58" t="n">
        <v>0.1956</v>
      </c>
      <c r="H53" s="59" t="n">
        <v>3714430.17</v>
      </c>
      <c r="I53" s="58" t="n">
        <v>0.349</v>
      </c>
      <c r="J53" s="60" t="n">
        <v>5.8</v>
      </c>
      <c r="K53" s="61" t="inlineStr">
        <is>
          <t>Escalate</t>
        </is>
      </c>
      <c r="L53" s="56" t="inlineStr">
        <is>
          <t>Avnet</t>
        </is>
      </c>
    </row>
    <row r="54">
      <c r="A54" s="55" t="inlineStr">
        <is>
          <t>DEAL-5838</t>
        </is>
      </c>
      <c r="B54" s="55" t="inlineStr">
        <is>
          <t>Qualified</t>
        </is>
      </c>
      <c r="C54" s="56" t="inlineStr">
        <is>
          <t>Semi-Custom</t>
        </is>
      </c>
      <c r="D54" s="55" t="inlineStr">
        <is>
          <t>East</t>
        </is>
      </c>
      <c r="E54" s="55" t="inlineStr">
        <is>
          <t>Public Sector</t>
        </is>
      </c>
      <c r="F54" s="57" t="n">
        <v>870810.74</v>
      </c>
      <c r="G54" s="58" t="n">
        <v>0.1684</v>
      </c>
      <c r="H54" s="59" t="n">
        <v>724166.21</v>
      </c>
      <c r="I54" s="58" t="n">
        <v>0.4539</v>
      </c>
      <c r="J54" s="60" t="n">
        <v>5.8</v>
      </c>
      <c r="K54" s="61" t="inlineStr">
        <is>
          <t>Escalate</t>
        </is>
      </c>
      <c r="L54" s="56" t="inlineStr">
        <is>
          <t>Insight Direct</t>
        </is>
      </c>
    </row>
    <row r="55">
      <c r="A55" s="55" t="inlineStr">
        <is>
          <t>DEAL-5765</t>
        </is>
      </c>
      <c r="B55" s="55" t="inlineStr">
        <is>
          <t>Prospect</t>
        </is>
      </c>
      <c r="C55" s="56" t="inlineStr">
        <is>
          <t>Adaptive Computing</t>
        </is>
      </c>
      <c r="D55" s="55" t="inlineStr">
        <is>
          <t>Central</t>
        </is>
      </c>
      <c r="E55" s="55" t="inlineStr">
        <is>
          <t>SMB</t>
        </is>
      </c>
      <c r="F55" s="57" t="n">
        <v>354418.19</v>
      </c>
      <c r="G55" s="58" t="n">
        <v>0.1749</v>
      </c>
      <c r="H55" s="59" t="n">
        <v>292430.45</v>
      </c>
      <c r="I55" s="58" t="n">
        <v>0.2964</v>
      </c>
      <c r="J55" s="60" t="n">
        <v>5.8</v>
      </c>
      <c r="K55" s="61" t="inlineStr">
        <is>
          <t>Escalate</t>
        </is>
      </c>
      <c r="L55" s="56" t="inlineStr">
        <is>
          <t>SHI International</t>
        </is>
      </c>
    </row>
    <row r="56">
      <c r="A56" s="55" t="inlineStr">
        <is>
          <t>DEAL-5438</t>
        </is>
      </c>
      <c r="B56" s="55" t="inlineStr">
        <is>
          <t>Closed Won</t>
        </is>
      </c>
      <c r="C56" s="56" t="inlineStr">
        <is>
          <t>Embedded</t>
        </is>
      </c>
      <c r="D56" s="55" t="inlineStr">
        <is>
          <t>West</t>
        </is>
      </c>
      <c r="E56" s="55" t="inlineStr">
        <is>
          <t>Enterprise</t>
        </is>
      </c>
      <c r="F56" s="57" t="n">
        <v>3377474.24</v>
      </c>
      <c r="G56" s="58" t="n">
        <v>0.2454</v>
      </c>
      <c r="H56" s="59" t="n">
        <v>2548642.06</v>
      </c>
      <c r="I56" s="58" t="n">
        <v>0.4601</v>
      </c>
      <c r="J56" s="60" t="n">
        <v>5.7</v>
      </c>
      <c r="K56" s="61" t="inlineStr">
        <is>
          <t>Escalate</t>
        </is>
      </c>
      <c r="L56" s="56" t="inlineStr">
        <is>
          <t>Connection</t>
        </is>
      </c>
    </row>
    <row r="57">
      <c r="A57" s="55" t="inlineStr">
        <is>
          <t>DEAL-5865</t>
        </is>
      </c>
      <c r="B57" s="55" t="inlineStr">
        <is>
          <t>Qualified</t>
        </is>
      </c>
      <c r="C57" s="56" t="inlineStr">
        <is>
          <t>CPUs</t>
        </is>
      </c>
      <c r="D57" s="55" t="inlineStr">
        <is>
          <t>West</t>
        </is>
      </c>
      <c r="E57" s="55" t="inlineStr">
        <is>
          <t>Commercial</t>
        </is>
      </c>
      <c r="F57" s="57" t="n">
        <v>3094492.97</v>
      </c>
      <c r="G57" s="58" t="n">
        <v>0.1902</v>
      </c>
      <c r="H57" s="59" t="n">
        <v>2505920.41</v>
      </c>
      <c r="I57" s="58" t="n">
        <v>0.3195</v>
      </c>
      <c r="J57" s="60" t="n">
        <v>5.7</v>
      </c>
      <c r="K57" s="61" t="inlineStr">
        <is>
          <t>Escalate</t>
        </is>
      </c>
      <c r="L57" s="56" t="inlineStr">
        <is>
          <t>Ingram Micro</t>
        </is>
      </c>
    </row>
    <row r="58">
      <c r="A58" s="55" t="inlineStr">
        <is>
          <t>DEAL-5652</t>
        </is>
      </c>
      <c r="B58" s="55" t="inlineStr">
        <is>
          <t>Negotiation</t>
        </is>
      </c>
      <c r="C58" s="56" t="inlineStr">
        <is>
          <t>GPUs</t>
        </is>
      </c>
      <c r="D58" s="55" t="inlineStr">
        <is>
          <t>West</t>
        </is>
      </c>
      <c r="E58" s="55" t="inlineStr">
        <is>
          <t>Commercial</t>
        </is>
      </c>
      <c r="F58" s="57" t="n">
        <v>4564910.97</v>
      </c>
      <c r="G58" s="58" t="n">
        <v>0.2537</v>
      </c>
      <c r="H58" s="59" t="n">
        <v>3406793.06</v>
      </c>
      <c r="I58" s="58" t="n">
        <v>0.3859</v>
      </c>
      <c r="J58" s="60" t="n">
        <v>5.7</v>
      </c>
      <c r="K58" s="61" t="inlineStr">
        <is>
          <t>Escalate</t>
        </is>
      </c>
      <c r="L58" s="56" t="inlineStr">
        <is>
          <t>SHI International</t>
        </is>
      </c>
    </row>
    <row r="59">
      <c r="A59" s="55" t="inlineStr">
        <is>
          <t>DEAL-5849</t>
        </is>
      </c>
      <c r="B59" s="55" t="inlineStr">
        <is>
          <t>Negotiation</t>
        </is>
      </c>
      <c r="C59" s="56" t="inlineStr">
        <is>
          <t>Adaptive Computing</t>
        </is>
      </c>
      <c r="D59" s="55" t="inlineStr">
        <is>
          <t>South</t>
        </is>
      </c>
      <c r="E59" s="55" t="inlineStr">
        <is>
          <t>Enterprise</t>
        </is>
      </c>
      <c r="F59" s="57" t="n">
        <v>2763016.66</v>
      </c>
      <c r="G59" s="58" t="n">
        <v>0.1872</v>
      </c>
      <c r="H59" s="59" t="n">
        <v>2245779.94</v>
      </c>
      <c r="I59" s="58" t="n">
        <v>0.4469</v>
      </c>
      <c r="J59" s="60" t="n">
        <v>5.6</v>
      </c>
      <c r="K59" s="61" t="inlineStr">
        <is>
          <t>Escalate</t>
        </is>
      </c>
      <c r="L59" s="56" t="inlineStr">
        <is>
          <t>Arrow Electronics</t>
        </is>
      </c>
    </row>
    <row r="60">
      <c r="A60" s="55" t="inlineStr">
        <is>
          <t>DEAL-5023</t>
        </is>
      </c>
      <c r="B60" s="55" t="inlineStr">
        <is>
          <t>Closed Lost</t>
        </is>
      </c>
      <c r="C60" s="56" t="inlineStr">
        <is>
          <t>Embedded</t>
        </is>
      </c>
      <c r="D60" s="55" t="inlineStr">
        <is>
          <t>Central</t>
        </is>
      </c>
      <c r="E60" s="55" t="inlineStr">
        <is>
          <t>Enterprise</t>
        </is>
      </c>
      <c r="F60" s="57" t="n">
        <v>123625.4</v>
      </c>
      <c r="G60" s="58" t="n">
        <v>0.1771</v>
      </c>
      <c r="H60" s="59" t="n">
        <v>101731.34</v>
      </c>
      <c r="I60" s="58" t="n">
        <v>0.3398</v>
      </c>
      <c r="J60" s="60" t="n">
        <v>5.6</v>
      </c>
      <c r="K60" s="61" t="inlineStr">
        <is>
          <t>Escalate</t>
        </is>
      </c>
      <c r="L60" s="56" t="inlineStr">
        <is>
          <t>Avnet</t>
        </is>
      </c>
    </row>
    <row r="61">
      <c r="A61" s="55" t="inlineStr">
        <is>
          <t>DEAL-5850</t>
        </is>
      </c>
      <c r="B61" s="55" t="inlineStr">
        <is>
          <t>Prospect</t>
        </is>
      </c>
      <c r="C61" s="56" t="inlineStr">
        <is>
          <t>GPUs</t>
        </is>
      </c>
      <c r="D61" s="55" t="inlineStr">
        <is>
          <t>West</t>
        </is>
      </c>
      <c r="E61" s="55" t="inlineStr">
        <is>
          <t>Public Sector</t>
        </is>
      </c>
      <c r="F61" s="57" t="n">
        <v>89651.66</v>
      </c>
      <c r="G61" s="58" t="n">
        <v>0.2405</v>
      </c>
      <c r="H61" s="59" t="n">
        <v>68090.44</v>
      </c>
      <c r="I61" s="58" t="n">
        <v>0.3864</v>
      </c>
      <c r="J61" s="60" t="n">
        <v>5.6</v>
      </c>
      <c r="K61" s="61" t="inlineStr">
        <is>
          <t>Escalate</t>
        </is>
      </c>
      <c r="L61" s="56" t="inlineStr">
        <is>
          <t>Connection</t>
        </is>
      </c>
    </row>
    <row r="62">
      <c r="A62" s="55" t="inlineStr">
        <is>
          <t>DEAL-5243</t>
        </is>
      </c>
      <c r="B62" s="55" t="inlineStr">
        <is>
          <t>Proposal</t>
        </is>
      </c>
      <c r="C62" s="56" t="inlineStr">
        <is>
          <t>Embedded</t>
        </is>
      </c>
      <c r="D62" s="55" t="inlineStr">
        <is>
          <t>East</t>
        </is>
      </c>
      <c r="E62" s="55" t="inlineStr">
        <is>
          <t>Enterprise</t>
        </is>
      </c>
      <c r="F62" s="57" t="n">
        <v>4630648.82</v>
      </c>
      <c r="G62" s="58" t="n">
        <v>0.1846</v>
      </c>
      <c r="H62" s="59" t="n">
        <v>3775831.05</v>
      </c>
      <c r="I62" s="58" t="n">
        <v>0.3131</v>
      </c>
      <c r="J62" s="60" t="n">
        <v>5.5</v>
      </c>
      <c r="K62" s="61" t="inlineStr">
        <is>
          <t>Escalate</t>
        </is>
      </c>
      <c r="L62" s="56" t="inlineStr">
        <is>
          <t>Insight Direct</t>
        </is>
      </c>
    </row>
    <row r="63">
      <c r="A63" s="55" t="inlineStr">
        <is>
          <t>DEAL-5423</t>
        </is>
      </c>
      <c r="B63" s="55" t="inlineStr">
        <is>
          <t>Qualified</t>
        </is>
      </c>
      <c r="C63" s="56" t="inlineStr">
        <is>
          <t>Semi-Custom</t>
        </is>
      </c>
      <c r="D63" s="55" t="inlineStr">
        <is>
          <t>East</t>
        </is>
      </c>
      <c r="E63" s="55" t="inlineStr">
        <is>
          <t>Public Sector</t>
        </is>
      </c>
      <c r="F63" s="57" t="n">
        <v>3181896.69</v>
      </c>
      <c r="G63" s="58" t="n">
        <v>0.2581</v>
      </c>
      <c r="H63" s="59" t="n">
        <v>2360649.15</v>
      </c>
      <c r="I63" s="58" t="n">
        <v>0.2834</v>
      </c>
      <c r="J63" s="60" t="n">
        <v>5.5</v>
      </c>
      <c r="K63" s="61" t="inlineStr">
        <is>
          <t>Escalate</t>
        </is>
      </c>
      <c r="L63" s="56" t="inlineStr">
        <is>
          <t>SHI International</t>
        </is>
      </c>
    </row>
    <row r="64">
      <c r="A64" s="55" t="inlineStr">
        <is>
          <t>DEAL-5054</t>
        </is>
      </c>
      <c r="B64" s="55" t="inlineStr">
        <is>
          <t>Proposal</t>
        </is>
      </c>
      <c r="C64" s="56" t="inlineStr">
        <is>
          <t>GPUs</t>
        </is>
      </c>
      <c r="D64" s="55" t="inlineStr">
        <is>
          <t>West</t>
        </is>
      </c>
      <c r="E64" s="55" t="inlineStr">
        <is>
          <t>Enterprise</t>
        </is>
      </c>
      <c r="F64" s="57" t="n">
        <v>1891594.97</v>
      </c>
      <c r="G64" s="58" t="n">
        <v>0.1634</v>
      </c>
      <c r="H64" s="59" t="n">
        <v>1582508.35</v>
      </c>
      <c r="I64" s="58" t="n">
        <v>0.3411</v>
      </c>
      <c r="J64" s="60" t="n">
        <v>5.5</v>
      </c>
      <c r="K64" s="61" t="inlineStr">
        <is>
          <t>Escalate</t>
        </is>
      </c>
      <c r="L64" s="56" t="inlineStr">
        <is>
          <t>TD Synnex</t>
        </is>
      </c>
    </row>
    <row r="65">
      <c r="A65" s="55" t="inlineStr">
        <is>
          <t>DEAL-5737</t>
        </is>
      </c>
      <c r="B65" s="55" t="inlineStr">
        <is>
          <t>Prospect</t>
        </is>
      </c>
      <c r="C65" s="56" t="inlineStr">
        <is>
          <t>CPUs</t>
        </is>
      </c>
      <c r="D65" s="55" t="inlineStr">
        <is>
          <t>Central</t>
        </is>
      </c>
      <c r="E65" s="55" t="inlineStr">
        <is>
          <t>SMB</t>
        </is>
      </c>
      <c r="F65" s="57" t="n">
        <v>562902.6800000001</v>
      </c>
      <c r="G65" s="58" t="n">
        <v>0.0839</v>
      </c>
      <c r="H65" s="59" t="n">
        <v>515675.15</v>
      </c>
      <c r="I65" s="58" t="n">
        <v>0.3015</v>
      </c>
      <c r="J65" s="60" t="n">
        <v>5.5</v>
      </c>
      <c r="K65" s="61" t="inlineStr">
        <is>
          <t>Escalate</t>
        </is>
      </c>
      <c r="L65" s="56" t="inlineStr">
        <is>
          <t>Avnet</t>
        </is>
      </c>
    </row>
    <row r="66">
      <c r="A66" s="55" t="inlineStr">
        <is>
          <t>DEAL-5044</t>
        </is>
      </c>
      <c r="B66" s="55" t="inlineStr">
        <is>
          <t>Closed Won</t>
        </is>
      </c>
      <c r="C66" s="56" t="inlineStr">
        <is>
          <t>GPUs</t>
        </is>
      </c>
      <c r="D66" s="55" t="inlineStr">
        <is>
          <t>Central</t>
        </is>
      </c>
      <c r="E66" s="55" t="inlineStr">
        <is>
          <t>Enterprise</t>
        </is>
      </c>
      <c r="F66" s="57" t="n">
        <v>4018767.37</v>
      </c>
      <c r="G66" s="58" t="n">
        <v>0.2465</v>
      </c>
      <c r="H66" s="59" t="n">
        <v>3028141.21</v>
      </c>
      <c r="I66" s="58" t="n">
        <v>0.4457</v>
      </c>
      <c r="J66" s="60" t="n">
        <v>5.4</v>
      </c>
      <c r="K66" s="61" t="inlineStr">
        <is>
          <t>Escalate</t>
        </is>
      </c>
      <c r="L66" s="56" t="inlineStr">
        <is>
          <t>Avnet</t>
        </is>
      </c>
    </row>
    <row r="67">
      <c r="A67" s="55" t="inlineStr">
        <is>
          <t>DEAL-6178</t>
        </is>
      </c>
      <c r="B67" s="55" t="inlineStr">
        <is>
          <t>Negotiation</t>
        </is>
      </c>
      <c r="C67" s="56" t="inlineStr">
        <is>
          <t>Embedded</t>
        </is>
      </c>
      <c r="D67" s="55" t="inlineStr">
        <is>
          <t>South</t>
        </is>
      </c>
      <c r="E67" s="55" t="inlineStr">
        <is>
          <t>Commercial</t>
        </is>
      </c>
      <c r="F67" s="57" t="n">
        <v>3410371.86</v>
      </c>
      <c r="G67" s="58" t="n">
        <v>0.0619</v>
      </c>
      <c r="H67" s="59" t="n">
        <v>3199269.84</v>
      </c>
      <c r="I67" s="58" t="n">
        <v>0.2977</v>
      </c>
      <c r="J67" s="60" t="n">
        <v>5.3</v>
      </c>
      <c r="K67" s="61" t="inlineStr">
        <is>
          <t>Escalate</t>
        </is>
      </c>
      <c r="L67" s="56" t="inlineStr">
        <is>
          <t>Presidio</t>
        </is>
      </c>
    </row>
    <row r="68">
      <c r="A68" s="55" t="inlineStr">
        <is>
          <t>DEAL-5425</t>
        </is>
      </c>
      <c r="B68" s="55" t="inlineStr">
        <is>
          <t>Negotiation</t>
        </is>
      </c>
      <c r="C68" s="56" t="inlineStr">
        <is>
          <t>Adaptive Computing</t>
        </is>
      </c>
      <c r="D68" s="55" t="inlineStr">
        <is>
          <t>East</t>
        </is>
      </c>
      <c r="E68" s="55" t="inlineStr">
        <is>
          <t>Enterprise</t>
        </is>
      </c>
      <c r="F68" s="57" t="n">
        <v>4325712.48</v>
      </c>
      <c r="G68" s="58" t="n">
        <v>0.2391</v>
      </c>
      <c r="H68" s="59" t="n">
        <v>3291434.63</v>
      </c>
      <c r="I68" s="58" t="n">
        <v>0.4621</v>
      </c>
      <c r="J68" s="60" t="n">
        <v>5.3</v>
      </c>
      <c r="K68" s="61" t="inlineStr">
        <is>
          <t>Escalate</t>
        </is>
      </c>
      <c r="L68" s="56" t="inlineStr">
        <is>
          <t>TD Synnex</t>
        </is>
      </c>
    </row>
    <row r="69">
      <c r="A69" s="55" t="inlineStr">
        <is>
          <t>DEAL-5332</t>
        </is>
      </c>
      <c r="B69" s="55" t="inlineStr">
        <is>
          <t>Negotiation</t>
        </is>
      </c>
      <c r="C69" s="56" t="inlineStr">
        <is>
          <t>Adaptive Computing</t>
        </is>
      </c>
      <c r="D69" s="55" t="inlineStr">
        <is>
          <t>East</t>
        </is>
      </c>
      <c r="E69" s="55" t="inlineStr">
        <is>
          <t>Public Sector</t>
        </is>
      </c>
      <c r="F69" s="57" t="n">
        <v>2933427.25</v>
      </c>
      <c r="G69" s="58" t="n">
        <v>0.2469</v>
      </c>
      <c r="H69" s="59" t="n">
        <v>2209164.06</v>
      </c>
      <c r="I69" s="58" t="n">
        <v>0.4641</v>
      </c>
      <c r="J69" s="60" t="n">
        <v>5.3</v>
      </c>
      <c r="K69" s="61" t="inlineStr">
        <is>
          <t>Escalate</t>
        </is>
      </c>
      <c r="L69" s="56" t="inlineStr">
        <is>
          <t>PC Mall Gov</t>
        </is>
      </c>
    </row>
    <row r="70">
      <c r="A70" s="55" t="inlineStr">
        <is>
          <t>DEAL-5367</t>
        </is>
      </c>
      <c r="B70" s="55" t="inlineStr">
        <is>
          <t>Prospect</t>
        </is>
      </c>
      <c r="C70" s="56" t="inlineStr">
        <is>
          <t>Adaptive Computing</t>
        </is>
      </c>
      <c r="D70" s="55" t="inlineStr">
        <is>
          <t>South</t>
        </is>
      </c>
      <c r="E70" s="55" t="inlineStr">
        <is>
          <t>Enterprise</t>
        </is>
      </c>
      <c r="F70" s="57" t="n">
        <v>3563021.27</v>
      </c>
      <c r="G70" s="58" t="n">
        <v>0.2404</v>
      </c>
      <c r="H70" s="59" t="n">
        <v>2706470.96</v>
      </c>
      <c r="I70" s="58" t="n">
        <v>0.3141</v>
      </c>
      <c r="J70" s="60" t="n">
        <v>5.3</v>
      </c>
      <c r="K70" s="61" t="inlineStr">
        <is>
          <t>Escalate</t>
        </is>
      </c>
      <c r="L70" s="56" t="inlineStr">
        <is>
          <t>Insight Direct</t>
        </is>
      </c>
    </row>
    <row r="71">
      <c r="A71" s="55" t="inlineStr">
        <is>
          <t>DEAL-6120</t>
        </is>
      </c>
      <c r="B71" s="55" t="inlineStr">
        <is>
          <t>Qualified</t>
        </is>
      </c>
      <c r="C71" s="56" t="inlineStr">
        <is>
          <t>GPUs</t>
        </is>
      </c>
      <c r="D71" s="55" t="inlineStr">
        <is>
          <t>South</t>
        </is>
      </c>
      <c r="E71" s="55" t="inlineStr">
        <is>
          <t>Enterprise</t>
        </is>
      </c>
      <c r="F71" s="57" t="n">
        <v>2824675.48</v>
      </c>
      <c r="G71" s="58" t="n">
        <v>0.1205</v>
      </c>
      <c r="H71" s="59" t="n">
        <v>2484302.08</v>
      </c>
      <c r="I71" s="58" t="n">
        <v>0.3644</v>
      </c>
      <c r="J71" s="60" t="n">
        <v>5.3</v>
      </c>
      <c r="K71" s="61" t="inlineStr">
        <is>
          <t>Escalate</t>
        </is>
      </c>
      <c r="L71" s="56" t="inlineStr">
        <is>
          <t>TD Synnex</t>
        </is>
      </c>
    </row>
    <row r="72">
      <c r="A72" s="55" t="inlineStr">
        <is>
          <t>DEAL-5240</t>
        </is>
      </c>
      <c r="B72" s="55" t="inlineStr">
        <is>
          <t>Closed Won</t>
        </is>
      </c>
      <c r="C72" s="56" t="inlineStr">
        <is>
          <t>GPUs</t>
        </is>
      </c>
      <c r="D72" s="55" t="inlineStr">
        <is>
          <t>West</t>
        </is>
      </c>
      <c r="E72" s="55" t="inlineStr">
        <is>
          <t>Commercial</t>
        </is>
      </c>
      <c r="F72" s="57" t="n">
        <v>4824543.06</v>
      </c>
      <c r="G72" s="58" t="n">
        <v>0.2628</v>
      </c>
      <c r="H72" s="59" t="n">
        <v>3556653.14</v>
      </c>
      <c r="I72" s="58" t="n">
        <v>0.3056</v>
      </c>
      <c r="J72" s="60" t="n">
        <v>5.2</v>
      </c>
      <c r="K72" s="61" t="inlineStr">
        <is>
          <t>Escalate</t>
        </is>
      </c>
      <c r="L72" s="56" t="inlineStr">
        <is>
          <t>PC Mall Gov</t>
        </is>
      </c>
    </row>
    <row r="73">
      <c r="A73" s="55" t="inlineStr">
        <is>
          <t>DEAL-6001</t>
        </is>
      </c>
      <c r="B73" s="55" t="inlineStr">
        <is>
          <t>Closed Won</t>
        </is>
      </c>
      <c r="C73" s="56" t="inlineStr">
        <is>
          <t>Semi-Custom</t>
        </is>
      </c>
      <c r="D73" s="55" t="inlineStr">
        <is>
          <t>West</t>
        </is>
      </c>
      <c r="E73" s="55" t="inlineStr">
        <is>
          <t>Commercial</t>
        </is>
      </c>
      <c r="F73" s="57" t="n">
        <v>4367915.06</v>
      </c>
      <c r="G73" s="58" t="n">
        <v>0.2322</v>
      </c>
      <c r="H73" s="59" t="n">
        <v>3353685.18</v>
      </c>
      <c r="I73" s="58" t="n">
        <v>0.2844</v>
      </c>
      <c r="J73" s="60" t="n">
        <v>5.2</v>
      </c>
      <c r="K73" s="61" t="inlineStr">
        <is>
          <t>Escalate</t>
        </is>
      </c>
      <c r="L73" s="56" t="inlineStr">
        <is>
          <t>Presidio</t>
        </is>
      </c>
    </row>
    <row r="74">
      <c r="A74" s="55" t="inlineStr">
        <is>
          <t>DEAL-6172</t>
        </is>
      </c>
      <c r="B74" s="55" t="inlineStr">
        <is>
          <t>Closed Won</t>
        </is>
      </c>
      <c r="C74" s="56" t="inlineStr">
        <is>
          <t>Embedded</t>
        </is>
      </c>
      <c r="D74" s="55" t="inlineStr">
        <is>
          <t>South</t>
        </is>
      </c>
      <c r="E74" s="55" t="inlineStr">
        <is>
          <t>SMB</t>
        </is>
      </c>
      <c r="F74" s="57" t="n">
        <v>4220834.57</v>
      </c>
      <c r="G74" s="58" t="n">
        <v>0.092</v>
      </c>
      <c r="H74" s="59" t="n">
        <v>3832517.79</v>
      </c>
      <c r="I74" s="58" t="n">
        <v>0.3243</v>
      </c>
      <c r="J74" s="60" t="n">
        <v>5.2</v>
      </c>
      <c r="K74" s="61" t="inlineStr">
        <is>
          <t>Escalate</t>
        </is>
      </c>
      <c r="L74" s="56" t="inlineStr">
        <is>
          <t>Avnet</t>
        </is>
      </c>
    </row>
    <row r="75">
      <c r="A75" s="55" t="inlineStr">
        <is>
          <t>DEAL-5676</t>
        </is>
      </c>
      <c r="B75" s="55" t="inlineStr">
        <is>
          <t>Prospect</t>
        </is>
      </c>
      <c r="C75" s="56" t="inlineStr">
        <is>
          <t>CPUs</t>
        </is>
      </c>
      <c r="D75" s="55" t="inlineStr">
        <is>
          <t>East</t>
        </is>
      </c>
      <c r="E75" s="55" t="inlineStr">
        <is>
          <t>SMB</t>
        </is>
      </c>
      <c r="F75" s="57" t="n">
        <v>3294906.83</v>
      </c>
      <c r="G75" s="58" t="n">
        <v>0.2009</v>
      </c>
      <c r="H75" s="59" t="n">
        <v>2632960.05</v>
      </c>
      <c r="I75" s="58" t="n">
        <v>0.3141</v>
      </c>
      <c r="J75" s="60" t="n">
        <v>5.2</v>
      </c>
      <c r="K75" s="61" t="inlineStr">
        <is>
          <t>Escalate</t>
        </is>
      </c>
      <c r="L75" s="56" t="inlineStr">
        <is>
          <t>Insight Direct</t>
        </is>
      </c>
    </row>
    <row r="76">
      <c r="A76" s="55" t="inlineStr">
        <is>
          <t>DEAL-6115</t>
        </is>
      </c>
      <c r="B76" s="55" t="inlineStr">
        <is>
          <t>Proposal</t>
        </is>
      </c>
      <c r="C76" s="56" t="inlineStr">
        <is>
          <t>Embedded</t>
        </is>
      </c>
      <c r="D76" s="55" t="inlineStr">
        <is>
          <t>Central</t>
        </is>
      </c>
      <c r="E76" s="55" t="inlineStr">
        <is>
          <t>Commercial</t>
        </is>
      </c>
      <c r="F76" s="57" t="n">
        <v>1858469.14</v>
      </c>
      <c r="G76" s="58" t="n">
        <v>0.2573</v>
      </c>
      <c r="H76" s="59" t="n">
        <v>1380285.03</v>
      </c>
      <c r="I76" s="58" t="n">
        <v>0.41</v>
      </c>
      <c r="J76" s="60" t="n">
        <v>5.2</v>
      </c>
      <c r="K76" s="61" t="inlineStr">
        <is>
          <t>Escalate</t>
        </is>
      </c>
      <c r="L76" s="56" t="inlineStr">
        <is>
          <t>World Wide Technology</t>
        </is>
      </c>
    </row>
    <row r="77">
      <c r="A77" s="55" t="inlineStr">
        <is>
          <t>DEAL-5523</t>
        </is>
      </c>
      <c r="B77" s="55" t="inlineStr">
        <is>
          <t>Closed Lost</t>
        </is>
      </c>
      <c r="C77" s="56" t="inlineStr">
        <is>
          <t>Semi-Custom</t>
        </is>
      </c>
      <c r="D77" s="55" t="inlineStr">
        <is>
          <t>Central</t>
        </is>
      </c>
      <c r="E77" s="55" t="inlineStr">
        <is>
          <t>Commercial</t>
        </is>
      </c>
      <c r="F77" s="57" t="n">
        <v>3559384.49</v>
      </c>
      <c r="G77" s="58" t="n">
        <v>0.2991</v>
      </c>
      <c r="H77" s="59" t="n">
        <v>2494772.59</v>
      </c>
      <c r="I77" s="58" t="n">
        <v>0.4669</v>
      </c>
      <c r="J77" s="60" t="n">
        <v>5.1</v>
      </c>
      <c r="K77" s="61" t="inlineStr">
        <is>
          <t>Escalate</t>
        </is>
      </c>
      <c r="L77" s="56" t="inlineStr">
        <is>
          <t>Ingram Micro</t>
        </is>
      </c>
    </row>
    <row r="78">
      <c r="A78" s="55" t="inlineStr">
        <is>
          <t>DEAL-5994</t>
        </is>
      </c>
      <c r="B78" s="55" t="inlineStr">
        <is>
          <t>Closed Won</t>
        </is>
      </c>
      <c r="C78" s="56" t="inlineStr">
        <is>
          <t>Adaptive Computing</t>
        </is>
      </c>
      <c r="D78" s="55" t="inlineStr">
        <is>
          <t>Central</t>
        </is>
      </c>
      <c r="E78" s="55" t="inlineStr">
        <is>
          <t>Enterprise</t>
        </is>
      </c>
      <c r="F78" s="57" t="n">
        <v>189938.18</v>
      </c>
      <c r="G78" s="58" t="n">
        <v>0.0538</v>
      </c>
      <c r="H78" s="59" t="n">
        <v>179719.51</v>
      </c>
      <c r="I78" s="58" t="n">
        <v>0.3148</v>
      </c>
      <c r="J78" s="60" t="n">
        <v>5.1</v>
      </c>
      <c r="K78" s="61" t="inlineStr">
        <is>
          <t>Escalate</t>
        </is>
      </c>
      <c r="L78" s="56" t="inlineStr">
        <is>
          <t>Arrow Electronics</t>
        </is>
      </c>
    </row>
    <row r="79">
      <c r="A79" s="62" t="inlineStr">
        <is>
          <t>DEAL-5056</t>
        </is>
      </c>
      <c r="B79" s="62" t="inlineStr">
        <is>
          <t>Qualified</t>
        </is>
      </c>
      <c r="C79" s="63" t="inlineStr">
        <is>
          <t>Adaptive Computing</t>
        </is>
      </c>
      <c r="D79" s="62" t="inlineStr">
        <is>
          <t>Central</t>
        </is>
      </c>
      <c r="E79" s="62" t="inlineStr">
        <is>
          <t>Commercial</t>
        </is>
      </c>
      <c r="F79" s="64" t="n">
        <v>1256130.85</v>
      </c>
      <c r="G79" s="65" t="n">
        <v>0.203</v>
      </c>
      <c r="H79" s="66" t="n">
        <v>1001136.29</v>
      </c>
      <c r="I79" s="65" t="n">
        <v>0.4206</v>
      </c>
      <c r="J79" s="67" t="n">
        <v>5</v>
      </c>
      <c r="K79" s="68" t="inlineStr">
        <is>
          <t>Reject</t>
        </is>
      </c>
      <c r="L79" s="63" t="inlineStr">
        <is>
          <t>Trace3</t>
        </is>
      </c>
    </row>
    <row r="80">
      <c r="A80" s="62" t="inlineStr">
        <is>
          <t>DEAL-5342</t>
        </is>
      </c>
      <c r="B80" s="62" t="inlineStr">
        <is>
          <t>Closed Lost</t>
        </is>
      </c>
      <c r="C80" s="63" t="inlineStr">
        <is>
          <t>Adaptive Computing</t>
        </is>
      </c>
      <c r="D80" s="62" t="inlineStr">
        <is>
          <t>South</t>
        </is>
      </c>
      <c r="E80" s="62" t="inlineStr">
        <is>
          <t>Enterprise</t>
        </is>
      </c>
      <c r="F80" s="64" t="n">
        <v>3114525.55</v>
      </c>
      <c r="G80" s="65" t="n">
        <v>0.2733</v>
      </c>
      <c r="H80" s="66" t="n">
        <v>2263325.72</v>
      </c>
      <c r="I80" s="65" t="n">
        <v>0.407</v>
      </c>
      <c r="J80" s="67" t="n">
        <v>4.9</v>
      </c>
      <c r="K80" s="68" t="inlineStr">
        <is>
          <t>Reject</t>
        </is>
      </c>
      <c r="L80" s="63" t="inlineStr">
        <is>
          <t>World Wide Technology</t>
        </is>
      </c>
    </row>
    <row r="81">
      <c r="A81" s="62" t="inlineStr">
        <is>
          <t>DEAL-5109</t>
        </is>
      </c>
      <c r="B81" s="62" t="inlineStr">
        <is>
          <t>Closed Won</t>
        </is>
      </c>
      <c r="C81" s="63" t="inlineStr">
        <is>
          <t>Embedded</t>
        </is>
      </c>
      <c r="D81" s="62" t="inlineStr">
        <is>
          <t>South</t>
        </is>
      </c>
      <c r="E81" s="62" t="inlineStr">
        <is>
          <t>SMB</t>
        </is>
      </c>
      <c r="F81" s="64" t="n">
        <v>2878474</v>
      </c>
      <c r="G81" s="65" t="n">
        <v>0.1879</v>
      </c>
      <c r="H81" s="66" t="n">
        <v>2337608.74</v>
      </c>
      <c r="I81" s="65" t="n">
        <v>0.3932</v>
      </c>
      <c r="J81" s="67" t="n">
        <v>4.8</v>
      </c>
      <c r="K81" s="68" t="inlineStr">
        <is>
          <t>Reject</t>
        </is>
      </c>
      <c r="L81" s="63" t="inlineStr">
        <is>
          <t>Arrow Electronics</t>
        </is>
      </c>
    </row>
    <row r="82">
      <c r="A82" s="62" t="inlineStr">
        <is>
          <t>DEAL-5107</t>
        </is>
      </c>
      <c r="B82" s="62" t="inlineStr">
        <is>
          <t>Prospect</t>
        </is>
      </c>
      <c r="C82" s="63" t="inlineStr">
        <is>
          <t>Semi-Custom</t>
        </is>
      </c>
      <c r="D82" s="62" t="inlineStr">
        <is>
          <t>East</t>
        </is>
      </c>
      <c r="E82" s="62" t="inlineStr">
        <is>
          <t>Public Sector</t>
        </is>
      </c>
      <c r="F82" s="64" t="n">
        <v>2850141.72</v>
      </c>
      <c r="G82" s="65" t="n">
        <v>0.2718</v>
      </c>
      <c r="H82" s="66" t="n">
        <v>2075473.2</v>
      </c>
      <c r="I82" s="65" t="n">
        <v>0.3025</v>
      </c>
      <c r="J82" s="67" t="n">
        <v>4.8</v>
      </c>
      <c r="K82" s="68" t="inlineStr">
        <is>
          <t>Reject</t>
        </is>
      </c>
      <c r="L82" s="63" t="inlineStr">
        <is>
          <t>TD Synnex</t>
        </is>
      </c>
    </row>
    <row r="83">
      <c r="A83" s="62" t="inlineStr">
        <is>
          <t>DEAL-5277</t>
        </is>
      </c>
      <c r="B83" s="62" t="inlineStr">
        <is>
          <t>Proposal</t>
        </is>
      </c>
      <c r="C83" s="63" t="inlineStr">
        <is>
          <t>CPUs</t>
        </is>
      </c>
      <c r="D83" s="62" t="inlineStr">
        <is>
          <t>Central</t>
        </is>
      </c>
      <c r="E83" s="62" t="inlineStr">
        <is>
          <t>Enterprise</t>
        </is>
      </c>
      <c r="F83" s="64" t="n">
        <v>3914707.22</v>
      </c>
      <c r="G83" s="65" t="n">
        <v>0.177</v>
      </c>
      <c r="H83" s="66" t="n">
        <v>3221804.04</v>
      </c>
      <c r="I83" s="65" t="n">
        <v>0.3436</v>
      </c>
      <c r="J83" s="67" t="n">
        <v>4.8</v>
      </c>
      <c r="K83" s="68" t="inlineStr">
        <is>
          <t>Reject</t>
        </is>
      </c>
      <c r="L83" s="63" t="inlineStr">
        <is>
          <t>TD Synnex</t>
        </is>
      </c>
    </row>
    <row r="84">
      <c r="A84" s="62" t="inlineStr">
        <is>
          <t>DEAL-5043</t>
        </is>
      </c>
      <c r="B84" s="62" t="inlineStr">
        <is>
          <t>Qualified</t>
        </is>
      </c>
      <c r="C84" s="63" t="inlineStr">
        <is>
          <t>GPUs</t>
        </is>
      </c>
      <c r="D84" s="62" t="inlineStr">
        <is>
          <t>East</t>
        </is>
      </c>
      <c r="E84" s="62" t="inlineStr">
        <is>
          <t>Public Sector</t>
        </is>
      </c>
      <c r="F84" s="64" t="n">
        <v>2500763.85</v>
      </c>
      <c r="G84" s="65" t="n">
        <v>0.2742</v>
      </c>
      <c r="H84" s="66" t="n">
        <v>1815054.4</v>
      </c>
      <c r="I84" s="65" t="n">
        <v>0.304</v>
      </c>
      <c r="J84" s="67" t="n">
        <v>4.7</v>
      </c>
      <c r="K84" s="68" t="inlineStr">
        <is>
          <t>Reject</t>
        </is>
      </c>
      <c r="L84" s="63" t="inlineStr">
        <is>
          <t>World Wide Technology</t>
        </is>
      </c>
    </row>
    <row r="85">
      <c r="A85" s="62" t="inlineStr">
        <is>
          <t>DEAL-5942</t>
        </is>
      </c>
      <c r="B85" s="62" t="inlineStr">
        <is>
          <t>Closed Lost</t>
        </is>
      </c>
      <c r="C85" s="63" t="inlineStr">
        <is>
          <t>Adaptive Computing</t>
        </is>
      </c>
      <c r="D85" s="62" t="inlineStr">
        <is>
          <t>South</t>
        </is>
      </c>
      <c r="E85" s="62" t="inlineStr">
        <is>
          <t>SMB</t>
        </is>
      </c>
      <c r="F85" s="64" t="n">
        <v>1609470.67</v>
      </c>
      <c r="G85" s="65" t="n">
        <v>0.2634</v>
      </c>
      <c r="H85" s="66" t="n">
        <v>1185536.1</v>
      </c>
      <c r="I85" s="65" t="n">
        <v>0.408</v>
      </c>
      <c r="J85" s="67" t="n">
        <v>4.7</v>
      </c>
      <c r="K85" s="68" t="inlineStr">
        <is>
          <t>Reject</t>
        </is>
      </c>
      <c r="L85" s="63" t="inlineStr">
        <is>
          <t>Connection</t>
        </is>
      </c>
    </row>
    <row r="86">
      <c r="A86" s="62" t="inlineStr">
        <is>
          <t>DEAL-5609</t>
        </is>
      </c>
      <c r="B86" s="62" t="inlineStr">
        <is>
          <t>Proposal</t>
        </is>
      </c>
      <c r="C86" s="63" t="inlineStr">
        <is>
          <t>GPUs</t>
        </is>
      </c>
      <c r="D86" s="62" t="inlineStr">
        <is>
          <t>East</t>
        </is>
      </c>
      <c r="E86" s="62" t="inlineStr">
        <is>
          <t>Enterprise</t>
        </is>
      </c>
      <c r="F86" s="64" t="n">
        <v>2866586.66</v>
      </c>
      <c r="G86" s="65" t="n">
        <v>0.1967</v>
      </c>
      <c r="H86" s="66" t="n">
        <v>2302729.06</v>
      </c>
      <c r="I86" s="65" t="n">
        <v>0.2917</v>
      </c>
      <c r="J86" s="67" t="n">
        <v>4.6</v>
      </c>
      <c r="K86" s="68" t="inlineStr">
        <is>
          <t>Reject</t>
        </is>
      </c>
      <c r="L86" s="63" t="inlineStr">
        <is>
          <t>Insight Direct</t>
        </is>
      </c>
    </row>
    <row r="87">
      <c r="A87" s="62" t="inlineStr">
        <is>
          <t>DEAL-5210</t>
        </is>
      </c>
      <c r="B87" s="62" t="inlineStr">
        <is>
          <t>Prospect</t>
        </is>
      </c>
      <c r="C87" s="63" t="inlineStr">
        <is>
          <t>Semi-Custom</t>
        </is>
      </c>
      <c r="D87" s="62" t="inlineStr">
        <is>
          <t>Central</t>
        </is>
      </c>
      <c r="E87" s="62" t="inlineStr">
        <is>
          <t>SMB</t>
        </is>
      </c>
      <c r="F87" s="64" t="n">
        <v>344309.31</v>
      </c>
      <c r="G87" s="65" t="n">
        <v>0.2042</v>
      </c>
      <c r="H87" s="66" t="n">
        <v>274001.35</v>
      </c>
      <c r="I87" s="65" t="n">
        <v>0.3476</v>
      </c>
      <c r="J87" s="67" t="n">
        <v>4.5</v>
      </c>
      <c r="K87" s="68" t="inlineStr">
        <is>
          <t>Reject</t>
        </is>
      </c>
      <c r="L87" s="63" t="inlineStr">
        <is>
          <t>Insight Direct</t>
        </is>
      </c>
    </row>
    <row r="88">
      <c r="A88" s="62" t="inlineStr">
        <is>
          <t>DEAL-5427</t>
        </is>
      </c>
      <c r="B88" s="62" t="inlineStr">
        <is>
          <t>Qualified</t>
        </is>
      </c>
      <c r="C88" s="63" t="inlineStr">
        <is>
          <t>GPUs</t>
        </is>
      </c>
      <c r="D88" s="62" t="inlineStr">
        <is>
          <t>East</t>
        </is>
      </c>
      <c r="E88" s="62" t="inlineStr">
        <is>
          <t>Enterprise</t>
        </is>
      </c>
      <c r="F88" s="64" t="n">
        <v>2980624.85</v>
      </c>
      <c r="G88" s="65" t="n">
        <v>0.1763</v>
      </c>
      <c r="H88" s="66" t="n">
        <v>2455140.69</v>
      </c>
      <c r="I88" s="65" t="n">
        <v>0.3625</v>
      </c>
      <c r="J88" s="67" t="n">
        <v>4.5</v>
      </c>
      <c r="K88" s="68" t="inlineStr">
        <is>
          <t>Reject</t>
        </is>
      </c>
      <c r="L88" s="63" t="inlineStr">
        <is>
          <t>PC Mall Gov</t>
        </is>
      </c>
    </row>
    <row r="89">
      <c r="A89" s="62" t="inlineStr">
        <is>
          <t>DEAL-5439</t>
        </is>
      </c>
      <c r="B89" s="62" t="inlineStr">
        <is>
          <t>Proposal</t>
        </is>
      </c>
      <c r="C89" s="63" t="inlineStr">
        <is>
          <t>CPUs</t>
        </is>
      </c>
      <c r="D89" s="62" t="inlineStr">
        <is>
          <t>West</t>
        </is>
      </c>
      <c r="E89" s="62" t="inlineStr">
        <is>
          <t>Enterprise</t>
        </is>
      </c>
      <c r="F89" s="64" t="n">
        <v>3857387.76</v>
      </c>
      <c r="G89" s="65" t="n">
        <v>0.1744</v>
      </c>
      <c r="H89" s="66" t="n">
        <v>3184659.33</v>
      </c>
      <c r="I89" s="65" t="n">
        <v>0.3426</v>
      </c>
      <c r="J89" s="67" t="n">
        <v>4.3</v>
      </c>
      <c r="K89" s="68" t="inlineStr">
        <is>
          <t>Reject</t>
        </is>
      </c>
      <c r="L89" s="63" t="inlineStr">
        <is>
          <t>Trace3</t>
        </is>
      </c>
    </row>
    <row r="90">
      <c r="A90" s="62" t="inlineStr">
        <is>
          <t>DEAL-5058</t>
        </is>
      </c>
      <c r="B90" s="62" t="inlineStr">
        <is>
          <t>Closed Won</t>
        </is>
      </c>
      <c r="C90" s="63" t="inlineStr">
        <is>
          <t>Adaptive Computing</t>
        </is>
      </c>
      <c r="D90" s="62" t="inlineStr">
        <is>
          <t>West</t>
        </is>
      </c>
      <c r="E90" s="62" t="inlineStr">
        <is>
          <t>Public Sector</t>
        </is>
      </c>
      <c r="F90" s="64" t="n">
        <v>397994.16</v>
      </c>
      <c r="G90" s="65" t="n">
        <v>0.2727</v>
      </c>
      <c r="H90" s="66" t="n">
        <v>289461.15</v>
      </c>
      <c r="I90" s="65" t="n">
        <v>0.3964</v>
      </c>
      <c r="J90" s="67" t="n">
        <v>4.3</v>
      </c>
      <c r="K90" s="68" t="inlineStr">
        <is>
          <t>Reject</t>
        </is>
      </c>
      <c r="L90" s="63" t="inlineStr">
        <is>
          <t>Connection</t>
        </is>
      </c>
    </row>
    <row r="91">
      <c r="A91" s="62" t="inlineStr">
        <is>
          <t>DEAL-5354</t>
        </is>
      </c>
      <c r="B91" s="62" t="inlineStr">
        <is>
          <t>Negotiation</t>
        </is>
      </c>
      <c r="C91" s="63" t="inlineStr">
        <is>
          <t>CPUs</t>
        </is>
      </c>
      <c r="D91" s="62" t="inlineStr">
        <is>
          <t>South</t>
        </is>
      </c>
      <c r="E91" s="62" t="inlineStr">
        <is>
          <t>SMB</t>
        </is>
      </c>
      <c r="F91" s="64" t="n">
        <v>2212930.8</v>
      </c>
      <c r="G91" s="65" t="n">
        <v>0.2478</v>
      </c>
      <c r="H91" s="66" t="n">
        <v>1664566.55</v>
      </c>
      <c r="I91" s="65" t="n">
        <v>0.3321</v>
      </c>
      <c r="J91" s="67" t="n">
        <v>3.9</v>
      </c>
      <c r="K91" s="68" t="inlineStr">
        <is>
          <t>Reject</t>
        </is>
      </c>
      <c r="L91" s="63" t="inlineStr">
        <is>
          <t>Arrow Electronics</t>
        </is>
      </c>
    </row>
  </sheetData>
  <mergeCells count="3">
    <mergeCell ref="A10:L10"/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J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📊  Channel Sales Performance — FY2024 Rep Scorecard &amp; Month-End Close</t>
        </is>
      </c>
    </row>
    <row r="2" ht="6" customHeight="1"/>
    <row r="3" ht="28" customHeight="1">
      <c r="A3" s="12" t="inlineStr">
        <is>
          <t>A  |  Rep Performance vs. Quota — FY2024 Annual</t>
        </is>
      </c>
    </row>
    <row r="4" ht="34" customHeight="1">
      <c r="A4" s="13" t="inlineStr">
        <is>
          <t>Rep Name</t>
        </is>
      </c>
      <c r="B4" s="13" t="inlineStr">
        <is>
          <t>Region</t>
        </is>
      </c>
      <c r="C4" s="13" t="inlineStr">
        <is>
          <t>Segment</t>
        </is>
      </c>
      <c r="D4" s="13" t="inlineStr">
        <is>
          <t>Annual Quota</t>
        </is>
      </c>
      <c r="E4" s="13" t="inlineStr">
        <is>
          <t>Actual Revenue</t>
        </is>
      </c>
      <c r="F4" s="13" t="inlineStr">
        <is>
          <t>Attainment %</t>
        </is>
      </c>
      <c r="G4" s="13" t="inlineStr">
        <is>
          <t>Avg Deal Size</t>
        </is>
      </c>
      <c r="H4" s="13" t="inlineStr">
        <is>
          <t>Win Rate</t>
        </is>
      </c>
      <c r="I4" s="13" t="inlineStr">
        <is>
          <t>Avg Disc%</t>
        </is>
      </c>
      <c r="J4" s="13" t="inlineStr">
        <is>
          <t>Avg GM%</t>
        </is>
      </c>
    </row>
    <row r="5">
      <c r="A5" s="69" t="inlineStr">
        <is>
          <t>Tyler Brooks</t>
        </is>
      </c>
      <c r="B5" s="48" t="inlineStr">
        <is>
          <t>Central</t>
        </is>
      </c>
      <c r="C5" s="48" t="inlineStr">
        <is>
          <t>SMB</t>
        </is>
      </c>
      <c r="D5" s="70" t="n">
        <v>9661127.960000001</v>
      </c>
      <c r="E5" s="50" t="n">
        <v>12233886.34</v>
      </c>
      <c r="F5" s="71" t="n">
        <v>1.2663</v>
      </c>
      <c r="G5" s="50" t="n">
        <v>200581.67</v>
      </c>
      <c r="H5" s="51" t="n">
        <v>0.7692</v>
      </c>
      <c r="I5" s="51" t="n">
        <v>0.1242</v>
      </c>
      <c r="J5" s="51" t="n">
        <v>0.4398</v>
      </c>
    </row>
    <row r="6">
      <c r="A6" s="69" t="inlineStr">
        <is>
          <t>Mei-Lin Park</t>
        </is>
      </c>
      <c r="B6" s="48" t="inlineStr">
        <is>
          <t>East</t>
        </is>
      </c>
      <c r="C6" s="48" t="inlineStr">
        <is>
          <t>SMB</t>
        </is>
      </c>
      <c r="D6" s="70" t="n">
        <v>8287111.26</v>
      </c>
      <c r="E6" s="50" t="n">
        <v>9879894.039999999</v>
      </c>
      <c r="F6" s="71" t="n">
        <v>1.1922</v>
      </c>
      <c r="G6" s="50" t="n">
        <v>506372.47</v>
      </c>
      <c r="H6" s="51" t="n">
        <v>0.7917</v>
      </c>
      <c r="I6" s="51" t="n">
        <v>0.1786</v>
      </c>
      <c r="J6" s="51" t="n">
        <v>0.3318</v>
      </c>
    </row>
    <row r="7">
      <c r="A7" s="69" t="inlineStr">
        <is>
          <t>Sofia Delgado</t>
        </is>
      </c>
      <c r="B7" s="48" t="inlineStr">
        <is>
          <t>East</t>
        </is>
      </c>
      <c r="C7" s="48" t="inlineStr">
        <is>
          <t>Public Sector</t>
        </is>
      </c>
      <c r="D7" s="70" t="n">
        <v>6830647.89</v>
      </c>
      <c r="E7" s="50" t="n">
        <v>8043087.89</v>
      </c>
      <c r="F7" s="71" t="n">
        <v>1.1775</v>
      </c>
      <c r="G7" s="50" t="n">
        <v>238121.24</v>
      </c>
      <c r="H7" s="51" t="n">
        <v>0.6875</v>
      </c>
      <c r="I7" s="51" t="n">
        <v>0.1201</v>
      </c>
      <c r="J7" s="51" t="n">
        <v>0.3993</v>
      </c>
    </row>
    <row r="8">
      <c r="A8" s="69" t="inlineStr">
        <is>
          <t>Kenji Tanaka</t>
        </is>
      </c>
      <c r="B8" s="48" t="inlineStr">
        <is>
          <t>South</t>
        </is>
      </c>
      <c r="C8" s="48" t="inlineStr">
        <is>
          <t>Enterprise</t>
        </is>
      </c>
      <c r="D8" s="70" t="n">
        <v>11800683.39</v>
      </c>
      <c r="E8" s="50" t="n">
        <v>13472840.23</v>
      </c>
      <c r="F8" s="71" t="n">
        <v>1.1417</v>
      </c>
      <c r="G8" s="50" t="n">
        <v>547572.84</v>
      </c>
      <c r="H8" s="51" t="n">
        <v>0.75</v>
      </c>
      <c r="I8" s="51" t="n">
        <v>0.1336</v>
      </c>
      <c r="J8" s="51" t="n">
        <v>0.2831</v>
      </c>
    </row>
    <row r="9">
      <c r="A9" s="69" t="inlineStr">
        <is>
          <t>Carlos Rivera</t>
        </is>
      </c>
      <c r="B9" s="48" t="inlineStr">
        <is>
          <t>Central</t>
        </is>
      </c>
      <c r="C9" s="48" t="inlineStr">
        <is>
          <t>Enterprise</t>
        </is>
      </c>
      <c r="D9" s="70" t="n">
        <v>3177603.01</v>
      </c>
      <c r="E9" s="50" t="n">
        <v>3600859.73</v>
      </c>
      <c r="F9" s="71" t="n">
        <v>1.1332</v>
      </c>
      <c r="G9" s="50" t="n">
        <v>560002.21</v>
      </c>
      <c r="H9" s="51" t="n">
        <v>0.6</v>
      </c>
      <c r="I9" s="51" t="n">
        <v>0.1296</v>
      </c>
      <c r="J9" s="51" t="n">
        <v>0.3553</v>
      </c>
    </row>
    <row r="10">
      <c r="A10" s="72" t="inlineStr">
        <is>
          <t>Natalie Frost</t>
        </is>
      </c>
      <c r="B10" s="55" t="inlineStr">
        <is>
          <t>South</t>
        </is>
      </c>
      <c r="C10" s="55" t="inlineStr">
        <is>
          <t>SMB</t>
        </is>
      </c>
      <c r="D10" s="73" t="n">
        <v>6361838.29</v>
      </c>
      <c r="E10" s="57" t="n">
        <v>6152533.81</v>
      </c>
      <c r="F10" s="74" t="n">
        <v>0.9671</v>
      </c>
      <c r="G10" s="57" t="n">
        <v>237652.11</v>
      </c>
      <c r="H10" s="58" t="n">
        <v>0.6757</v>
      </c>
      <c r="I10" s="58" t="n">
        <v>0.1115</v>
      </c>
      <c r="J10" s="58" t="n">
        <v>0.3429</v>
      </c>
    </row>
    <row r="11">
      <c r="A11" s="72" t="inlineStr">
        <is>
          <t>Rachel Okafor</t>
        </is>
      </c>
      <c r="B11" s="55" t="inlineStr">
        <is>
          <t>South</t>
        </is>
      </c>
      <c r="C11" s="55" t="inlineStr">
        <is>
          <t>Commercial</t>
        </is>
      </c>
      <c r="D11" s="73" t="n">
        <v>4908835.06</v>
      </c>
      <c r="E11" s="57" t="n">
        <v>4643757.97</v>
      </c>
      <c r="F11" s="74" t="n">
        <v>0.946</v>
      </c>
      <c r="G11" s="57" t="n">
        <v>519285.9</v>
      </c>
      <c r="H11" s="58" t="n">
        <v>0.8</v>
      </c>
      <c r="I11" s="58" t="n">
        <v>0.2383</v>
      </c>
      <c r="J11" s="58" t="n">
        <v>0.3053</v>
      </c>
    </row>
    <row r="12">
      <c r="A12" s="72" t="inlineStr">
        <is>
          <t>Aisha Johnson</t>
        </is>
      </c>
      <c r="B12" s="55" t="inlineStr">
        <is>
          <t>Central</t>
        </is>
      </c>
      <c r="C12" s="55" t="inlineStr">
        <is>
          <t>Commercial</t>
        </is>
      </c>
      <c r="D12" s="73" t="n">
        <v>5309498.67</v>
      </c>
      <c r="E12" s="57" t="n">
        <v>4970752.65</v>
      </c>
      <c r="F12" s="74" t="n">
        <v>0.9362</v>
      </c>
      <c r="G12" s="57" t="n">
        <v>562269.66</v>
      </c>
      <c r="H12" s="58" t="n">
        <v>0.8</v>
      </c>
      <c r="I12" s="58" t="n">
        <v>0.1701</v>
      </c>
      <c r="J12" s="58" t="n">
        <v>0.4088</v>
      </c>
    </row>
    <row r="13">
      <c r="A13" s="75" t="inlineStr">
        <is>
          <t>Priya Nair</t>
        </is>
      </c>
      <c r="B13" s="62" t="inlineStr">
        <is>
          <t>West</t>
        </is>
      </c>
      <c r="C13" s="62" t="inlineStr">
        <is>
          <t>Commercial</t>
        </is>
      </c>
      <c r="D13" s="76" t="n">
        <v>10898945.43</v>
      </c>
      <c r="E13" s="64" t="n">
        <v>9150754.58</v>
      </c>
      <c r="F13" s="77" t="n">
        <v>0.8396</v>
      </c>
      <c r="G13" s="64" t="n">
        <v>190903.58</v>
      </c>
      <c r="H13" s="65" t="n">
        <v>0.7121</v>
      </c>
      <c r="I13" s="65" t="n">
        <v>0.2232</v>
      </c>
      <c r="J13" s="65" t="n">
        <v>0.3114</v>
      </c>
    </row>
    <row r="14">
      <c r="A14" s="75" t="inlineStr">
        <is>
          <t>Derek Walsh</t>
        </is>
      </c>
      <c r="B14" s="62" t="inlineStr">
        <is>
          <t>West</t>
        </is>
      </c>
      <c r="C14" s="62" t="inlineStr">
        <is>
          <t>Public Sector</t>
        </is>
      </c>
      <c r="D14" s="76" t="n">
        <v>5433641.68</v>
      </c>
      <c r="E14" s="64" t="n">
        <v>3935586.67</v>
      </c>
      <c r="F14" s="77" t="n">
        <v>0.7243000000000001</v>
      </c>
      <c r="G14" s="64" t="n">
        <v>269055.34</v>
      </c>
      <c r="H14" s="65" t="n">
        <v>0.7778</v>
      </c>
      <c r="I14" s="65" t="n">
        <v>0.1717</v>
      </c>
      <c r="J14" s="65" t="n">
        <v>0.4135</v>
      </c>
    </row>
    <row r="15">
      <c r="A15" s="75" t="inlineStr">
        <is>
          <t>Jordan Mitchell</t>
        </is>
      </c>
      <c r="B15" s="62" t="inlineStr">
        <is>
          <t>West</t>
        </is>
      </c>
      <c r="C15" s="62" t="inlineStr">
        <is>
          <t>Enterprise</t>
        </is>
      </c>
      <c r="D15" s="76" t="n">
        <v>5755518.25</v>
      </c>
      <c r="E15" s="64" t="n">
        <v>4065122.54</v>
      </c>
      <c r="F15" s="77" t="n">
        <v>0.7063</v>
      </c>
      <c r="G15" s="64" t="n">
        <v>83789.44</v>
      </c>
      <c r="H15" s="65" t="n">
        <v>0.6316000000000001</v>
      </c>
      <c r="I15" s="65" t="n">
        <v>0.1021</v>
      </c>
      <c r="J15" s="65" t="n">
        <v>0.4251</v>
      </c>
    </row>
    <row r="16">
      <c r="A16" s="75" t="inlineStr">
        <is>
          <t>Marcus Chen</t>
        </is>
      </c>
      <c r="B16" s="62" t="inlineStr">
        <is>
          <t>East</t>
        </is>
      </c>
      <c r="C16" s="62" t="inlineStr">
        <is>
          <t>Enterprise</t>
        </is>
      </c>
      <c r="D16" s="76" t="n">
        <v>8026514.56</v>
      </c>
      <c r="E16" s="64" t="n">
        <v>5416292.03</v>
      </c>
      <c r="F16" s="77" t="n">
        <v>0.6748</v>
      </c>
      <c r="G16" s="64" t="n">
        <v>505885.69</v>
      </c>
      <c r="H16" s="65" t="n">
        <v>0.5263</v>
      </c>
      <c r="I16" s="65" t="n">
        <v>0.2272</v>
      </c>
      <c r="J16" s="65" t="n">
        <v>0.3175</v>
      </c>
    </row>
    <row r="17">
      <c r="A17" s="30" t="inlineStr">
        <is>
          <t>TEAM TOTAL / AVERAGE</t>
        </is>
      </c>
      <c r="D17" s="78">
        <f>SUM(D5:D16)</f>
        <v/>
      </c>
      <c r="E17" s="78">
        <f>SUM(E5:E16)</f>
        <v/>
      </c>
      <c r="F17" s="33">
        <f>E17/D17</f>
        <v/>
      </c>
      <c r="G17" s="78">
        <f>AVERAGE(G5:G16)</f>
        <v/>
      </c>
      <c r="H17" s="33">
        <f>AVERAGE(H5:H16)</f>
        <v/>
      </c>
      <c r="I17" s="33">
        <f>AVERAGE(I5:I16)</f>
        <v/>
      </c>
      <c r="J17" s="33">
        <f>AVERAGE(J5:J16)</f>
        <v/>
      </c>
    </row>
    <row r="19" ht="28" customHeight="1">
      <c r="A19" s="12" t="inlineStr">
        <is>
          <t>B  |  Month-End Close — Actual vs. Plan Variance (FY2024)</t>
        </is>
      </c>
    </row>
    <row r="20" ht="34" customHeight="1">
      <c r="A20" s="13" t="inlineStr">
        <is>
          <t>Month</t>
        </is>
      </c>
      <c r="B20" s="13" t="inlineStr">
        <is>
          <t>Rep Name</t>
        </is>
      </c>
      <c r="C20" s="13" t="inlineStr">
        <is>
          <t>Region</t>
        </is>
      </c>
      <c r="D20" s="13" t="inlineStr">
        <is>
          <t>Plan Revenue</t>
        </is>
      </c>
      <c r="E20" s="13" t="inlineStr">
        <is>
          <t>Actual Revenue</t>
        </is>
      </c>
      <c r="F20" s="13" t="inlineStr">
        <is>
          <t>Variance $</t>
        </is>
      </c>
      <c r="G20" s="13" t="inlineStr">
        <is>
          <t>Variance %</t>
        </is>
      </c>
      <c r="H20" s="13" t="inlineStr">
        <is>
          <t>Actual Disc%</t>
        </is>
      </c>
      <c r="I20" s="13" t="inlineStr">
        <is>
          <t>Actual GM%</t>
        </is>
      </c>
      <c r="J20" s="13" t="inlineStr">
        <is>
          <t>Status</t>
        </is>
      </c>
    </row>
    <row r="21">
      <c r="A21" s="21" t="inlineStr">
        <is>
          <t>2024-10</t>
        </is>
      </c>
      <c r="B21" s="14" t="inlineStr">
        <is>
          <t>Aisha Johnson</t>
        </is>
      </c>
      <c r="C21" s="21" t="inlineStr">
        <is>
          <t>Central</t>
        </is>
      </c>
      <c r="D21" s="79" t="n">
        <v>559368.09</v>
      </c>
      <c r="E21" s="43" t="n">
        <v>490326.4</v>
      </c>
      <c r="F21" s="80" t="n">
        <v>-69041.68999999994</v>
      </c>
      <c r="G21" s="19" t="n">
        <v>-0.123428009631368</v>
      </c>
      <c r="H21" s="17" t="n">
        <v>0.2227</v>
      </c>
      <c r="I21" s="17" t="n">
        <v>0.3919</v>
      </c>
      <c r="J21" s="81" t="inlineStr">
        <is>
          <t>✗ Miss</t>
        </is>
      </c>
    </row>
    <row r="22">
      <c r="A22" s="29" t="inlineStr">
        <is>
          <t>2024-10</t>
        </is>
      </c>
      <c r="B22" s="22" t="inlineStr">
        <is>
          <t>Carlos Rivera</t>
        </is>
      </c>
      <c r="C22" s="29" t="inlineStr">
        <is>
          <t>Central</t>
        </is>
      </c>
      <c r="D22" s="82" t="n">
        <v>364793.5</v>
      </c>
      <c r="E22" s="40" t="n">
        <v>307366.88</v>
      </c>
      <c r="F22" s="83" t="n">
        <v>-57426.62</v>
      </c>
      <c r="G22" s="27" t="n">
        <v>-0.1574222676665017</v>
      </c>
      <c r="H22" s="25" t="n">
        <v>0.1053</v>
      </c>
      <c r="I22" s="25" t="n">
        <v>0.3063</v>
      </c>
      <c r="J22" s="84" t="inlineStr">
        <is>
          <t>✗ Miss</t>
        </is>
      </c>
    </row>
    <row r="23">
      <c r="A23" s="21" t="inlineStr">
        <is>
          <t>2024-10</t>
        </is>
      </c>
      <c r="B23" s="14" t="inlineStr">
        <is>
          <t>Derek Walsh</t>
        </is>
      </c>
      <c r="C23" s="21" t="inlineStr">
        <is>
          <t>West</t>
        </is>
      </c>
      <c r="D23" s="79" t="n">
        <v>441130.08</v>
      </c>
      <c r="E23" s="43" t="n">
        <v>441594.81</v>
      </c>
      <c r="F23" s="80" t="n">
        <v>464.7299999999814</v>
      </c>
      <c r="G23" s="19" t="n">
        <v>0.00105349877750341</v>
      </c>
      <c r="H23" s="17" t="n">
        <v>0.1256</v>
      </c>
      <c r="I23" s="17" t="n">
        <v>0.4137</v>
      </c>
      <c r="J23" s="81" t="inlineStr">
        <is>
          <t>✓ Beat</t>
        </is>
      </c>
    </row>
    <row r="24">
      <c r="A24" s="29" t="inlineStr">
        <is>
          <t>2024-10</t>
        </is>
      </c>
      <c r="B24" s="22" t="inlineStr">
        <is>
          <t>Jordan Mitchell</t>
        </is>
      </c>
      <c r="C24" s="29" t="inlineStr">
        <is>
          <t>West</t>
        </is>
      </c>
      <c r="D24" s="82" t="n">
        <v>429315.42</v>
      </c>
      <c r="E24" s="40" t="n">
        <v>416243.34</v>
      </c>
      <c r="F24" s="83" t="n">
        <v>-13072.07999999996</v>
      </c>
      <c r="G24" s="27" t="n">
        <v>-0.03044866173220603</v>
      </c>
      <c r="H24" s="25" t="n">
        <v>0.229</v>
      </c>
      <c r="I24" s="25" t="n">
        <v>0.2638</v>
      </c>
      <c r="J24" s="84" t="inlineStr">
        <is>
          <t>✗ Miss</t>
        </is>
      </c>
    </row>
    <row r="25">
      <c r="A25" s="21" t="inlineStr">
        <is>
          <t>2024-10</t>
        </is>
      </c>
      <c r="B25" s="14" t="inlineStr">
        <is>
          <t>Kenji Tanaka</t>
        </is>
      </c>
      <c r="C25" s="21" t="inlineStr">
        <is>
          <t>South</t>
        </is>
      </c>
      <c r="D25" s="79" t="n">
        <v>1366583.71</v>
      </c>
      <c r="E25" s="43" t="n">
        <v>1164460.66</v>
      </c>
      <c r="F25" s="80" t="n">
        <v>-202123.05</v>
      </c>
      <c r="G25" s="19" t="n">
        <v>-0.1479038924004151</v>
      </c>
      <c r="H25" s="17" t="n">
        <v>0.2495</v>
      </c>
      <c r="I25" s="17" t="n">
        <v>0.3465</v>
      </c>
      <c r="J25" s="81" t="inlineStr">
        <is>
          <t>✗ Miss</t>
        </is>
      </c>
    </row>
    <row r="26">
      <c r="A26" s="29" t="inlineStr">
        <is>
          <t>2024-10</t>
        </is>
      </c>
      <c r="B26" s="22" t="inlineStr">
        <is>
          <t>Marcus Chen</t>
        </is>
      </c>
      <c r="C26" s="29" t="inlineStr">
        <is>
          <t>East</t>
        </is>
      </c>
      <c r="D26" s="82" t="n">
        <v>576090.22</v>
      </c>
      <c r="E26" s="40" t="n">
        <v>519292.58</v>
      </c>
      <c r="F26" s="83" t="n">
        <v>-56797.63999999996</v>
      </c>
      <c r="G26" s="27" t="n">
        <v>-0.09859157129937036</v>
      </c>
      <c r="H26" s="25" t="n">
        <v>0.1973</v>
      </c>
      <c r="I26" s="25" t="n">
        <v>0.2879</v>
      </c>
      <c r="J26" s="84" t="inlineStr">
        <is>
          <t>✗ Miss</t>
        </is>
      </c>
    </row>
    <row r="27">
      <c r="A27" s="21" t="inlineStr">
        <is>
          <t>2024-10</t>
        </is>
      </c>
      <c r="B27" s="14" t="inlineStr">
        <is>
          <t>Mei-Lin Park</t>
        </is>
      </c>
      <c r="C27" s="21" t="inlineStr">
        <is>
          <t>East</t>
        </is>
      </c>
      <c r="D27" s="79" t="n">
        <v>989088.1800000001</v>
      </c>
      <c r="E27" s="43" t="n">
        <v>1249135.59</v>
      </c>
      <c r="F27" s="80" t="n">
        <v>260047.41</v>
      </c>
      <c r="G27" s="19" t="n">
        <v>0.2629163053995853</v>
      </c>
      <c r="H27" s="17" t="n">
        <v>0.2266</v>
      </c>
      <c r="I27" s="17" t="n">
        <v>0.2801</v>
      </c>
      <c r="J27" s="81" t="inlineStr">
        <is>
          <t>✓ Beat</t>
        </is>
      </c>
    </row>
    <row r="28">
      <c r="A28" s="29" t="inlineStr">
        <is>
          <t>2024-10</t>
        </is>
      </c>
      <c r="B28" s="22" t="inlineStr">
        <is>
          <t>Natalie Frost</t>
        </is>
      </c>
      <c r="C28" s="29" t="inlineStr">
        <is>
          <t>South</t>
        </is>
      </c>
      <c r="D28" s="82" t="n">
        <v>673709.53</v>
      </c>
      <c r="E28" s="40" t="n">
        <v>667545.0600000001</v>
      </c>
      <c r="F28" s="83" t="n">
        <v>-6164.469999999972</v>
      </c>
      <c r="G28" s="27" t="n">
        <v>-0.009150041264816266</v>
      </c>
      <c r="H28" s="25" t="n">
        <v>0.2094</v>
      </c>
      <c r="I28" s="25" t="n">
        <v>0.3409</v>
      </c>
      <c r="J28" s="84" t="inlineStr">
        <is>
          <t>✗ Miss</t>
        </is>
      </c>
    </row>
    <row r="29">
      <c r="A29" s="21" t="inlineStr">
        <is>
          <t>2024-10</t>
        </is>
      </c>
      <c r="B29" s="14" t="inlineStr">
        <is>
          <t>Priya Nair</t>
        </is>
      </c>
      <c r="C29" s="21" t="inlineStr">
        <is>
          <t>West</t>
        </is>
      </c>
      <c r="D29" s="79" t="n">
        <v>1079619.04</v>
      </c>
      <c r="E29" s="43" t="n">
        <v>811739.85</v>
      </c>
      <c r="F29" s="80" t="n">
        <v>-267879.1900000001</v>
      </c>
      <c r="G29" s="19" t="n">
        <v>-0.2481238104137178</v>
      </c>
      <c r="H29" s="17" t="n">
        <v>0.2053</v>
      </c>
      <c r="I29" s="17" t="n">
        <v>0.3792</v>
      </c>
      <c r="J29" s="81" t="inlineStr">
        <is>
          <t>✗ Miss</t>
        </is>
      </c>
    </row>
    <row r="30">
      <c r="A30" s="29" t="inlineStr">
        <is>
          <t>2024-10</t>
        </is>
      </c>
      <c r="B30" s="22" t="inlineStr">
        <is>
          <t>Rachel Okafor</t>
        </is>
      </c>
      <c r="C30" s="29" t="inlineStr">
        <is>
          <t>South</t>
        </is>
      </c>
      <c r="D30" s="82" t="n">
        <v>473361.16</v>
      </c>
      <c r="E30" s="40" t="n">
        <v>563020.99</v>
      </c>
      <c r="F30" s="83" t="n">
        <v>89659.83000000002</v>
      </c>
      <c r="G30" s="27" t="n">
        <v>0.1894110408213467</v>
      </c>
      <c r="H30" s="25" t="n">
        <v>0.1798</v>
      </c>
      <c r="I30" s="25" t="n">
        <v>0.3243</v>
      </c>
      <c r="J30" s="84" t="inlineStr">
        <is>
          <t>✓ Beat</t>
        </is>
      </c>
    </row>
    <row r="31">
      <c r="A31" s="21" t="inlineStr">
        <is>
          <t>2024-10</t>
        </is>
      </c>
      <c r="B31" s="14" t="inlineStr">
        <is>
          <t>Sofia Delgado</t>
        </is>
      </c>
      <c r="C31" s="21" t="inlineStr">
        <is>
          <t>East</t>
        </is>
      </c>
      <c r="D31" s="79" t="n">
        <v>916329.39</v>
      </c>
      <c r="E31" s="43" t="n">
        <v>656885.02</v>
      </c>
      <c r="F31" s="80" t="n">
        <v>-259444.37</v>
      </c>
      <c r="G31" s="19" t="n">
        <v>-0.2831343977737089</v>
      </c>
      <c r="H31" s="17" t="n">
        <v>0.1746</v>
      </c>
      <c r="I31" s="17" t="n">
        <v>0.253</v>
      </c>
      <c r="J31" s="81" t="inlineStr">
        <is>
          <t>✗ Miss</t>
        </is>
      </c>
    </row>
    <row r="32">
      <c r="A32" s="29" t="inlineStr">
        <is>
          <t>2024-10</t>
        </is>
      </c>
      <c r="B32" s="22" t="inlineStr">
        <is>
          <t>Tyler Brooks</t>
        </is>
      </c>
      <c r="C32" s="29" t="inlineStr">
        <is>
          <t>Central</t>
        </is>
      </c>
      <c r="D32" s="82" t="n">
        <v>1282794.16</v>
      </c>
      <c r="E32" s="40" t="n">
        <v>1581698.35</v>
      </c>
      <c r="F32" s="83" t="n">
        <v>298904.1900000002</v>
      </c>
      <c r="G32" s="27" t="n">
        <v>0.2330102516213515</v>
      </c>
      <c r="H32" s="25" t="n">
        <v>0.2299</v>
      </c>
      <c r="I32" s="25" t="n">
        <v>0.426</v>
      </c>
      <c r="J32" s="84" t="inlineStr">
        <is>
          <t>✓ Beat</t>
        </is>
      </c>
    </row>
    <row r="33">
      <c r="A33" s="21" t="inlineStr">
        <is>
          <t>2024-11</t>
        </is>
      </c>
      <c r="B33" s="14" t="inlineStr">
        <is>
          <t>Aisha Johnson</t>
        </is>
      </c>
      <c r="C33" s="21" t="inlineStr">
        <is>
          <t>Central</t>
        </is>
      </c>
      <c r="D33" s="79" t="n">
        <v>516285.91</v>
      </c>
      <c r="E33" s="43" t="n">
        <v>645165.4399999999</v>
      </c>
      <c r="F33" s="80" t="n">
        <v>128879.53</v>
      </c>
      <c r="G33" s="19" t="n">
        <v>0.2496282147231172</v>
      </c>
      <c r="H33" s="17" t="n">
        <v>0.1336</v>
      </c>
      <c r="I33" s="17" t="n">
        <v>0.3141</v>
      </c>
      <c r="J33" s="81" t="inlineStr">
        <is>
          <t>✓ Beat</t>
        </is>
      </c>
    </row>
    <row r="34">
      <c r="A34" s="29" t="inlineStr">
        <is>
          <t>2024-11</t>
        </is>
      </c>
      <c r="B34" s="22" t="inlineStr">
        <is>
          <t>Carlos Rivera</t>
        </is>
      </c>
      <c r="C34" s="29" t="inlineStr">
        <is>
          <t>Central</t>
        </is>
      </c>
      <c r="D34" s="82" t="n">
        <v>378403.56</v>
      </c>
      <c r="E34" s="40" t="n">
        <v>366605.37</v>
      </c>
      <c r="F34" s="83" t="n">
        <v>-11798.19</v>
      </c>
      <c r="G34" s="27" t="n">
        <v>-0.03117885571689654</v>
      </c>
      <c r="H34" s="25" t="n">
        <v>0.2321</v>
      </c>
      <c r="I34" s="25" t="n">
        <v>0.2908</v>
      </c>
      <c r="J34" s="84" t="inlineStr">
        <is>
          <t>✗ Miss</t>
        </is>
      </c>
    </row>
    <row r="35">
      <c r="A35" s="21" t="inlineStr">
        <is>
          <t>2024-11</t>
        </is>
      </c>
      <c r="B35" s="14" t="inlineStr">
        <is>
          <t>Derek Walsh</t>
        </is>
      </c>
      <c r="C35" s="21" t="inlineStr">
        <is>
          <t>West</t>
        </is>
      </c>
      <c r="D35" s="79" t="n">
        <v>406902.03</v>
      </c>
      <c r="E35" s="43" t="n">
        <v>394536.59</v>
      </c>
      <c r="F35" s="80" t="n">
        <v>-12365.44</v>
      </c>
      <c r="G35" s="19" t="n">
        <v>-0.03038923153074464</v>
      </c>
      <c r="H35" s="17" t="n">
        <v>0.1782</v>
      </c>
      <c r="I35" s="17" t="n">
        <v>0.3666</v>
      </c>
      <c r="J35" s="81" t="inlineStr">
        <is>
          <t>✗ Miss</t>
        </is>
      </c>
    </row>
    <row r="36">
      <c r="A36" s="29" t="inlineStr">
        <is>
          <t>2024-11</t>
        </is>
      </c>
      <c r="B36" s="22" t="inlineStr">
        <is>
          <t>Jordan Mitchell</t>
        </is>
      </c>
      <c r="C36" s="29" t="inlineStr">
        <is>
          <t>West</t>
        </is>
      </c>
      <c r="D36" s="82" t="n">
        <v>451396.92</v>
      </c>
      <c r="E36" s="40" t="n">
        <v>351544.99</v>
      </c>
      <c r="F36" s="83" t="n">
        <v>-99851.92999999999</v>
      </c>
      <c r="G36" s="27" t="n">
        <v>-0.2212064938325233</v>
      </c>
      <c r="H36" s="25" t="n">
        <v>0.2474</v>
      </c>
      <c r="I36" s="25" t="n">
        <v>0.3335</v>
      </c>
      <c r="J36" s="84" t="inlineStr">
        <is>
          <t>✗ Miss</t>
        </is>
      </c>
    </row>
    <row r="37">
      <c r="A37" s="21" t="inlineStr">
        <is>
          <t>2024-11</t>
        </is>
      </c>
      <c r="B37" s="14" t="inlineStr">
        <is>
          <t>Kenji Tanaka</t>
        </is>
      </c>
      <c r="C37" s="21" t="inlineStr">
        <is>
          <t>South</t>
        </is>
      </c>
      <c r="D37" s="79" t="n">
        <v>1502918.81</v>
      </c>
      <c r="E37" s="43" t="n">
        <v>1562100.77</v>
      </c>
      <c r="F37" s="80" t="n">
        <v>59181.95999999996</v>
      </c>
      <c r="G37" s="19" t="n">
        <v>0.03937801536997196</v>
      </c>
      <c r="H37" s="17" t="n">
        <v>0.1265</v>
      </c>
      <c r="I37" s="17" t="n">
        <v>0.3694</v>
      </c>
      <c r="J37" s="81" t="inlineStr">
        <is>
          <t>✓ Beat</t>
        </is>
      </c>
    </row>
    <row r="38">
      <c r="A38" s="29" t="inlineStr">
        <is>
          <t>2024-11</t>
        </is>
      </c>
      <c r="B38" s="22" t="inlineStr">
        <is>
          <t>Marcus Chen</t>
        </is>
      </c>
      <c r="C38" s="29" t="inlineStr">
        <is>
          <t>East</t>
        </is>
      </c>
      <c r="D38" s="82" t="n">
        <v>567171.55</v>
      </c>
      <c r="E38" s="40" t="n">
        <v>526791.23</v>
      </c>
      <c r="F38" s="83" t="n">
        <v>-40380.32000000007</v>
      </c>
      <c r="G38" s="27" t="n">
        <v>-0.07119595473362524</v>
      </c>
      <c r="H38" s="25" t="n">
        <v>0.239</v>
      </c>
      <c r="I38" s="25" t="n">
        <v>0.2968</v>
      </c>
      <c r="J38" s="84" t="inlineStr">
        <is>
          <t>✗ Miss</t>
        </is>
      </c>
    </row>
    <row r="39">
      <c r="A39" s="21" t="inlineStr">
        <is>
          <t>2024-11</t>
        </is>
      </c>
      <c r="B39" s="14" t="inlineStr">
        <is>
          <t>Mei-Lin Park</t>
        </is>
      </c>
      <c r="C39" s="21" t="inlineStr">
        <is>
          <t>East</t>
        </is>
      </c>
      <c r="D39" s="79" t="n">
        <v>1018851.17</v>
      </c>
      <c r="E39" s="43" t="n">
        <v>1138122.55</v>
      </c>
      <c r="F39" s="80" t="n">
        <v>119271.38</v>
      </c>
      <c r="G39" s="19" t="n">
        <v>0.117064575780975</v>
      </c>
      <c r="H39" s="17" t="n">
        <v>0.1913</v>
      </c>
      <c r="I39" s="17" t="n">
        <v>0.365</v>
      </c>
      <c r="J39" s="81" t="inlineStr">
        <is>
          <t>✓ Beat</t>
        </is>
      </c>
    </row>
    <row r="40">
      <c r="A40" s="29" t="inlineStr">
        <is>
          <t>2024-11</t>
        </is>
      </c>
      <c r="B40" s="22" t="inlineStr">
        <is>
          <t>Natalie Frost</t>
        </is>
      </c>
      <c r="C40" s="29" t="inlineStr">
        <is>
          <t>South</t>
        </is>
      </c>
      <c r="D40" s="82" t="n">
        <v>670085.87</v>
      </c>
      <c r="E40" s="40" t="n">
        <v>761534.08</v>
      </c>
      <c r="F40" s="83" t="n">
        <v>91448.20999999996</v>
      </c>
      <c r="G40" s="27" t="n">
        <v>0.1364723748017548</v>
      </c>
      <c r="H40" s="25" t="n">
        <v>0.1366</v>
      </c>
      <c r="I40" s="25" t="n">
        <v>0.3967</v>
      </c>
      <c r="J40" s="84" t="inlineStr">
        <is>
          <t>✓ Beat</t>
        </is>
      </c>
    </row>
    <row r="41">
      <c r="A41" s="21" t="inlineStr">
        <is>
          <t>2024-11</t>
        </is>
      </c>
      <c r="B41" s="14" t="inlineStr">
        <is>
          <t>Priya Nair</t>
        </is>
      </c>
      <c r="C41" s="21" t="inlineStr">
        <is>
          <t>West</t>
        </is>
      </c>
      <c r="D41" s="79" t="n">
        <v>1087630.97</v>
      </c>
      <c r="E41" s="43" t="n">
        <v>882204.9399999999</v>
      </c>
      <c r="F41" s="80" t="n">
        <v>-205426.03</v>
      </c>
      <c r="G41" s="19" t="n">
        <v>-0.188874752251676</v>
      </c>
      <c r="H41" s="17" t="n">
        <v>0.1156</v>
      </c>
      <c r="I41" s="17" t="n">
        <v>0.4126</v>
      </c>
      <c r="J41" s="81" t="inlineStr">
        <is>
          <t>✗ Miss</t>
        </is>
      </c>
    </row>
    <row r="42">
      <c r="A42" s="29" t="inlineStr">
        <is>
          <t>2024-11</t>
        </is>
      </c>
      <c r="B42" s="22" t="inlineStr">
        <is>
          <t>Rachel Okafor</t>
        </is>
      </c>
      <c r="C42" s="29" t="inlineStr">
        <is>
          <t>South</t>
        </is>
      </c>
      <c r="D42" s="82" t="n">
        <v>514657.4</v>
      </c>
      <c r="E42" s="40" t="n">
        <v>418810.74</v>
      </c>
      <c r="F42" s="83" t="n">
        <v>-95846.66000000003</v>
      </c>
      <c r="G42" s="27" t="n">
        <v>-0.1862339101701443</v>
      </c>
      <c r="H42" s="25" t="n">
        <v>0.2173</v>
      </c>
      <c r="I42" s="25" t="n">
        <v>0.3785</v>
      </c>
      <c r="J42" s="84" t="inlineStr">
        <is>
          <t>✗ Miss</t>
        </is>
      </c>
    </row>
    <row r="43">
      <c r="A43" s="21" t="inlineStr">
        <is>
          <t>2024-11</t>
        </is>
      </c>
      <c r="B43" s="14" t="inlineStr">
        <is>
          <t>Sofia Delgado</t>
        </is>
      </c>
      <c r="C43" s="21" t="inlineStr">
        <is>
          <t>East</t>
        </is>
      </c>
      <c r="D43" s="79" t="n">
        <v>832418.3199999999</v>
      </c>
      <c r="E43" s="43" t="n">
        <v>744379.42</v>
      </c>
      <c r="F43" s="80" t="n">
        <v>-88038.89999999991</v>
      </c>
      <c r="G43" s="19" t="n">
        <v>-0.1057628092567688</v>
      </c>
      <c r="H43" s="17" t="n">
        <v>0.114</v>
      </c>
      <c r="I43" s="17" t="n">
        <v>0.3952</v>
      </c>
      <c r="J43" s="81" t="inlineStr">
        <is>
          <t>✗ Miss</t>
        </is>
      </c>
    </row>
    <row r="44">
      <c r="A44" s="29" t="inlineStr">
        <is>
          <t>2024-11</t>
        </is>
      </c>
      <c r="B44" s="22" t="inlineStr">
        <is>
          <t>Tyler Brooks</t>
        </is>
      </c>
      <c r="C44" s="29" t="inlineStr">
        <is>
          <t>Central</t>
        </is>
      </c>
      <c r="D44" s="82" t="n">
        <v>1385846.57</v>
      </c>
      <c r="E44" s="40" t="n">
        <v>1465984.56</v>
      </c>
      <c r="F44" s="83" t="n">
        <v>80137.98999999999</v>
      </c>
      <c r="G44" s="27" t="n">
        <v>0.05782601893656957</v>
      </c>
      <c r="H44" s="25" t="n">
        <v>0.1039</v>
      </c>
      <c r="I44" s="25" t="n">
        <v>0.2865</v>
      </c>
      <c r="J44" s="84" t="inlineStr">
        <is>
          <t>✓ Beat</t>
        </is>
      </c>
    </row>
    <row r="45">
      <c r="A45" s="21" t="inlineStr">
        <is>
          <t>2024-12</t>
        </is>
      </c>
      <c r="B45" s="14" t="inlineStr">
        <is>
          <t>Aisha Johnson</t>
        </is>
      </c>
      <c r="C45" s="21" t="inlineStr">
        <is>
          <t>Central</t>
        </is>
      </c>
      <c r="D45" s="79" t="n">
        <v>548888.29</v>
      </c>
      <c r="E45" s="43" t="n">
        <v>591340.96</v>
      </c>
      <c r="F45" s="80" t="n">
        <v>42452.66999999993</v>
      </c>
      <c r="G45" s="19" t="n">
        <v>0.07734300544105235</v>
      </c>
      <c r="H45" s="17" t="n">
        <v>0.1647</v>
      </c>
      <c r="I45" s="17" t="n">
        <v>0.288</v>
      </c>
      <c r="J45" s="81" t="inlineStr">
        <is>
          <t>✓ Beat</t>
        </is>
      </c>
    </row>
    <row r="46">
      <c r="A46" s="29" t="inlineStr">
        <is>
          <t>2024-12</t>
        </is>
      </c>
      <c r="B46" s="22" t="inlineStr">
        <is>
          <t>Carlos Rivera</t>
        </is>
      </c>
      <c r="C46" s="29" t="inlineStr">
        <is>
          <t>Central</t>
        </is>
      </c>
      <c r="D46" s="82" t="n">
        <v>406169.05</v>
      </c>
      <c r="E46" s="40" t="n">
        <v>390045.43</v>
      </c>
      <c r="F46" s="83" t="n">
        <v>-16123.62</v>
      </c>
      <c r="G46" s="27" t="n">
        <v>-0.03969682081881915</v>
      </c>
      <c r="H46" s="25" t="n">
        <v>0.1049</v>
      </c>
      <c r="I46" s="25" t="n">
        <v>0.2786</v>
      </c>
      <c r="J46" s="84" t="inlineStr">
        <is>
          <t>✗ Miss</t>
        </is>
      </c>
    </row>
    <row r="47">
      <c r="A47" s="21" t="inlineStr">
        <is>
          <t>2024-12</t>
        </is>
      </c>
      <c r="B47" s="14" t="inlineStr">
        <is>
          <t>Derek Walsh</t>
        </is>
      </c>
      <c r="C47" s="21" t="inlineStr">
        <is>
          <t>West</t>
        </is>
      </c>
      <c r="D47" s="79" t="n">
        <v>433672.49</v>
      </c>
      <c r="E47" s="43" t="n">
        <v>502154.63</v>
      </c>
      <c r="F47" s="80" t="n">
        <v>68482.14000000001</v>
      </c>
      <c r="G47" s="19" t="n">
        <v>0.1579121147389358</v>
      </c>
      <c r="H47" s="17" t="n">
        <v>0.1309</v>
      </c>
      <c r="I47" s="17" t="n">
        <v>0.4275</v>
      </c>
      <c r="J47" s="81" t="inlineStr">
        <is>
          <t>✓ Beat</t>
        </is>
      </c>
    </row>
    <row r="48">
      <c r="A48" s="29" t="inlineStr">
        <is>
          <t>2024-12</t>
        </is>
      </c>
      <c r="B48" s="22" t="inlineStr">
        <is>
          <t>Jordan Mitchell</t>
        </is>
      </c>
      <c r="C48" s="29" t="inlineStr">
        <is>
          <t>West</t>
        </is>
      </c>
      <c r="D48" s="82" t="n">
        <v>419748.46</v>
      </c>
      <c r="E48" s="40" t="n">
        <v>332604.09</v>
      </c>
      <c r="F48" s="83" t="n">
        <v>-87144.37</v>
      </c>
      <c r="G48" s="27" t="n">
        <v>-0.2076109344153401</v>
      </c>
      <c r="H48" s="25" t="n">
        <v>0.1367</v>
      </c>
      <c r="I48" s="25" t="n">
        <v>0.2804</v>
      </c>
      <c r="J48" s="84" t="inlineStr">
        <is>
          <t>✗ Miss</t>
        </is>
      </c>
    </row>
    <row r="49">
      <c r="A49" s="21" t="inlineStr">
        <is>
          <t>2024-12</t>
        </is>
      </c>
      <c r="B49" s="14" t="inlineStr">
        <is>
          <t>Kenji Tanaka</t>
        </is>
      </c>
      <c r="C49" s="21" t="inlineStr">
        <is>
          <t>South</t>
        </is>
      </c>
      <c r="D49" s="79" t="n">
        <v>1417658.37</v>
      </c>
      <c r="E49" s="43" t="n">
        <v>1107483.58</v>
      </c>
      <c r="F49" s="80" t="n">
        <v>-310174.79</v>
      </c>
      <c r="G49" s="19" t="n">
        <v>-0.2187937493008277</v>
      </c>
      <c r="H49" s="17" t="n">
        <v>0.1184</v>
      </c>
      <c r="I49" s="17" t="n">
        <v>0.2703</v>
      </c>
      <c r="J49" s="81" t="inlineStr">
        <is>
          <t>✗ Miss</t>
        </is>
      </c>
    </row>
    <row r="50">
      <c r="A50" s="29" t="inlineStr">
        <is>
          <t>2024-12</t>
        </is>
      </c>
      <c r="B50" s="22" t="inlineStr">
        <is>
          <t>Marcus Chen</t>
        </is>
      </c>
      <c r="C50" s="29" t="inlineStr">
        <is>
          <t>East</t>
        </is>
      </c>
      <c r="D50" s="82" t="n">
        <v>592962.27</v>
      </c>
      <c r="E50" s="40" t="n">
        <v>620693.65</v>
      </c>
      <c r="F50" s="83" t="n">
        <v>27731.38</v>
      </c>
      <c r="G50" s="27" t="n">
        <v>0.04676752873332059</v>
      </c>
      <c r="H50" s="25" t="n">
        <v>0.0814</v>
      </c>
      <c r="I50" s="25" t="n">
        <v>0.3437</v>
      </c>
      <c r="J50" s="84" t="inlineStr">
        <is>
          <t>✓ Beat</t>
        </is>
      </c>
    </row>
    <row r="51">
      <c r="A51" s="21" t="inlineStr">
        <is>
          <t>2024-12</t>
        </is>
      </c>
      <c r="B51" s="14" t="inlineStr">
        <is>
          <t>Mei-Lin Park</t>
        </is>
      </c>
      <c r="C51" s="21" t="inlineStr">
        <is>
          <t>East</t>
        </is>
      </c>
      <c r="D51" s="79" t="n">
        <v>1100229.55</v>
      </c>
      <c r="E51" s="43" t="n">
        <v>1229210.56</v>
      </c>
      <c r="F51" s="80" t="n">
        <v>128981.01</v>
      </c>
      <c r="G51" s="19" t="n">
        <v>0.1172309996582077</v>
      </c>
      <c r="H51" s="17" t="n">
        <v>0.2332</v>
      </c>
      <c r="I51" s="17" t="n">
        <v>0.3301</v>
      </c>
      <c r="J51" s="81" t="inlineStr">
        <is>
          <t>✓ Beat</t>
        </is>
      </c>
    </row>
    <row r="52">
      <c r="A52" s="29" t="inlineStr">
        <is>
          <t>2024-12</t>
        </is>
      </c>
      <c r="B52" s="22" t="inlineStr">
        <is>
          <t>Natalie Frost</t>
        </is>
      </c>
      <c r="C52" s="29" t="inlineStr">
        <is>
          <t>South</t>
        </is>
      </c>
      <c r="D52" s="82" t="n">
        <v>659928.29</v>
      </c>
      <c r="E52" s="40" t="n">
        <v>602175.58</v>
      </c>
      <c r="F52" s="83" t="n">
        <v>-57752.71000000008</v>
      </c>
      <c r="G52" s="27" t="n">
        <v>-0.08751361454742314</v>
      </c>
      <c r="H52" s="25" t="n">
        <v>0.1371</v>
      </c>
      <c r="I52" s="25" t="n">
        <v>0.2931</v>
      </c>
      <c r="J52" s="84" t="inlineStr">
        <is>
          <t>✗ Miss</t>
        </is>
      </c>
    </row>
    <row r="53">
      <c r="A53" s="21" t="inlineStr">
        <is>
          <t>2024-12</t>
        </is>
      </c>
      <c r="B53" s="14" t="inlineStr">
        <is>
          <t>Priya Nair</t>
        </is>
      </c>
      <c r="C53" s="21" t="inlineStr">
        <is>
          <t>West</t>
        </is>
      </c>
      <c r="D53" s="79" t="n">
        <v>996292.09</v>
      </c>
      <c r="E53" s="43" t="n">
        <v>1135299.19</v>
      </c>
      <c r="F53" s="80" t="n">
        <v>139007.1</v>
      </c>
      <c r="G53" s="19" t="n">
        <v>0.139524444081454</v>
      </c>
      <c r="H53" s="17" t="n">
        <v>0.1457</v>
      </c>
      <c r="I53" s="17" t="n">
        <v>0.4277</v>
      </c>
      <c r="J53" s="81" t="inlineStr">
        <is>
          <t>✓ Beat</t>
        </is>
      </c>
    </row>
    <row r="54">
      <c r="A54" s="29" t="inlineStr">
        <is>
          <t>2024-12</t>
        </is>
      </c>
      <c r="B54" s="22" t="inlineStr">
        <is>
          <t>Rachel Okafor</t>
        </is>
      </c>
      <c r="C54" s="29" t="inlineStr">
        <is>
          <t>South</t>
        </is>
      </c>
      <c r="D54" s="82" t="n">
        <v>500401.37</v>
      </c>
      <c r="E54" s="40" t="n">
        <v>433580.64</v>
      </c>
      <c r="F54" s="83" t="n">
        <v>-66820.72999999998</v>
      </c>
      <c r="G54" s="27" t="n">
        <v>-0.133534266702747</v>
      </c>
      <c r="H54" s="25" t="n">
        <v>0.1162</v>
      </c>
      <c r="I54" s="25" t="n">
        <v>0.3178</v>
      </c>
      <c r="J54" s="84" t="inlineStr">
        <is>
          <t>✗ Miss</t>
        </is>
      </c>
    </row>
    <row r="55">
      <c r="A55" s="21" t="inlineStr">
        <is>
          <t>2024-12</t>
        </is>
      </c>
      <c r="B55" s="14" t="inlineStr">
        <is>
          <t>Sofia Delgado</t>
        </is>
      </c>
      <c r="C55" s="21" t="inlineStr">
        <is>
          <t>East</t>
        </is>
      </c>
      <c r="D55" s="79" t="n">
        <v>903206.55</v>
      </c>
      <c r="E55" s="43" t="n">
        <v>698303.53</v>
      </c>
      <c r="F55" s="80" t="n">
        <v>-204903.02</v>
      </c>
      <c r="G55" s="19" t="n">
        <v>-0.2268617516115223</v>
      </c>
      <c r="H55" s="17" t="n">
        <v>0.1682</v>
      </c>
      <c r="I55" s="17" t="n">
        <v>0.2834</v>
      </c>
      <c r="J55" s="81" t="inlineStr">
        <is>
          <t>✗ Miss</t>
        </is>
      </c>
    </row>
    <row r="56">
      <c r="A56" s="29" t="inlineStr">
        <is>
          <t>2024-12</t>
        </is>
      </c>
      <c r="B56" s="22" t="inlineStr">
        <is>
          <t>Tyler Brooks</t>
        </is>
      </c>
      <c r="C56" s="29" t="inlineStr">
        <is>
          <t>Central</t>
        </is>
      </c>
      <c r="D56" s="82" t="n">
        <v>1373791.58</v>
      </c>
      <c r="E56" s="40" t="n">
        <v>1048677.93</v>
      </c>
      <c r="F56" s="83" t="n">
        <v>-325113.6500000001</v>
      </c>
      <c r="G56" s="27" t="n">
        <v>-0.2366542747335809</v>
      </c>
      <c r="H56" s="25" t="n">
        <v>0.1865</v>
      </c>
      <c r="I56" s="25" t="n">
        <v>0.282</v>
      </c>
      <c r="J56" s="84" t="inlineStr">
        <is>
          <t>✗ Miss</t>
        </is>
      </c>
    </row>
  </sheetData>
  <mergeCells count="3">
    <mergeCell ref="A1:J1"/>
    <mergeCell ref="A19:J19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2026-05-18T12:39:27Z</dcterms:created>
  <dcterms:modified xmlns:dcterms="http://purl.org/dc/terms/" xmlns:xsi="http://www.w3.org/2001/XMLSchema-instance" xsi:type="dcterms:W3CDTF">2026-05-18T12:39:27Z</dcterms:modified>
</cp:coreProperties>
</file>