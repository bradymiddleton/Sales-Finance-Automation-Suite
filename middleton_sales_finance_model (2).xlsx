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Transactions" sheetId="1" state="visible" r:id="rId3"/>
    <sheet name="Data_Deals" sheetId="2" state="visible" r:id="rId4"/>
    <sheet name="Data_Reps" sheetId="3" state="visible" r:id="rId5"/>
    <sheet name="Data_Monthly" sheetId="4" state="visible" r:id="rId6"/>
    <sheet name="Assumptions" sheetId="5" state="visible" r:id="rId7"/>
    <sheet name="Pricing &amp; Rebates" sheetId="6" state="visible" r:id="rId8"/>
    <sheet name="Deal Scorecard" sheetId="7" state="visible" r:id="rId9"/>
    <sheet name="Channel Performa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<sst xmlns="http://schemas.openxmlformats.org/spreadsheetml/2006/main" count="57932" uniqueCount="7458">
  <si>
    <t xml:space="preserve">order_id</t>
  </si>
  <si>
    <t xml:space="preserve">order_date</t>
  </si>
  <si>
    <t xml:space="preserve">quarter</t>
  </si>
  <si>
    <t xml:space="preserve">rep_name</t>
  </si>
  <si>
    <t xml:space="preserve">region</t>
  </si>
  <si>
    <t xml:space="preserve">segment</t>
  </si>
  <si>
    <t xml:space="preserve">channel_partner</t>
  </si>
  <si>
    <t xml:space="preserve">product_category</t>
  </si>
  <si>
    <t xml:space="preserve">product_name</t>
  </si>
  <si>
    <t xml:space="preserve">quantity</t>
  </si>
  <si>
    <t xml:space="preserve">unit_list_price</t>
  </si>
  <si>
    <t xml:space="preserve">list_revenue</t>
  </si>
  <si>
    <t xml:space="preserve">discount_rate</t>
  </si>
  <si>
    <t xml:space="preserve">discount_amount</t>
  </si>
  <si>
    <t xml:space="preserve">net_revenue</t>
  </si>
  <si>
    <t xml:space="preserve">cogs</t>
  </si>
  <si>
    <t xml:space="preserve">gross_profit</t>
  </si>
  <si>
    <t xml:space="preserve">gross_margin_pct</t>
  </si>
  <si>
    <t xml:space="preserve">plan_discount_rate</t>
  </si>
  <si>
    <t xml:space="preserve">discount_variance_vs_plan</t>
  </si>
  <si>
    <t xml:space="preserve">ORD-10000</t>
  </si>
  <si>
    <t xml:space="preserve">2023-06-28</t>
  </si>
  <si>
    <t xml:space="preserve">Q2 2023</t>
  </si>
  <si>
    <t xml:space="preserve">Carlos Rivera</t>
  </si>
  <si>
    <t xml:space="preserve">Central</t>
  </si>
  <si>
    <t xml:space="preserve">Enterprise</t>
  </si>
  <si>
    <t xml:space="preserve">Trace3</t>
  </si>
  <si>
    <t xml:space="preserve">GPUs</t>
  </si>
  <si>
    <t xml:space="preserve">Instinct MI300X</t>
  </si>
  <si>
    <t xml:space="preserve">ORD-10001</t>
  </si>
  <si>
    <t xml:space="preserve">2025-05-09</t>
  </si>
  <si>
    <t xml:space="preserve">Q2 2025</t>
  </si>
  <si>
    <t xml:space="preserve">Jordan Mitchell</t>
  </si>
  <si>
    <t xml:space="preserve">West</t>
  </si>
  <si>
    <t xml:space="preserve">Ingram Micro</t>
  </si>
  <si>
    <t xml:space="preserve">ORD-10002</t>
  </si>
  <si>
    <t xml:space="preserve">2024-11-20</t>
  </si>
  <si>
    <t xml:space="preserve">Q4 2024</t>
  </si>
  <si>
    <t xml:space="preserve">Mei-Lin Park</t>
  </si>
  <si>
    <t xml:space="preserve">East</t>
  </si>
  <si>
    <t xml:space="preserve">SMB</t>
  </si>
  <si>
    <t xml:space="preserve">TD Synnex</t>
  </si>
  <si>
    <t xml:space="preserve">Embedded</t>
  </si>
  <si>
    <t xml:space="preserve">Versal AI Core</t>
  </si>
  <si>
    <t xml:space="preserve">ORD-10003</t>
  </si>
  <si>
    <t xml:space="preserve">2025-02-14</t>
  </si>
  <si>
    <t xml:space="preserve">Q1 2025</t>
  </si>
  <si>
    <t xml:space="preserve">Kenji Tanaka</t>
  </si>
  <si>
    <t xml:space="preserve">South</t>
  </si>
  <si>
    <t xml:space="preserve">Insight Direct</t>
  </si>
  <si>
    <t xml:space="preserve">Radeon RX 7900</t>
  </si>
  <si>
    <t xml:space="preserve">ORD-10004</t>
  </si>
  <si>
    <t xml:space="preserve">2024-04-11</t>
  </si>
  <si>
    <t xml:space="preserve">Q2 2024</t>
  </si>
  <si>
    <t xml:space="preserve">Tyler Brooks</t>
  </si>
  <si>
    <t xml:space="preserve">Presidio</t>
  </si>
  <si>
    <t xml:space="preserve">Adaptive Computing</t>
  </si>
  <si>
    <t xml:space="preserve">Alveo U250</t>
  </si>
  <si>
    <t xml:space="preserve">ORD-10005</t>
  </si>
  <si>
    <t xml:space="preserve">2023-11-30</t>
  </si>
  <si>
    <t xml:space="preserve">Q4 2023</t>
  </si>
  <si>
    <t xml:space="preserve">Priya Nair</t>
  </si>
  <si>
    <t xml:space="preserve">Commercial</t>
  </si>
  <si>
    <t xml:space="preserve">SHI International</t>
  </si>
  <si>
    <t xml:space="preserve">CPUs</t>
  </si>
  <si>
    <t xml:space="preserve">EPYC Genoa 9654</t>
  </si>
  <si>
    <t xml:space="preserve">ORD-10006</t>
  </si>
  <si>
    <t xml:space="preserve">2025-12-29</t>
  </si>
  <si>
    <t xml:space="preserve">Q4 2025</t>
  </si>
  <si>
    <t xml:space="preserve">Sofia Delgado</t>
  </si>
  <si>
    <t xml:space="preserve">Public Sector</t>
  </si>
  <si>
    <t xml:space="preserve">World Wide Technology</t>
  </si>
  <si>
    <t xml:space="preserve">Kria K26 SOM</t>
  </si>
  <si>
    <t xml:space="preserve">ORD-10007</t>
  </si>
  <si>
    <t xml:space="preserve">2024-10-26</t>
  </si>
  <si>
    <t xml:space="preserve">Marcus Chen</t>
  </si>
  <si>
    <t xml:space="preserve">CDW</t>
  </si>
  <si>
    <t xml:space="preserve">Semi-Custom</t>
  </si>
  <si>
    <t xml:space="preserve">PlayStation Custom APU</t>
  </si>
  <si>
    <t xml:space="preserve">ORD-10008</t>
  </si>
  <si>
    <t xml:space="preserve">2024-10-06</t>
  </si>
  <si>
    <t xml:space="preserve">ORD-10009</t>
  </si>
  <si>
    <t xml:space="preserve">2024-06-22</t>
  </si>
  <si>
    <t xml:space="preserve">Rachel Okafor</t>
  </si>
  <si>
    <t xml:space="preserve">Connection</t>
  </si>
  <si>
    <t xml:space="preserve">Steam Deck APU</t>
  </si>
  <si>
    <t xml:space="preserve">ORD-10010</t>
  </si>
  <si>
    <t xml:space="preserve">2023-04-07</t>
  </si>
  <si>
    <t xml:space="preserve">ORD-10011</t>
  </si>
  <si>
    <t xml:space="preserve">2024-05-29</t>
  </si>
  <si>
    <t xml:space="preserve">Ryzen Threadripper PRO</t>
  </si>
  <si>
    <t xml:space="preserve">ORD-10012</t>
  </si>
  <si>
    <t xml:space="preserve">2025-07-18</t>
  </si>
  <si>
    <t xml:space="preserve">Q3 2025</t>
  </si>
  <si>
    <t xml:space="preserve">Radeon PRO W7900</t>
  </si>
  <si>
    <t xml:space="preserve">ORD-10013</t>
  </si>
  <si>
    <t xml:space="preserve">2025-11-05</t>
  </si>
  <si>
    <t xml:space="preserve">Natalie Frost</t>
  </si>
  <si>
    <t xml:space="preserve">ORD-10014</t>
  </si>
  <si>
    <t xml:space="preserve">2025-09-27</t>
  </si>
  <si>
    <t xml:space="preserve">PC Mall Gov</t>
  </si>
  <si>
    <t xml:space="preserve">ORD-10015</t>
  </si>
  <si>
    <t xml:space="preserve">2025-09-22</t>
  </si>
  <si>
    <t xml:space="preserve">Aisha Johnson</t>
  </si>
  <si>
    <t xml:space="preserve">Arrow Electronics</t>
  </si>
  <si>
    <t xml:space="preserve">ORD-10016</t>
  </si>
  <si>
    <t xml:space="preserve">2025-12-16</t>
  </si>
  <si>
    <t xml:space="preserve">Derek Walsh</t>
  </si>
  <si>
    <t xml:space="preserve">EPYC Bergamo 9754</t>
  </si>
  <si>
    <t xml:space="preserve">ORD-10017</t>
  </si>
  <si>
    <t xml:space="preserve">2025-11-25</t>
  </si>
  <si>
    <t xml:space="preserve">ORD-10018</t>
  </si>
  <si>
    <t xml:space="preserve">2024-03-27</t>
  </si>
  <si>
    <t xml:space="preserve">Q1 2024</t>
  </si>
  <si>
    <t xml:space="preserve">ORD-10019</t>
  </si>
  <si>
    <t xml:space="preserve">2025-09-21</t>
  </si>
  <si>
    <t xml:space="preserve">Avnet</t>
  </si>
  <si>
    <t xml:space="preserve">Instinct MI250</t>
  </si>
  <si>
    <t xml:space="preserve">ORD-10020</t>
  </si>
  <si>
    <t xml:space="preserve">2023-07-18</t>
  </si>
  <si>
    <t xml:space="preserve">Q3 2023</t>
  </si>
  <si>
    <t xml:space="preserve">Alveo V80</t>
  </si>
  <si>
    <t xml:space="preserve">ORD-10021</t>
  </si>
  <si>
    <t xml:space="preserve">2023-07-21</t>
  </si>
  <si>
    <t xml:space="preserve">ORD-10022</t>
  </si>
  <si>
    <t xml:space="preserve">2024-07-24</t>
  </si>
  <si>
    <t xml:space="preserve">Q3 2024</t>
  </si>
  <si>
    <t xml:space="preserve">ORD-10023</t>
  </si>
  <si>
    <t xml:space="preserve">2024-04-29</t>
  </si>
  <si>
    <t xml:space="preserve">ORD-10024</t>
  </si>
  <si>
    <t xml:space="preserve">2025-03-10</t>
  </si>
  <si>
    <t xml:space="preserve">Xbox Custom APU</t>
  </si>
  <si>
    <t xml:space="preserve">ORD-10025</t>
  </si>
  <si>
    <t xml:space="preserve">2025-09-23</t>
  </si>
  <si>
    <t xml:space="preserve">Versal Premium</t>
  </si>
  <si>
    <t xml:space="preserve">ORD-10026</t>
  </si>
  <si>
    <t xml:space="preserve">2023-04-28</t>
  </si>
  <si>
    <t xml:space="preserve">ORD-10027</t>
  </si>
  <si>
    <t xml:space="preserve">2023-05-20</t>
  </si>
  <si>
    <t xml:space="preserve">ORD-10028</t>
  </si>
  <si>
    <t xml:space="preserve">2023-06-17</t>
  </si>
  <si>
    <t xml:space="preserve">ORD-10029</t>
  </si>
  <si>
    <t xml:space="preserve">2024-10-05</t>
  </si>
  <si>
    <t xml:space="preserve">ORD-10030</t>
  </si>
  <si>
    <t xml:space="preserve">2023-07-24</t>
  </si>
  <si>
    <t xml:space="preserve">Ryzen 9 7950X</t>
  </si>
  <si>
    <t xml:space="preserve">ORD-10031</t>
  </si>
  <si>
    <t xml:space="preserve">2023-11-20</t>
  </si>
  <si>
    <t xml:space="preserve">ORD-10032</t>
  </si>
  <si>
    <t xml:space="preserve">2024-09-05</t>
  </si>
  <si>
    <t xml:space="preserve">ORD-10033</t>
  </si>
  <si>
    <t xml:space="preserve">2024-03-07</t>
  </si>
  <si>
    <t xml:space="preserve">ORD-10034</t>
  </si>
  <si>
    <t xml:space="preserve">2025-05-17</t>
  </si>
  <si>
    <t xml:space="preserve">ORD-10035</t>
  </si>
  <si>
    <t xml:space="preserve">2023-01-20</t>
  </si>
  <si>
    <t xml:space="preserve">Q1 2023</t>
  </si>
  <si>
    <t xml:space="preserve">ORD-10036</t>
  </si>
  <si>
    <t xml:space="preserve">2023-03-27</t>
  </si>
  <si>
    <t xml:space="preserve">ORD-10037</t>
  </si>
  <si>
    <t xml:space="preserve">2025-04-12</t>
  </si>
  <si>
    <t xml:space="preserve">ORD-10038</t>
  </si>
  <si>
    <t xml:space="preserve">2024-11-11</t>
  </si>
  <si>
    <t xml:space="preserve">ORD-10039</t>
  </si>
  <si>
    <t xml:space="preserve">2024-02-13</t>
  </si>
  <si>
    <t xml:space="preserve">ORD-10040</t>
  </si>
  <si>
    <t xml:space="preserve">2023-05-23</t>
  </si>
  <si>
    <t xml:space="preserve">ORD-10041</t>
  </si>
  <si>
    <t xml:space="preserve">2023-02-26</t>
  </si>
  <si>
    <t xml:space="preserve">ORD-10042</t>
  </si>
  <si>
    <t xml:space="preserve">2025-06-12</t>
  </si>
  <si>
    <t xml:space="preserve">ORD-10043</t>
  </si>
  <si>
    <t xml:space="preserve">2023-01-04</t>
  </si>
  <si>
    <t xml:space="preserve">Radeon RX 7800</t>
  </si>
  <si>
    <t xml:space="preserve">ORD-10044</t>
  </si>
  <si>
    <t xml:space="preserve">2024-10-04</t>
  </si>
  <si>
    <t xml:space="preserve">ORD-10045</t>
  </si>
  <si>
    <t xml:space="preserve">2024-08-28</t>
  </si>
  <si>
    <t xml:space="preserve">ORD-10046</t>
  </si>
  <si>
    <t xml:space="preserve">2024-09-08</t>
  </si>
  <si>
    <t xml:space="preserve">ORD-10047</t>
  </si>
  <si>
    <t xml:space="preserve">2024-03-13</t>
  </si>
  <si>
    <t xml:space="preserve">ORD-10048</t>
  </si>
  <si>
    <t xml:space="preserve">2023-07-11</t>
  </si>
  <si>
    <t xml:space="preserve">ORD-10049</t>
  </si>
  <si>
    <t xml:space="preserve">2023-05-30</t>
  </si>
  <si>
    <t xml:space="preserve">ORD-10050</t>
  </si>
  <si>
    <t xml:space="preserve">2023-01-12</t>
  </si>
  <si>
    <t xml:space="preserve">Alveo U55C</t>
  </si>
  <si>
    <t xml:space="preserve">ORD-10051</t>
  </si>
  <si>
    <t xml:space="preserve">2024-05-25</t>
  </si>
  <si>
    <t xml:space="preserve">ORD-10052</t>
  </si>
  <si>
    <t xml:space="preserve">2025-06-25</t>
  </si>
  <si>
    <t xml:space="preserve">ORD-10053</t>
  </si>
  <si>
    <t xml:space="preserve">2025-08-30</t>
  </si>
  <si>
    <t xml:space="preserve">ORD-10054</t>
  </si>
  <si>
    <t xml:space="preserve">2024-08-08</t>
  </si>
  <si>
    <t xml:space="preserve">ORD-10055</t>
  </si>
  <si>
    <t xml:space="preserve">2024-03-14</t>
  </si>
  <si>
    <t xml:space="preserve">ORD-10056</t>
  </si>
  <si>
    <t xml:space="preserve">2023-02-10</t>
  </si>
  <si>
    <t xml:space="preserve">ORD-10057</t>
  </si>
  <si>
    <t xml:space="preserve">2025-05-08</t>
  </si>
  <si>
    <t xml:space="preserve">ORD-10058</t>
  </si>
  <si>
    <t xml:space="preserve">2024-11-19</t>
  </si>
  <si>
    <t xml:space="preserve">ORD-10059</t>
  </si>
  <si>
    <t xml:space="preserve">2023-02-25</t>
  </si>
  <si>
    <t xml:space="preserve">ORD-10060</t>
  </si>
  <si>
    <t xml:space="preserve">2025-02-15</t>
  </si>
  <si>
    <t xml:space="preserve">ORD-10061</t>
  </si>
  <si>
    <t xml:space="preserve">2024-04-04</t>
  </si>
  <si>
    <t xml:space="preserve">ORD-10062</t>
  </si>
  <si>
    <t xml:space="preserve">2023-08-23</t>
  </si>
  <si>
    <t xml:space="preserve">ORD-10063</t>
  </si>
  <si>
    <t xml:space="preserve">ORD-10064</t>
  </si>
  <si>
    <t xml:space="preserve">2025-02-07</t>
  </si>
  <si>
    <t xml:space="preserve">ORD-10065</t>
  </si>
  <si>
    <t xml:space="preserve">2024-09-09</t>
  </si>
  <si>
    <t xml:space="preserve">ORD-10066</t>
  </si>
  <si>
    <t xml:space="preserve">2024-11-29</t>
  </si>
  <si>
    <t xml:space="preserve">ORD-10067</t>
  </si>
  <si>
    <t xml:space="preserve">2023-11-10</t>
  </si>
  <si>
    <t xml:space="preserve">ORD-10068</t>
  </si>
  <si>
    <t xml:space="preserve">2025-08-10</t>
  </si>
  <si>
    <t xml:space="preserve">ORD-10069</t>
  </si>
  <si>
    <t xml:space="preserve">2025-07-12</t>
  </si>
  <si>
    <t xml:space="preserve">ORD-10070</t>
  </si>
  <si>
    <t xml:space="preserve">2024-10-27</t>
  </si>
  <si>
    <t xml:space="preserve">ORD-10071</t>
  </si>
  <si>
    <t xml:space="preserve">2024-07-19</t>
  </si>
  <si>
    <t xml:space="preserve">ORD-10072</t>
  </si>
  <si>
    <t xml:space="preserve">2025-09-02</t>
  </si>
  <si>
    <t xml:space="preserve">ORD-10073</t>
  </si>
  <si>
    <t xml:space="preserve">2025-01-25</t>
  </si>
  <si>
    <t xml:space="preserve">ORD-10074</t>
  </si>
  <si>
    <t xml:space="preserve">2024-07-08</t>
  </si>
  <si>
    <t xml:space="preserve">ORD-10075</t>
  </si>
  <si>
    <t xml:space="preserve">2024-01-15</t>
  </si>
  <si>
    <t xml:space="preserve">ORD-10076</t>
  </si>
  <si>
    <t xml:space="preserve">2024-08-02</t>
  </si>
  <si>
    <t xml:space="preserve">ORD-10077</t>
  </si>
  <si>
    <t xml:space="preserve">2023-09-17</t>
  </si>
  <si>
    <t xml:space="preserve">ORD-10078</t>
  </si>
  <si>
    <t xml:space="preserve">2023-01-26</t>
  </si>
  <si>
    <t xml:space="preserve">ORD-10079</t>
  </si>
  <si>
    <t xml:space="preserve">2025-09-05</t>
  </si>
  <si>
    <t xml:space="preserve">ORD-10080</t>
  </si>
  <si>
    <t xml:space="preserve">2024-09-14</t>
  </si>
  <si>
    <t xml:space="preserve">ORD-10081</t>
  </si>
  <si>
    <t xml:space="preserve">2025-12-06</t>
  </si>
  <si>
    <t xml:space="preserve">ORD-10082</t>
  </si>
  <si>
    <t xml:space="preserve">2023-07-23</t>
  </si>
  <si>
    <t xml:space="preserve">ORD-10083</t>
  </si>
  <si>
    <t xml:space="preserve">2023-06-03</t>
  </si>
  <si>
    <t xml:space="preserve">ORD-10084</t>
  </si>
  <si>
    <t xml:space="preserve">ORD-10085</t>
  </si>
  <si>
    <t xml:space="preserve">2024-04-05</t>
  </si>
  <si>
    <t xml:space="preserve">ORD-10086</t>
  </si>
  <si>
    <t xml:space="preserve">2024-08-14</t>
  </si>
  <si>
    <t xml:space="preserve">ORD-10087</t>
  </si>
  <si>
    <t xml:space="preserve">2025-06-15</t>
  </si>
  <si>
    <t xml:space="preserve">ORD-10088</t>
  </si>
  <si>
    <t xml:space="preserve">2023-02-12</t>
  </si>
  <si>
    <t xml:space="preserve">ORD-10089</t>
  </si>
  <si>
    <t xml:space="preserve">2024-01-07</t>
  </si>
  <si>
    <t xml:space="preserve">ORD-10090</t>
  </si>
  <si>
    <t xml:space="preserve">2023-11-26</t>
  </si>
  <si>
    <t xml:space="preserve">ORD-10091</t>
  </si>
  <si>
    <t xml:space="preserve">2025-07-20</t>
  </si>
  <si>
    <t xml:space="preserve">ORD-10092</t>
  </si>
  <si>
    <t xml:space="preserve">2025-08-04</t>
  </si>
  <si>
    <t xml:space="preserve">ORD-10093</t>
  </si>
  <si>
    <t xml:space="preserve">2023-04-16</t>
  </si>
  <si>
    <t xml:space="preserve">ORD-10094</t>
  </si>
  <si>
    <t xml:space="preserve">2024-05-05</t>
  </si>
  <si>
    <t xml:space="preserve">ORD-10095</t>
  </si>
  <si>
    <t xml:space="preserve">2023-08-21</t>
  </si>
  <si>
    <t xml:space="preserve">ORD-10096</t>
  </si>
  <si>
    <t xml:space="preserve">2025-09-15</t>
  </si>
  <si>
    <t xml:space="preserve">ORD-10097</t>
  </si>
  <si>
    <t xml:space="preserve">ORD-10098</t>
  </si>
  <si>
    <t xml:space="preserve">2025-09-29</t>
  </si>
  <si>
    <t xml:space="preserve">ORD-10099</t>
  </si>
  <si>
    <t xml:space="preserve">2025-07-21</t>
  </si>
  <si>
    <t xml:space="preserve">ORD-10100</t>
  </si>
  <si>
    <t xml:space="preserve">2025-02-19</t>
  </si>
  <si>
    <t xml:space="preserve">ORD-10101</t>
  </si>
  <si>
    <t xml:space="preserve">ORD-10102</t>
  </si>
  <si>
    <t xml:space="preserve">2024-06-26</t>
  </si>
  <si>
    <t xml:space="preserve">ORD-10103</t>
  </si>
  <si>
    <t xml:space="preserve">2024-10-10</t>
  </si>
  <si>
    <t xml:space="preserve">ORD-10104</t>
  </si>
  <si>
    <t xml:space="preserve">2024-08-11</t>
  </si>
  <si>
    <t xml:space="preserve">ORD-10105</t>
  </si>
  <si>
    <t xml:space="preserve">ORD-10106</t>
  </si>
  <si>
    <t xml:space="preserve">2024-01-04</t>
  </si>
  <si>
    <t xml:space="preserve">ORD-10107</t>
  </si>
  <si>
    <t xml:space="preserve">2023-10-21</t>
  </si>
  <si>
    <t xml:space="preserve">ORD-10108</t>
  </si>
  <si>
    <t xml:space="preserve">ORD-10109</t>
  </si>
  <si>
    <t xml:space="preserve">2024-09-10</t>
  </si>
  <si>
    <t xml:space="preserve">ORD-10110</t>
  </si>
  <si>
    <t xml:space="preserve">2025-03-21</t>
  </si>
  <si>
    <t xml:space="preserve">ORD-10111</t>
  </si>
  <si>
    <t xml:space="preserve">2024-04-16</t>
  </si>
  <si>
    <t xml:space="preserve">ORD-10112</t>
  </si>
  <si>
    <t xml:space="preserve">2023-10-08</t>
  </si>
  <si>
    <t xml:space="preserve">ORD-10113</t>
  </si>
  <si>
    <t xml:space="preserve">2024-08-27</t>
  </si>
  <si>
    <t xml:space="preserve">ORD-10114</t>
  </si>
  <si>
    <t xml:space="preserve">2024-06-10</t>
  </si>
  <si>
    <t xml:space="preserve">ORD-10115</t>
  </si>
  <si>
    <t xml:space="preserve">2023-10-16</t>
  </si>
  <si>
    <t xml:space="preserve">ORD-10116</t>
  </si>
  <si>
    <t xml:space="preserve">2023-09-11</t>
  </si>
  <si>
    <t xml:space="preserve">ORD-10117</t>
  </si>
  <si>
    <t xml:space="preserve">2023-02-21</t>
  </si>
  <si>
    <t xml:space="preserve">ORD-10118</t>
  </si>
  <si>
    <t xml:space="preserve">ORD-10119</t>
  </si>
  <si>
    <t xml:space="preserve">2023-10-05</t>
  </si>
  <si>
    <t xml:space="preserve">ORD-10120</t>
  </si>
  <si>
    <t xml:space="preserve">2023-07-22</t>
  </si>
  <si>
    <t xml:space="preserve">ORD-10121</t>
  </si>
  <si>
    <t xml:space="preserve">2025-01-12</t>
  </si>
  <si>
    <t xml:space="preserve">ORD-10122</t>
  </si>
  <si>
    <t xml:space="preserve">ORD-10123</t>
  </si>
  <si>
    <t xml:space="preserve">2024-02-25</t>
  </si>
  <si>
    <t xml:space="preserve">ORD-10124</t>
  </si>
  <si>
    <t xml:space="preserve">2024-07-21</t>
  </si>
  <si>
    <t xml:space="preserve">ORD-10125</t>
  </si>
  <si>
    <t xml:space="preserve">2024-10-25</t>
  </si>
  <si>
    <t xml:space="preserve">ORD-10126</t>
  </si>
  <si>
    <t xml:space="preserve">ORD-10127</t>
  </si>
  <si>
    <t xml:space="preserve">2025-12-03</t>
  </si>
  <si>
    <t xml:space="preserve">ORD-10128</t>
  </si>
  <si>
    <t xml:space="preserve">2025-06-27</t>
  </si>
  <si>
    <t xml:space="preserve">ORD-10129</t>
  </si>
  <si>
    <t xml:space="preserve">ORD-10130</t>
  </si>
  <si>
    <t xml:space="preserve">ORD-10131</t>
  </si>
  <si>
    <t xml:space="preserve">2023-07-14</t>
  </si>
  <si>
    <t xml:space="preserve">ORD-10132</t>
  </si>
  <si>
    <t xml:space="preserve">2023-07-10</t>
  </si>
  <si>
    <t xml:space="preserve">ORD-10133</t>
  </si>
  <si>
    <t xml:space="preserve">2023-09-08</t>
  </si>
  <si>
    <t xml:space="preserve">ORD-10134</t>
  </si>
  <si>
    <t xml:space="preserve">2023-11-13</t>
  </si>
  <si>
    <t xml:space="preserve">ORD-10135</t>
  </si>
  <si>
    <t xml:space="preserve">2024-04-08</t>
  </si>
  <si>
    <t xml:space="preserve">ORD-10136</t>
  </si>
  <si>
    <t xml:space="preserve">2024-07-01</t>
  </si>
  <si>
    <t xml:space="preserve">ORD-10137</t>
  </si>
  <si>
    <t xml:space="preserve">2025-03-31</t>
  </si>
  <si>
    <t xml:space="preserve">ORD-10138</t>
  </si>
  <si>
    <t xml:space="preserve">ORD-10139</t>
  </si>
  <si>
    <t xml:space="preserve">2023-04-12</t>
  </si>
  <si>
    <t xml:space="preserve">ORD-10140</t>
  </si>
  <si>
    <t xml:space="preserve">2024-03-17</t>
  </si>
  <si>
    <t xml:space="preserve">ORD-10141</t>
  </si>
  <si>
    <t xml:space="preserve">2024-09-23</t>
  </si>
  <si>
    <t xml:space="preserve">ORD-10142</t>
  </si>
  <si>
    <t xml:space="preserve">2023-09-03</t>
  </si>
  <si>
    <t xml:space="preserve">ORD-10143</t>
  </si>
  <si>
    <t xml:space="preserve">2024-12-26</t>
  </si>
  <si>
    <t xml:space="preserve">ORD-10144</t>
  </si>
  <si>
    <t xml:space="preserve">2025-04-08</t>
  </si>
  <si>
    <t xml:space="preserve">ORD-10145</t>
  </si>
  <si>
    <t xml:space="preserve">2025-07-31</t>
  </si>
  <si>
    <t xml:space="preserve">ORD-10146</t>
  </si>
  <si>
    <t xml:space="preserve">2024-09-27</t>
  </si>
  <si>
    <t xml:space="preserve">ORD-10147</t>
  </si>
  <si>
    <t xml:space="preserve">2024-12-16</t>
  </si>
  <si>
    <t xml:space="preserve">ORD-10148</t>
  </si>
  <si>
    <t xml:space="preserve">2023-06-04</t>
  </si>
  <si>
    <t xml:space="preserve">ORD-10149</t>
  </si>
  <si>
    <t xml:space="preserve">2024-10-23</t>
  </si>
  <si>
    <t xml:space="preserve">ORD-10150</t>
  </si>
  <si>
    <t xml:space="preserve">2023-04-26</t>
  </si>
  <si>
    <t xml:space="preserve">ORD-10151</t>
  </si>
  <si>
    <t xml:space="preserve">2023-06-07</t>
  </si>
  <si>
    <t xml:space="preserve">ORD-10152</t>
  </si>
  <si>
    <t xml:space="preserve">2023-03-26</t>
  </si>
  <si>
    <t xml:space="preserve">ORD-10153</t>
  </si>
  <si>
    <t xml:space="preserve">2025-07-11</t>
  </si>
  <si>
    <t xml:space="preserve">ORD-10154</t>
  </si>
  <si>
    <t xml:space="preserve">2025-06-18</t>
  </si>
  <si>
    <t xml:space="preserve">ORD-10155</t>
  </si>
  <si>
    <t xml:space="preserve">2024-11-23</t>
  </si>
  <si>
    <t xml:space="preserve">ORD-10156</t>
  </si>
  <si>
    <t xml:space="preserve">2023-11-04</t>
  </si>
  <si>
    <t xml:space="preserve">ORD-10157</t>
  </si>
  <si>
    <t xml:space="preserve">2023-09-22</t>
  </si>
  <si>
    <t xml:space="preserve">ORD-10158</t>
  </si>
  <si>
    <t xml:space="preserve">2025-12-14</t>
  </si>
  <si>
    <t xml:space="preserve">ORD-10159</t>
  </si>
  <si>
    <t xml:space="preserve">ORD-10160</t>
  </si>
  <si>
    <t xml:space="preserve">ORD-10161</t>
  </si>
  <si>
    <t xml:space="preserve">2023-12-06</t>
  </si>
  <si>
    <t xml:space="preserve">ORD-10162</t>
  </si>
  <si>
    <t xml:space="preserve">2025-07-08</t>
  </si>
  <si>
    <t xml:space="preserve">ORD-10163</t>
  </si>
  <si>
    <t xml:space="preserve">2024-07-31</t>
  </si>
  <si>
    <t xml:space="preserve">ORD-10164</t>
  </si>
  <si>
    <t xml:space="preserve">2025-09-11</t>
  </si>
  <si>
    <t xml:space="preserve">ORD-10165</t>
  </si>
  <si>
    <t xml:space="preserve">2025-11-17</t>
  </si>
  <si>
    <t xml:space="preserve">ORD-10166</t>
  </si>
  <si>
    <t xml:space="preserve">2025-02-04</t>
  </si>
  <si>
    <t xml:space="preserve">ORD-10167</t>
  </si>
  <si>
    <t xml:space="preserve">2023-10-27</t>
  </si>
  <si>
    <t xml:space="preserve">ORD-10168</t>
  </si>
  <si>
    <t xml:space="preserve">2023-06-12</t>
  </si>
  <si>
    <t xml:space="preserve">ORD-10169</t>
  </si>
  <si>
    <t xml:space="preserve">ORD-10170</t>
  </si>
  <si>
    <t xml:space="preserve">2025-11-21</t>
  </si>
  <si>
    <t xml:space="preserve">ORD-10171</t>
  </si>
  <si>
    <t xml:space="preserve">2025-05-03</t>
  </si>
  <si>
    <t xml:space="preserve">ORD-10172</t>
  </si>
  <si>
    <t xml:space="preserve">ORD-10173</t>
  </si>
  <si>
    <t xml:space="preserve">2023-05-19</t>
  </si>
  <si>
    <t xml:space="preserve">ORD-10174</t>
  </si>
  <si>
    <t xml:space="preserve">2024-11-24</t>
  </si>
  <si>
    <t xml:space="preserve">ORD-10175</t>
  </si>
  <si>
    <t xml:space="preserve">2025-07-26</t>
  </si>
  <si>
    <t xml:space="preserve">ORD-10176</t>
  </si>
  <si>
    <t xml:space="preserve">2025-08-27</t>
  </si>
  <si>
    <t xml:space="preserve">ORD-10177</t>
  </si>
  <si>
    <t xml:space="preserve">2023-09-12</t>
  </si>
  <si>
    <t xml:space="preserve">ORD-10178</t>
  </si>
  <si>
    <t xml:space="preserve">2025-10-15</t>
  </si>
  <si>
    <t xml:space="preserve">ORD-10179</t>
  </si>
  <si>
    <t xml:space="preserve">2024-01-05</t>
  </si>
  <si>
    <t xml:space="preserve">ORD-10180</t>
  </si>
  <si>
    <t xml:space="preserve">2025-05-22</t>
  </si>
  <si>
    <t xml:space="preserve">ORD-10181</t>
  </si>
  <si>
    <t xml:space="preserve">ORD-10182</t>
  </si>
  <si>
    <t xml:space="preserve">2025-06-16</t>
  </si>
  <si>
    <t xml:space="preserve">ORD-10183</t>
  </si>
  <si>
    <t xml:space="preserve">2023-11-11</t>
  </si>
  <si>
    <t xml:space="preserve">ORD-10184</t>
  </si>
  <si>
    <t xml:space="preserve">ORD-10185</t>
  </si>
  <si>
    <t xml:space="preserve">2024-06-17</t>
  </si>
  <si>
    <t xml:space="preserve">ORD-10186</t>
  </si>
  <si>
    <t xml:space="preserve">ORD-10187</t>
  </si>
  <si>
    <t xml:space="preserve">2024-08-17</t>
  </si>
  <si>
    <t xml:space="preserve">ORD-10188</t>
  </si>
  <si>
    <t xml:space="preserve">2025-10-08</t>
  </si>
  <si>
    <t xml:space="preserve">ORD-10189</t>
  </si>
  <si>
    <t xml:space="preserve">2023-06-26</t>
  </si>
  <si>
    <t xml:space="preserve">ORD-10190</t>
  </si>
  <si>
    <t xml:space="preserve">2023-06-01</t>
  </si>
  <si>
    <t xml:space="preserve">ORD-10191</t>
  </si>
  <si>
    <t xml:space="preserve">ORD-10192</t>
  </si>
  <si>
    <t xml:space="preserve">2025-11-28</t>
  </si>
  <si>
    <t xml:space="preserve">ORD-10193</t>
  </si>
  <si>
    <t xml:space="preserve">2024-09-12</t>
  </si>
  <si>
    <t xml:space="preserve">ORD-10194</t>
  </si>
  <si>
    <t xml:space="preserve">2024-11-22</t>
  </si>
  <si>
    <t xml:space="preserve">ORD-10195</t>
  </si>
  <si>
    <t xml:space="preserve">ORD-10196</t>
  </si>
  <si>
    <t xml:space="preserve">2024-05-16</t>
  </si>
  <si>
    <t xml:space="preserve">ORD-10197</t>
  </si>
  <si>
    <t xml:space="preserve">2025-08-09</t>
  </si>
  <si>
    <t xml:space="preserve">ORD-10198</t>
  </si>
  <si>
    <t xml:space="preserve">2023-09-25</t>
  </si>
  <si>
    <t xml:space="preserve">ORD-10199</t>
  </si>
  <si>
    <t xml:space="preserve">2024-05-22</t>
  </si>
  <si>
    <t xml:space="preserve">ORD-10200</t>
  </si>
  <si>
    <t xml:space="preserve">2024-10-02</t>
  </si>
  <si>
    <t xml:space="preserve">ORD-10201</t>
  </si>
  <si>
    <t xml:space="preserve">2025-03-16</t>
  </si>
  <si>
    <t xml:space="preserve">ORD-10202</t>
  </si>
  <si>
    <t xml:space="preserve">2025-08-21</t>
  </si>
  <si>
    <t xml:space="preserve">ORD-10203</t>
  </si>
  <si>
    <t xml:space="preserve">2023-04-15</t>
  </si>
  <si>
    <t xml:space="preserve">ORD-10204</t>
  </si>
  <si>
    <t xml:space="preserve">2024-07-26</t>
  </si>
  <si>
    <t xml:space="preserve">ORD-10205</t>
  </si>
  <si>
    <t xml:space="preserve">2025-01-18</t>
  </si>
  <si>
    <t xml:space="preserve">ORD-10206</t>
  </si>
  <si>
    <t xml:space="preserve">2024-11-13</t>
  </si>
  <si>
    <t xml:space="preserve">ORD-10207</t>
  </si>
  <si>
    <t xml:space="preserve">2024-10-14</t>
  </si>
  <si>
    <t xml:space="preserve">ORD-10208</t>
  </si>
  <si>
    <t xml:space="preserve">ORD-10209</t>
  </si>
  <si>
    <t xml:space="preserve">2023-02-24</t>
  </si>
  <si>
    <t xml:space="preserve">ORD-10210</t>
  </si>
  <si>
    <t xml:space="preserve">2025-02-17</t>
  </si>
  <si>
    <t xml:space="preserve">ORD-10211</t>
  </si>
  <si>
    <t xml:space="preserve">2025-05-07</t>
  </si>
  <si>
    <t xml:space="preserve">ORD-10212</t>
  </si>
  <si>
    <t xml:space="preserve">2023-05-08</t>
  </si>
  <si>
    <t xml:space="preserve">ORD-10213</t>
  </si>
  <si>
    <t xml:space="preserve">2023-12-21</t>
  </si>
  <si>
    <t xml:space="preserve">ORD-10214</t>
  </si>
  <si>
    <t xml:space="preserve">2024-06-25</t>
  </si>
  <si>
    <t xml:space="preserve">ORD-10215</t>
  </si>
  <si>
    <t xml:space="preserve">2024-02-29</t>
  </si>
  <si>
    <t xml:space="preserve">ORD-10216</t>
  </si>
  <si>
    <t xml:space="preserve">2023-09-07</t>
  </si>
  <si>
    <t xml:space="preserve">ORD-10217</t>
  </si>
  <si>
    <t xml:space="preserve">2024-08-12</t>
  </si>
  <si>
    <t xml:space="preserve">ORD-10218</t>
  </si>
  <si>
    <t xml:space="preserve">2024-07-09</t>
  </si>
  <si>
    <t xml:space="preserve">ORD-10219</t>
  </si>
  <si>
    <t xml:space="preserve">2025-12-23</t>
  </si>
  <si>
    <t xml:space="preserve">ORD-10220</t>
  </si>
  <si>
    <t xml:space="preserve">2023-10-09</t>
  </si>
  <si>
    <t xml:space="preserve">ORD-10221</t>
  </si>
  <si>
    <t xml:space="preserve">ORD-10222</t>
  </si>
  <si>
    <t xml:space="preserve">2024-04-20</t>
  </si>
  <si>
    <t xml:space="preserve">ORD-10223</t>
  </si>
  <si>
    <t xml:space="preserve">2023-03-16</t>
  </si>
  <si>
    <t xml:space="preserve">ORD-10224</t>
  </si>
  <si>
    <t xml:space="preserve">2023-08-08</t>
  </si>
  <si>
    <t xml:space="preserve">ORD-10225</t>
  </si>
  <si>
    <t xml:space="preserve">2023-10-02</t>
  </si>
  <si>
    <t xml:space="preserve">ORD-10226</t>
  </si>
  <si>
    <t xml:space="preserve">2024-01-17</t>
  </si>
  <si>
    <t xml:space="preserve">ORD-10227</t>
  </si>
  <si>
    <t xml:space="preserve">2025-04-10</t>
  </si>
  <si>
    <t xml:space="preserve">ORD-10228</t>
  </si>
  <si>
    <t xml:space="preserve">2025-09-04</t>
  </si>
  <si>
    <t xml:space="preserve">ORD-10229</t>
  </si>
  <si>
    <t xml:space="preserve">2024-11-06</t>
  </si>
  <si>
    <t xml:space="preserve">ORD-10230</t>
  </si>
  <si>
    <t xml:space="preserve">2023-08-31</t>
  </si>
  <si>
    <t xml:space="preserve">ORD-10231</t>
  </si>
  <si>
    <t xml:space="preserve">ORD-10232</t>
  </si>
  <si>
    <t xml:space="preserve">ORD-10233</t>
  </si>
  <si>
    <t xml:space="preserve">ORD-10234</t>
  </si>
  <si>
    <t xml:space="preserve">2024-02-19</t>
  </si>
  <si>
    <t xml:space="preserve">ORD-10235</t>
  </si>
  <si>
    <t xml:space="preserve">2023-07-06</t>
  </si>
  <si>
    <t xml:space="preserve">ORD-10236</t>
  </si>
  <si>
    <t xml:space="preserve">ORD-10237</t>
  </si>
  <si>
    <t xml:space="preserve">2023-05-11</t>
  </si>
  <si>
    <t xml:space="preserve">ORD-10238</t>
  </si>
  <si>
    <t xml:space="preserve">2025-05-10</t>
  </si>
  <si>
    <t xml:space="preserve">ORD-10239</t>
  </si>
  <si>
    <t xml:space="preserve">2024-12-13</t>
  </si>
  <si>
    <t xml:space="preserve">ORD-10240</t>
  </si>
  <si>
    <t xml:space="preserve">2024-09-03</t>
  </si>
  <si>
    <t xml:space="preserve">ORD-10241</t>
  </si>
  <si>
    <t xml:space="preserve">2024-12-09</t>
  </si>
  <si>
    <t xml:space="preserve">ORD-10242</t>
  </si>
  <si>
    <t xml:space="preserve">2023-02-02</t>
  </si>
  <si>
    <t xml:space="preserve">ORD-10243</t>
  </si>
  <si>
    <t xml:space="preserve">2023-04-01</t>
  </si>
  <si>
    <t xml:space="preserve">ORD-10244</t>
  </si>
  <si>
    <t xml:space="preserve">2024-10-15</t>
  </si>
  <si>
    <t xml:space="preserve">ORD-10245</t>
  </si>
  <si>
    <t xml:space="preserve">2024-07-17</t>
  </si>
  <si>
    <t xml:space="preserve">ORD-10246</t>
  </si>
  <si>
    <t xml:space="preserve">ORD-10247</t>
  </si>
  <si>
    <t xml:space="preserve">2024-04-06</t>
  </si>
  <si>
    <t xml:space="preserve">ORD-10248</t>
  </si>
  <si>
    <t xml:space="preserve">2024-05-12</t>
  </si>
  <si>
    <t xml:space="preserve">ORD-10249</t>
  </si>
  <si>
    <t xml:space="preserve">ORD-10250</t>
  </si>
  <si>
    <t xml:space="preserve">2024-03-20</t>
  </si>
  <si>
    <t xml:space="preserve">ORD-10251</t>
  </si>
  <si>
    <t xml:space="preserve">2025-09-07</t>
  </si>
  <si>
    <t xml:space="preserve">ORD-10252</t>
  </si>
  <si>
    <t xml:space="preserve">2025-02-18</t>
  </si>
  <si>
    <t xml:space="preserve">ORD-10253</t>
  </si>
  <si>
    <t xml:space="preserve">2025-08-19</t>
  </si>
  <si>
    <t xml:space="preserve">ORD-10254</t>
  </si>
  <si>
    <t xml:space="preserve">2023-10-26</t>
  </si>
  <si>
    <t xml:space="preserve">ORD-10255</t>
  </si>
  <si>
    <t xml:space="preserve">ORD-10256</t>
  </si>
  <si>
    <t xml:space="preserve">ORD-10257</t>
  </si>
  <si>
    <t xml:space="preserve">2023-05-01</t>
  </si>
  <si>
    <t xml:space="preserve">ORD-10258</t>
  </si>
  <si>
    <t xml:space="preserve">2023-11-06</t>
  </si>
  <si>
    <t xml:space="preserve">ORD-10259</t>
  </si>
  <si>
    <t xml:space="preserve">2025-09-26</t>
  </si>
  <si>
    <t xml:space="preserve">ORD-10260</t>
  </si>
  <si>
    <t xml:space="preserve">2023-02-05</t>
  </si>
  <si>
    <t xml:space="preserve">ORD-10261</t>
  </si>
  <si>
    <t xml:space="preserve">ORD-10262</t>
  </si>
  <si>
    <t xml:space="preserve">2024-04-07</t>
  </si>
  <si>
    <t xml:space="preserve">ORD-10263</t>
  </si>
  <si>
    <t xml:space="preserve">ORD-10264</t>
  </si>
  <si>
    <t xml:space="preserve">2023-07-15</t>
  </si>
  <si>
    <t xml:space="preserve">ORD-10265</t>
  </si>
  <si>
    <t xml:space="preserve">2024-07-28</t>
  </si>
  <si>
    <t xml:space="preserve">ORD-10266</t>
  </si>
  <si>
    <t xml:space="preserve">2025-03-26</t>
  </si>
  <si>
    <t xml:space="preserve">ORD-10267</t>
  </si>
  <si>
    <t xml:space="preserve">2024-11-10</t>
  </si>
  <si>
    <t xml:space="preserve">ORD-10268</t>
  </si>
  <si>
    <t xml:space="preserve">2025-06-14</t>
  </si>
  <si>
    <t xml:space="preserve">ORD-10269</t>
  </si>
  <si>
    <t xml:space="preserve">2024-10-30</t>
  </si>
  <si>
    <t xml:space="preserve">ORD-10270</t>
  </si>
  <si>
    <t xml:space="preserve">ORD-10271</t>
  </si>
  <si>
    <t xml:space="preserve">2023-11-12</t>
  </si>
  <si>
    <t xml:space="preserve">ORD-10272</t>
  </si>
  <si>
    <t xml:space="preserve">2023-07-29</t>
  </si>
  <si>
    <t xml:space="preserve">ORD-10273</t>
  </si>
  <si>
    <t xml:space="preserve">ORD-10274</t>
  </si>
  <si>
    <t xml:space="preserve">ORD-10275</t>
  </si>
  <si>
    <t xml:space="preserve">2025-05-12</t>
  </si>
  <si>
    <t xml:space="preserve">ORD-10276</t>
  </si>
  <si>
    <t xml:space="preserve">ORD-10277</t>
  </si>
  <si>
    <t xml:space="preserve">2023-10-06</t>
  </si>
  <si>
    <t xml:space="preserve">ORD-10278</t>
  </si>
  <si>
    <t xml:space="preserve">2024-08-19</t>
  </si>
  <si>
    <t xml:space="preserve">ORD-10279</t>
  </si>
  <si>
    <t xml:space="preserve">2024-02-14</t>
  </si>
  <si>
    <t xml:space="preserve">ORD-10280</t>
  </si>
  <si>
    <t xml:space="preserve">ORD-10281</t>
  </si>
  <si>
    <t xml:space="preserve">ORD-10282</t>
  </si>
  <si>
    <t xml:space="preserve">2025-05-06</t>
  </si>
  <si>
    <t xml:space="preserve">ORD-10283</t>
  </si>
  <si>
    <t xml:space="preserve">2024-12-28</t>
  </si>
  <si>
    <t xml:space="preserve">ORD-10284</t>
  </si>
  <si>
    <t xml:space="preserve">ORD-10285</t>
  </si>
  <si>
    <t xml:space="preserve">2024-03-28</t>
  </si>
  <si>
    <t xml:space="preserve">ORD-10286</t>
  </si>
  <si>
    <t xml:space="preserve">2023-08-03</t>
  </si>
  <si>
    <t xml:space="preserve">ORD-10287</t>
  </si>
  <si>
    <t xml:space="preserve">ORD-10288</t>
  </si>
  <si>
    <t xml:space="preserve">2023-04-02</t>
  </si>
  <si>
    <t xml:space="preserve">ORD-10289</t>
  </si>
  <si>
    <t xml:space="preserve">2024-05-14</t>
  </si>
  <si>
    <t xml:space="preserve">ORD-10290</t>
  </si>
  <si>
    <t xml:space="preserve">2025-04-09</t>
  </si>
  <si>
    <t xml:space="preserve">ORD-10291</t>
  </si>
  <si>
    <t xml:space="preserve">2024-03-15</t>
  </si>
  <si>
    <t xml:space="preserve">ORD-10292</t>
  </si>
  <si>
    <t xml:space="preserve">ORD-10293</t>
  </si>
  <si>
    <t xml:space="preserve">ORD-10294</t>
  </si>
  <si>
    <t xml:space="preserve">2023-06-23</t>
  </si>
  <si>
    <t xml:space="preserve">ORD-10295</t>
  </si>
  <si>
    <t xml:space="preserve">2025-11-12</t>
  </si>
  <si>
    <t xml:space="preserve">ORD-10296</t>
  </si>
  <si>
    <t xml:space="preserve">ORD-10297</t>
  </si>
  <si>
    <t xml:space="preserve">ORD-10298</t>
  </si>
  <si>
    <t xml:space="preserve">2025-05-01</t>
  </si>
  <si>
    <t xml:space="preserve">ORD-10299</t>
  </si>
  <si>
    <t xml:space="preserve">ORD-10300</t>
  </si>
  <si>
    <t xml:space="preserve">2023-08-22</t>
  </si>
  <si>
    <t xml:space="preserve">ORD-10301</t>
  </si>
  <si>
    <t xml:space="preserve">ORD-10302</t>
  </si>
  <si>
    <t xml:space="preserve">2023-08-29</t>
  </si>
  <si>
    <t xml:space="preserve">ORD-10303</t>
  </si>
  <si>
    <t xml:space="preserve">2023-10-13</t>
  </si>
  <si>
    <t xml:space="preserve">ORD-10304</t>
  </si>
  <si>
    <t xml:space="preserve">2024-10-24</t>
  </si>
  <si>
    <t xml:space="preserve">ORD-10305</t>
  </si>
  <si>
    <t xml:space="preserve">ORD-10306</t>
  </si>
  <si>
    <t xml:space="preserve">2024-05-21</t>
  </si>
  <si>
    <t xml:space="preserve">ORD-10307</t>
  </si>
  <si>
    <t xml:space="preserve">ORD-10308</t>
  </si>
  <si>
    <t xml:space="preserve">2023-01-06</t>
  </si>
  <si>
    <t xml:space="preserve">ORD-10309</t>
  </si>
  <si>
    <t xml:space="preserve">2025-12-30</t>
  </si>
  <si>
    <t xml:space="preserve">ORD-10310</t>
  </si>
  <si>
    <t xml:space="preserve">2025-09-20</t>
  </si>
  <si>
    <t xml:space="preserve">ORD-10311</t>
  </si>
  <si>
    <t xml:space="preserve">2025-07-23</t>
  </si>
  <si>
    <t xml:space="preserve">ORD-10312</t>
  </si>
  <si>
    <t xml:space="preserve">2023-06-18</t>
  </si>
  <si>
    <t xml:space="preserve">ORD-10313</t>
  </si>
  <si>
    <t xml:space="preserve">ORD-10314</t>
  </si>
  <si>
    <t xml:space="preserve">2024-12-04</t>
  </si>
  <si>
    <t xml:space="preserve">ORD-10315</t>
  </si>
  <si>
    <t xml:space="preserve">2024-09-04</t>
  </si>
  <si>
    <t xml:space="preserve">ORD-10316</t>
  </si>
  <si>
    <t xml:space="preserve">2024-03-12</t>
  </si>
  <si>
    <t xml:space="preserve">ORD-10317</t>
  </si>
  <si>
    <t xml:space="preserve">2023-09-10</t>
  </si>
  <si>
    <t xml:space="preserve">ORD-10318</t>
  </si>
  <si>
    <t xml:space="preserve">2024-08-06</t>
  </si>
  <si>
    <t xml:space="preserve">ORD-10319</t>
  </si>
  <si>
    <t xml:space="preserve">2023-04-22</t>
  </si>
  <si>
    <t xml:space="preserve">ORD-10320</t>
  </si>
  <si>
    <t xml:space="preserve">2023-01-25</t>
  </si>
  <si>
    <t xml:space="preserve">ORD-10321</t>
  </si>
  <si>
    <t xml:space="preserve">2025-08-22</t>
  </si>
  <si>
    <t xml:space="preserve">ORD-10322</t>
  </si>
  <si>
    <t xml:space="preserve">ORD-10323</t>
  </si>
  <si>
    <t xml:space="preserve">2023-11-09</t>
  </si>
  <si>
    <t xml:space="preserve">ORD-10324</t>
  </si>
  <si>
    <t xml:space="preserve">2023-05-16</t>
  </si>
  <si>
    <t xml:space="preserve">ORD-10325</t>
  </si>
  <si>
    <t xml:space="preserve">2023-12-26</t>
  </si>
  <si>
    <t xml:space="preserve">ORD-10326</t>
  </si>
  <si>
    <t xml:space="preserve">2024-06-14</t>
  </si>
  <si>
    <t xml:space="preserve">ORD-10327</t>
  </si>
  <si>
    <t xml:space="preserve">ORD-10328</t>
  </si>
  <si>
    <t xml:space="preserve">2023-12-08</t>
  </si>
  <si>
    <t xml:space="preserve">ORD-10329</t>
  </si>
  <si>
    <t xml:space="preserve">ORD-10330</t>
  </si>
  <si>
    <t xml:space="preserve">2023-03-14</t>
  </si>
  <si>
    <t xml:space="preserve">ORD-10331</t>
  </si>
  <si>
    <t xml:space="preserve">2023-06-09</t>
  </si>
  <si>
    <t xml:space="preserve">ORD-10332</t>
  </si>
  <si>
    <t xml:space="preserve">2023-05-22</t>
  </si>
  <si>
    <t xml:space="preserve">ORD-10333</t>
  </si>
  <si>
    <t xml:space="preserve">ORD-10334</t>
  </si>
  <si>
    <t xml:space="preserve">2024-05-17</t>
  </si>
  <si>
    <t xml:space="preserve">ORD-10335</t>
  </si>
  <si>
    <t xml:space="preserve">2023-01-03</t>
  </si>
  <si>
    <t xml:space="preserve">ORD-10336</t>
  </si>
  <si>
    <t xml:space="preserve">2023-10-19</t>
  </si>
  <si>
    <t xml:space="preserve">ORD-10337</t>
  </si>
  <si>
    <t xml:space="preserve">ORD-10338</t>
  </si>
  <si>
    <t xml:space="preserve">ORD-10339</t>
  </si>
  <si>
    <t xml:space="preserve">2023-06-02</t>
  </si>
  <si>
    <t xml:space="preserve">ORD-10340</t>
  </si>
  <si>
    <t xml:space="preserve">2024-03-01</t>
  </si>
  <si>
    <t xml:space="preserve">ORD-10341</t>
  </si>
  <si>
    <t xml:space="preserve">2023-03-24</t>
  </si>
  <si>
    <t xml:space="preserve">ORD-10342</t>
  </si>
  <si>
    <t xml:space="preserve">2023-04-11</t>
  </si>
  <si>
    <t xml:space="preserve">ORD-10343</t>
  </si>
  <si>
    <t xml:space="preserve">2024-05-26</t>
  </si>
  <si>
    <t xml:space="preserve">ORD-10344</t>
  </si>
  <si>
    <t xml:space="preserve">ORD-10345</t>
  </si>
  <si>
    <t xml:space="preserve">ORD-10346</t>
  </si>
  <si>
    <t xml:space="preserve">2025-03-19</t>
  </si>
  <si>
    <t xml:space="preserve">ORD-10347</t>
  </si>
  <si>
    <t xml:space="preserve">2023-11-01</t>
  </si>
  <si>
    <t xml:space="preserve">ORD-10348</t>
  </si>
  <si>
    <t xml:space="preserve">2025-09-08</t>
  </si>
  <si>
    <t xml:space="preserve">ORD-10349</t>
  </si>
  <si>
    <t xml:space="preserve">2023-02-09</t>
  </si>
  <si>
    <t xml:space="preserve">ORD-10350</t>
  </si>
  <si>
    <t xml:space="preserve">2025-10-25</t>
  </si>
  <si>
    <t xml:space="preserve">ORD-10351</t>
  </si>
  <si>
    <t xml:space="preserve">2024-07-29</t>
  </si>
  <si>
    <t xml:space="preserve">ORD-10352</t>
  </si>
  <si>
    <t xml:space="preserve">2024-05-08</t>
  </si>
  <si>
    <t xml:space="preserve">ORD-10353</t>
  </si>
  <si>
    <t xml:space="preserve">2023-12-22</t>
  </si>
  <si>
    <t xml:space="preserve">ORD-10354</t>
  </si>
  <si>
    <t xml:space="preserve">2024-12-21</t>
  </si>
  <si>
    <t xml:space="preserve">ORD-10355</t>
  </si>
  <si>
    <t xml:space="preserve">2023-07-04</t>
  </si>
  <si>
    <t xml:space="preserve">ORD-10356</t>
  </si>
  <si>
    <t xml:space="preserve">2024-02-17</t>
  </si>
  <si>
    <t xml:space="preserve">ORD-10357</t>
  </si>
  <si>
    <t xml:space="preserve">2023-08-16</t>
  </si>
  <si>
    <t xml:space="preserve">ORD-10358</t>
  </si>
  <si>
    <t xml:space="preserve">ORD-10359</t>
  </si>
  <si>
    <t xml:space="preserve">2024-12-31</t>
  </si>
  <si>
    <t xml:space="preserve">ORD-10360</t>
  </si>
  <si>
    <t xml:space="preserve">ORD-10361</t>
  </si>
  <si>
    <t xml:space="preserve">ORD-10362</t>
  </si>
  <si>
    <t xml:space="preserve">2024-10-16</t>
  </si>
  <si>
    <t xml:space="preserve">ORD-10363</t>
  </si>
  <si>
    <t xml:space="preserve">2023-08-10</t>
  </si>
  <si>
    <t xml:space="preserve">ORD-10364</t>
  </si>
  <si>
    <t xml:space="preserve">ORD-10365</t>
  </si>
  <si>
    <t xml:space="preserve">2023-03-10</t>
  </si>
  <si>
    <t xml:space="preserve">ORD-10366</t>
  </si>
  <si>
    <t xml:space="preserve">ORD-10367</t>
  </si>
  <si>
    <t xml:space="preserve">2023-11-18</t>
  </si>
  <si>
    <t xml:space="preserve">ORD-10368</t>
  </si>
  <si>
    <t xml:space="preserve">2024-06-27</t>
  </si>
  <si>
    <t xml:space="preserve">ORD-10369</t>
  </si>
  <si>
    <t xml:space="preserve">2025-01-08</t>
  </si>
  <si>
    <t xml:space="preserve">ORD-10370</t>
  </si>
  <si>
    <t xml:space="preserve">2024-02-28</t>
  </si>
  <si>
    <t xml:space="preserve">ORD-10371</t>
  </si>
  <si>
    <t xml:space="preserve">ORD-10372</t>
  </si>
  <si>
    <t xml:space="preserve">ORD-10373</t>
  </si>
  <si>
    <t xml:space="preserve">ORD-10374</t>
  </si>
  <si>
    <t xml:space="preserve">ORD-10375</t>
  </si>
  <si>
    <t xml:space="preserve">2023-03-13</t>
  </si>
  <si>
    <t xml:space="preserve">ORD-10376</t>
  </si>
  <si>
    <t xml:space="preserve">2023-12-09</t>
  </si>
  <si>
    <t xml:space="preserve">ORD-10377</t>
  </si>
  <si>
    <t xml:space="preserve">2023-10-30</t>
  </si>
  <si>
    <t xml:space="preserve">ORD-10378</t>
  </si>
  <si>
    <t xml:space="preserve">ORD-10379</t>
  </si>
  <si>
    <t xml:space="preserve">2023-07-25</t>
  </si>
  <si>
    <t xml:space="preserve">ORD-10380</t>
  </si>
  <si>
    <t xml:space="preserve">ORD-10381</t>
  </si>
  <si>
    <t xml:space="preserve">2025-04-02</t>
  </si>
  <si>
    <t xml:space="preserve">ORD-10382</t>
  </si>
  <si>
    <t xml:space="preserve">2023-02-11</t>
  </si>
  <si>
    <t xml:space="preserve">ORD-10383</t>
  </si>
  <si>
    <t xml:space="preserve">ORD-10384</t>
  </si>
  <si>
    <t xml:space="preserve">2024-01-20</t>
  </si>
  <si>
    <t xml:space="preserve">ORD-10385</t>
  </si>
  <si>
    <t xml:space="preserve">2025-11-03</t>
  </si>
  <si>
    <t xml:space="preserve">ORD-10386</t>
  </si>
  <si>
    <t xml:space="preserve">ORD-10387</t>
  </si>
  <si>
    <t xml:space="preserve">ORD-10388</t>
  </si>
  <si>
    <t xml:space="preserve">2024-12-17</t>
  </si>
  <si>
    <t xml:space="preserve">ORD-10389</t>
  </si>
  <si>
    <t xml:space="preserve">ORD-10390</t>
  </si>
  <si>
    <t xml:space="preserve">2023-01-19</t>
  </si>
  <si>
    <t xml:space="preserve">ORD-10391</t>
  </si>
  <si>
    <t xml:space="preserve">2025-02-10</t>
  </si>
  <si>
    <t xml:space="preserve">ORD-10392</t>
  </si>
  <si>
    <t xml:space="preserve">2025-03-24</t>
  </si>
  <si>
    <t xml:space="preserve">ORD-10393</t>
  </si>
  <si>
    <t xml:space="preserve">ORD-10394</t>
  </si>
  <si>
    <t xml:space="preserve">ORD-10395</t>
  </si>
  <si>
    <t xml:space="preserve">2023-02-22</t>
  </si>
  <si>
    <t xml:space="preserve">ORD-10396</t>
  </si>
  <si>
    <t xml:space="preserve">2024-01-24</t>
  </si>
  <si>
    <t xml:space="preserve">ORD-10397</t>
  </si>
  <si>
    <t xml:space="preserve">2024-01-06</t>
  </si>
  <si>
    <t xml:space="preserve">ORD-10398</t>
  </si>
  <si>
    <t xml:space="preserve">2024-11-18</t>
  </si>
  <si>
    <t xml:space="preserve">ORD-10399</t>
  </si>
  <si>
    <t xml:space="preserve">2024-11-09</t>
  </si>
  <si>
    <t xml:space="preserve">ORD-10400</t>
  </si>
  <si>
    <t xml:space="preserve">2023-05-26</t>
  </si>
  <si>
    <t xml:space="preserve">ORD-10401</t>
  </si>
  <si>
    <t xml:space="preserve">2023-11-05</t>
  </si>
  <si>
    <t xml:space="preserve">ORD-10402</t>
  </si>
  <si>
    <t xml:space="preserve">ORD-10403</t>
  </si>
  <si>
    <t xml:space="preserve">2023-12-12</t>
  </si>
  <si>
    <t xml:space="preserve">ORD-10404</t>
  </si>
  <si>
    <t xml:space="preserve">2023-01-10</t>
  </si>
  <si>
    <t xml:space="preserve">ORD-10405</t>
  </si>
  <si>
    <t xml:space="preserve">2023-01-09</t>
  </si>
  <si>
    <t xml:space="preserve">ORD-10406</t>
  </si>
  <si>
    <t xml:space="preserve">2024-09-18</t>
  </si>
  <si>
    <t xml:space="preserve">ORD-10407</t>
  </si>
  <si>
    <t xml:space="preserve">ORD-10408</t>
  </si>
  <si>
    <t xml:space="preserve">2023-09-26</t>
  </si>
  <si>
    <t xml:space="preserve">ORD-10409</t>
  </si>
  <si>
    <t xml:space="preserve">2024-06-07</t>
  </si>
  <si>
    <t xml:space="preserve">ORD-10410</t>
  </si>
  <si>
    <t xml:space="preserve">2023-08-26</t>
  </si>
  <si>
    <t xml:space="preserve">ORD-10411</t>
  </si>
  <si>
    <t xml:space="preserve">ORD-10412</t>
  </si>
  <si>
    <t xml:space="preserve">ORD-10413</t>
  </si>
  <si>
    <t xml:space="preserve">ORD-10414</t>
  </si>
  <si>
    <t xml:space="preserve">ORD-10415</t>
  </si>
  <si>
    <t xml:space="preserve">ORD-10416</t>
  </si>
  <si>
    <t xml:space="preserve">2025-07-24</t>
  </si>
  <si>
    <t xml:space="preserve">ORD-10417</t>
  </si>
  <si>
    <t xml:space="preserve">2025-01-07</t>
  </si>
  <si>
    <t xml:space="preserve">ORD-10418</t>
  </si>
  <si>
    <t xml:space="preserve">2023-10-11</t>
  </si>
  <si>
    <t xml:space="preserve">ORD-10419</t>
  </si>
  <si>
    <t xml:space="preserve">2024-12-02</t>
  </si>
  <si>
    <t xml:space="preserve">ORD-10420</t>
  </si>
  <si>
    <t xml:space="preserve">ORD-10421</t>
  </si>
  <si>
    <t xml:space="preserve">ORD-10422</t>
  </si>
  <si>
    <t xml:space="preserve">2023-08-20</t>
  </si>
  <si>
    <t xml:space="preserve">ORD-10423</t>
  </si>
  <si>
    <t xml:space="preserve">2025-12-10</t>
  </si>
  <si>
    <t xml:space="preserve">ORD-10424</t>
  </si>
  <si>
    <t xml:space="preserve">ORD-10425</t>
  </si>
  <si>
    <t xml:space="preserve">ORD-10426</t>
  </si>
  <si>
    <t xml:space="preserve">2024-11-08</t>
  </si>
  <si>
    <t xml:space="preserve">ORD-10427</t>
  </si>
  <si>
    <t xml:space="preserve">2025-06-28</t>
  </si>
  <si>
    <t xml:space="preserve">ORD-10428</t>
  </si>
  <si>
    <t xml:space="preserve">2023-02-06</t>
  </si>
  <si>
    <t xml:space="preserve">ORD-10429</t>
  </si>
  <si>
    <t xml:space="preserve">2024-09-15</t>
  </si>
  <si>
    <t xml:space="preserve">ORD-10430</t>
  </si>
  <si>
    <t xml:space="preserve">2025-07-19</t>
  </si>
  <si>
    <t xml:space="preserve">ORD-10431</t>
  </si>
  <si>
    <t xml:space="preserve">2023-07-19</t>
  </si>
  <si>
    <t xml:space="preserve">ORD-10432</t>
  </si>
  <si>
    <t xml:space="preserve">ORD-10433</t>
  </si>
  <si>
    <t xml:space="preserve">ORD-10434</t>
  </si>
  <si>
    <t xml:space="preserve">ORD-10435</t>
  </si>
  <si>
    <t xml:space="preserve">ORD-10436</t>
  </si>
  <si>
    <t xml:space="preserve">ORD-10437</t>
  </si>
  <si>
    <t xml:space="preserve">2024-05-23</t>
  </si>
  <si>
    <t xml:space="preserve">ORD-10438</t>
  </si>
  <si>
    <t xml:space="preserve">ORD-10439</t>
  </si>
  <si>
    <t xml:space="preserve">2024-03-05</t>
  </si>
  <si>
    <t xml:space="preserve">ORD-10440</t>
  </si>
  <si>
    <t xml:space="preserve">2024-10-22</t>
  </si>
  <si>
    <t xml:space="preserve">ORD-10441</t>
  </si>
  <si>
    <t xml:space="preserve">ORD-10442</t>
  </si>
  <si>
    <t xml:space="preserve">ORD-10443</t>
  </si>
  <si>
    <t xml:space="preserve">2025-07-15</t>
  </si>
  <si>
    <t xml:space="preserve">ORD-10444</t>
  </si>
  <si>
    <t xml:space="preserve">ORD-10445</t>
  </si>
  <si>
    <t xml:space="preserve">2023-01-27</t>
  </si>
  <si>
    <t xml:space="preserve">ORD-10446</t>
  </si>
  <si>
    <t xml:space="preserve">2024-02-07</t>
  </si>
  <si>
    <t xml:space="preserve">ORD-10447</t>
  </si>
  <si>
    <t xml:space="preserve">2025-11-18</t>
  </si>
  <si>
    <t xml:space="preserve">ORD-10448</t>
  </si>
  <si>
    <t xml:space="preserve">2024-11-07</t>
  </si>
  <si>
    <t xml:space="preserve">ORD-10449</t>
  </si>
  <si>
    <t xml:space="preserve">ORD-10450</t>
  </si>
  <si>
    <t xml:space="preserve">2025-12-02</t>
  </si>
  <si>
    <t xml:space="preserve">ORD-10451</t>
  </si>
  <si>
    <t xml:space="preserve">ORD-10452</t>
  </si>
  <si>
    <t xml:space="preserve">ORD-10453</t>
  </si>
  <si>
    <t xml:space="preserve">2023-03-23</t>
  </si>
  <si>
    <t xml:space="preserve">ORD-10454</t>
  </si>
  <si>
    <t xml:space="preserve">2025-11-24</t>
  </si>
  <si>
    <t xml:space="preserve">ORD-10455</t>
  </si>
  <si>
    <t xml:space="preserve">2024-01-30</t>
  </si>
  <si>
    <t xml:space="preserve">ORD-10456</t>
  </si>
  <si>
    <t xml:space="preserve">ORD-10457</t>
  </si>
  <si>
    <t xml:space="preserve">2023-05-28</t>
  </si>
  <si>
    <t xml:space="preserve">ORD-10458</t>
  </si>
  <si>
    <t xml:space="preserve">2024-05-30</t>
  </si>
  <si>
    <t xml:space="preserve">ORD-10459</t>
  </si>
  <si>
    <t xml:space="preserve">2024-10-09</t>
  </si>
  <si>
    <t xml:space="preserve">ORD-10460</t>
  </si>
  <si>
    <t xml:space="preserve">2023-05-29</t>
  </si>
  <si>
    <t xml:space="preserve">ORD-10461</t>
  </si>
  <si>
    <t xml:space="preserve">ORD-10462</t>
  </si>
  <si>
    <t xml:space="preserve">ORD-10463</t>
  </si>
  <si>
    <t xml:space="preserve">ORD-10464</t>
  </si>
  <si>
    <t xml:space="preserve">2024-12-05</t>
  </si>
  <si>
    <t xml:space="preserve">ORD-10465</t>
  </si>
  <si>
    <t xml:space="preserve">ORD-10466</t>
  </si>
  <si>
    <t xml:space="preserve">ORD-10467</t>
  </si>
  <si>
    <t xml:space="preserve">ORD-10468</t>
  </si>
  <si>
    <t xml:space="preserve">ORD-10469</t>
  </si>
  <si>
    <t xml:space="preserve">ORD-10470</t>
  </si>
  <si>
    <t xml:space="preserve">2025-09-24</t>
  </si>
  <si>
    <t xml:space="preserve">ORD-10471</t>
  </si>
  <si>
    <t xml:space="preserve">2023-06-06</t>
  </si>
  <si>
    <t xml:space="preserve">ORD-10472</t>
  </si>
  <si>
    <t xml:space="preserve">ORD-10473</t>
  </si>
  <si>
    <t xml:space="preserve">2024-08-18</t>
  </si>
  <si>
    <t xml:space="preserve">ORD-10474</t>
  </si>
  <si>
    <t xml:space="preserve">ORD-10475</t>
  </si>
  <si>
    <t xml:space="preserve">2025-09-17</t>
  </si>
  <si>
    <t xml:space="preserve">ORD-10476</t>
  </si>
  <si>
    <t xml:space="preserve">2025-01-09</t>
  </si>
  <si>
    <t xml:space="preserve">ORD-10477</t>
  </si>
  <si>
    <t xml:space="preserve">2024-07-14</t>
  </si>
  <si>
    <t xml:space="preserve">ORD-10478</t>
  </si>
  <si>
    <t xml:space="preserve">ORD-10479</t>
  </si>
  <si>
    <t xml:space="preserve">2023-01-14</t>
  </si>
  <si>
    <t xml:space="preserve">ORD-10480</t>
  </si>
  <si>
    <t xml:space="preserve">ORD-10481</t>
  </si>
  <si>
    <t xml:space="preserve">2025-04-21</t>
  </si>
  <si>
    <t xml:space="preserve">ORD-10482</t>
  </si>
  <si>
    <t xml:space="preserve">ORD-10483</t>
  </si>
  <si>
    <t xml:space="preserve">2023-06-25</t>
  </si>
  <si>
    <t xml:space="preserve">ORD-10484</t>
  </si>
  <si>
    <t xml:space="preserve">2024-01-08</t>
  </si>
  <si>
    <t xml:space="preserve">ORD-10485</t>
  </si>
  <si>
    <t xml:space="preserve">2023-05-21</t>
  </si>
  <si>
    <t xml:space="preserve">ORD-10486</t>
  </si>
  <si>
    <t xml:space="preserve">2023-12-30</t>
  </si>
  <si>
    <t xml:space="preserve">ORD-10487</t>
  </si>
  <si>
    <t xml:space="preserve">2023-09-24</t>
  </si>
  <si>
    <t xml:space="preserve">ORD-10488</t>
  </si>
  <si>
    <t xml:space="preserve">2025-05-28</t>
  </si>
  <si>
    <t xml:space="preserve">ORD-10489</t>
  </si>
  <si>
    <t xml:space="preserve">2023-07-20</t>
  </si>
  <si>
    <t xml:space="preserve">ORD-10490</t>
  </si>
  <si>
    <t xml:space="preserve">2023-01-15</t>
  </si>
  <si>
    <t xml:space="preserve">ORD-10491</t>
  </si>
  <si>
    <t xml:space="preserve">2025-04-17</t>
  </si>
  <si>
    <t xml:space="preserve">ORD-10492</t>
  </si>
  <si>
    <t xml:space="preserve">2024-07-18</t>
  </si>
  <si>
    <t xml:space="preserve">ORD-10493</t>
  </si>
  <si>
    <t xml:space="preserve">ORD-10494</t>
  </si>
  <si>
    <t xml:space="preserve">2023-09-01</t>
  </si>
  <si>
    <t xml:space="preserve">ORD-10495</t>
  </si>
  <si>
    <t xml:space="preserve">2023-04-17</t>
  </si>
  <si>
    <t xml:space="preserve">ORD-10496</t>
  </si>
  <si>
    <t xml:space="preserve">2023-06-13</t>
  </si>
  <si>
    <t xml:space="preserve">ORD-10497</t>
  </si>
  <si>
    <t xml:space="preserve">ORD-10498</t>
  </si>
  <si>
    <t xml:space="preserve">2025-11-11</t>
  </si>
  <si>
    <t xml:space="preserve">ORD-10499</t>
  </si>
  <si>
    <t xml:space="preserve">2023-11-19</t>
  </si>
  <si>
    <t xml:space="preserve">ORD-10500</t>
  </si>
  <si>
    <t xml:space="preserve">2023-02-01</t>
  </si>
  <si>
    <t xml:space="preserve">ORD-10501</t>
  </si>
  <si>
    <t xml:space="preserve">ORD-10502</t>
  </si>
  <si>
    <t xml:space="preserve">2023-12-25</t>
  </si>
  <si>
    <t xml:space="preserve">ORD-10503</t>
  </si>
  <si>
    <t xml:space="preserve">2024-06-11</t>
  </si>
  <si>
    <t xml:space="preserve">ORD-10504</t>
  </si>
  <si>
    <t xml:space="preserve">2024-05-13</t>
  </si>
  <si>
    <t xml:space="preserve">ORD-10505</t>
  </si>
  <si>
    <t xml:space="preserve">ORD-10506</t>
  </si>
  <si>
    <t xml:space="preserve">2024-06-23</t>
  </si>
  <si>
    <t xml:space="preserve">ORD-10507</t>
  </si>
  <si>
    <t xml:space="preserve">2024-01-01</t>
  </si>
  <si>
    <t xml:space="preserve">ORD-10508</t>
  </si>
  <si>
    <t xml:space="preserve">ORD-10509</t>
  </si>
  <si>
    <t xml:space="preserve">2023-08-07</t>
  </si>
  <si>
    <t xml:space="preserve">ORD-10510</t>
  </si>
  <si>
    <t xml:space="preserve">2025-01-30</t>
  </si>
  <si>
    <t xml:space="preserve">ORD-10511</t>
  </si>
  <si>
    <t xml:space="preserve">2024-07-27</t>
  </si>
  <si>
    <t xml:space="preserve">ORD-10512</t>
  </si>
  <si>
    <t xml:space="preserve">2023-03-08</t>
  </si>
  <si>
    <t xml:space="preserve">ORD-10513</t>
  </si>
  <si>
    <t xml:space="preserve">2025-02-16</t>
  </si>
  <si>
    <t xml:space="preserve">ORD-10514</t>
  </si>
  <si>
    <t xml:space="preserve">2025-08-23</t>
  </si>
  <si>
    <t xml:space="preserve">ORD-10515</t>
  </si>
  <si>
    <t xml:space="preserve">2025-02-01</t>
  </si>
  <si>
    <t xml:space="preserve">ORD-10516</t>
  </si>
  <si>
    <t xml:space="preserve">2024-04-27</t>
  </si>
  <si>
    <t xml:space="preserve">ORD-10517</t>
  </si>
  <si>
    <t xml:space="preserve">ORD-10518</t>
  </si>
  <si>
    <t xml:space="preserve">ORD-10519</t>
  </si>
  <si>
    <t xml:space="preserve">ORD-10520</t>
  </si>
  <si>
    <t xml:space="preserve">2024-02-12</t>
  </si>
  <si>
    <t xml:space="preserve">ORD-10521</t>
  </si>
  <si>
    <t xml:space="preserve">2025-07-04</t>
  </si>
  <si>
    <t xml:space="preserve">ORD-10522</t>
  </si>
  <si>
    <t xml:space="preserve">2024-11-21</t>
  </si>
  <si>
    <t xml:space="preserve">ORD-10523</t>
  </si>
  <si>
    <t xml:space="preserve">ORD-10524</t>
  </si>
  <si>
    <t xml:space="preserve">ORD-10525</t>
  </si>
  <si>
    <t xml:space="preserve">ORD-10526</t>
  </si>
  <si>
    <t xml:space="preserve">2023-06-20</t>
  </si>
  <si>
    <t xml:space="preserve">ORD-10527</t>
  </si>
  <si>
    <t xml:space="preserve">ORD-10528</t>
  </si>
  <si>
    <t xml:space="preserve">ORD-10529</t>
  </si>
  <si>
    <t xml:space="preserve">2023-12-29</t>
  </si>
  <si>
    <t xml:space="preserve">ORD-10530</t>
  </si>
  <si>
    <t xml:space="preserve">2024-12-12</t>
  </si>
  <si>
    <t xml:space="preserve">ORD-10531</t>
  </si>
  <si>
    <t xml:space="preserve">2023-01-22</t>
  </si>
  <si>
    <t xml:space="preserve">ORD-10532</t>
  </si>
  <si>
    <t xml:space="preserve">ORD-10533</t>
  </si>
  <si>
    <t xml:space="preserve">ORD-10534</t>
  </si>
  <si>
    <t xml:space="preserve">2024-07-10</t>
  </si>
  <si>
    <t xml:space="preserve">ORD-10535</t>
  </si>
  <si>
    <t xml:space="preserve">2024-08-16</t>
  </si>
  <si>
    <t xml:space="preserve">ORD-10536</t>
  </si>
  <si>
    <t xml:space="preserve">ORD-10537</t>
  </si>
  <si>
    <t xml:space="preserve">2024-04-21</t>
  </si>
  <si>
    <t xml:space="preserve">ORD-10538</t>
  </si>
  <si>
    <t xml:space="preserve">2023-03-06</t>
  </si>
  <si>
    <t xml:space="preserve">ORD-10539</t>
  </si>
  <si>
    <t xml:space="preserve">2024-05-27</t>
  </si>
  <si>
    <t xml:space="preserve">ORD-10540</t>
  </si>
  <si>
    <t xml:space="preserve">ORD-10541</t>
  </si>
  <si>
    <t xml:space="preserve">2023-11-21</t>
  </si>
  <si>
    <t xml:space="preserve">ORD-10542</t>
  </si>
  <si>
    <t xml:space="preserve">2024-03-22</t>
  </si>
  <si>
    <t xml:space="preserve">ORD-10543</t>
  </si>
  <si>
    <t xml:space="preserve">ORD-10544</t>
  </si>
  <si>
    <t xml:space="preserve">ORD-10545</t>
  </si>
  <si>
    <t xml:space="preserve">ORD-10546</t>
  </si>
  <si>
    <t xml:space="preserve">2023-02-13</t>
  </si>
  <si>
    <t xml:space="preserve">ORD-10547</t>
  </si>
  <si>
    <t xml:space="preserve">2025-09-30</t>
  </si>
  <si>
    <t xml:space="preserve">ORD-10548</t>
  </si>
  <si>
    <t xml:space="preserve">2023-11-25</t>
  </si>
  <si>
    <t xml:space="preserve">ORD-10549</t>
  </si>
  <si>
    <t xml:space="preserve">ORD-10550</t>
  </si>
  <si>
    <t xml:space="preserve">2025-03-04</t>
  </si>
  <si>
    <t xml:space="preserve">ORD-10551</t>
  </si>
  <si>
    <t xml:space="preserve">2023-05-17</t>
  </si>
  <si>
    <t xml:space="preserve">ORD-10552</t>
  </si>
  <si>
    <t xml:space="preserve">ORD-10553</t>
  </si>
  <si>
    <t xml:space="preserve">2024-03-03</t>
  </si>
  <si>
    <t xml:space="preserve">ORD-10554</t>
  </si>
  <si>
    <t xml:space="preserve">ORD-10555</t>
  </si>
  <si>
    <t xml:space="preserve">2024-03-18</t>
  </si>
  <si>
    <t xml:space="preserve">ORD-10556</t>
  </si>
  <si>
    <t xml:space="preserve">2024-05-24</t>
  </si>
  <si>
    <t xml:space="preserve">ORD-10557</t>
  </si>
  <si>
    <t xml:space="preserve">2025-07-28</t>
  </si>
  <si>
    <t xml:space="preserve">ORD-10558</t>
  </si>
  <si>
    <t xml:space="preserve">2025-06-26</t>
  </si>
  <si>
    <t xml:space="preserve">ORD-10559</t>
  </si>
  <si>
    <t xml:space="preserve">ORD-10560</t>
  </si>
  <si>
    <t xml:space="preserve">ORD-10561</t>
  </si>
  <si>
    <t xml:space="preserve">ORD-10562</t>
  </si>
  <si>
    <t xml:space="preserve">2025-11-13</t>
  </si>
  <si>
    <t xml:space="preserve">ORD-10563</t>
  </si>
  <si>
    <t xml:space="preserve">ORD-10564</t>
  </si>
  <si>
    <t xml:space="preserve">ORD-10565</t>
  </si>
  <si>
    <t xml:space="preserve">2025-02-20</t>
  </si>
  <si>
    <t xml:space="preserve">ORD-10566</t>
  </si>
  <si>
    <t xml:space="preserve">2023-01-24</t>
  </si>
  <si>
    <t xml:space="preserve">ORD-10567</t>
  </si>
  <si>
    <t xml:space="preserve">ORD-10568</t>
  </si>
  <si>
    <t xml:space="preserve">ORD-10569</t>
  </si>
  <si>
    <t xml:space="preserve">2025-10-24</t>
  </si>
  <si>
    <t xml:space="preserve">ORD-10570</t>
  </si>
  <si>
    <t xml:space="preserve">2024-02-06</t>
  </si>
  <si>
    <t xml:space="preserve">ORD-10571</t>
  </si>
  <si>
    <t xml:space="preserve">2023-07-03</t>
  </si>
  <si>
    <t xml:space="preserve">ORD-10572</t>
  </si>
  <si>
    <t xml:space="preserve">2024-09-16</t>
  </si>
  <si>
    <t xml:space="preserve">ORD-10573</t>
  </si>
  <si>
    <t xml:space="preserve">2024-04-23</t>
  </si>
  <si>
    <t xml:space="preserve">ORD-10574</t>
  </si>
  <si>
    <t xml:space="preserve">ORD-10575</t>
  </si>
  <si>
    <t xml:space="preserve">2024-03-09</t>
  </si>
  <si>
    <t xml:space="preserve">ORD-10576</t>
  </si>
  <si>
    <t xml:space="preserve">2023-02-07</t>
  </si>
  <si>
    <t xml:space="preserve">ORD-10577</t>
  </si>
  <si>
    <t xml:space="preserve">ORD-10578</t>
  </si>
  <si>
    <t xml:space="preserve">2023-08-09</t>
  </si>
  <si>
    <t xml:space="preserve">ORD-10579</t>
  </si>
  <si>
    <t xml:space="preserve">2025-12-24</t>
  </si>
  <si>
    <t xml:space="preserve">ORD-10580</t>
  </si>
  <si>
    <t xml:space="preserve">2025-12-20</t>
  </si>
  <si>
    <t xml:space="preserve">ORD-10581</t>
  </si>
  <si>
    <t xml:space="preserve">2024-04-28</t>
  </si>
  <si>
    <t xml:space="preserve">ORD-10582</t>
  </si>
  <si>
    <t xml:space="preserve">2023-03-02</t>
  </si>
  <si>
    <t xml:space="preserve">ORD-10583</t>
  </si>
  <si>
    <t xml:space="preserve">2025-02-21</t>
  </si>
  <si>
    <t xml:space="preserve">ORD-10584</t>
  </si>
  <si>
    <t xml:space="preserve">2024-10-01</t>
  </si>
  <si>
    <t xml:space="preserve">ORD-10585</t>
  </si>
  <si>
    <t xml:space="preserve">ORD-10586</t>
  </si>
  <si>
    <t xml:space="preserve">ORD-10587</t>
  </si>
  <si>
    <t xml:space="preserve">2025-04-27</t>
  </si>
  <si>
    <t xml:space="preserve">ORD-10588</t>
  </si>
  <si>
    <t xml:space="preserve">ORD-10589</t>
  </si>
  <si>
    <t xml:space="preserve">2024-04-17</t>
  </si>
  <si>
    <t xml:space="preserve">ORD-10590</t>
  </si>
  <si>
    <t xml:space="preserve">2024-01-12</t>
  </si>
  <si>
    <t xml:space="preserve">ORD-10591</t>
  </si>
  <si>
    <t xml:space="preserve">2024-07-06</t>
  </si>
  <si>
    <t xml:space="preserve">ORD-10592</t>
  </si>
  <si>
    <t xml:space="preserve">ORD-10593</t>
  </si>
  <si>
    <t xml:space="preserve">2025-12-11</t>
  </si>
  <si>
    <t xml:space="preserve">ORD-10594</t>
  </si>
  <si>
    <t xml:space="preserve">ORD-10595</t>
  </si>
  <si>
    <t xml:space="preserve">ORD-10596</t>
  </si>
  <si>
    <t xml:space="preserve">ORD-10597</t>
  </si>
  <si>
    <t xml:space="preserve">ORD-10598</t>
  </si>
  <si>
    <t xml:space="preserve">ORD-10599</t>
  </si>
  <si>
    <t xml:space="preserve">2025-02-25</t>
  </si>
  <si>
    <t xml:space="preserve">ORD-10600</t>
  </si>
  <si>
    <t xml:space="preserve">2024-11-17</t>
  </si>
  <si>
    <t xml:space="preserve">ORD-10601</t>
  </si>
  <si>
    <t xml:space="preserve">2025-07-02</t>
  </si>
  <si>
    <t xml:space="preserve">ORD-10602</t>
  </si>
  <si>
    <t xml:space="preserve">ORD-10603</t>
  </si>
  <si>
    <t xml:space="preserve">ORD-10604</t>
  </si>
  <si>
    <t xml:space="preserve">2024-12-15</t>
  </si>
  <si>
    <t xml:space="preserve">ORD-10605</t>
  </si>
  <si>
    <t xml:space="preserve">ORD-10606</t>
  </si>
  <si>
    <t xml:space="preserve">ORD-10607</t>
  </si>
  <si>
    <t xml:space="preserve">ORD-10608</t>
  </si>
  <si>
    <t xml:space="preserve">2024-11-05</t>
  </si>
  <si>
    <t xml:space="preserve">ORD-10609</t>
  </si>
  <si>
    <t xml:space="preserve">2025-12-19</t>
  </si>
  <si>
    <t xml:space="preserve">ORD-10610</t>
  </si>
  <si>
    <t xml:space="preserve">2024-12-25</t>
  </si>
  <si>
    <t xml:space="preserve">ORD-10611</t>
  </si>
  <si>
    <t xml:space="preserve">ORD-10612</t>
  </si>
  <si>
    <t xml:space="preserve">ORD-10613</t>
  </si>
  <si>
    <t xml:space="preserve">2024-07-30</t>
  </si>
  <si>
    <t xml:space="preserve">ORD-10614</t>
  </si>
  <si>
    <t xml:space="preserve">ORD-10615</t>
  </si>
  <si>
    <t xml:space="preserve">ORD-10616</t>
  </si>
  <si>
    <t xml:space="preserve">2023-04-25</t>
  </si>
  <si>
    <t xml:space="preserve">ORD-10617</t>
  </si>
  <si>
    <t xml:space="preserve">ORD-10618</t>
  </si>
  <si>
    <t xml:space="preserve">ORD-10619</t>
  </si>
  <si>
    <t xml:space="preserve">ORD-10620</t>
  </si>
  <si>
    <t xml:space="preserve">2024-09-11</t>
  </si>
  <si>
    <t xml:space="preserve">ORD-10621</t>
  </si>
  <si>
    <t xml:space="preserve">ORD-10622</t>
  </si>
  <si>
    <t xml:space="preserve">2025-11-23</t>
  </si>
  <si>
    <t xml:space="preserve">ORD-10623</t>
  </si>
  <si>
    <t xml:space="preserve">ORD-10624</t>
  </si>
  <si>
    <t xml:space="preserve">ORD-10625</t>
  </si>
  <si>
    <t xml:space="preserve">ORD-10626</t>
  </si>
  <si>
    <t xml:space="preserve">ORD-10627</t>
  </si>
  <si>
    <t xml:space="preserve">ORD-10628</t>
  </si>
  <si>
    <t xml:space="preserve">ORD-10629</t>
  </si>
  <si>
    <t xml:space="preserve">2025-08-11</t>
  </si>
  <si>
    <t xml:space="preserve">ORD-10630</t>
  </si>
  <si>
    <t xml:space="preserve">ORD-10631</t>
  </si>
  <si>
    <t xml:space="preserve">ORD-10632</t>
  </si>
  <si>
    <t xml:space="preserve">2023-12-16</t>
  </si>
  <si>
    <t xml:space="preserve">ORD-10633</t>
  </si>
  <si>
    <t xml:space="preserve">2024-10-29</t>
  </si>
  <si>
    <t xml:space="preserve">ORD-10634</t>
  </si>
  <si>
    <t xml:space="preserve">ORD-10635</t>
  </si>
  <si>
    <t xml:space="preserve">2025-06-10</t>
  </si>
  <si>
    <t xml:space="preserve">ORD-10636</t>
  </si>
  <si>
    <t xml:space="preserve">ORD-10637</t>
  </si>
  <si>
    <t xml:space="preserve">2025-04-11</t>
  </si>
  <si>
    <t xml:space="preserve">ORD-10638</t>
  </si>
  <si>
    <t xml:space="preserve">2024-03-21</t>
  </si>
  <si>
    <t xml:space="preserve">ORD-10639</t>
  </si>
  <si>
    <t xml:space="preserve">ORD-10640</t>
  </si>
  <si>
    <t xml:space="preserve">2025-06-09</t>
  </si>
  <si>
    <t xml:space="preserve">ORD-10641</t>
  </si>
  <si>
    <t xml:space="preserve">2024-08-25</t>
  </si>
  <si>
    <t xml:space="preserve">ORD-10642</t>
  </si>
  <si>
    <t xml:space="preserve">ORD-10643</t>
  </si>
  <si>
    <t xml:space="preserve">ORD-10644</t>
  </si>
  <si>
    <t xml:space="preserve">ORD-10645</t>
  </si>
  <si>
    <t xml:space="preserve">2025-06-13</t>
  </si>
  <si>
    <t xml:space="preserve">ORD-10646</t>
  </si>
  <si>
    <t xml:space="preserve">2025-05-21</t>
  </si>
  <si>
    <t xml:space="preserve">ORD-10647</t>
  </si>
  <si>
    <t xml:space="preserve">2024-01-16</t>
  </si>
  <si>
    <t xml:space="preserve">ORD-10648</t>
  </si>
  <si>
    <t xml:space="preserve">2025-01-21</t>
  </si>
  <si>
    <t xml:space="preserve">ORD-10649</t>
  </si>
  <si>
    <t xml:space="preserve">2023-10-18</t>
  </si>
  <si>
    <t xml:space="preserve">ORD-10650</t>
  </si>
  <si>
    <t xml:space="preserve">2025-08-25</t>
  </si>
  <si>
    <t xml:space="preserve">ORD-10651</t>
  </si>
  <si>
    <t xml:space="preserve">2023-01-23</t>
  </si>
  <si>
    <t xml:space="preserve">ORD-10652</t>
  </si>
  <si>
    <t xml:space="preserve">2024-08-26</t>
  </si>
  <si>
    <t xml:space="preserve">ORD-10653</t>
  </si>
  <si>
    <t xml:space="preserve">2023-12-13</t>
  </si>
  <si>
    <t xml:space="preserve">ORD-10654</t>
  </si>
  <si>
    <t xml:space="preserve">2024-07-23</t>
  </si>
  <si>
    <t xml:space="preserve">ORD-10655</t>
  </si>
  <si>
    <t xml:space="preserve">ORD-10656</t>
  </si>
  <si>
    <t xml:space="preserve">2023-03-09</t>
  </si>
  <si>
    <t xml:space="preserve">ORD-10657</t>
  </si>
  <si>
    <t xml:space="preserve">2024-05-02</t>
  </si>
  <si>
    <t xml:space="preserve">ORD-10658</t>
  </si>
  <si>
    <t xml:space="preserve">ORD-10659</t>
  </si>
  <si>
    <t xml:space="preserve">2025-12-26</t>
  </si>
  <si>
    <t xml:space="preserve">ORD-10660</t>
  </si>
  <si>
    <t xml:space="preserve">ORD-10661</t>
  </si>
  <si>
    <t xml:space="preserve">2025-06-03</t>
  </si>
  <si>
    <t xml:space="preserve">ORD-10662</t>
  </si>
  <si>
    <t xml:space="preserve">2025-08-02</t>
  </si>
  <si>
    <t xml:space="preserve">ORD-10663</t>
  </si>
  <si>
    <t xml:space="preserve">2024-10-03</t>
  </si>
  <si>
    <t xml:space="preserve">ORD-10664</t>
  </si>
  <si>
    <t xml:space="preserve">2024-08-03</t>
  </si>
  <si>
    <t xml:space="preserve">ORD-10665</t>
  </si>
  <si>
    <t xml:space="preserve">ORD-10666</t>
  </si>
  <si>
    <t xml:space="preserve">2024-01-14</t>
  </si>
  <si>
    <t xml:space="preserve">ORD-10667</t>
  </si>
  <si>
    <t xml:space="preserve">2024-07-20</t>
  </si>
  <si>
    <t xml:space="preserve">ORD-10668</t>
  </si>
  <si>
    <t xml:space="preserve">2024-11-12</t>
  </si>
  <si>
    <t xml:space="preserve">ORD-10669</t>
  </si>
  <si>
    <t xml:space="preserve">ORD-10670</t>
  </si>
  <si>
    <t xml:space="preserve">2023-07-31</t>
  </si>
  <si>
    <t xml:space="preserve">ORD-10671</t>
  </si>
  <si>
    <t xml:space="preserve">ORD-10672</t>
  </si>
  <si>
    <t xml:space="preserve">ORD-10673</t>
  </si>
  <si>
    <t xml:space="preserve">2023-05-24</t>
  </si>
  <si>
    <t xml:space="preserve">ORD-10674</t>
  </si>
  <si>
    <t xml:space="preserve">ORD-10675</t>
  </si>
  <si>
    <t xml:space="preserve">ORD-10676</t>
  </si>
  <si>
    <t xml:space="preserve">2025-01-05</t>
  </si>
  <si>
    <t xml:space="preserve">ORD-10677</t>
  </si>
  <si>
    <t xml:space="preserve">2025-03-07</t>
  </si>
  <si>
    <t xml:space="preserve">ORD-10678</t>
  </si>
  <si>
    <t xml:space="preserve">2023-02-03</t>
  </si>
  <si>
    <t xml:space="preserve">ORD-10679</t>
  </si>
  <si>
    <t xml:space="preserve">2023-11-02</t>
  </si>
  <si>
    <t xml:space="preserve">ORD-10680</t>
  </si>
  <si>
    <t xml:space="preserve">2023-04-04</t>
  </si>
  <si>
    <t xml:space="preserve">ORD-10681</t>
  </si>
  <si>
    <t xml:space="preserve">ORD-10682</t>
  </si>
  <si>
    <t xml:space="preserve">2024-02-20</t>
  </si>
  <si>
    <t xml:space="preserve">ORD-10683</t>
  </si>
  <si>
    <t xml:space="preserve">ORD-10684</t>
  </si>
  <si>
    <t xml:space="preserve">2025-01-27</t>
  </si>
  <si>
    <t xml:space="preserve">ORD-10685</t>
  </si>
  <si>
    <t xml:space="preserve">ORD-10686</t>
  </si>
  <si>
    <t xml:space="preserve">2025-05-02</t>
  </si>
  <si>
    <t xml:space="preserve">ORD-10687</t>
  </si>
  <si>
    <t xml:space="preserve">2023-12-24</t>
  </si>
  <si>
    <t xml:space="preserve">ORD-10688</t>
  </si>
  <si>
    <t xml:space="preserve">ORD-10689</t>
  </si>
  <si>
    <t xml:space="preserve">ORD-10690</t>
  </si>
  <si>
    <t xml:space="preserve">2023-12-28</t>
  </si>
  <si>
    <t xml:space="preserve">ORD-10691</t>
  </si>
  <si>
    <t xml:space="preserve">2025-07-17</t>
  </si>
  <si>
    <t xml:space="preserve">ORD-10692</t>
  </si>
  <si>
    <t xml:space="preserve">2024-04-26</t>
  </si>
  <si>
    <t xml:space="preserve">ORD-10693</t>
  </si>
  <si>
    <t xml:space="preserve">ORD-10694</t>
  </si>
  <si>
    <t xml:space="preserve">ORD-10695</t>
  </si>
  <si>
    <t xml:space="preserve">2024-02-02</t>
  </si>
  <si>
    <t xml:space="preserve">ORD-10696</t>
  </si>
  <si>
    <t xml:space="preserve">ORD-10697</t>
  </si>
  <si>
    <t xml:space="preserve">2024-04-15</t>
  </si>
  <si>
    <t xml:space="preserve">ORD-10698</t>
  </si>
  <si>
    <t xml:space="preserve">2025-05-26</t>
  </si>
  <si>
    <t xml:space="preserve">ORD-10699</t>
  </si>
  <si>
    <t xml:space="preserve">2023-01-11</t>
  </si>
  <si>
    <t xml:space="preserve">ORD-10700</t>
  </si>
  <si>
    <t xml:space="preserve">ORD-10701</t>
  </si>
  <si>
    <t xml:space="preserve">ORD-10702</t>
  </si>
  <si>
    <t xml:space="preserve">2023-02-19</t>
  </si>
  <si>
    <t xml:space="preserve">ORD-10703</t>
  </si>
  <si>
    <t xml:space="preserve">ORD-10704</t>
  </si>
  <si>
    <t xml:space="preserve">ORD-10705</t>
  </si>
  <si>
    <t xml:space="preserve">2023-04-23</t>
  </si>
  <si>
    <t xml:space="preserve">ORD-10706</t>
  </si>
  <si>
    <t xml:space="preserve">2023-05-18</t>
  </si>
  <si>
    <t xml:space="preserve">ORD-10707</t>
  </si>
  <si>
    <t xml:space="preserve">ORD-10708</t>
  </si>
  <si>
    <t xml:space="preserve">2023-05-10</t>
  </si>
  <si>
    <t xml:space="preserve">ORD-10709</t>
  </si>
  <si>
    <t xml:space="preserve">2025-12-27</t>
  </si>
  <si>
    <t xml:space="preserve">ORD-10710</t>
  </si>
  <si>
    <t xml:space="preserve">ORD-10711</t>
  </si>
  <si>
    <t xml:space="preserve">2024-02-23</t>
  </si>
  <si>
    <t xml:space="preserve">ORD-10712</t>
  </si>
  <si>
    <t xml:space="preserve">ORD-10713</t>
  </si>
  <si>
    <t xml:space="preserve">2024-12-03</t>
  </si>
  <si>
    <t xml:space="preserve">ORD-10714</t>
  </si>
  <si>
    <t xml:space="preserve">ORD-10715</t>
  </si>
  <si>
    <t xml:space="preserve">2024-12-24</t>
  </si>
  <si>
    <t xml:space="preserve">ORD-10716</t>
  </si>
  <si>
    <t xml:space="preserve">ORD-10717</t>
  </si>
  <si>
    <t xml:space="preserve">ORD-10718</t>
  </si>
  <si>
    <t xml:space="preserve">ORD-10719</t>
  </si>
  <si>
    <t xml:space="preserve">ORD-10720</t>
  </si>
  <si>
    <t xml:space="preserve">2023-10-29</t>
  </si>
  <si>
    <t xml:space="preserve">ORD-10721</t>
  </si>
  <si>
    <t xml:space="preserve">ORD-10722</t>
  </si>
  <si>
    <t xml:space="preserve">2023-07-09</t>
  </si>
  <si>
    <t xml:space="preserve">ORD-10723</t>
  </si>
  <si>
    <t xml:space="preserve">2025-07-01</t>
  </si>
  <si>
    <t xml:space="preserve">ORD-10724</t>
  </si>
  <si>
    <t xml:space="preserve">ORD-10725</t>
  </si>
  <si>
    <t xml:space="preserve">2024-09-22</t>
  </si>
  <si>
    <t xml:space="preserve">ORD-10726</t>
  </si>
  <si>
    <t xml:space="preserve">ORD-10727</t>
  </si>
  <si>
    <t xml:space="preserve">2023-10-22</t>
  </si>
  <si>
    <t xml:space="preserve">ORD-10728</t>
  </si>
  <si>
    <t xml:space="preserve">2025-04-18</t>
  </si>
  <si>
    <t xml:space="preserve">ORD-10729</t>
  </si>
  <si>
    <t xml:space="preserve">ORD-10730</t>
  </si>
  <si>
    <t xml:space="preserve">2025-08-07</t>
  </si>
  <si>
    <t xml:space="preserve">ORD-10731</t>
  </si>
  <si>
    <t xml:space="preserve">ORD-10732</t>
  </si>
  <si>
    <t xml:space="preserve">2025-01-10</t>
  </si>
  <si>
    <t xml:space="preserve">ORD-10733</t>
  </si>
  <si>
    <t xml:space="preserve">2025-02-03</t>
  </si>
  <si>
    <t xml:space="preserve">ORD-10734</t>
  </si>
  <si>
    <t xml:space="preserve">ORD-10735</t>
  </si>
  <si>
    <t xml:space="preserve">ORD-10736</t>
  </si>
  <si>
    <t xml:space="preserve">ORD-10737</t>
  </si>
  <si>
    <t xml:space="preserve">2025-11-27</t>
  </si>
  <si>
    <t xml:space="preserve">ORD-10738</t>
  </si>
  <si>
    <t xml:space="preserve">2025-12-12</t>
  </si>
  <si>
    <t xml:space="preserve">ORD-10739</t>
  </si>
  <si>
    <t xml:space="preserve">ORD-10740</t>
  </si>
  <si>
    <t xml:space="preserve">2024-12-01</t>
  </si>
  <si>
    <t xml:space="preserve">ORD-10741</t>
  </si>
  <si>
    <t xml:space="preserve">2023-09-14</t>
  </si>
  <si>
    <t xml:space="preserve">ORD-10742</t>
  </si>
  <si>
    <t xml:space="preserve">ORD-10743</t>
  </si>
  <si>
    <t xml:space="preserve">2023-07-17</t>
  </si>
  <si>
    <t xml:space="preserve">ORD-10744</t>
  </si>
  <si>
    <t xml:space="preserve">2024-07-22</t>
  </si>
  <si>
    <t xml:space="preserve">ORD-10745</t>
  </si>
  <si>
    <t xml:space="preserve">ORD-10746</t>
  </si>
  <si>
    <t xml:space="preserve">ORD-10747</t>
  </si>
  <si>
    <t xml:space="preserve">ORD-10748</t>
  </si>
  <si>
    <t xml:space="preserve">ORD-10749</t>
  </si>
  <si>
    <t xml:space="preserve">ORD-10750</t>
  </si>
  <si>
    <t xml:space="preserve">ORD-10751</t>
  </si>
  <si>
    <t xml:space="preserve">2025-10-03</t>
  </si>
  <si>
    <t xml:space="preserve">ORD-10752</t>
  </si>
  <si>
    <t xml:space="preserve">2023-07-28</t>
  </si>
  <si>
    <t xml:space="preserve">ORD-10753</t>
  </si>
  <si>
    <t xml:space="preserve">2025-05-19</t>
  </si>
  <si>
    <t xml:space="preserve">ORD-10754</t>
  </si>
  <si>
    <t xml:space="preserve">2024-12-30</t>
  </si>
  <si>
    <t xml:space="preserve">ORD-10755</t>
  </si>
  <si>
    <t xml:space="preserve">ORD-10756</t>
  </si>
  <si>
    <t xml:space="preserve">ORD-10757</t>
  </si>
  <si>
    <t xml:space="preserve">2025-11-30</t>
  </si>
  <si>
    <t xml:space="preserve">ORD-10758</t>
  </si>
  <si>
    <t xml:space="preserve">ORD-10759</t>
  </si>
  <si>
    <t xml:space="preserve">2025-02-09</t>
  </si>
  <si>
    <t xml:space="preserve">ORD-10760</t>
  </si>
  <si>
    <t xml:space="preserve">ORD-10761</t>
  </si>
  <si>
    <t xml:space="preserve">2025-08-20</t>
  </si>
  <si>
    <t xml:space="preserve">ORD-10762</t>
  </si>
  <si>
    <t xml:space="preserve">2024-12-23</t>
  </si>
  <si>
    <t xml:space="preserve">ORD-10763</t>
  </si>
  <si>
    <t xml:space="preserve">ORD-10764</t>
  </si>
  <si>
    <t xml:space="preserve">2024-04-25</t>
  </si>
  <si>
    <t xml:space="preserve">ORD-10765</t>
  </si>
  <si>
    <t xml:space="preserve">ORD-10766</t>
  </si>
  <si>
    <t xml:space="preserve">2023-02-15</t>
  </si>
  <si>
    <t xml:space="preserve">ORD-10767</t>
  </si>
  <si>
    <t xml:space="preserve">ORD-10768</t>
  </si>
  <si>
    <t xml:space="preserve">ORD-10769</t>
  </si>
  <si>
    <t xml:space="preserve">ORD-10770</t>
  </si>
  <si>
    <t xml:space="preserve">ORD-10771</t>
  </si>
  <si>
    <t xml:space="preserve">2025-06-05</t>
  </si>
  <si>
    <t xml:space="preserve">ORD-10772</t>
  </si>
  <si>
    <t xml:space="preserve">ORD-10773</t>
  </si>
  <si>
    <t xml:space="preserve">2025-08-15</t>
  </si>
  <si>
    <t xml:space="preserve">ORD-10774</t>
  </si>
  <si>
    <t xml:space="preserve">2025-01-16</t>
  </si>
  <si>
    <t xml:space="preserve">ORD-10775</t>
  </si>
  <si>
    <t xml:space="preserve">2025-04-24</t>
  </si>
  <si>
    <t xml:space="preserve">ORD-10776</t>
  </si>
  <si>
    <t xml:space="preserve">ORD-10777</t>
  </si>
  <si>
    <t xml:space="preserve">2023-03-17</t>
  </si>
  <si>
    <t xml:space="preserve">ORD-10778</t>
  </si>
  <si>
    <t xml:space="preserve">2023-12-27</t>
  </si>
  <si>
    <t xml:space="preserve">ORD-10779</t>
  </si>
  <si>
    <t xml:space="preserve">2025-04-13</t>
  </si>
  <si>
    <t xml:space="preserve">ORD-10780</t>
  </si>
  <si>
    <t xml:space="preserve">2023-09-05</t>
  </si>
  <si>
    <t xml:space="preserve">ORD-10781</t>
  </si>
  <si>
    <t xml:space="preserve">ORD-10782</t>
  </si>
  <si>
    <t xml:space="preserve">ORD-10783</t>
  </si>
  <si>
    <t xml:space="preserve">2025-02-06</t>
  </si>
  <si>
    <t xml:space="preserve">ORD-10784</t>
  </si>
  <si>
    <t xml:space="preserve">2023-10-24</t>
  </si>
  <si>
    <t xml:space="preserve">ORD-10785</t>
  </si>
  <si>
    <t xml:space="preserve">ORD-10786</t>
  </si>
  <si>
    <t xml:space="preserve">ORD-10787</t>
  </si>
  <si>
    <t xml:space="preserve">ORD-10788</t>
  </si>
  <si>
    <t xml:space="preserve">ORD-10789</t>
  </si>
  <si>
    <t xml:space="preserve">ORD-10790</t>
  </si>
  <si>
    <t xml:space="preserve">2024-10-31</t>
  </si>
  <si>
    <t xml:space="preserve">ORD-10791</t>
  </si>
  <si>
    <t xml:space="preserve">2024-09-17</t>
  </si>
  <si>
    <t xml:space="preserve">ORD-10792</t>
  </si>
  <si>
    <t xml:space="preserve">2025-04-20</t>
  </si>
  <si>
    <t xml:space="preserve">ORD-10793</t>
  </si>
  <si>
    <t xml:space="preserve">2024-11-01</t>
  </si>
  <si>
    <t xml:space="preserve">ORD-10794</t>
  </si>
  <si>
    <t xml:space="preserve">ORD-10795</t>
  </si>
  <si>
    <t xml:space="preserve">ORD-10796</t>
  </si>
  <si>
    <t xml:space="preserve">ORD-10797</t>
  </si>
  <si>
    <t xml:space="preserve">2024-01-26</t>
  </si>
  <si>
    <t xml:space="preserve">ORD-10798</t>
  </si>
  <si>
    <t xml:space="preserve">ORD-10799</t>
  </si>
  <si>
    <t xml:space="preserve">ORD-10800</t>
  </si>
  <si>
    <t xml:space="preserve">2023-09-30</t>
  </si>
  <si>
    <t xml:space="preserve">ORD-10801</t>
  </si>
  <si>
    <t xml:space="preserve">ORD-10802</t>
  </si>
  <si>
    <t xml:space="preserve">ORD-10803</t>
  </si>
  <si>
    <t xml:space="preserve">ORD-10804</t>
  </si>
  <si>
    <t xml:space="preserve">2025-12-22</t>
  </si>
  <si>
    <t xml:space="preserve">ORD-10805</t>
  </si>
  <si>
    <t xml:space="preserve">ORD-10806</t>
  </si>
  <si>
    <t xml:space="preserve">2024-10-08</t>
  </si>
  <si>
    <t xml:space="preserve">ORD-10807</t>
  </si>
  <si>
    <t xml:space="preserve">2024-06-16</t>
  </si>
  <si>
    <t xml:space="preserve">ORD-10808</t>
  </si>
  <si>
    <t xml:space="preserve">ORD-10809</t>
  </si>
  <si>
    <t xml:space="preserve">2023-12-11</t>
  </si>
  <si>
    <t xml:space="preserve">ORD-10810</t>
  </si>
  <si>
    <t xml:space="preserve">ORD-10811</t>
  </si>
  <si>
    <t xml:space="preserve">ORD-10812</t>
  </si>
  <si>
    <t xml:space="preserve">ORD-10813</t>
  </si>
  <si>
    <t xml:space="preserve">ORD-10814</t>
  </si>
  <si>
    <t xml:space="preserve">2023-05-25</t>
  </si>
  <si>
    <t xml:space="preserve">ORD-10815</t>
  </si>
  <si>
    <t xml:space="preserve">2025-03-27</t>
  </si>
  <si>
    <t xml:space="preserve">ORD-10816</t>
  </si>
  <si>
    <t xml:space="preserve">ORD-10817</t>
  </si>
  <si>
    <t xml:space="preserve">2023-07-16</t>
  </si>
  <si>
    <t xml:space="preserve">ORD-10818</t>
  </si>
  <si>
    <t xml:space="preserve">2025-05-16</t>
  </si>
  <si>
    <t xml:space="preserve">ORD-10819</t>
  </si>
  <si>
    <t xml:space="preserve">ORD-10820</t>
  </si>
  <si>
    <t xml:space="preserve">2025-08-16</t>
  </si>
  <si>
    <t xml:space="preserve">ORD-10821</t>
  </si>
  <si>
    <t xml:space="preserve">ORD-10822</t>
  </si>
  <si>
    <t xml:space="preserve">ORD-10823</t>
  </si>
  <si>
    <t xml:space="preserve">ORD-10824</t>
  </si>
  <si>
    <t xml:space="preserve">2024-09-01</t>
  </si>
  <si>
    <t xml:space="preserve">ORD-10825</t>
  </si>
  <si>
    <t xml:space="preserve">2024-01-19</t>
  </si>
  <si>
    <t xml:space="preserve">ORD-10826</t>
  </si>
  <si>
    <t xml:space="preserve">ORD-10827</t>
  </si>
  <si>
    <t xml:space="preserve">ORD-10828</t>
  </si>
  <si>
    <t xml:space="preserve">ORD-10829</t>
  </si>
  <si>
    <t xml:space="preserve">2023-10-25</t>
  </si>
  <si>
    <t xml:space="preserve">ORD-10830</t>
  </si>
  <si>
    <t xml:space="preserve">ORD-10831</t>
  </si>
  <si>
    <t xml:space="preserve">2025-03-13</t>
  </si>
  <si>
    <t xml:space="preserve">ORD-10832</t>
  </si>
  <si>
    <t xml:space="preserve">ORD-10833</t>
  </si>
  <si>
    <t xml:space="preserve">2024-04-19</t>
  </si>
  <si>
    <t xml:space="preserve">ORD-10834</t>
  </si>
  <si>
    <t xml:space="preserve">2025-05-04</t>
  </si>
  <si>
    <t xml:space="preserve">ORD-10835</t>
  </si>
  <si>
    <t xml:space="preserve">2023-11-27</t>
  </si>
  <si>
    <t xml:space="preserve">ORD-10836</t>
  </si>
  <si>
    <t xml:space="preserve">2024-11-25</t>
  </si>
  <si>
    <t xml:space="preserve">ORD-10837</t>
  </si>
  <si>
    <t xml:space="preserve">ORD-10838</t>
  </si>
  <si>
    <t xml:space="preserve">ORD-10839</t>
  </si>
  <si>
    <t xml:space="preserve">ORD-10840</t>
  </si>
  <si>
    <t xml:space="preserve">2025-05-31</t>
  </si>
  <si>
    <t xml:space="preserve">ORD-10841</t>
  </si>
  <si>
    <t xml:space="preserve">ORD-10842</t>
  </si>
  <si>
    <t xml:space="preserve">ORD-10843</t>
  </si>
  <si>
    <t xml:space="preserve">ORD-10844</t>
  </si>
  <si>
    <t xml:space="preserve">2025-10-17</t>
  </si>
  <si>
    <t xml:space="preserve">ORD-10845</t>
  </si>
  <si>
    <t xml:space="preserve">ORD-10846</t>
  </si>
  <si>
    <t xml:space="preserve">2025-04-29</t>
  </si>
  <si>
    <t xml:space="preserve">ORD-10847</t>
  </si>
  <si>
    <t xml:space="preserve">ORD-10848</t>
  </si>
  <si>
    <t xml:space="preserve">ORD-10849</t>
  </si>
  <si>
    <t xml:space="preserve">ORD-10850</t>
  </si>
  <si>
    <t xml:space="preserve">ORD-10851</t>
  </si>
  <si>
    <t xml:space="preserve">ORD-10852</t>
  </si>
  <si>
    <t xml:space="preserve">2025-06-24</t>
  </si>
  <si>
    <t xml:space="preserve">ORD-10853</t>
  </si>
  <si>
    <t xml:space="preserve">2023-09-16</t>
  </si>
  <si>
    <t xml:space="preserve">ORD-10854</t>
  </si>
  <si>
    <t xml:space="preserve">2023-11-24</t>
  </si>
  <si>
    <t xml:space="preserve">ORD-10855</t>
  </si>
  <si>
    <t xml:space="preserve">2023-08-15</t>
  </si>
  <si>
    <t xml:space="preserve">ORD-10856</t>
  </si>
  <si>
    <t xml:space="preserve">2023-09-13</t>
  </si>
  <si>
    <t xml:space="preserve">ORD-10857</t>
  </si>
  <si>
    <t xml:space="preserve">2025-12-28</t>
  </si>
  <si>
    <t xml:space="preserve">ORD-10858</t>
  </si>
  <si>
    <t xml:space="preserve">2023-10-14</t>
  </si>
  <si>
    <t xml:space="preserve">ORD-10859</t>
  </si>
  <si>
    <t xml:space="preserve">ORD-10860</t>
  </si>
  <si>
    <t xml:space="preserve">2025-01-26</t>
  </si>
  <si>
    <t xml:space="preserve">ORD-10861</t>
  </si>
  <si>
    <t xml:space="preserve">2025-06-20</t>
  </si>
  <si>
    <t xml:space="preserve">ORD-10862</t>
  </si>
  <si>
    <t xml:space="preserve">ORD-10863</t>
  </si>
  <si>
    <t xml:space="preserve">ORD-10864</t>
  </si>
  <si>
    <t xml:space="preserve">2023-08-30</t>
  </si>
  <si>
    <t xml:space="preserve">ORD-10865</t>
  </si>
  <si>
    <t xml:space="preserve">2025-05-13</t>
  </si>
  <si>
    <t xml:space="preserve">ORD-10866</t>
  </si>
  <si>
    <t xml:space="preserve">ORD-10867</t>
  </si>
  <si>
    <t xml:space="preserve">2023-09-29</t>
  </si>
  <si>
    <t xml:space="preserve">ORD-10868</t>
  </si>
  <si>
    <t xml:space="preserve">ORD-10869</t>
  </si>
  <si>
    <t xml:space="preserve">2023-02-20</t>
  </si>
  <si>
    <t xml:space="preserve">ORD-10870</t>
  </si>
  <si>
    <t xml:space="preserve">2023-04-19</t>
  </si>
  <si>
    <t xml:space="preserve">ORD-10871</t>
  </si>
  <si>
    <t xml:space="preserve">2025-12-25</t>
  </si>
  <si>
    <t xml:space="preserve">ORD-10872</t>
  </si>
  <si>
    <t xml:space="preserve">ORD-10873</t>
  </si>
  <si>
    <t xml:space="preserve">2024-10-11</t>
  </si>
  <si>
    <t xml:space="preserve">ORD-10874</t>
  </si>
  <si>
    <t xml:space="preserve">ORD-10875</t>
  </si>
  <si>
    <t xml:space="preserve">2025-03-09</t>
  </si>
  <si>
    <t xml:space="preserve">ORD-10876</t>
  </si>
  <si>
    <t xml:space="preserve">ORD-10877</t>
  </si>
  <si>
    <t xml:space="preserve">2023-05-15</t>
  </si>
  <si>
    <t xml:space="preserve">ORD-10878</t>
  </si>
  <si>
    <t xml:space="preserve">2023-09-15</t>
  </si>
  <si>
    <t xml:space="preserve">ORD-10879</t>
  </si>
  <si>
    <t xml:space="preserve">ORD-10880</t>
  </si>
  <si>
    <t xml:space="preserve">ORD-10881</t>
  </si>
  <si>
    <t xml:space="preserve">2024-03-11</t>
  </si>
  <si>
    <t xml:space="preserve">ORD-10882</t>
  </si>
  <si>
    <t xml:space="preserve">2023-09-09</t>
  </si>
  <si>
    <t xml:space="preserve">ORD-10883</t>
  </si>
  <si>
    <t xml:space="preserve">2024-10-13</t>
  </si>
  <si>
    <t xml:space="preserve">ORD-10884</t>
  </si>
  <si>
    <t xml:space="preserve">2024-11-30</t>
  </si>
  <si>
    <t xml:space="preserve">ORD-10885</t>
  </si>
  <si>
    <t xml:space="preserve">ORD-10886</t>
  </si>
  <si>
    <t xml:space="preserve">2023-06-16</t>
  </si>
  <si>
    <t xml:space="preserve">ORD-10887</t>
  </si>
  <si>
    <t xml:space="preserve">ORD-10888</t>
  </si>
  <si>
    <t xml:space="preserve">2024-01-31</t>
  </si>
  <si>
    <t xml:space="preserve">ORD-10889</t>
  </si>
  <si>
    <t xml:space="preserve">ORD-10890</t>
  </si>
  <si>
    <t xml:space="preserve">2024-03-04</t>
  </si>
  <si>
    <t xml:space="preserve">ORD-10891</t>
  </si>
  <si>
    <t xml:space="preserve">ORD-10892</t>
  </si>
  <si>
    <t xml:space="preserve">2024-07-15</t>
  </si>
  <si>
    <t xml:space="preserve">ORD-10893</t>
  </si>
  <si>
    <t xml:space="preserve">2025-05-24</t>
  </si>
  <si>
    <t xml:space="preserve">ORD-10894</t>
  </si>
  <si>
    <t xml:space="preserve">2025-08-13</t>
  </si>
  <si>
    <t xml:space="preserve">ORD-10895</t>
  </si>
  <si>
    <t xml:space="preserve">ORD-10896</t>
  </si>
  <si>
    <t xml:space="preserve">ORD-10897</t>
  </si>
  <si>
    <t xml:space="preserve">2025-09-09</t>
  </si>
  <si>
    <t xml:space="preserve">ORD-10898</t>
  </si>
  <si>
    <t xml:space="preserve">2024-11-28</t>
  </si>
  <si>
    <t xml:space="preserve">ORD-10899</t>
  </si>
  <si>
    <t xml:space="preserve">2025-07-03</t>
  </si>
  <si>
    <t xml:space="preserve">ORD-10900</t>
  </si>
  <si>
    <t xml:space="preserve">2023-09-19</t>
  </si>
  <si>
    <t xml:space="preserve">ORD-10901</t>
  </si>
  <si>
    <t xml:space="preserve">ORD-10902</t>
  </si>
  <si>
    <t xml:space="preserve">ORD-10903</t>
  </si>
  <si>
    <t xml:space="preserve">2023-02-23</t>
  </si>
  <si>
    <t xml:space="preserve">ORD-10904</t>
  </si>
  <si>
    <t xml:space="preserve">2024-02-01</t>
  </si>
  <si>
    <t xml:space="preserve">ORD-10905</t>
  </si>
  <si>
    <t xml:space="preserve">ORD-10906</t>
  </si>
  <si>
    <t xml:space="preserve">ORD-10907</t>
  </si>
  <si>
    <t xml:space="preserve">ORD-10908</t>
  </si>
  <si>
    <t xml:space="preserve">ORD-10909</t>
  </si>
  <si>
    <t xml:space="preserve">ORD-10910</t>
  </si>
  <si>
    <t xml:space="preserve">2023-03-28</t>
  </si>
  <si>
    <t xml:space="preserve">ORD-10911</t>
  </si>
  <si>
    <t xml:space="preserve">ORD-10912</t>
  </si>
  <si>
    <t xml:space="preserve">2023-08-24</t>
  </si>
  <si>
    <t xml:space="preserve">ORD-10913</t>
  </si>
  <si>
    <t xml:space="preserve">2024-06-20</t>
  </si>
  <si>
    <t xml:space="preserve">ORD-10914</t>
  </si>
  <si>
    <t xml:space="preserve">ORD-10915</t>
  </si>
  <si>
    <t xml:space="preserve">2023-12-17</t>
  </si>
  <si>
    <t xml:space="preserve">ORD-10916</t>
  </si>
  <si>
    <t xml:space="preserve">2025-02-13</t>
  </si>
  <si>
    <t xml:space="preserve">ORD-10917</t>
  </si>
  <si>
    <t xml:space="preserve">2024-01-23</t>
  </si>
  <si>
    <t xml:space="preserve">ORD-10918</t>
  </si>
  <si>
    <t xml:space="preserve">2025-09-28</t>
  </si>
  <si>
    <t xml:space="preserve">ORD-10919</t>
  </si>
  <si>
    <t xml:space="preserve">2025-11-08</t>
  </si>
  <si>
    <t xml:space="preserve">ORD-10920</t>
  </si>
  <si>
    <t xml:space="preserve">2025-10-10</t>
  </si>
  <si>
    <t xml:space="preserve">ORD-10921</t>
  </si>
  <si>
    <t xml:space="preserve">ORD-10922</t>
  </si>
  <si>
    <t xml:space="preserve">2025-02-05</t>
  </si>
  <si>
    <t xml:space="preserve">ORD-10923</t>
  </si>
  <si>
    <t xml:space="preserve">ORD-10924</t>
  </si>
  <si>
    <t xml:space="preserve">ORD-10925</t>
  </si>
  <si>
    <t xml:space="preserve">ORD-10926</t>
  </si>
  <si>
    <t xml:space="preserve">2023-03-20</t>
  </si>
  <si>
    <t xml:space="preserve">ORD-10927</t>
  </si>
  <si>
    <t xml:space="preserve">2024-07-16</t>
  </si>
  <si>
    <t xml:space="preserve">ORD-10928</t>
  </si>
  <si>
    <t xml:space="preserve">2025-04-07</t>
  </si>
  <si>
    <t xml:space="preserve">ORD-10929</t>
  </si>
  <si>
    <t xml:space="preserve">2025-03-25</t>
  </si>
  <si>
    <t xml:space="preserve">ORD-10930</t>
  </si>
  <si>
    <t xml:space="preserve">ORD-10931</t>
  </si>
  <si>
    <t xml:space="preserve">2025-06-17</t>
  </si>
  <si>
    <t xml:space="preserve">ORD-10932</t>
  </si>
  <si>
    <t xml:space="preserve">2025-10-20</t>
  </si>
  <si>
    <t xml:space="preserve">ORD-10933</t>
  </si>
  <si>
    <t xml:space="preserve">ORD-10934</t>
  </si>
  <si>
    <t xml:space="preserve">2025-03-11</t>
  </si>
  <si>
    <t xml:space="preserve">ORD-10935</t>
  </si>
  <si>
    <t xml:space="preserve">2025-07-13</t>
  </si>
  <si>
    <t xml:space="preserve">ORD-10936</t>
  </si>
  <si>
    <t xml:space="preserve">ORD-10937</t>
  </si>
  <si>
    <t xml:space="preserve">ORD-10938</t>
  </si>
  <si>
    <t xml:space="preserve">ORD-10939</t>
  </si>
  <si>
    <t xml:space="preserve">ORD-10940</t>
  </si>
  <si>
    <t xml:space="preserve">2023-10-20</t>
  </si>
  <si>
    <t xml:space="preserve">ORD-10941</t>
  </si>
  <si>
    <t xml:space="preserve">2023-03-22</t>
  </si>
  <si>
    <t xml:space="preserve">ORD-10942</t>
  </si>
  <si>
    <t xml:space="preserve">ORD-10943</t>
  </si>
  <si>
    <t xml:space="preserve">ORD-10944</t>
  </si>
  <si>
    <t xml:space="preserve">ORD-10945</t>
  </si>
  <si>
    <t xml:space="preserve">2025-04-19</t>
  </si>
  <si>
    <t xml:space="preserve">ORD-10946</t>
  </si>
  <si>
    <t xml:space="preserve">2025-08-03</t>
  </si>
  <si>
    <t xml:space="preserve">ORD-10947</t>
  </si>
  <si>
    <t xml:space="preserve">2023-10-07</t>
  </si>
  <si>
    <t xml:space="preserve">ORD-10948</t>
  </si>
  <si>
    <t xml:space="preserve">ORD-10949</t>
  </si>
  <si>
    <t xml:space="preserve">ORD-10950</t>
  </si>
  <si>
    <t xml:space="preserve">ORD-10951</t>
  </si>
  <si>
    <t xml:space="preserve">2023-04-18</t>
  </si>
  <si>
    <t xml:space="preserve">ORD-10952</t>
  </si>
  <si>
    <t xml:space="preserve">2023-01-30</t>
  </si>
  <si>
    <t xml:space="preserve">ORD-10953</t>
  </si>
  <si>
    <t xml:space="preserve">ORD-10954</t>
  </si>
  <si>
    <t xml:space="preserve">2025-03-20</t>
  </si>
  <si>
    <t xml:space="preserve">ORD-10955</t>
  </si>
  <si>
    <t xml:space="preserve">ORD-10956</t>
  </si>
  <si>
    <t xml:space="preserve">2023-03-31</t>
  </si>
  <si>
    <t xml:space="preserve">ORD-10957</t>
  </si>
  <si>
    <t xml:space="preserve">2023-12-18</t>
  </si>
  <si>
    <t xml:space="preserve">ORD-10958</t>
  </si>
  <si>
    <t xml:space="preserve">ORD-10959</t>
  </si>
  <si>
    <t xml:space="preserve">2025-02-22</t>
  </si>
  <si>
    <t xml:space="preserve">ORD-10960</t>
  </si>
  <si>
    <t xml:space="preserve">2025-05-27</t>
  </si>
  <si>
    <t xml:space="preserve">ORD-10961</t>
  </si>
  <si>
    <t xml:space="preserve">2023-03-19</t>
  </si>
  <si>
    <t xml:space="preserve">ORD-10962</t>
  </si>
  <si>
    <t xml:space="preserve">ORD-10963</t>
  </si>
  <si>
    <t xml:space="preserve">ORD-10964</t>
  </si>
  <si>
    <t xml:space="preserve">2023-05-13</t>
  </si>
  <si>
    <t xml:space="preserve">ORD-10965</t>
  </si>
  <si>
    <t xml:space="preserve">ORD-10966</t>
  </si>
  <si>
    <t xml:space="preserve">2024-02-09</t>
  </si>
  <si>
    <t xml:space="preserve">ORD-10967</t>
  </si>
  <si>
    <t xml:space="preserve">2025-09-12</t>
  </si>
  <si>
    <t xml:space="preserve">ORD-10968</t>
  </si>
  <si>
    <t xml:space="preserve">2023-11-16</t>
  </si>
  <si>
    <t xml:space="preserve">ORD-10969</t>
  </si>
  <si>
    <t xml:space="preserve">2024-09-06</t>
  </si>
  <si>
    <t xml:space="preserve">ORD-10970</t>
  </si>
  <si>
    <t xml:space="preserve">ORD-10971</t>
  </si>
  <si>
    <t xml:space="preserve">ORD-10972</t>
  </si>
  <si>
    <t xml:space="preserve">ORD-10973</t>
  </si>
  <si>
    <t xml:space="preserve">2024-12-14</t>
  </si>
  <si>
    <t xml:space="preserve">ORD-10974</t>
  </si>
  <si>
    <t xml:space="preserve">2023-03-12</t>
  </si>
  <si>
    <t xml:space="preserve">ORD-10975</t>
  </si>
  <si>
    <t xml:space="preserve">ORD-10976</t>
  </si>
  <si>
    <t xml:space="preserve">2023-06-14</t>
  </si>
  <si>
    <t xml:space="preserve">ORD-10977</t>
  </si>
  <si>
    <t xml:space="preserve">ORD-10978</t>
  </si>
  <si>
    <t xml:space="preserve">2024-12-06</t>
  </si>
  <si>
    <t xml:space="preserve">ORD-10979</t>
  </si>
  <si>
    <t xml:space="preserve">ORD-10980</t>
  </si>
  <si>
    <t xml:space="preserve">ORD-10981</t>
  </si>
  <si>
    <t xml:space="preserve">ORD-10982</t>
  </si>
  <si>
    <t xml:space="preserve">2023-08-12</t>
  </si>
  <si>
    <t xml:space="preserve">ORD-10983</t>
  </si>
  <si>
    <t xml:space="preserve">ORD-10984</t>
  </si>
  <si>
    <t xml:space="preserve">ORD-10985</t>
  </si>
  <si>
    <t xml:space="preserve">ORD-10986</t>
  </si>
  <si>
    <t xml:space="preserve">ORD-10987</t>
  </si>
  <si>
    <t xml:space="preserve">2023-01-07</t>
  </si>
  <si>
    <t xml:space="preserve">ORD-10988</t>
  </si>
  <si>
    <t xml:space="preserve">ORD-10989</t>
  </si>
  <si>
    <t xml:space="preserve">2024-10-21</t>
  </si>
  <si>
    <t xml:space="preserve">ORD-10990</t>
  </si>
  <si>
    <t xml:space="preserve">ORD-10991</t>
  </si>
  <si>
    <t xml:space="preserve">2025-12-01</t>
  </si>
  <si>
    <t xml:space="preserve">ORD-10992</t>
  </si>
  <si>
    <t xml:space="preserve">2025-08-14</t>
  </si>
  <si>
    <t xml:space="preserve">ORD-10993</t>
  </si>
  <si>
    <t xml:space="preserve">ORD-10994</t>
  </si>
  <si>
    <t xml:space="preserve">ORD-10995</t>
  </si>
  <si>
    <t xml:space="preserve">2024-04-03</t>
  </si>
  <si>
    <t xml:space="preserve">ORD-10996</t>
  </si>
  <si>
    <t xml:space="preserve">ORD-10997</t>
  </si>
  <si>
    <t xml:space="preserve">2024-01-21</t>
  </si>
  <si>
    <t xml:space="preserve">ORD-10998</t>
  </si>
  <si>
    <t xml:space="preserve">2023-05-07</t>
  </si>
  <si>
    <t xml:space="preserve">ORD-10999</t>
  </si>
  <si>
    <t xml:space="preserve">ORD-11000</t>
  </si>
  <si>
    <t xml:space="preserve">2024-08-30</t>
  </si>
  <si>
    <t xml:space="preserve">ORD-11001</t>
  </si>
  <si>
    <t xml:space="preserve">ORD-11002</t>
  </si>
  <si>
    <t xml:space="preserve">ORD-11003</t>
  </si>
  <si>
    <t xml:space="preserve">ORD-11004</t>
  </si>
  <si>
    <t xml:space="preserve">2023-02-14</t>
  </si>
  <si>
    <t xml:space="preserve">ORD-11005</t>
  </si>
  <si>
    <t xml:space="preserve">ORD-11006</t>
  </si>
  <si>
    <t xml:space="preserve">2023-04-21</t>
  </si>
  <si>
    <t xml:space="preserve">ORD-11007</t>
  </si>
  <si>
    <t xml:space="preserve">ORD-11008</t>
  </si>
  <si>
    <t xml:space="preserve">ORD-11009</t>
  </si>
  <si>
    <t xml:space="preserve">2024-01-03</t>
  </si>
  <si>
    <t xml:space="preserve">ORD-11010</t>
  </si>
  <si>
    <t xml:space="preserve">ORD-11011</t>
  </si>
  <si>
    <t xml:space="preserve">ORD-11012</t>
  </si>
  <si>
    <t xml:space="preserve">ORD-11013</t>
  </si>
  <si>
    <t xml:space="preserve">ORD-11014</t>
  </si>
  <si>
    <t xml:space="preserve">ORD-11015</t>
  </si>
  <si>
    <t xml:space="preserve">2025-12-21</t>
  </si>
  <si>
    <t xml:space="preserve">ORD-11016</t>
  </si>
  <si>
    <t xml:space="preserve">ORD-11017</t>
  </si>
  <si>
    <t xml:space="preserve">2024-02-27</t>
  </si>
  <si>
    <t xml:space="preserve">ORD-11018</t>
  </si>
  <si>
    <t xml:space="preserve">ORD-11019</t>
  </si>
  <si>
    <t xml:space="preserve">ORD-11020</t>
  </si>
  <si>
    <t xml:space="preserve">ORD-11021</t>
  </si>
  <si>
    <t xml:space="preserve">ORD-11022</t>
  </si>
  <si>
    <t xml:space="preserve">2024-06-06</t>
  </si>
  <si>
    <t xml:space="preserve">ORD-11023</t>
  </si>
  <si>
    <t xml:space="preserve">ORD-11024</t>
  </si>
  <si>
    <t xml:space="preserve">ORD-11025</t>
  </si>
  <si>
    <t xml:space="preserve">ORD-11026</t>
  </si>
  <si>
    <t xml:space="preserve">2024-07-13</t>
  </si>
  <si>
    <t xml:space="preserve">ORD-11027</t>
  </si>
  <si>
    <t xml:space="preserve">ORD-11028</t>
  </si>
  <si>
    <t xml:space="preserve">ORD-11029</t>
  </si>
  <si>
    <t xml:space="preserve">ORD-11030</t>
  </si>
  <si>
    <t xml:space="preserve">ORD-11031</t>
  </si>
  <si>
    <t xml:space="preserve">ORD-11032</t>
  </si>
  <si>
    <t xml:space="preserve">2024-04-13</t>
  </si>
  <si>
    <t xml:space="preserve">ORD-11033</t>
  </si>
  <si>
    <t xml:space="preserve">2024-05-06</t>
  </si>
  <si>
    <t xml:space="preserve">ORD-11034</t>
  </si>
  <si>
    <t xml:space="preserve">2025-05-18</t>
  </si>
  <si>
    <t xml:space="preserve">ORD-11035</t>
  </si>
  <si>
    <t xml:space="preserve">ORD-11036</t>
  </si>
  <si>
    <t xml:space="preserve">2024-05-15</t>
  </si>
  <si>
    <t xml:space="preserve">ORD-11037</t>
  </si>
  <si>
    <t xml:space="preserve">2025-12-08</t>
  </si>
  <si>
    <t xml:space="preserve">ORD-11038</t>
  </si>
  <si>
    <t xml:space="preserve">ORD-11039</t>
  </si>
  <si>
    <t xml:space="preserve">2025-03-17</t>
  </si>
  <si>
    <t xml:space="preserve">ORD-11040</t>
  </si>
  <si>
    <t xml:space="preserve">2023-01-13</t>
  </si>
  <si>
    <t xml:space="preserve">ORD-11041</t>
  </si>
  <si>
    <t xml:space="preserve">2023-07-27</t>
  </si>
  <si>
    <t xml:space="preserve">ORD-11042</t>
  </si>
  <si>
    <t xml:space="preserve">2025-09-25</t>
  </si>
  <si>
    <t xml:space="preserve">ORD-11043</t>
  </si>
  <si>
    <t xml:space="preserve">2024-07-05</t>
  </si>
  <si>
    <t xml:space="preserve">ORD-11044</t>
  </si>
  <si>
    <t xml:space="preserve">2024-02-11</t>
  </si>
  <si>
    <t xml:space="preserve">ORD-11045</t>
  </si>
  <si>
    <t xml:space="preserve">ORD-11046</t>
  </si>
  <si>
    <t xml:space="preserve">2023-09-18</t>
  </si>
  <si>
    <t xml:space="preserve">ORD-11047</t>
  </si>
  <si>
    <t xml:space="preserve">ORD-11048</t>
  </si>
  <si>
    <t xml:space="preserve">2025-05-29</t>
  </si>
  <si>
    <t xml:space="preserve">ORD-11049</t>
  </si>
  <si>
    <t xml:space="preserve">ORD-11050</t>
  </si>
  <si>
    <t xml:space="preserve">ORD-11051</t>
  </si>
  <si>
    <t xml:space="preserve">ORD-11052</t>
  </si>
  <si>
    <t xml:space="preserve">ORD-11053</t>
  </si>
  <si>
    <t xml:space="preserve">2023-05-06</t>
  </si>
  <si>
    <t xml:space="preserve">ORD-11054</t>
  </si>
  <si>
    <t xml:space="preserve">2023-04-08</t>
  </si>
  <si>
    <t xml:space="preserve">ORD-11055</t>
  </si>
  <si>
    <t xml:space="preserve">ORD-11056</t>
  </si>
  <si>
    <t xml:space="preserve">ORD-11057</t>
  </si>
  <si>
    <t xml:space="preserve">ORD-11058</t>
  </si>
  <si>
    <t xml:space="preserve">ORD-11059</t>
  </si>
  <si>
    <t xml:space="preserve">2024-02-18</t>
  </si>
  <si>
    <t xml:space="preserve">ORD-11060</t>
  </si>
  <si>
    <t xml:space="preserve">ORD-11061</t>
  </si>
  <si>
    <t xml:space="preserve">ORD-11062</t>
  </si>
  <si>
    <t xml:space="preserve">ORD-11063</t>
  </si>
  <si>
    <t xml:space="preserve">ORD-11064</t>
  </si>
  <si>
    <t xml:space="preserve">2025-11-16</t>
  </si>
  <si>
    <t xml:space="preserve">ORD-11065</t>
  </si>
  <si>
    <t xml:space="preserve">ORD-11066</t>
  </si>
  <si>
    <t xml:space="preserve">ORD-11067</t>
  </si>
  <si>
    <t xml:space="preserve">ORD-11068</t>
  </si>
  <si>
    <t xml:space="preserve">ORD-11069</t>
  </si>
  <si>
    <t xml:space="preserve">2023-08-06</t>
  </si>
  <si>
    <t xml:space="preserve">ORD-11070</t>
  </si>
  <si>
    <t xml:space="preserve">ORD-11071</t>
  </si>
  <si>
    <t xml:space="preserve">2025-06-07</t>
  </si>
  <si>
    <t xml:space="preserve">ORD-11072</t>
  </si>
  <si>
    <t xml:space="preserve">ORD-11073</t>
  </si>
  <si>
    <t xml:space="preserve">ORD-11074</t>
  </si>
  <si>
    <t xml:space="preserve">ORD-11075</t>
  </si>
  <si>
    <t xml:space="preserve">ORD-11076</t>
  </si>
  <si>
    <t xml:space="preserve">ORD-11077</t>
  </si>
  <si>
    <t xml:space="preserve">ORD-11078</t>
  </si>
  <si>
    <t xml:space="preserve">ORD-11079</t>
  </si>
  <si>
    <t xml:space="preserve">ORD-11080</t>
  </si>
  <si>
    <t xml:space="preserve">ORD-11081</t>
  </si>
  <si>
    <t xml:space="preserve">ORD-11082</t>
  </si>
  <si>
    <t xml:space="preserve">2025-05-20</t>
  </si>
  <si>
    <t xml:space="preserve">ORD-11083</t>
  </si>
  <si>
    <t xml:space="preserve">ORD-11084</t>
  </si>
  <si>
    <t xml:space="preserve">2025-09-06</t>
  </si>
  <si>
    <t xml:space="preserve">ORD-11085</t>
  </si>
  <si>
    <t xml:space="preserve">ORD-11086</t>
  </si>
  <si>
    <t xml:space="preserve">ORD-11087</t>
  </si>
  <si>
    <t xml:space="preserve">ORD-11088</t>
  </si>
  <si>
    <t xml:space="preserve">ORD-11089</t>
  </si>
  <si>
    <t xml:space="preserve">ORD-11090</t>
  </si>
  <si>
    <t xml:space="preserve">ORD-11091</t>
  </si>
  <si>
    <t xml:space="preserve">ORD-11092</t>
  </si>
  <si>
    <t xml:space="preserve">ORD-11093</t>
  </si>
  <si>
    <t xml:space="preserve">ORD-11094</t>
  </si>
  <si>
    <t xml:space="preserve">2023-03-07</t>
  </si>
  <si>
    <t xml:space="preserve">ORD-11095</t>
  </si>
  <si>
    <t xml:space="preserve">2024-06-12</t>
  </si>
  <si>
    <t xml:space="preserve">ORD-11096</t>
  </si>
  <si>
    <t xml:space="preserve">2025-02-12</t>
  </si>
  <si>
    <t xml:space="preserve">ORD-11097</t>
  </si>
  <si>
    <t xml:space="preserve">2023-06-08</t>
  </si>
  <si>
    <t xml:space="preserve">ORD-11098</t>
  </si>
  <si>
    <t xml:space="preserve">ORD-11099</t>
  </si>
  <si>
    <t xml:space="preserve">ORD-11100</t>
  </si>
  <si>
    <t xml:space="preserve">ORD-11101</t>
  </si>
  <si>
    <t xml:space="preserve">2023-04-09</t>
  </si>
  <si>
    <t xml:space="preserve">ORD-11102</t>
  </si>
  <si>
    <t xml:space="preserve">ORD-11103</t>
  </si>
  <si>
    <t xml:space="preserve">ORD-11104</t>
  </si>
  <si>
    <t xml:space="preserve">ORD-11105</t>
  </si>
  <si>
    <t xml:space="preserve">ORD-11106</t>
  </si>
  <si>
    <t xml:space="preserve">ORD-11107</t>
  </si>
  <si>
    <t xml:space="preserve">2024-09-25</t>
  </si>
  <si>
    <t xml:space="preserve">ORD-11108</t>
  </si>
  <si>
    <t xml:space="preserve">ORD-11109</t>
  </si>
  <si>
    <t xml:space="preserve">2024-06-08</t>
  </si>
  <si>
    <t xml:space="preserve">ORD-11110</t>
  </si>
  <si>
    <t xml:space="preserve">2025-04-01</t>
  </si>
  <si>
    <t xml:space="preserve">ORD-11111</t>
  </si>
  <si>
    <t xml:space="preserve">ORD-11112</t>
  </si>
  <si>
    <t xml:space="preserve">2023-04-27</t>
  </si>
  <si>
    <t xml:space="preserve">ORD-11113</t>
  </si>
  <si>
    <t xml:space="preserve">ORD-11114</t>
  </si>
  <si>
    <t xml:space="preserve">ORD-11115</t>
  </si>
  <si>
    <t xml:space="preserve">ORD-11116</t>
  </si>
  <si>
    <t xml:space="preserve">ORD-11117</t>
  </si>
  <si>
    <t xml:space="preserve">ORD-11118</t>
  </si>
  <si>
    <t xml:space="preserve">ORD-11119</t>
  </si>
  <si>
    <t xml:space="preserve">ORD-11120</t>
  </si>
  <si>
    <t xml:space="preserve">2023-12-03</t>
  </si>
  <si>
    <t xml:space="preserve">ORD-11121</t>
  </si>
  <si>
    <t xml:space="preserve">ORD-11122</t>
  </si>
  <si>
    <t xml:space="preserve">ORD-11123</t>
  </si>
  <si>
    <t xml:space="preserve">ORD-11124</t>
  </si>
  <si>
    <t xml:space="preserve">ORD-11125</t>
  </si>
  <si>
    <t xml:space="preserve">ORD-11126</t>
  </si>
  <si>
    <t xml:space="preserve">2025-07-22</t>
  </si>
  <si>
    <t xml:space="preserve">ORD-11127</t>
  </si>
  <si>
    <t xml:space="preserve">ORD-11128</t>
  </si>
  <si>
    <t xml:space="preserve">ORD-11129</t>
  </si>
  <si>
    <t xml:space="preserve">2025-04-22</t>
  </si>
  <si>
    <t xml:space="preserve">ORD-11130</t>
  </si>
  <si>
    <t xml:space="preserve">ORD-11131</t>
  </si>
  <si>
    <t xml:space="preserve">ORD-11132</t>
  </si>
  <si>
    <t xml:space="preserve">ORD-11133</t>
  </si>
  <si>
    <t xml:space="preserve">ORD-11134</t>
  </si>
  <si>
    <t xml:space="preserve">2024-10-12</t>
  </si>
  <si>
    <t xml:space="preserve">ORD-11135</t>
  </si>
  <si>
    <t xml:space="preserve">ORD-11136</t>
  </si>
  <si>
    <t xml:space="preserve">ORD-11137</t>
  </si>
  <si>
    <t xml:space="preserve">ORD-11138</t>
  </si>
  <si>
    <t xml:space="preserve">ORD-11139</t>
  </si>
  <si>
    <t xml:space="preserve">ORD-11140</t>
  </si>
  <si>
    <t xml:space="preserve">ORD-11141</t>
  </si>
  <si>
    <t xml:space="preserve">ORD-11142</t>
  </si>
  <si>
    <t xml:space="preserve">ORD-11143</t>
  </si>
  <si>
    <t xml:space="preserve">ORD-11144</t>
  </si>
  <si>
    <t xml:space="preserve">ORD-11145</t>
  </si>
  <si>
    <t xml:space="preserve">ORD-11146</t>
  </si>
  <si>
    <t xml:space="preserve">ORD-11147</t>
  </si>
  <si>
    <t xml:space="preserve">ORD-11148</t>
  </si>
  <si>
    <t xml:space="preserve">2025-10-12</t>
  </si>
  <si>
    <t xml:space="preserve">ORD-11149</t>
  </si>
  <si>
    <t xml:space="preserve">2024-09-30</t>
  </si>
  <si>
    <t xml:space="preserve">ORD-11150</t>
  </si>
  <si>
    <t xml:space="preserve">ORD-11151</t>
  </si>
  <si>
    <t xml:space="preserve">2025-07-09</t>
  </si>
  <si>
    <t xml:space="preserve">ORD-11152</t>
  </si>
  <si>
    <t xml:space="preserve">ORD-11153</t>
  </si>
  <si>
    <t xml:space="preserve">2025-01-31</t>
  </si>
  <si>
    <t xml:space="preserve">ORD-11154</t>
  </si>
  <si>
    <t xml:space="preserve">ORD-11155</t>
  </si>
  <si>
    <t xml:space="preserve">2023-07-30</t>
  </si>
  <si>
    <t xml:space="preserve">ORD-11156</t>
  </si>
  <si>
    <t xml:space="preserve">ORD-11157</t>
  </si>
  <si>
    <t xml:space="preserve">ORD-11158</t>
  </si>
  <si>
    <t xml:space="preserve">ORD-11159</t>
  </si>
  <si>
    <t xml:space="preserve">ORD-11160</t>
  </si>
  <si>
    <t xml:space="preserve">ORD-11161</t>
  </si>
  <si>
    <t xml:space="preserve">ORD-11162</t>
  </si>
  <si>
    <t xml:space="preserve">2025-06-11</t>
  </si>
  <si>
    <t xml:space="preserve">ORD-11163</t>
  </si>
  <si>
    <t xml:space="preserve">2024-06-15</t>
  </si>
  <si>
    <t xml:space="preserve">ORD-11164</t>
  </si>
  <si>
    <t xml:space="preserve">ORD-11165</t>
  </si>
  <si>
    <t xml:space="preserve">2025-04-26</t>
  </si>
  <si>
    <t xml:space="preserve">ORD-11166</t>
  </si>
  <si>
    <t xml:space="preserve">ORD-11167</t>
  </si>
  <si>
    <t xml:space="preserve">2024-05-11</t>
  </si>
  <si>
    <t xml:space="preserve">ORD-11168</t>
  </si>
  <si>
    <t xml:space="preserve">ORD-11169</t>
  </si>
  <si>
    <t xml:space="preserve">ORD-11170</t>
  </si>
  <si>
    <t xml:space="preserve">2025-01-14</t>
  </si>
  <si>
    <t xml:space="preserve">ORD-11171</t>
  </si>
  <si>
    <t xml:space="preserve">2024-09-21</t>
  </si>
  <si>
    <t xml:space="preserve">ORD-11172</t>
  </si>
  <si>
    <t xml:space="preserve">ORD-11173</t>
  </si>
  <si>
    <t xml:space="preserve">2023-06-22</t>
  </si>
  <si>
    <t xml:space="preserve">ORD-11174</t>
  </si>
  <si>
    <t xml:space="preserve">2024-07-12</t>
  </si>
  <si>
    <t xml:space="preserve">ORD-11175</t>
  </si>
  <si>
    <t xml:space="preserve">ORD-11176</t>
  </si>
  <si>
    <t xml:space="preserve">2024-03-25</t>
  </si>
  <si>
    <t xml:space="preserve">ORD-11177</t>
  </si>
  <si>
    <t xml:space="preserve">ORD-11178</t>
  </si>
  <si>
    <t xml:space="preserve">ORD-11179</t>
  </si>
  <si>
    <t xml:space="preserve">2024-05-03</t>
  </si>
  <si>
    <t xml:space="preserve">ORD-11180</t>
  </si>
  <si>
    <t xml:space="preserve">2024-11-15</t>
  </si>
  <si>
    <t xml:space="preserve">ORD-11181</t>
  </si>
  <si>
    <t xml:space="preserve">2025-08-28</t>
  </si>
  <si>
    <t xml:space="preserve">ORD-11182</t>
  </si>
  <si>
    <t xml:space="preserve">2024-04-12</t>
  </si>
  <si>
    <t xml:space="preserve">ORD-11183</t>
  </si>
  <si>
    <t xml:space="preserve">ORD-11184</t>
  </si>
  <si>
    <t xml:space="preserve">2025-09-18</t>
  </si>
  <si>
    <t xml:space="preserve">ORD-11185</t>
  </si>
  <si>
    <t xml:space="preserve">ORD-11186</t>
  </si>
  <si>
    <t xml:space="preserve">ORD-11187</t>
  </si>
  <si>
    <t xml:space="preserve">ORD-11188</t>
  </si>
  <si>
    <t xml:space="preserve">2025-06-06</t>
  </si>
  <si>
    <t xml:space="preserve">ORD-11189</t>
  </si>
  <si>
    <t xml:space="preserve">ORD-11190</t>
  </si>
  <si>
    <t xml:space="preserve">ORD-11191</t>
  </si>
  <si>
    <t xml:space="preserve">2023-01-02</t>
  </si>
  <si>
    <t xml:space="preserve">ORD-11192</t>
  </si>
  <si>
    <t xml:space="preserve">ORD-11193</t>
  </si>
  <si>
    <t xml:space="preserve">ORD-11194</t>
  </si>
  <si>
    <t xml:space="preserve">ORD-11195</t>
  </si>
  <si>
    <t xml:space="preserve">ORD-11196</t>
  </si>
  <si>
    <t xml:space="preserve">ORD-11197</t>
  </si>
  <si>
    <t xml:space="preserve">2025-08-17</t>
  </si>
  <si>
    <t xml:space="preserve">ORD-11198</t>
  </si>
  <si>
    <t xml:space="preserve">ORD-11199</t>
  </si>
  <si>
    <t xml:space="preserve">2024-08-23</t>
  </si>
  <si>
    <t xml:space="preserve">ORD-11200</t>
  </si>
  <si>
    <t xml:space="preserve">ORD-11201</t>
  </si>
  <si>
    <t xml:space="preserve">ORD-11202</t>
  </si>
  <si>
    <t xml:space="preserve">ORD-11203</t>
  </si>
  <si>
    <t xml:space="preserve">2024-09-28</t>
  </si>
  <si>
    <t xml:space="preserve">ORD-11204</t>
  </si>
  <si>
    <t xml:space="preserve">ORD-11205</t>
  </si>
  <si>
    <t xml:space="preserve">2023-04-24</t>
  </si>
  <si>
    <t xml:space="preserve">ORD-11206</t>
  </si>
  <si>
    <t xml:space="preserve">ORD-11207</t>
  </si>
  <si>
    <t xml:space="preserve">2024-05-07</t>
  </si>
  <si>
    <t xml:space="preserve">ORD-11208</t>
  </si>
  <si>
    <t xml:space="preserve">2025-10-06</t>
  </si>
  <si>
    <t xml:space="preserve">ORD-11209</t>
  </si>
  <si>
    <t xml:space="preserve">ORD-11210</t>
  </si>
  <si>
    <t xml:space="preserve">2025-06-29</t>
  </si>
  <si>
    <t xml:space="preserve">ORD-11211</t>
  </si>
  <si>
    <t xml:space="preserve">2025-01-02</t>
  </si>
  <si>
    <t xml:space="preserve">ORD-11212</t>
  </si>
  <si>
    <t xml:space="preserve">2023-11-07</t>
  </si>
  <si>
    <t xml:space="preserve">ORD-11213</t>
  </si>
  <si>
    <t xml:space="preserve">ORD-11214</t>
  </si>
  <si>
    <t xml:space="preserve">2025-11-04</t>
  </si>
  <si>
    <t xml:space="preserve">ORD-11215</t>
  </si>
  <si>
    <t xml:space="preserve">2025-04-06</t>
  </si>
  <si>
    <t xml:space="preserve">ORD-11216</t>
  </si>
  <si>
    <t xml:space="preserve">ORD-11217</t>
  </si>
  <si>
    <t xml:space="preserve">ORD-11218</t>
  </si>
  <si>
    <t xml:space="preserve">2024-02-05</t>
  </si>
  <si>
    <t xml:space="preserve">ORD-11219</t>
  </si>
  <si>
    <t xml:space="preserve">2024-01-29</t>
  </si>
  <si>
    <t xml:space="preserve">ORD-11220</t>
  </si>
  <si>
    <t xml:space="preserve">ORD-11221</t>
  </si>
  <si>
    <t xml:space="preserve">2023-10-10</t>
  </si>
  <si>
    <t xml:space="preserve">ORD-11222</t>
  </si>
  <si>
    <t xml:space="preserve">ORD-11223</t>
  </si>
  <si>
    <t xml:space="preserve">ORD-11224</t>
  </si>
  <si>
    <t xml:space="preserve">ORD-11225</t>
  </si>
  <si>
    <t xml:space="preserve">ORD-11226</t>
  </si>
  <si>
    <t xml:space="preserve">2023-05-02</t>
  </si>
  <si>
    <t xml:space="preserve">ORD-11227</t>
  </si>
  <si>
    <t xml:space="preserve">ORD-11228</t>
  </si>
  <si>
    <t xml:space="preserve">ORD-11229</t>
  </si>
  <si>
    <t xml:space="preserve">2024-09-13</t>
  </si>
  <si>
    <t xml:space="preserve">ORD-11230</t>
  </si>
  <si>
    <t xml:space="preserve">ORD-11231</t>
  </si>
  <si>
    <t xml:space="preserve">ORD-11232</t>
  </si>
  <si>
    <t xml:space="preserve">2023-01-21</t>
  </si>
  <si>
    <t xml:space="preserve">ORD-11233</t>
  </si>
  <si>
    <t xml:space="preserve">ORD-11234</t>
  </si>
  <si>
    <t xml:space="preserve">2024-08-21</t>
  </si>
  <si>
    <t xml:space="preserve">ORD-11235</t>
  </si>
  <si>
    <t xml:space="preserve">2025-01-01</t>
  </si>
  <si>
    <t xml:space="preserve">ORD-11236</t>
  </si>
  <si>
    <t xml:space="preserve">ORD-11237</t>
  </si>
  <si>
    <t xml:space="preserve">ORD-11238</t>
  </si>
  <si>
    <t xml:space="preserve">ORD-11239</t>
  </si>
  <si>
    <t xml:space="preserve">ORD-11240</t>
  </si>
  <si>
    <t xml:space="preserve">ORD-11241</t>
  </si>
  <si>
    <t xml:space="preserve">ORD-11242</t>
  </si>
  <si>
    <t xml:space="preserve">ORD-11243</t>
  </si>
  <si>
    <t xml:space="preserve">ORD-11244</t>
  </si>
  <si>
    <t xml:space="preserve">ORD-11245</t>
  </si>
  <si>
    <t xml:space="preserve">ORD-11246</t>
  </si>
  <si>
    <t xml:space="preserve">2024-05-28</t>
  </si>
  <si>
    <t xml:space="preserve">ORD-11247</t>
  </si>
  <si>
    <t xml:space="preserve">2024-01-02</t>
  </si>
  <si>
    <t xml:space="preserve">ORD-11248</t>
  </si>
  <si>
    <t xml:space="preserve">ORD-11249</t>
  </si>
  <si>
    <t xml:space="preserve">ORD-11250</t>
  </si>
  <si>
    <t xml:space="preserve">ORD-11251</t>
  </si>
  <si>
    <t xml:space="preserve">ORD-11252</t>
  </si>
  <si>
    <t xml:space="preserve">ORD-11253</t>
  </si>
  <si>
    <t xml:space="preserve">ORD-11254</t>
  </si>
  <si>
    <t xml:space="preserve">ORD-11255</t>
  </si>
  <si>
    <t xml:space="preserve">ORD-11256</t>
  </si>
  <si>
    <t xml:space="preserve">ORD-11257</t>
  </si>
  <si>
    <t xml:space="preserve">ORD-11258</t>
  </si>
  <si>
    <t xml:space="preserve">2023-09-06</t>
  </si>
  <si>
    <t xml:space="preserve">ORD-11259</t>
  </si>
  <si>
    <t xml:space="preserve">ORD-11260</t>
  </si>
  <si>
    <t xml:space="preserve">ORD-11261</t>
  </si>
  <si>
    <t xml:space="preserve">ORD-11262</t>
  </si>
  <si>
    <t xml:space="preserve">ORD-11263</t>
  </si>
  <si>
    <t xml:space="preserve">2024-08-10</t>
  </si>
  <si>
    <t xml:space="preserve">ORD-11264</t>
  </si>
  <si>
    <t xml:space="preserve">2024-02-10</t>
  </si>
  <si>
    <t xml:space="preserve">ORD-11265</t>
  </si>
  <si>
    <t xml:space="preserve">2023-07-26</t>
  </si>
  <si>
    <t xml:space="preserve">ORD-11266</t>
  </si>
  <si>
    <t xml:space="preserve">2025-03-05</t>
  </si>
  <si>
    <t xml:space="preserve">ORD-11267</t>
  </si>
  <si>
    <t xml:space="preserve">ORD-11268</t>
  </si>
  <si>
    <t xml:space="preserve">2024-12-27</t>
  </si>
  <si>
    <t xml:space="preserve">ORD-11269</t>
  </si>
  <si>
    <t xml:space="preserve">2025-11-09</t>
  </si>
  <si>
    <t xml:space="preserve">ORD-11270</t>
  </si>
  <si>
    <t xml:space="preserve">2025-11-07</t>
  </si>
  <si>
    <t xml:space="preserve">ORD-11271</t>
  </si>
  <si>
    <t xml:space="preserve">ORD-11272</t>
  </si>
  <si>
    <t xml:space="preserve">ORD-11273</t>
  </si>
  <si>
    <t xml:space="preserve">ORD-11274</t>
  </si>
  <si>
    <t xml:space="preserve">ORD-11275</t>
  </si>
  <si>
    <t xml:space="preserve">2024-02-04</t>
  </si>
  <si>
    <t xml:space="preserve">ORD-11276</t>
  </si>
  <si>
    <t xml:space="preserve">ORD-11277</t>
  </si>
  <si>
    <t xml:space="preserve">ORD-11278</t>
  </si>
  <si>
    <t xml:space="preserve">ORD-11279</t>
  </si>
  <si>
    <t xml:space="preserve">ORD-11280</t>
  </si>
  <si>
    <t xml:space="preserve">2023-01-17</t>
  </si>
  <si>
    <t xml:space="preserve">ORD-11281</t>
  </si>
  <si>
    <t xml:space="preserve">ORD-11282</t>
  </si>
  <si>
    <t xml:space="preserve">ORD-11283</t>
  </si>
  <si>
    <t xml:space="preserve">ORD-11284</t>
  </si>
  <si>
    <t xml:space="preserve">ORD-11285</t>
  </si>
  <si>
    <t xml:space="preserve">ORD-11286</t>
  </si>
  <si>
    <t xml:space="preserve">ORD-11287</t>
  </si>
  <si>
    <t xml:space="preserve">ORD-11288</t>
  </si>
  <si>
    <t xml:space="preserve">2024-03-16</t>
  </si>
  <si>
    <t xml:space="preserve">ORD-11289</t>
  </si>
  <si>
    <t xml:space="preserve">ORD-11290</t>
  </si>
  <si>
    <t xml:space="preserve">ORD-11291</t>
  </si>
  <si>
    <t xml:space="preserve">ORD-11292</t>
  </si>
  <si>
    <t xml:space="preserve">ORD-11293</t>
  </si>
  <si>
    <t xml:space="preserve">ORD-11294</t>
  </si>
  <si>
    <t xml:space="preserve">ORD-11295</t>
  </si>
  <si>
    <t xml:space="preserve">ORD-11296</t>
  </si>
  <si>
    <t xml:space="preserve">ORD-11297</t>
  </si>
  <si>
    <t xml:space="preserve">2023-01-31</t>
  </si>
  <si>
    <t xml:space="preserve">ORD-11298</t>
  </si>
  <si>
    <t xml:space="preserve">ORD-11299</t>
  </si>
  <si>
    <t xml:space="preserve">ORD-11300</t>
  </si>
  <si>
    <t xml:space="preserve">ORD-11301</t>
  </si>
  <si>
    <t xml:space="preserve">ORD-11302</t>
  </si>
  <si>
    <t xml:space="preserve">ORD-11303</t>
  </si>
  <si>
    <t xml:space="preserve">2025-04-05</t>
  </si>
  <si>
    <t xml:space="preserve">ORD-11304</t>
  </si>
  <si>
    <t xml:space="preserve">2024-05-31</t>
  </si>
  <si>
    <t xml:space="preserve">ORD-11305</t>
  </si>
  <si>
    <t xml:space="preserve">2024-07-03</t>
  </si>
  <si>
    <t xml:space="preserve">ORD-11306</t>
  </si>
  <si>
    <t xml:space="preserve">ORD-11307</t>
  </si>
  <si>
    <t xml:space="preserve">ORD-11308</t>
  </si>
  <si>
    <t xml:space="preserve">ORD-11309</t>
  </si>
  <si>
    <t xml:space="preserve">ORD-11310</t>
  </si>
  <si>
    <t xml:space="preserve">ORD-11311</t>
  </si>
  <si>
    <t xml:space="preserve">ORD-11312</t>
  </si>
  <si>
    <t xml:space="preserve">ORD-11313</t>
  </si>
  <si>
    <t xml:space="preserve">ORD-11314</t>
  </si>
  <si>
    <t xml:space="preserve">2024-12-07</t>
  </si>
  <si>
    <t xml:space="preserve">ORD-11315</t>
  </si>
  <si>
    <t xml:space="preserve">ORD-11316</t>
  </si>
  <si>
    <t xml:space="preserve">2024-03-19</t>
  </si>
  <si>
    <t xml:space="preserve">ORD-11317</t>
  </si>
  <si>
    <t xml:space="preserve">ORD-11318</t>
  </si>
  <si>
    <t xml:space="preserve">ORD-11319</t>
  </si>
  <si>
    <t xml:space="preserve">ORD-11320</t>
  </si>
  <si>
    <t xml:space="preserve">ORD-11321</t>
  </si>
  <si>
    <t xml:space="preserve">ORD-11322</t>
  </si>
  <si>
    <t xml:space="preserve">2023-09-04</t>
  </si>
  <si>
    <t xml:space="preserve">ORD-11323</t>
  </si>
  <si>
    <t xml:space="preserve">2024-01-27</t>
  </si>
  <si>
    <t xml:space="preserve">ORD-11324</t>
  </si>
  <si>
    <t xml:space="preserve">2023-07-12</t>
  </si>
  <si>
    <t xml:space="preserve">ORD-11325</t>
  </si>
  <si>
    <t xml:space="preserve">ORD-11326</t>
  </si>
  <si>
    <t xml:space="preserve">ORD-11327</t>
  </si>
  <si>
    <t xml:space="preserve">2023-03-01</t>
  </si>
  <si>
    <t xml:space="preserve">ORD-11328</t>
  </si>
  <si>
    <t xml:space="preserve">ORD-11329</t>
  </si>
  <si>
    <t xml:space="preserve">ORD-11330</t>
  </si>
  <si>
    <t xml:space="preserve">ORD-11331</t>
  </si>
  <si>
    <t xml:space="preserve">2025-11-01</t>
  </si>
  <si>
    <t xml:space="preserve">ORD-11332</t>
  </si>
  <si>
    <t xml:space="preserve">ORD-11333</t>
  </si>
  <si>
    <t xml:space="preserve">ORD-11334</t>
  </si>
  <si>
    <t xml:space="preserve">ORD-11335</t>
  </si>
  <si>
    <t xml:space="preserve">ORD-11336</t>
  </si>
  <si>
    <t xml:space="preserve">ORD-11337</t>
  </si>
  <si>
    <t xml:space="preserve">ORD-11338</t>
  </si>
  <si>
    <t xml:space="preserve">ORD-11339</t>
  </si>
  <si>
    <t xml:space="preserve">ORD-11340</t>
  </si>
  <si>
    <t xml:space="preserve">ORD-11341</t>
  </si>
  <si>
    <t xml:space="preserve">2023-11-22</t>
  </si>
  <si>
    <t xml:space="preserve">ORD-11342</t>
  </si>
  <si>
    <t xml:space="preserve">ORD-11343</t>
  </si>
  <si>
    <t xml:space="preserve">ORD-11344</t>
  </si>
  <si>
    <t xml:space="preserve">2024-04-24</t>
  </si>
  <si>
    <t xml:space="preserve">ORD-11345</t>
  </si>
  <si>
    <t xml:space="preserve">2023-02-28</t>
  </si>
  <si>
    <t xml:space="preserve">ORD-11346</t>
  </si>
  <si>
    <t xml:space="preserve">ORD-11347</t>
  </si>
  <si>
    <t xml:space="preserve">ORD-11348</t>
  </si>
  <si>
    <t xml:space="preserve">2024-02-21</t>
  </si>
  <si>
    <t xml:space="preserve">ORD-11349</t>
  </si>
  <si>
    <t xml:space="preserve">ORD-11350</t>
  </si>
  <si>
    <t xml:space="preserve">ORD-11351</t>
  </si>
  <si>
    <t xml:space="preserve">2025-03-29</t>
  </si>
  <si>
    <t xml:space="preserve">ORD-11352</t>
  </si>
  <si>
    <t xml:space="preserve">ORD-11353</t>
  </si>
  <si>
    <t xml:space="preserve">ORD-11354</t>
  </si>
  <si>
    <t xml:space="preserve">ORD-11355</t>
  </si>
  <si>
    <t xml:space="preserve">ORD-11356</t>
  </si>
  <si>
    <t xml:space="preserve">ORD-11357</t>
  </si>
  <si>
    <t xml:space="preserve">ORD-11358</t>
  </si>
  <si>
    <t xml:space="preserve">ORD-11359</t>
  </si>
  <si>
    <t xml:space="preserve">ORD-11360</t>
  </si>
  <si>
    <t xml:space="preserve">ORD-11361</t>
  </si>
  <si>
    <t xml:space="preserve">ORD-11362</t>
  </si>
  <si>
    <t xml:space="preserve">ORD-11363</t>
  </si>
  <si>
    <t xml:space="preserve">ORD-11364</t>
  </si>
  <si>
    <t xml:space="preserve">2025-07-27</t>
  </si>
  <si>
    <t xml:space="preserve">ORD-11365</t>
  </si>
  <si>
    <t xml:space="preserve">2023-10-28</t>
  </si>
  <si>
    <t xml:space="preserve">ORD-11366</t>
  </si>
  <si>
    <t xml:space="preserve">ORD-11367</t>
  </si>
  <si>
    <t xml:space="preserve">2023-08-27</t>
  </si>
  <si>
    <t xml:space="preserve">ORD-11368</t>
  </si>
  <si>
    <t xml:space="preserve">ORD-11369</t>
  </si>
  <si>
    <t xml:space="preserve">ORD-11370</t>
  </si>
  <si>
    <t xml:space="preserve">2023-02-08</t>
  </si>
  <si>
    <t xml:space="preserve">ORD-11371</t>
  </si>
  <si>
    <t xml:space="preserve">ORD-11372</t>
  </si>
  <si>
    <t xml:space="preserve">2025-05-11</t>
  </si>
  <si>
    <t xml:space="preserve">ORD-11373</t>
  </si>
  <si>
    <t xml:space="preserve">ORD-11374</t>
  </si>
  <si>
    <t xml:space="preserve">ORD-11375</t>
  </si>
  <si>
    <t xml:space="preserve">ORD-11376</t>
  </si>
  <si>
    <t xml:space="preserve">ORD-11377</t>
  </si>
  <si>
    <t xml:space="preserve">ORD-11378</t>
  </si>
  <si>
    <t xml:space="preserve">2024-03-23</t>
  </si>
  <si>
    <t xml:space="preserve">ORD-11379</t>
  </si>
  <si>
    <t xml:space="preserve">ORD-11380</t>
  </si>
  <si>
    <t xml:space="preserve">2023-08-05</t>
  </si>
  <si>
    <t xml:space="preserve">ORD-11381</t>
  </si>
  <si>
    <t xml:space="preserve">2025-08-08</t>
  </si>
  <si>
    <t xml:space="preserve">ORD-11382</t>
  </si>
  <si>
    <t xml:space="preserve">ORD-11383</t>
  </si>
  <si>
    <t xml:space="preserve">ORD-11384</t>
  </si>
  <si>
    <t xml:space="preserve">ORD-11385</t>
  </si>
  <si>
    <t xml:space="preserve">2025-03-08</t>
  </si>
  <si>
    <t xml:space="preserve">ORD-11386</t>
  </si>
  <si>
    <t xml:space="preserve">ORD-11387</t>
  </si>
  <si>
    <t xml:space="preserve">2024-05-10</t>
  </si>
  <si>
    <t xml:space="preserve">ORD-11388</t>
  </si>
  <si>
    <t xml:space="preserve">ORD-11389</t>
  </si>
  <si>
    <t xml:space="preserve">2025-02-28</t>
  </si>
  <si>
    <t xml:space="preserve">ORD-11390</t>
  </si>
  <si>
    <t xml:space="preserve">2023-02-18</t>
  </si>
  <si>
    <t xml:space="preserve">ORD-11391</t>
  </si>
  <si>
    <t xml:space="preserve">ORD-11392</t>
  </si>
  <si>
    <t xml:space="preserve">2023-08-17</t>
  </si>
  <si>
    <t xml:space="preserve">ORD-11393</t>
  </si>
  <si>
    <t xml:space="preserve">2024-03-06</t>
  </si>
  <si>
    <t xml:space="preserve">ORD-11394</t>
  </si>
  <si>
    <t xml:space="preserve">ORD-11395</t>
  </si>
  <si>
    <t xml:space="preserve">ORD-11396</t>
  </si>
  <si>
    <t xml:space="preserve">ORD-11397</t>
  </si>
  <si>
    <t xml:space="preserve">2023-09-21</t>
  </si>
  <si>
    <t xml:space="preserve">ORD-11398</t>
  </si>
  <si>
    <t xml:space="preserve">2023-10-31</t>
  </si>
  <si>
    <t xml:space="preserve">ORD-11399</t>
  </si>
  <si>
    <t xml:space="preserve">2023-12-15</t>
  </si>
  <si>
    <t xml:space="preserve">ORD-11400</t>
  </si>
  <si>
    <t xml:space="preserve">2025-09-14</t>
  </si>
  <si>
    <t xml:space="preserve">ORD-11401</t>
  </si>
  <si>
    <t xml:space="preserve">2023-09-02</t>
  </si>
  <si>
    <t xml:space="preserve">ORD-11402</t>
  </si>
  <si>
    <t xml:space="preserve">2025-12-09</t>
  </si>
  <si>
    <t xml:space="preserve">ORD-11403</t>
  </si>
  <si>
    <t xml:space="preserve">ORD-11404</t>
  </si>
  <si>
    <t xml:space="preserve">ORD-11405</t>
  </si>
  <si>
    <t xml:space="preserve">ORD-11406</t>
  </si>
  <si>
    <t xml:space="preserve">2024-01-25</t>
  </si>
  <si>
    <t xml:space="preserve">ORD-11407</t>
  </si>
  <si>
    <t xml:space="preserve">ORD-11408</t>
  </si>
  <si>
    <t xml:space="preserve">ORD-11409</t>
  </si>
  <si>
    <t xml:space="preserve">ORD-11410</t>
  </si>
  <si>
    <t xml:space="preserve">ORD-11411</t>
  </si>
  <si>
    <t xml:space="preserve">ORD-11412</t>
  </si>
  <si>
    <t xml:space="preserve">ORD-11413</t>
  </si>
  <si>
    <t xml:space="preserve">ORD-11414</t>
  </si>
  <si>
    <t xml:space="preserve">2023-08-11</t>
  </si>
  <si>
    <t xml:space="preserve">ORD-11415</t>
  </si>
  <si>
    <t xml:space="preserve">ORD-11416</t>
  </si>
  <si>
    <t xml:space="preserve">ORD-11417</t>
  </si>
  <si>
    <t xml:space="preserve">ORD-11418</t>
  </si>
  <si>
    <t xml:space="preserve">2024-10-07</t>
  </si>
  <si>
    <t xml:space="preserve">ORD-11419</t>
  </si>
  <si>
    <t xml:space="preserve">ORD-11420</t>
  </si>
  <si>
    <t xml:space="preserve">ORD-11421</t>
  </si>
  <si>
    <t xml:space="preserve">ORD-11422</t>
  </si>
  <si>
    <t xml:space="preserve">2023-04-05</t>
  </si>
  <si>
    <t xml:space="preserve">ORD-11423</t>
  </si>
  <si>
    <t xml:space="preserve">ORD-11424</t>
  </si>
  <si>
    <t xml:space="preserve">ORD-11425</t>
  </si>
  <si>
    <t xml:space="preserve">ORD-11426</t>
  </si>
  <si>
    <t xml:space="preserve">ORD-11427</t>
  </si>
  <si>
    <t xml:space="preserve">ORD-11428</t>
  </si>
  <si>
    <t xml:space="preserve">ORD-11429</t>
  </si>
  <si>
    <t xml:space="preserve">ORD-11430</t>
  </si>
  <si>
    <t xml:space="preserve">ORD-11431</t>
  </si>
  <si>
    <t xml:space="preserve">ORD-11432</t>
  </si>
  <si>
    <t xml:space="preserve">ORD-11433</t>
  </si>
  <si>
    <t xml:space="preserve">ORD-11434</t>
  </si>
  <si>
    <t xml:space="preserve">ORD-11435</t>
  </si>
  <si>
    <t xml:space="preserve">ORD-11436</t>
  </si>
  <si>
    <t xml:space="preserve">ORD-11437</t>
  </si>
  <si>
    <t xml:space="preserve">ORD-11438</t>
  </si>
  <si>
    <t xml:space="preserve">ORD-11439</t>
  </si>
  <si>
    <t xml:space="preserve">ORD-11440</t>
  </si>
  <si>
    <t xml:space="preserve">2025-01-03</t>
  </si>
  <si>
    <t xml:space="preserve">ORD-11441</t>
  </si>
  <si>
    <t xml:space="preserve">2023-08-18</t>
  </si>
  <si>
    <t xml:space="preserve">ORD-11442</t>
  </si>
  <si>
    <t xml:space="preserve">2023-05-14</t>
  </si>
  <si>
    <t xml:space="preserve">ORD-11443</t>
  </si>
  <si>
    <t xml:space="preserve">ORD-11444</t>
  </si>
  <si>
    <t xml:space="preserve">2023-11-15</t>
  </si>
  <si>
    <t xml:space="preserve">ORD-11445</t>
  </si>
  <si>
    <t xml:space="preserve">ORD-11446</t>
  </si>
  <si>
    <t xml:space="preserve">2023-08-13</t>
  </si>
  <si>
    <t xml:space="preserve">ORD-11447</t>
  </si>
  <si>
    <t xml:space="preserve">2024-10-19</t>
  </si>
  <si>
    <t xml:space="preserve">ORD-11448</t>
  </si>
  <si>
    <t xml:space="preserve">2025-02-11</t>
  </si>
  <si>
    <t xml:space="preserve">ORD-11449</t>
  </si>
  <si>
    <t xml:space="preserve">ORD-11450</t>
  </si>
  <si>
    <t xml:space="preserve">ORD-11451</t>
  </si>
  <si>
    <t xml:space="preserve">ORD-11452</t>
  </si>
  <si>
    <t xml:space="preserve">ORD-11453</t>
  </si>
  <si>
    <t xml:space="preserve">ORD-11454</t>
  </si>
  <si>
    <t xml:space="preserve">2023-09-27</t>
  </si>
  <si>
    <t xml:space="preserve">ORD-11455</t>
  </si>
  <si>
    <t xml:space="preserve">ORD-11456</t>
  </si>
  <si>
    <t xml:space="preserve">ORD-11457</t>
  </si>
  <si>
    <t xml:space="preserve">ORD-11458</t>
  </si>
  <si>
    <t xml:space="preserve">ORD-11459</t>
  </si>
  <si>
    <t xml:space="preserve">ORD-11460</t>
  </si>
  <si>
    <t xml:space="preserve">2024-09-20</t>
  </si>
  <si>
    <t xml:space="preserve">ORD-11461</t>
  </si>
  <si>
    <t xml:space="preserve">2024-03-30</t>
  </si>
  <si>
    <t xml:space="preserve">ORD-11462</t>
  </si>
  <si>
    <t xml:space="preserve">ORD-11463</t>
  </si>
  <si>
    <t xml:space="preserve">ORD-11464</t>
  </si>
  <si>
    <t xml:space="preserve">ORD-11465</t>
  </si>
  <si>
    <t xml:space="preserve">ORD-11466</t>
  </si>
  <si>
    <t xml:space="preserve">ORD-11467</t>
  </si>
  <si>
    <t xml:space="preserve">ORD-11468</t>
  </si>
  <si>
    <t xml:space="preserve">ORD-11469</t>
  </si>
  <si>
    <t xml:space="preserve">ORD-11470</t>
  </si>
  <si>
    <t xml:space="preserve">ORD-11471</t>
  </si>
  <si>
    <t xml:space="preserve">ORD-11472</t>
  </si>
  <si>
    <t xml:space="preserve">ORD-11473</t>
  </si>
  <si>
    <t xml:space="preserve">2024-05-09</t>
  </si>
  <si>
    <t xml:space="preserve">ORD-11474</t>
  </si>
  <si>
    <t xml:space="preserve">ORD-11475</t>
  </si>
  <si>
    <t xml:space="preserve">ORD-11476</t>
  </si>
  <si>
    <t xml:space="preserve">ORD-11477</t>
  </si>
  <si>
    <t xml:space="preserve">ORD-11478</t>
  </si>
  <si>
    <t xml:space="preserve">ORD-11479</t>
  </si>
  <si>
    <t xml:space="preserve">ORD-11480</t>
  </si>
  <si>
    <t xml:space="preserve">ORD-11481</t>
  </si>
  <si>
    <t xml:space="preserve">ORD-11482</t>
  </si>
  <si>
    <t xml:space="preserve">ORD-11483</t>
  </si>
  <si>
    <t xml:space="preserve">ORD-11484</t>
  </si>
  <si>
    <t xml:space="preserve">ORD-11485</t>
  </si>
  <si>
    <t xml:space="preserve">2023-11-23</t>
  </si>
  <si>
    <t xml:space="preserve">ORD-11486</t>
  </si>
  <si>
    <t xml:space="preserve">2023-12-31</t>
  </si>
  <si>
    <t xml:space="preserve">ORD-11487</t>
  </si>
  <si>
    <t xml:space="preserve">ORD-11488</t>
  </si>
  <si>
    <t xml:space="preserve">2024-08-24</t>
  </si>
  <si>
    <t xml:space="preserve">ORD-11489</t>
  </si>
  <si>
    <t xml:space="preserve">ORD-11490</t>
  </si>
  <si>
    <t xml:space="preserve">ORD-11491</t>
  </si>
  <si>
    <t xml:space="preserve">ORD-11492</t>
  </si>
  <si>
    <t xml:space="preserve">2025-01-15</t>
  </si>
  <si>
    <t xml:space="preserve">ORD-11493</t>
  </si>
  <si>
    <t xml:space="preserve">ORD-11494</t>
  </si>
  <si>
    <t xml:space="preserve">ORD-11495</t>
  </si>
  <si>
    <t xml:space="preserve">ORD-11496</t>
  </si>
  <si>
    <t xml:space="preserve">ORD-11497</t>
  </si>
  <si>
    <t xml:space="preserve">ORD-11498</t>
  </si>
  <si>
    <t xml:space="preserve">2025-10-02</t>
  </si>
  <si>
    <t xml:space="preserve">ORD-11499</t>
  </si>
  <si>
    <t xml:space="preserve">ORD-11500</t>
  </si>
  <si>
    <t xml:space="preserve">ORD-11501</t>
  </si>
  <si>
    <t xml:space="preserve">2024-02-03</t>
  </si>
  <si>
    <t xml:space="preserve">ORD-11502</t>
  </si>
  <si>
    <t xml:space="preserve">ORD-11503</t>
  </si>
  <si>
    <t xml:space="preserve">2024-01-10</t>
  </si>
  <si>
    <t xml:space="preserve">ORD-11504</t>
  </si>
  <si>
    <t xml:space="preserve">2024-02-15</t>
  </si>
  <si>
    <t xml:space="preserve">ORD-11505</t>
  </si>
  <si>
    <t xml:space="preserve">2023-05-05</t>
  </si>
  <si>
    <t xml:space="preserve">ORD-11506</t>
  </si>
  <si>
    <t xml:space="preserve">ORD-11507</t>
  </si>
  <si>
    <t xml:space="preserve">ORD-11508</t>
  </si>
  <si>
    <t xml:space="preserve">ORD-11509</t>
  </si>
  <si>
    <t xml:space="preserve">ORD-11510</t>
  </si>
  <si>
    <t xml:space="preserve">2025-07-06</t>
  </si>
  <si>
    <t xml:space="preserve">ORD-11511</t>
  </si>
  <si>
    <t xml:space="preserve">ORD-11512</t>
  </si>
  <si>
    <t xml:space="preserve">ORD-11513</t>
  </si>
  <si>
    <t xml:space="preserve">2024-02-16</t>
  </si>
  <si>
    <t xml:space="preserve">ORD-11514</t>
  </si>
  <si>
    <t xml:space="preserve">2025-10-01</t>
  </si>
  <si>
    <t xml:space="preserve">ORD-11515</t>
  </si>
  <si>
    <t xml:space="preserve">ORD-11516</t>
  </si>
  <si>
    <t xml:space="preserve">ORD-11517</t>
  </si>
  <si>
    <t xml:space="preserve">ORD-11518</t>
  </si>
  <si>
    <t xml:space="preserve">ORD-11519</t>
  </si>
  <si>
    <t xml:space="preserve">ORD-11520</t>
  </si>
  <si>
    <t xml:space="preserve">ORD-11521</t>
  </si>
  <si>
    <t xml:space="preserve">ORD-11522</t>
  </si>
  <si>
    <t xml:space="preserve">ORD-11523</t>
  </si>
  <si>
    <t xml:space="preserve">ORD-11524</t>
  </si>
  <si>
    <t xml:space="preserve">ORD-11525</t>
  </si>
  <si>
    <t xml:space="preserve">2024-08-09</t>
  </si>
  <si>
    <t xml:space="preserve">ORD-11526</t>
  </si>
  <si>
    <t xml:space="preserve">2025-10-16</t>
  </si>
  <si>
    <t xml:space="preserve">ORD-11527</t>
  </si>
  <si>
    <t xml:space="preserve">ORD-11528</t>
  </si>
  <si>
    <t xml:space="preserve">ORD-11529</t>
  </si>
  <si>
    <t xml:space="preserve">ORD-11530</t>
  </si>
  <si>
    <t xml:space="preserve">2024-08-20</t>
  </si>
  <si>
    <t xml:space="preserve">ORD-11531</t>
  </si>
  <si>
    <t xml:space="preserve">2025-06-21</t>
  </si>
  <si>
    <t xml:space="preserve">ORD-11532</t>
  </si>
  <si>
    <t xml:space="preserve">ORD-11533</t>
  </si>
  <si>
    <t xml:space="preserve">2024-10-20</t>
  </si>
  <si>
    <t xml:space="preserve">ORD-11534</t>
  </si>
  <si>
    <t xml:space="preserve">ORD-11535</t>
  </si>
  <si>
    <t xml:space="preserve">2025-03-03</t>
  </si>
  <si>
    <t xml:space="preserve">ORD-11536</t>
  </si>
  <si>
    <t xml:space="preserve">ORD-11537</t>
  </si>
  <si>
    <t xml:space="preserve">2025-03-06</t>
  </si>
  <si>
    <t xml:space="preserve">ORD-11538</t>
  </si>
  <si>
    <t xml:space="preserve">2024-04-09</t>
  </si>
  <si>
    <t xml:space="preserve">ORD-11539</t>
  </si>
  <si>
    <t xml:space="preserve">ORD-11540</t>
  </si>
  <si>
    <t xml:space="preserve">ORD-11541</t>
  </si>
  <si>
    <t xml:space="preserve">ORD-11542</t>
  </si>
  <si>
    <t xml:space="preserve">ORD-11543</t>
  </si>
  <si>
    <t xml:space="preserve">ORD-11544</t>
  </si>
  <si>
    <t xml:space="preserve">ORD-11545</t>
  </si>
  <si>
    <t xml:space="preserve">ORD-11546</t>
  </si>
  <si>
    <t xml:space="preserve">ORD-11547</t>
  </si>
  <si>
    <t xml:space="preserve">ORD-11548</t>
  </si>
  <si>
    <t xml:space="preserve">ORD-11549</t>
  </si>
  <si>
    <t xml:space="preserve">ORD-11550</t>
  </si>
  <si>
    <t xml:space="preserve">ORD-11551</t>
  </si>
  <si>
    <t xml:space="preserve">ORD-11552</t>
  </si>
  <si>
    <t xml:space="preserve">ORD-11553</t>
  </si>
  <si>
    <t xml:space="preserve">ORD-11554</t>
  </si>
  <si>
    <t xml:space="preserve">ORD-11555</t>
  </si>
  <si>
    <t xml:space="preserve">ORD-11556</t>
  </si>
  <si>
    <t xml:space="preserve">ORD-11557</t>
  </si>
  <si>
    <t xml:space="preserve">ORD-11558</t>
  </si>
  <si>
    <t xml:space="preserve">ORD-11559</t>
  </si>
  <si>
    <t xml:space="preserve">ORD-11560</t>
  </si>
  <si>
    <t xml:space="preserve">ORD-11561</t>
  </si>
  <si>
    <t xml:space="preserve">2025-08-01</t>
  </si>
  <si>
    <t xml:space="preserve">ORD-11562</t>
  </si>
  <si>
    <t xml:space="preserve">ORD-11563</t>
  </si>
  <si>
    <t xml:space="preserve">ORD-11564</t>
  </si>
  <si>
    <t xml:space="preserve">ORD-11565</t>
  </si>
  <si>
    <t xml:space="preserve">ORD-11566</t>
  </si>
  <si>
    <t xml:space="preserve">ORD-11567</t>
  </si>
  <si>
    <t xml:space="preserve">ORD-11568</t>
  </si>
  <si>
    <t xml:space="preserve">ORD-11569</t>
  </si>
  <si>
    <t xml:space="preserve">ORD-11570</t>
  </si>
  <si>
    <t xml:space="preserve">ORD-11571</t>
  </si>
  <si>
    <t xml:space="preserve">ORD-11572</t>
  </si>
  <si>
    <t xml:space="preserve">ORD-11573</t>
  </si>
  <si>
    <t xml:space="preserve">ORD-11574</t>
  </si>
  <si>
    <t xml:space="preserve">2025-06-08</t>
  </si>
  <si>
    <t xml:space="preserve">ORD-11575</t>
  </si>
  <si>
    <t xml:space="preserve">2023-11-03</t>
  </si>
  <si>
    <t xml:space="preserve">ORD-11576</t>
  </si>
  <si>
    <t xml:space="preserve">ORD-11577</t>
  </si>
  <si>
    <t xml:space="preserve">2023-05-03</t>
  </si>
  <si>
    <t xml:space="preserve">ORD-11578</t>
  </si>
  <si>
    <t xml:space="preserve">ORD-11579</t>
  </si>
  <si>
    <t xml:space="preserve">ORD-11580</t>
  </si>
  <si>
    <t xml:space="preserve">ORD-11581</t>
  </si>
  <si>
    <t xml:space="preserve">ORD-11582</t>
  </si>
  <si>
    <t xml:space="preserve">ORD-11583</t>
  </si>
  <si>
    <t xml:space="preserve">ORD-11584</t>
  </si>
  <si>
    <t xml:space="preserve">ORD-11585</t>
  </si>
  <si>
    <t xml:space="preserve">ORD-11586</t>
  </si>
  <si>
    <t xml:space="preserve">ORD-11587</t>
  </si>
  <si>
    <t xml:space="preserve">ORD-11588</t>
  </si>
  <si>
    <t xml:space="preserve">ORD-11589</t>
  </si>
  <si>
    <t xml:space="preserve">ORD-11590</t>
  </si>
  <si>
    <t xml:space="preserve">ORD-11591</t>
  </si>
  <si>
    <t xml:space="preserve">ORD-11592</t>
  </si>
  <si>
    <t xml:space="preserve">ORD-11593</t>
  </si>
  <si>
    <t xml:space="preserve">ORD-11594</t>
  </si>
  <si>
    <t xml:space="preserve">ORD-11595</t>
  </si>
  <si>
    <t xml:space="preserve">ORD-11596</t>
  </si>
  <si>
    <t xml:space="preserve">ORD-11597</t>
  </si>
  <si>
    <t xml:space="preserve">2024-06-18</t>
  </si>
  <si>
    <t xml:space="preserve">ORD-11598</t>
  </si>
  <si>
    <t xml:space="preserve">ORD-11599</t>
  </si>
  <si>
    <t xml:space="preserve">ORD-11600</t>
  </si>
  <si>
    <t xml:space="preserve">ORD-11601</t>
  </si>
  <si>
    <t xml:space="preserve">ORD-11602</t>
  </si>
  <si>
    <t xml:space="preserve">ORD-11603</t>
  </si>
  <si>
    <t xml:space="preserve">ORD-11604</t>
  </si>
  <si>
    <t xml:space="preserve">ORD-11605</t>
  </si>
  <si>
    <t xml:space="preserve">ORD-11606</t>
  </si>
  <si>
    <t xml:space="preserve">ORD-11607</t>
  </si>
  <si>
    <t xml:space="preserve">ORD-11608</t>
  </si>
  <si>
    <t xml:space="preserve">2023-01-01</t>
  </si>
  <si>
    <t xml:space="preserve">ORD-11609</t>
  </si>
  <si>
    <t xml:space="preserve">2025-02-02</t>
  </si>
  <si>
    <t xml:space="preserve">ORD-11610</t>
  </si>
  <si>
    <t xml:space="preserve">2024-02-24</t>
  </si>
  <si>
    <t xml:space="preserve">ORD-11611</t>
  </si>
  <si>
    <t xml:space="preserve">ORD-11612</t>
  </si>
  <si>
    <t xml:space="preserve">ORD-11613</t>
  </si>
  <si>
    <t xml:space="preserve">ORD-11614</t>
  </si>
  <si>
    <t xml:space="preserve">ORD-11615</t>
  </si>
  <si>
    <t xml:space="preserve">ORD-11616</t>
  </si>
  <si>
    <t xml:space="preserve">2023-07-01</t>
  </si>
  <si>
    <t xml:space="preserve">ORD-11617</t>
  </si>
  <si>
    <t xml:space="preserve">2024-10-18</t>
  </si>
  <si>
    <t xml:space="preserve">ORD-11618</t>
  </si>
  <si>
    <t xml:space="preserve">ORD-11619</t>
  </si>
  <si>
    <t xml:space="preserve">ORD-11620</t>
  </si>
  <si>
    <t xml:space="preserve">ORD-11621</t>
  </si>
  <si>
    <t xml:space="preserve">ORD-11622</t>
  </si>
  <si>
    <t xml:space="preserve">ORD-11623</t>
  </si>
  <si>
    <t xml:space="preserve">2024-11-16</t>
  </si>
  <si>
    <t xml:space="preserve">ORD-11624</t>
  </si>
  <si>
    <t xml:space="preserve">2024-12-20</t>
  </si>
  <si>
    <t xml:space="preserve">ORD-11625</t>
  </si>
  <si>
    <t xml:space="preserve">ORD-11626</t>
  </si>
  <si>
    <t xml:space="preserve">ORD-11627</t>
  </si>
  <si>
    <t xml:space="preserve">ORD-11628</t>
  </si>
  <si>
    <t xml:space="preserve">ORD-11629</t>
  </si>
  <si>
    <t xml:space="preserve">ORD-11630</t>
  </si>
  <si>
    <t xml:space="preserve">2025-02-24</t>
  </si>
  <si>
    <t xml:space="preserve">ORD-11631</t>
  </si>
  <si>
    <t xml:space="preserve">ORD-11632</t>
  </si>
  <si>
    <t xml:space="preserve">ORD-11633</t>
  </si>
  <si>
    <t xml:space="preserve">ORD-11634</t>
  </si>
  <si>
    <t xml:space="preserve">ORD-11635</t>
  </si>
  <si>
    <t xml:space="preserve">ORD-11636</t>
  </si>
  <si>
    <t xml:space="preserve">ORD-11637</t>
  </si>
  <si>
    <t xml:space="preserve">ORD-11638</t>
  </si>
  <si>
    <t xml:space="preserve">ORD-11639</t>
  </si>
  <si>
    <t xml:space="preserve">2025-01-24</t>
  </si>
  <si>
    <t xml:space="preserve">ORD-11640</t>
  </si>
  <si>
    <t xml:space="preserve">ORD-11641</t>
  </si>
  <si>
    <t xml:space="preserve">ORD-11642</t>
  </si>
  <si>
    <t xml:space="preserve">ORD-11643</t>
  </si>
  <si>
    <t xml:space="preserve">ORD-11644</t>
  </si>
  <si>
    <t xml:space="preserve">ORD-11645</t>
  </si>
  <si>
    <t xml:space="preserve">ORD-11646</t>
  </si>
  <si>
    <t xml:space="preserve">2025-11-10</t>
  </si>
  <si>
    <t xml:space="preserve">ORD-11647</t>
  </si>
  <si>
    <t xml:space="preserve">ORD-11648</t>
  </si>
  <si>
    <t xml:space="preserve">ORD-11649</t>
  </si>
  <si>
    <t xml:space="preserve">ORD-11650</t>
  </si>
  <si>
    <t xml:space="preserve">ORD-11651</t>
  </si>
  <si>
    <t xml:space="preserve">ORD-11652</t>
  </si>
  <si>
    <t xml:space="preserve">ORD-11653</t>
  </si>
  <si>
    <t xml:space="preserve">ORD-11654</t>
  </si>
  <si>
    <t xml:space="preserve">ORD-11655</t>
  </si>
  <si>
    <t xml:space="preserve">ORD-11656</t>
  </si>
  <si>
    <t xml:space="preserve">ORD-11657</t>
  </si>
  <si>
    <t xml:space="preserve">2025-08-05</t>
  </si>
  <si>
    <t xml:space="preserve">ORD-11658</t>
  </si>
  <si>
    <t xml:space="preserve">ORD-11659</t>
  </si>
  <si>
    <t xml:space="preserve">2025-07-29</t>
  </si>
  <si>
    <t xml:space="preserve">ORD-11660</t>
  </si>
  <si>
    <t xml:space="preserve">2024-01-22</t>
  </si>
  <si>
    <t xml:space="preserve">ORD-11661</t>
  </si>
  <si>
    <t xml:space="preserve">ORD-11662</t>
  </si>
  <si>
    <t xml:space="preserve">ORD-11663</t>
  </si>
  <si>
    <t xml:space="preserve">ORD-11664</t>
  </si>
  <si>
    <t xml:space="preserve">ORD-11665</t>
  </si>
  <si>
    <t xml:space="preserve">ORD-11666</t>
  </si>
  <si>
    <t xml:space="preserve">2025-02-23</t>
  </si>
  <si>
    <t xml:space="preserve">ORD-11667</t>
  </si>
  <si>
    <t xml:space="preserve">ORD-11668</t>
  </si>
  <si>
    <t xml:space="preserve">ORD-11669</t>
  </si>
  <si>
    <t xml:space="preserve">ORD-11670</t>
  </si>
  <si>
    <t xml:space="preserve">ORD-11671</t>
  </si>
  <si>
    <t xml:space="preserve">ORD-11672</t>
  </si>
  <si>
    <t xml:space="preserve">ORD-11673</t>
  </si>
  <si>
    <t xml:space="preserve">ORD-11674</t>
  </si>
  <si>
    <t xml:space="preserve">ORD-11675</t>
  </si>
  <si>
    <t xml:space="preserve">ORD-11676</t>
  </si>
  <si>
    <t xml:space="preserve">ORD-11677</t>
  </si>
  <si>
    <t xml:space="preserve">ORD-11678</t>
  </si>
  <si>
    <t xml:space="preserve">ORD-11679</t>
  </si>
  <si>
    <t xml:space="preserve">ORD-11680</t>
  </si>
  <si>
    <t xml:space="preserve">ORD-11681</t>
  </si>
  <si>
    <t xml:space="preserve">ORD-11682</t>
  </si>
  <si>
    <t xml:space="preserve">2024-01-18</t>
  </si>
  <si>
    <t xml:space="preserve">ORD-11683</t>
  </si>
  <si>
    <t xml:space="preserve">ORD-11684</t>
  </si>
  <si>
    <t xml:space="preserve">2024-05-18</t>
  </si>
  <si>
    <t xml:space="preserve">ORD-11685</t>
  </si>
  <si>
    <t xml:space="preserve">ORD-11686</t>
  </si>
  <si>
    <t xml:space="preserve">ORD-11687</t>
  </si>
  <si>
    <t xml:space="preserve">ORD-11688</t>
  </si>
  <si>
    <t xml:space="preserve">2023-08-25</t>
  </si>
  <si>
    <t xml:space="preserve">ORD-11689</t>
  </si>
  <si>
    <t xml:space="preserve">ORD-11690</t>
  </si>
  <si>
    <t xml:space="preserve">2025-03-22</t>
  </si>
  <si>
    <t xml:space="preserve">ORD-11691</t>
  </si>
  <si>
    <t xml:space="preserve">ORD-11692</t>
  </si>
  <si>
    <t xml:space="preserve">2025-03-02</t>
  </si>
  <si>
    <t xml:space="preserve">ORD-11693</t>
  </si>
  <si>
    <t xml:space="preserve">ORD-11694</t>
  </si>
  <si>
    <t xml:space="preserve">ORD-11695</t>
  </si>
  <si>
    <t xml:space="preserve">ORD-11696</t>
  </si>
  <si>
    <t xml:space="preserve">2025-11-02</t>
  </si>
  <si>
    <t xml:space="preserve">ORD-11697</t>
  </si>
  <si>
    <t xml:space="preserve">ORD-11698</t>
  </si>
  <si>
    <t xml:space="preserve">ORD-11699</t>
  </si>
  <si>
    <t xml:space="preserve">ORD-11700</t>
  </si>
  <si>
    <t xml:space="preserve">ORD-11701</t>
  </si>
  <si>
    <t xml:space="preserve">ORD-11702</t>
  </si>
  <si>
    <t xml:space="preserve">ORD-11703</t>
  </si>
  <si>
    <t xml:space="preserve">ORD-11704</t>
  </si>
  <si>
    <t xml:space="preserve">ORD-11705</t>
  </si>
  <si>
    <t xml:space="preserve">ORD-11706</t>
  </si>
  <si>
    <t xml:space="preserve">ORD-11707</t>
  </si>
  <si>
    <t xml:space="preserve">ORD-11708</t>
  </si>
  <si>
    <t xml:space="preserve">ORD-11709</t>
  </si>
  <si>
    <t xml:space="preserve">2023-12-04</t>
  </si>
  <si>
    <t xml:space="preserve">ORD-11710</t>
  </si>
  <si>
    <t xml:space="preserve">2023-01-18</t>
  </si>
  <si>
    <t xml:space="preserve">ORD-11711</t>
  </si>
  <si>
    <t xml:space="preserve">2023-10-01</t>
  </si>
  <si>
    <t xml:space="preserve">ORD-11712</t>
  </si>
  <si>
    <t xml:space="preserve">ORD-11713</t>
  </si>
  <si>
    <t xml:space="preserve">ORD-11714</t>
  </si>
  <si>
    <t xml:space="preserve">2024-08-05</t>
  </si>
  <si>
    <t xml:space="preserve">ORD-11715</t>
  </si>
  <si>
    <t xml:space="preserve">ORD-11716</t>
  </si>
  <si>
    <t xml:space="preserve">ORD-11717</t>
  </si>
  <si>
    <t xml:space="preserve">2023-11-14</t>
  </si>
  <si>
    <t xml:space="preserve">ORD-11718</t>
  </si>
  <si>
    <t xml:space="preserve">ORD-11719</t>
  </si>
  <si>
    <t xml:space="preserve">ORD-11720</t>
  </si>
  <si>
    <t xml:space="preserve">ORD-11721</t>
  </si>
  <si>
    <t xml:space="preserve">ORD-11722</t>
  </si>
  <si>
    <t xml:space="preserve">ORD-11723</t>
  </si>
  <si>
    <t xml:space="preserve">2025-10-11</t>
  </si>
  <si>
    <t xml:space="preserve">ORD-11724</t>
  </si>
  <si>
    <t xml:space="preserve">ORD-11725</t>
  </si>
  <si>
    <t xml:space="preserve">2025-10-31</t>
  </si>
  <si>
    <t xml:space="preserve">ORD-11726</t>
  </si>
  <si>
    <t xml:space="preserve">ORD-11727</t>
  </si>
  <si>
    <t xml:space="preserve">ORD-11728</t>
  </si>
  <si>
    <t xml:space="preserve">ORD-11729</t>
  </si>
  <si>
    <t xml:space="preserve">2024-04-14</t>
  </si>
  <si>
    <t xml:space="preserve">ORD-11730</t>
  </si>
  <si>
    <t xml:space="preserve">ORD-11731</t>
  </si>
  <si>
    <t xml:space="preserve">ORD-11732</t>
  </si>
  <si>
    <t xml:space="preserve">ORD-11733</t>
  </si>
  <si>
    <t xml:space="preserve">ORD-11734</t>
  </si>
  <si>
    <t xml:space="preserve">ORD-11735</t>
  </si>
  <si>
    <t xml:space="preserve">ORD-11736</t>
  </si>
  <si>
    <t xml:space="preserve">ORD-11737</t>
  </si>
  <si>
    <t xml:space="preserve">ORD-11738</t>
  </si>
  <si>
    <t xml:space="preserve">2023-07-08</t>
  </si>
  <si>
    <t xml:space="preserve">ORD-11739</t>
  </si>
  <si>
    <t xml:space="preserve">ORD-11740</t>
  </si>
  <si>
    <t xml:space="preserve">ORD-11741</t>
  </si>
  <si>
    <t xml:space="preserve">ORD-11742</t>
  </si>
  <si>
    <t xml:space="preserve">ORD-11743</t>
  </si>
  <si>
    <t xml:space="preserve">ORD-11744</t>
  </si>
  <si>
    <t xml:space="preserve">ORD-11745</t>
  </si>
  <si>
    <t xml:space="preserve">ORD-11746</t>
  </si>
  <si>
    <t xml:space="preserve">ORD-11747</t>
  </si>
  <si>
    <t xml:space="preserve">ORD-11748</t>
  </si>
  <si>
    <t xml:space="preserve">ORD-11749</t>
  </si>
  <si>
    <t xml:space="preserve">ORD-11750</t>
  </si>
  <si>
    <t xml:space="preserve">ORD-11751</t>
  </si>
  <si>
    <t xml:space="preserve">2024-08-31</t>
  </si>
  <si>
    <t xml:space="preserve">ORD-11752</t>
  </si>
  <si>
    <t xml:space="preserve">ORD-11753</t>
  </si>
  <si>
    <t xml:space="preserve">2023-03-29</t>
  </si>
  <si>
    <t xml:space="preserve">ORD-11754</t>
  </si>
  <si>
    <t xml:space="preserve">ORD-11755</t>
  </si>
  <si>
    <t xml:space="preserve">ORD-11756</t>
  </si>
  <si>
    <t xml:space="preserve">ORD-11757</t>
  </si>
  <si>
    <t xml:space="preserve">ORD-11758</t>
  </si>
  <si>
    <t xml:space="preserve">ORD-11759</t>
  </si>
  <si>
    <t xml:space="preserve">2023-09-20</t>
  </si>
  <si>
    <t xml:space="preserve">ORD-11760</t>
  </si>
  <si>
    <t xml:space="preserve">2023-04-06</t>
  </si>
  <si>
    <t xml:space="preserve">ORD-11761</t>
  </si>
  <si>
    <t xml:space="preserve">2023-01-29</t>
  </si>
  <si>
    <t xml:space="preserve">ORD-11762</t>
  </si>
  <si>
    <t xml:space="preserve">ORD-11763</t>
  </si>
  <si>
    <t xml:space="preserve">ORD-11764</t>
  </si>
  <si>
    <t xml:space="preserve">ORD-11765</t>
  </si>
  <si>
    <t xml:space="preserve">ORD-11766</t>
  </si>
  <si>
    <t xml:space="preserve">ORD-11767</t>
  </si>
  <si>
    <t xml:space="preserve">ORD-11768</t>
  </si>
  <si>
    <t xml:space="preserve">ORD-11769</t>
  </si>
  <si>
    <t xml:space="preserve">ORD-11770</t>
  </si>
  <si>
    <t xml:space="preserve">ORD-11771</t>
  </si>
  <si>
    <t xml:space="preserve">ORD-11772</t>
  </si>
  <si>
    <t xml:space="preserve">2025-04-03</t>
  </si>
  <si>
    <t xml:space="preserve">ORD-11773</t>
  </si>
  <si>
    <t xml:space="preserve">ORD-11774</t>
  </si>
  <si>
    <t xml:space="preserve">ORD-11775</t>
  </si>
  <si>
    <t xml:space="preserve">ORD-11776</t>
  </si>
  <si>
    <t xml:space="preserve">2024-06-09</t>
  </si>
  <si>
    <t xml:space="preserve">ORD-11777</t>
  </si>
  <si>
    <t xml:space="preserve">ORD-11778</t>
  </si>
  <si>
    <t xml:space="preserve">ORD-11779</t>
  </si>
  <si>
    <t xml:space="preserve">ORD-11780</t>
  </si>
  <si>
    <t xml:space="preserve">ORD-11781</t>
  </si>
  <si>
    <t xml:space="preserve">ORD-11782</t>
  </si>
  <si>
    <t xml:space="preserve">ORD-11783</t>
  </si>
  <si>
    <t xml:space="preserve">ORD-11784</t>
  </si>
  <si>
    <t xml:space="preserve">2023-01-16</t>
  </si>
  <si>
    <t xml:space="preserve">ORD-11785</t>
  </si>
  <si>
    <t xml:space="preserve">ORD-11786</t>
  </si>
  <si>
    <t xml:space="preserve">ORD-11787</t>
  </si>
  <si>
    <t xml:space="preserve">ORD-11788</t>
  </si>
  <si>
    <t xml:space="preserve">ORD-11789</t>
  </si>
  <si>
    <t xml:space="preserve">ORD-11790</t>
  </si>
  <si>
    <t xml:space="preserve">2023-10-04</t>
  </si>
  <si>
    <t xml:space="preserve">ORD-11791</t>
  </si>
  <si>
    <t xml:space="preserve">ORD-11792</t>
  </si>
  <si>
    <t xml:space="preserve">ORD-11793</t>
  </si>
  <si>
    <t xml:space="preserve">ORD-11794</t>
  </si>
  <si>
    <t xml:space="preserve">ORD-11795</t>
  </si>
  <si>
    <t xml:space="preserve">2023-03-04</t>
  </si>
  <si>
    <t xml:space="preserve">ORD-11796</t>
  </si>
  <si>
    <t xml:space="preserve">ORD-11797</t>
  </si>
  <si>
    <t xml:space="preserve">2025-10-29</t>
  </si>
  <si>
    <t xml:space="preserve">ORD-11798</t>
  </si>
  <si>
    <t xml:space="preserve">2025-09-03</t>
  </si>
  <si>
    <t xml:space="preserve">ORD-11799</t>
  </si>
  <si>
    <t xml:space="preserve">ORD-11800</t>
  </si>
  <si>
    <t xml:space="preserve">ORD-11801</t>
  </si>
  <si>
    <t xml:space="preserve">ORD-11802</t>
  </si>
  <si>
    <t xml:space="preserve">ORD-11803</t>
  </si>
  <si>
    <t xml:space="preserve">ORD-11804</t>
  </si>
  <si>
    <t xml:space="preserve">ORD-11805</t>
  </si>
  <si>
    <t xml:space="preserve">2024-06-13</t>
  </si>
  <si>
    <t xml:space="preserve">ORD-11806</t>
  </si>
  <si>
    <t xml:space="preserve">ORD-11807</t>
  </si>
  <si>
    <t xml:space="preserve">ORD-11808</t>
  </si>
  <si>
    <t xml:space="preserve">ORD-11809</t>
  </si>
  <si>
    <t xml:space="preserve">ORD-11810</t>
  </si>
  <si>
    <t xml:space="preserve">ORD-11811</t>
  </si>
  <si>
    <t xml:space="preserve">2023-02-17</t>
  </si>
  <si>
    <t xml:space="preserve">ORD-11812</t>
  </si>
  <si>
    <t xml:space="preserve">ORD-11813</t>
  </si>
  <si>
    <t xml:space="preserve">ORD-11814</t>
  </si>
  <si>
    <t xml:space="preserve">ORD-11815</t>
  </si>
  <si>
    <t xml:space="preserve">2025-12-13</t>
  </si>
  <si>
    <t xml:space="preserve">ORD-11816</t>
  </si>
  <si>
    <t xml:space="preserve">ORD-11817</t>
  </si>
  <si>
    <t xml:space="preserve">ORD-11818</t>
  </si>
  <si>
    <t xml:space="preserve">ORD-11819</t>
  </si>
  <si>
    <t xml:space="preserve">ORD-11820</t>
  </si>
  <si>
    <t xml:space="preserve">ORD-11821</t>
  </si>
  <si>
    <t xml:space="preserve">ORD-11822</t>
  </si>
  <si>
    <t xml:space="preserve">ORD-11823</t>
  </si>
  <si>
    <t xml:space="preserve">ORD-11824</t>
  </si>
  <si>
    <t xml:space="preserve">ORD-11825</t>
  </si>
  <si>
    <t xml:space="preserve">ORD-11826</t>
  </si>
  <si>
    <t xml:space="preserve">2023-05-31</t>
  </si>
  <si>
    <t xml:space="preserve">ORD-11827</t>
  </si>
  <si>
    <t xml:space="preserve">ORD-11828</t>
  </si>
  <si>
    <t xml:space="preserve">2024-05-01</t>
  </si>
  <si>
    <t xml:space="preserve">ORD-11829</t>
  </si>
  <si>
    <t xml:space="preserve">2025-05-23</t>
  </si>
  <si>
    <t xml:space="preserve">ORD-11830</t>
  </si>
  <si>
    <t xml:space="preserve">ORD-11831</t>
  </si>
  <si>
    <t xml:space="preserve">ORD-11832</t>
  </si>
  <si>
    <t xml:space="preserve">ORD-11833</t>
  </si>
  <si>
    <t xml:space="preserve">ORD-11834</t>
  </si>
  <si>
    <t xml:space="preserve">2025-07-05</t>
  </si>
  <si>
    <t xml:space="preserve">ORD-11835</t>
  </si>
  <si>
    <t xml:space="preserve">2025-12-18</t>
  </si>
  <si>
    <t xml:space="preserve">ORD-11836</t>
  </si>
  <si>
    <t xml:space="preserve">2025-01-28</t>
  </si>
  <si>
    <t xml:space="preserve">ORD-11837</t>
  </si>
  <si>
    <t xml:space="preserve">2024-08-15</t>
  </si>
  <si>
    <t xml:space="preserve">ORD-11838</t>
  </si>
  <si>
    <t xml:space="preserve">ORD-11839</t>
  </si>
  <si>
    <t xml:space="preserve">ORD-11840</t>
  </si>
  <si>
    <t xml:space="preserve">ORD-11841</t>
  </si>
  <si>
    <t xml:space="preserve">ORD-11842</t>
  </si>
  <si>
    <t xml:space="preserve">ORD-11843</t>
  </si>
  <si>
    <t xml:space="preserve">2025-05-05</t>
  </si>
  <si>
    <t xml:space="preserve">ORD-11844</t>
  </si>
  <si>
    <t xml:space="preserve">ORD-11845</t>
  </si>
  <si>
    <t xml:space="preserve">ORD-11846</t>
  </si>
  <si>
    <t xml:space="preserve">ORD-11847</t>
  </si>
  <si>
    <t xml:space="preserve">ORD-11848</t>
  </si>
  <si>
    <t xml:space="preserve">ORD-11849</t>
  </si>
  <si>
    <t xml:space="preserve">ORD-11850</t>
  </si>
  <si>
    <t xml:space="preserve">ORD-11851</t>
  </si>
  <si>
    <t xml:space="preserve">ORD-11852</t>
  </si>
  <si>
    <t xml:space="preserve">ORD-11853</t>
  </si>
  <si>
    <t xml:space="preserve">ORD-11854</t>
  </si>
  <si>
    <t xml:space="preserve">2025-12-04</t>
  </si>
  <si>
    <t xml:space="preserve">ORD-11855</t>
  </si>
  <si>
    <t xml:space="preserve">ORD-11856</t>
  </si>
  <si>
    <t xml:space="preserve">2023-04-30</t>
  </si>
  <si>
    <t xml:space="preserve">ORD-11857</t>
  </si>
  <si>
    <t xml:space="preserve">ORD-11858</t>
  </si>
  <si>
    <t xml:space="preserve">ORD-11859</t>
  </si>
  <si>
    <t xml:space="preserve">ORD-11860</t>
  </si>
  <si>
    <t xml:space="preserve">ORD-11861</t>
  </si>
  <si>
    <t xml:space="preserve">ORD-11862</t>
  </si>
  <si>
    <t xml:space="preserve">ORD-11863</t>
  </si>
  <si>
    <t xml:space="preserve">ORD-11864</t>
  </si>
  <si>
    <t xml:space="preserve">ORD-11865</t>
  </si>
  <si>
    <t xml:space="preserve">2023-07-13</t>
  </si>
  <si>
    <t xml:space="preserve">ORD-11866</t>
  </si>
  <si>
    <t xml:space="preserve">ORD-11867</t>
  </si>
  <si>
    <t xml:space="preserve">ORD-11868</t>
  </si>
  <si>
    <t xml:space="preserve">2025-11-29</t>
  </si>
  <si>
    <t xml:space="preserve">ORD-11869</t>
  </si>
  <si>
    <t xml:space="preserve">ORD-11870</t>
  </si>
  <si>
    <t xml:space="preserve">2025-04-16</t>
  </si>
  <si>
    <t xml:space="preserve">ORD-11871</t>
  </si>
  <si>
    <t xml:space="preserve">ORD-11872</t>
  </si>
  <si>
    <t xml:space="preserve">ORD-11873</t>
  </si>
  <si>
    <t xml:space="preserve">ORD-11874</t>
  </si>
  <si>
    <t xml:space="preserve">ORD-11875</t>
  </si>
  <si>
    <t xml:space="preserve">2023-12-23</t>
  </si>
  <si>
    <t xml:space="preserve">ORD-11876</t>
  </si>
  <si>
    <t xml:space="preserve">ORD-11877</t>
  </si>
  <si>
    <t xml:space="preserve">ORD-11878</t>
  </si>
  <si>
    <t xml:space="preserve">ORD-11879</t>
  </si>
  <si>
    <t xml:space="preserve">ORD-11880</t>
  </si>
  <si>
    <t xml:space="preserve">2023-03-15</t>
  </si>
  <si>
    <t xml:space="preserve">ORD-11881</t>
  </si>
  <si>
    <t xml:space="preserve">ORD-11882</t>
  </si>
  <si>
    <t xml:space="preserve">ORD-11883</t>
  </si>
  <si>
    <t xml:space="preserve">ORD-11884</t>
  </si>
  <si>
    <t xml:space="preserve">ORD-11885</t>
  </si>
  <si>
    <t xml:space="preserve">ORD-11886</t>
  </si>
  <si>
    <t xml:space="preserve">ORD-11887</t>
  </si>
  <si>
    <t xml:space="preserve">2023-12-10</t>
  </si>
  <si>
    <t xml:space="preserve">ORD-11888</t>
  </si>
  <si>
    <t xml:space="preserve">ORD-11889</t>
  </si>
  <si>
    <t xml:space="preserve">ORD-11890</t>
  </si>
  <si>
    <t xml:space="preserve">ORD-11891</t>
  </si>
  <si>
    <t xml:space="preserve">2024-11-02</t>
  </si>
  <si>
    <t xml:space="preserve">ORD-11892</t>
  </si>
  <si>
    <t xml:space="preserve">2024-03-29</t>
  </si>
  <si>
    <t xml:space="preserve">ORD-11893</t>
  </si>
  <si>
    <t xml:space="preserve">2025-10-30</t>
  </si>
  <si>
    <t xml:space="preserve">ORD-11894</t>
  </si>
  <si>
    <t xml:space="preserve">ORD-11895</t>
  </si>
  <si>
    <t xml:space="preserve">ORD-11896</t>
  </si>
  <si>
    <t xml:space="preserve">2025-11-15</t>
  </si>
  <si>
    <t xml:space="preserve">ORD-11897</t>
  </si>
  <si>
    <t xml:space="preserve">2024-11-14</t>
  </si>
  <si>
    <t xml:space="preserve">ORD-11898</t>
  </si>
  <si>
    <t xml:space="preserve">ORD-11899</t>
  </si>
  <si>
    <t xml:space="preserve">ORD-11900</t>
  </si>
  <si>
    <t xml:space="preserve">2024-06-28</t>
  </si>
  <si>
    <t xml:space="preserve">ORD-11901</t>
  </si>
  <si>
    <t xml:space="preserve">ORD-11902</t>
  </si>
  <si>
    <t xml:space="preserve">ORD-11903</t>
  </si>
  <si>
    <t xml:space="preserve">ORD-11904</t>
  </si>
  <si>
    <t xml:space="preserve">ORD-11905</t>
  </si>
  <si>
    <t xml:space="preserve">ORD-11906</t>
  </si>
  <si>
    <t xml:space="preserve">ORD-11907</t>
  </si>
  <si>
    <t xml:space="preserve">ORD-11908</t>
  </si>
  <si>
    <t xml:space="preserve">ORD-11909</t>
  </si>
  <si>
    <t xml:space="preserve">2024-02-22</t>
  </si>
  <si>
    <t xml:space="preserve">ORD-11910</t>
  </si>
  <si>
    <t xml:space="preserve">ORD-11911</t>
  </si>
  <si>
    <t xml:space="preserve">ORD-11912</t>
  </si>
  <si>
    <t xml:space="preserve">ORD-11913</t>
  </si>
  <si>
    <t xml:space="preserve">ORD-11914</t>
  </si>
  <si>
    <t xml:space="preserve">ORD-11915</t>
  </si>
  <si>
    <t xml:space="preserve">2025-04-30</t>
  </si>
  <si>
    <t xml:space="preserve">ORD-11916</t>
  </si>
  <si>
    <t xml:space="preserve">ORD-11917</t>
  </si>
  <si>
    <t xml:space="preserve">ORD-11918</t>
  </si>
  <si>
    <t xml:space="preserve">ORD-11919</t>
  </si>
  <si>
    <t xml:space="preserve">2025-06-19</t>
  </si>
  <si>
    <t xml:space="preserve">ORD-11920</t>
  </si>
  <si>
    <t xml:space="preserve">ORD-11921</t>
  </si>
  <si>
    <t xml:space="preserve">ORD-11922</t>
  </si>
  <si>
    <t xml:space="preserve">ORD-11923</t>
  </si>
  <si>
    <t xml:space="preserve">ORD-11924</t>
  </si>
  <si>
    <t xml:space="preserve">ORD-11925</t>
  </si>
  <si>
    <t xml:space="preserve">ORD-11926</t>
  </si>
  <si>
    <t xml:space="preserve">ORD-11927</t>
  </si>
  <si>
    <t xml:space="preserve">2025-12-15</t>
  </si>
  <si>
    <t xml:space="preserve">ORD-11928</t>
  </si>
  <si>
    <t xml:space="preserve">ORD-11929</t>
  </si>
  <si>
    <t xml:space="preserve">ORD-11930</t>
  </si>
  <si>
    <t xml:space="preserve">ORD-11931</t>
  </si>
  <si>
    <t xml:space="preserve">2025-11-19</t>
  </si>
  <si>
    <t xml:space="preserve">ORD-11932</t>
  </si>
  <si>
    <t xml:space="preserve">ORD-11933</t>
  </si>
  <si>
    <t xml:space="preserve">ORD-11934</t>
  </si>
  <si>
    <t xml:space="preserve">2023-02-16</t>
  </si>
  <si>
    <t xml:space="preserve">ORD-11935</t>
  </si>
  <si>
    <t xml:space="preserve">ORD-11936</t>
  </si>
  <si>
    <t xml:space="preserve">ORD-11937</t>
  </si>
  <si>
    <t xml:space="preserve">ORD-11938</t>
  </si>
  <si>
    <t xml:space="preserve">2023-07-02</t>
  </si>
  <si>
    <t xml:space="preserve">ORD-11939</t>
  </si>
  <si>
    <t xml:space="preserve">ORD-11940</t>
  </si>
  <si>
    <t xml:space="preserve">ORD-11941</t>
  </si>
  <si>
    <t xml:space="preserve">ORD-11942</t>
  </si>
  <si>
    <t xml:space="preserve">ORD-11943</t>
  </si>
  <si>
    <t xml:space="preserve">ORD-11944</t>
  </si>
  <si>
    <t xml:space="preserve">ORD-11945</t>
  </si>
  <si>
    <t xml:space="preserve">2023-02-04</t>
  </si>
  <si>
    <t xml:space="preserve">ORD-11946</t>
  </si>
  <si>
    <t xml:space="preserve">2025-01-20</t>
  </si>
  <si>
    <t xml:space="preserve">ORD-11947</t>
  </si>
  <si>
    <t xml:space="preserve">2025-09-13</t>
  </si>
  <si>
    <t xml:space="preserve">ORD-11948</t>
  </si>
  <si>
    <t xml:space="preserve">2023-12-07</t>
  </si>
  <si>
    <t xml:space="preserve">ORD-11949</t>
  </si>
  <si>
    <t xml:space="preserve">ORD-11950</t>
  </si>
  <si>
    <t xml:space="preserve">ORD-11951</t>
  </si>
  <si>
    <t xml:space="preserve">ORD-11952</t>
  </si>
  <si>
    <t xml:space="preserve">ORD-11953</t>
  </si>
  <si>
    <t xml:space="preserve">ORD-11954</t>
  </si>
  <si>
    <t xml:space="preserve">ORD-11955</t>
  </si>
  <si>
    <t xml:space="preserve">ORD-11956</t>
  </si>
  <si>
    <t xml:space="preserve">ORD-11957</t>
  </si>
  <si>
    <t xml:space="preserve">ORD-11958</t>
  </si>
  <si>
    <t xml:space="preserve">ORD-11959</t>
  </si>
  <si>
    <t xml:space="preserve">ORD-11960</t>
  </si>
  <si>
    <t xml:space="preserve">ORD-11961</t>
  </si>
  <si>
    <t xml:space="preserve">ORD-11962</t>
  </si>
  <si>
    <t xml:space="preserve">2023-05-12</t>
  </si>
  <si>
    <t xml:space="preserve">ORD-11963</t>
  </si>
  <si>
    <t xml:space="preserve">ORD-11964</t>
  </si>
  <si>
    <t xml:space="preserve">ORD-11965</t>
  </si>
  <si>
    <t xml:space="preserve">ORD-11966</t>
  </si>
  <si>
    <t xml:space="preserve">ORD-11967</t>
  </si>
  <si>
    <t xml:space="preserve">ORD-11968</t>
  </si>
  <si>
    <t xml:space="preserve">2024-08-22</t>
  </si>
  <si>
    <t xml:space="preserve">ORD-11969</t>
  </si>
  <si>
    <t xml:space="preserve">ORD-11970</t>
  </si>
  <si>
    <t xml:space="preserve">ORD-11971</t>
  </si>
  <si>
    <t xml:space="preserve">2025-06-01</t>
  </si>
  <si>
    <t xml:space="preserve">ORD-11972</t>
  </si>
  <si>
    <t xml:space="preserve">ORD-11973</t>
  </si>
  <si>
    <t xml:space="preserve">2023-06-21</t>
  </si>
  <si>
    <t xml:space="preserve">ORD-11974</t>
  </si>
  <si>
    <t xml:space="preserve">ORD-11975</t>
  </si>
  <si>
    <t xml:space="preserve">2025-11-06</t>
  </si>
  <si>
    <t xml:space="preserve">ORD-11976</t>
  </si>
  <si>
    <t xml:space="preserve">ORD-11977</t>
  </si>
  <si>
    <t xml:space="preserve">ORD-11978</t>
  </si>
  <si>
    <t xml:space="preserve">ORD-11979</t>
  </si>
  <si>
    <t xml:space="preserve">ORD-11980</t>
  </si>
  <si>
    <t xml:space="preserve">ORD-11981</t>
  </si>
  <si>
    <t xml:space="preserve">ORD-11982</t>
  </si>
  <si>
    <t xml:space="preserve">ORD-11983</t>
  </si>
  <si>
    <t xml:space="preserve">2024-08-04</t>
  </si>
  <si>
    <t xml:space="preserve">ORD-11984</t>
  </si>
  <si>
    <t xml:space="preserve">ORD-11985</t>
  </si>
  <si>
    <t xml:space="preserve">ORD-11986</t>
  </si>
  <si>
    <t xml:space="preserve">ORD-11987</t>
  </si>
  <si>
    <t xml:space="preserve">ORD-11988</t>
  </si>
  <si>
    <t xml:space="preserve">ORD-11989</t>
  </si>
  <si>
    <t xml:space="preserve">ORD-11990</t>
  </si>
  <si>
    <t xml:space="preserve">ORD-11991</t>
  </si>
  <si>
    <t xml:space="preserve">2023-12-01</t>
  </si>
  <si>
    <t xml:space="preserve">ORD-11992</t>
  </si>
  <si>
    <t xml:space="preserve">ORD-11993</t>
  </si>
  <si>
    <t xml:space="preserve">ORD-11994</t>
  </si>
  <si>
    <t xml:space="preserve">ORD-11995</t>
  </si>
  <si>
    <t xml:space="preserve">ORD-11996</t>
  </si>
  <si>
    <t xml:space="preserve">ORD-11997</t>
  </si>
  <si>
    <t xml:space="preserve">ORD-11998</t>
  </si>
  <si>
    <t xml:space="preserve">ORD-11999</t>
  </si>
  <si>
    <t xml:space="preserve">ORD-12000</t>
  </si>
  <si>
    <t xml:space="preserve">ORD-12001</t>
  </si>
  <si>
    <t xml:space="preserve">ORD-12002</t>
  </si>
  <si>
    <t xml:space="preserve">ORD-12003</t>
  </si>
  <si>
    <t xml:space="preserve">ORD-12004</t>
  </si>
  <si>
    <t xml:space="preserve">ORD-12005</t>
  </si>
  <si>
    <t xml:space="preserve">ORD-12006</t>
  </si>
  <si>
    <t xml:space="preserve">ORD-12007</t>
  </si>
  <si>
    <t xml:space="preserve">ORD-12008</t>
  </si>
  <si>
    <t xml:space="preserve">ORD-12009</t>
  </si>
  <si>
    <t xml:space="preserve">ORD-12010</t>
  </si>
  <si>
    <t xml:space="preserve">ORD-12011</t>
  </si>
  <si>
    <t xml:space="preserve">ORD-12012</t>
  </si>
  <si>
    <t xml:space="preserve">ORD-12013</t>
  </si>
  <si>
    <t xml:space="preserve">ORD-12014</t>
  </si>
  <si>
    <t xml:space="preserve">ORD-12015</t>
  </si>
  <si>
    <t xml:space="preserve">ORD-12016</t>
  </si>
  <si>
    <t xml:space="preserve">ORD-12017</t>
  </si>
  <si>
    <t xml:space="preserve">2024-12-18</t>
  </si>
  <si>
    <t xml:space="preserve">ORD-12018</t>
  </si>
  <si>
    <t xml:space="preserve">ORD-12019</t>
  </si>
  <si>
    <t xml:space="preserve">2024-08-07</t>
  </si>
  <si>
    <t xml:space="preserve">ORD-12020</t>
  </si>
  <si>
    <t xml:space="preserve">ORD-12021</t>
  </si>
  <si>
    <t xml:space="preserve">ORD-12022</t>
  </si>
  <si>
    <t xml:space="preserve">2023-12-14</t>
  </si>
  <si>
    <t xml:space="preserve">ORD-12023</t>
  </si>
  <si>
    <t xml:space="preserve">ORD-12024</t>
  </si>
  <si>
    <t xml:space="preserve">ORD-12025</t>
  </si>
  <si>
    <t xml:space="preserve">ORD-12026</t>
  </si>
  <si>
    <t xml:space="preserve">2025-11-20</t>
  </si>
  <si>
    <t xml:space="preserve">ORD-12027</t>
  </si>
  <si>
    <t xml:space="preserve">2023-12-19</t>
  </si>
  <si>
    <t xml:space="preserve">ORD-12028</t>
  </si>
  <si>
    <t xml:space="preserve">2025-12-31</t>
  </si>
  <si>
    <t xml:space="preserve">ORD-12029</t>
  </si>
  <si>
    <t xml:space="preserve">ORD-12030</t>
  </si>
  <si>
    <t xml:space="preserve">ORD-12031</t>
  </si>
  <si>
    <t xml:space="preserve">ORD-12032</t>
  </si>
  <si>
    <t xml:space="preserve">ORD-12033</t>
  </si>
  <si>
    <t xml:space="preserve">ORD-12034</t>
  </si>
  <si>
    <t xml:space="preserve">ORD-12035</t>
  </si>
  <si>
    <t xml:space="preserve">ORD-12036</t>
  </si>
  <si>
    <t xml:space="preserve">2024-03-10</t>
  </si>
  <si>
    <t xml:space="preserve">ORD-12037</t>
  </si>
  <si>
    <t xml:space="preserve">2025-12-05</t>
  </si>
  <si>
    <t xml:space="preserve">ORD-12038</t>
  </si>
  <si>
    <t xml:space="preserve">ORD-12039</t>
  </si>
  <si>
    <t xml:space="preserve">ORD-12040</t>
  </si>
  <si>
    <t xml:space="preserve">ORD-12041</t>
  </si>
  <si>
    <t xml:space="preserve">ORD-12042</t>
  </si>
  <si>
    <t xml:space="preserve">2025-07-25</t>
  </si>
  <si>
    <t xml:space="preserve">ORD-12043</t>
  </si>
  <si>
    <t xml:space="preserve">ORD-12044</t>
  </si>
  <si>
    <t xml:space="preserve">ORD-12045</t>
  </si>
  <si>
    <t xml:space="preserve">2023-06-27</t>
  </si>
  <si>
    <t xml:space="preserve">ORD-12046</t>
  </si>
  <si>
    <t xml:space="preserve">2024-07-04</t>
  </si>
  <si>
    <t xml:space="preserve">ORD-12047</t>
  </si>
  <si>
    <t xml:space="preserve">ORD-12048</t>
  </si>
  <si>
    <t xml:space="preserve">ORD-12049</t>
  </si>
  <si>
    <t xml:space="preserve">ORD-12050</t>
  </si>
  <si>
    <t xml:space="preserve">ORD-12051</t>
  </si>
  <si>
    <t xml:space="preserve">ORD-12052</t>
  </si>
  <si>
    <t xml:space="preserve">ORD-12053</t>
  </si>
  <si>
    <t xml:space="preserve">ORD-12054</t>
  </si>
  <si>
    <t xml:space="preserve">ORD-12055</t>
  </si>
  <si>
    <t xml:space="preserve">ORD-12056</t>
  </si>
  <si>
    <t xml:space="preserve">ORD-12057</t>
  </si>
  <si>
    <t xml:space="preserve">ORD-12058</t>
  </si>
  <si>
    <t xml:space="preserve">2023-04-03</t>
  </si>
  <si>
    <t xml:space="preserve">ORD-12059</t>
  </si>
  <si>
    <t xml:space="preserve">ORD-12060</t>
  </si>
  <si>
    <t xml:space="preserve">ORD-12061</t>
  </si>
  <si>
    <t xml:space="preserve">ORD-12062</t>
  </si>
  <si>
    <t xml:space="preserve">ORD-12063</t>
  </si>
  <si>
    <t xml:space="preserve">ORD-12064</t>
  </si>
  <si>
    <t xml:space="preserve">2023-07-07</t>
  </si>
  <si>
    <t xml:space="preserve">ORD-12065</t>
  </si>
  <si>
    <t xml:space="preserve">ORD-12066</t>
  </si>
  <si>
    <t xml:space="preserve">ORD-12067</t>
  </si>
  <si>
    <t xml:space="preserve">ORD-12068</t>
  </si>
  <si>
    <t xml:space="preserve">ORD-12069</t>
  </si>
  <si>
    <t xml:space="preserve">ORD-12070</t>
  </si>
  <si>
    <t xml:space="preserve">ORD-12071</t>
  </si>
  <si>
    <t xml:space="preserve">ORD-12072</t>
  </si>
  <si>
    <t xml:space="preserve">ORD-12073</t>
  </si>
  <si>
    <t xml:space="preserve">ORD-12074</t>
  </si>
  <si>
    <t xml:space="preserve">ORD-12075</t>
  </si>
  <si>
    <t xml:space="preserve">ORD-12076</t>
  </si>
  <si>
    <t xml:space="preserve">ORD-12077</t>
  </si>
  <si>
    <t xml:space="preserve">ORD-12078</t>
  </si>
  <si>
    <t xml:space="preserve">ORD-12079</t>
  </si>
  <si>
    <t xml:space="preserve">ORD-12080</t>
  </si>
  <si>
    <t xml:space="preserve">ORD-12081</t>
  </si>
  <si>
    <t xml:space="preserve">ORD-12082</t>
  </si>
  <si>
    <t xml:space="preserve">ORD-12083</t>
  </si>
  <si>
    <t xml:space="preserve">ORD-12084</t>
  </si>
  <si>
    <t xml:space="preserve">2024-12-11</t>
  </si>
  <si>
    <t xml:space="preserve">ORD-12085</t>
  </si>
  <si>
    <t xml:space="preserve">ORD-12086</t>
  </si>
  <si>
    <t xml:space="preserve">ORD-12087</t>
  </si>
  <si>
    <t xml:space="preserve">ORD-12088</t>
  </si>
  <si>
    <t xml:space="preserve">ORD-12089</t>
  </si>
  <si>
    <t xml:space="preserve">ORD-12090</t>
  </si>
  <si>
    <t xml:space="preserve">ORD-12091</t>
  </si>
  <si>
    <t xml:space="preserve">ORD-12092</t>
  </si>
  <si>
    <t xml:space="preserve">ORD-12093</t>
  </si>
  <si>
    <t xml:space="preserve">ORD-12094</t>
  </si>
  <si>
    <t xml:space="preserve">ORD-12095</t>
  </si>
  <si>
    <t xml:space="preserve">ORD-12096</t>
  </si>
  <si>
    <t xml:space="preserve">ORD-12097</t>
  </si>
  <si>
    <t xml:space="preserve">ORD-12098</t>
  </si>
  <si>
    <t xml:space="preserve">ORD-12099</t>
  </si>
  <si>
    <t xml:space="preserve">ORD-12100</t>
  </si>
  <si>
    <t xml:space="preserve">ORD-12101</t>
  </si>
  <si>
    <t xml:space="preserve">ORD-12102</t>
  </si>
  <si>
    <t xml:space="preserve">ORD-12103</t>
  </si>
  <si>
    <t xml:space="preserve">ORD-12104</t>
  </si>
  <si>
    <t xml:space="preserve">ORD-12105</t>
  </si>
  <si>
    <t xml:space="preserve">ORD-12106</t>
  </si>
  <si>
    <t xml:space="preserve">2025-01-19</t>
  </si>
  <si>
    <t xml:space="preserve">ORD-12107</t>
  </si>
  <si>
    <t xml:space="preserve">ORD-12108</t>
  </si>
  <si>
    <t xml:space="preserve">ORD-12109</t>
  </si>
  <si>
    <t xml:space="preserve">ORD-12110</t>
  </si>
  <si>
    <t xml:space="preserve">ORD-12111</t>
  </si>
  <si>
    <t xml:space="preserve">2023-11-29</t>
  </si>
  <si>
    <t xml:space="preserve">ORD-12112</t>
  </si>
  <si>
    <t xml:space="preserve">ORD-12113</t>
  </si>
  <si>
    <t xml:space="preserve">ORD-12114</t>
  </si>
  <si>
    <t xml:space="preserve">ORD-12115</t>
  </si>
  <si>
    <t xml:space="preserve">ORD-12116</t>
  </si>
  <si>
    <t xml:space="preserve">ORD-12117</t>
  </si>
  <si>
    <t xml:space="preserve">ORD-12118</t>
  </si>
  <si>
    <t xml:space="preserve">ORD-12119</t>
  </si>
  <si>
    <t xml:space="preserve">ORD-12120</t>
  </si>
  <si>
    <t xml:space="preserve">ORD-12121</t>
  </si>
  <si>
    <t xml:space="preserve">ORD-12122</t>
  </si>
  <si>
    <t xml:space="preserve">ORD-12123</t>
  </si>
  <si>
    <t xml:space="preserve">ORD-12124</t>
  </si>
  <si>
    <t xml:space="preserve">ORD-12125</t>
  </si>
  <si>
    <t xml:space="preserve">2024-09-19</t>
  </si>
  <si>
    <t xml:space="preserve">ORD-12126</t>
  </si>
  <si>
    <t xml:space="preserve">ORD-12127</t>
  </si>
  <si>
    <t xml:space="preserve">ORD-12128</t>
  </si>
  <si>
    <t xml:space="preserve">ORD-12129</t>
  </si>
  <si>
    <t xml:space="preserve">ORD-12130</t>
  </si>
  <si>
    <t xml:space="preserve">ORD-12131</t>
  </si>
  <si>
    <t xml:space="preserve">ORD-12132</t>
  </si>
  <si>
    <t xml:space="preserve">ORD-12133</t>
  </si>
  <si>
    <t xml:space="preserve">ORD-12134</t>
  </si>
  <si>
    <t xml:space="preserve">ORD-12135</t>
  </si>
  <si>
    <t xml:space="preserve">ORD-12136</t>
  </si>
  <si>
    <t xml:space="preserve">2025-10-26</t>
  </si>
  <si>
    <t xml:space="preserve">ORD-12137</t>
  </si>
  <si>
    <t xml:space="preserve">ORD-12138</t>
  </si>
  <si>
    <t xml:space="preserve">ORD-12139</t>
  </si>
  <si>
    <t xml:space="preserve">ORD-12140</t>
  </si>
  <si>
    <t xml:space="preserve">ORD-12141</t>
  </si>
  <si>
    <t xml:space="preserve">ORD-12142</t>
  </si>
  <si>
    <t xml:space="preserve">2025-04-25</t>
  </si>
  <si>
    <t xml:space="preserve">ORD-12143</t>
  </si>
  <si>
    <t xml:space="preserve">ORD-12144</t>
  </si>
  <si>
    <t xml:space="preserve">ORD-12145</t>
  </si>
  <si>
    <t xml:space="preserve">ORD-12146</t>
  </si>
  <si>
    <t xml:space="preserve">ORD-12147</t>
  </si>
  <si>
    <t xml:space="preserve">ORD-12148</t>
  </si>
  <si>
    <t xml:space="preserve">2025-03-30</t>
  </si>
  <si>
    <t xml:space="preserve">ORD-12149</t>
  </si>
  <si>
    <t xml:space="preserve">ORD-12150</t>
  </si>
  <si>
    <t xml:space="preserve">2024-10-28</t>
  </si>
  <si>
    <t xml:space="preserve">ORD-12151</t>
  </si>
  <si>
    <t xml:space="preserve">ORD-12152</t>
  </si>
  <si>
    <t xml:space="preserve">ORD-12153</t>
  </si>
  <si>
    <t xml:space="preserve">ORD-12154</t>
  </si>
  <si>
    <t xml:space="preserve">ORD-12155</t>
  </si>
  <si>
    <t xml:space="preserve">2025-09-19</t>
  </si>
  <si>
    <t xml:space="preserve">ORD-12156</t>
  </si>
  <si>
    <t xml:space="preserve">ORD-12157</t>
  </si>
  <si>
    <t xml:space="preserve">ORD-12158</t>
  </si>
  <si>
    <t xml:space="preserve">ORD-12159</t>
  </si>
  <si>
    <t xml:space="preserve">ORD-12160</t>
  </si>
  <si>
    <t xml:space="preserve">ORD-12161</t>
  </si>
  <si>
    <t xml:space="preserve">ORD-12162</t>
  </si>
  <si>
    <t xml:space="preserve">ORD-12163</t>
  </si>
  <si>
    <t xml:space="preserve">ORD-12164</t>
  </si>
  <si>
    <t xml:space="preserve">ORD-12165</t>
  </si>
  <si>
    <t xml:space="preserve">ORD-12166</t>
  </si>
  <si>
    <t xml:space="preserve">ORD-12167</t>
  </si>
  <si>
    <t xml:space="preserve">2025-10-04</t>
  </si>
  <si>
    <t xml:space="preserve">ORD-12168</t>
  </si>
  <si>
    <t xml:space="preserve">ORD-12169</t>
  </si>
  <si>
    <t xml:space="preserve">ORD-12170</t>
  </si>
  <si>
    <t xml:space="preserve">ORD-12171</t>
  </si>
  <si>
    <t xml:space="preserve">ORD-12172</t>
  </si>
  <si>
    <t xml:space="preserve">ORD-12173</t>
  </si>
  <si>
    <t xml:space="preserve">2023-05-04</t>
  </si>
  <si>
    <t xml:space="preserve">ORD-12174</t>
  </si>
  <si>
    <t xml:space="preserve">2025-10-13</t>
  </si>
  <si>
    <t xml:space="preserve">ORD-12175</t>
  </si>
  <si>
    <t xml:space="preserve">2025-05-30</t>
  </si>
  <si>
    <t xml:space="preserve">ORD-12176</t>
  </si>
  <si>
    <t xml:space="preserve">2025-12-07</t>
  </si>
  <si>
    <t xml:space="preserve">ORD-12177</t>
  </si>
  <si>
    <t xml:space="preserve">ORD-12178</t>
  </si>
  <si>
    <t xml:space="preserve">2025-08-31</t>
  </si>
  <si>
    <t xml:space="preserve">ORD-12179</t>
  </si>
  <si>
    <t xml:space="preserve">2024-09-24</t>
  </si>
  <si>
    <t xml:space="preserve">ORD-12180</t>
  </si>
  <si>
    <t xml:space="preserve">ORD-12181</t>
  </si>
  <si>
    <t xml:space="preserve">ORD-12182</t>
  </si>
  <si>
    <t xml:space="preserve">ORD-12183</t>
  </si>
  <si>
    <t xml:space="preserve">ORD-12184</t>
  </si>
  <si>
    <t xml:space="preserve">ORD-12185</t>
  </si>
  <si>
    <t xml:space="preserve">ORD-12186</t>
  </si>
  <si>
    <t xml:space="preserve">ORD-12187</t>
  </si>
  <si>
    <t xml:space="preserve">ORD-12188</t>
  </si>
  <si>
    <t xml:space="preserve">ORD-12189</t>
  </si>
  <si>
    <t xml:space="preserve">2023-06-10</t>
  </si>
  <si>
    <t xml:space="preserve">ORD-12190</t>
  </si>
  <si>
    <t xml:space="preserve">ORD-12191</t>
  </si>
  <si>
    <t xml:space="preserve">ORD-12192</t>
  </si>
  <si>
    <t xml:space="preserve">ORD-12193</t>
  </si>
  <si>
    <t xml:space="preserve">ORD-12194</t>
  </si>
  <si>
    <t xml:space="preserve">ORD-12195</t>
  </si>
  <si>
    <t xml:space="preserve">ORD-12196</t>
  </si>
  <si>
    <t xml:space="preserve">ORD-12197</t>
  </si>
  <si>
    <t xml:space="preserve">ORD-12198</t>
  </si>
  <si>
    <t xml:space="preserve">ORD-12199</t>
  </si>
  <si>
    <t xml:space="preserve">ORD-12200</t>
  </si>
  <si>
    <t xml:space="preserve">ORD-12201</t>
  </si>
  <si>
    <t xml:space="preserve">ORD-12202</t>
  </si>
  <si>
    <t xml:space="preserve">ORD-12203</t>
  </si>
  <si>
    <t xml:space="preserve">ORD-12204</t>
  </si>
  <si>
    <t xml:space="preserve">2025-04-14</t>
  </si>
  <si>
    <t xml:space="preserve">ORD-12205</t>
  </si>
  <si>
    <t xml:space="preserve">ORD-12206</t>
  </si>
  <si>
    <t xml:space="preserve">ORD-12207</t>
  </si>
  <si>
    <t xml:space="preserve">ORD-12208</t>
  </si>
  <si>
    <t xml:space="preserve">ORD-12209</t>
  </si>
  <si>
    <t xml:space="preserve">ORD-12210</t>
  </si>
  <si>
    <t xml:space="preserve">ORD-12211</t>
  </si>
  <si>
    <t xml:space="preserve">ORD-12212</t>
  </si>
  <si>
    <t xml:space="preserve">ORD-12213</t>
  </si>
  <si>
    <t xml:space="preserve">ORD-12214</t>
  </si>
  <si>
    <t xml:space="preserve">ORD-12215</t>
  </si>
  <si>
    <t xml:space="preserve">ORD-12216</t>
  </si>
  <si>
    <t xml:space="preserve">ORD-12217</t>
  </si>
  <si>
    <t xml:space="preserve">ORD-12218</t>
  </si>
  <si>
    <t xml:space="preserve">ORD-12219</t>
  </si>
  <si>
    <t xml:space="preserve">ORD-12220</t>
  </si>
  <si>
    <t xml:space="preserve">ORD-12221</t>
  </si>
  <si>
    <t xml:space="preserve">2025-08-18</t>
  </si>
  <si>
    <t xml:space="preserve">ORD-12222</t>
  </si>
  <si>
    <t xml:space="preserve">ORD-12223</t>
  </si>
  <si>
    <t xml:space="preserve">ORD-12224</t>
  </si>
  <si>
    <t xml:space="preserve">ORD-12225</t>
  </si>
  <si>
    <t xml:space="preserve">ORD-12226</t>
  </si>
  <si>
    <t xml:space="preserve">ORD-12227</t>
  </si>
  <si>
    <t xml:space="preserve">ORD-12228</t>
  </si>
  <si>
    <t xml:space="preserve">ORD-12229</t>
  </si>
  <si>
    <t xml:space="preserve">ORD-12230</t>
  </si>
  <si>
    <t xml:space="preserve">ORD-12231</t>
  </si>
  <si>
    <t xml:space="preserve">ORD-12232</t>
  </si>
  <si>
    <t xml:space="preserve">ORD-12233</t>
  </si>
  <si>
    <t xml:space="preserve">ORD-12234</t>
  </si>
  <si>
    <t xml:space="preserve">ORD-12235</t>
  </si>
  <si>
    <t xml:space="preserve">ORD-12236</t>
  </si>
  <si>
    <t xml:space="preserve">ORD-12237</t>
  </si>
  <si>
    <t xml:space="preserve">ORD-12238</t>
  </si>
  <si>
    <t xml:space="preserve">ORD-12239</t>
  </si>
  <si>
    <t xml:space="preserve">ORD-12240</t>
  </si>
  <si>
    <t xml:space="preserve">ORD-12241</t>
  </si>
  <si>
    <t xml:space="preserve">ORD-12242</t>
  </si>
  <si>
    <t xml:space="preserve">ORD-12243</t>
  </si>
  <si>
    <t xml:space="preserve">ORD-12244</t>
  </si>
  <si>
    <t xml:space="preserve">ORD-12245</t>
  </si>
  <si>
    <t xml:space="preserve">ORD-12246</t>
  </si>
  <si>
    <t xml:space="preserve">ORD-12247</t>
  </si>
  <si>
    <t xml:space="preserve">ORD-12248</t>
  </si>
  <si>
    <t xml:space="preserve">ORD-12249</t>
  </si>
  <si>
    <t xml:space="preserve">2023-08-19</t>
  </si>
  <si>
    <t xml:space="preserve">ORD-12250</t>
  </si>
  <si>
    <t xml:space="preserve">ORD-12251</t>
  </si>
  <si>
    <t xml:space="preserve">ORD-12252</t>
  </si>
  <si>
    <t xml:space="preserve">ORD-12253</t>
  </si>
  <si>
    <t xml:space="preserve">ORD-12254</t>
  </si>
  <si>
    <t xml:space="preserve">ORD-12255</t>
  </si>
  <si>
    <t xml:space="preserve">ORD-12256</t>
  </si>
  <si>
    <t xml:space="preserve">ORD-12257</t>
  </si>
  <si>
    <t xml:space="preserve">ORD-12258</t>
  </si>
  <si>
    <t xml:space="preserve">ORD-12259</t>
  </si>
  <si>
    <t xml:space="preserve">ORD-12260</t>
  </si>
  <si>
    <t xml:space="preserve">ORD-12261</t>
  </si>
  <si>
    <t xml:space="preserve">2025-05-15</t>
  </si>
  <si>
    <t xml:space="preserve">ORD-12262</t>
  </si>
  <si>
    <t xml:space="preserve">2024-06-29</t>
  </si>
  <si>
    <t xml:space="preserve">ORD-12263</t>
  </si>
  <si>
    <t xml:space="preserve">2025-10-27</t>
  </si>
  <si>
    <t xml:space="preserve">ORD-12264</t>
  </si>
  <si>
    <t xml:space="preserve">ORD-12265</t>
  </si>
  <si>
    <t xml:space="preserve">ORD-12266</t>
  </si>
  <si>
    <t xml:space="preserve">ORD-12267</t>
  </si>
  <si>
    <t xml:space="preserve">ORD-12268</t>
  </si>
  <si>
    <t xml:space="preserve">ORD-12269</t>
  </si>
  <si>
    <t xml:space="preserve">ORD-12270</t>
  </si>
  <si>
    <t xml:space="preserve">ORD-12271</t>
  </si>
  <si>
    <t xml:space="preserve">ORD-12272</t>
  </si>
  <si>
    <t xml:space="preserve">ORD-12273</t>
  </si>
  <si>
    <t xml:space="preserve">ORD-12274</t>
  </si>
  <si>
    <t xml:space="preserve">ORD-12275</t>
  </si>
  <si>
    <t xml:space="preserve">ORD-12276</t>
  </si>
  <si>
    <t xml:space="preserve">ORD-12277</t>
  </si>
  <si>
    <t xml:space="preserve">ORD-12278</t>
  </si>
  <si>
    <t xml:space="preserve">ORD-12279</t>
  </si>
  <si>
    <t xml:space="preserve">ORD-12280</t>
  </si>
  <si>
    <t xml:space="preserve">2024-12-29</t>
  </si>
  <si>
    <t xml:space="preserve">ORD-12281</t>
  </si>
  <si>
    <t xml:space="preserve">ORD-12282</t>
  </si>
  <si>
    <t xml:space="preserve">ORD-12283</t>
  </si>
  <si>
    <t xml:space="preserve">ORD-12284</t>
  </si>
  <si>
    <t xml:space="preserve">ORD-12285</t>
  </si>
  <si>
    <t xml:space="preserve">ORD-12286</t>
  </si>
  <si>
    <t xml:space="preserve">ORD-12287</t>
  </si>
  <si>
    <t xml:space="preserve">ORD-12288</t>
  </si>
  <si>
    <t xml:space="preserve">ORD-12289</t>
  </si>
  <si>
    <t xml:space="preserve">ORD-12290</t>
  </si>
  <si>
    <t xml:space="preserve">ORD-12291</t>
  </si>
  <si>
    <t xml:space="preserve">ORD-12292</t>
  </si>
  <si>
    <t xml:space="preserve">ORD-12293</t>
  </si>
  <si>
    <t xml:space="preserve">ORD-12294</t>
  </si>
  <si>
    <t xml:space="preserve">ORD-12295</t>
  </si>
  <si>
    <t xml:space="preserve">ORD-12296</t>
  </si>
  <si>
    <t xml:space="preserve">ORD-12297</t>
  </si>
  <si>
    <t xml:space="preserve">ORD-12298</t>
  </si>
  <si>
    <t xml:space="preserve">ORD-12299</t>
  </si>
  <si>
    <t xml:space="preserve">2024-03-31</t>
  </si>
  <si>
    <t xml:space="preserve">ORD-12300</t>
  </si>
  <si>
    <t xml:space="preserve">ORD-12301</t>
  </si>
  <si>
    <t xml:space="preserve">ORD-12302</t>
  </si>
  <si>
    <t xml:space="preserve">ORD-12303</t>
  </si>
  <si>
    <t xml:space="preserve">ORD-12304</t>
  </si>
  <si>
    <t xml:space="preserve">ORD-12305</t>
  </si>
  <si>
    <t xml:space="preserve">ORD-12306</t>
  </si>
  <si>
    <t xml:space="preserve">ORD-12307</t>
  </si>
  <si>
    <t xml:space="preserve">ORD-12308</t>
  </si>
  <si>
    <t xml:space="preserve">2024-11-27</t>
  </si>
  <si>
    <t xml:space="preserve">ORD-12309</t>
  </si>
  <si>
    <t xml:space="preserve">2023-06-24</t>
  </si>
  <si>
    <t xml:space="preserve">ORD-12310</t>
  </si>
  <si>
    <t xml:space="preserve">ORD-12311</t>
  </si>
  <si>
    <t xml:space="preserve">ORD-12312</t>
  </si>
  <si>
    <t xml:space="preserve">ORD-12313</t>
  </si>
  <si>
    <t xml:space="preserve">ORD-12314</t>
  </si>
  <si>
    <t xml:space="preserve">2024-11-03</t>
  </si>
  <si>
    <t xml:space="preserve">ORD-12315</t>
  </si>
  <si>
    <t xml:space="preserve">ORD-12316</t>
  </si>
  <si>
    <t xml:space="preserve">ORD-12317</t>
  </si>
  <si>
    <t xml:space="preserve">ORD-12318</t>
  </si>
  <si>
    <t xml:space="preserve">ORD-12319</t>
  </si>
  <si>
    <t xml:space="preserve">ORD-12320</t>
  </si>
  <si>
    <t xml:space="preserve">ORD-12321</t>
  </si>
  <si>
    <t xml:space="preserve">ORD-12322</t>
  </si>
  <si>
    <t xml:space="preserve">2025-08-29</t>
  </si>
  <si>
    <t xml:space="preserve">ORD-12323</t>
  </si>
  <si>
    <t xml:space="preserve">ORD-12324</t>
  </si>
  <si>
    <t xml:space="preserve">ORD-12325</t>
  </si>
  <si>
    <t xml:space="preserve">ORD-12326</t>
  </si>
  <si>
    <t xml:space="preserve">ORD-12327</t>
  </si>
  <si>
    <t xml:space="preserve">ORD-12328</t>
  </si>
  <si>
    <t xml:space="preserve">2025-02-08</t>
  </si>
  <si>
    <t xml:space="preserve">ORD-12329</t>
  </si>
  <si>
    <t xml:space="preserve">ORD-12330</t>
  </si>
  <si>
    <t xml:space="preserve">ORD-12331</t>
  </si>
  <si>
    <t xml:space="preserve">ORD-12332</t>
  </si>
  <si>
    <t xml:space="preserve">ORD-12333</t>
  </si>
  <si>
    <t xml:space="preserve">ORD-12334</t>
  </si>
  <si>
    <t xml:space="preserve">ORD-12335</t>
  </si>
  <si>
    <t xml:space="preserve">ORD-12336</t>
  </si>
  <si>
    <t xml:space="preserve">ORD-12337</t>
  </si>
  <si>
    <t xml:space="preserve">ORD-12338</t>
  </si>
  <si>
    <t xml:space="preserve">ORD-12339</t>
  </si>
  <si>
    <t xml:space="preserve">2024-04-30</t>
  </si>
  <si>
    <t xml:space="preserve">ORD-12340</t>
  </si>
  <si>
    <t xml:space="preserve">ORD-12341</t>
  </si>
  <si>
    <t xml:space="preserve">ORD-12342</t>
  </si>
  <si>
    <t xml:space="preserve">ORD-12343</t>
  </si>
  <si>
    <t xml:space="preserve">ORD-12344</t>
  </si>
  <si>
    <t xml:space="preserve">ORD-12345</t>
  </si>
  <si>
    <t xml:space="preserve">ORD-12346</t>
  </si>
  <si>
    <t xml:space="preserve">ORD-12347</t>
  </si>
  <si>
    <t xml:space="preserve">2024-07-11</t>
  </si>
  <si>
    <t xml:space="preserve">ORD-12348</t>
  </si>
  <si>
    <t xml:space="preserve">ORD-12349</t>
  </si>
  <si>
    <t xml:space="preserve">ORD-12350</t>
  </si>
  <si>
    <t xml:space="preserve">ORD-12351</t>
  </si>
  <si>
    <t xml:space="preserve">ORD-12352</t>
  </si>
  <si>
    <t xml:space="preserve">ORD-12353</t>
  </si>
  <si>
    <t xml:space="preserve">ORD-12354</t>
  </si>
  <si>
    <t xml:space="preserve">ORD-12355</t>
  </si>
  <si>
    <t xml:space="preserve">ORD-12356</t>
  </si>
  <si>
    <t xml:space="preserve">ORD-12357</t>
  </si>
  <si>
    <t xml:space="preserve">ORD-12358</t>
  </si>
  <si>
    <t xml:space="preserve">ORD-12359</t>
  </si>
  <si>
    <t xml:space="preserve">ORD-12360</t>
  </si>
  <si>
    <t xml:space="preserve">ORD-12361</t>
  </si>
  <si>
    <t xml:space="preserve">ORD-12362</t>
  </si>
  <si>
    <t xml:space="preserve">ORD-12363</t>
  </si>
  <si>
    <t xml:space="preserve">ORD-12364</t>
  </si>
  <si>
    <t xml:space="preserve">ORD-12365</t>
  </si>
  <si>
    <t xml:space="preserve">ORD-12366</t>
  </si>
  <si>
    <t xml:space="preserve">ORD-12367</t>
  </si>
  <si>
    <t xml:space="preserve">ORD-12368</t>
  </si>
  <si>
    <t xml:space="preserve">ORD-12369</t>
  </si>
  <si>
    <t xml:space="preserve">ORD-12370</t>
  </si>
  <si>
    <t xml:space="preserve">ORD-12371</t>
  </si>
  <si>
    <t xml:space="preserve">ORD-12372</t>
  </si>
  <si>
    <t xml:space="preserve">ORD-12373</t>
  </si>
  <si>
    <t xml:space="preserve">ORD-12374</t>
  </si>
  <si>
    <t xml:space="preserve">ORD-12375</t>
  </si>
  <si>
    <t xml:space="preserve">ORD-12376</t>
  </si>
  <si>
    <t xml:space="preserve">ORD-12377</t>
  </si>
  <si>
    <t xml:space="preserve">ORD-12378</t>
  </si>
  <si>
    <t xml:space="preserve">2023-11-08</t>
  </si>
  <si>
    <t xml:space="preserve">ORD-12379</t>
  </si>
  <si>
    <t xml:space="preserve">2025-07-30</t>
  </si>
  <si>
    <t xml:space="preserve">ORD-12380</t>
  </si>
  <si>
    <t xml:space="preserve">ORD-12381</t>
  </si>
  <si>
    <t xml:space="preserve">ORD-12382</t>
  </si>
  <si>
    <t xml:space="preserve">ORD-12383</t>
  </si>
  <si>
    <t xml:space="preserve">ORD-12384</t>
  </si>
  <si>
    <t xml:space="preserve">ORD-12385</t>
  </si>
  <si>
    <t xml:space="preserve">ORD-12386</t>
  </si>
  <si>
    <t xml:space="preserve">ORD-12387</t>
  </si>
  <si>
    <t xml:space="preserve">ORD-12388</t>
  </si>
  <si>
    <t xml:space="preserve">ORD-12389</t>
  </si>
  <si>
    <t xml:space="preserve">2024-04-10</t>
  </si>
  <si>
    <t xml:space="preserve">ORD-12390</t>
  </si>
  <si>
    <t xml:space="preserve">ORD-12391</t>
  </si>
  <si>
    <t xml:space="preserve">ORD-12392</t>
  </si>
  <si>
    <t xml:space="preserve">ORD-12393</t>
  </si>
  <si>
    <t xml:space="preserve">2024-03-24</t>
  </si>
  <si>
    <t xml:space="preserve">ORD-12394</t>
  </si>
  <si>
    <t xml:space="preserve">ORD-12395</t>
  </si>
  <si>
    <t xml:space="preserve">ORD-12396</t>
  </si>
  <si>
    <t xml:space="preserve">ORD-12397</t>
  </si>
  <si>
    <t xml:space="preserve">2023-10-23</t>
  </si>
  <si>
    <t xml:space="preserve">ORD-12398</t>
  </si>
  <si>
    <t xml:space="preserve">ORD-12399</t>
  </si>
  <si>
    <t xml:space="preserve">ORD-12400</t>
  </si>
  <si>
    <t xml:space="preserve">2024-01-11</t>
  </si>
  <si>
    <t xml:space="preserve">ORD-12401</t>
  </si>
  <si>
    <t xml:space="preserve">ORD-12402</t>
  </si>
  <si>
    <t xml:space="preserve">ORD-12403</t>
  </si>
  <si>
    <t xml:space="preserve">ORD-12404</t>
  </si>
  <si>
    <t xml:space="preserve">ORD-12405</t>
  </si>
  <si>
    <t xml:space="preserve">ORD-12406</t>
  </si>
  <si>
    <t xml:space="preserve">2023-12-02</t>
  </si>
  <si>
    <t xml:space="preserve">ORD-12407</t>
  </si>
  <si>
    <t xml:space="preserve">2023-06-30</t>
  </si>
  <si>
    <t xml:space="preserve">ORD-12408</t>
  </si>
  <si>
    <t xml:space="preserve">ORD-12409</t>
  </si>
  <si>
    <t xml:space="preserve">ORD-12410</t>
  </si>
  <si>
    <t xml:space="preserve">ORD-12411</t>
  </si>
  <si>
    <t xml:space="preserve">ORD-12412</t>
  </si>
  <si>
    <t xml:space="preserve">2025-12-17</t>
  </si>
  <si>
    <t xml:space="preserve">ORD-12413</t>
  </si>
  <si>
    <t xml:space="preserve">ORD-12414</t>
  </si>
  <si>
    <t xml:space="preserve">ORD-12415</t>
  </si>
  <si>
    <t xml:space="preserve">ORD-12416</t>
  </si>
  <si>
    <t xml:space="preserve">ORD-12417</t>
  </si>
  <si>
    <t xml:space="preserve">ORD-12418</t>
  </si>
  <si>
    <t xml:space="preserve">ORD-12419</t>
  </si>
  <si>
    <t xml:space="preserve">ORD-12420</t>
  </si>
  <si>
    <t xml:space="preserve">ORD-12421</t>
  </si>
  <si>
    <t xml:space="preserve">ORD-12422</t>
  </si>
  <si>
    <t xml:space="preserve">ORD-12423</t>
  </si>
  <si>
    <t xml:space="preserve">ORD-12424</t>
  </si>
  <si>
    <t xml:space="preserve">ORD-12425</t>
  </si>
  <si>
    <t xml:space="preserve">ORD-12426</t>
  </si>
  <si>
    <t xml:space="preserve">ORD-12427</t>
  </si>
  <si>
    <t xml:space="preserve">ORD-12428</t>
  </si>
  <si>
    <t xml:space="preserve">ORD-12429</t>
  </si>
  <si>
    <t xml:space="preserve">ORD-12430</t>
  </si>
  <si>
    <t xml:space="preserve">ORD-12431</t>
  </si>
  <si>
    <t xml:space="preserve">ORD-12432</t>
  </si>
  <si>
    <t xml:space="preserve">ORD-12433</t>
  </si>
  <si>
    <t xml:space="preserve">ORD-12434</t>
  </si>
  <si>
    <t xml:space="preserve">2023-07-05</t>
  </si>
  <si>
    <t xml:space="preserve">ORD-12435</t>
  </si>
  <si>
    <t xml:space="preserve">ORD-12436</t>
  </si>
  <si>
    <t xml:space="preserve">ORD-12437</t>
  </si>
  <si>
    <t xml:space="preserve">ORD-12438</t>
  </si>
  <si>
    <t xml:space="preserve">ORD-12439</t>
  </si>
  <si>
    <t xml:space="preserve">ORD-12440</t>
  </si>
  <si>
    <t xml:space="preserve">2025-06-23</t>
  </si>
  <si>
    <t xml:space="preserve">ORD-12441</t>
  </si>
  <si>
    <t xml:space="preserve">ORD-12442</t>
  </si>
  <si>
    <t xml:space="preserve">ORD-12443</t>
  </si>
  <si>
    <t xml:space="preserve">ORD-12444</t>
  </si>
  <si>
    <t xml:space="preserve">2025-03-18</t>
  </si>
  <si>
    <t xml:space="preserve">ORD-12445</t>
  </si>
  <si>
    <t xml:space="preserve">ORD-12446</t>
  </si>
  <si>
    <t xml:space="preserve">2024-03-02</t>
  </si>
  <si>
    <t xml:space="preserve">ORD-12447</t>
  </si>
  <si>
    <t xml:space="preserve">2025-06-02</t>
  </si>
  <si>
    <t xml:space="preserve">ORD-12448</t>
  </si>
  <si>
    <t xml:space="preserve">ORD-12449</t>
  </si>
  <si>
    <t xml:space="preserve">ORD-12450</t>
  </si>
  <si>
    <t xml:space="preserve">ORD-12451</t>
  </si>
  <si>
    <t xml:space="preserve">2024-01-28</t>
  </si>
  <si>
    <t xml:space="preserve">ORD-12452</t>
  </si>
  <si>
    <t xml:space="preserve">2025-08-06</t>
  </si>
  <si>
    <t xml:space="preserve">ORD-12453</t>
  </si>
  <si>
    <t xml:space="preserve">ORD-12454</t>
  </si>
  <si>
    <t xml:space="preserve">ORD-12455</t>
  </si>
  <si>
    <t xml:space="preserve">ORD-12456</t>
  </si>
  <si>
    <t xml:space="preserve">ORD-12457</t>
  </si>
  <si>
    <t xml:space="preserve">ORD-12458</t>
  </si>
  <si>
    <t xml:space="preserve">ORD-12459</t>
  </si>
  <si>
    <t xml:space="preserve">ORD-12460</t>
  </si>
  <si>
    <t xml:space="preserve">ORD-12461</t>
  </si>
  <si>
    <t xml:space="preserve">ORD-12462</t>
  </si>
  <si>
    <t xml:space="preserve">ORD-12463</t>
  </si>
  <si>
    <t xml:space="preserve">ORD-12464</t>
  </si>
  <si>
    <t xml:space="preserve">ORD-12465</t>
  </si>
  <si>
    <t xml:space="preserve">ORD-12466</t>
  </si>
  <si>
    <t xml:space="preserve">ORD-12467</t>
  </si>
  <si>
    <t xml:space="preserve">ORD-12468</t>
  </si>
  <si>
    <t xml:space="preserve">ORD-12469</t>
  </si>
  <si>
    <t xml:space="preserve">ORD-12470</t>
  </si>
  <si>
    <t xml:space="preserve">ORD-12471</t>
  </si>
  <si>
    <t xml:space="preserve">ORD-12472</t>
  </si>
  <si>
    <t xml:space="preserve">ORD-12473</t>
  </si>
  <si>
    <t xml:space="preserve">ORD-12474</t>
  </si>
  <si>
    <t xml:space="preserve">ORD-12475</t>
  </si>
  <si>
    <t xml:space="preserve">ORD-12476</t>
  </si>
  <si>
    <t xml:space="preserve">ORD-12477</t>
  </si>
  <si>
    <t xml:space="preserve">ORD-12478</t>
  </si>
  <si>
    <t xml:space="preserve">ORD-12479</t>
  </si>
  <si>
    <t xml:space="preserve">2025-03-15</t>
  </si>
  <si>
    <t xml:space="preserve">ORD-12480</t>
  </si>
  <si>
    <t xml:space="preserve">ORD-12481</t>
  </si>
  <si>
    <t xml:space="preserve">ORD-12482</t>
  </si>
  <si>
    <t xml:space="preserve">ORD-12483</t>
  </si>
  <si>
    <t xml:space="preserve">ORD-12484</t>
  </si>
  <si>
    <t xml:space="preserve">ORD-12485</t>
  </si>
  <si>
    <t xml:space="preserve">ORD-12486</t>
  </si>
  <si>
    <t xml:space="preserve">ORD-12487</t>
  </si>
  <si>
    <t xml:space="preserve">ORD-12488</t>
  </si>
  <si>
    <t xml:space="preserve">ORD-12489</t>
  </si>
  <si>
    <t xml:space="preserve">ORD-12490</t>
  </si>
  <si>
    <t xml:space="preserve">ORD-12491</t>
  </si>
  <si>
    <t xml:space="preserve">ORD-12492</t>
  </si>
  <si>
    <t xml:space="preserve">ORD-12493</t>
  </si>
  <si>
    <t xml:space="preserve">ORD-12494</t>
  </si>
  <si>
    <t xml:space="preserve">ORD-12495</t>
  </si>
  <si>
    <t xml:space="preserve">ORD-12496</t>
  </si>
  <si>
    <t xml:space="preserve">ORD-12497</t>
  </si>
  <si>
    <t xml:space="preserve">ORD-12498</t>
  </si>
  <si>
    <t xml:space="preserve">ORD-12499</t>
  </si>
  <si>
    <t xml:space="preserve">ORD-12500</t>
  </si>
  <si>
    <t xml:space="preserve">2023-10-03</t>
  </si>
  <si>
    <t xml:space="preserve">ORD-12501</t>
  </si>
  <si>
    <t xml:space="preserve">ORD-12502</t>
  </si>
  <si>
    <t xml:space="preserve">ORD-12503</t>
  </si>
  <si>
    <t xml:space="preserve">ORD-12504</t>
  </si>
  <si>
    <t xml:space="preserve">ORD-12505</t>
  </si>
  <si>
    <t xml:space="preserve">ORD-12506</t>
  </si>
  <si>
    <t xml:space="preserve">ORD-12507</t>
  </si>
  <si>
    <t xml:space="preserve">ORD-12508</t>
  </si>
  <si>
    <t xml:space="preserve">ORD-12509</t>
  </si>
  <si>
    <t xml:space="preserve">ORD-12510</t>
  </si>
  <si>
    <t xml:space="preserve">ORD-12511</t>
  </si>
  <si>
    <t xml:space="preserve">ORD-12512</t>
  </si>
  <si>
    <t xml:space="preserve">ORD-12513</t>
  </si>
  <si>
    <t xml:space="preserve">ORD-12514</t>
  </si>
  <si>
    <t xml:space="preserve">ORD-12515</t>
  </si>
  <si>
    <t xml:space="preserve">ORD-12516</t>
  </si>
  <si>
    <t xml:space="preserve">ORD-12517</t>
  </si>
  <si>
    <t xml:space="preserve">2024-07-02</t>
  </si>
  <si>
    <t xml:space="preserve">ORD-12518</t>
  </si>
  <si>
    <t xml:space="preserve">ORD-12519</t>
  </si>
  <si>
    <t xml:space="preserve">ORD-12520</t>
  </si>
  <si>
    <t xml:space="preserve">ORD-12521</t>
  </si>
  <si>
    <t xml:space="preserve">ORD-12522</t>
  </si>
  <si>
    <t xml:space="preserve">ORD-12523</t>
  </si>
  <si>
    <t xml:space="preserve">ORD-12524</t>
  </si>
  <si>
    <t xml:space="preserve">ORD-12525</t>
  </si>
  <si>
    <t xml:space="preserve">ORD-12526</t>
  </si>
  <si>
    <t xml:space="preserve">ORD-12527</t>
  </si>
  <si>
    <t xml:space="preserve">ORD-12528</t>
  </si>
  <si>
    <t xml:space="preserve">ORD-12529</t>
  </si>
  <si>
    <t xml:space="preserve">ORD-12530</t>
  </si>
  <si>
    <t xml:space="preserve">2025-10-28</t>
  </si>
  <si>
    <t xml:space="preserve">ORD-12531</t>
  </si>
  <si>
    <t xml:space="preserve">ORD-12532</t>
  </si>
  <si>
    <t xml:space="preserve">ORD-12533</t>
  </si>
  <si>
    <t xml:space="preserve">ORD-12534</t>
  </si>
  <si>
    <t xml:space="preserve">ORD-12535</t>
  </si>
  <si>
    <t xml:space="preserve">ORD-12536</t>
  </si>
  <si>
    <t xml:space="preserve">ORD-12537</t>
  </si>
  <si>
    <t xml:space="preserve">ORD-12538</t>
  </si>
  <si>
    <t xml:space="preserve">ORD-12539</t>
  </si>
  <si>
    <t xml:space="preserve">ORD-12540</t>
  </si>
  <si>
    <t xml:space="preserve">ORD-12541</t>
  </si>
  <si>
    <t xml:space="preserve">ORD-12542</t>
  </si>
  <si>
    <t xml:space="preserve">ORD-12543</t>
  </si>
  <si>
    <t xml:space="preserve">ORD-12544</t>
  </si>
  <si>
    <t xml:space="preserve">ORD-12545</t>
  </si>
  <si>
    <t xml:space="preserve">ORD-12546</t>
  </si>
  <si>
    <t xml:space="preserve">ORD-12547</t>
  </si>
  <si>
    <t xml:space="preserve">ORD-12548</t>
  </si>
  <si>
    <t xml:space="preserve">ORD-12549</t>
  </si>
  <si>
    <t xml:space="preserve">2025-02-27</t>
  </si>
  <si>
    <t xml:space="preserve">ORD-12550</t>
  </si>
  <si>
    <t xml:space="preserve">ORD-12551</t>
  </si>
  <si>
    <t xml:space="preserve">ORD-12552</t>
  </si>
  <si>
    <t xml:space="preserve">2024-06-02</t>
  </si>
  <si>
    <t xml:space="preserve">ORD-12553</t>
  </si>
  <si>
    <t xml:space="preserve">ORD-12554</t>
  </si>
  <si>
    <t xml:space="preserve">2024-04-01</t>
  </si>
  <si>
    <t xml:space="preserve">ORD-12555</t>
  </si>
  <si>
    <t xml:space="preserve">ORD-12556</t>
  </si>
  <si>
    <t xml:space="preserve">ORD-12557</t>
  </si>
  <si>
    <t xml:space="preserve">ORD-12558</t>
  </si>
  <si>
    <t xml:space="preserve">ORD-12559</t>
  </si>
  <si>
    <t xml:space="preserve">ORD-12560</t>
  </si>
  <si>
    <t xml:space="preserve">ORD-12561</t>
  </si>
  <si>
    <t xml:space="preserve">ORD-12562</t>
  </si>
  <si>
    <t xml:space="preserve">ORD-12563</t>
  </si>
  <si>
    <t xml:space="preserve">ORD-12564</t>
  </si>
  <si>
    <t xml:space="preserve">ORD-12565</t>
  </si>
  <si>
    <t xml:space="preserve">ORD-12566</t>
  </si>
  <si>
    <t xml:space="preserve">ORD-12567</t>
  </si>
  <si>
    <t xml:space="preserve">ORD-12568</t>
  </si>
  <si>
    <t xml:space="preserve">ORD-12569</t>
  </si>
  <si>
    <t xml:space="preserve">ORD-12570</t>
  </si>
  <si>
    <t xml:space="preserve">2023-03-11</t>
  </si>
  <si>
    <t xml:space="preserve">ORD-12571</t>
  </si>
  <si>
    <t xml:space="preserve">ORD-12572</t>
  </si>
  <si>
    <t xml:space="preserve">ORD-12573</t>
  </si>
  <si>
    <t xml:space="preserve">ORD-12574</t>
  </si>
  <si>
    <t xml:space="preserve">ORD-12575</t>
  </si>
  <si>
    <t xml:space="preserve">ORD-12576</t>
  </si>
  <si>
    <t xml:space="preserve">ORD-12577</t>
  </si>
  <si>
    <t xml:space="preserve">ORD-12578</t>
  </si>
  <si>
    <t xml:space="preserve">ORD-12579</t>
  </si>
  <si>
    <t xml:space="preserve">ORD-12580</t>
  </si>
  <si>
    <t xml:space="preserve">ORD-12581</t>
  </si>
  <si>
    <t xml:space="preserve">2025-11-22</t>
  </si>
  <si>
    <t xml:space="preserve">ORD-12582</t>
  </si>
  <si>
    <t xml:space="preserve">ORD-12583</t>
  </si>
  <si>
    <t xml:space="preserve">ORD-12584</t>
  </si>
  <si>
    <t xml:space="preserve">ORD-12585</t>
  </si>
  <si>
    <t xml:space="preserve">ORD-12586</t>
  </si>
  <si>
    <t xml:space="preserve">ORD-12587</t>
  </si>
  <si>
    <t xml:space="preserve">2023-06-11</t>
  </si>
  <si>
    <t xml:space="preserve">ORD-12588</t>
  </si>
  <si>
    <t xml:space="preserve">ORD-12589</t>
  </si>
  <si>
    <t xml:space="preserve">ORD-12590</t>
  </si>
  <si>
    <t xml:space="preserve">ORD-12591</t>
  </si>
  <si>
    <t xml:space="preserve">ORD-12592</t>
  </si>
  <si>
    <t xml:space="preserve">ORD-12593</t>
  </si>
  <si>
    <t xml:space="preserve">ORD-12594</t>
  </si>
  <si>
    <t xml:space="preserve">ORD-12595</t>
  </si>
  <si>
    <t xml:space="preserve">ORD-12596</t>
  </si>
  <si>
    <t xml:space="preserve">2025-09-16</t>
  </si>
  <si>
    <t xml:space="preserve">ORD-12597</t>
  </si>
  <si>
    <t xml:space="preserve">ORD-12598</t>
  </si>
  <si>
    <t xml:space="preserve">ORD-12599</t>
  </si>
  <si>
    <t xml:space="preserve">2025-03-28</t>
  </si>
  <si>
    <t xml:space="preserve">ORD-12600</t>
  </si>
  <si>
    <t xml:space="preserve">ORD-12601</t>
  </si>
  <si>
    <t xml:space="preserve">ORD-12602</t>
  </si>
  <si>
    <t xml:space="preserve">ORD-12603</t>
  </si>
  <si>
    <t xml:space="preserve">ORD-12604</t>
  </si>
  <si>
    <t xml:space="preserve">ORD-12605</t>
  </si>
  <si>
    <t xml:space="preserve">ORD-12606</t>
  </si>
  <si>
    <t xml:space="preserve">ORD-12607</t>
  </si>
  <si>
    <t xml:space="preserve">ORD-12608</t>
  </si>
  <si>
    <t xml:space="preserve">ORD-12609</t>
  </si>
  <si>
    <t xml:space="preserve">ORD-12610</t>
  </si>
  <si>
    <t xml:space="preserve">ORD-12611</t>
  </si>
  <si>
    <t xml:space="preserve">ORD-12612</t>
  </si>
  <si>
    <t xml:space="preserve">ORD-12613</t>
  </si>
  <si>
    <t xml:space="preserve">ORD-12614</t>
  </si>
  <si>
    <t xml:space="preserve">2024-03-08</t>
  </si>
  <si>
    <t xml:space="preserve">ORD-12615</t>
  </si>
  <si>
    <t xml:space="preserve">2025-01-29</t>
  </si>
  <si>
    <t xml:space="preserve">ORD-12616</t>
  </si>
  <si>
    <t xml:space="preserve">ORD-12617</t>
  </si>
  <si>
    <t xml:space="preserve">ORD-12618</t>
  </si>
  <si>
    <t xml:space="preserve">ORD-12619</t>
  </si>
  <si>
    <t xml:space="preserve">ORD-12620</t>
  </si>
  <si>
    <t xml:space="preserve">ORD-12621</t>
  </si>
  <si>
    <t xml:space="preserve">ORD-12622</t>
  </si>
  <si>
    <t xml:space="preserve">ORD-12623</t>
  </si>
  <si>
    <t xml:space="preserve">ORD-12624</t>
  </si>
  <si>
    <t xml:space="preserve">ORD-12625</t>
  </si>
  <si>
    <t xml:space="preserve">ORD-12626</t>
  </si>
  <si>
    <t xml:space="preserve">ORD-12627</t>
  </si>
  <si>
    <t xml:space="preserve">ORD-12628</t>
  </si>
  <si>
    <t xml:space="preserve">ORD-12629</t>
  </si>
  <si>
    <t xml:space="preserve">ORD-12630</t>
  </si>
  <si>
    <t xml:space="preserve">ORD-12631</t>
  </si>
  <si>
    <t xml:space="preserve">ORD-12632</t>
  </si>
  <si>
    <t xml:space="preserve">ORD-12633</t>
  </si>
  <si>
    <t xml:space="preserve">ORD-12634</t>
  </si>
  <si>
    <t xml:space="preserve">ORD-12635</t>
  </si>
  <si>
    <t xml:space="preserve">ORD-12636</t>
  </si>
  <si>
    <t xml:space="preserve">ORD-12637</t>
  </si>
  <si>
    <t xml:space="preserve">ORD-12638</t>
  </si>
  <si>
    <t xml:space="preserve">ORD-12639</t>
  </si>
  <si>
    <t xml:space="preserve">ORD-12640</t>
  </si>
  <si>
    <t xml:space="preserve">ORD-12641</t>
  </si>
  <si>
    <t xml:space="preserve">ORD-12642</t>
  </si>
  <si>
    <t xml:space="preserve">2023-01-05</t>
  </si>
  <si>
    <t xml:space="preserve">ORD-12643</t>
  </si>
  <si>
    <t xml:space="preserve">ORD-12644</t>
  </si>
  <si>
    <t xml:space="preserve">ORD-12645</t>
  </si>
  <si>
    <t xml:space="preserve">ORD-12646</t>
  </si>
  <si>
    <t xml:space="preserve">ORD-12647</t>
  </si>
  <si>
    <t xml:space="preserve">ORD-12648</t>
  </si>
  <si>
    <t xml:space="preserve">ORD-12649</t>
  </si>
  <si>
    <t xml:space="preserve">ORD-12650</t>
  </si>
  <si>
    <t xml:space="preserve">ORD-12651</t>
  </si>
  <si>
    <t xml:space="preserve">ORD-12652</t>
  </si>
  <si>
    <t xml:space="preserve">ORD-12653</t>
  </si>
  <si>
    <t xml:space="preserve">ORD-12654</t>
  </si>
  <si>
    <t xml:space="preserve">ORD-12655</t>
  </si>
  <si>
    <t xml:space="preserve">ORD-12656</t>
  </si>
  <si>
    <t xml:space="preserve">ORD-12657</t>
  </si>
  <si>
    <t xml:space="preserve">ORD-12658</t>
  </si>
  <si>
    <t xml:space="preserve">ORD-12659</t>
  </si>
  <si>
    <t xml:space="preserve">ORD-12660</t>
  </si>
  <si>
    <t xml:space="preserve">ORD-12661</t>
  </si>
  <si>
    <t xml:space="preserve">ORD-12662</t>
  </si>
  <si>
    <t xml:space="preserve">ORD-12663</t>
  </si>
  <si>
    <t xml:space="preserve">ORD-12664</t>
  </si>
  <si>
    <t xml:space="preserve">2024-04-22</t>
  </si>
  <si>
    <t xml:space="preserve">ORD-12665</t>
  </si>
  <si>
    <t xml:space="preserve">ORD-12666</t>
  </si>
  <si>
    <t xml:space="preserve">ORD-12667</t>
  </si>
  <si>
    <t xml:space="preserve">ORD-12668</t>
  </si>
  <si>
    <t xml:space="preserve">ORD-12669</t>
  </si>
  <si>
    <t xml:space="preserve">ORD-12670</t>
  </si>
  <si>
    <t xml:space="preserve">ORD-12671</t>
  </si>
  <si>
    <t xml:space="preserve">ORD-12672</t>
  </si>
  <si>
    <t xml:space="preserve">ORD-12673</t>
  </si>
  <si>
    <t xml:space="preserve">ORD-12674</t>
  </si>
  <si>
    <t xml:space="preserve">ORD-12675</t>
  </si>
  <si>
    <t xml:space="preserve">ORD-12676</t>
  </si>
  <si>
    <t xml:space="preserve">ORD-12677</t>
  </si>
  <si>
    <t xml:space="preserve">ORD-12678</t>
  </si>
  <si>
    <t xml:space="preserve">ORD-12679</t>
  </si>
  <si>
    <t xml:space="preserve">ORD-12680</t>
  </si>
  <si>
    <t xml:space="preserve">ORD-12681</t>
  </si>
  <si>
    <t xml:space="preserve">ORD-12682</t>
  </si>
  <si>
    <t xml:space="preserve">2025-04-28</t>
  </si>
  <si>
    <t xml:space="preserve">ORD-12683</t>
  </si>
  <si>
    <t xml:space="preserve">ORD-12684</t>
  </si>
  <si>
    <t xml:space="preserve">ORD-12685</t>
  </si>
  <si>
    <t xml:space="preserve">ORD-12686</t>
  </si>
  <si>
    <t xml:space="preserve">ORD-12687</t>
  </si>
  <si>
    <t xml:space="preserve">ORD-12688</t>
  </si>
  <si>
    <t xml:space="preserve">2023-04-29</t>
  </si>
  <si>
    <t xml:space="preserve">ORD-12689</t>
  </si>
  <si>
    <t xml:space="preserve">ORD-12690</t>
  </si>
  <si>
    <t xml:space="preserve">ORD-12691</t>
  </si>
  <si>
    <t xml:space="preserve">2023-02-27</t>
  </si>
  <si>
    <t xml:space="preserve">ORD-12692</t>
  </si>
  <si>
    <t xml:space="preserve">ORD-12693</t>
  </si>
  <si>
    <t xml:space="preserve">ORD-12694</t>
  </si>
  <si>
    <t xml:space="preserve">ORD-12695</t>
  </si>
  <si>
    <t xml:space="preserve">ORD-12696</t>
  </si>
  <si>
    <t xml:space="preserve">ORD-12697</t>
  </si>
  <si>
    <t xml:space="preserve">ORD-12698</t>
  </si>
  <si>
    <t xml:space="preserve">ORD-12699</t>
  </si>
  <si>
    <t xml:space="preserve">ORD-12700</t>
  </si>
  <si>
    <t xml:space="preserve">ORD-12701</t>
  </si>
  <si>
    <t xml:space="preserve">ORD-12702</t>
  </si>
  <si>
    <t xml:space="preserve">ORD-12703</t>
  </si>
  <si>
    <t xml:space="preserve">ORD-12704</t>
  </si>
  <si>
    <t xml:space="preserve">ORD-12705</t>
  </si>
  <si>
    <t xml:space="preserve">ORD-12706</t>
  </si>
  <si>
    <t xml:space="preserve">2025-10-18</t>
  </si>
  <si>
    <t xml:space="preserve">ORD-12707</t>
  </si>
  <si>
    <t xml:space="preserve">ORD-12708</t>
  </si>
  <si>
    <t xml:space="preserve">ORD-12709</t>
  </si>
  <si>
    <t xml:space="preserve">ORD-12710</t>
  </si>
  <si>
    <t xml:space="preserve">2024-06-04</t>
  </si>
  <si>
    <t xml:space="preserve">ORD-12711</t>
  </si>
  <si>
    <t xml:space="preserve">ORD-12712</t>
  </si>
  <si>
    <t xml:space="preserve">ORD-12713</t>
  </si>
  <si>
    <t xml:space="preserve">ORD-12714</t>
  </si>
  <si>
    <t xml:space="preserve">ORD-12715</t>
  </si>
  <si>
    <t xml:space="preserve">ORD-12716</t>
  </si>
  <si>
    <t xml:space="preserve">ORD-12717</t>
  </si>
  <si>
    <t xml:space="preserve">ORD-12718</t>
  </si>
  <si>
    <t xml:space="preserve">ORD-12719</t>
  </si>
  <si>
    <t xml:space="preserve">ORD-12720</t>
  </si>
  <si>
    <t xml:space="preserve">ORD-12721</t>
  </si>
  <si>
    <t xml:space="preserve">ORD-12722</t>
  </si>
  <si>
    <t xml:space="preserve">ORD-12723</t>
  </si>
  <si>
    <t xml:space="preserve">ORD-12724</t>
  </si>
  <si>
    <t xml:space="preserve">ORD-12725</t>
  </si>
  <si>
    <t xml:space="preserve">ORD-12726</t>
  </si>
  <si>
    <t xml:space="preserve">ORD-12727</t>
  </si>
  <si>
    <t xml:space="preserve">ORD-12728</t>
  </si>
  <si>
    <t xml:space="preserve">2024-08-13</t>
  </si>
  <si>
    <t xml:space="preserve">ORD-12729</t>
  </si>
  <si>
    <t xml:space="preserve">ORD-12730</t>
  </si>
  <si>
    <t xml:space="preserve">ORD-12731</t>
  </si>
  <si>
    <t xml:space="preserve">ORD-12732</t>
  </si>
  <si>
    <t xml:space="preserve">ORD-12733</t>
  </si>
  <si>
    <t xml:space="preserve">ORD-12734</t>
  </si>
  <si>
    <t xml:space="preserve">ORD-12735</t>
  </si>
  <si>
    <t xml:space="preserve">2023-08-01</t>
  </si>
  <si>
    <t xml:space="preserve">ORD-12736</t>
  </si>
  <si>
    <t xml:space="preserve">2024-10-17</t>
  </si>
  <si>
    <t xml:space="preserve">ORD-12737</t>
  </si>
  <si>
    <t xml:space="preserve">ORD-12738</t>
  </si>
  <si>
    <t xml:space="preserve">ORD-12739</t>
  </si>
  <si>
    <t xml:space="preserve">ORD-12740</t>
  </si>
  <si>
    <t xml:space="preserve">ORD-12741</t>
  </si>
  <si>
    <t xml:space="preserve">ORD-12742</t>
  </si>
  <si>
    <t xml:space="preserve">2023-03-18</t>
  </si>
  <si>
    <t xml:space="preserve">ORD-12743</t>
  </si>
  <si>
    <t xml:space="preserve">ORD-12744</t>
  </si>
  <si>
    <t xml:space="preserve">ORD-12745</t>
  </si>
  <si>
    <t xml:space="preserve">ORD-12746</t>
  </si>
  <si>
    <t xml:space="preserve">ORD-12747</t>
  </si>
  <si>
    <t xml:space="preserve">ORD-12748</t>
  </si>
  <si>
    <t xml:space="preserve">ORD-12749</t>
  </si>
  <si>
    <t xml:space="preserve">ORD-12750</t>
  </si>
  <si>
    <t xml:space="preserve">ORD-12751</t>
  </si>
  <si>
    <t xml:space="preserve">2023-08-04</t>
  </si>
  <si>
    <t xml:space="preserve">ORD-12752</t>
  </si>
  <si>
    <t xml:space="preserve">ORD-12753</t>
  </si>
  <si>
    <t xml:space="preserve">2025-04-15</t>
  </si>
  <si>
    <t xml:space="preserve">ORD-12754</t>
  </si>
  <si>
    <t xml:space="preserve">ORD-12755</t>
  </si>
  <si>
    <t xml:space="preserve">ORD-12756</t>
  </si>
  <si>
    <t xml:space="preserve">ORD-12757</t>
  </si>
  <si>
    <t xml:space="preserve">ORD-12758</t>
  </si>
  <si>
    <t xml:space="preserve">ORD-12759</t>
  </si>
  <si>
    <t xml:space="preserve">ORD-12760</t>
  </si>
  <si>
    <t xml:space="preserve">ORD-12761</t>
  </si>
  <si>
    <t xml:space="preserve">ORD-12762</t>
  </si>
  <si>
    <t xml:space="preserve">ORD-12763</t>
  </si>
  <si>
    <t xml:space="preserve">ORD-12764</t>
  </si>
  <si>
    <t xml:space="preserve">ORD-12765</t>
  </si>
  <si>
    <t xml:space="preserve">ORD-12766</t>
  </si>
  <si>
    <t xml:space="preserve">ORD-12767</t>
  </si>
  <si>
    <t xml:space="preserve">ORD-12768</t>
  </si>
  <si>
    <t xml:space="preserve">2024-05-20</t>
  </si>
  <si>
    <t xml:space="preserve">ORD-12769</t>
  </si>
  <si>
    <t xml:space="preserve">ORD-12770</t>
  </si>
  <si>
    <t xml:space="preserve">ORD-12771</t>
  </si>
  <si>
    <t xml:space="preserve">ORD-12772</t>
  </si>
  <si>
    <t xml:space="preserve">ORD-12773</t>
  </si>
  <si>
    <t xml:space="preserve">ORD-12774</t>
  </si>
  <si>
    <t xml:space="preserve">ORD-12775</t>
  </si>
  <si>
    <t xml:space="preserve">ORD-12776</t>
  </si>
  <si>
    <t xml:space="preserve">ORD-12777</t>
  </si>
  <si>
    <t xml:space="preserve">ORD-12778</t>
  </si>
  <si>
    <t xml:space="preserve">ORD-12779</t>
  </si>
  <si>
    <t xml:space="preserve">ORD-12780</t>
  </si>
  <si>
    <t xml:space="preserve">ORD-12781</t>
  </si>
  <si>
    <t xml:space="preserve">ORD-12782</t>
  </si>
  <si>
    <t xml:space="preserve">ORD-12783</t>
  </si>
  <si>
    <t xml:space="preserve">ORD-12784</t>
  </si>
  <si>
    <t xml:space="preserve">ORD-12785</t>
  </si>
  <si>
    <t xml:space="preserve">ORD-12786</t>
  </si>
  <si>
    <t xml:space="preserve">ORD-12787</t>
  </si>
  <si>
    <t xml:space="preserve">ORD-12788</t>
  </si>
  <si>
    <t xml:space="preserve">ORD-12789</t>
  </si>
  <si>
    <t xml:space="preserve">ORD-12790</t>
  </si>
  <si>
    <t xml:space="preserve">2024-01-13</t>
  </si>
  <si>
    <t xml:space="preserve">ORD-12791</t>
  </si>
  <si>
    <t xml:space="preserve">ORD-12792</t>
  </si>
  <si>
    <t xml:space="preserve">ORD-12793</t>
  </si>
  <si>
    <t xml:space="preserve">2025-11-14</t>
  </si>
  <si>
    <t xml:space="preserve">ORD-12794</t>
  </si>
  <si>
    <t xml:space="preserve">ORD-12795</t>
  </si>
  <si>
    <t xml:space="preserve">ORD-12796</t>
  </si>
  <si>
    <t xml:space="preserve">ORD-12797</t>
  </si>
  <si>
    <t xml:space="preserve">ORD-12798</t>
  </si>
  <si>
    <t xml:space="preserve">ORD-12799</t>
  </si>
  <si>
    <t xml:space="preserve">ORD-12800</t>
  </si>
  <si>
    <t xml:space="preserve">ORD-12801</t>
  </si>
  <si>
    <t xml:space="preserve">2023-03-25</t>
  </si>
  <si>
    <t xml:space="preserve">ORD-12802</t>
  </si>
  <si>
    <t xml:space="preserve">ORD-12803</t>
  </si>
  <si>
    <t xml:space="preserve">ORD-12804</t>
  </si>
  <si>
    <t xml:space="preserve">ORD-12805</t>
  </si>
  <si>
    <t xml:space="preserve">ORD-12806</t>
  </si>
  <si>
    <t xml:space="preserve">ORD-12807</t>
  </si>
  <si>
    <t xml:space="preserve">ORD-12808</t>
  </si>
  <si>
    <t xml:space="preserve">ORD-12809</t>
  </si>
  <si>
    <t xml:space="preserve">ORD-12810</t>
  </si>
  <si>
    <t xml:space="preserve">2024-09-02</t>
  </si>
  <si>
    <t xml:space="preserve">ORD-12811</t>
  </si>
  <si>
    <t xml:space="preserve">ORD-12812</t>
  </si>
  <si>
    <t xml:space="preserve">ORD-12813</t>
  </si>
  <si>
    <t xml:space="preserve">ORD-12814</t>
  </si>
  <si>
    <t xml:space="preserve">ORD-12815</t>
  </si>
  <si>
    <t xml:space="preserve">ORD-12816</t>
  </si>
  <si>
    <t xml:space="preserve">ORD-12817</t>
  </si>
  <si>
    <t xml:space="preserve">ORD-12818</t>
  </si>
  <si>
    <t xml:space="preserve">ORD-12819</t>
  </si>
  <si>
    <t xml:space="preserve">ORD-12820</t>
  </si>
  <si>
    <t xml:space="preserve">2023-06-19</t>
  </si>
  <si>
    <t xml:space="preserve">ORD-12821</t>
  </si>
  <si>
    <t xml:space="preserve">ORD-12822</t>
  </si>
  <si>
    <t xml:space="preserve">2023-10-12</t>
  </si>
  <si>
    <t xml:space="preserve">ORD-12823</t>
  </si>
  <si>
    <t xml:space="preserve">ORD-12824</t>
  </si>
  <si>
    <t xml:space="preserve">ORD-12825</t>
  </si>
  <si>
    <t xml:space="preserve">ORD-12826</t>
  </si>
  <si>
    <t xml:space="preserve">ORD-12827</t>
  </si>
  <si>
    <t xml:space="preserve">ORD-12828</t>
  </si>
  <si>
    <t xml:space="preserve">ORD-12829</t>
  </si>
  <si>
    <t xml:space="preserve">ORD-12830</t>
  </si>
  <si>
    <t xml:space="preserve">ORD-12831</t>
  </si>
  <si>
    <t xml:space="preserve">ORD-12832</t>
  </si>
  <si>
    <t xml:space="preserve">2023-08-02</t>
  </si>
  <si>
    <t xml:space="preserve">ORD-12833</t>
  </si>
  <si>
    <t xml:space="preserve">ORD-12834</t>
  </si>
  <si>
    <t xml:space="preserve">ORD-12835</t>
  </si>
  <si>
    <t xml:space="preserve">ORD-12836</t>
  </si>
  <si>
    <t xml:space="preserve">ORD-12837</t>
  </si>
  <si>
    <t xml:space="preserve">ORD-12838</t>
  </si>
  <si>
    <t xml:space="preserve">ORD-12839</t>
  </si>
  <si>
    <t xml:space="preserve">ORD-12840</t>
  </si>
  <si>
    <t xml:space="preserve">ORD-12841</t>
  </si>
  <si>
    <t xml:space="preserve">ORD-12842</t>
  </si>
  <si>
    <t xml:space="preserve">ORD-12843</t>
  </si>
  <si>
    <t xml:space="preserve">ORD-12844</t>
  </si>
  <si>
    <t xml:space="preserve">ORD-12845</t>
  </si>
  <si>
    <t xml:space="preserve">ORD-12846</t>
  </si>
  <si>
    <t xml:space="preserve">2025-06-22</t>
  </si>
  <si>
    <t xml:space="preserve">ORD-12847</t>
  </si>
  <si>
    <t xml:space="preserve">ORD-12848</t>
  </si>
  <si>
    <t xml:space="preserve">ORD-12849</t>
  </si>
  <si>
    <t xml:space="preserve">ORD-12850</t>
  </si>
  <si>
    <t xml:space="preserve">ORD-12851</t>
  </si>
  <si>
    <t xml:space="preserve">ORD-12852</t>
  </si>
  <si>
    <t xml:space="preserve">ORD-12853</t>
  </si>
  <si>
    <t xml:space="preserve">ORD-12854</t>
  </si>
  <si>
    <t xml:space="preserve">ORD-12855</t>
  </si>
  <si>
    <t xml:space="preserve">ORD-12856</t>
  </si>
  <si>
    <t xml:space="preserve">2024-02-08</t>
  </si>
  <si>
    <t xml:space="preserve">ORD-12857</t>
  </si>
  <si>
    <t xml:space="preserve">ORD-12858</t>
  </si>
  <si>
    <t xml:space="preserve">ORD-12859</t>
  </si>
  <si>
    <t xml:space="preserve">ORD-12860</t>
  </si>
  <si>
    <t xml:space="preserve">ORD-12861</t>
  </si>
  <si>
    <t xml:space="preserve">ORD-12862</t>
  </si>
  <si>
    <t xml:space="preserve">ORD-12863</t>
  </si>
  <si>
    <t xml:space="preserve">ORD-12864</t>
  </si>
  <si>
    <t xml:space="preserve">2023-04-10</t>
  </si>
  <si>
    <t xml:space="preserve">ORD-12865</t>
  </si>
  <si>
    <t xml:space="preserve">ORD-12866</t>
  </si>
  <si>
    <t xml:space="preserve">ORD-12867</t>
  </si>
  <si>
    <t xml:space="preserve">ORD-12868</t>
  </si>
  <si>
    <t xml:space="preserve">ORD-12869</t>
  </si>
  <si>
    <t xml:space="preserve">2024-06-21</t>
  </si>
  <si>
    <t xml:space="preserve">ORD-12870</t>
  </si>
  <si>
    <t xml:space="preserve">ORD-12871</t>
  </si>
  <si>
    <t xml:space="preserve">ORD-12872</t>
  </si>
  <si>
    <t xml:space="preserve">ORD-12873</t>
  </si>
  <si>
    <t xml:space="preserve">ORD-12874</t>
  </si>
  <si>
    <t xml:space="preserve">2025-05-14</t>
  </si>
  <si>
    <t xml:space="preserve">ORD-12875</t>
  </si>
  <si>
    <t xml:space="preserve">ORD-12876</t>
  </si>
  <si>
    <t xml:space="preserve">ORD-12877</t>
  </si>
  <si>
    <t xml:space="preserve">ORD-12878</t>
  </si>
  <si>
    <t xml:space="preserve">ORD-12879</t>
  </si>
  <si>
    <t xml:space="preserve">ORD-12880</t>
  </si>
  <si>
    <t xml:space="preserve">ORD-12881</t>
  </si>
  <si>
    <t xml:space="preserve">2025-08-24</t>
  </si>
  <si>
    <t xml:space="preserve">ORD-12882</t>
  </si>
  <si>
    <t xml:space="preserve">ORD-12883</t>
  </si>
  <si>
    <t xml:space="preserve">ORD-12884</t>
  </si>
  <si>
    <t xml:space="preserve">ORD-12885</t>
  </si>
  <si>
    <t xml:space="preserve">ORD-12886</t>
  </si>
  <si>
    <t xml:space="preserve">ORD-12887</t>
  </si>
  <si>
    <t xml:space="preserve">ORD-12888</t>
  </si>
  <si>
    <t xml:space="preserve">ORD-12889</t>
  </si>
  <si>
    <t xml:space="preserve">ORD-12890</t>
  </si>
  <si>
    <t xml:space="preserve">2024-01-09</t>
  </si>
  <si>
    <t xml:space="preserve">ORD-12891</t>
  </si>
  <si>
    <t xml:space="preserve">ORD-12892</t>
  </si>
  <si>
    <t xml:space="preserve">ORD-12893</t>
  </si>
  <si>
    <t xml:space="preserve">2025-03-23</t>
  </si>
  <si>
    <t xml:space="preserve">ORD-12894</t>
  </si>
  <si>
    <t xml:space="preserve">2024-06-19</t>
  </si>
  <si>
    <t xml:space="preserve">ORD-12895</t>
  </si>
  <si>
    <t xml:space="preserve">ORD-12896</t>
  </si>
  <si>
    <t xml:space="preserve">ORD-12897</t>
  </si>
  <si>
    <t xml:space="preserve">ORD-12898</t>
  </si>
  <si>
    <t xml:space="preserve">ORD-12899</t>
  </si>
  <si>
    <t xml:space="preserve">ORD-12900</t>
  </si>
  <si>
    <t xml:space="preserve">ORD-12901</t>
  </si>
  <si>
    <t xml:space="preserve">ORD-12902</t>
  </si>
  <si>
    <t xml:space="preserve">ORD-12903</t>
  </si>
  <si>
    <t xml:space="preserve">ORD-12904</t>
  </si>
  <si>
    <t xml:space="preserve">ORD-12905</t>
  </si>
  <si>
    <t xml:space="preserve">ORD-12906</t>
  </si>
  <si>
    <t xml:space="preserve">ORD-12907</t>
  </si>
  <si>
    <t xml:space="preserve">ORD-12908</t>
  </si>
  <si>
    <t xml:space="preserve">ORD-12909</t>
  </si>
  <si>
    <t xml:space="preserve">ORD-12910</t>
  </si>
  <si>
    <t xml:space="preserve">ORD-12911</t>
  </si>
  <si>
    <t xml:space="preserve">ORD-12912</t>
  </si>
  <si>
    <t xml:space="preserve">ORD-12913</t>
  </si>
  <si>
    <t xml:space="preserve">ORD-12914</t>
  </si>
  <si>
    <t xml:space="preserve">ORD-12915</t>
  </si>
  <si>
    <t xml:space="preserve">ORD-12916</t>
  </si>
  <si>
    <t xml:space="preserve">ORD-12917</t>
  </si>
  <si>
    <t xml:space="preserve">ORD-12918</t>
  </si>
  <si>
    <t xml:space="preserve">ORD-12919</t>
  </si>
  <si>
    <t xml:space="preserve">ORD-12920</t>
  </si>
  <si>
    <t xml:space="preserve">ORD-12921</t>
  </si>
  <si>
    <t xml:space="preserve">ORD-12922</t>
  </si>
  <si>
    <t xml:space="preserve">ORD-12923</t>
  </si>
  <si>
    <t xml:space="preserve">ORD-12924</t>
  </si>
  <si>
    <t xml:space="preserve">ORD-12925</t>
  </si>
  <si>
    <t xml:space="preserve">2023-01-28</t>
  </si>
  <si>
    <t xml:space="preserve">ORD-12926</t>
  </si>
  <si>
    <t xml:space="preserve">ORD-12927</t>
  </si>
  <si>
    <t xml:space="preserve">ORD-12928</t>
  </si>
  <si>
    <t xml:space="preserve">ORD-12929</t>
  </si>
  <si>
    <t xml:space="preserve">ORD-12930</t>
  </si>
  <si>
    <t xml:space="preserve">ORD-12931</t>
  </si>
  <si>
    <t xml:space="preserve">ORD-12932</t>
  </si>
  <si>
    <t xml:space="preserve">ORD-12933</t>
  </si>
  <si>
    <t xml:space="preserve">ORD-12934</t>
  </si>
  <si>
    <t xml:space="preserve">ORD-12935</t>
  </si>
  <si>
    <t xml:space="preserve">ORD-12936</t>
  </si>
  <si>
    <t xml:space="preserve">ORD-12937</t>
  </si>
  <si>
    <t xml:space="preserve">ORD-12938</t>
  </si>
  <si>
    <t xml:space="preserve">ORD-12939</t>
  </si>
  <si>
    <t xml:space="preserve">ORD-12940</t>
  </si>
  <si>
    <t xml:space="preserve">ORD-12941</t>
  </si>
  <si>
    <t xml:space="preserve">2024-12-08</t>
  </si>
  <si>
    <t xml:space="preserve">ORD-12942</t>
  </si>
  <si>
    <t xml:space="preserve">ORD-12943</t>
  </si>
  <si>
    <t xml:space="preserve">ORD-12944</t>
  </si>
  <si>
    <t xml:space="preserve">ORD-12945</t>
  </si>
  <si>
    <t xml:space="preserve">ORD-12946</t>
  </si>
  <si>
    <t xml:space="preserve">ORD-12947</t>
  </si>
  <si>
    <t xml:space="preserve">ORD-12948</t>
  </si>
  <si>
    <t xml:space="preserve">ORD-12949</t>
  </si>
  <si>
    <t xml:space="preserve">2023-06-15</t>
  </si>
  <si>
    <t xml:space="preserve">ORD-12950</t>
  </si>
  <si>
    <t xml:space="preserve">ORD-12951</t>
  </si>
  <si>
    <t xml:space="preserve">ORD-12952</t>
  </si>
  <si>
    <t xml:space="preserve">ORD-12953</t>
  </si>
  <si>
    <t xml:space="preserve">ORD-12954</t>
  </si>
  <si>
    <t xml:space="preserve">ORD-12955</t>
  </si>
  <si>
    <t xml:space="preserve">ORD-12956</t>
  </si>
  <si>
    <t xml:space="preserve">ORD-12957</t>
  </si>
  <si>
    <t xml:space="preserve">ORD-12958</t>
  </si>
  <si>
    <t xml:space="preserve">ORD-12959</t>
  </si>
  <si>
    <t xml:space="preserve">ORD-12960</t>
  </si>
  <si>
    <t xml:space="preserve">2024-05-19</t>
  </si>
  <si>
    <t xml:space="preserve">ORD-12961</t>
  </si>
  <si>
    <t xml:space="preserve">ORD-12962</t>
  </si>
  <si>
    <t xml:space="preserve">ORD-12963</t>
  </si>
  <si>
    <t xml:space="preserve">ORD-12964</t>
  </si>
  <si>
    <t xml:space="preserve">ORD-12965</t>
  </si>
  <si>
    <t xml:space="preserve">ORD-12966</t>
  </si>
  <si>
    <t xml:space="preserve">ORD-12967</t>
  </si>
  <si>
    <t xml:space="preserve">ORD-12968</t>
  </si>
  <si>
    <t xml:space="preserve">ORD-12969</t>
  </si>
  <si>
    <t xml:space="preserve">ORD-12970</t>
  </si>
  <si>
    <t xml:space="preserve">ORD-12971</t>
  </si>
  <si>
    <t xml:space="preserve">2024-09-26</t>
  </si>
  <si>
    <t xml:space="preserve">ORD-12972</t>
  </si>
  <si>
    <t xml:space="preserve">ORD-12973</t>
  </si>
  <si>
    <t xml:space="preserve">ORD-12974</t>
  </si>
  <si>
    <t xml:space="preserve">ORD-12975</t>
  </si>
  <si>
    <t xml:space="preserve">ORD-12976</t>
  </si>
  <si>
    <t xml:space="preserve">ORD-12977</t>
  </si>
  <si>
    <t xml:space="preserve">ORD-12978</t>
  </si>
  <si>
    <t xml:space="preserve">ORD-12979</t>
  </si>
  <si>
    <t xml:space="preserve">ORD-12980</t>
  </si>
  <si>
    <t xml:space="preserve">ORD-12981</t>
  </si>
  <si>
    <t xml:space="preserve">ORD-12982</t>
  </si>
  <si>
    <t xml:space="preserve">ORD-12983</t>
  </si>
  <si>
    <t xml:space="preserve">ORD-12984</t>
  </si>
  <si>
    <t xml:space="preserve">ORD-12985</t>
  </si>
  <si>
    <t xml:space="preserve">ORD-12986</t>
  </si>
  <si>
    <t xml:space="preserve">ORD-12987</t>
  </si>
  <si>
    <t xml:space="preserve">ORD-12988</t>
  </si>
  <si>
    <t xml:space="preserve">ORD-12989</t>
  </si>
  <si>
    <t xml:space="preserve">ORD-12990</t>
  </si>
  <si>
    <t xml:space="preserve">ORD-12991</t>
  </si>
  <si>
    <t xml:space="preserve">ORD-12992</t>
  </si>
  <si>
    <t xml:space="preserve">2024-03-26</t>
  </si>
  <si>
    <t xml:space="preserve">ORD-12993</t>
  </si>
  <si>
    <t xml:space="preserve">ORD-12994</t>
  </si>
  <si>
    <t xml:space="preserve">ORD-12995</t>
  </si>
  <si>
    <t xml:space="preserve">2025-07-14</t>
  </si>
  <si>
    <t xml:space="preserve">ORD-12996</t>
  </si>
  <si>
    <t xml:space="preserve">ORD-12997</t>
  </si>
  <si>
    <t xml:space="preserve">ORD-12998</t>
  </si>
  <si>
    <t xml:space="preserve">ORD-12999</t>
  </si>
  <si>
    <t xml:space="preserve">ORD-13000</t>
  </si>
  <si>
    <t xml:space="preserve">2025-10-05</t>
  </si>
  <si>
    <t xml:space="preserve">ORD-13001</t>
  </si>
  <si>
    <t xml:space="preserve">ORD-13002</t>
  </si>
  <si>
    <t xml:space="preserve">ORD-13003</t>
  </si>
  <si>
    <t xml:space="preserve">ORD-13004</t>
  </si>
  <si>
    <t xml:space="preserve">ORD-13005</t>
  </si>
  <si>
    <t xml:space="preserve">ORD-13006</t>
  </si>
  <si>
    <t xml:space="preserve">ORD-13007</t>
  </si>
  <si>
    <t xml:space="preserve">ORD-13008</t>
  </si>
  <si>
    <t xml:space="preserve">ORD-13009</t>
  </si>
  <si>
    <t xml:space="preserve">ORD-13010</t>
  </si>
  <si>
    <t xml:space="preserve">ORD-13011</t>
  </si>
  <si>
    <t xml:space="preserve">ORD-13012</t>
  </si>
  <si>
    <t xml:space="preserve">ORD-13013</t>
  </si>
  <si>
    <t xml:space="preserve">ORD-13014</t>
  </si>
  <si>
    <t xml:space="preserve">ORD-13015</t>
  </si>
  <si>
    <t xml:space="preserve">ORD-13016</t>
  </si>
  <si>
    <t xml:space="preserve">ORD-13017</t>
  </si>
  <si>
    <t xml:space="preserve">ORD-13018</t>
  </si>
  <si>
    <t xml:space="preserve">ORD-13019</t>
  </si>
  <si>
    <t xml:space="preserve">2024-07-07</t>
  </si>
  <si>
    <t xml:space="preserve">ORD-13020</t>
  </si>
  <si>
    <t xml:space="preserve">ORD-13021</t>
  </si>
  <si>
    <t xml:space="preserve">ORD-13022</t>
  </si>
  <si>
    <t xml:space="preserve">ORD-13023</t>
  </si>
  <si>
    <t xml:space="preserve">ORD-13024</t>
  </si>
  <si>
    <t xml:space="preserve">ORD-13025</t>
  </si>
  <si>
    <t xml:space="preserve">ORD-13026</t>
  </si>
  <si>
    <t xml:space="preserve">ORD-13027</t>
  </si>
  <si>
    <t xml:space="preserve">ORD-13028</t>
  </si>
  <si>
    <t xml:space="preserve">ORD-13029</t>
  </si>
  <si>
    <t xml:space="preserve">ORD-13030</t>
  </si>
  <si>
    <t xml:space="preserve">ORD-13031</t>
  </si>
  <si>
    <t xml:space="preserve">ORD-13032</t>
  </si>
  <si>
    <t xml:space="preserve">ORD-13033</t>
  </si>
  <si>
    <t xml:space="preserve">ORD-13034</t>
  </si>
  <si>
    <t xml:space="preserve">ORD-13035</t>
  </si>
  <si>
    <t xml:space="preserve">ORD-13036</t>
  </si>
  <si>
    <t xml:space="preserve">ORD-13037</t>
  </si>
  <si>
    <t xml:space="preserve">ORD-13038</t>
  </si>
  <si>
    <t xml:space="preserve">ORD-13039</t>
  </si>
  <si>
    <t xml:space="preserve">ORD-13040</t>
  </si>
  <si>
    <t xml:space="preserve">ORD-13041</t>
  </si>
  <si>
    <t xml:space="preserve">ORD-13042</t>
  </si>
  <si>
    <t xml:space="preserve">ORD-13043</t>
  </si>
  <si>
    <t xml:space="preserve">ORD-13044</t>
  </si>
  <si>
    <t xml:space="preserve">ORD-13045</t>
  </si>
  <si>
    <t xml:space="preserve">2025-02-26</t>
  </si>
  <si>
    <t xml:space="preserve">ORD-13046</t>
  </si>
  <si>
    <t xml:space="preserve">ORD-13047</t>
  </si>
  <si>
    <t xml:space="preserve">ORD-13048</t>
  </si>
  <si>
    <t xml:space="preserve">ORD-13049</t>
  </si>
  <si>
    <t xml:space="preserve">ORD-13050</t>
  </si>
  <si>
    <t xml:space="preserve">ORD-13051</t>
  </si>
  <si>
    <t xml:space="preserve">ORD-13052</t>
  </si>
  <si>
    <t xml:space="preserve">ORD-13053</t>
  </si>
  <si>
    <t xml:space="preserve">ORD-13054</t>
  </si>
  <si>
    <t xml:space="preserve">ORD-13055</t>
  </si>
  <si>
    <t xml:space="preserve">ORD-13056</t>
  </si>
  <si>
    <t xml:space="preserve">ORD-13057</t>
  </si>
  <si>
    <t xml:space="preserve">ORD-13058</t>
  </si>
  <si>
    <t xml:space="preserve">ORD-13059</t>
  </si>
  <si>
    <t xml:space="preserve">ORD-13060</t>
  </si>
  <si>
    <t xml:space="preserve">ORD-13061</t>
  </si>
  <si>
    <t xml:space="preserve">ORD-13062</t>
  </si>
  <si>
    <t xml:space="preserve">ORD-13063</t>
  </si>
  <si>
    <t xml:space="preserve">ORD-13064</t>
  </si>
  <si>
    <t xml:space="preserve">ORD-13065</t>
  </si>
  <si>
    <t xml:space="preserve">ORD-13066</t>
  </si>
  <si>
    <t xml:space="preserve">ORD-13067</t>
  </si>
  <si>
    <t xml:space="preserve">ORD-13068</t>
  </si>
  <si>
    <t xml:space="preserve">ORD-13069</t>
  </si>
  <si>
    <t xml:space="preserve">ORD-13070</t>
  </si>
  <si>
    <t xml:space="preserve">ORD-13071</t>
  </si>
  <si>
    <t xml:space="preserve">ORD-13072</t>
  </si>
  <si>
    <t xml:space="preserve">ORD-13073</t>
  </si>
  <si>
    <t xml:space="preserve">ORD-13074</t>
  </si>
  <si>
    <t xml:space="preserve">ORD-13075</t>
  </si>
  <si>
    <t xml:space="preserve">ORD-13076</t>
  </si>
  <si>
    <t xml:space="preserve">ORD-13077</t>
  </si>
  <si>
    <t xml:space="preserve">ORD-13078</t>
  </si>
  <si>
    <t xml:space="preserve">ORD-13079</t>
  </si>
  <si>
    <t xml:space="preserve">ORD-13080</t>
  </si>
  <si>
    <t xml:space="preserve">ORD-13081</t>
  </si>
  <si>
    <t xml:space="preserve">ORD-13082</t>
  </si>
  <si>
    <t xml:space="preserve">ORD-13083</t>
  </si>
  <si>
    <t xml:space="preserve">ORD-13084</t>
  </si>
  <si>
    <t xml:space="preserve">ORD-13085</t>
  </si>
  <si>
    <t xml:space="preserve">2023-06-05</t>
  </si>
  <si>
    <t xml:space="preserve">ORD-13086</t>
  </si>
  <si>
    <t xml:space="preserve">ORD-13087</t>
  </si>
  <si>
    <t xml:space="preserve">ORD-13088</t>
  </si>
  <si>
    <t xml:space="preserve">ORD-13089</t>
  </si>
  <si>
    <t xml:space="preserve">ORD-13090</t>
  </si>
  <si>
    <t xml:space="preserve">ORD-13091</t>
  </si>
  <si>
    <t xml:space="preserve">ORD-13092</t>
  </si>
  <si>
    <t xml:space="preserve">ORD-13093</t>
  </si>
  <si>
    <t xml:space="preserve">ORD-13094</t>
  </si>
  <si>
    <t xml:space="preserve">ORD-13095</t>
  </si>
  <si>
    <t xml:space="preserve">2023-10-17</t>
  </si>
  <si>
    <t xml:space="preserve">ORD-13096</t>
  </si>
  <si>
    <t xml:space="preserve">ORD-13097</t>
  </si>
  <si>
    <t xml:space="preserve">ORD-13098</t>
  </si>
  <si>
    <t xml:space="preserve">ORD-13099</t>
  </si>
  <si>
    <t xml:space="preserve">ORD-13100</t>
  </si>
  <si>
    <t xml:space="preserve">ORD-13101</t>
  </si>
  <si>
    <t xml:space="preserve">2023-01-08</t>
  </si>
  <si>
    <t xml:space="preserve">ORD-13102</t>
  </si>
  <si>
    <t xml:space="preserve">ORD-13103</t>
  </si>
  <si>
    <t xml:space="preserve">ORD-13104</t>
  </si>
  <si>
    <t xml:space="preserve">ORD-13105</t>
  </si>
  <si>
    <t xml:space="preserve">ORD-13106</t>
  </si>
  <si>
    <t xml:space="preserve">ORD-13107</t>
  </si>
  <si>
    <t xml:space="preserve">ORD-13108</t>
  </si>
  <si>
    <t xml:space="preserve">ORD-13109</t>
  </si>
  <si>
    <t xml:space="preserve">ORD-13110</t>
  </si>
  <si>
    <t xml:space="preserve">ORD-13111</t>
  </si>
  <si>
    <t xml:space="preserve">ORD-13112</t>
  </si>
  <si>
    <t xml:space="preserve">ORD-13113</t>
  </si>
  <si>
    <t xml:space="preserve">ORD-13114</t>
  </si>
  <si>
    <t xml:space="preserve">ORD-13115</t>
  </si>
  <si>
    <t xml:space="preserve">ORD-13116</t>
  </si>
  <si>
    <t xml:space="preserve">ORD-13117</t>
  </si>
  <si>
    <t xml:space="preserve">ORD-13118</t>
  </si>
  <si>
    <t xml:space="preserve">ORD-13119</t>
  </si>
  <si>
    <t xml:space="preserve">ORD-13120</t>
  </si>
  <si>
    <t xml:space="preserve">ORD-13121</t>
  </si>
  <si>
    <t xml:space="preserve">ORD-13122</t>
  </si>
  <si>
    <t xml:space="preserve">ORD-13123</t>
  </si>
  <si>
    <t xml:space="preserve">ORD-13124</t>
  </si>
  <si>
    <t xml:space="preserve">ORD-13125</t>
  </si>
  <si>
    <t xml:space="preserve">ORD-13126</t>
  </si>
  <si>
    <t xml:space="preserve">ORD-13127</t>
  </si>
  <si>
    <t xml:space="preserve">ORD-13128</t>
  </si>
  <si>
    <t xml:space="preserve">ORD-13129</t>
  </si>
  <si>
    <t xml:space="preserve">ORD-13130</t>
  </si>
  <si>
    <t xml:space="preserve">ORD-13131</t>
  </si>
  <si>
    <t xml:space="preserve">ORD-13132</t>
  </si>
  <si>
    <t xml:space="preserve">ORD-13133</t>
  </si>
  <si>
    <t xml:space="preserve">ORD-13134</t>
  </si>
  <si>
    <t xml:space="preserve">ORD-13135</t>
  </si>
  <si>
    <t xml:space="preserve">ORD-13136</t>
  </si>
  <si>
    <t xml:space="preserve">ORD-13137</t>
  </si>
  <si>
    <t xml:space="preserve">ORD-13138</t>
  </si>
  <si>
    <t xml:space="preserve">ORD-13139</t>
  </si>
  <si>
    <t xml:space="preserve">2025-10-23</t>
  </si>
  <si>
    <t xml:space="preserve">ORD-13140</t>
  </si>
  <si>
    <t xml:space="preserve">ORD-13141</t>
  </si>
  <si>
    <t xml:space="preserve">ORD-13142</t>
  </si>
  <si>
    <t xml:space="preserve">ORD-13143</t>
  </si>
  <si>
    <t xml:space="preserve">ORD-13144</t>
  </si>
  <si>
    <t xml:space="preserve">ORD-13145</t>
  </si>
  <si>
    <t xml:space="preserve">ORD-13146</t>
  </si>
  <si>
    <t xml:space="preserve">2025-06-30</t>
  </si>
  <si>
    <t xml:space="preserve">ORD-13147</t>
  </si>
  <si>
    <t xml:space="preserve">ORD-13148</t>
  </si>
  <si>
    <t xml:space="preserve">ORD-13149</t>
  </si>
  <si>
    <t xml:space="preserve">ORD-13150</t>
  </si>
  <si>
    <t xml:space="preserve">ORD-13151</t>
  </si>
  <si>
    <t xml:space="preserve">ORD-13152</t>
  </si>
  <si>
    <t xml:space="preserve">ORD-13153</t>
  </si>
  <si>
    <t xml:space="preserve">ORD-13154</t>
  </si>
  <si>
    <t xml:space="preserve">ORD-13155</t>
  </si>
  <si>
    <t xml:space="preserve">ORD-13156</t>
  </si>
  <si>
    <t xml:space="preserve">2025-04-04</t>
  </si>
  <si>
    <t xml:space="preserve">ORD-13157</t>
  </si>
  <si>
    <t xml:space="preserve">ORD-13158</t>
  </si>
  <si>
    <t xml:space="preserve">ORD-13159</t>
  </si>
  <si>
    <t xml:space="preserve">ORD-13160</t>
  </si>
  <si>
    <t xml:space="preserve">ORD-13161</t>
  </si>
  <si>
    <t xml:space="preserve">ORD-13162</t>
  </si>
  <si>
    <t xml:space="preserve">ORD-13163</t>
  </si>
  <si>
    <t xml:space="preserve">2025-06-04</t>
  </si>
  <si>
    <t xml:space="preserve">ORD-13164</t>
  </si>
  <si>
    <t xml:space="preserve">2025-01-17</t>
  </si>
  <si>
    <t xml:space="preserve">ORD-13165</t>
  </si>
  <si>
    <t xml:space="preserve">ORD-13166</t>
  </si>
  <si>
    <t xml:space="preserve">ORD-13167</t>
  </si>
  <si>
    <t xml:space="preserve">ORD-13168</t>
  </si>
  <si>
    <t xml:space="preserve">ORD-13169</t>
  </si>
  <si>
    <t xml:space="preserve">ORD-13170</t>
  </si>
  <si>
    <t xml:space="preserve">ORD-13171</t>
  </si>
  <si>
    <t xml:space="preserve">ORD-13172</t>
  </si>
  <si>
    <t xml:space="preserve">ORD-13173</t>
  </si>
  <si>
    <t xml:space="preserve">ORD-13174</t>
  </si>
  <si>
    <t xml:space="preserve">ORD-13175</t>
  </si>
  <si>
    <t xml:space="preserve">ORD-13176</t>
  </si>
  <si>
    <t xml:space="preserve">ORD-13177</t>
  </si>
  <si>
    <t xml:space="preserve">ORD-13178</t>
  </si>
  <si>
    <t xml:space="preserve">ORD-13179</t>
  </si>
  <si>
    <t xml:space="preserve">ORD-13180</t>
  </si>
  <si>
    <t xml:space="preserve">ORD-13181</t>
  </si>
  <si>
    <t xml:space="preserve">ORD-13182</t>
  </si>
  <si>
    <t xml:space="preserve">ORD-13183</t>
  </si>
  <si>
    <t xml:space="preserve">ORD-13184</t>
  </si>
  <si>
    <t xml:space="preserve">ORD-13185</t>
  </si>
  <si>
    <t xml:space="preserve">ORD-13186</t>
  </si>
  <si>
    <t xml:space="preserve">ORD-13187</t>
  </si>
  <si>
    <t xml:space="preserve">ORD-13188</t>
  </si>
  <si>
    <t xml:space="preserve">ORD-13189</t>
  </si>
  <si>
    <t xml:space="preserve">ORD-13190</t>
  </si>
  <si>
    <t xml:space="preserve">ORD-13191</t>
  </si>
  <si>
    <t xml:space="preserve">ORD-13192</t>
  </si>
  <si>
    <t xml:space="preserve">ORD-13193</t>
  </si>
  <si>
    <t xml:space="preserve">ORD-13194</t>
  </si>
  <si>
    <t xml:space="preserve">ORD-13195</t>
  </si>
  <si>
    <t xml:space="preserve">2025-01-23</t>
  </si>
  <si>
    <t xml:space="preserve">ORD-13196</t>
  </si>
  <si>
    <t xml:space="preserve">ORD-13197</t>
  </si>
  <si>
    <t xml:space="preserve">ORD-13198</t>
  </si>
  <si>
    <t xml:space="preserve">ORD-13199</t>
  </si>
  <si>
    <t xml:space="preserve">ORD-13200</t>
  </si>
  <si>
    <t xml:space="preserve">ORD-13201</t>
  </si>
  <si>
    <t xml:space="preserve">ORD-13202</t>
  </si>
  <si>
    <t xml:space="preserve">ORD-13203</t>
  </si>
  <si>
    <t xml:space="preserve">ORD-13204</t>
  </si>
  <si>
    <t xml:space="preserve">ORD-13205</t>
  </si>
  <si>
    <t xml:space="preserve">ORD-13206</t>
  </si>
  <si>
    <t xml:space="preserve">ORD-13207</t>
  </si>
  <si>
    <t xml:space="preserve">ORD-13208</t>
  </si>
  <si>
    <t xml:space="preserve">ORD-13209</t>
  </si>
  <si>
    <t xml:space="preserve">ORD-13210</t>
  </si>
  <si>
    <t xml:space="preserve">ORD-13211</t>
  </si>
  <si>
    <t xml:space="preserve">ORD-13212</t>
  </si>
  <si>
    <t xml:space="preserve">ORD-13213</t>
  </si>
  <si>
    <t xml:space="preserve">ORD-13214</t>
  </si>
  <si>
    <t xml:space="preserve">ORD-13215</t>
  </si>
  <si>
    <t xml:space="preserve">ORD-13216</t>
  </si>
  <si>
    <t xml:space="preserve">ORD-13217</t>
  </si>
  <si>
    <t xml:space="preserve">2023-12-20</t>
  </si>
  <si>
    <t xml:space="preserve">ORD-13218</t>
  </si>
  <si>
    <t xml:space="preserve">ORD-13219</t>
  </si>
  <si>
    <t xml:space="preserve">ORD-13220</t>
  </si>
  <si>
    <t xml:space="preserve">ORD-13221</t>
  </si>
  <si>
    <t xml:space="preserve">ORD-13222</t>
  </si>
  <si>
    <t xml:space="preserve">ORD-13223</t>
  </si>
  <si>
    <t xml:space="preserve">ORD-13224</t>
  </si>
  <si>
    <t xml:space="preserve">ORD-13225</t>
  </si>
  <si>
    <t xml:space="preserve">ORD-13226</t>
  </si>
  <si>
    <t xml:space="preserve">ORD-13227</t>
  </si>
  <si>
    <t xml:space="preserve">ORD-13228</t>
  </si>
  <si>
    <t xml:space="preserve">ORD-13229</t>
  </si>
  <si>
    <t xml:space="preserve">ORD-13230</t>
  </si>
  <si>
    <t xml:space="preserve">ORD-13231</t>
  </si>
  <si>
    <t xml:space="preserve">ORD-13232</t>
  </si>
  <si>
    <t xml:space="preserve">ORD-13233</t>
  </si>
  <si>
    <t xml:space="preserve">ORD-13234</t>
  </si>
  <si>
    <t xml:space="preserve">ORD-13235</t>
  </si>
  <si>
    <t xml:space="preserve">ORD-13236</t>
  </si>
  <si>
    <t xml:space="preserve">ORD-13237</t>
  </si>
  <si>
    <t xml:space="preserve">ORD-13238</t>
  </si>
  <si>
    <t xml:space="preserve">ORD-13239</t>
  </si>
  <si>
    <t xml:space="preserve">ORD-13240</t>
  </si>
  <si>
    <t xml:space="preserve">ORD-13241</t>
  </si>
  <si>
    <t xml:space="preserve">ORD-13242</t>
  </si>
  <si>
    <t xml:space="preserve">ORD-13243</t>
  </si>
  <si>
    <t xml:space="preserve">ORD-13244</t>
  </si>
  <si>
    <t xml:space="preserve">ORD-13245</t>
  </si>
  <si>
    <t xml:space="preserve">ORD-13246</t>
  </si>
  <si>
    <t xml:space="preserve">ORD-13247</t>
  </si>
  <si>
    <t xml:space="preserve">ORD-13248</t>
  </si>
  <si>
    <t xml:space="preserve">ORD-13249</t>
  </si>
  <si>
    <t xml:space="preserve">ORD-13250</t>
  </si>
  <si>
    <t xml:space="preserve">2023-03-30</t>
  </si>
  <si>
    <t xml:space="preserve">ORD-13251</t>
  </si>
  <si>
    <t xml:space="preserve">ORD-13252</t>
  </si>
  <si>
    <t xml:space="preserve">ORD-13253</t>
  </si>
  <si>
    <t xml:space="preserve">ORD-13254</t>
  </si>
  <si>
    <t xml:space="preserve">ORD-13255</t>
  </si>
  <si>
    <t xml:space="preserve">ORD-13256</t>
  </si>
  <si>
    <t xml:space="preserve">ORD-13257</t>
  </si>
  <si>
    <t xml:space="preserve">ORD-13258</t>
  </si>
  <si>
    <t xml:space="preserve">ORD-13259</t>
  </si>
  <si>
    <t xml:space="preserve">ORD-13260</t>
  </si>
  <si>
    <t xml:space="preserve">ORD-13261</t>
  </si>
  <si>
    <t xml:space="preserve">ORD-13262</t>
  </si>
  <si>
    <t xml:space="preserve">ORD-13263</t>
  </si>
  <si>
    <t xml:space="preserve">ORD-13264</t>
  </si>
  <si>
    <t xml:space="preserve">ORD-13265</t>
  </si>
  <si>
    <t xml:space="preserve">2024-04-18</t>
  </si>
  <si>
    <t xml:space="preserve">ORD-13266</t>
  </si>
  <si>
    <t xml:space="preserve">ORD-13267</t>
  </si>
  <si>
    <t xml:space="preserve">ORD-13268</t>
  </si>
  <si>
    <t xml:space="preserve">ORD-13269</t>
  </si>
  <si>
    <t xml:space="preserve">2024-06-03</t>
  </si>
  <si>
    <t xml:space="preserve">ORD-13270</t>
  </si>
  <si>
    <t xml:space="preserve">ORD-13271</t>
  </si>
  <si>
    <t xml:space="preserve">ORD-13272</t>
  </si>
  <si>
    <t xml:space="preserve">2024-06-30</t>
  </si>
  <si>
    <t xml:space="preserve">ORD-13273</t>
  </si>
  <si>
    <t xml:space="preserve">ORD-13274</t>
  </si>
  <si>
    <t xml:space="preserve">ORD-13275</t>
  </si>
  <si>
    <t xml:space="preserve">ORD-13276</t>
  </si>
  <si>
    <t xml:space="preserve">ORD-13277</t>
  </si>
  <si>
    <t xml:space="preserve">2025-03-14</t>
  </si>
  <si>
    <t xml:space="preserve">ORD-13278</t>
  </si>
  <si>
    <t xml:space="preserve">ORD-13279</t>
  </si>
  <si>
    <t xml:space="preserve">ORD-13280</t>
  </si>
  <si>
    <t xml:space="preserve">ORD-13281</t>
  </si>
  <si>
    <t xml:space="preserve">ORD-13282</t>
  </si>
  <si>
    <t xml:space="preserve">ORD-13283</t>
  </si>
  <si>
    <t xml:space="preserve">ORD-13284</t>
  </si>
  <si>
    <t xml:space="preserve">ORD-13285</t>
  </si>
  <si>
    <t xml:space="preserve">ORD-13286</t>
  </si>
  <si>
    <t xml:space="preserve">ORD-13287</t>
  </si>
  <si>
    <t xml:space="preserve">ORD-13288</t>
  </si>
  <si>
    <t xml:space="preserve">ORD-13289</t>
  </si>
  <si>
    <t xml:space="preserve">ORD-13290</t>
  </si>
  <si>
    <t xml:space="preserve">ORD-13291</t>
  </si>
  <si>
    <t xml:space="preserve">ORD-13292</t>
  </si>
  <si>
    <t xml:space="preserve">ORD-13293</t>
  </si>
  <si>
    <t xml:space="preserve">ORD-13294</t>
  </si>
  <si>
    <t xml:space="preserve">ORD-13295</t>
  </si>
  <si>
    <t xml:space="preserve">ORD-13296</t>
  </si>
  <si>
    <t xml:space="preserve">ORD-13297</t>
  </si>
  <si>
    <t xml:space="preserve">ORD-13298</t>
  </si>
  <si>
    <t xml:space="preserve">ORD-13299</t>
  </si>
  <si>
    <t xml:space="preserve">ORD-13300</t>
  </si>
  <si>
    <t xml:space="preserve">ORD-13301</t>
  </si>
  <si>
    <t xml:space="preserve">ORD-13302</t>
  </si>
  <si>
    <t xml:space="preserve">ORD-13303</t>
  </si>
  <si>
    <t xml:space="preserve">ORD-13304</t>
  </si>
  <si>
    <t xml:space="preserve">ORD-13305</t>
  </si>
  <si>
    <t xml:space="preserve">ORD-13306</t>
  </si>
  <si>
    <t xml:space="preserve">ORD-13307</t>
  </si>
  <si>
    <t xml:space="preserve">ORD-13308</t>
  </si>
  <si>
    <t xml:space="preserve">ORD-13309</t>
  </si>
  <si>
    <t xml:space="preserve">ORD-13310</t>
  </si>
  <si>
    <t xml:space="preserve">ORD-13311</t>
  </si>
  <si>
    <t xml:space="preserve">ORD-13312</t>
  </si>
  <si>
    <t xml:space="preserve">ORD-13313</t>
  </si>
  <si>
    <t xml:space="preserve">ORD-13314</t>
  </si>
  <si>
    <t xml:space="preserve">ORD-13315</t>
  </si>
  <si>
    <t xml:space="preserve">ORD-13316</t>
  </si>
  <si>
    <t xml:space="preserve">ORD-13317</t>
  </si>
  <si>
    <t xml:space="preserve">ORD-13318</t>
  </si>
  <si>
    <t xml:space="preserve">ORD-13319</t>
  </si>
  <si>
    <t xml:space="preserve">ORD-13320</t>
  </si>
  <si>
    <t xml:space="preserve">ORD-13321</t>
  </si>
  <si>
    <t xml:space="preserve">ORD-13322</t>
  </si>
  <si>
    <t xml:space="preserve">ORD-13323</t>
  </si>
  <si>
    <t xml:space="preserve">ORD-13324</t>
  </si>
  <si>
    <t xml:space="preserve">ORD-13325</t>
  </si>
  <si>
    <t xml:space="preserve">ORD-13326</t>
  </si>
  <si>
    <t xml:space="preserve">ORD-13327</t>
  </si>
  <si>
    <t xml:space="preserve">ORD-13328</t>
  </si>
  <si>
    <t xml:space="preserve">ORD-13329</t>
  </si>
  <si>
    <t xml:space="preserve">ORD-13330</t>
  </si>
  <si>
    <t xml:space="preserve">ORD-13331</t>
  </si>
  <si>
    <t xml:space="preserve">ORD-13332</t>
  </si>
  <si>
    <t xml:space="preserve">2023-04-20</t>
  </si>
  <si>
    <t xml:space="preserve">ORD-13333</t>
  </si>
  <si>
    <t xml:space="preserve">ORD-13334</t>
  </si>
  <si>
    <t xml:space="preserve">ORD-13335</t>
  </si>
  <si>
    <t xml:space="preserve">ORD-13336</t>
  </si>
  <si>
    <t xml:space="preserve">ORD-13337</t>
  </si>
  <si>
    <t xml:space="preserve">ORD-13338</t>
  </si>
  <si>
    <t xml:space="preserve">ORD-13339</t>
  </si>
  <si>
    <t xml:space="preserve">2025-03-01</t>
  </si>
  <si>
    <t xml:space="preserve">ORD-13340</t>
  </si>
  <si>
    <t xml:space="preserve">ORD-13341</t>
  </si>
  <si>
    <t xml:space="preserve">ORD-13342</t>
  </si>
  <si>
    <t xml:space="preserve">ORD-13343</t>
  </si>
  <si>
    <t xml:space="preserve">ORD-13344</t>
  </si>
  <si>
    <t xml:space="preserve">ORD-13345</t>
  </si>
  <si>
    <t xml:space="preserve">ORD-13346</t>
  </si>
  <si>
    <t xml:space="preserve">ORD-13347</t>
  </si>
  <si>
    <t xml:space="preserve">ORD-13348</t>
  </si>
  <si>
    <t xml:space="preserve">ORD-13349</t>
  </si>
  <si>
    <t xml:space="preserve">ORD-13350</t>
  </si>
  <si>
    <t xml:space="preserve">ORD-13351</t>
  </si>
  <si>
    <t xml:space="preserve">ORD-13352</t>
  </si>
  <si>
    <t xml:space="preserve">2023-06-29</t>
  </si>
  <si>
    <t xml:space="preserve">ORD-13353</t>
  </si>
  <si>
    <t xml:space="preserve">ORD-13354</t>
  </si>
  <si>
    <t xml:space="preserve">ORD-13355</t>
  </si>
  <si>
    <t xml:space="preserve">ORD-13356</t>
  </si>
  <si>
    <t xml:space="preserve">ORD-13357</t>
  </si>
  <si>
    <t xml:space="preserve">ORD-13358</t>
  </si>
  <si>
    <t xml:space="preserve">ORD-13359</t>
  </si>
  <si>
    <t xml:space="preserve">ORD-13360</t>
  </si>
  <si>
    <t xml:space="preserve">ORD-13361</t>
  </si>
  <si>
    <t xml:space="preserve">ORD-13362</t>
  </si>
  <si>
    <t xml:space="preserve">ORD-13363</t>
  </si>
  <si>
    <t xml:space="preserve">ORD-13364</t>
  </si>
  <si>
    <t xml:space="preserve">ORD-13365</t>
  </si>
  <si>
    <t xml:space="preserve">ORD-13366</t>
  </si>
  <si>
    <t xml:space="preserve">ORD-13367</t>
  </si>
  <si>
    <t xml:space="preserve">ORD-13368</t>
  </si>
  <si>
    <t xml:space="preserve">ORD-13369</t>
  </si>
  <si>
    <t xml:space="preserve">ORD-13370</t>
  </si>
  <si>
    <t xml:space="preserve">ORD-13371</t>
  </si>
  <si>
    <t xml:space="preserve">ORD-13372</t>
  </si>
  <si>
    <t xml:space="preserve">ORD-13373</t>
  </si>
  <si>
    <t xml:space="preserve">ORD-13374</t>
  </si>
  <si>
    <t xml:space="preserve">ORD-13375</t>
  </si>
  <si>
    <t xml:space="preserve">ORD-13376</t>
  </si>
  <si>
    <t xml:space="preserve">ORD-13377</t>
  </si>
  <si>
    <t xml:space="preserve">ORD-13378</t>
  </si>
  <si>
    <t xml:space="preserve">ORD-13379</t>
  </si>
  <si>
    <t xml:space="preserve">ORD-13380</t>
  </si>
  <si>
    <t xml:space="preserve">ORD-13381</t>
  </si>
  <si>
    <t xml:space="preserve">ORD-13382</t>
  </si>
  <si>
    <t xml:space="preserve">ORD-13383</t>
  </si>
  <si>
    <t xml:space="preserve">ORD-13384</t>
  </si>
  <si>
    <t xml:space="preserve">ORD-13385</t>
  </si>
  <si>
    <t xml:space="preserve">ORD-13386</t>
  </si>
  <si>
    <t xml:space="preserve">ORD-13387</t>
  </si>
  <si>
    <t xml:space="preserve">ORD-13388</t>
  </si>
  <si>
    <t xml:space="preserve">ORD-13389</t>
  </si>
  <si>
    <t xml:space="preserve">ORD-13390</t>
  </si>
  <si>
    <t xml:space="preserve">ORD-13391</t>
  </si>
  <si>
    <t xml:space="preserve">ORD-13392</t>
  </si>
  <si>
    <t xml:space="preserve">ORD-13393</t>
  </si>
  <si>
    <t xml:space="preserve">ORD-13394</t>
  </si>
  <si>
    <t xml:space="preserve">ORD-13395</t>
  </si>
  <si>
    <t xml:space="preserve">ORD-13396</t>
  </si>
  <si>
    <t xml:space="preserve">ORD-13397</t>
  </si>
  <si>
    <t xml:space="preserve">ORD-13398</t>
  </si>
  <si>
    <t xml:space="preserve">ORD-13399</t>
  </si>
  <si>
    <t xml:space="preserve">2025-01-04</t>
  </si>
  <si>
    <t xml:space="preserve">ORD-13400</t>
  </si>
  <si>
    <t xml:space="preserve">ORD-13401</t>
  </si>
  <si>
    <t xml:space="preserve">ORD-13402</t>
  </si>
  <si>
    <t xml:space="preserve">ORD-13403</t>
  </si>
  <si>
    <t xml:space="preserve">2024-04-02</t>
  </si>
  <si>
    <t xml:space="preserve">ORD-13404</t>
  </si>
  <si>
    <t xml:space="preserve">ORD-13405</t>
  </si>
  <si>
    <t xml:space="preserve">ORD-13406</t>
  </si>
  <si>
    <t xml:space="preserve">ORD-13407</t>
  </si>
  <si>
    <t xml:space="preserve">ORD-13408</t>
  </si>
  <si>
    <t xml:space="preserve">ORD-13409</t>
  </si>
  <si>
    <t xml:space="preserve">ORD-13410</t>
  </si>
  <si>
    <t xml:space="preserve">ORD-13411</t>
  </si>
  <si>
    <t xml:space="preserve">ORD-13412</t>
  </si>
  <si>
    <t xml:space="preserve">ORD-13413</t>
  </si>
  <si>
    <t xml:space="preserve">ORD-13414</t>
  </si>
  <si>
    <t xml:space="preserve">ORD-13415</t>
  </si>
  <si>
    <t xml:space="preserve">ORD-13416</t>
  </si>
  <si>
    <t xml:space="preserve">ORD-13417</t>
  </si>
  <si>
    <t xml:space="preserve">ORD-13418</t>
  </si>
  <si>
    <t xml:space="preserve">ORD-13419</t>
  </si>
  <si>
    <t xml:space="preserve">ORD-13420</t>
  </si>
  <si>
    <t xml:space="preserve">ORD-13421</t>
  </si>
  <si>
    <t xml:space="preserve">ORD-13422</t>
  </si>
  <si>
    <t xml:space="preserve">ORD-13423</t>
  </si>
  <si>
    <t xml:space="preserve">ORD-13424</t>
  </si>
  <si>
    <t xml:space="preserve">ORD-13425</t>
  </si>
  <si>
    <t xml:space="preserve">ORD-13426</t>
  </si>
  <si>
    <t xml:space="preserve">ORD-13427</t>
  </si>
  <si>
    <t xml:space="preserve">ORD-13428</t>
  </si>
  <si>
    <t xml:space="preserve">ORD-13429</t>
  </si>
  <si>
    <t xml:space="preserve">ORD-13430</t>
  </si>
  <si>
    <t xml:space="preserve">ORD-13431</t>
  </si>
  <si>
    <t xml:space="preserve">ORD-13432</t>
  </si>
  <si>
    <t xml:space="preserve">ORD-13433</t>
  </si>
  <si>
    <t xml:space="preserve">ORD-13434</t>
  </si>
  <si>
    <t xml:space="preserve">ORD-13435</t>
  </si>
  <si>
    <t xml:space="preserve">ORD-13436</t>
  </si>
  <si>
    <t xml:space="preserve">ORD-13437</t>
  </si>
  <si>
    <t xml:space="preserve">ORD-13438</t>
  </si>
  <si>
    <t xml:space="preserve">ORD-13439</t>
  </si>
  <si>
    <t xml:space="preserve">ORD-13440</t>
  </si>
  <si>
    <t xml:space="preserve">ORD-13441</t>
  </si>
  <si>
    <t xml:space="preserve">ORD-13442</t>
  </si>
  <si>
    <t xml:space="preserve">ORD-13443</t>
  </si>
  <si>
    <t xml:space="preserve">ORD-13444</t>
  </si>
  <si>
    <t xml:space="preserve">ORD-13445</t>
  </si>
  <si>
    <t xml:space="preserve">ORD-13446</t>
  </si>
  <si>
    <t xml:space="preserve">ORD-13447</t>
  </si>
  <si>
    <t xml:space="preserve">ORD-13448</t>
  </si>
  <si>
    <t xml:space="preserve">ORD-13449</t>
  </si>
  <si>
    <t xml:space="preserve">ORD-13450</t>
  </si>
  <si>
    <t xml:space="preserve">ORD-13451</t>
  </si>
  <si>
    <t xml:space="preserve">ORD-13452</t>
  </si>
  <si>
    <t xml:space="preserve">ORD-13453</t>
  </si>
  <si>
    <t xml:space="preserve">ORD-13454</t>
  </si>
  <si>
    <t xml:space="preserve">ORD-13455</t>
  </si>
  <si>
    <t xml:space="preserve">ORD-13456</t>
  </si>
  <si>
    <t xml:space="preserve">ORD-13457</t>
  </si>
  <si>
    <t xml:space="preserve">ORD-13458</t>
  </si>
  <si>
    <t xml:space="preserve">ORD-13459</t>
  </si>
  <si>
    <t xml:space="preserve">ORD-13460</t>
  </si>
  <si>
    <t xml:space="preserve">ORD-13461</t>
  </si>
  <si>
    <t xml:space="preserve">2025-07-16</t>
  </si>
  <si>
    <t xml:space="preserve">ORD-13462</t>
  </si>
  <si>
    <t xml:space="preserve">ORD-13463</t>
  </si>
  <si>
    <t xml:space="preserve">ORD-13464</t>
  </si>
  <si>
    <t xml:space="preserve">ORD-13465</t>
  </si>
  <si>
    <t xml:space="preserve">ORD-13466</t>
  </si>
  <si>
    <t xml:space="preserve">ORD-13467</t>
  </si>
  <si>
    <t xml:space="preserve">2024-06-05</t>
  </si>
  <si>
    <t xml:space="preserve">ORD-13468</t>
  </si>
  <si>
    <t xml:space="preserve">ORD-13469</t>
  </si>
  <si>
    <t xml:space="preserve">ORD-13470</t>
  </si>
  <si>
    <t xml:space="preserve">ORD-13471</t>
  </si>
  <si>
    <t xml:space="preserve">ORD-13472</t>
  </si>
  <si>
    <t xml:space="preserve">2025-01-13</t>
  </si>
  <si>
    <t xml:space="preserve">ORD-13473</t>
  </si>
  <si>
    <t xml:space="preserve">ORD-13474</t>
  </si>
  <si>
    <t xml:space="preserve">ORD-13475</t>
  </si>
  <si>
    <t xml:space="preserve">ORD-13476</t>
  </si>
  <si>
    <t xml:space="preserve">ORD-13477</t>
  </si>
  <si>
    <t xml:space="preserve">ORD-13478</t>
  </si>
  <si>
    <t xml:space="preserve">2025-10-21</t>
  </si>
  <si>
    <t xml:space="preserve">ORD-13479</t>
  </si>
  <si>
    <t xml:space="preserve">ORD-13480</t>
  </si>
  <si>
    <t xml:space="preserve">ORD-13481</t>
  </si>
  <si>
    <t xml:space="preserve">ORD-13482</t>
  </si>
  <si>
    <t xml:space="preserve">ORD-13483</t>
  </si>
  <si>
    <t xml:space="preserve">ORD-13484</t>
  </si>
  <si>
    <t xml:space="preserve">ORD-13485</t>
  </si>
  <si>
    <t xml:space="preserve">ORD-13486</t>
  </si>
  <si>
    <t xml:space="preserve">ORD-13487</t>
  </si>
  <si>
    <t xml:space="preserve">ORD-13488</t>
  </si>
  <si>
    <t xml:space="preserve">ORD-13489</t>
  </si>
  <si>
    <t xml:space="preserve">ORD-13490</t>
  </si>
  <si>
    <t xml:space="preserve">ORD-13491</t>
  </si>
  <si>
    <t xml:space="preserve">ORD-13492</t>
  </si>
  <si>
    <t xml:space="preserve">ORD-13493</t>
  </si>
  <si>
    <t xml:space="preserve">ORD-13494</t>
  </si>
  <si>
    <t xml:space="preserve">ORD-13495</t>
  </si>
  <si>
    <t xml:space="preserve">2024-12-22</t>
  </si>
  <si>
    <t xml:space="preserve">ORD-13496</t>
  </si>
  <si>
    <t xml:space="preserve">ORD-13497</t>
  </si>
  <si>
    <t xml:space="preserve">ORD-13498</t>
  </si>
  <si>
    <t xml:space="preserve">ORD-13499</t>
  </si>
  <si>
    <t xml:space="preserve">ORD-13500</t>
  </si>
  <si>
    <t xml:space="preserve">ORD-13501</t>
  </si>
  <si>
    <t xml:space="preserve">ORD-13502</t>
  </si>
  <si>
    <t xml:space="preserve">ORD-13503</t>
  </si>
  <si>
    <t xml:space="preserve">ORD-13504</t>
  </si>
  <si>
    <t xml:space="preserve">ORD-13505</t>
  </si>
  <si>
    <t xml:space="preserve">ORD-13506</t>
  </si>
  <si>
    <t xml:space="preserve">ORD-13507</t>
  </si>
  <si>
    <t xml:space="preserve">ORD-13508</t>
  </si>
  <si>
    <t xml:space="preserve">ORD-13509</t>
  </si>
  <si>
    <t xml:space="preserve">ORD-13510</t>
  </si>
  <si>
    <t xml:space="preserve">ORD-13511</t>
  </si>
  <si>
    <t xml:space="preserve">ORD-13512</t>
  </si>
  <si>
    <t xml:space="preserve">ORD-13513</t>
  </si>
  <si>
    <t xml:space="preserve">2025-07-10</t>
  </si>
  <si>
    <t xml:space="preserve">ORD-13514</t>
  </si>
  <si>
    <t xml:space="preserve">ORD-13515</t>
  </si>
  <si>
    <t xml:space="preserve">ORD-13516</t>
  </si>
  <si>
    <t xml:space="preserve">ORD-13517</t>
  </si>
  <si>
    <t xml:space="preserve">ORD-13518</t>
  </si>
  <si>
    <t xml:space="preserve">ORD-13519</t>
  </si>
  <si>
    <t xml:space="preserve">2024-07-25</t>
  </si>
  <si>
    <t xml:space="preserve">ORD-13520</t>
  </si>
  <si>
    <t xml:space="preserve">ORD-13521</t>
  </si>
  <si>
    <t xml:space="preserve">ORD-13522</t>
  </si>
  <si>
    <t xml:space="preserve">ORD-13523</t>
  </si>
  <si>
    <t xml:space="preserve">ORD-13524</t>
  </si>
  <si>
    <t xml:space="preserve">ORD-13525</t>
  </si>
  <si>
    <t xml:space="preserve">ORD-13526</t>
  </si>
  <si>
    <t xml:space="preserve">ORD-13527</t>
  </si>
  <si>
    <t xml:space="preserve">ORD-13528</t>
  </si>
  <si>
    <t xml:space="preserve">ORD-13529</t>
  </si>
  <si>
    <t xml:space="preserve">ORD-13530</t>
  </si>
  <si>
    <t xml:space="preserve">ORD-13531</t>
  </si>
  <si>
    <t xml:space="preserve">ORD-13532</t>
  </si>
  <si>
    <t xml:space="preserve">ORD-13533</t>
  </si>
  <si>
    <t xml:space="preserve">ORD-13534</t>
  </si>
  <si>
    <t xml:space="preserve">ORD-13535</t>
  </si>
  <si>
    <t xml:space="preserve">ORD-13536</t>
  </si>
  <si>
    <t xml:space="preserve">ORD-13537</t>
  </si>
  <si>
    <t xml:space="preserve">ORD-13538</t>
  </si>
  <si>
    <t xml:space="preserve">ORD-13539</t>
  </si>
  <si>
    <t xml:space="preserve">ORD-13540</t>
  </si>
  <si>
    <t xml:space="preserve">ORD-13541</t>
  </si>
  <si>
    <t xml:space="preserve">ORD-13542</t>
  </si>
  <si>
    <t xml:space="preserve">ORD-13543</t>
  </si>
  <si>
    <t xml:space="preserve">2023-08-28</t>
  </si>
  <si>
    <t xml:space="preserve">ORD-13544</t>
  </si>
  <si>
    <t xml:space="preserve">ORD-13545</t>
  </si>
  <si>
    <t xml:space="preserve">ORD-13546</t>
  </si>
  <si>
    <t xml:space="preserve">ORD-13547</t>
  </si>
  <si>
    <t xml:space="preserve">ORD-13548</t>
  </si>
  <si>
    <t xml:space="preserve">ORD-13549</t>
  </si>
  <si>
    <t xml:space="preserve">ORD-13550</t>
  </si>
  <si>
    <t xml:space="preserve">ORD-13551</t>
  </si>
  <si>
    <t xml:space="preserve">ORD-13552</t>
  </si>
  <si>
    <t xml:space="preserve">2024-02-26</t>
  </si>
  <si>
    <t xml:space="preserve">ORD-13553</t>
  </si>
  <si>
    <t xml:space="preserve">ORD-13554</t>
  </si>
  <si>
    <t xml:space="preserve">ORD-13555</t>
  </si>
  <si>
    <t xml:space="preserve">ORD-13556</t>
  </si>
  <si>
    <t xml:space="preserve">ORD-13557</t>
  </si>
  <si>
    <t xml:space="preserve">ORD-13558</t>
  </si>
  <si>
    <t xml:space="preserve">ORD-13559</t>
  </si>
  <si>
    <t xml:space="preserve">ORD-13560</t>
  </si>
  <si>
    <t xml:space="preserve">ORD-13561</t>
  </si>
  <si>
    <t xml:space="preserve">ORD-13562</t>
  </si>
  <si>
    <t xml:space="preserve">ORD-13563</t>
  </si>
  <si>
    <t xml:space="preserve">ORD-13564</t>
  </si>
  <si>
    <t xml:space="preserve">ORD-13565</t>
  </si>
  <si>
    <t xml:space="preserve">ORD-13566</t>
  </si>
  <si>
    <t xml:space="preserve">ORD-13567</t>
  </si>
  <si>
    <t xml:space="preserve">2023-03-05</t>
  </si>
  <si>
    <t xml:space="preserve">ORD-13568</t>
  </si>
  <si>
    <t xml:space="preserve">ORD-13569</t>
  </si>
  <si>
    <t xml:space="preserve">2025-10-22</t>
  </si>
  <si>
    <t xml:space="preserve">ORD-13570</t>
  </si>
  <si>
    <t xml:space="preserve">ORD-13571</t>
  </si>
  <si>
    <t xml:space="preserve">ORD-13572</t>
  </si>
  <si>
    <t xml:space="preserve">ORD-13573</t>
  </si>
  <si>
    <t xml:space="preserve">ORD-13574</t>
  </si>
  <si>
    <t xml:space="preserve">ORD-13575</t>
  </si>
  <si>
    <t xml:space="preserve">ORD-13576</t>
  </si>
  <si>
    <t xml:space="preserve">ORD-13577</t>
  </si>
  <si>
    <t xml:space="preserve">ORD-13578</t>
  </si>
  <si>
    <t xml:space="preserve">ORD-13579</t>
  </si>
  <si>
    <t xml:space="preserve">ORD-13580</t>
  </si>
  <si>
    <t xml:space="preserve">ORD-13581</t>
  </si>
  <si>
    <t xml:space="preserve">ORD-13582</t>
  </si>
  <si>
    <t xml:space="preserve">ORD-13583</t>
  </si>
  <si>
    <t xml:space="preserve">ORD-13584</t>
  </si>
  <si>
    <t xml:space="preserve">ORD-13585</t>
  </si>
  <si>
    <t xml:space="preserve">ORD-13586</t>
  </si>
  <si>
    <t xml:space="preserve">ORD-13587</t>
  </si>
  <si>
    <t xml:space="preserve">ORD-13588</t>
  </si>
  <si>
    <t xml:space="preserve">ORD-13589</t>
  </si>
  <si>
    <t xml:space="preserve">ORD-13590</t>
  </si>
  <si>
    <t xml:space="preserve">ORD-13591</t>
  </si>
  <si>
    <t xml:space="preserve">ORD-13592</t>
  </si>
  <si>
    <t xml:space="preserve">ORD-13593</t>
  </si>
  <si>
    <t xml:space="preserve">ORD-13594</t>
  </si>
  <si>
    <t xml:space="preserve">ORD-13595</t>
  </si>
  <si>
    <t xml:space="preserve">ORD-13596</t>
  </si>
  <si>
    <t xml:space="preserve">ORD-13597</t>
  </si>
  <si>
    <t xml:space="preserve">ORD-13598</t>
  </si>
  <si>
    <t xml:space="preserve">ORD-13599</t>
  </si>
  <si>
    <t xml:space="preserve">ORD-13600</t>
  </si>
  <si>
    <t xml:space="preserve">ORD-13601</t>
  </si>
  <si>
    <t xml:space="preserve">ORD-13602</t>
  </si>
  <si>
    <t xml:space="preserve">ORD-13603</t>
  </si>
  <si>
    <t xml:space="preserve">ORD-13604</t>
  </si>
  <si>
    <t xml:space="preserve">ORD-13605</t>
  </si>
  <si>
    <t xml:space="preserve">ORD-13606</t>
  </si>
  <si>
    <t xml:space="preserve">ORD-13607</t>
  </si>
  <si>
    <t xml:space="preserve">ORD-13608</t>
  </si>
  <si>
    <t xml:space="preserve">ORD-13609</t>
  </si>
  <si>
    <t xml:space="preserve">ORD-13610</t>
  </si>
  <si>
    <t xml:space="preserve">ORD-13611</t>
  </si>
  <si>
    <t xml:space="preserve">ORD-13612</t>
  </si>
  <si>
    <t xml:space="preserve">ORD-13613</t>
  </si>
  <si>
    <t xml:space="preserve">ORD-13614</t>
  </si>
  <si>
    <t xml:space="preserve">ORD-13615</t>
  </si>
  <si>
    <t xml:space="preserve">ORD-13616</t>
  </si>
  <si>
    <t xml:space="preserve">ORD-13617</t>
  </si>
  <si>
    <t xml:space="preserve">ORD-13618</t>
  </si>
  <si>
    <t xml:space="preserve">ORD-13619</t>
  </si>
  <si>
    <t xml:space="preserve">ORD-13620</t>
  </si>
  <si>
    <t xml:space="preserve">2025-01-22</t>
  </si>
  <si>
    <t xml:space="preserve">ORD-13621</t>
  </si>
  <si>
    <t xml:space="preserve">2023-03-03</t>
  </si>
  <si>
    <t xml:space="preserve">ORD-13622</t>
  </si>
  <si>
    <t xml:space="preserve">ORD-13623</t>
  </si>
  <si>
    <t xml:space="preserve">ORD-13624</t>
  </si>
  <si>
    <t xml:space="preserve">ORD-13625</t>
  </si>
  <si>
    <t xml:space="preserve">ORD-13626</t>
  </si>
  <si>
    <t xml:space="preserve">ORD-13627</t>
  </si>
  <si>
    <t xml:space="preserve">ORD-13628</t>
  </si>
  <si>
    <t xml:space="preserve">ORD-13629</t>
  </si>
  <si>
    <t xml:space="preserve">ORD-13630</t>
  </si>
  <si>
    <t xml:space="preserve">ORD-13631</t>
  </si>
  <si>
    <t xml:space="preserve">ORD-13632</t>
  </si>
  <si>
    <t xml:space="preserve">ORD-13633</t>
  </si>
  <si>
    <t xml:space="preserve">2024-12-19</t>
  </si>
  <si>
    <t xml:space="preserve">ORD-13634</t>
  </si>
  <si>
    <t xml:space="preserve">ORD-13635</t>
  </si>
  <si>
    <t xml:space="preserve">ORD-13636</t>
  </si>
  <si>
    <t xml:space="preserve">ORD-13637</t>
  </si>
  <si>
    <t xml:space="preserve">ORD-13638</t>
  </si>
  <si>
    <t xml:space="preserve">ORD-13639</t>
  </si>
  <si>
    <t xml:space="preserve">ORD-13640</t>
  </si>
  <si>
    <t xml:space="preserve">ORD-13641</t>
  </si>
  <si>
    <t xml:space="preserve">ORD-13642</t>
  </si>
  <si>
    <t xml:space="preserve">ORD-13643</t>
  </si>
  <si>
    <t xml:space="preserve">ORD-13644</t>
  </si>
  <si>
    <t xml:space="preserve">ORD-13645</t>
  </si>
  <si>
    <t xml:space="preserve">ORD-13646</t>
  </si>
  <si>
    <t xml:space="preserve">2023-12-05</t>
  </si>
  <si>
    <t xml:space="preserve">ORD-13647</t>
  </si>
  <si>
    <t xml:space="preserve">ORD-13648</t>
  </si>
  <si>
    <t xml:space="preserve">ORD-13649</t>
  </si>
  <si>
    <t xml:space="preserve">ORD-13650</t>
  </si>
  <si>
    <t xml:space="preserve">ORD-13651</t>
  </si>
  <si>
    <t xml:space="preserve">ORD-13652</t>
  </si>
  <si>
    <t xml:space="preserve">ORD-13653</t>
  </si>
  <si>
    <t xml:space="preserve">ORD-13654</t>
  </si>
  <si>
    <t xml:space="preserve">ORD-13655</t>
  </si>
  <si>
    <t xml:space="preserve">ORD-13656</t>
  </si>
  <si>
    <t xml:space="preserve">ORD-13657</t>
  </si>
  <si>
    <t xml:space="preserve">ORD-13658</t>
  </si>
  <si>
    <t xml:space="preserve">2025-04-23</t>
  </si>
  <si>
    <t xml:space="preserve">ORD-13659</t>
  </si>
  <si>
    <t xml:space="preserve">ORD-13660</t>
  </si>
  <si>
    <t xml:space="preserve">ORD-13661</t>
  </si>
  <si>
    <t xml:space="preserve">2023-10-15</t>
  </si>
  <si>
    <t xml:space="preserve">ORD-13662</t>
  </si>
  <si>
    <t xml:space="preserve">ORD-13663</t>
  </si>
  <si>
    <t xml:space="preserve">ORD-13664</t>
  </si>
  <si>
    <t xml:space="preserve">ORD-13665</t>
  </si>
  <si>
    <t xml:space="preserve">ORD-13666</t>
  </si>
  <si>
    <t xml:space="preserve">ORD-13667</t>
  </si>
  <si>
    <t xml:space="preserve">ORD-13668</t>
  </si>
  <si>
    <t xml:space="preserve">ORD-13669</t>
  </si>
  <si>
    <t xml:space="preserve">ORD-13670</t>
  </si>
  <si>
    <t xml:space="preserve">ORD-13671</t>
  </si>
  <si>
    <t xml:space="preserve">ORD-13672</t>
  </si>
  <si>
    <t xml:space="preserve">ORD-13673</t>
  </si>
  <si>
    <t xml:space="preserve">ORD-13674</t>
  </si>
  <si>
    <t xml:space="preserve">ORD-13675</t>
  </si>
  <si>
    <t xml:space="preserve">ORD-13676</t>
  </si>
  <si>
    <t xml:space="preserve">ORD-13677</t>
  </si>
  <si>
    <t xml:space="preserve">ORD-13678</t>
  </si>
  <si>
    <t xml:space="preserve">ORD-13679</t>
  </si>
  <si>
    <t xml:space="preserve">ORD-13680</t>
  </si>
  <si>
    <t xml:space="preserve">ORD-13681</t>
  </si>
  <si>
    <t xml:space="preserve">ORD-13682</t>
  </si>
  <si>
    <t xml:space="preserve">ORD-13683</t>
  </si>
  <si>
    <t xml:space="preserve">ORD-13684</t>
  </si>
  <si>
    <t xml:space="preserve">ORD-13685</t>
  </si>
  <si>
    <t xml:space="preserve">ORD-13686</t>
  </si>
  <si>
    <t xml:space="preserve">ORD-13687</t>
  </si>
  <si>
    <t xml:space="preserve">ORD-13688</t>
  </si>
  <si>
    <t xml:space="preserve">ORD-13689</t>
  </si>
  <si>
    <t xml:space="preserve">ORD-13690</t>
  </si>
  <si>
    <t xml:space="preserve">ORD-13691</t>
  </si>
  <si>
    <t xml:space="preserve">ORD-13692</t>
  </si>
  <si>
    <t xml:space="preserve">ORD-13693</t>
  </si>
  <si>
    <t xml:space="preserve">ORD-13694</t>
  </si>
  <si>
    <t xml:space="preserve">ORD-13695</t>
  </si>
  <si>
    <t xml:space="preserve">ORD-13696</t>
  </si>
  <si>
    <t xml:space="preserve">2024-09-07</t>
  </si>
  <si>
    <t xml:space="preserve">ORD-13697</t>
  </si>
  <si>
    <t xml:space="preserve">ORD-13698</t>
  </si>
  <si>
    <t xml:space="preserve">2025-08-12</t>
  </si>
  <si>
    <t xml:space="preserve">ORD-13699</t>
  </si>
  <si>
    <t xml:space="preserve">ORD-13700</t>
  </si>
  <si>
    <t xml:space="preserve">ORD-13701</t>
  </si>
  <si>
    <t xml:space="preserve">ORD-13702</t>
  </si>
  <si>
    <t xml:space="preserve">ORD-13703</t>
  </si>
  <si>
    <t xml:space="preserve">ORD-13704</t>
  </si>
  <si>
    <t xml:space="preserve">ORD-13705</t>
  </si>
  <si>
    <t xml:space="preserve">ORD-13706</t>
  </si>
  <si>
    <t xml:space="preserve">ORD-13707</t>
  </si>
  <si>
    <t xml:space="preserve">ORD-13708</t>
  </si>
  <si>
    <t xml:space="preserve">ORD-13709</t>
  </si>
  <si>
    <t xml:space="preserve">ORD-13710</t>
  </si>
  <si>
    <t xml:space="preserve">ORD-13711</t>
  </si>
  <si>
    <t xml:space="preserve">ORD-13712</t>
  </si>
  <si>
    <t xml:space="preserve">ORD-13713</t>
  </si>
  <si>
    <t xml:space="preserve">ORD-13714</t>
  </si>
  <si>
    <t xml:space="preserve">ORD-13715</t>
  </si>
  <si>
    <t xml:space="preserve">ORD-13716</t>
  </si>
  <si>
    <t xml:space="preserve">ORD-13717</t>
  </si>
  <si>
    <t xml:space="preserve">ORD-13718</t>
  </si>
  <si>
    <t xml:space="preserve">ORD-13719</t>
  </si>
  <si>
    <t xml:space="preserve">ORD-13720</t>
  </si>
  <si>
    <t xml:space="preserve">ORD-13721</t>
  </si>
  <si>
    <t xml:space="preserve">ORD-13722</t>
  </si>
  <si>
    <t xml:space="preserve">ORD-13723</t>
  </si>
  <si>
    <t xml:space="preserve">ORD-13724</t>
  </si>
  <si>
    <t xml:space="preserve">ORD-13725</t>
  </si>
  <si>
    <t xml:space="preserve">ORD-13726</t>
  </si>
  <si>
    <t xml:space="preserve">ORD-13727</t>
  </si>
  <si>
    <t xml:space="preserve">ORD-13728</t>
  </si>
  <si>
    <t xml:space="preserve">ORD-13729</t>
  </si>
  <si>
    <t xml:space="preserve">ORD-13730</t>
  </si>
  <si>
    <t xml:space="preserve">ORD-13731</t>
  </si>
  <si>
    <t xml:space="preserve">ORD-13732</t>
  </si>
  <si>
    <t xml:space="preserve">ORD-13733</t>
  </si>
  <si>
    <t xml:space="preserve">ORD-13734</t>
  </si>
  <si>
    <t xml:space="preserve">ORD-13735</t>
  </si>
  <si>
    <t xml:space="preserve">ORD-13736</t>
  </si>
  <si>
    <t xml:space="preserve">ORD-13737</t>
  </si>
  <si>
    <t xml:space="preserve">ORD-13738</t>
  </si>
  <si>
    <t xml:space="preserve">ORD-13739</t>
  </si>
  <si>
    <t xml:space="preserve">ORD-13740</t>
  </si>
  <si>
    <t xml:space="preserve">ORD-13741</t>
  </si>
  <si>
    <t xml:space="preserve">ORD-13742</t>
  </si>
  <si>
    <t xml:space="preserve">ORD-13743</t>
  </si>
  <si>
    <t xml:space="preserve">ORD-13744</t>
  </si>
  <si>
    <t xml:space="preserve">ORD-13745</t>
  </si>
  <si>
    <t xml:space="preserve">2024-06-24</t>
  </si>
  <si>
    <t xml:space="preserve">ORD-13746</t>
  </si>
  <si>
    <t xml:space="preserve">ORD-13747</t>
  </si>
  <si>
    <t xml:space="preserve">ORD-13748</t>
  </si>
  <si>
    <t xml:space="preserve">ORD-13749</t>
  </si>
  <si>
    <t xml:space="preserve">ORD-13750</t>
  </si>
  <si>
    <t xml:space="preserve">ORD-13751</t>
  </si>
  <si>
    <t xml:space="preserve">ORD-13752</t>
  </si>
  <si>
    <t xml:space="preserve">ORD-13753</t>
  </si>
  <si>
    <t xml:space="preserve">ORD-13754</t>
  </si>
  <si>
    <t xml:space="preserve">ORD-13755</t>
  </si>
  <si>
    <t xml:space="preserve">ORD-13756</t>
  </si>
  <si>
    <t xml:space="preserve">ORD-13757</t>
  </si>
  <si>
    <t xml:space="preserve">ORD-13758</t>
  </si>
  <si>
    <t xml:space="preserve">ORD-13759</t>
  </si>
  <si>
    <t xml:space="preserve">ORD-13760</t>
  </si>
  <si>
    <t xml:space="preserve">ORD-13761</t>
  </si>
  <si>
    <t xml:space="preserve">ORD-13762</t>
  </si>
  <si>
    <t xml:space="preserve">ORD-13763</t>
  </si>
  <si>
    <t xml:space="preserve">ORD-13764</t>
  </si>
  <si>
    <t xml:space="preserve">ORD-13765</t>
  </si>
  <si>
    <t xml:space="preserve">ORD-13766</t>
  </si>
  <si>
    <t xml:space="preserve">ORD-13767</t>
  </si>
  <si>
    <t xml:space="preserve">ORD-13768</t>
  </si>
  <si>
    <t xml:space="preserve">ORD-13769</t>
  </si>
  <si>
    <t xml:space="preserve">ORD-13770</t>
  </si>
  <si>
    <t xml:space="preserve">ORD-13771</t>
  </si>
  <si>
    <t xml:space="preserve">ORD-13772</t>
  </si>
  <si>
    <t xml:space="preserve">ORD-13773</t>
  </si>
  <si>
    <t xml:space="preserve">ORD-13774</t>
  </si>
  <si>
    <t xml:space="preserve">ORD-13775</t>
  </si>
  <si>
    <t xml:space="preserve">ORD-13776</t>
  </si>
  <si>
    <t xml:space="preserve">ORD-13777</t>
  </si>
  <si>
    <t xml:space="preserve">ORD-13778</t>
  </si>
  <si>
    <t xml:space="preserve">ORD-13779</t>
  </si>
  <si>
    <t xml:space="preserve">ORD-13780</t>
  </si>
  <si>
    <t xml:space="preserve">ORD-13781</t>
  </si>
  <si>
    <t xml:space="preserve">ORD-13782</t>
  </si>
  <si>
    <t xml:space="preserve">ORD-13783</t>
  </si>
  <si>
    <t xml:space="preserve">ORD-13784</t>
  </si>
  <si>
    <t xml:space="preserve">ORD-13785</t>
  </si>
  <si>
    <t xml:space="preserve">ORD-13786</t>
  </si>
  <si>
    <t xml:space="preserve">ORD-13787</t>
  </si>
  <si>
    <t xml:space="preserve">ORD-13788</t>
  </si>
  <si>
    <t xml:space="preserve">ORD-13789</t>
  </si>
  <si>
    <t xml:space="preserve">ORD-13790</t>
  </si>
  <si>
    <t xml:space="preserve">ORD-13791</t>
  </si>
  <si>
    <t xml:space="preserve">ORD-13792</t>
  </si>
  <si>
    <t xml:space="preserve">ORD-13793</t>
  </si>
  <si>
    <t xml:space="preserve">ORD-13794</t>
  </si>
  <si>
    <t xml:space="preserve">ORD-13795</t>
  </si>
  <si>
    <t xml:space="preserve">ORD-13796</t>
  </si>
  <si>
    <t xml:space="preserve">ORD-13797</t>
  </si>
  <si>
    <t xml:space="preserve">ORD-13798</t>
  </si>
  <si>
    <t xml:space="preserve">ORD-13799</t>
  </si>
  <si>
    <t xml:space="preserve">ORD-13800</t>
  </si>
  <si>
    <t xml:space="preserve">ORD-13801</t>
  </si>
  <si>
    <t xml:space="preserve">ORD-13802</t>
  </si>
  <si>
    <t xml:space="preserve">ORD-13803</t>
  </si>
  <si>
    <t xml:space="preserve">ORD-13804</t>
  </si>
  <si>
    <t xml:space="preserve">ORD-13805</t>
  </si>
  <si>
    <t xml:space="preserve">ORD-13806</t>
  </si>
  <si>
    <t xml:space="preserve">ORD-13807</t>
  </si>
  <si>
    <t xml:space="preserve">2025-11-26</t>
  </si>
  <si>
    <t xml:space="preserve">ORD-13808</t>
  </si>
  <si>
    <t xml:space="preserve">ORD-13809</t>
  </si>
  <si>
    <t xml:space="preserve">ORD-13810</t>
  </si>
  <si>
    <t xml:space="preserve">ORD-13811</t>
  </si>
  <si>
    <t xml:space="preserve">2023-05-09</t>
  </si>
  <si>
    <t xml:space="preserve">ORD-13812</t>
  </si>
  <si>
    <t xml:space="preserve">ORD-13813</t>
  </si>
  <si>
    <t xml:space="preserve">ORD-13814</t>
  </si>
  <si>
    <t xml:space="preserve">ORD-13815</t>
  </si>
  <si>
    <t xml:space="preserve">ORD-13816</t>
  </si>
  <si>
    <t xml:space="preserve">ORD-13817</t>
  </si>
  <si>
    <t xml:space="preserve">ORD-13818</t>
  </si>
  <si>
    <t xml:space="preserve">ORD-13819</t>
  </si>
  <si>
    <t xml:space="preserve">ORD-13820</t>
  </si>
  <si>
    <t xml:space="preserve">ORD-13821</t>
  </si>
  <si>
    <t xml:space="preserve">ORD-13822</t>
  </si>
  <si>
    <t xml:space="preserve">ORD-13823</t>
  </si>
  <si>
    <t xml:space="preserve">ORD-13824</t>
  </si>
  <si>
    <t xml:space="preserve">ORD-13825</t>
  </si>
  <si>
    <t xml:space="preserve">ORD-13826</t>
  </si>
  <si>
    <t xml:space="preserve">ORD-13827</t>
  </si>
  <si>
    <t xml:space="preserve">ORD-13828</t>
  </si>
  <si>
    <t xml:space="preserve">ORD-13829</t>
  </si>
  <si>
    <t xml:space="preserve">ORD-13830</t>
  </si>
  <si>
    <t xml:space="preserve">ORD-13831</t>
  </si>
  <si>
    <t xml:space="preserve">ORD-13832</t>
  </si>
  <si>
    <t xml:space="preserve">2025-09-01</t>
  </si>
  <si>
    <t xml:space="preserve">ORD-13833</t>
  </si>
  <si>
    <t xml:space="preserve">ORD-13834</t>
  </si>
  <si>
    <t xml:space="preserve">ORD-13835</t>
  </si>
  <si>
    <t xml:space="preserve">ORD-13836</t>
  </si>
  <si>
    <t xml:space="preserve">2025-08-26</t>
  </si>
  <si>
    <t xml:space="preserve">ORD-13837</t>
  </si>
  <si>
    <t xml:space="preserve">ORD-13838</t>
  </si>
  <si>
    <t xml:space="preserve">ORD-13839</t>
  </si>
  <si>
    <t xml:space="preserve">ORD-13840</t>
  </si>
  <si>
    <t xml:space="preserve">ORD-13841</t>
  </si>
  <si>
    <t xml:space="preserve">ORD-13842</t>
  </si>
  <si>
    <t xml:space="preserve">ORD-13843</t>
  </si>
  <si>
    <t xml:space="preserve">ORD-13844</t>
  </si>
  <si>
    <t xml:space="preserve">ORD-13845</t>
  </si>
  <si>
    <t xml:space="preserve">ORD-13846</t>
  </si>
  <si>
    <t xml:space="preserve">ORD-13847</t>
  </si>
  <si>
    <t xml:space="preserve">ORD-13848</t>
  </si>
  <si>
    <t xml:space="preserve">ORD-13849</t>
  </si>
  <si>
    <t xml:space="preserve">ORD-13850</t>
  </si>
  <si>
    <t xml:space="preserve">ORD-13851</t>
  </si>
  <si>
    <t xml:space="preserve">ORD-13852</t>
  </si>
  <si>
    <t xml:space="preserve">ORD-13853</t>
  </si>
  <si>
    <t xml:space="preserve">ORD-13854</t>
  </si>
  <si>
    <t xml:space="preserve">ORD-13855</t>
  </si>
  <si>
    <t xml:space="preserve">ORD-13856</t>
  </si>
  <si>
    <t xml:space="preserve">ORD-13857</t>
  </si>
  <si>
    <t xml:space="preserve">ORD-13858</t>
  </si>
  <si>
    <t xml:space="preserve">2025-10-07</t>
  </si>
  <si>
    <t xml:space="preserve">ORD-13859</t>
  </si>
  <si>
    <t xml:space="preserve">ORD-13860</t>
  </si>
  <si>
    <t xml:space="preserve">ORD-13861</t>
  </si>
  <si>
    <t xml:space="preserve">ORD-13862</t>
  </si>
  <si>
    <t xml:space="preserve">ORD-13863</t>
  </si>
  <si>
    <t xml:space="preserve">ORD-13864</t>
  </si>
  <si>
    <t xml:space="preserve">ORD-13865</t>
  </si>
  <si>
    <t xml:space="preserve">ORD-13866</t>
  </si>
  <si>
    <t xml:space="preserve">ORD-13867</t>
  </si>
  <si>
    <t xml:space="preserve">ORD-13868</t>
  </si>
  <si>
    <t xml:space="preserve">ORD-13869</t>
  </si>
  <si>
    <t xml:space="preserve">ORD-13870</t>
  </si>
  <si>
    <t xml:space="preserve">ORD-13871</t>
  </si>
  <si>
    <t xml:space="preserve">ORD-13872</t>
  </si>
  <si>
    <t xml:space="preserve">ORD-13873</t>
  </si>
  <si>
    <t xml:space="preserve">ORD-13874</t>
  </si>
  <si>
    <t xml:space="preserve">ORD-13875</t>
  </si>
  <si>
    <t xml:space="preserve">ORD-13876</t>
  </si>
  <si>
    <t xml:space="preserve">ORD-13877</t>
  </si>
  <si>
    <t xml:space="preserve">ORD-13878</t>
  </si>
  <si>
    <t xml:space="preserve">ORD-13879</t>
  </si>
  <si>
    <t xml:space="preserve">ORD-13880</t>
  </si>
  <si>
    <t xml:space="preserve">2024-05-04</t>
  </si>
  <si>
    <t xml:space="preserve">ORD-13881</t>
  </si>
  <si>
    <t xml:space="preserve">ORD-13882</t>
  </si>
  <si>
    <t xml:space="preserve">ORD-13883</t>
  </si>
  <si>
    <t xml:space="preserve">ORD-13884</t>
  </si>
  <si>
    <t xml:space="preserve">ORD-13885</t>
  </si>
  <si>
    <t xml:space="preserve">ORD-13886</t>
  </si>
  <si>
    <t xml:space="preserve">ORD-13887</t>
  </si>
  <si>
    <t xml:space="preserve">ORD-13888</t>
  </si>
  <si>
    <t xml:space="preserve">ORD-13889</t>
  </si>
  <si>
    <t xml:space="preserve">ORD-13890</t>
  </si>
  <si>
    <t xml:space="preserve">ORD-13891</t>
  </si>
  <si>
    <t xml:space="preserve">ORD-13892</t>
  </si>
  <si>
    <t xml:space="preserve">ORD-13893</t>
  </si>
  <si>
    <t xml:space="preserve">ORD-13894</t>
  </si>
  <si>
    <t xml:space="preserve">ORD-13895</t>
  </si>
  <si>
    <t xml:space="preserve">ORD-13896</t>
  </si>
  <si>
    <t xml:space="preserve">ORD-13897</t>
  </si>
  <si>
    <t xml:space="preserve">ORD-13898</t>
  </si>
  <si>
    <t xml:space="preserve">ORD-13899</t>
  </si>
  <si>
    <t xml:space="preserve">ORD-13900</t>
  </si>
  <si>
    <t xml:space="preserve">ORD-13901</t>
  </si>
  <si>
    <t xml:space="preserve">ORD-13902</t>
  </si>
  <si>
    <t xml:space="preserve">ORD-13903</t>
  </si>
  <si>
    <t xml:space="preserve">2025-03-12</t>
  </si>
  <si>
    <t xml:space="preserve">ORD-13904</t>
  </si>
  <si>
    <t xml:space="preserve">ORD-13905</t>
  </si>
  <si>
    <t xml:space="preserve">ORD-13906</t>
  </si>
  <si>
    <t xml:space="preserve">ORD-13907</t>
  </si>
  <si>
    <t xml:space="preserve">ORD-13908</t>
  </si>
  <si>
    <t xml:space="preserve">ORD-13909</t>
  </si>
  <si>
    <t xml:space="preserve">ORD-13910</t>
  </si>
  <si>
    <t xml:space="preserve">2023-08-14</t>
  </si>
  <si>
    <t xml:space="preserve">ORD-13911</t>
  </si>
  <si>
    <t xml:space="preserve">ORD-13912</t>
  </si>
  <si>
    <t xml:space="preserve">ORD-13913</t>
  </si>
  <si>
    <t xml:space="preserve">ORD-13914</t>
  </si>
  <si>
    <t xml:space="preserve">ORD-13915</t>
  </si>
  <si>
    <t xml:space="preserve">ORD-13916</t>
  </si>
  <si>
    <t xml:space="preserve">ORD-13917</t>
  </si>
  <si>
    <t xml:space="preserve">ORD-13918</t>
  </si>
  <si>
    <t xml:space="preserve">ORD-13919</t>
  </si>
  <si>
    <t xml:space="preserve">ORD-13920</t>
  </si>
  <si>
    <t xml:space="preserve">ORD-13921</t>
  </si>
  <si>
    <t xml:space="preserve">ORD-13922</t>
  </si>
  <si>
    <t xml:space="preserve">2025-10-19</t>
  </si>
  <si>
    <t xml:space="preserve">ORD-13923</t>
  </si>
  <si>
    <t xml:space="preserve">ORD-13924</t>
  </si>
  <si>
    <t xml:space="preserve">ORD-13925</t>
  </si>
  <si>
    <t xml:space="preserve">ORD-13926</t>
  </si>
  <si>
    <t xml:space="preserve">ORD-13927</t>
  </si>
  <si>
    <t xml:space="preserve">ORD-13928</t>
  </si>
  <si>
    <t xml:space="preserve">ORD-13929</t>
  </si>
  <si>
    <t xml:space="preserve">ORD-13930</t>
  </si>
  <si>
    <t xml:space="preserve">ORD-13931</t>
  </si>
  <si>
    <t xml:space="preserve">ORD-13932</t>
  </si>
  <si>
    <t xml:space="preserve">ORD-13933</t>
  </si>
  <si>
    <t xml:space="preserve">ORD-13934</t>
  </si>
  <si>
    <t xml:space="preserve">ORD-13935</t>
  </si>
  <si>
    <t xml:space="preserve">ORD-13936</t>
  </si>
  <si>
    <t xml:space="preserve">ORD-13937</t>
  </si>
  <si>
    <t xml:space="preserve">ORD-13938</t>
  </si>
  <si>
    <t xml:space="preserve">ORD-13939</t>
  </si>
  <si>
    <t xml:space="preserve">ORD-13940</t>
  </si>
  <si>
    <t xml:space="preserve">ORD-13941</t>
  </si>
  <si>
    <t xml:space="preserve">ORD-13942</t>
  </si>
  <si>
    <t xml:space="preserve">ORD-13943</t>
  </si>
  <si>
    <t xml:space="preserve">ORD-13944</t>
  </si>
  <si>
    <t xml:space="preserve">ORD-13945</t>
  </si>
  <si>
    <t xml:space="preserve">ORD-13946</t>
  </si>
  <si>
    <t xml:space="preserve">ORD-13947</t>
  </si>
  <si>
    <t xml:space="preserve">ORD-13948</t>
  </si>
  <si>
    <t xml:space="preserve">ORD-13949</t>
  </si>
  <si>
    <t xml:space="preserve">ORD-13950</t>
  </si>
  <si>
    <t xml:space="preserve">ORD-13951</t>
  </si>
  <si>
    <t xml:space="preserve">ORD-13952</t>
  </si>
  <si>
    <t xml:space="preserve">ORD-13953</t>
  </si>
  <si>
    <t xml:space="preserve">ORD-13954</t>
  </si>
  <si>
    <t xml:space="preserve">ORD-13955</t>
  </si>
  <si>
    <t xml:space="preserve">ORD-13956</t>
  </si>
  <si>
    <t xml:space="preserve">ORD-13957</t>
  </si>
  <si>
    <t xml:space="preserve">ORD-13958</t>
  </si>
  <si>
    <t xml:space="preserve">ORD-13959</t>
  </si>
  <si>
    <t xml:space="preserve">ORD-13960</t>
  </si>
  <si>
    <t xml:space="preserve">ORD-13961</t>
  </si>
  <si>
    <t xml:space="preserve">ORD-13962</t>
  </si>
  <si>
    <t xml:space="preserve">ORD-13963</t>
  </si>
  <si>
    <t xml:space="preserve">ORD-13964</t>
  </si>
  <si>
    <t xml:space="preserve">ORD-13965</t>
  </si>
  <si>
    <t xml:space="preserve">ORD-13966</t>
  </si>
  <si>
    <t xml:space="preserve">ORD-13967</t>
  </si>
  <si>
    <t xml:space="preserve">ORD-13968</t>
  </si>
  <si>
    <t xml:space="preserve">ORD-13969</t>
  </si>
  <si>
    <t xml:space="preserve">ORD-13970</t>
  </si>
  <si>
    <t xml:space="preserve">ORD-13971</t>
  </si>
  <si>
    <t xml:space="preserve">ORD-13972</t>
  </si>
  <si>
    <t xml:space="preserve">ORD-13973</t>
  </si>
  <si>
    <t xml:space="preserve">ORD-13974</t>
  </si>
  <si>
    <t xml:space="preserve">ORD-13975</t>
  </si>
  <si>
    <t xml:space="preserve">ORD-13976</t>
  </si>
  <si>
    <t xml:space="preserve">ORD-13977</t>
  </si>
  <si>
    <t xml:space="preserve">ORD-13978</t>
  </si>
  <si>
    <t xml:space="preserve">ORD-13979</t>
  </si>
  <si>
    <t xml:space="preserve">ORD-13980</t>
  </si>
  <si>
    <t xml:space="preserve">ORD-13981</t>
  </si>
  <si>
    <t xml:space="preserve">ORD-13982</t>
  </si>
  <si>
    <t xml:space="preserve">ORD-13983</t>
  </si>
  <si>
    <t xml:space="preserve">ORD-13984</t>
  </si>
  <si>
    <t xml:space="preserve">ORD-13985</t>
  </si>
  <si>
    <t xml:space="preserve">ORD-13986</t>
  </si>
  <si>
    <t xml:space="preserve">2024-09-29</t>
  </si>
  <si>
    <t xml:space="preserve">ORD-13987</t>
  </si>
  <si>
    <t xml:space="preserve">ORD-13988</t>
  </si>
  <si>
    <t xml:space="preserve">ORD-13989</t>
  </si>
  <si>
    <t xml:space="preserve">ORD-13990</t>
  </si>
  <si>
    <t xml:space="preserve">ORD-13991</t>
  </si>
  <si>
    <t xml:space="preserve">ORD-13992</t>
  </si>
  <si>
    <t xml:space="preserve">ORD-13993</t>
  </si>
  <si>
    <t xml:space="preserve">ORD-13994</t>
  </si>
  <si>
    <t xml:space="preserve">ORD-13995</t>
  </si>
  <si>
    <t xml:space="preserve">ORD-13996</t>
  </si>
  <si>
    <t xml:space="preserve">ORD-13997</t>
  </si>
  <si>
    <t xml:space="preserve">ORD-13998</t>
  </si>
  <si>
    <t xml:space="preserve">2024-06-01</t>
  </si>
  <si>
    <t xml:space="preserve">ORD-13999</t>
  </si>
  <si>
    <t xml:space="preserve">ORD-14000</t>
  </si>
  <si>
    <t xml:space="preserve">ORD-14001</t>
  </si>
  <si>
    <t xml:space="preserve">ORD-14002</t>
  </si>
  <si>
    <t xml:space="preserve">ORD-14003</t>
  </si>
  <si>
    <t xml:space="preserve">ORD-14004</t>
  </si>
  <si>
    <t xml:space="preserve">ORD-14005</t>
  </si>
  <si>
    <t xml:space="preserve">ORD-14006</t>
  </si>
  <si>
    <t xml:space="preserve">ORD-14007</t>
  </si>
  <si>
    <t xml:space="preserve">ORD-14008</t>
  </si>
  <si>
    <t xml:space="preserve">ORD-14009</t>
  </si>
  <si>
    <t xml:space="preserve">ORD-14010</t>
  </si>
  <si>
    <t xml:space="preserve">ORD-14011</t>
  </si>
  <si>
    <t xml:space="preserve">ORD-14012</t>
  </si>
  <si>
    <t xml:space="preserve">ORD-14013</t>
  </si>
  <si>
    <t xml:space="preserve">ORD-14014</t>
  </si>
  <si>
    <t xml:space="preserve">ORD-14015</t>
  </si>
  <si>
    <t xml:space="preserve">ORD-14016</t>
  </si>
  <si>
    <t xml:space="preserve">ORD-14017</t>
  </si>
  <si>
    <t xml:space="preserve">ORD-14018</t>
  </si>
  <si>
    <t xml:space="preserve">ORD-14019</t>
  </si>
  <si>
    <t xml:space="preserve">ORD-14020</t>
  </si>
  <si>
    <t xml:space="preserve">ORD-14021</t>
  </si>
  <si>
    <t xml:space="preserve">ORD-14022</t>
  </si>
  <si>
    <t xml:space="preserve">ORD-14023</t>
  </si>
  <si>
    <t xml:space="preserve">ORD-14024</t>
  </si>
  <si>
    <t xml:space="preserve">ORD-14025</t>
  </si>
  <si>
    <t xml:space="preserve">ORD-14026</t>
  </si>
  <si>
    <t xml:space="preserve">ORD-14027</t>
  </si>
  <si>
    <t xml:space="preserve">ORD-14028</t>
  </si>
  <si>
    <t xml:space="preserve">ORD-14029</t>
  </si>
  <si>
    <t xml:space="preserve">ORD-14030</t>
  </si>
  <si>
    <t xml:space="preserve">ORD-14031</t>
  </si>
  <si>
    <t xml:space="preserve">ORD-14032</t>
  </si>
  <si>
    <t xml:space="preserve">ORD-14033</t>
  </si>
  <si>
    <t xml:space="preserve">ORD-14034</t>
  </si>
  <si>
    <t xml:space="preserve">ORD-14035</t>
  </si>
  <si>
    <t xml:space="preserve">ORD-14036</t>
  </si>
  <si>
    <t xml:space="preserve">ORD-14037</t>
  </si>
  <si>
    <t xml:space="preserve">ORD-14038</t>
  </si>
  <si>
    <t xml:space="preserve">ORD-14039</t>
  </si>
  <si>
    <t xml:space="preserve">ORD-14040</t>
  </si>
  <si>
    <t xml:space="preserve">ORD-14041</t>
  </si>
  <si>
    <t xml:space="preserve">ORD-14042</t>
  </si>
  <si>
    <t xml:space="preserve">ORD-14043</t>
  </si>
  <si>
    <t xml:space="preserve">ORD-14044</t>
  </si>
  <si>
    <t xml:space="preserve">ORD-14045</t>
  </si>
  <si>
    <t xml:space="preserve">ORD-14046</t>
  </si>
  <si>
    <t xml:space="preserve">ORD-14047</t>
  </si>
  <si>
    <t xml:space="preserve">ORD-14048</t>
  </si>
  <si>
    <t xml:space="preserve">ORD-14049</t>
  </si>
  <si>
    <t xml:space="preserve">ORD-14050</t>
  </si>
  <si>
    <t xml:space="preserve">ORD-14051</t>
  </si>
  <si>
    <t xml:space="preserve">ORD-14052</t>
  </si>
  <si>
    <t xml:space="preserve">ORD-14053</t>
  </si>
  <si>
    <t xml:space="preserve">ORD-14054</t>
  </si>
  <si>
    <t xml:space="preserve">ORD-14055</t>
  </si>
  <si>
    <t xml:space="preserve">ORD-14056</t>
  </si>
  <si>
    <t xml:space="preserve">ORD-14057</t>
  </si>
  <si>
    <t xml:space="preserve">ORD-14058</t>
  </si>
  <si>
    <t xml:space="preserve">ORD-14059</t>
  </si>
  <si>
    <t xml:space="preserve">ORD-14060</t>
  </si>
  <si>
    <t xml:space="preserve">ORD-14061</t>
  </si>
  <si>
    <t xml:space="preserve">ORD-14062</t>
  </si>
  <si>
    <t xml:space="preserve">ORD-14063</t>
  </si>
  <si>
    <t xml:space="preserve">ORD-14064</t>
  </si>
  <si>
    <t xml:space="preserve">ORD-14065</t>
  </si>
  <si>
    <t xml:space="preserve">ORD-14066</t>
  </si>
  <si>
    <t xml:space="preserve">ORD-14067</t>
  </si>
  <si>
    <t xml:space="preserve">ORD-14068</t>
  </si>
  <si>
    <t xml:space="preserve">ORD-14069</t>
  </si>
  <si>
    <t xml:space="preserve">ORD-14070</t>
  </si>
  <si>
    <t xml:space="preserve">ORD-14071</t>
  </si>
  <si>
    <t xml:space="preserve">ORD-14072</t>
  </si>
  <si>
    <t xml:space="preserve">ORD-14073</t>
  </si>
  <si>
    <t xml:space="preserve">ORD-14074</t>
  </si>
  <si>
    <t xml:space="preserve">ORD-14075</t>
  </si>
  <si>
    <t xml:space="preserve">ORD-14076</t>
  </si>
  <si>
    <t xml:space="preserve">ORD-14077</t>
  </si>
  <si>
    <t xml:space="preserve">ORD-14078</t>
  </si>
  <si>
    <t xml:space="preserve">ORD-14079</t>
  </si>
  <si>
    <t xml:space="preserve">ORD-14080</t>
  </si>
  <si>
    <t xml:space="preserve">ORD-14081</t>
  </si>
  <si>
    <t xml:space="preserve">ORD-14082</t>
  </si>
  <si>
    <t xml:space="preserve">2025-10-09</t>
  </si>
  <si>
    <t xml:space="preserve">ORD-14083</t>
  </si>
  <si>
    <t xml:space="preserve">ORD-14084</t>
  </si>
  <si>
    <t xml:space="preserve">ORD-14085</t>
  </si>
  <si>
    <t xml:space="preserve">ORD-14086</t>
  </si>
  <si>
    <t xml:space="preserve">ORD-14087</t>
  </si>
  <si>
    <t xml:space="preserve">ORD-14088</t>
  </si>
  <si>
    <t xml:space="preserve">ORD-14089</t>
  </si>
  <si>
    <t xml:space="preserve">ORD-14090</t>
  </si>
  <si>
    <t xml:space="preserve">ORD-14091</t>
  </si>
  <si>
    <t xml:space="preserve">ORD-14092</t>
  </si>
  <si>
    <t xml:space="preserve">ORD-14093</t>
  </si>
  <si>
    <t xml:space="preserve">ORD-14094</t>
  </si>
  <si>
    <t xml:space="preserve">ORD-14095</t>
  </si>
  <si>
    <t xml:space="preserve">ORD-14096</t>
  </si>
  <si>
    <t xml:space="preserve">ORD-14097</t>
  </si>
  <si>
    <t xml:space="preserve">ORD-14098</t>
  </si>
  <si>
    <t xml:space="preserve">ORD-14099</t>
  </si>
  <si>
    <t xml:space="preserve">ORD-14100</t>
  </si>
  <si>
    <t xml:space="preserve">ORD-14101</t>
  </si>
  <si>
    <t xml:space="preserve">ORD-14102</t>
  </si>
  <si>
    <t xml:space="preserve">ORD-14103</t>
  </si>
  <si>
    <t xml:space="preserve">ORD-14104</t>
  </si>
  <si>
    <t xml:space="preserve">ORD-14105</t>
  </si>
  <si>
    <t xml:space="preserve">ORD-14106</t>
  </si>
  <si>
    <t xml:space="preserve">ORD-14107</t>
  </si>
  <si>
    <t xml:space="preserve">ORD-14108</t>
  </si>
  <si>
    <t xml:space="preserve">ORD-14109</t>
  </si>
  <si>
    <t xml:space="preserve">ORD-14110</t>
  </si>
  <si>
    <t xml:space="preserve">ORD-14111</t>
  </si>
  <si>
    <t xml:space="preserve">ORD-14112</t>
  </si>
  <si>
    <t xml:space="preserve">ORD-14113</t>
  </si>
  <si>
    <t xml:space="preserve">ORD-14114</t>
  </si>
  <si>
    <t xml:space="preserve">ORD-14115</t>
  </si>
  <si>
    <t xml:space="preserve">ORD-14116</t>
  </si>
  <si>
    <t xml:space="preserve">ORD-14117</t>
  </si>
  <si>
    <t xml:space="preserve">ORD-14118</t>
  </si>
  <si>
    <t xml:space="preserve">ORD-14119</t>
  </si>
  <si>
    <t xml:space="preserve">ORD-14120</t>
  </si>
  <si>
    <t xml:space="preserve">ORD-14121</t>
  </si>
  <si>
    <t xml:space="preserve">ORD-14122</t>
  </si>
  <si>
    <t xml:space="preserve">ORD-14123</t>
  </si>
  <si>
    <t xml:space="preserve">ORD-14124</t>
  </si>
  <si>
    <t xml:space="preserve">ORD-14125</t>
  </si>
  <si>
    <t xml:space="preserve">ORD-14126</t>
  </si>
  <si>
    <t xml:space="preserve">ORD-14127</t>
  </si>
  <si>
    <t xml:space="preserve">ORD-14128</t>
  </si>
  <si>
    <t xml:space="preserve">ORD-14129</t>
  </si>
  <si>
    <t xml:space="preserve">ORD-14130</t>
  </si>
  <si>
    <t xml:space="preserve">ORD-14131</t>
  </si>
  <si>
    <t xml:space="preserve">ORD-14132</t>
  </si>
  <si>
    <t xml:space="preserve">ORD-14133</t>
  </si>
  <si>
    <t xml:space="preserve">ORD-14134</t>
  </si>
  <si>
    <t xml:space="preserve">ORD-14135</t>
  </si>
  <si>
    <t xml:space="preserve">ORD-14136</t>
  </si>
  <si>
    <t xml:space="preserve">ORD-14137</t>
  </si>
  <si>
    <t xml:space="preserve">ORD-14138</t>
  </si>
  <si>
    <t xml:space="preserve">ORD-14139</t>
  </si>
  <si>
    <t xml:space="preserve">ORD-14140</t>
  </si>
  <si>
    <t xml:space="preserve">ORD-14141</t>
  </si>
  <si>
    <t xml:space="preserve">ORD-14142</t>
  </si>
  <si>
    <t xml:space="preserve">ORD-14143</t>
  </si>
  <si>
    <t xml:space="preserve">ORD-14144</t>
  </si>
  <si>
    <t xml:space="preserve">ORD-14145</t>
  </si>
  <si>
    <t xml:space="preserve">ORD-14146</t>
  </si>
  <si>
    <t xml:space="preserve">ORD-14147</t>
  </si>
  <si>
    <t xml:space="preserve">ORD-14148</t>
  </si>
  <si>
    <t xml:space="preserve">ORD-14149</t>
  </si>
  <si>
    <t xml:space="preserve">ORD-14150</t>
  </si>
  <si>
    <t xml:space="preserve">ORD-14151</t>
  </si>
  <si>
    <t xml:space="preserve">ORD-14152</t>
  </si>
  <si>
    <t xml:space="preserve">ORD-14153</t>
  </si>
  <si>
    <t xml:space="preserve">ORD-14154</t>
  </si>
  <si>
    <t xml:space="preserve">ORD-14155</t>
  </si>
  <si>
    <t xml:space="preserve">ORD-14156</t>
  </si>
  <si>
    <t xml:space="preserve">ORD-14157</t>
  </si>
  <si>
    <t xml:space="preserve">ORD-14158</t>
  </si>
  <si>
    <t xml:space="preserve">ORD-14159</t>
  </si>
  <si>
    <t xml:space="preserve">ORD-14160</t>
  </si>
  <si>
    <t xml:space="preserve">ORD-14161</t>
  </si>
  <si>
    <t xml:space="preserve">ORD-14162</t>
  </si>
  <si>
    <t xml:space="preserve">ORD-14163</t>
  </si>
  <si>
    <t xml:space="preserve">ORD-14164</t>
  </si>
  <si>
    <t xml:space="preserve">2023-03-21</t>
  </si>
  <si>
    <t xml:space="preserve">ORD-14165</t>
  </si>
  <si>
    <t xml:space="preserve">ORD-14166</t>
  </si>
  <si>
    <t xml:space="preserve">ORD-14167</t>
  </si>
  <si>
    <t xml:space="preserve">ORD-14168</t>
  </si>
  <si>
    <t xml:space="preserve">ORD-14169</t>
  </si>
  <si>
    <t xml:space="preserve">ORD-14170</t>
  </si>
  <si>
    <t xml:space="preserve">ORD-14171</t>
  </si>
  <si>
    <t xml:space="preserve">ORD-14172</t>
  </si>
  <si>
    <t xml:space="preserve">ORD-14173</t>
  </si>
  <si>
    <t xml:space="preserve">ORD-14174</t>
  </si>
  <si>
    <t xml:space="preserve">ORD-14175</t>
  </si>
  <si>
    <t xml:space="preserve">ORD-14176</t>
  </si>
  <si>
    <t xml:space="preserve">ORD-14177</t>
  </si>
  <si>
    <t xml:space="preserve">ORD-14178</t>
  </si>
  <si>
    <t xml:space="preserve">ORD-14179</t>
  </si>
  <si>
    <t xml:space="preserve">ORD-14180</t>
  </si>
  <si>
    <t xml:space="preserve">ORD-14181</t>
  </si>
  <si>
    <t xml:space="preserve">ORD-14182</t>
  </si>
  <si>
    <t xml:space="preserve">ORD-14183</t>
  </si>
  <si>
    <t xml:space="preserve">ORD-14184</t>
  </si>
  <si>
    <t xml:space="preserve">ORD-14185</t>
  </si>
  <si>
    <t xml:space="preserve">ORD-14186</t>
  </si>
  <si>
    <t xml:space="preserve">ORD-14187</t>
  </si>
  <si>
    <t xml:space="preserve">ORD-14188</t>
  </si>
  <si>
    <t xml:space="preserve">ORD-14189</t>
  </si>
  <si>
    <t xml:space="preserve">ORD-14190</t>
  </si>
  <si>
    <t xml:space="preserve">ORD-14191</t>
  </si>
  <si>
    <t xml:space="preserve">ORD-14192</t>
  </si>
  <si>
    <t xml:space="preserve">ORD-14193</t>
  </si>
  <si>
    <t xml:space="preserve">ORD-14194</t>
  </si>
  <si>
    <t xml:space="preserve">ORD-14195</t>
  </si>
  <si>
    <t xml:space="preserve">ORD-14196</t>
  </si>
  <si>
    <t xml:space="preserve">ORD-14197</t>
  </si>
  <si>
    <t xml:space="preserve">ORD-14198</t>
  </si>
  <si>
    <t xml:space="preserve">ORD-14199</t>
  </si>
  <si>
    <t xml:space="preserve">ORD-14200</t>
  </si>
  <si>
    <t xml:space="preserve">ORD-14201</t>
  </si>
  <si>
    <t xml:space="preserve">ORD-14202</t>
  </si>
  <si>
    <t xml:space="preserve">ORD-14203</t>
  </si>
  <si>
    <t xml:space="preserve">ORD-14204</t>
  </si>
  <si>
    <t xml:space="preserve">ORD-14205</t>
  </si>
  <si>
    <t xml:space="preserve">ORD-14206</t>
  </si>
  <si>
    <t xml:space="preserve">ORD-14207</t>
  </si>
  <si>
    <t xml:space="preserve">ORD-14208</t>
  </si>
  <si>
    <t xml:space="preserve">ORD-14209</t>
  </si>
  <si>
    <t xml:space="preserve">ORD-14210</t>
  </si>
  <si>
    <t xml:space="preserve">ORD-14211</t>
  </si>
  <si>
    <t xml:space="preserve">ORD-14212</t>
  </si>
  <si>
    <t xml:space="preserve">ORD-14213</t>
  </si>
  <si>
    <t xml:space="preserve">2023-11-28</t>
  </si>
  <si>
    <t xml:space="preserve">ORD-14214</t>
  </si>
  <si>
    <t xml:space="preserve">ORD-14215</t>
  </si>
  <si>
    <t xml:space="preserve">ORD-14216</t>
  </si>
  <si>
    <t xml:space="preserve">ORD-14217</t>
  </si>
  <si>
    <t xml:space="preserve">ORD-14218</t>
  </si>
  <si>
    <t xml:space="preserve">ORD-14219</t>
  </si>
  <si>
    <t xml:space="preserve">ORD-14220</t>
  </si>
  <si>
    <t xml:space="preserve">ORD-14221</t>
  </si>
  <si>
    <t xml:space="preserve">ORD-14222</t>
  </si>
  <si>
    <t xml:space="preserve">ORD-14223</t>
  </si>
  <si>
    <t xml:space="preserve">ORD-14224</t>
  </si>
  <si>
    <t xml:space="preserve">ORD-14225</t>
  </si>
  <si>
    <t xml:space="preserve">ORD-14226</t>
  </si>
  <si>
    <t xml:space="preserve">ORD-14227</t>
  </si>
  <si>
    <t xml:space="preserve">ORD-14228</t>
  </si>
  <si>
    <t xml:space="preserve">ORD-14229</t>
  </si>
  <si>
    <t xml:space="preserve">ORD-14230</t>
  </si>
  <si>
    <t xml:space="preserve">ORD-14231</t>
  </si>
  <si>
    <t xml:space="preserve">ORD-14232</t>
  </si>
  <si>
    <t xml:space="preserve">ORD-14233</t>
  </si>
  <si>
    <t xml:space="preserve">ORD-14234</t>
  </si>
  <si>
    <t xml:space="preserve">ORD-14235</t>
  </si>
  <si>
    <t xml:space="preserve">ORD-14236</t>
  </si>
  <si>
    <t xml:space="preserve">ORD-14237</t>
  </si>
  <si>
    <t xml:space="preserve">ORD-14238</t>
  </si>
  <si>
    <t xml:space="preserve">ORD-14239</t>
  </si>
  <si>
    <t xml:space="preserve">ORD-14240</t>
  </si>
  <si>
    <t xml:space="preserve">ORD-14241</t>
  </si>
  <si>
    <t xml:space="preserve">2024-12-10</t>
  </si>
  <si>
    <t xml:space="preserve">ORD-14242</t>
  </si>
  <si>
    <t xml:space="preserve">ORD-14243</t>
  </si>
  <si>
    <t xml:space="preserve">ORD-14244</t>
  </si>
  <si>
    <t xml:space="preserve">ORD-14245</t>
  </si>
  <si>
    <t xml:space="preserve">ORD-14246</t>
  </si>
  <si>
    <t xml:space="preserve">ORD-14247</t>
  </si>
  <si>
    <t xml:space="preserve">ORD-14248</t>
  </si>
  <si>
    <t xml:space="preserve">ORD-14249</t>
  </si>
  <si>
    <t xml:space="preserve">ORD-14250</t>
  </si>
  <si>
    <t xml:space="preserve">ORD-14251</t>
  </si>
  <si>
    <t xml:space="preserve">ORD-14252</t>
  </si>
  <si>
    <t xml:space="preserve">ORD-14253</t>
  </si>
  <si>
    <t xml:space="preserve">ORD-14254</t>
  </si>
  <si>
    <t xml:space="preserve">ORD-14255</t>
  </si>
  <si>
    <t xml:space="preserve">ORD-14256</t>
  </si>
  <si>
    <t xml:space="preserve">ORD-14257</t>
  </si>
  <si>
    <t xml:space="preserve">ORD-14258</t>
  </si>
  <si>
    <t xml:space="preserve">ORD-14259</t>
  </si>
  <si>
    <t xml:space="preserve">ORD-14260</t>
  </si>
  <si>
    <t xml:space="preserve">ORD-14261</t>
  </si>
  <si>
    <t xml:space="preserve">ORD-14262</t>
  </si>
  <si>
    <t xml:space="preserve">ORD-14263</t>
  </si>
  <si>
    <t xml:space="preserve">ORD-14264</t>
  </si>
  <si>
    <t xml:space="preserve">ORD-14265</t>
  </si>
  <si>
    <t xml:space="preserve">ORD-14266</t>
  </si>
  <si>
    <t xml:space="preserve">ORD-14267</t>
  </si>
  <si>
    <t xml:space="preserve">ORD-14268</t>
  </si>
  <si>
    <t xml:space="preserve">ORD-14269</t>
  </si>
  <si>
    <t xml:space="preserve">ORD-14270</t>
  </si>
  <si>
    <t xml:space="preserve">ORD-14271</t>
  </si>
  <si>
    <t xml:space="preserve">ORD-14272</t>
  </si>
  <si>
    <t xml:space="preserve">ORD-14273</t>
  </si>
  <si>
    <t xml:space="preserve">ORD-14274</t>
  </si>
  <si>
    <t xml:space="preserve">ORD-14275</t>
  </si>
  <si>
    <t xml:space="preserve">ORD-14276</t>
  </si>
  <si>
    <t xml:space="preserve">ORD-14277</t>
  </si>
  <si>
    <t xml:space="preserve">ORD-14278</t>
  </si>
  <si>
    <t xml:space="preserve">ORD-14279</t>
  </si>
  <si>
    <t xml:space="preserve">ORD-14280</t>
  </si>
  <si>
    <t xml:space="preserve">ORD-14281</t>
  </si>
  <si>
    <t xml:space="preserve">ORD-14282</t>
  </si>
  <si>
    <t xml:space="preserve">ORD-14283</t>
  </si>
  <si>
    <t xml:space="preserve">ORD-14284</t>
  </si>
  <si>
    <t xml:space="preserve">ORD-14285</t>
  </si>
  <si>
    <t xml:space="preserve">ORD-14286</t>
  </si>
  <si>
    <t xml:space="preserve">ORD-14287</t>
  </si>
  <si>
    <t xml:space="preserve">ORD-14288</t>
  </si>
  <si>
    <t xml:space="preserve">ORD-14289</t>
  </si>
  <si>
    <t xml:space="preserve">ORD-14290</t>
  </si>
  <si>
    <t xml:space="preserve">ORD-14291</t>
  </si>
  <si>
    <t xml:space="preserve">ORD-14292</t>
  </si>
  <si>
    <t xml:space="preserve">ORD-14293</t>
  </si>
  <si>
    <t xml:space="preserve">ORD-14294</t>
  </si>
  <si>
    <t xml:space="preserve">ORD-14295</t>
  </si>
  <si>
    <t xml:space="preserve">ORD-14296</t>
  </si>
  <si>
    <t xml:space="preserve">ORD-14297</t>
  </si>
  <si>
    <t xml:space="preserve">ORD-14298</t>
  </si>
  <si>
    <t xml:space="preserve">ORD-14299</t>
  </si>
  <si>
    <t xml:space="preserve">ORD-14300</t>
  </si>
  <si>
    <t xml:space="preserve">ORD-14301</t>
  </si>
  <si>
    <t xml:space="preserve">ORD-14302</t>
  </si>
  <si>
    <t xml:space="preserve">ORD-14303</t>
  </si>
  <si>
    <t xml:space="preserve">ORD-14304</t>
  </si>
  <si>
    <t xml:space="preserve">ORD-14305</t>
  </si>
  <si>
    <t xml:space="preserve">ORD-14306</t>
  </si>
  <si>
    <t xml:space="preserve">ORD-14307</t>
  </si>
  <si>
    <t xml:space="preserve">ORD-14308</t>
  </si>
  <si>
    <t xml:space="preserve">ORD-14309</t>
  </si>
  <si>
    <t xml:space="preserve">ORD-14310</t>
  </si>
  <si>
    <t xml:space="preserve">ORD-14311</t>
  </si>
  <si>
    <t xml:space="preserve">ORD-14312</t>
  </si>
  <si>
    <t xml:space="preserve">ORD-14313</t>
  </si>
  <si>
    <t xml:space="preserve">ORD-14314</t>
  </si>
  <si>
    <t xml:space="preserve">ORD-14315</t>
  </si>
  <si>
    <t xml:space="preserve">ORD-14316</t>
  </si>
  <si>
    <t xml:space="preserve">ORD-14317</t>
  </si>
  <si>
    <t xml:space="preserve">ORD-14318</t>
  </si>
  <si>
    <t xml:space="preserve">ORD-14319</t>
  </si>
  <si>
    <t xml:space="preserve">ORD-14320</t>
  </si>
  <si>
    <t xml:space="preserve">ORD-14321</t>
  </si>
  <si>
    <t xml:space="preserve">ORD-14322</t>
  </si>
  <si>
    <t xml:space="preserve">ORD-14323</t>
  </si>
  <si>
    <t xml:space="preserve">ORD-14324</t>
  </si>
  <si>
    <t xml:space="preserve">ORD-14325</t>
  </si>
  <si>
    <t xml:space="preserve">ORD-14326</t>
  </si>
  <si>
    <t xml:space="preserve">ORD-14327</t>
  </si>
  <si>
    <t xml:space="preserve">ORD-14328</t>
  </si>
  <si>
    <t xml:space="preserve">ORD-14329</t>
  </si>
  <si>
    <t xml:space="preserve">ORD-14330</t>
  </si>
  <si>
    <t xml:space="preserve">ORD-14331</t>
  </si>
  <si>
    <t xml:space="preserve">ORD-14332</t>
  </si>
  <si>
    <t xml:space="preserve">ORD-14333</t>
  </si>
  <si>
    <t xml:space="preserve">ORD-14334</t>
  </si>
  <si>
    <t xml:space="preserve">ORD-14335</t>
  </si>
  <si>
    <t xml:space="preserve">2023-04-14</t>
  </si>
  <si>
    <t xml:space="preserve">ORD-14336</t>
  </si>
  <si>
    <t xml:space="preserve">ORD-14337</t>
  </si>
  <si>
    <t xml:space="preserve">ORD-14338</t>
  </si>
  <si>
    <t xml:space="preserve">ORD-14339</t>
  </si>
  <si>
    <t xml:space="preserve">ORD-14340</t>
  </si>
  <si>
    <t xml:space="preserve">ORD-14341</t>
  </si>
  <si>
    <t xml:space="preserve">ORD-14342</t>
  </si>
  <si>
    <t xml:space="preserve">ORD-14343</t>
  </si>
  <si>
    <t xml:space="preserve">ORD-14344</t>
  </si>
  <si>
    <t xml:space="preserve">ORD-14345</t>
  </si>
  <si>
    <t xml:space="preserve">ORD-14346</t>
  </si>
  <si>
    <t xml:space="preserve">ORD-14347</t>
  </si>
  <si>
    <t xml:space="preserve">ORD-14348</t>
  </si>
  <si>
    <t xml:space="preserve">ORD-14349</t>
  </si>
  <si>
    <t xml:space="preserve">ORD-14350</t>
  </si>
  <si>
    <t xml:space="preserve">ORD-14351</t>
  </si>
  <si>
    <t xml:space="preserve">ORD-14352</t>
  </si>
  <si>
    <t xml:space="preserve">ORD-14353</t>
  </si>
  <si>
    <t xml:space="preserve">ORD-14354</t>
  </si>
  <si>
    <t xml:space="preserve">ORD-14355</t>
  </si>
  <si>
    <t xml:space="preserve">ORD-14356</t>
  </si>
  <si>
    <t xml:space="preserve">ORD-14357</t>
  </si>
  <si>
    <t xml:space="preserve">ORD-14358</t>
  </si>
  <si>
    <t xml:space="preserve">ORD-14359</t>
  </si>
  <si>
    <t xml:space="preserve">ORD-14360</t>
  </si>
  <si>
    <t xml:space="preserve">ORD-14361</t>
  </si>
  <si>
    <t xml:space="preserve">ORD-14362</t>
  </si>
  <si>
    <t xml:space="preserve">ORD-14363</t>
  </si>
  <si>
    <t xml:space="preserve">ORD-14364</t>
  </si>
  <si>
    <t xml:space="preserve">ORD-14365</t>
  </si>
  <si>
    <t xml:space="preserve">ORD-14366</t>
  </si>
  <si>
    <t xml:space="preserve">ORD-14367</t>
  </si>
  <si>
    <t xml:space="preserve">ORD-14368</t>
  </si>
  <si>
    <t xml:space="preserve">ORD-14369</t>
  </si>
  <si>
    <t xml:space="preserve">ORD-14370</t>
  </si>
  <si>
    <t xml:space="preserve">ORD-14371</t>
  </si>
  <si>
    <t xml:space="preserve">ORD-14372</t>
  </si>
  <si>
    <t xml:space="preserve">ORD-14373</t>
  </si>
  <si>
    <t xml:space="preserve">2023-11-17</t>
  </si>
  <si>
    <t xml:space="preserve">ORD-14374</t>
  </si>
  <si>
    <t xml:space="preserve">ORD-14375</t>
  </si>
  <si>
    <t xml:space="preserve">ORD-14376</t>
  </si>
  <si>
    <t xml:space="preserve">ORD-14377</t>
  </si>
  <si>
    <t xml:space="preserve">ORD-14378</t>
  </si>
  <si>
    <t xml:space="preserve">ORD-14379</t>
  </si>
  <si>
    <t xml:space="preserve">ORD-14380</t>
  </si>
  <si>
    <t xml:space="preserve">ORD-14381</t>
  </si>
  <si>
    <t xml:space="preserve">ORD-14382</t>
  </si>
  <si>
    <t xml:space="preserve">ORD-14383</t>
  </si>
  <si>
    <t xml:space="preserve">ORD-14384</t>
  </si>
  <si>
    <t xml:space="preserve">ORD-14385</t>
  </si>
  <si>
    <t xml:space="preserve">ORD-14386</t>
  </si>
  <si>
    <t xml:space="preserve">ORD-14387</t>
  </si>
  <si>
    <t xml:space="preserve">ORD-14388</t>
  </si>
  <si>
    <t xml:space="preserve">ORD-14389</t>
  </si>
  <si>
    <t xml:space="preserve">ORD-14390</t>
  </si>
  <si>
    <t xml:space="preserve">ORD-14391</t>
  </si>
  <si>
    <t xml:space="preserve">ORD-14392</t>
  </si>
  <si>
    <t xml:space="preserve">ORD-14393</t>
  </si>
  <si>
    <t xml:space="preserve">ORD-14394</t>
  </si>
  <si>
    <t xml:space="preserve">ORD-14395</t>
  </si>
  <si>
    <t xml:space="preserve">ORD-14396</t>
  </si>
  <si>
    <t xml:space="preserve">ORD-14397</t>
  </si>
  <si>
    <t xml:space="preserve">ORD-14398</t>
  </si>
  <si>
    <t xml:space="preserve">ORD-14399</t>
  </si>
  <si>
    <t xml:space="preserve">ORD-14400</t>
  </si>
  <si>
    <t xml:space="preserve">ORD-14401</t>
  </si>
  <si>
    <t xml:space="preserve">ORD-14402</t>
  </si>
  <si>
    <t xml:space="preserve">ORD-14403</t>
  </si>
  <si>
    <t xml:space="preserve">ORD-14404</t>
  </si>
  <si>
    <t xml:space="preserve">ORD-14405</t>
  </si>
  <si>
    <t xml:space="preserve">ORD-14406</t>
  </si>
  <si>
    <t xml:space="preserve">ORD-14407</t>
  </si>
  <si>
    <t xml:space="preserve">ORD-14408</t>
  </si>
  <si>
    <t xml:space="preserve">ORD-14409</t>
  </si>
  <si>
    <t xml:space="preserve">ORD-14410</t>
  </si>
  <si>
    <t xml:space="preserve">ORD-14411</t>
  </si>
  <si>
    <t xml:space="preserve">ORD-14412</t>
  </si>
  <si>
    <t xml:space="preserve">ORD-14413</t>
  </si>
  <si>
    <t xml:space="preserve">ORD-14414</t>
  </si>
  <si>
    <t xml:space="preserve">ORD-14415</t>
  </si>
  <si>
    <t xml:space="preserve">ORD-14416</t>
  </si>
  <si>
    <t xml:space="preserve">ORD-14417</t>
  </si>
  <si>
    <t xml:space="preserve">ORD-14418</t>
  </si>
  <si>
    <t xml:space="preserve">ORD-14419</t>
  </si>
  <si>
    <t xml:space="preserve">ORD-14420</t>
  </si>
  <si>
    <t xml:space="preserve">ORD-14421</t>
  </si>
  <si>
    <t xml:space="preserve">ORD-14422</t>
  </si>
  <si>
    <t xml:space="preserve">ORD-14423</t>
  </si>
  <si>
    <t xml:space="preserve">ORD-14424</t>
  </si>
  <si>
    <t xml:space="preserve">ORD-14425</t>
  </si>
  <si>
    <t xml:space="preserve">ORD-14426</t>
  </si>
  <si>
    <t xml:space="preserve">ORD-14427</t>
  </si>
  <si>
    <t xml:space="preserve">ORD-14428</t>
  </si>
  <si>
    <t xml:space="preserve">ORD-14429</t>
  </si>
  <si>
    <t xml:space="preserve">ORD-14430</t>
  </si>
  <si>
    <t xml:space="preserve">ORD-14431</t>
  </si>
  <si>
    <t xml:space="preserve">ORD-14432</t>
  </si>
  <si>
    <t xml:space="preserve">ORD-14433</t>
  </si>
  <si>
    <t xml:space="preserve">ORD-14434</t>
  </si>
  <si>
    <t xml:space="preserve">ORD-14435</t>
  </si>
  <si>
    <t xml:space="preserve">ORD-14436</t>
  </si>
  <si>
    <t xml:space="preserve">ORD-14437</t>
  </si>
  <si>
    <t xml:space="preserve">ORD-14438</t>
  </si>
  <si>
    <t xml:space="preserve">ORD-14439</t>
  </si>
  <si>
    <t xml:space="preserve">ORD-14440</t>
  </si>
  <si>
    <t xml:space="preserve">ORD-14441</t>
  </si>
  <si>
    <t xml:space="preserve">ORD-14442</t>
  </si>
  <si>
    <t xml:space="preserve">ORD-14443</t>
  </si>
  <si>
    <t xml:space="preserve">ORD-14444</t>
  </si>
  <si>
    <t xml:space="preserve">ORD-14445</t>
  </si>
  <si>
    <t xml:space="preserve">ORD-14446</t>
  </si>
  <si>
    <t xml:space="preserve">ORD-14447</t>
  </si>
  <si>
    <t xml:space="preserve">ORD-14448</t>
  </si>
  <si>
    <t xml:space="preserve">ORD-14449</t>
  </si>
  <si>
    <t xml:space="preserve">ORD-14450</t>
  </si>
  <si>
    <t xml:space="preserve">ORD-14451</t>
  </si>
  <si>
    <t xml:space="preserve">ORD-14452</t>
  </si>
  <si>
    <t xml:space="preserve">ORD-14453</t>
  </si>
  <si>
    <t xml:space="preserve">ORD-14454</t>
  </si>
  <si>
    <t xml:space="preserve">ORD-14455</t>
  </si>
  <si>
    <t xml:space="preserve">ORD-14456</t>
  </si>
  <si>
    <t xml:space="preserve">ORD-14457</t>
  </si>
  <si>
    <t xml:space="preserve">ORD-14458</t>
  </si>
  <si>
    <t xml:space="preserve">ORD-14459</t>
  </si>
  <si>
    <t xml:space="preserve">ORD-14460</t>
  </si>
  <si>
    <t xml:space="preserve">ORD-14461</t>
  </si>
  <si>
    <t xml:space="preserve">ORD-14462</t>
  </si>
  <si>
    <t xml:space="preserve">ORD-14463</t>
  </si>
  <si>
    <t xml:space="preserve">ORD-14464</t>
  </si>
  <si>
    <t xml:space="preserve">ORD-14465</t>
  </si>
  <si>
    <t xml:space="preserve">ORD-14466</t>
  </si>
  <si>
    <t xml:space="preserve">ORD-14467</t>
  </si>
  <si>
    <t xml:space="preserve">ORD-14468</t>
  </si>
  <si>
    <t xml:space="preserve">ORD-14469</t>
  </si>
  <si>
    <t xml:space="preserve">ORD-14470</t>
  </si>
  <si>
    <t xml:space="preserve">ORD-14471</t>
  </si>
  <si>
    <t xml:space="preserve">ORD-14472</t>
  </si>
  <si>
    <t xml:space="preserve">ORD-14473</t>
  </si>
  <si>
    <t xml:space="preserve">ORD-14474</t>
  </si>
  <si>
    <t xml:space="preserve">ORD-14475</t>
  </si>
  <si>
    <t xml:space="preserve">ORD-14476</t>
  </si>
  <si>
    <t xml:space="preserve">ORD-14477</t>
  </si>
  <si>
    <t xml:space="preserve">ORD-14478</t>
  </si>
  <si>
    <t xml:space="preserve">ORD-14479</t>
  </si>
  <si>
    <t xml:space="preserve">ORD-14480</t>
  </si>
  <si>
    <t xml:space="preserve">ORD-14481</t>
  </si>
  <si>
    <t xml:space="preserve">ORD-14482</t>
  </si>
  <si>
    <t xml:space="preserve">ORD-14483</t>
  </si>
  <si>
    <t xml:space="preserve">ORD-14484</t>
  </si>
  <si>
    <t xml:space="preserve">ORD-14485</t>
  </si>
  <si>
    <t xml:space="preserve">ORD-14486</t>
  </si>
  <si>
    <t xml:space="preserve">ORD-14487</t>
  </si>
  <si>
    <t xml:space="preserve">ORD-14488</t>
  </si>
  <si>
    <t xml:space="preserve">ORD-14489</t>
  </si>
  <si>
    <t xml:space="preserve">ORD-14490</t>
  </si>
  <si>
    <t xml:space="preserve">ORD-14491</t>
  </si>
  <si>
    <t xml:space="preserve">ORD-14492</t>
  </si>
  <si>
    <t xml:space="preserve">ORD-14493</t>
  </si>
  <si>
    <t xml:space="preserve">ORD-14494</t>
  </si>
  <si>
    <t xml:space="preserve">ORD-14495</t>
  </si>
  <si>
    <t xml:space="preserve">ORD-14496</t>
  </si>
  <si>
    <t xml:space="preserve">ORD-14497</t>
  </si>
  <si>
    <t xml:space="preserve">ORD-14498</t>
  </si>
  <si>
    <t xml:space="preserve">ORD-14499</t>
  </si>
  <si>
    <t xml:space="preserve">ORD-14500</t>
  </si>
  <si>
    <t xml:space="preserve">ORD-14501</t>
  </si>
  <si>
    <t xml:space="preserve">ORD-14502</t>
  </si>
  <si>
    <t xml:space="preserve">ORD-14503</t>
  </si>
  <si>
    <t xml:space="preserve">ORD-14504</t>
  </si>
  <si>
    <t xml:space="preserve">ORD-14505</t>
  </si>
  <si>
    <t xml:space="preserve">ORD-14506</t>
  </si>
  <si>
    <t xml:space="preserve">ORD-14507</t>
  </si>
  <si>
    <t xml:space="preserve">ORD-14508</t>
  </si>
  <si>
    <t xml:space="preserve">ORD-14509</t>
  </si>
  <si>
    <t xml:space="preserve">ORD-14510</t>
  </si>
  <si>
    <t xml:space="preserve">ORD-14511</t>
  </si>
  <si>
    <t xml:space="preserve">ORD-14512</t>
  </si>
  <si>
    <t xml:space="preserve">ORD-14513</t>
  </si>
  <si>
    <t xml:space="preserve">ORD-14514</t>
  </si>
  <si>
    <t xml:space="preserve">ORD-14515</t>
  </si>
  <si>
    <t xml:space="preserve">ORD-14516</t>
  </si>
  <si>
    <t xml:space="preserve">ORD-14517</t>
  </si>
  <si>
    <t xml:space="preserve">ORD-14518</t>
  </si>
  <si>
    <t xml:space="preserve">ORD-14519</t>
  </si>
  <si>
    <t xml:space="preserve">2025-01-11</t>
  </si>
  <si>
    <t xml:space="preserve">ORD-14520</t>
  </si>
  <si>
    <t xml:space="preserve">ORD-14521</t>
  </si>
  <si>
    <t xml:space="preserve">ORD-14522</t>
  </si>
  <si>
    <t xml:space="preserve">ORD-14523</t>
  </si>
  <si>
    <t xml:space="preserve">ORD-14524</t>
  </si>
  <si>
    <t xml:space="preserve">ORD-14525</t>
  </si>
  <si>
    <t xml:space="preserve">ORD-14526</t>
  </si>
  <si>
    <t xml:space="preserve">ORD-14527</t>
  </si>
  <si>
    <t xml:space="preserve">ORD-14528</t>
  </si>
  <si>
    <t xml:space="preserve">ORD-14529</t>
  </si>
  <si>
    <t xml:space="preserve">ORD-14530</t>
  </si>
  <si>
    <t xml:space="preserve">ORD-14531</t>
  </si>
  <si>
    <t xml:space="preserve">ORD-14532</t>
  </si>
  <si>
    <t xml:space="preserve">ORD-14533</t>
  </si>
  <si>
    <t xml:space="preserve">ORD-14534</t>
  </si>
  <si>
    <t xml:space="preserve">ORD-14535</t>
  </si>
  <si>
    <t xml:space="preserve">ORD-14536</t>
  </si>
  <si>
    <t xml:space="preserve">ORD-14537</t>
  </si>
  <si>
    <t xml:space="preserve">ORD-14538</t>
  </si>
  <si>
    <t xml:space="preserve">ORD-14539</t>
  </si>
  <si>
    <t xml:space="preserve">ORD-14540</t>
  </si>
  <si>
    <t xml:space="preserve">ORD-14541</t>
  </si>
  <si>
    <t xml:space="preserve">ORD-14542</t>
  </si>
  <si>
    <t xml:space="preserve">ORD-14543</t>
  </si>
  <si>
    <t xml:space="preserve">ORD-14544</t>
  </si>
  <si>
    <t xml:space="preserve">ORD-14545</t>
  </si>
  <si>
    <t xml:space="preserve">ORD-14546</t>
  </si>
  <si>
    <t xml:space="preserve">ORD-14547</t>
  </si>
  <si>
    <t xml:space="preserve">ORD-14548</t>
  </si>
  <si>
    <t xml:space="preserve">ORD-14549</t>
  </si>
  <si>
    <t xml:space="preserve">ORD-14550</t>
  </si>
  <si>
    <t xml:space="preserve">ORD-14551</t>
  </si>
  <si>
    <t xml:space="preserve">ORD-14552</t>
  </si>
  <si>
    <t xml:space="preserve">ORD-14553</t>
  </si>
  <si>
    <t xml:space="preserve">ORD-14554</t>
  </si>
  <si>
    <t xml:space="preserve">ORD-14555</t>
  </si>
  <si>
    <t xml:space="preserve">ORD-14556</t>
  </si>
  <si>
    <t xml:space="preserve">ORD-14557</t>
  </si>
  <si>
    <t xml:space="preserve">ORD-14558</t>
  </si>
  <si>
    <t xml:space="preserve">ORD-14559</t>
  </si>
  <si>
    <t xml:space="preserve">ORD-14560</t>
  </si>
  <si>
    <t xml:space="preserve">ORD-14561</t>
  </si>
  <si>
    <t xml:space="preserve">ORD-14562</t>
  </si>
  <si>
    <t xml:space="preserve">ORD-14563</t>
  </si>
  <si>
    <t xml:space="preserve">ORD-14564</t>
  </si>
  <si>
    <t xml:space="preserve">ORD-14565</t>
  </si>
  <si>
    <t xml:space="preserve">ORD-14566</t>
  </si>
  <si>
    <t xml:space="preserve">ORD-14567</t>
  </si>
  <si>
    <t xml:space="preserve">ORD-14568</t>
  </si>
  <si>
    <t xml:space="preserve">ORD-14569</t>
  </si>
  <si>
    <t xml:space="preserve">ORD-14570</t>
  </si>
  <si>
    <t xml:space="preserve">ORD-14571</t>
  </si>
  <si>
    <t xml:space="preserve">ORD-14572</t>
  </si>
  <si>
    <t xml:space="preserve">ORD-14573</t>
  </si>
  <si>
    <t xml:space="preserve">ORD-14574</t>
  </si>
  <si>
    <t xml:space="preserve">ORD-14575</t>
  </si>
  <si>
    <t xml:space="preserve">ORD-14576</t>
  </si>
  <si>
    <t xml:space="preserve">2024-08-01</t>
  </si>
  <si>
    <t xml:space="preserve">ORD-14577</t>
  </si>
  <si>
    <t xml:space="preserve">ORD-14578</t>
  </si>
  <si>
    <t xml:space="preserve">ORD-14579</t>
  </si>
  <si>
    <t xml:space="preserve">ORD-14580</t>
  </si>
  <si>
    <t xml:space="preserve">ORD-14581</t>
  </si>
  <si>
    <t xml:space="preserve">ORD-14582</t>
  </si>
  <si>
    <t xml:space="preserve">ORD-14583</t>
  </si>
  <si>
    <t xml:space="preserve">ORD-14584</t>
  </si>
  <si>
    <t xml:space="preserve">ORD-14585</t>
  </si>
  <si>
    <t xml:space="preserve">ORD-14586</t>
  </si>
  <si>
    <t xml:space="preserve">ORD-14587</t>
  </si>
  <si>
    <t xml:space="preserve">ORD-14588</t>
  </si>
  <si>
    <t xml:space="preserve">ORD-14589</t>
  </si>
  <si>
    <t xml:space="preserve">ORD-14590</t>
  </si>
  <si>
    <t xml:space="preserve">ORD-14591</t>
  </si>
  <si>
    <t xml:space="preserve">ORD-14592</t>
  </si>
  <si>
    <t xml:space="preserve">ORD-14593</t>
  </si>
  <si>
    <t xml:space="preserve">ORD-14594</t>
  </si>
  <si>
    <t xml:space="preserve">ORD-14595</t>
  </si>
  <si>
    <t xml:space="preserve">ORD-14596</t>
  </si>
  <si>
    <t xml:space="preserve">ORD-14597</t>
  </si>
  <si>
    <t xml:space="preserve">ORD-14598</t>
  </si>
  <si>
    <t xml:space="preserve">ORD-14599</t>
  </si>
  <si>
    <t xml:space="preserve">ORD-14600</t>
  </si>
  <si>
    <t xml:space="preserve">ORD-14601</t>
  </si>
  <si>
    <t xml:space="preserve">ORD-14602</t>
  </si>
  <si>
    <t xml:space="preserve">ORD-14603</t>
  </si>
  <si>
    <t xml:space="preserve">ORD-14604</t>
  </si>
  <si>
    <t xml:space="preserve">ORD-14605</t>
  </si>
  <si>
    <t xml:space="preserve">ORD-14606</t>
  </si>
  <si>
    <t xml:space="preserve">ORD-14607</t>
  </si>
  <si>
    <t xml:space="preserve">ORD-14608</t>
  </si>
  <si>
    <t xml:space="preserve">ORD-14609</t>
  </si>
  <si>
    <t xml:space="preserve">ORD-14610</t>
  </si>
  <si>
    <t xml:space="preserve">ORD-14611</t>
  </si>
  <si>
    <t xml:space="preserve">ORD-14612</t>
  </si>
  <si>
    <t xml:space="preserve">ORD-14613</t>
  </si>
  <si>
    <t xml:space="preserve">ORD-14614</t>
  </si>
  <si>
    <t xml:space="preserve">ORD-14615</t>
  </si>
  <si>
    <t xml:space="preserve">ORD-14616</t>
  </si>
  <si>
    <t xml:space="preserve">ORD-14617</t>
  </si>
  <si>
    <t xml:space="preserve">ORD-14618</t>
  </si>
  <si>
    <t xml:space="preserve">ORD-14619</t>
  </si>
  <si>
    <t xml:space="preserve">ORD-14620</t>
  </si>
  <si>
    <t xml:space="preserve">ORD-14621</t>
  </si>
  <si>
    <t xml:space="preserve">ORD-14622</t>
  </si>
  <si>
    <t xml:space="preserve">ORD-14623</t>
  </si>
  <si>
    <t xml:space="preserve">ORD-14624</t>
  </si>
  <si>
    <t xml:space="preserve">ORD-14625</t>
  </si>
  <si>
    <t xml:space="preserve">ORD-14626</t>
  </si>
  <si>
    <t xml:space="preserve">ORD-14627</t>
  </si>
  <si>
    <t xml:space="preserve">ORD-14628</t>
  </si>
  <si>
    <t xml:space="preserve">ORD-14629</t>
  </si>
  <si>
    <t xml:space="preserve">ORD-14630</t>
  </si>
  <si>
    <t xml:space="preserve">ORD-14631</t>
  </si>
  <si>
    <t xml:space="preserve">ORD-14632</t>
  </si>
  <si>
    <t xml:space="preserve">ORD-14633</t>
  </si>
  <si>
    <t xml:space="preserve">ORD-14634</t>
  </si>
  <si>
    <t xml:space="preserve">ORD-14635</t>
  </si>
  <si>
    <t xml:space="preserve">ORD-14636</t>
  </si>
  <si>
    <t xml:space="preserve">ORD-14637</t>
  </si>
  <si>
    <t xml:space="preserve">ORD-14638</t>
  </si>
  <si>
    <t xml:space="preserve">ORD-14639</t>
  </si>
  <si>
    <t xml:space="preserve">ORD-14640</t>
  </si>
  <si>
    <t xml:space="preserve">ORD-14641</t>
  </si>
  <si>
    <t xml:space="preserve">ORD-14642</t>
  </si>
  <si>
    <t xml:space="preserve">ORD-14643</t>
  </si>
  <si>
    <t xml:space="preserve">ORD-14644</t>
  </si>
  <si>
    <t xml:space="preserve">ORD-14645</t>
  </si>
  <si>
    <t xml:space="preserve">ORD-14646</t>
  </si>
  <si>
    <t xml:space="preserve">ORD-14647</t>
  </si>
  <si>
    <t xml:space="preserve">ORD-14648</t>
  </si>
  <si>
    <t xml:space="preserve">ORD-14649</t>
  </si>
  <si>
    <t xml:space="preserve">ORD-14650</t>
  </si>
  <si>
    <t xml:space="preserve">ORD-14651</t>
  </si>
  <si>
    <t xml:space="preserve">ORD-14652</t>
  </si>
  <si>
    <t xml:space="preserve">ORD-14653</t>
  </si>
  <si>
    <t xml:space="preserve">ORD-14654</t>
  </si>
  <si>
    <t xml:space="preserve">ORD-14655</t>
  </si>
  <si>
    <t xml:space="preserve">ORD-14656</t>
  </si>
  <si>
    <t xml:space="preserve">ORD-14657</t>
  </si>
  <si>
    <t xml:space="preserve">ORD-14658</t>
  </si>
  <si>
    <t xml:space="preserve">ORD-14659</t>
  </si>
  <si>
    <t xml:space="preserve">ORD-14660</t>
  </si>
  <si>
    <t xml:space="preserve">ORD-14661</t>
  </si>
  <si>
    <t xml:space="preserve">ORD-14662</t>
  </si>
  <si>
    <t xml:space="preserve">ORD-14663</t>
  </si>
  <si>
    <t xml:space="preserve">ORD-14664</t>
  </si>
  <si>
    <t xml:space="preserve">ORD-14665</t>
  </si>
  <si>
    <t xml:space="preserve">2023-05-27</t>
  </si>
  <si>
    <t xml:space="preserve">ORD-14666</t>
  </si>
  <si>
    <t xml:space="preserve">ORD-14667</t>
  </si>
  <si>
    <t xml:space="preserve">ORD-14668</t>
  </si>
  <si>
    <t xml:space="preserve">ORD-14669</t>
  </si>
  <si>
    <t xml:space="preserve">ORD-14670</t>
  </si>
  <si>
    <t xml:space="preserve">ORD-14671</t>
  </si>
  <si>
    <t xml:space="preserve">ORD-14672</t>
  </si>
  <si>
    <t xml:space="preserve">ORD-14673</t>
  </si>
  <si>
    <t xml:space="preserve">ORD-14674</t>
  </si>
  <si>
    <t xml:space="preserve">ORD-14675</t>
  </si>
  <si>
    <t xml:space="preserve">ORD-14676</t>
  </si>
  <si>
    <t xml:space="preserve">ORD-14677</t>
  </si>
  <si>
    <t xml:space="preserve">ORD-14678</t>
  </si>
  <si>
    <t xml:space="preserve">ORD-14679</t>
  </si>
  <si>
    <t xml:space="preserve">ORD-14680</t>
  </si>
  <si>
    <t xml:space="preserve">ORD-14681</t>
  </si>
  <si>
    <t xml:space="preserve">ORD-14682</t>
  </si>
  <si>
    <t xml:space="preserve">ORD-14683</t>
  </si>
  <si>
    <t xml:space="preserve">ORD-14684</t>
  </si>
  <si>
    <t xml:space="preserve">ORD-14685</t>
  </si>
  <si>
    <t xml:space="preserve">ORD-14686</t>
  </si>
  <si>
    <t xml:space="preserve">ORD-14687</t>
  </si>
  <si>
    <t xml:space="preserve">ORD-14688</t>
  </si>
  <si>
    <t xml:space="preserve">ORD-14689</t>
  </si>
  <si>
    <t xml:space="preserve">ORD-14690</t>
  </si>
  <si>
    <t xml:space="preserve">ORD-14691</t>
  </si>
  <si>
    <t xml:space="preserve">ORD-14692</t>
  </si>
  <si>
    <t xml:space="preserve">ORD-14693</t>
  </si>
  <si>
    <t xml:space="preserve">ORD-14694</t>
  </si>
  <si>
    <t xml:space="preserve">ORD-14695</t>
  </si>
  <si>
    <t xml:space="preserve">ORD-14696</t>
  </si>
  <si>
    <t xml:space="preserve">ORD-14697</t>
  </si>
  <si>
    <t xml:space="preserve">ORD-14698</t>
  </si>
  <si>
    <t xml:space="preserve">ORD-14699</t>
  </si>
  <si>
    <t xml:space="preserve">ORD-14700</t>
  </si>
  <si>
    <t xml:space="preserve">ORD-14701</t>
  </si>
  <si>
    <t xml:space="preserve">ORD-14702</t>
  </si>
  <si>
    <t xml:space="preserve">ORD-14703</t>
  </si>
  <si>
    <t xml:space="preserve">ORD-14704</t>
  </si>
  <si>
    <t xml:space="preserve">ORD-14705</t>
  </si>
  <si>
    <t xml:space="preserve">ORD-14706</t>
  </si>
  <si>
    <t xml:space="preserve">ORD-14707</t>
  </si>
  <si>
    <t xml:space="preserve">ORD-14708</t>
  </si>
  <si>
    <t xml:space="preserve">ORD-14709</t>
  </si>
  <si>
    <t xml:space="preserve">ORD-14710</t>
  </si>
  <si>
    <t xml:space="preserve">ORD-14711</t>
  </si>
  <si>
    <t xml:space="preserve">ORD-14712</t>
  </si>
  <si>
    <t xml:space="preserve">ORD-14713</t>
  </si>
  <si>
    <t xml:space="preserve">ORD-14714</t>
  </si>
  <si>
    <t xml:space="preserve">ORD-14715</t>
  </si>
  <si>
    <t xml:space="preserve">ORD-14716</t>
  </si>
  <si>
    <t xml:space="preserve">ORD-14717</t>
  </si>
  <si>
    <t xml:space="preserve">ORD-14718</t>
  </si>
  <si>
    <t xml:space="preserve">ORD-14719</t>
  </si>
  <si>
    <t xml:space="preserve">ORD-14720</t>
  </si>
  <si>
    <t xml:space="preserve">ORD-14721</t>
  </si>
  <si>
    <t xml:space="preserve">ORD-14722</t>
  </si>
  <si>
    <t xml:space="preserve">ORD-14723</t>
  </si>
  <si>
    <t xml:space="preserve">ORD-14724</t>
  </si>
  <si>
    <t xml:space="preserve">ORD-14725</t>
  </si>
  <si>
    <t xml:space="preserve">ORD-14726</t>
  </si>
  <si>
    <t xml:space="preserve">ORD-14727</t>
  </si>
  <si>
    <t xml:space="preserve">ORD-14728</t>
  </si>
  <si>
    <t xml:space="preserve">ORD-14729</t>
  </si>
  <si>
    <t xml:space="preserve">ORD-14730</t>
  </si>
  <si>
    <t xml:space="preserve">ORD-14731</t>
  </si>
  <si>
    <t xml:space="preserve">ORD-14732</t>
  </si>
  <si>
    <t xml:space="preserve">ORD-14733</t>
  </si>
  <si>
    <t xml:space="preserve">ORD-14734</t>
  </si>
  <si>
    <t xml:space="preserve">ORD-14735</t>
  </si>
  <si>
    <t xml:space="preserve">ORD-14736</t>
  </si>
  <si>
    <t xml:space="preserve">ORD-14737</t>
  </si>
  <si>
    <t xml:space="preserve">ORD-14738</t>
  </si>
  <si>
    <t xml:space="preserve">ORD-14739</t>
  </si>
  <si>
    <t xml:space="preserve">ORD-14740</t>
  </si>
  <si>
    <t xml:space="preserve">ORD-14741</t>
  </si>
  <si>
    <t xml:space="preserve">ORD-14742</t>
  </si>
  <si>
    <t xml:space="preserve">ORD-14743</t>
  </si>
  <si>
    <t xml:space="preserve">ORD-14744</t>
  </si>
  <si>
    <t xml:space="preserve">ORD-14745</t>
  </si>
  <si>
    <t xml:space="preserve">ORD-14746</t>
  </si>
  <si>
    <t xml:space="preserve">ORD-14747</t>
  </si>
  <si>
    <t xml:space="preserve">ORD-14748</t>
  </si>
  <si>
    <t xml:space="preserve">ORD-14749</t>
  </si>
  <si>
    <t xml:space="preserve">ORD-14750</t>
  </si>
  <si>
    <t xml:space="preserve">ORD-14751</t>
  </si>
  <si>
    <t xml:space="preserve">ORD-14752</t>
  </si>
  <si>
    <t xml:space="preserve">ORD-14753</t>
  </si>
  <si>
    <t xml:space="preserve">ORD-14754</t>
  </si>
  <si>
    <t xml:space="preserve">ORD-14755</t>
  </si>
  <si>
    <t xml:space="preserve">ORD-14756</t>
  </si>
  <si>
    <t xml:space="preserve">ORD-14757</t>
  </si>
  <si>
    <t xml:space="preserve">ORD-14758</t>
  </si>
  <si>
    <t xml:space="preserve">ORD-14759</t>
  </si>
  <si>
    <t xml:space="preserve">ORD-14760</t>
  </si>
  <si>
    <t xml:space="preserve">ORD-14761</t>
  </si>
  <si>
    <t xml:space="preserve">ORD-14762</t>
  </si>
  <si>
    <t xml:space="preserve">ORD-14763</t>
  </si>
  <si>
    <t xml:space="preserve">ORD-14764</t>
  </si>
  <si>
    <t xml:space="preserve">ORD-14765</t>
  </si>
  <si>
    <t xml:space="preserve">ORD-14766</t>
  </si>
  <si>
    <t xml:space="preserve">ORD-14767</t>
  </si>
  <si>
    <t xml:space="preserve">ORD-14768</t>
  </si>
  <si>
    <t xml:space="preserve">ORD-14769</t>
  </si>
  <si>
    <t xml:space="preserve">ORD-14770</t>
  </si>
  <si>
    <t xml:space="preserve">ORD-14771</t>
  </si>
  <si>
    <t xml:space="preserve">ORD-14772</t>
  </si>
  <si>
    <t xml:space="preserve">ORD-14773</t>
  </si>
  <si>
    <t xml:space="preserve">ORD-14774</t>
  </si>
  <si>
    <t xml:space="preserve">ORD-14775</t>
  </si>
  <si>
    <t xml:space="preserve">ORD-14776</t>
  </si>
  <si>
    <t xml:space="preserve">ORD-14777</t>
  </si>
  <si>
    <t xml:space="preserve">ORD-14778</t>
  </si>
  <si>
    <t xml:space="preserve">ORD-14779</t>
  </si>
  <si>
    <t xml:space="preserve">ORD-14780</t>
  </si>
  <si>
    <t xml:space="preserve">ORD-14781</t>
  </si>
  <si>
    <t xml:space="preserve">ORD-14782</t>
  </si>
  <si>
    <t xml:space="preserve">ORD-14783</t>
  </si>
  <si>
    <t xml:space="preserve">ORD-14784</t>
  </si>
  <si>
    <t xml:space="preserve">ORD-14785</t>
  </si>
  <si>
    <t xml:space="preserve">ORD-14786</t>
  </si>
  <si>
    <t xml:space="preserve">ORD-14787</t>
  </si>
  <si>
    <t xml:space="preserve">ORD-14788</t>
  </si>
  <si>
    <t xml:space="preserve">ORD-14789</t>
  </si>
  <si>
    <t xml:space="preserve">ORD-14790</t>
  </si>
  <si>
    <t xml:space="preserve">ORD-14791</t>
  </si>
  <si>
    <t xml:space="preserve">ORD-14792</t>
  </si>
  <si>
    <t xml:space="preserve">ORD-14793</t>
  </si>
  <si>
    <t xml:space="preserve">ORD-14794</t>
  </si>
  <si>
    <t xml:space="preserve">ORD-14795</t>
  </si>
  <si>
    <t xml:space="preserve">ORD-14796</t>
  </si>
  <si>
    <t xml:space="preserve">ORD-14797</t>
  </si>
  <si>
    <t xml:space="preserve">ORD-14798</t>
  </si>
  <si>
    <t xml:space="preserve">ORD-14799</t>
  </si>
  <si>
    <t xml:space="preserve">deal_id</t>
  </si>
  <si>
    <t xml:space="preserve">created_date</t>
  </si>
  <si>
    <t xml:space="preserve">expected_close_date</t>
  </si>
  <si>
    <t xml:space="preserve">deal_stage</t>
  </si>
  <si>
    <t xml:space="preserve">deal_size_list</t>
  </si>
  <si>
    <t xml:space="preserve">net_deal_value</t>
  </si>
  <si>
    <t xml:space="preserve">gross_margin</t>
  </si>
  <si>
    <t xml:space="preserve">gm_pct</t>
  </si>
  <si>
    <t xml:space="preserve">win_probability</t>
  </si>
  <si>
    <t xml:space="preserve">weighted_pipeline_value</t>
  </si>
  <si>
    <t xml:space="preserve">sales_cycle_days</t>
  </si>
  <si>
    <t xml:space="preserve">strategic_score</t>
  </si>
  <si>
    <t xml:space="preserve">risk_score</t>
  </si>
  <si>
    <t xml:space="preserve">loss_reason</t>
  </si>
  <si>
    <t xml:space="preserve">composite_score</t>
  </si>
  <si>
    <t xml:space="preserve">recommendation</t>
  </si>
  <si>
    <t xml:space="preserve">DEAL-5000</t>
  </si>
  <si>
    <t xml:space="preserve">Qualified</t>
  </si>
  <si>
    <t xml:space="preserve">Escalate</t>
  </si>
  <si>
    <t xml:space="preserve">DEAL-5001</t>
  </si>
  <si>
    <t xml:space="preserve">Negotiation</t>
  </si>
  <si>
    <t xml:space="preserve">DEAL-5002</t>
  </si>
  <si>
    <t xml:space="preserve">2026-04-19</t>
  </si>
  <si>
    <t xml:space="preserve">DEAL-5003</t>
  </si>
  <si>
    <t xml:space="preserve">Closed Won</t>
  </si>
  <si>
    <t xml:space="preserve">Approve</t>
  </si>
  <si>
    <t xml:space="preserve">DEAL-5004</t>
  </si>
  <si>
    <t xml:space="preserve">Proposal</t>
  </si>
  <si>
    <t xml:space="preserve">Reject</t>
  </si>
  <si>
    <t xml:space="preserve">DEAL-5005</t>
  </si>
  <si>
    <t xml:space="preserve">DEAL-5006</t>
  </si>
  <si>
    <t xml:space="preserve">Prospect</t>
  </si>
  <si>
    <t xml:space="preserve">DEAL-5007</t>
  </si>
  <si>
    <t xml:space="preserve">DEAL-5008</t>
  </si>
  <si>
    <t xml:space="preserve">DEAL-5009</t>
  </si>
  <si>
    <t xml:space="preserve">DEAL-5010</t>
  </si>
  <si>
    <t xml:space="preserve">DEAL-5011</t>
  </si>
  <si>
    <t xml:space="preserve">Closed Lost</t>
  </si>
  <si>
    <t xml:space="preserve">Budget cut</t>
  </si>
  <si>
    <t xml:space="preserve">DEAL-5012</t>
  </si>
  <si>
    <t xml:space="preserve">DEAL-5013</t>
  </si>
  <si>
    <t xml:space="preserve">DEAL-5014</t>
  </si>
  <si>
    <t xml:space="preserve">DEAL-5015</t>
  </si>
  <si>
    <t xml:space="preserve">DEAL-5016</t>
  </si>
  <si>
    <t xml:space="preserve">DEAL-5017</t>
  </si>
  <si>
    <t xml:space="preserve">DEAL-5018</t>
  </si>
  <si>
    <t xml:space="preserve">2026-01-26</t>
  </si>
  <si>
    <t xml:space="preserve">DEAL-5019</t>
  </si>
  <si>
    <t xml:space="preserve">No decision</t>
  </si>
  <si>
    <t xml:space="preserve">DEAL-5020</t>
  </si>
  <si>
    <t xml:space="preserve">DEAL-5021</t>
  </si>
  <si>
    <t xml:space="preserve">DEAL-5022</t>
  </si>
  <si>
    <t xml:space="preserve">DEAL-5023</t>
  </si>
  <si>
    <t xml:space="preserve">Technical fit</t>
  </si>
  <si>
    <t xml:space="preserve">DEAL-5024</t>
  </si>
  <si>
    <t xml:space="preserve">DEAL-5025</t>
  </si>
  <si>
    <t xml:space="preserve">DEAL-5026</t>
  </si>
  <si>
    <t xml:space="preserve">DEAL-5027</t>
  </si>
  <si>
    <t xml:space="preserve">DEAL-5028</t>
  </si>
  <si>
    <t xml:space="preserve">2026-02-05</t>
  </si>
  <si>
    <t xml:space="preserve">DEAL-5029</t>
  </si>
  <si>
    <t xml:space="preserve">2026-02-11</t>
  </si>
  <si>
    <t xml:space="preserve">DEAL-5030</t>
  </si>
  <si>
    <t xml:space="preserve">2025-09-10</t>
  </si>
  <si>
    <t xml:space="preserve">2026-01-22</t>
  </si>
  <si>
    <t xml:space="preserve">DEAL-5031</t>
  </si>
  <si>
    <t xml:space="preserve">DEAL-5032</t>
  </si>
  <si>
    <t xml:space="preserve">DEAL-5033</t>
  </si>
  <si>
    <t xml:space="preserve">DEAL-5034</t>
  </si>
  <si>
    <t xml:space="preserve">Price</t>
  </si>
  <si>
    <t xml:space="preserve">DEAL-5035</t>
  </si>
  <si>
    <t xml:space="preserve">DEAL-5036</t>
  </si>
  <si>
    <t xml:space="preserve">DEAL-5037</t>
  </si>
  <si>
    <t xml:space="preserve">DEAL-5038</t>
  </si>
  <si>
    <t xml:space="preserve">2026-01-01</t>
  </si>
  <si>
    <t xml:space="preserve">DEAL-5039</t>
  </si>
  <si>
    <t xml:space="preserve">DEAL-5040</t>
  </si>
  <si>
    <t xml:space="preserve">2025-01-06</t>
  </si>
  <si>
    <t xml:space="preserve">DEAL-5041</t>
  </si>
  <si>
    <t xml:space="preserve">DEAL-5042</t>
  </si>
  <si>
    <t xml:space="preserve">DEAL-5043</t>
  </si>
  <si>
    <t xml:space="preserve">2026-01-23</t>
  </si>
  <si>
    <t xml:space="preserve">DEAL-5044</t>
  </si>
  <si>
    <t xml:space="preserve">DEAL-5045</t>
  </si>
  <si>
    <t xml:space="preserve">DEAL-5046</t>
  </si>
  <si>
    <t xml:space="preserve">2024-11-26</t>
  </si>
  <si>
    <t xml:space="preserve">DEAL-5047</t>
  </si>
  <si>
    <t xml:space="preserve">DEAL-5048</t>
  </si>
  <si>
    <t xml:space="preserve">DEAL-5049</t>
  </si>
  <si>
    <t xml:space="preserve">DEAL-5050</t>
  </si>
  <si>
    <t xml:space="preserve">DEAL-5051</t>
  </si>
  <si>
    <t xml:space="preserve">DEAL-5052</t>
  </si>
  <si>
    <t xml:space="preserve">DEAL-5053</t>
  </si>
  <si>
    <t xml:space="preserve">DEAL-5054</t>
  </si>
  <si>
    <t xml:space="preserve">DEAL-5055</t>
  </si>
  <si>
    <t xml:space="preserve">2024-11-04</t>
  </si>
  <si>
    <t xml:space="preserve">DEAL-5056</t>
  </si>
  <si>
    <t xml:space="preserve">DEAL-5057</t>
  </si>
  <si>
    <t xml:space="preserve">DEAL-5058</t>
  </si>
  <si>
    <t xml:space="preserve">DEAL-5059</t>
  </si>
  <si>
    <t xml:space="preserve">DEAL-5060</t>
  </si>
  <si>
    <t xml:space="preserve">2026-04-11</t>
  </si>
  <si>
    <t xml:space="preserve">DEAL-5061</t>
  </si>
  <si>
    <t xml:space="preserve">DEAL-5062</t>
  </si>
  <si>
    <t xml:space="preserve">DEAL-5063</t>
  </si>
  <si>
    <t xml:space="preserve">2026-04-07</t>
  </si>
  <si>
    <t xml:space="preserve">DEAL-5064</t>
  </si>
  <si>
    <t xml:space="preserve">DEAL-5065</t>
  </si>
  <si>
    <t xml:space="preserve">DEAL-5066</t>
  </si>
  <si>
    <t xml:space="preserve">DEAL-5067</t>
  </si>
  <si>
    <t xml:space="preserve">DEAL-5068</t>
  </si>
  <si>
    <t xml:space="preserve">DEAL-5069</t>
  </si>
  <si>
    <t xml:space="preserve">DEAL-5070</t>
  </si>
  <si>
    <t xml:space="preserve">DEAL-5071</t>
  </si>
  <si>
    <t xml:space="preserve">DEAL-5072</t>
  </si>
  <si>
    <t xml:space="preserve">DEAL-5073</t>
  </si>
  <si>
    <t xml:space="preserve">DEAL-5074</t>
  </si>
  <si>
    <t xml:space="preserve">DEAL-5075</t>
  </si>
  <si>
    <t xml:space="preserve">DEAL-5076</t>
  </si>
  <si>
    <t xml:space="preserve">DEAL-5077</t>
  </si>
  <si>
    <t xml:space="preserve">DEAL-5078</t>
  </si>
  <si>
    <t xml:space="preserve">2026-01-21</t>
  </si>
  <si>
    <t xml:space="preserve">DEAL-5079</t>
  </si>
  <si>
    <t xml:space="preserve">DEAL-5080</t>
  </si>
  <si>
    <t xml:space="preserve">DEAL-5081</t>
  </si>
  <si>
    <t xml:space="preserve">DEAL-5082</t>
  </si>
  <si>
    <t xml:space="preserve">DEAL-5083</t>
  </si>
  <si>
    <t xml:space="preserve">DEAL-5084</t>
  </si>
  <si>
    <t xml:space="preserve">DEAL-5085</t>
  </si>
  <si>
    <t xml:space="preserve">2026-04-02</t>
  </si>
  <si>
    <t xml:space="preserve">DEAL-5086</t>
  </si>
  <si>
    <t xml:space="preserve">DEAL-5087</t>
  </si>
  <si>
    <t xml:space="preserve">DEAL-5088</t>
  </si>
  <si>
    <t xml:space="preserve">2026-04-14</t>
  </si>
  <si>
    <t xml:space="preserve">DEAL-5089</t>
  </si>
  <si>
    <t xml:space="preserve">DEAL-5090</t>
  </si>
  <si>
    <t xml:space="preserve">2026-01-09</t>
  </si>
  <si>
    <t xml:space="preserve">DEAL-5091</t>
  </si>
  <si>
    <t xml:space="preserve">DEAL-5092</t>
  </si>
  <si>
    <t xml:space="preserve">DEAL-5093</t>
  </si>
  <si>
    <t xml:space="preserve">DEAL-5094</t>
  </si>
  <si>
    <t xml:space="preserve">DEAL-5095</t>
  </si>
  <si>
    <t xml:space="preserve">DEAL-5096</t>
  </si>
  <si>
    <t xml:space="preserve">DEAL-5097</t>
  </si>
  <si>
    <t xml:space="preserve">Competition</t>
  </si>
  <si>
    <t xml:space="preserve">DEAL-5098</t>
  </si>
  <si>
    <t xml:space="preserve">DEAL-5099</t>
  </si>
  <si>
    <t xml:space="preserve">DEAL-5100</t>
  </si>
  <si>
    <t xml:space="preserve">DEAL-5101</t>
  </si>
  <si>
    <t xml:space="preserve">DEAL-5102</t>
  </si>
  <si>
    <t xml:space="preserve">DEAL-5103</t>
  </si>
  <si>
    <t xml:space="preserve">DEAL-5104</t>
  </si>
  <si>
    <t xml:space="preserve">DEAL-5105</t>
  </si>
  <si>
    <t xml:space="preserve">DEAL-5106</t>
  </si>
  <si>
    <t xml:space="preserve">2025-10-14</t>
  </si>
  <si>
    <t xml:space="preserve">DEAL-5107</t>
  </si>
  <si>
    <t xml:space="preserve">DEAL-5108</t>
  </si>
  <si>
    <t xml:space="preserve">DEAL-5109</t>
  </si>
  <si>
    <t xml:space="preserve">DEAL-5110</t>
  </si>
  <si>
    <t xml:space="preserve">DEAL-5111</t>
  </si>
  <si>
    <t xml:space="preserve">DEAL-5112</t>
  </si>
  <si>
    <t xml:space="preserve">2026-03-28</t>
  </si>
  <si>
    <t xml:space="preserve">DEAL-5113</t>
  </si>
  <si>
    <t xml:space="preserve">DEAL-5114</t>
  </si>
  <si>
    <t xml:space="preserve">DEAL-5115</t>
  </si>
  <si>
    <t xml:space="preserve">DEAL-5116</t>
  </si>
  <si>
    <t xml:space="preserve">DEAL-5117</t>
  </si>
  <si>
    <t xml:space="preserve">DEAL-5118</t>
  </si>
  <si>
    <t xml:space="preserve">DEAL-5119</t>
  </si>
  <si>
    <t xml:space="preserve">2026-03-18</t>
  </si>
  <si>
    <t xml:space="preserve">DEAL-5120</t>
  </si>
  <si>
    <t xml:space="preserve">DEAL-5121</t>
  </si>
  <si>
    <t xml:space="preserve">DEAL-5122</t>
  </si>
  <si>
    <t xml:space="preserve">DEAL-5123</t>
  </si>
  <si>
    <t xml:space="preserve">DEAL-5124</t>
  </si>
  <si>
    <t xml:space="preserve">DEAL-5125</t>
  </si>
  <si>
    <t xml:space="preserve">DEAL-5126</t>
  </si>
  <si>
    <t xml:space="preserve">DEAL-5127</t>
  </si>
  <si>
    <t xml:space="preserve">DEAL-5128</t>
  </si>
  <si>
    <t xml:space="preserve">DEAL-5129</t>
  </si>
  <si>
    <t xml:space="preserve">DEAL-5130</t>
  </si>
  <si>
    <t xml:space="preserve">DEAL-5131</t>
  </si>
  <si>
    <t xml:space="preserve">DEAL-5132</t>
  </si>
  <si>
    <t xml:space="preserve">DEAL-5133</t>
  </si>
  <si>
    <t xml:space="preserve">DEAL-5134</t>
  </si>
  <si>
    <t xml:space="preserve">2026-04-18</t>
  </si>
  <si>
    <t xml:space="preserve">DEAL-5135</t>
  </si>
  <si>
    <t xml:space="preserve">DEAL-5136</t>
  </si>
  <si>
    <t xml:space="preserve">DEAL-5137</t>
  </si>
  <si>
    <t xml:space="preserve">DEAL-5138</t>
  </si>
  <si>
    <t xml:space="preserve">DEAL-5139</t>
  </si>
  <si>
    <t xml:space="preserve">2026-03-31</t>
  </si>
  <si>
    <t xml:space="preserve">DEAL-5140</t>
  </si>
  <si>
    <t xml:space="preserve">DEAL-5141</t>
  </si>
  <si>
    <t xml:space="preserve">DEAL-5142</t>
  </si>
  <si>
    <t xml:space="preserve">DEAL-5143</t>
  </si>
  <si>
    <t xml:space="preserve">DEAL-5144</t>
  </si>
  <si>
    <t xml:space="preserve">DEAL-5145</t>
  </si>
  <si>
    <t xml:space="preserve">DEAL-5146</t>
  </si>
  <si>
    <t xml:space="preserve">DEAL-5147</t>
  </si>
  <si>
    <t xml:space="preserve">2026-02-14</t>
  </si>
  <si>
    <t xml:space="preserve">DEAL-5148</t>
  </si>
  <si>
    <t xml:space="preserve">DEAL-5149</t>
  </si>
  <si>
    <t xml:space="preserve">DEAL-5150</t>
  </si>
  <si>
    <t xml:space="preserve">DEAL-5151</t>
  </si>
  <si>
    <t xml:space="preserve">DEAL-5152</t>
  </si>
  <si>
    <t xml:space="preserve">DEAL-5153</t>
  </si>
  <si>
    <t xml:space="preserve">DEAL-5154</t>
  </si>
  <si>
    <t xml:space="preserve">DEAL-5155</t>
  </si>
  <si>
    <t xml:space="preserve">DEAL-5156</t>
  </si>
  <si>
    <t xml:space="preserve">DEAL-5157</t>
  </si>
  <si>
    <t xml:space="preserve">DEAL-5158</t>
  </si>
  <si>
    <t xml:space="preserve">DEAL-5159</t>
  </si>
  <si>
    <t xml:space="preserve">DEAL-5160</t>
  </si>
  <si>
    <t xml:space="preserve">DEAL-5161</t>
  </si>
  <si>
    <t xml:space="preserve">DEAL-5162</t>
  </si>
  <si>
    <t xml:space="preserve">2026-02-02</t>
  </si>
  <si>
    <t xml:space="preserve">DEAL-5163</t>
  </si>
  <si>
    <t xml:space="preserve">DEAL-5164</t>
  </si>
  <si>
    <t xml:space="preserve">DEAL-5165</t>
  </si>
  <si>
    <t xml:space="preserve">DEAL-5166</t>
  </si>
  <si>
    <t xml:space="preserve">2026-01-14</t>
  </si>
  <si>
    <t xml:space="preserve">DEAL-5167</t>
  </si>
  <si>
    <t xml:space="preserve">DEAL-5168</t>
  </si>
  <si>
    <t xml:space="preserve">DEAL-5169</t>
  </si>
  <si>
    <t xml:space="preserve">DEAL-5170</t>
  </si>
  <si>
    <t xml:space="preserve">DEAL-5171</t>
  </si>
  <si>
    <t xml:space="preserve">DEAL-5172</t>
  </si>
  <si>
    <t xml:space="preserve">DEAL-5173</t>
  </si>
  <si>
    <t xml:space="preserve">DEAL-5174</t>
  </si>
  <si>
    <t xml:space="preserve">DEAL-5175</t>
  </si>
  <si>
    <t xml:space="preserve">2026-06-03</t>
  </si>
  <si>
    <t xml:space="preserve">DEAL-5176</t>
  </si>
  <si>
    <t xml:space="preserve">DEAL-5177</t>
  </si>
  <si>
    <t xml:space="preserve">2026-02-25</t>
  </si>
  <si>
    <t xml:space="preserve">DEAL-5178</t>
  </si>
  <si>
    <t xml:space="preserve">DEAL-5179</t>
  </si>
  <si>
    <t xml:space="preserve">DEAL-5180</t>
  </si>
  <si>
    <t xml:space="preserve">DEAL-5181</t>
  </si>
  <si>
    <t xml:space="preserve">DEAL-5182</t>
  </si>
  <si>
    <t xml:space="preserve">DEAL-5183</t>
  </si>
  <si>
    <t xml:space="preserve">DEAL-5184</t>
  </si>
  <si>
    <t xml:space="preserve">DEAL-5185</t>
  </si>
  <si>
    <t xml:space="preserve">2026-06-13</t>
  </si>
  <si>
    <t xml:space="preserve">DEAL-5186</t>
  </si>
  <si>
    <t xml:space="preserve">2024-08-29</t>
  </si>
  <si>
    <t xml:space="preserve">DEAL-5187</t>
  </si>
  <si>
    <t xml:space="preserve">DEAL-5188</t>
  </si>
  <si>
    <t xml:space="preserve">DEAL-5189</t>
  </si>
  <si>
    <t xml:space="preserve">DEAL-5190</t>
  </si>
  <si>
    <t xml:space="preserve">DEAL-5191</t>
  </si>
  <si>
    <t xml:space="preserve">2026-02-20</t>
  </si>
  <si>
    <t xml:space="preserve">DEAL-5192</t>
  </si>
  <si>
    <t xml:space="preserve">DEAL-5193</t>
  </si>
  <si>
    <t xml:space="preserve">DEAL-5194</t>
  </si>
  <si>
    <t xml:space="preserve">DEAL-5195</t>
  </si>
  <si>
    <t xml:space="preserve">DEAL-5196</t>
  </si>
  <si>
    <t xml:space="preserve">DEAL-5197</t>
  </si>
  <si>
    <t xml:space="preserve">DEAL-5198</t>
  </si>
  <si>
    <t xml:space="preserve">2026-05-04</t>
  </si>
  <si>
    <t xml:space="preserve">DEAL-5199</t>
  </si>
  <si>
    <t xml:space="preserve">DEAL-5200</t>
  </si>
  <si>
    <t xml:space="preserve">DEAL-5201</t>
  </si>
  <si>
    <t xml:space="preserve">DEAL-5202</t>
  </si>
  <si>
    <t xml:space="preserve">DEAL-5203</t>
  </si>
  <si>
    <t xml:space="preserve">DEAL-5204</t>
  </si>
  <si>
    <t xml:space="preserve">DEAL-5205</t>
  </si>
  <si>
    <t xml:space="preserve">DEAL-5206</t>
  </si>
  <si>
    <t xml:space="preserve">DEAL-5207</t>
  </si>
  <si>
    <t xml:space="preserve">DEAL-5208</t>
  </si>
  <si>
    <t xml:space="preserve">DEAL-5209</t>
  </si>
  <si>
    <t xml:space="preserve">2026-02-04</t>
  </si>
  <si>
    <t xml:space="preserve">DEAL-5210</t>
  </si>
  <si>
    <t xml:space="preserve">2026-02-23</t>
  </si>
  <si>
    <t xml:space="preserve">DEAL-5211</t>
  </si>
  <si>
    <t xml:space="preserve">DEAL-5212</t>
  </si>
  <si>
    <t xml:space="preserve">DEAL-5213</t>
  </si>
  <si>
    <t xml:space="preserve">DEAL-5214</t>
  </si>
  <si>
    <t xml:space="preserve">2026-03-15</t>
  </si>
  <si>
    <t xml:space="preserve">DEAL-5215</t>
  </si>
  <si>
    <t xml:space="preserve">DEAL-5216</t>
  </si>
  <si>
    <t xml:space="preserve">DEAL-5217</t>
  </si>
  <si>
    <t xml:space="preserve">DEAL-5218</t>
  </si>
  <si>
    <t xml:space="preserve">2026-04-23</t>
  </si>
  <si>
    <t xml:space="preserve">DEAL-5219</t>
  </si>
  <si>
    <t xml:space="preserve">DEAL-5220</t>
  </si>
  <si>
    <t xml:space="preserve">2026-01-18</t>
  </si>
  <si>
    <t xml:space="preserve">DEAL-5221</t>
  </si>
  <si>
    <t xml:space="preserve">DEAL-5222</t>
  </si>
  <si>
    <t xml:space="preserve">DEAL-5223</t>
  </si>
  <si>
    <t xml:space="preserve">DEAL-5224</t>
  </si>
  <si>
    <t xml:space="preserve">2026-02-06</t>
  </si>
  <si>
    <t xml:space="preserve">DEAL-5225</t>
  </si>
  <si>
    <t xml:space="preserve">2026-01-07</t>
  </si>
  <si>
    <t xml:space="preserve">DEAL-5226</t>
  </si>
  <si>
    <t xml:space="preserve">DEAL-5227</t>
  </si>
  <si>
    <t xml:space="preserve">DEAL-5228</t>
  </si>
  <si>
    <t xml:space="preserve">DEAL-5229</t>
  </si>
  <si>
    <t xml:space="preserve">DEAL-5230</t>
  </si>
  <si>
    <t xml:space="preserve">DEAL-5231</t>
  </si>
  <si>
    <t xml:space="preserve">DEAL-5232</t>
  </si>
  <si>
    <t xml:space="preserve">DEAL-5233</t>
  </si>
  <si>
    <t xml:space="preserve">DEAL-5234</t>
  </si>
  <si>
    <t xml:space="preserve">DEAL-5235</t>
  </si>
  <si>
    <t xml:space="preserve">DEAL-5236</t>
  </si>
  <si>
    <t xml:space="preserve">DEAL-5237</t>
  </si>
  <si>
    <t xml:space="preserve">DEAL-5238</t>
  </si>
  <si>
    <t xml:space="preserve">DEAL-5239</t>
  </si>
  <si>
    <t xml:space="preserve">DEAL-5240</t>
  </si>
  <si>
    <t xml:space="preserve">DEAL-5241</t>
  </si>
  <si>
    <t xml:space="preserve">DEAL-5242</t>
  </si>
  <si>
    <t xml:space="preserve">DEAL-5243</t>
  </si>
  <si>
    <t xml:space="preserve">2026-03-05</t>
  </si>
  <si>
    <t xml:space="preserve">DEAL-5244</t>
  </si>
  <si>
    <t xml:space="preserve">2026-05-14</t>
  </si>
  <si>
    <t xml:space="preserve">DEAL-5245</t>
  </si>
  <si>
    <t xml:space="preserve">2026-04-01</t>
  </si>
  <si>
    <t xml:space="preserve">DEAL-5246</t>
  </si>
  <si>
    <t xml:space="preserve">2026-01-28</t>
  </si>
  <si>
    <t xml:space="preserve">DEAL-5247</t>
  </si>
  <si>
    <t xml:space="preserve">DEAL-5248</t>
  </si>
  <si>
    <t xml:space="preserve">DEAL-5249</t>
  </si>
  <si>
    <t xml:space="preserve">DEAL-5250</t>
  </si>
  <si>
    <t xml:space="preserve">DEAL-5251</t>
  </si>
  <si>
    <t xml:space="preserve">DEAL-5252</t>
  </si>
  <si>
    <t xml:space="preserve">DEAL-5253</t>
  </si>
  <si>
    <t xml:space="preserve">DEAL-5254</t>
  </si>
  <si>
    <t xml:space="preserve">DEAL-5255</t>
  </si>
  <si>
    <t xml:space="preserve">DEAL-5256</t>
  </si>
  <si>
    <t xml:space="preserve">DEAL-5257</t>
  </si>
  <si>
    <t xml:space="preserve">DEAL-5258</t>
  </si>
  <si>
    <t xml:space="preserve">DEAL-5259</t>
  </si>
  <si>
    <t xml:space="preserve">DEAL-5260</t>
  </si>
  <si>
    <t xml:space="preserve">DEAL-5261</t>
  </si>
  <si>
    <t xml:space="preserve">DEAL-5262</t>
  </si>
  <si>
    <t xml:space="preserve">2026-01-11</t>
  </si>
  <si>
    <t xml:space="preserve">DEAL-5263</t>
  </si>
  <si>
    <t xml:space="preserve">2026-01-24</t>
  </si>
  <si>
    <t xml:space="preserve">DEAL-5264</t>
  </si>
  <si>
    <t xml:space="preserve">DEAL-5265</t>
  </si>
  <si>
    <t xml:space="preserve">DEAL-5266</t>
  </si>
  <si>
    <t xml:space="preserve">DEAL-5267</t>
  </si>
  <si>
    <t xml:space="preserve">DEAL-5268</t>
  </si>
  <si>
    <t xml:space="preserve">DEAL-5269</t>
  </si>
  <si>
    <t xml:space="preserve">DEAL-5270</t>
  </si>
  <si>
    <t xml:space="preserve">DEAL-5271</t>
  </si>
  <si>
    <t xml:space="preserve">DEAL-5272</t>
  </si>
  <si>
    <t xml:space="preserve">DEAL-5273</t>
  </si>
  <si>
    <t xml:space="preserve">DEAL-5274</t>
  </si>
  <si>
    <t xml:space="preserve">DEAL-5275</t>
  </si>
  <si>
    <t xml:space="preserve">DEAL-5276</t>
  </si>
  <si>
    <t xml:space="preserve">2026-05-12</t>
  </si>
  <si>
    <t xml:space="preserve">DEAL-5277</t>
  </si>
  <si>
    <t xml:space="preserve">DEAL-5278</t>
  </si>
  <si>
    <t xml:space="preserve">DEAL-5279</t>
  </si>
  <si>
    <t xml:space="preserve">2025-07-07</t>
  </si>
  <si>
    <t xml:space="preserve">DEAL-5280</t>
  </si>
  <si>
    <t xml:space="preserve">DEAL-5281</t>
  </si>
  <si>
    <t xml:space="preserve">2026-04-03</t>
  </si>
  <si>
    <t xml:space="preserve">DEAL-5282</t>
  </si>
  <si>
    <t xml:space="preserve">2026-04-05</t>
  </si>
  <si>
    <t xml:space="preserve">DEAL-5283</t>
  </si>
  <si>
    <t xml:space="preserve">DEAL-5284</t>
  </si>
  <si>
    <t xml:space="preserve">DEAL-5285</t>
  </si>
  <si>
    <t xml:space="preserve">DEAL-5286</t>
  </si>
  <si>
    <t xml:space="preserve">DEAL-5287</t>
  </si>
  <si>
    <t xml:space="preserve">DEAL-5288</t>
  </si>
  <si>
    <t xml:space="preserve">DEAL-5289</t>
  </si>
  <si>
    <t xml:space="preserve">DEAL-5290</t>
  </si>
  <si>
    <t xml:space="preserve">DEAL-5291</t>
  </si>
  <si>
    <t xml:space="preserve">DEAL-5292</t>
  </si>
  <si>
    <t xml:space="preserve">DEAL-5293</t>
  </si>
  <si>
    <t xml:space="preserve">DEAL-5294</t>
  </si>
  <si>
    <t xml:space="preserve">DEAL-5295</t>
  </si>
  <si>
    <t xml:space="preserve">DEAL-5296</t>
  </si>
  <si>
    <t xml:space="preserve">DEAL-5297</t>
  </si>
  <si>
    <t xml:space="preserve">DEAL-5298</t>
  </si>
  <si>
    <t xml:space="preserve">DEAL-5299</t>
  </si>
  <si>
    <t xml:space="preserve">DEAL-5300</t>
  </si>
  <si>
    <t xml:space="preserve">DEAL-5301</t>
  </si>
  <si>
    <t xml:space="preserve">DEAL-5302</t>
  </si>
  <si>
    <t xml:space="preserve">DEAL-5303</t>
  </si>
  <si>
    <t xml:space="preserve">DEAL-5304</t>
  </si>
  <si>
    <t xml:space="preserve">DEAL-5305</t>
  </si>
  <si>
    <t xml:space="preserve">DEAL-5306</t>
  </si>
  <si>
    <t xml:space="preserve">DEAL-5307</t>
  </si>
  <si>
    <t xml:space="preserve">DEAL-5308</t>
  </si>
  <si>
    <t xml:space="preserve">DEAL-5309</t>
  </si>
  <si>
    <t xml:space="preserve">DEAL-5310</t>
  </si>
  <si>
    <t xml:space="preserve">DEAL-5311</t>
  </si>
  <si>
    <t xml:space="preserve">DEAL-5312</t>
  </si>
  <si>
    <t xml:space="preserve">DEAL-5313</t>
  </si>
  <si>
    <t xml:space="preserve">DEAL-5314</t>
  </si>
  <si>
    <t xml:space="preserve">DEAL-5315</t>
  </si>
  <si>
    <t xml:space="preserve">DEAL-5316</t>
  </si>
  <si>
    <t xml:space="preserve">2026-02-15</t>
  </si>
  <si>
    <t xml:space="preserve">DEAL-5317</t>
  </si>
  <si>
    <t xml:space="preserve">DEAL-5318</t>
  </si>
  <si>
    <t xml:space="preserve">DEAL-5319</t>
  </si>
  <si>
    <t xml:space="preserve">DEAL-5320</t>
  </si>
  <si>
    <t xml:space="preserve">DEAL-5321</t>
  </si>
  <si>
    <t xml:space="preserve">DEAL-5322</t>
  </si>
  <si>
    <t xml:space="preserve">DEAL-5323</t>
  </si>
  <si>
    <t xml:space="preserve">DEAL-5324</t>
  </si>
  <si>
    <t xml:space="preserve">DEAL-5325</t>
  </si>
  <si>
    <t xml:space="preserve">DEAL-5326</t>
  </si>
  <si>
    <t xml:space="preserve">DEAL-5327</t>
  </si>
  <si>
    <t xml:space="preserve">DEAL-5328</t>
  </si>
  <si>
    <t xml:space="preserve">DEAL-5329</t>
  </si>
  <si>
    <t xml:space="preserve">DEAL-5330</t>
  </si>
  <si>
    <t xml:space="preserve">2026-02-01</t>
  </si>
  <si>
    <t xml:space="preserve">DEAL-5331</t>
  </si>
  <si>
    <t xml:space="preserve">DEAL-5332</t>
  </si>
  <si>
    <t xml:space="preserve">DEAL-5333</t>
  </si>
  <si>
    <t xml:space="preserve">DEAL-5334</t>
  </si>
  <si>
    <t xml:space="preserve">DEAL-5335</t>
  </si>
  <si>
    <t xml:space="preserve">DEAL-5336</t>
  </si>
  <si>
    <t xml:space="preserve">DEAL-5337</t>
  </si>
  <si>
    <t xml:space="preserve">DEAL-5338</t>
  </si>
  <si>
    <t xml:space="preserve">DEAL-5339</t>
  </si>
  <si>
    <t xml:space="preserve">DEAL-5340</t>
  </si>
  <si>
    <t xml:space="preserve">DEAL-5341</t>
  </si>
  <si>
    <t xml:space="preserve">DEAL-5342</t>
  </si>
  <si>
    <t xml:space="preserve">DEAL-5343</t>
  </si>
  <si>
    <t xml:space="preserve">2026-03-06</t>
  </si>
  <si>
    <t xml:space="preserve">DEAL-5344</t>
  </si>
  <si>
    <t xml:space="preserve">DEAL-5345</t>
  </si>
  <si>
    <t xml:space="preserve">DEAL-5346</t>
  </si>
  <si>
    <t xml:space="preserve">DEAL-5347</t>
  </si>
  <si>
    <t xml:space="preserve">DEAL-5348</t>
  </si>
  <si>
    <t xml:space="preserve">DEAL-5349</t>
  </si>
  <si>
    <t xml:space="preserve">DEAL-5350</t>
  </si>
  <si>
    <t xml:space="preserve">DEAL-5351</t>
  </si>
  <si>
    <t xml:space="preserve">DEAL-5352</t>
  </si>
  <si>
    <t xml:space="preserve">DEAL-5353</t>
  </si>
  <si>
    <t xml:space="preserve">DEAL-5354</t>
  </si>
  <si>
    <t xml:space="preserve">DEAL-5355</t>
  </si>
  <si>
    <t xml:space="preserve">DEAL-5356</t>
  </si>
  <si>
    <t xml:space="preserve">2026-02-07</t>
  </si>
  <si>
    <t xml:space="preserve">DEAL-5357</t>
  </si>
  <si>
    <t xml:space="preserve">DEAL-5358</t>
  </si>
  <si>
    <t xml:space="preserve">2026-04-30</t>
  </si>
  <si>
    <t xml:space="preserve">DEAL-5359</t>
  </si>
  <si>
    <t xml:space="preserve">DEAL-5360</t>
  </si>
  <si>
    <t xml:space="preserve">DEAL-5361</t>
  </si>
  <si>
    <t xml:space="preserve">DEAL-5362</t>
  </si>
  <si>
    <t xml:space="preserve">2026-04-20</t>
  </si>
  <si>
    <t xml:space="preserve">DEAL-5363</t>
  </si>
  <si>
    <t xml:space="preserve">DEAL-5364</t>
  </si>
  <si>
    <t xml:space="preserve">DEAL-5365</t>
  </si>
  <si>
    <t xml:space="preserve">DEAL-5366</t>
  </si>
  <si>
    <t xml:space="preserve">DEAL-5367</t>
  </si>
  <si>
    <t xml:space="preserve">DEAL-5368</t>
  </si>
  <si>
    <t xml:space="preserve">DEAL-5369</t>
  </si>
  <si>
    <t xml:space="preserve">DEAL-5370</t>
  </si>
  <si>
    <t xml:space="preserve">DEAL-5371</t>
  </si>
  <si>
    <t xml:space="preserve">DEAL-5372</t>
  </si>
  <si>
    <t xml:space="preserve">DEAL-5373</t>
  </si>
  <si>
    <t xml:space="preserve">DEAL-5374</t>
  </si>
  <si>
    <t xml:space="preserve">DEAL-5375</t>
  </si>
  <si>
    <t xml:space="preserve">DEAL-5376</t>
  </si>
  <si>
    <t xml:space="preserve">DEAL-5377</t>
  </si>
  <si>
    <t xml:space="preserve">DEAL-5378</t>
  </si>
  <si>
    <t xml:space="preserve">DEAL-5379</t>
  </si>
  <si>
    <t xml:space="preserve">DEAL-5380</t>
  </si>
  <si>
    <t xml:space="preserve">2026-03-11</t>
  </si>
  <si>
    <t xml:space="preserve">DEAL-5381</t>
  </si>
  <si>
    <t xml:space="preserve">DEAL-5382</t>
  </si>
  <si>
    <t xml:space="preserve">DEAL-5383</t>
  </si>
  <si>
    <t xml:space="preserve">DEAL-5384</t>
  </si>
  <si>
    <t xml:space="preserve">DEAL-5385</t>
  </si>
  <si>
    <t xml:space="preserve">DEAL-5386</t>
  </si>
  <si>
    <t xml:space="preserve">2026-02-03</t>
  </si>
  <si>
    <t xml:space="preserve">DEAL-5387</t>
  </si>
  <si>
    <t xml:space="preserve">DEAL-5388</t>
  </si>
  <si>
    <t xml:space="preserve">DEAL-5389</t>
  </si>
  <si>
    <t xml:space="preserve">2026-04-25</t>
  </si>
  <si>
    <t xml:space="preserve">DEAL-5390</t>
  </si>
  <si>
    <t xml:space="preserve">DEAL-5391</t>
  </si>
  <si>
    <t xml:space="preserve">DEAL-5392</t>
  </si>
  <si>
    <t xml:space="preserve">DEAL-5393</t>
  </si>
  <si>
    <t xml:space="preserve">DEAL-5394</t>
  </si>
  <si>
    <t xml:space="preserve">DEAL-5395</t>
  </si>
  <si>
    <t xml:space="preserve">DEAL-5396</t>
  </si>
  <si>
    <t xml:space="preserve">DEAL-5397</t>
  </si>
  <si>
    <t xml:space="preserve">DEAL-5398</t>
  </si>
  <si>
    <t xml:space="preserve">DEAL-5399</t>
  </si>
  <si>
    <t xml:space="preserve">DEAL-5400</t>
  </si>
  <si>
    <t xml:space="preserve">DEAL-5401</t>
  </si>
  <si>
    <t xml:space="preserve">DEAL-5402</t>
  </si>
  <si>
    <t xml:space="preserve">DEAL-5403</t>
  </si>
  <si>
    <t xml:space="preserve">DEAL-5404</t>
  </si>
  <si>
    <t xml:space="preserve">DEAL-5405</t>
  </si>
  <si>
    <t xml:space="preserve">DEAL-5406</t>
  </si>
  <si>
    <t xml:space="preserve">2026-04-27</t>
  </si>
  <si>
    <t xml:space="preserve">DEAL-5407</t>
  </si>
  <si>
    <t xml:space="preserve">DEAL-5408</t>
  </si>
  <si>
    <t xml:space="preserve">2026-03-25</t>
  </si>
  <si>
    <t xml:space="preserve">DEAL-5409</t>
  </si>
  <si>
    <t xml:space="preserve">DEAL-5410</t>
  </si>
  <si>
    <t xml:space="preserve">DEAL-5411</t>
  </si>
  <si>
    <t xml:space="preserve">DEAL-5412</t>
  </si>
  <si>
    <t xml:space="preserve">2026-02-24</t>
  </si>
  <si>
    <t xml:space="preserve">DEAL-5413</t>
  </si>
  <si>
    <t xml:space="preserve">2026-03-30</t>
  </si>
  <si>
    <t xml:space="preserve">DEAL-5414</t>
  </si>
  <si>
    <t xml:space="preserve">2026-01-05</t>
  </si>
  <si>
    <t xml:space="preserve">DEAL-5415</t>
  </si>
  <si>
    <t xml:space="preserve">DEAL-5416</t>
  </si>
  <si>
    <t xml:space="preserve">DEAL-5417</t>
  </si>
  <si>
    <t xml:space="preserve">DEAL-5418</t>
  </si>
  <si>
    <t xml:space="preserve">DEAL-5419</t>
  </si>
  <si>
    <t xml:space="preserve">DEAL-5420</t>
  </si>
  <si>
    <t xml:space="preserve">DEAL-5421</t>
  </si>
  <si>
    <t xml:space="preserve">DEAL-5422</t>
  </si>
  <si>
    <t xml:space="preserve">DEAL-5423</t>
  </si>
  <si>
    <t xml:space="preserve">DEAL-5424</t>
  </si>
  <si>
    <t xml:space="preserve">DEAL-5425</t>
  </si>
  <si>
    <t xml:space="preserve">DEAL-5426</t>
  </si>
  <si>
    <t xml:space="preserve">DEAL-5427</t>
  </si>
  <si>
    <t xml:space="preserve">DEAL-5428</t>
  </si>
  <si>
    <t xml:space="preserve">DEAL-5429</t>
  </si>
  <si>
    <t xml:space="preserve">DEAL-5430</t>
  </si>
  <si>
    <t xml:space="preserve">DEAL-5431</t>
  </si>
  <si>
    <t xml:space="preserve">DEAL-5432</t>
  </si>
  <si>
    <t xml:space="preserve">2026-05-25</t>
  </si>
  <si>
    <t xml:space="preserve">DEAL-5433</t>
  </si>
  <si>
    <t xml:space="preserve">DEAL-5434</t>
  </si>
  <si>
    <t xml:space="preserve">DEAL-5435</t>
  </si>
  <si>
    <t xml:space="preserve">DEAL-5436</t>
  </si>
  <si>
    <t xml:space="preserve">2026-05-06</t>
  </si>
  <si>
    <t xml:space="preserve">DEAL-5437</t>
  </si>
  <si>
    <t xml:space="preserve">DEAL-5438</t>
  </si>
  <si>
    <t xml:space="preserve">2026-03-24</t>
  </si>
  <si>
    <t xml:space="preserve">DEAL-5439</t>
  </si>
  <si>
    <t xml:space="preserve">2026-01-15</t>
  </si>
  <si>
    <t xml:space="preserve">DEAL-5440</t>
  </si>
  <si>
    <t xml:space="preserve">DEAL-5441</t>
  </si>
  <si>
    <t xml:space="preserve">DEAL-5442</t>
  </si>
  <si>
    <t xml:space="preserve">DEAL-5443</t>
  </si>
  <si>
    <t xml:space="preserve">DEAL-5444</t>
  </si>
  <si>
    <t xml:space="preserve">DEAL-5445</t>
  </si>
  <si>
    <t xml:space="preserve">DEAL-5446</t>
  </si>
  <si>
    <t xml:space="preserve">DEAL-5447</t>
  </si>
  <si>
    <t xml:space="preserve">DEAL-5448</t>
  </si>
  <si>
    <t xml:space="preserve">DEAL-5449</t>
  </si>
  <si>
    <t xml:space="preserve">2026-03-23</t>
  </si>
  <si>
    <t xml:space="preserve">DEAL-5450</t>
  </si>
  <si>
    <t xml:space="preserve">DEAL-5451</t>
  </si>
  <si>
    <t xml:space="preserve">2026-03-09</t>
  </si>
  <si>
    <t xml:space="preserve">DEAL-5452</t>
  </si>
  <si>
    <t xml:space="preserve">DEAL-5453</t>
  </si>
  <si>
    <t xml:space="preserve">DEAL-5454</t>
  </si>
  <si>
    <t xml:space="preserve">DEAL-5455</t>
  </si>
  <si>
    <t xml:space="preserve">DEAL-5456</t>
  </si>
  <si>
    <t xml:space="preserve">DEAL-5457</t>
  </si>
  <si>
    <t xml:space="preserve">DEAL-5458</t>
  </si>
  <si>
    <t xml:space="preserve">DEAL-5459</t>
  </si>
  <si>
    <t xml:space="preserve">DEAL-5460</t>
  </si>
  <si>
    <t xml:space="preserve">DEAL-5461</t>
  </si>
  <si>
    <t xml:space="preserve">DEAL-5462</t>
  </si>
  <si>
    <t xml:space="preserve">DEAL-5463</t>
  </si>
  <si>
    <t xml:space="preserve">DEAL-5464</t>
  </si>
  <si>
    <t xml:space="preserve">DEAL-5465</t>
  </si>
  <si>
    <t xml:space="preserve">DEAL-5466</t>
  </si>
  <si>
    <t xml:space="preserve">DEAL-5467</t>
  </si>
  <si>
    <t xml:space="preserve">DEAL-5468</t>
  </si>
  <si>
    <t xml:space="preserve">DEAL-5469</t>
  </si>
  <si>
    <t xml:space="preserve">2026-02-09</t>
  </si>
  <si>
    <t xml:space="preserve">DEAL-5470</t>
  </si>
  <si>
    <t xml:space="preserve">DEAL-5471</t>
  </si>
  <si>
    <t xml:space="preserve">DEAL-5472</t>
  </si>
  <si>
    <t xml:space="preserve">DEAL-5473</t>
  </si>
  <si>
    <t xml:space="preserve">DEAL-5474</t>
  </si>
  <si>
    <t xml:space="preserve">DEAL-5475</t>
  </si>
  <si>
    <t xml:space="preserve">DEAL-5476</t>
  </si>
  <si>
    <t xml:space="preserve">DEAL-5477</t>
  </si>
  <si>
    <t xml:space="preserve">DEAL-5478</t>
  </si>
  <si>
    <t xml:space="preserve">DEAL-5479</t>
  </si>
  <si>
    <t xml:space="preserve">DEAL-5480</t>
  </si>
  <si>
    <t xml:space="preserve">2026-02-21</t>
  </si>
  <si>
    <t xml:space="preserve">DEAL-5481</t>
  </si>
  <si>
    <t xml:space="preserve">DEAL-5482</t>
  </si>
  <si>
    <t xml:space="preserve">DEAL-5483</t>
  </si>
  <si>
    <t xml:space="preserve">DEAL-5484</t>
  </si>
  <si>
    <t xml:space="preserve">DEAL-5485</t>
  </si>
  <si>
    <t xml:space="preserve">DEAL-5486</t>
  </si>
  <si>
    <t xml:space="preserve">DEAL-5487</t>
  </si>
  <si>
    <t xml:space="preserve">DEAL-5488</t>
  </si>
  <si>
    <t xml:space="preserve">DEAL-5489</t>
  </si>
  <si>
    <t xml:space="preserve">DEAL-5490</t>
  </si>
  <si>
    <t xml:space="preserve">DEAL-5491</t>
  </si>
  <si>
    <t xml:space="preserve">DEAL-5492</t>
  </si>
  <si>
    <t xml:space="preserve">2026-01-13</t>
  </si>
  <si>
    <t xml:space="preserve">DEAL-5493</t>
  </si>
  <si>
    <t xml:space="preserve">DEAL-5494</t>
  </si>
  <si>
    <t xml:space="preserve">DEAL-5495</t>
  </si>
  <si>
    <t xml:space="preserve">DEAL-5496</t>
  </si>
  <si>
    <t xml:space="preserve">DEAL-5497</t>
  </si>
  <si>
    <t xml:space="preserve">DEAL-5498</t>
  </si>
  <si>
    <t xml:space="preserve">DEAL-5499</t>
  </si>
  <si>
    <t xml:space="preserve">DEAL-5500</t>
  </si>
  <si>
    <t xml:space="preserve">DEAL-5501</t>
  </si>
  <si>
    <t xml:space="preserve">DEAL-5502</t>
  </si>
  <si>
    <t xml:space="preserve">DEAL-5503</t>
  </si>
  <si>
    <t xml:space="preserve">DEAL-5504</t>
  </si>
  <si>
    <t xml:space="preserve">DEAL-5505</t>
  </si>
  <si>
    <t xml:space="preserve">DEAL-5506</t>
  </si>
  <si>
    <t xml:space="preserve">DEAL-5507</t>
  </si>
  <si>
    <t xml:space="preserve">DEAL-5508</t>
  </si>
  <si>
    <t xml:space="preserve">DEAL-5509</t>
  </si>
  <si>
    <t xml:space="preserve">DEAL-5510</t>
  </si>
  <si>
    <t xml:space="preserve">DEAL-5511</t>
  </si>
  <si>
    <t xml:space="preserve">DEAL-5512</t>
  </si>
  <si>
    <t xml:space="preserve">DEAL-5513</t>
  </si>
  <si>
    <t xml:space="preserve">DEAL-5514</t>
  </si>
  <si>
    <t xml:space="preserve">DEAL-5515</t>
  </si>
  <si>
    <t xml:space="preserve">DEAL-5516</t>
  </si>
  <si>
    <t xml:space="preserve">DEAL-5517</t>
  </si>
  <si>
    <t xml:space="preserve">DEAL-5518</t>
  </si>
  <si>
    <t xml:space="preserve">DEAL-5519</t>
  </si>
  <si>
    <t xml:space="preserve">DEAL-5520</t>
  </si>
  <si>
    <t xml:space="preserve">2026-01-10</t>
  </si>
  <si>
    <t xml:space="preserve">DEAL-5521</t>
  </si>
  <si>
    <t xml:space="preserve">2026-01-06</t>
  </si>
  <si>
    <t xml:space="preserve">DEAL-5522</t>
  </si>
  <si>
    <t xml:space="preserve">DEAL-5523</t>
  </si>
  <si>
    <t xml:space="preserve">DEAL-5524</t>
  </si>
  <si>
    <t xml:space="preserve">DEAL-5525</t>
  </si>
  <si>
    <t xml:space="preserve">DEAL-5526</t>
  </si>
  <si>
    <t xml:space="preserve">DEAL-5527</t>
  </si>
  <si>
    <t xml:space="preserve">DEAL-5528</t>
  </si>
  <si>
    <t xml:space="preserve">DEAL-5529</t>
  </si>
  <si>
    <t xml:space="preserve">DEAL-5530</t>
  </si>
  <si>
    <t xml:space="preserve">DEAL-5531</t>
  </si>
  <si>
    <t xml:space="preserve">DEAL-5532</t>
  </si>
  <si>
    <t xml:space="preserve">DEAL-5533</t>
  </si>
  <si>
    <t xml:space="preserve">DEAL-5534</t>
  </si>
  <si>
    <t xml:space="preserve">DEAL-5535</t>
  </si>
  <si>
    <t xml:space="preserve">2026-02-17</t>
  </si>
  <si>
    <t xml:space="preserve">DEAL-5536</t>
  </si>
  <si>
    <t xml:space="preserve">DEAL-5537</t>
  </si>
  <si>
    <t xml:space="preserve">DEAL-5538</t>
  </si>
  <si>
    <t xml:space="preserve">DEAL-5539</t>
  </si>
  <si>
    <t xml:space="preserve">DEAL-5540</t>
  </si>
  <si>
    <t xml:space="preserve">DEAL-5541</t>
  </si>
  <si>
    <t xml:space="preserve">DEAL-5542</t>
  </si>
  <si>
    <t xml:space="preserve">DEAL-5543</t>
  </si>
  <si>
    <t xml:space="preserve">DEAL-5544</t>
  </si>
  <si>
    <t xml:space="preserve">DEAL-5545</t>
  </si>
  <si>
    <t xml:space="preserve">DEAL-5546</t>
  </si>
  <si>
    <t xml:space="preserve">DEAL-5547</t>
  </si>
  <si>
    <t xml:space="preserve">DEAL-5548</t>
  </si>
  <si>
    <t xml:space="preserve">DEAL-5549</t>
  </si>
  <si>
    <t xml:space="preserve">2026-03-29</t>
  </si>
  <si>
    <t xml:space="preserve">DEAL-5550</t>
  </si>
  <si>
    <t xml:space="preserve">DEAL-5551</t>
  </si>
  <si>
    <t xml:space="preserve">2026-03-16</t>
  </si>
  <si>
    <t xml:space="preserve">DEAL-5552</t>
  </si>
  <si>
    <t xml:space="preserve">DEAL-5553</t>
  </si>
  <si>
    <t xml:space="preserve">DEAL-5554</t>
  </si>
  <si>
    <t xml:space="preserve">2026-06-02</t>
  </si>
  <si>
    <t xml:space="preserve">DEAL-5555</t>
  </si>
  <si>
    <t xml:space="preserve">DEAL-5556</t>
  </si>
  <si>
    <t xml:space="preserve">DEAL-5557</t>
  </si>
  <si>
    <t xml:space="preserve">2026-04-12</t>
  </si>
  <si>
    <t xml:space="preserve">DEAL-5558</t>
  </si>
  <si>
    <t xml:space="preserve">DEAL-5559</t>
  </si>
  <si>
    <t xml:space="preserve">DEAL-5560</t>
  </si>
  <si>
    <t xml:space="preserve">DEAL-5561</t>
  </si>
  <si>
    <t xml:space="preserve">DEAL-5562</t>
  </si>
  <si>
    <t xml:space="preserve">DEAL-5563</t>
  </si>
  <si>
    <t xml:space="preserve">DEAL-5564</t>
  </si>
  <si>
    <t xml:space="preserve">2026-03-14</t>
  </si>
  <si>
    <t xml:space="preserve">DEAL-5565</t>
  </si>
  <si>
    <t xml:space="preserve">2026-05-11</t>
  </si>
  <si>
    <t xml:space="preserve">DEAL-5566</t>
  </si>
  <si>
    <t xml:space="preserve">DEAL-5567</t>
  </si>
  <si>
    <t xml:space="preserve">DEAL-5568</t>
  </si>
  <si>
    <t xml:space="preserve">DEAL-5569</t>
  </si>
  <si>
    <t xml:space="preserve">DEAL-5570</t>
  </si>
  <si>
    <t xml:space="preserve">DEAL-5571</t>
  </si>
  <si>
    <t xml:space="preserve">DEAL-5572</t>
  </si>
  <si>
    <t xml:space="preserve">DEAL-5573</t>
  </si>
  <si>
    <t xml:space="preserve">DEAL-5574</t>
  </si>
  <si>
    <t xml:space="preserve">DEAL-5575</t>
  </si>
  <si>
    <t xml:space="preserve">DEAL-5576</t>
  </si>
  <si>
    <t xml:space="preserve">DEAL-5577</t>
  </si>
  <si>
    <t xml:space="preserve">DEAL-5578</t>
  </si>
  <si>
    <t xml:space="preserve">DEAL-5579</t>
  </si>
  <si>
    <t xml:space="preserve">DEAL-5580</t>
  </si>
  <si>
    <t xml:space="preserve">DEAL-5581</t>
  </si>
  <si>
    <t xml:space="preserve">2026-05-19</t>
  </si>
  <si>
    <t xml:space="preserve">DEAL-5582</t>
  </si>
  <si>
    <t xml:space="preserve">DEAL-5583</t>
  </si>
  <si>
    <t xml:space="preserve">DEAL-5584</t>
  </si>
  <si>
    <t xml:space="preserve">DEAL-5585</t>
  </si>
  <si>
    <t xml:space="preserve">DEAL-5586</t>
  </si>
  <si>
    <t xml:space="preserve">DEAL-5587</t>
  </si>
  <si>
    <t xml:space="preserve">DEAL-5588</t>
  </si>
  <si>
    <t xml:space="preserve">DEAL-5589</t>
  </si>
  <si>
    <t xml:space="preserve">DEAL-5590</t>
  </si>
  <si>
    <t xml:space="preserve">DEAL-5591</t>
  </si>
  <si>
    <t xml:space="preserve">DEAL-5592</t>
  </si>
  <si>
    <t xml:space="preserve">DEAL-5593</t>
  </si>
  <si>
    <t xml:space="preserve">DEAL-5594</t>
  </si>
  <si>
    <t xml:space="preserve">DEAL-5595</t>
  </si>
  <si>
    <t xml:space="preserve">2026-01-27</t>
  </si>
  <si>
    <t xml:space="preserve">DEAL-5596</t>
  </si>
  <si>
    <t xml:space="preserve">2026-02-10</t>
  </si>
  <si>
    <t xml:space="preserve">DEAL-5597</t>
  </si>
  <si>
    <t xml:space="preserve">DEAL-5598</t>
  </si>
  <si>
    <t xml:space="preserve">DEAL-5599</t>
  </si>
  <si>
    <t xml:space="preserve">DEAL-5600</t>
  </si>
  <si>
    <t xml:space="preserve">DEAL-5601</t>
  </si>
  <si>
    <t xml:space="preserve">DEAL-5602</t>
  </si>
  <si>
    <t xml:space="preserve">DEAL-5603</t>
  </si>
  <si>
    <t xml:space="preserve">DEAL-5604</t>
  </si>
  <si>
    <t xml:space="preserve">DEAL-5605</t>
  </si>
  <si>
    <t xml:space="preserve">DEAL-5606</t>
  </si>
  <si>
    <t xml:space="preserve">DEAL-5607</t>
  </si>
  <si>
    <t xml:space="preserve">DEAL-5608</t>
  </si>
  <si>
    <t xml:space="preserve">DEAL-5609</t>
  </si>
  <si>
    <t xml:space="preserve">DEAL-5610</t>
  </si>
  <si>
    <t xml:space="preserve">DEAL-5611</t>
  </si>
  <si>
    <t xml:space="preserve">DEAL-5612</t>
  </si>
  <si>
    <t xml:space="preserve">DEAL-5613</t>
  </si>
  <si>
    <t xml:space="preserve">DEAL-5614</t>
  </si>
  <si>
    <t xml:space="preserve">DEAL-5615</t>
  </si>
  <si>
    <t xml:space="preserve">DEAL-5616</t>
  </si>
  <si>
    <t xml:space="preserve">DEAL-5617</t>
  </si>
  <si>
    <t xml:space="preserve">DEAL-5618</t>
  </si>
  <si>
    <t xml:space="preserve">2026-02-27</t>
  </si>
  <si>
    <t xml:space="preserve">DEAL-5619</t>
  </si>
  <si>
    <t xml:space="preserve">2026-04-17</t>
  </si>
  <si>
    <t xml:space="preserve">DEAL-5620</t>
  </si>
  <si>
    <t xml:space="preserve">DEAL-5621</t>
  </si>
  <si>
    <t xml:space="preserve">DEAL-5622</t>
  </si>
  <si>
    <t xml:space="preserve">DEAL-5623</t>
  </si>
  <si>
    <t xml:space="preserve">DEAL-5624</t>
  </si>
  <si>
    <t xml:space="preserve">2026-01-03</t>
  </si>
  <si>
    <t xml:space="preserve">DEAL-5625</t>
  </si>
  <si>
    <t xml:space="preserve">DEAL-5626</t>
  </si>
  <si>
    <t xml:space="preserve">DEAL-5627</t>
  </si>
  <si>
    <t xml:space="preserve">DEAL-5628</t>
  </si>
  <si>
    <t xml:space="preserve">DEAL-5629</t>
  </si>
  <si>
    <t xml:space="preserve">DEAL-5630</t>
  </si>
  <si>
    <t xml:space="preserve">DEAL-5631</t>
  </si>
  <si>
    <t xml:space="preserve">DEAL-5632</t>
  </si>
  <si>
    <t xml:space="preserve">DEAL-5633</t>
  </si>
  <si>
    <t xml:space="preserve">DEAL-5634</t>
  </si>
  <si>
    <t xml:space="preserve">DEAL-5635</t>
  </si>
  <si>
    <t xml:space="preserve">DEAL-5636</t>
  </si>
  <si>
    <t xml:space="preserve">DEAL-5637</t>
  </si>
  <si>
    <t xml:space="preserve">DEAL-5638</t>
  </si>
  <si>
    <t xml:space="preserve">DEAL-5639</t>
  </si>
  <si>
    <t xml:space="preserve">DEAL-5640</t>
  </si>
  <si>
    <t xml:space="preserve">DEAL-5641</t>
  </si>
  <si>
    <t xml:space="preserve">DEAL-5642</t>
  </si>
  <si>
    <t xml:space="preserve">DEAL-5643</t>
  </si>
  <si>
    <t xml:space="preserve">DEAL-5644</t>
  </si>
  <si>
    <t xml:space="preserve">DEAL-5645</t>
  </si>
  <si>
    <t xml:space="preserve">DEAL-5646</t>
  </si>
  <si>
    <t xml:space="preserve">DEAL-5647</t>
  </si>
  <si>
    <t xml:space="preserve">DEAL-5648</t>
  </si>
  <si>
    <t xml:space="preserve">DEAL-5649</t>
  </si>
  <si>
    <t xml:space="preserve">DEAL-5650</t>
  </si>
  <si>
    <t xml:space="preserve">DEAL-5651</t>
  </si>
  <si>
    <t xml:space="preserve">DEAL-5652</t>
  </si>
  <si>
    <t xml:space="preserve">DEAL-5653</t>
  </si>
  <si>
    <t xml:space="preserve">DEAL-5654</t>
  </si>
  <si>
    <t xml:space="preserve">DEAL-5655</t>
  </si>
  <si>
    <t xml:space="preserve">DEAL-5656</t>
  </si>
  <si>
    <t xml:space="preserve">DEAL-5657</t>
  </si>
  <si>
    <t xml:space="preserve">DEAL-5658</t>
  </si>
  <si>
    <t xml:space="preserve">DEAL-5659</t>
  </si>
  <si>
    <t xml:space="preserve">DEAL-5660</t>
  </si>
  <si>
    <t xml:space="preserve">DEAL-5661</t>
  </si>
  <si>
    <t xml:space="preserve">DEAL-5662</t>
  </si>
  <si>
    <t xml:space="preserve">DEAL-5663</t>
  </si>
  <si>
    <t xml:space="preserve">DEAL-5664</t>
  </si>
  <si>
    <t xml:space="preserve">DEAL-5665</t>
  </si>
  <si>
    <t xml:space="preserve">DEAL-5666</t>
  </si>
  <si>
    <t xml:space="preserve">DEAL-5667</t>
  </si>
  <si>
    <t xml:space="preserve">DEAL-5668</t>
  </si>
  <si>
    <t xml:space="preserve">DEAL-5669</t>
  </si>
  <si>
    <t xml:space="preserve">DEAL-5670</t>
  </si>
  <si>
    <t xml:space="preserve">DEAL-5671</t>
  </si>
  <si>
    <t xml:space="preserve">DEAL-5672</t>
  </si>
  <si>
    <t xml:space="preserve">DEAL-5673</t>
  </si>
  <si>
    <t xml:space="preserve">DEAL-5674</t>
  </si>
  <si>
    <t xml:space="preserve">DEAL-5675</t>
  </si>
  <si>
    <t xml:space="preserve">2026-01-29</t>
  </si>
  <si>
    <t xml:space="preserve">DEAL-5676</t>
  </si>
  <si>
    <t xml:space="preserve">DEAL-5677</t>
  </si>
  <si>
    <t xml:space="preserve">DEAL-5678</t>
  </si>
  <si>
    <t xml:space="preserve">DEAL-5679</t>
  </si>
  <si>
    <t xml:space="preserve">DEAL-5680</t>
  </si>
  <si>
    <t xml:space="preserve">DEAL-5681</t>
  </si>
  <si>
    <t xml:space="preserve">DEAL-5682</t>
  </si>
  <si>
    <t xml:space="preserve">DEAL-5683</t>
  </si>
  <si>
    <t xml:space="preserve">DEAL-5684</t>
  </si>
  <si>
    <t xml:space="preserve">DEAL-5685</t>
  </si>
  <si>
    <t xml:space="preserve">DEAL-5686</t>
  </si>
  <si>
    <t xml:space="preserve">DEAL-5687</t>
  </si>
  <si>
    <t xml:space="preserve">DEAL-5688</t>
  </si>
  <si>
    <t xml:space="preserve">DEAL-5689</t>
  </si>
  <si>
    <t xml:space="preserve">DEAL-5690</t>
  </si>
  <si>
    <t xml:space="preserve">DEAL-5691</t>
  </si>
  <si>
    <t xml:space="preserve">DEAL-5692</t>
  </si>
  <si>
    <t xml:space="preserve">DEAL-5693</t>
  </si>
  <si>
    <t xml:space="preserve">2026-03-10</t>
  </si>
  <si>
    <t xml:space="preserve">DEAL-5694</t>
  </si>
  <si>
    <t xml:space="preserve">DEAL-5695</t>
  </si>
  <si>
    <t xml:space="preserve">DEAL-5696</t>
  </si>
  <si>
    <t xml:space="preserve">DEAL-5697</t>
  </si>
  <si>
    <t xml:space="preserve">DEAL-5698</t>
  </si>
  <si>
    <t xml:space="preserve">DEAL-5699</t>
  </si>
  <si>
    <t xml:space="preserve">DEAL-5700</t>
  </si>
  <si>
    <t xml:space="preserve">DEAL-5701</t>
  </si>
  <si>
    <t xml:space="preserve">DEAL-5702</t>
  </si>
  <si>
    <t xml:space="preserve">2026-01-31</t>
  </si>
  <si>
    <t xml:space="preserve">DEAL-5703</t>
  </si>
  <si>
    <t xml:space="preserve">DEAL-5704</t>
  </si>
  <si>
    <t xml:space="preserve">DEAL-5705</t>
  </si>
  <si>
    <t xml:space="preserve">DEAL-5706</t>
  </si>
  <si>
    <t xml:space="preserve">DEAL-5707</t>
  </si>
  <si>
    <t xml:space="preserve">DEAL-5708</t>
  </si>
  <si>
    <t xml:space="preserve">DEAL-5709</t>
  </si>
  <si>
    <t xml:space="preserve">DEAL-5710</t>
  </si>
  <si>
    <t xml:space="preserve">DEAL-5711</t>
  </si>
  <si>
    <t xml:space="preserve">DEAL-5712</t>
  </si>
  <si>
    <t xml:space="preserve">DEAL-5713</t>
  </si>
  <si>
    <t xml:space="preserve">DEAL-5714</t>
  </si>
  <si>
    <t xml:space="preserve">DEAL-5715</t>
  </si>
  <si>
    <t xml:space="preserve">DEAL-5716</t>
  </si>
  <si>
    <t xml:space="preserve">DEAL-5717</t>
  </si>
  <si>
    <t xml:space="preserve">DEAL-5718</t>
  </si>
  <si>
    <t xml:space="preserve">2026-03-13</t>
  </si>
  <si>
    <t xml:space="preserve">DEAL-5719</t>
  </si>
  <si>
    <t xml:space="preserve">DEAL-5720</t>
  </si>
  <si>
    <t xml:space="preserve">2025-05-25</t>
  </si>
  <si>
    <t xml:space="preserve">DEAL-5721</t>
  </si>
  <si>
    <t xml:space="preserve">DEAL-5722</t>
  </si>
  <si>
    <t xml:space="preserve">DEAL-5723</t>
  </si>
  <si>
    <t xml:space="preserve">DEAL-5724</t>
  </si>
  <si>
    <t xml:space="preserve">DEAL-5725</t>
  </si>
  <si>
    <t xml:space="preserve">DEAL-5726</t>
  </si>
  <si>
    <t xml:space="preserve">DEAL-5727</t>
  </si>
  <si>
    <t xml:space="preserve">DEAL-5728</t>
  </si>
  <si>
    <t xml:space="preserve">DEAL-5729</t>
  </si>
  <si>
    <t xml:space="preserve">DEAL-5730</t>
  </si>
  <si>
    <t xml:space="preserve">2026-03-17</t>
  </si>
  <si>
    <t xml:space="preserve">DEAL-5731</t>
  </si>
  <si>
    <t xml:space="preserve">DEAL-5732</t>
  </si>
  <si>
    <t xml:space="preserve">DEAL-5733</t>
  </si>
  <si>
    <t xml:space="preserve">DEAL-5734</t>
  </si>
  <si>
    <t xml:space="preserve">DEAL-5735</t>
  </si>
  <si>
    <t xml:space="preserve">DEAL-5736</t>
  </si>
  <si>
    <t xml:space="preserve">DEAL-5737</t>
  </si>
  <si>
    <t xml:space="preserve">DEAL-5738</t>
  </si>
  <si>
    <t xml:space="preserve">DEAL-5739</t>
  </si>
  <si>
    <t xml:space="preserve">DEAL-5740</t>
  </si>
  <si>
    <t xml:space="preserve">DEAL-5741</t>
  </si>
  <si>
    <t xml:space="preserve">DEAL-5742</t>
  </si>
  <si>
    <t xml:space="preserve">DEAL-5743</t>
  </si>
  <si>
    <t xml:space="preserve">DEAL-5744</t>
  </si>
  <si>
    <t xml:space="preserve">DEAL-5745</t>
  </si>
  <si>
    <t xml:space="preserve">DEAL-5746</t>
  </si>
  <si>
    <t xml:space="preserve">DEAL-5747</t>
  </si>
  <si>
    <t xml:space="preserve">DEAL-5748</t>
  </si>
  <si>
    <t xml:space="preserve">DEAL-5749</t>
  </si>
  <si>
    <t xml:space="preserve">DEAL-5750</t>
  </si>
  <si>
    <t xml:space="preserve">DEAL-5751</t>
  </si>
  <si>
    <t xml:space="preserve">DEAL-5752</t>
  </si>
  <si>
    <t xml:space="preserve">DEAL-5753</t>
  </si>
  <si>
    <t xml:space="preserve">DEAL-5754</t>
  </si>
  <si>
    <t xml:space="preserve">DEAL-5755</t>
  </si>
  <si>
    <t xml:space="preserve">DEAL-5756</t>
  </si>
  <si>
    <t xml:space="preserve">DEAL-5757</t>
  </si>
  <si>
    <t xml:space="preserve">DEAL-5758</t>
  </si>
  <si>
    <t xml:space="preserve">DEAL-5759</t>
  </si>
  <si>
    <t xml:space="preserve">DEAL-5760</t>
  </si>
  <si>
    <t xml:space="preserve">DEAL-5761</t>
  </si>
  <si>
    <t xml:space="preserve">DEAL-5762</t>
  </si>
  <si>
    <t xml:space="preserve">DEAL-5763</t>
  </si>
  <si>
    <t xml:space="preserve">DEAL-5764</t>
  </si>
  <si>
    <t xml:space="preserve">DEAL-5765</t>
  </si>
  <si>
    <t xml:space="preserve">DEAL-5766</t>
  </si>
  <si>
    <t xml:space="preserve">DEAL-5767</t>
  </si>
  <si>
    <t xml:space="preserve">DEAL-5768</t>
  </si>
  <si>
    <t xml:space="preserve">DEAL-5769</t>
  </si>
  <si>
    <t xml:space="preserve">DEAL-5770</t>
  </si>
  <si>
    <t xml:space="preserve">DEAL-5771</t>
  </si>
  <si>
    <t xml:space="preserve">DEAL-5772</t>
  </si>
  <si>
    <t xml:space="preserve">DEAL-5773</t>
  </si>
  <si>
    <t xml:space="preserve">DEAL-5774</t>
  </si>
  <si>
    <t xml:space="preserve">DEAL-5775</t>
  </si>
  <si>
    <t xml:space="preserve">DEAL-5776</t>
  </si>
  <si>
    <t xml:space="preserve">DEAL-5777</t>
  </si>
  <si>
    <t xml:space="preserve">DEAL-5778</t>
  </si>
  <si>
    <t xml:space="preserve">DEAL-5779</t>
  </si>
  <si>
    <t xml:space="preserve">DEAL-5780</t>
  </si>
  <si>
    <t xml:space="preserve">DEAL-5781</t>
  </si>
  <si>
    <t xml:space="preserve">DEAL-5782</t>
  </si>
  <si>
    <t xml:space="preserve">DEAL-5783</t>
  </si>
  <si>
    <t xml:space="preserve">2026-02-22</t>
  </si>
  <si>
    <t xml:space="preserve">DEAL-5784</t>
  </si>
  <si>
    <t xml:space="preserve">DEAL-5785</t>
  </si>
  <si>
    <t xml:space="preserve">DEAL-5786</t>
  </si>
  <si>
    <t xml:space="preserve">DEAL-5787</t>
  </si>
  <si>
    <t xml:space="preserve">DEAL-5788</t>
  </si>
  <si>
    <t xml:space="preserve">DEAL-5789</t>
  </si>
  <si>
    <t xml:space="preserve">DEAL-5790</t>
  </si>
  <si>
    <t xml:space="preserve">DEAL-5791</t>
  </si>
  <si>
    <t xml:space="preserve">DEAL-5792</t>
  </si>
  <si>
    <t xml:space="preserve">DEAL-5793</t>
  </si>
  <si>
    <t xml:space="preserve">DEAL-5794</t>
  </si>
  <si>
    <t xml:space="preserve">DEAL-5795</t>
  </si>
  <si>
    <t xml:space="preserve">DEAL-5796</t>
  </si>
  <si>
    <t xml:space="preserve">DEAL-5797</t>
  </si>
  <si>
    <t xml:space="preserve">DEAL-5798</t>
  </si>
  <si>
    <t xml:space="preserve">DEAL-5799</t>
  </si>
  <si>
    <t xml:space="preserve">DEAL-5800</t>
  </si>
  <si>
    <t xml:space="preserve">DEAL-5801</t>
  </si>
  <si>
    <t xml:space="preserve">DEAL-5802</t>
  </si>
  <si>
    <t xml:space="preserve">DEAL-5803</t>
  </si>
  <si>
    <t xml:space="preserve">2026-03-26</t>
  </si>
  <si>
    <t xml:space="preserve">DEAL-5804</t>
  </si>
  <si>
    <t xml:space="preserve">DEAL-5805</t>
  </si>
  <si>
    <t xml:space="preserve">DEAL-5806</t>
  </si>
  <si>
    <t xml:space="preserve">DEAL-5807</t>
  </si>
  <si>
    <t xml:space="preserve">DEAL-5808</t>
  </si>
  <si>
    <t xml:space="preserve">DEAL-5809</t>
  </si>
  <si>
    <t xml:space="preserve">DEAL-5810</t>
  </si>
  <si>
    <t xml:space="preserve">DEAL-5811</t>
  </si>
  <si>
    <t xml:space="preserve">DEAL-5812</t>
  </si>
  <si>
    <t xml:space="preserve">DEAL-5813</t>
  </si>
  <si>
    <t xml:space="preserve">DEAL-5814</t>
  </si>
  <si>
    <t xml:space="preserve">DEAL-5815</t>
  </si>
  <si>
    <t xml:space="preserve">DEAL-5816</t>
  </si>
  <si>
    <t xml:space="preserve">DEAL-5817</t>
  </si>
  <si>
    <t xml:space="preserve">DEAL-5818</t>
  </si>
  <si>
    <t xml:space="preserve">DEAL-5819</t>
  </si>
  <si>
    <t xml:space="preserve">DEAL-5820</t>
  </si>
  <si>
    <t xml:space="preserve">DEAL-5821</t>
  </si>
  <si>
    <t xml:space="preserve">DEAL-5822</t>
  </si>
  <si>
    <t xml:space="preserve">DEAL-5823</t>
  </si>
  <si>
    <t xml:space="preserve">DEAL-5824</t>
  </si>
  <si>
    <t xml:space="preserve">DEAL-5825</t>
  </si>
  <si>
    <t xml:space="preserve">DEAL-5826</t>
  </si>
  <si>
    <t xml:space="preserve">DEAL-5827</t>
  </si>
  <si>
    <t xml:space="preserve">DEAL-5828</t>
  </si>
  <si>
    <t xml:space="preserve">DEAL-5829</t>
  </si>
  <si>
    <t xml:space="preserve">DEAL-5830</t>
  </si>
  <si>
    <t xml:space="preserve">DEAL-5831</t>
  </si>
  <si>
    <t xml:space="preserve">DEAL-5832</t>
  </si>
  <si>
    <t xml:space="preserve">DEAL-5833</t>
  </si>
  <si>
    <t xml:space="preserve">DEAL-5834</t>
  </si>
  <si>
    <t xml:space="preserve">2026-03-08</t>
  </si>
  <si>
    <t xml:space="preserve">DEAL-5835</t>
  </si>
  <si>
    <t xml:space="preserve">DEAL-5836</t>
  </si>
  <si>
    <t xml:space="preserve">2026-04-09</t>
  </si>
  <si>
    <t xml:space="preserve">DEAL-5837</t>
  </si>
  <si>
    <t xml:space="preserve">DEAL-5838</t>
  </si>
  <si>
    <t xml:space="preserve">DEAL-5839</t>
  </si>
  <si>
    <t xml:space="preserve">DEAL-5840</t>
  </si>
  <si>
    <t xml:space="preserve">DEAL-5841</t>
  </si>
  <si>
    <t xml:space="preserve">DEAL-5842</t>
  </si>
  <si>
    <t xml:space="preserve">DEAL-5843</t>
  </si>
  <si>
    <t xml:space="preserve">DEAL-5844</t>
  </si>
  <si>
    <t xml:space="preserve">2026-03-07</t>
  </si>
  <si>
    <t xml:space="preserve">DEAL-5845</t>
  </si>
  <si>
    <t xml:space="preserve">DEAL-5846</t>
  </si>
  <si>
    <t xml:space="preserve">DEAL-5847</t>
  </si>
  <si>
    <t xml:space="preserve">DEAL-5848</t>
  </si>
  <si>
    <t xml:space="preserve">DEAL-5849</t>
  </si>
  <si>
    <t xml:space="preserve">DEAL-5850</t>
  </si>
  <si>
    <t xml:space="preserve">DEAL-5851</t>
  </si>
  <si>
    <t xml:space="preserve">DEAL-5852</t>
  </si>
  <si>
    <t xml:space="preserve">DEAL-5853</t>
  </si>
  <si>
    <t xml:space="preserve">DEAL-5854</t>
  </si>
  <si>
    <t xml:space="preserve">DEAL-5855</t>
  </si>
  <si>
    <t xml:space="preserve">DEAL-5856</t>
  </si>
  <si>
    <t xml:space="preserve">DEAL-5857</t>
  </si>
  <si>
    <t xml:space="preserve">DEAL-5858</t>
  </si>
  <si>
    <t xml:space="preserve">DEAL-5859</t>
  </si>
  <si>
    <t xml:space="preserve">DEAL-5860</t>
  </si>
  <si>
    <t xml:space="preserve">DEAL-5861</t>
  </si>
  <si>
    <t xml:space="preserve">DEAL-5862</t>
  </si>
  <si>
    <t xml:space="preserve">DEAL-5863</t>
  </si>
  <si>
    <t xml:space="preserve">DEAL-5864</t>
  </si>
  <si>
    <t xml:space="preserve">DEAL-5865</t>
  </si>
  <si>
    <t xml:space="preserve">DEAL-5866</t>
  </si>
  <si>
    <t xml:space="preserve">DEAL-5867</t>
  </si>
  <si>
    <t xml:space="preserve">DEAL-5868</t>
  </si>
  <si>
    <t xml:space="preserve">DEAL-5869</t>
  </si>
  <si>
    <t xml:space="preserve">DEAL-5870</t>
  </si>
  <si>
    <t xml:space="preserve">DEAL-5871</t>
  </si>
  <si>
    <t xml:space="preserve">DEAL-5872</t>
  </si>
  <si>
    <t xml:space="preserve">DEAL-5873</t>
  </si>
  <si>
    <t xml:space="preserve">DEAL-5874</t>
  </si>
  <si>
    <t xml:space="preserve">DEAL-5875</t>
  </si>
  <si>
    <t xml:space="preserve">DEAL-5876</t>
  </si>
  <si>
    <t xml:space="preserve">2026-01-20</t>
  </si>
  <si>
    <t xml:space="preserve">DEAL-5877</t>
  </si>
  <si>
    <t xml:space="preserve">DEAL-5878</t>
  </si>
  <si>
    <t xml:space="preserve">DEAL-5879</t>
  </si>
  <si>
    <t xml:space="preserve">DEAL-5880</t>
  </si>
  <si>
    <t xml:space="preserve">DEAL-5881</t>
  </si>
  <si>
    <t xml:space="preserve">DEAL-5882</t>
  </si>
  <si>
    <t xml:space="preserve">DEAL-5883</t>
  </si>
  <si>
    <t xml:space="preserve">DEAL-5884</t>
  </si>
  <si>
    <t xml:space="preserve">DEAL-5885</t>
  </si>
  <si>
    <t xml:space="preserve">DEAL-5886</t>
  </si>
  <si>
    <t xml:space="preserve">DEAL-5887</t>
  </si>
  <si>
    <t xml:space="preserve">DEAL-5888</t>
  </si>
  <si>
    <t xml:space="preserve">DEAL-5889</t>
  </si>
  <si>
    <t xml:space="preserve">DEAL-5890</t>
  </si>
  <si>
    <t xml:space="preserve">DEAL-5891</t>
  </si>
  <si>
    <t xml:space="preserve">2026-01-25</t>
  </si>
  <si>
    <t xml:space="preserve">DEAL-5892</t>
  </si>
  <si>
    <t xml:space="preserve">DEAL-5893</t>
  </si>
  <si>
    <t xml:space="preserve">DEAL-5894</t>
  </si>
  <si>
    <t xml:space="preserve">DEAL-5895</t>
  </si>
  <si>
    <t xml:space="preserve">DEAL-5896</t>
  </si>
  <si>
    <t xml:space="preserve">DEAL-5897</t>
  </si>
  <si>
    <t xml:space="preserve">DEAL-5898</t>
  </si>
  <si>
    <t xml:space="preserve">DEAL-5899</t>
  </si>
  <si>
    <t xml:space="preserve">DEAL-5900</t>
  </si>
  <si>
    <t xml:space="preserve">DEAL-5901</t>
  </si>
  <si>
    <t xml:space="preserve">DEAL-5902</t>
  </si>
  <si>
    <t xml:space="preserve">DEAL-5903</t>
  </si>
  <si>
    <t xml:space="preserve">DEAL-5904</t>
  </si>
  <si>
    <t xml:space="preserve">DEAL-5905</t>
  </si>
  <si>
    <t xml:space="preserve">DEAL-5906</t>
  </si>
  <si>
    <t xml:space="preserve">DEAL-5907</t>
  </si>
  <si>
    <t xml:space="preserve">2026-01-19</t>
  </si>
  <si>
    <t xml:space="preserve">DEAL-5908</t>
  </si>
  <si>
    <t xml:space="preserve">DEAL-5909</t>
  </si>
  <si>
    <t xml:space="preserve">DEAL-5910</t>
  </si>
  <si>
    <t xml:space="preserve">DEAL-5911</t>
  </si>
  <si>
    <t xml:space="preserve">DEAL-5912</t>
  </si>
  <si>
    <t xml:space="preserve">2026-05-07</t>
  </si>
  <si>
    <t xml:space="preserve">DEAL-5913</t>
  </si>
  <si>
    <t xml:space="preserve">DEAL-5914</t>
  </si>
  <si>
    <t xml:space="preserve">DEAL-5915</t>
  </si>
  <si>
    <t xml:space="preserve">DEAL-5916</t>
  </si>
  <si>
    <t xml:space="preserve">DEAL-5917</t>
  </si>
  <si>
    <t xml:space="preserve">DEAL-5918</t>
  </si>
  <si>
    <t xml:space="preserve">DEAL-5919</t>
  </si>
  <si>
    <t xml:space="preserve">DEAL-5920</t>
  </si>
  <si>
    <t xml:space="preserve">DEAL-5921</t>
  </si>
  <si>
    <t xml:space="preserve">DEAL-5922</t>
  </si>
  <si>
    <t xml:space="preserve">DEAL-5923</t>
  </si>
  <si>
    <t xml:space="preserve">DEAL-5924</t>
  </si>
  <si>
    <t xml:space="preserve">DEAL-5925</t>
  </si>
  <si>
    <t xml:space="preserve">DEAL-5926</t>
  </si>
  <si>
    <t xml:space="preserve">DEAL-5927</t>
  </si>
  <si>
    <t xml:space="preserve">DEAL-5928</t>
  </si>
  <si>
    <t xml:space="preserve">DEAL-5929</t>
  </si>
  <si>
    <t xml:space="preserve">DEAL-5930</t>
  </si>
  <si>
    <t xml:space="preserve">DEAL-5931</t>
  </si>
  <si>
    <t xml:space="preserve">2026-04-21</t>
  </si>
  <si>
    <t xml:space="preserve">DEAL-5932</t>
  </si>
  <si>
    <t xml:space="preserve">DEAL-5933</t>
  </si>
  <si>
    <t xml:space="preserve">DEAL-5934</t>
  </si>
  <si>
    <t xml:space="preserve">DEAL-5935</t>
  </si>
  <si>
    <t xml:space="preserve">DEAL-5936</t>
  </si>
  <si>
    <t xml:space="preserve">DEAL-5937</t>
  </si>
  <si>
    <t xml:space="preserve">DEAL-5938</t>
  </si>
  <si>
    <t xml:space="preserve">DEAL-5939</t>
  </si>
  <si>
    <t xml:space="preserve">DEAL-5940</t>
  </si>
  <si>
    <t xml:space="preserve">DEAL-5941</t>
  </si>
  <si>
    <t xml:space="preserve">DEAL-5942</t>
  </si>
  <si>
    <t xml:space="preserve">DEAL-5943</t>
  </si>
  <si>
    <t xml:space="preserve">DEAL-5944</t>
  </si>
  <si>
    <t xml:space="preserve">2026-01-30</t>
  </si>
  <si>
    <t xml:space="preserve">DEAL-5945</t>
  </si>
  <si>
    <t xml:space="preserve">DEAL-5946</t>
  </si>
  <si>
    <t xml:space="preserve">DEAL-5947</t>
  </si>
  <si>
    <t xml:space="preserve">DEAL-5948</t>
  </si>
  <si>
    <t xml:space="preserve">DEAL-5949</t>
  </si>
  <si>
    <t xml:space="preserve">DEAL-5950</t>
  </si>
  <si>
    <t xml:space="preserve">DEAL-5951</t>
  </si>
  <si>
    <t xml:space="preserve">DEAL-5952</t>
  </si>
  <si>
    <t xml:space="preserve">DEAL-5953</t>
  </si>
  <si>
    <t xml:space="preserve">DEAL-5954</t>
  </si>
  <si>
    <t xml:space="preserve">DEAL-5955</t>
  </si>
  <si>
    <t xml:space="preserve">DEAL-5956</t>
  </si>
  <si>
    <t xml:space="preserve">DEAL-5957</t>
  </si>
  <si>
    <t xml:space="preserve">2026-06-19</t>
  </si>
  <si>
    <t xml:space="preserve">DEAL-5958</t>
  </si>
  <si>
    <t xml:space="preserve">DEAL-5959</t>
  </si>
  <si>
    <t xml:space="preserve">DEAL-5960</t>
  </si>
  <si>
    <t xml:space="preserve">DEAL-5961</t>
  </si>
  <si>
    <t xml:space="preserve">DEAL-5962</t>
  </si>
  <si>
    <t xml:space="preserve">DEAL-5963</t>
  </si>
  <si>
    <t xml:space="preserve">DEAL-5964</t>
  </si>
  <si>
    <t xml:space="preserve">DEAL-5965</t>
  </si>
  <si>
    <t xml:space="preserve">DEAL-5966</t>
  </si>
  <si>
    <t xml:space="preserve">DEAL-5967</t>
  </si>
  <si>
    <t xml:space="preserve">DEAL-5968</t>
  </si>
  <si>
    <t xml:space="preserve">DEAL-5969</t>
  </si>
  <si>
    <t xml:space="preserve">DEAL-5970</t>
  </si>
  <si>
    <t xml:space="preserve">DEAL-5971</t>
  </si>
  <si>
    <t xml:space="preserve">DEAL-5972</t>
  </si>
  <si>
    <t xml:space="preserve">DEAL-5973</t>
  </si>
  <si>
    <t xml:space="preserve">DEAL-5974</t>
  </si>
  <si>
    <t xml:space="preserve">DEAL-5975</t>
  </si>
  <si>
    <t xml:space="preserve">DEAL-5976</t>
  </si>
  <si>
    <t xml:space="preserve">DEAL-5977</t>
  </si>
  <si>
    <t xml:space="preserve">DEAL-5978</t>
  </si>
  <si>
    <t xml:space="preserve">DEAL-5979</t>
  </si>
  <si>
    <t xml:space="preserve">DEAL-5980</t>
  </si>
  <si>
    <t xml:space="preserve">DEAL-5981</t>
  </si>
  <si>
    <t xml:space="preserve">DEAL-5982</t>
  </si>
  <si>
    <t xml:space="preserve">DEAL-5983</t>
  </si>
  <si>
    <t xml:space="preserve">DEAL-5984</t>
  </si>
  <si>
    <t xml:space="preserve">DEAL-5985</t>
  </si>
  <si>
    <t xml:space="preserve">DEAL-5986</t>
  </si>
  <si>
    <t xml:space="preserve">DEAL-5987</t>
  </si>
  <si>
    <t xml:space="preserve">DEAL-5988</t>
  </si>
  <si>
    <t xml:space="preserve">DEAL-5989</t>
  </si>
  <si>
    <t xml:space="preserve">DEAL-5990</t>
  </si>
  <si>
    <t xml:space="preserve">DEAL-5991</t>
  </si>
  <si>
    <t xml:space="preserve">DEAL-5992</t>
  </si>
  <si>
    <t xml:space="preserve">DEAL-5993</t>
  </si>
  <si>
    <t xml:space="preserve">DEAL-5994</t>
  </si>
  <si>
    <t xml:space="preserve">DEAL-5995</t>
  </si>
  <si>
    <t xml:space="preserve">DEAL-5996</t>
  </si>
  <si>
    <t xml:space="preserve">DEAL-5997</t>
  </si>
  <si>
    <t xml:space="preserve">DEAL-5998</t>
  </si>
  <si>
    <t xml:space="preserve">DEAL-5999</t>
  </si>
  <si>
    <t xml:space="preserve">DEAL-6000</t>
  </si>
  <si>
    <t xml:space="preserve">DEAL-6001</t>
  </si>
  <si>
    <t xml:space="preserve">DEAL-6002</t>
  </si>
  <si>
    <t xml:space="preserve">DEAL-6003</t>
  </si>
  <si>
    <t xml:space="preserve">DEAL-6004</t>
  </si>
  <si>
    <t xml:space="preserve">DEAL-6005</t>
  </si>
  <si>
    <t xml:space="preserve">DEAL-6006</t>
  </si>
  <si>
    <t xml:space="preserve">DEAL-6007</t>
  </si>
  <si>
    <t xml:space="preserve">DEAL-6008</t>
  </si>
  <si>
    <t xml:space="preserve">DEAL-6009</t>
  </si>
  <si>
    <t xml:space="preserve">DEAL-6010</t>
  </si>
  <si>
    <t xml:space="preserve">DEAL-6011</t>
  </si>
  <si>
    <t xml:space="preserve">DEAL-6012</t>
  </si>
  <si>
    <t xml:space="preserve">DEAL-6013</t>
  </si>
  <si>
    <t xml:space="preserve">DEAL-6014</t>
  </si>
  <si>
    <t xml:space="preserve">DEAL-6015</t>
  </si>
  <si>
    <t xml:space="preserve">DEAL-6016</t>
  </si>
  <si>
    <t xml:space="preserve">DEAL-6017</t>
  </si>
  <si>
    <t xml:space="preserve">DEAL-6018</t>
  </si>
  <si>
    <t xml:space="preserve">DEAL-6019</t>
  </si>
  <si>
    <t xml:space="preserve">DEAL-6020</t>
  </si>
  <si>
    <t xml:space="preserve">DEAL-6021</t>
  </si>
  <si>
    <t xml:space="preserve">DEAL-6022</t>
  </si>
  <si>
    <t xml:space="preserve">DEAL-6023</t>
  </si>
  <si>
    <t xml:space="preserve">DEAL-6024</t>
  </si>
  <si>
    <t xml:space="preserve">DEAL-6025</t>
  </si>
  <si>
    <t xml:space="preserve">DEAL-6026</t>
  </si>
  <si>
    <t xml:space="preserve">DEAL-6027</t>
  </si>
  <si>
    <t xml:space="preserve">DEAL-6028</t>
  </si>
  <si>
    <t xml:space="preserve">DEAL-6029</t>
  </si>
  <si>
    <t xml:space="preserve">2026-05-31</t>
  </si>
  <si>
    <t xml:space="preserve">DEAL-6030</t>
  </si>
  <si>
    <t xml:space="preserve">DEAL-6031</t>
  </si>
  <si>
    <t xml:space="preserve">DEAL-6032</t>
  </si>
  <si>
    <t xml:space="preserve">2026-06-09</t>
  </si>
  <si>
    <t xml:space="preserve">DEAL-6033</t>
  </si>
  <si>
    <t xml:space="preserve">DEAL-6034</t>
  </si>
  <si>
    <t xml:space="preserve">DEAL-6035</t>
  </si>
  <si>
    <t xml:space="preserve">DEAL-6036</t>
  </si>
  <si>
    <t xml:space="preserve">DEAL-6037</t>
  </si>
  <si>
    <t xml:space="preserve">DEAL-6038</t>
  </si>
  <si>
    <t xml:space="preserve">DEAL-6039</t>
  </si>
  <si>
    <t xml:space="preserve">DEAL-6040</t>
  </si>
  <si>
    <t xml:space="preserve">DEAL-6041</t>
  </si>
  <si>
    <t xml:space="preserve">DEAL-6042</t>
  </si>
  <si>
    <t xml:space="preserve">DEAL-6043</t>
  </si>
  <si>
    <t xml:space="preserve">DEAL-6044</t>
  </si>
  <si>
    <t xml:space="preserve">DEAL-6045</t>
  </si>
  <si>
    <t xml:space="preserve">DEAL-6046</t>
  </si>
  <si>
    <t xml:space="preserve">2026-01-08</t>
  </si>
  <si>
    <t xml:space="preserve">DEAL-6047</t>
  </si>
  <si>
    <t xml:space="preserve">DEAL-6048</t>
  </si>
  <si>
    <t xml:space="preserve">DEAL-6049</t>
  </si>
  <si>
    <t xml:space="preserve">DEAL-6050</t>
  </si>
  <si>
    <t xml:space="preserve">DEAL-6051</t>
  </si>
  <si>
    <t xml:space="preserve">DEAL-6052</t>
  </si>
  <si>
    <t xml:space="preserve">DEAL-6053</t>
  </si>
  <si>
    <t xml:space="preserve">DEAL-6054</t>
  </si>
  <si>
    <t xml:space="preserve">DEAL-6055</t>
  </si>
  <si>
    <t xml:space="preserve">DEAL-6056</t>
  </si>
  <si>
    <t xml:space="preserve">DEAL-6057</t>
  </si>
  <si>
    <t xml:space="preserve">DEAL-6058</t>
  </si>
  <si>
    <t xml:space="preserve">DEAL-6059</t>
  </si>
  <si>
    <t xml:space="preserve">DEAL-6060</t>
  </si>
  <si>
    <t xml:space="preserve">DEAL-6061</t>
  </si>
  <si>
    <t xml:space="preserve">DEAL-6062</t>
  </si>
  <si>
    <t xml:space="preserve">2026-02-26</t>
  </si>
  <si>
    <t xml:space="preserve">DEAL-6063</t>
  </si>
  <si>
    <t xml:space="preserve">2026-03-01</t>
  </si>
  <si>
    <t xml:space="preserve">DEAL-6064</t>
  </si>
  <si>
    <t xml:space="preserve">DEAL-6065</t>
  </si>
  <si>
    <t xml:space="preserve">DEAL-6066</t>
  </si>
  <si>
    <t xml:space="preserve">DEAL-6067</t>
  </si>
  <si>
    <t xml:space="preserve">DEAL-6068</t>
  </si>
  <si>
    <t xml:space="preserve">DEAL-6069</t>
  </si>
  <si>
    <t xml:space="preserve">2026-03-27</t>
  </si>
  <si>
    <t xml:space="preserve">DEAL-6070</t>
  </si>
  <si>
    <t xml:space="preserve">DEAL-6071</t>
  </si>
  <si>
    <t xml:space="preserve">DEAL-6072</t>
  </si>
  <si>
    <t xml:space="preserve">DEAL-6073</t>
  </si>
  <si>
    <t xml:space="preserve">DEAL-6074</t>
  </si>
  <si>
    <t xml:space="preserve">DEAL-6075</t>
  </si>
  <si>
    <t xml:space="preserve">DEAL-6076</t>
  </si>
  <si>
    <t xml:space="preserve">DEAL-6077</t>
  </si>
  <si>
    <t xml:space="preserve">DEAL-6078</t>
  </si>
  <si>
    <t xml:space="preserve">DEAL-6079</t>
  </si>
  <si>
    <t xml:space="preserve">DEAL-6080</t>
  </si>
  <si>
    <t xml:space="preserve">DEAL-6081</t>
  </si>
  <si>
    <t xml:space="preserve">DEAL-6082</t>
  </si>
  <si>
    <t xml:space="preserve">DEAL-6083</t>
  </si>
  <si>
    <t xml:space="preserve">DEAL-6084</t>
  </si>
  <si>
    <t xml:space="preserve">DEAL-6085</t>
  </si>
  <si>
    <t xml:space="preserve">DEAL-6086</t>
  </si>
  <si>
    <t xml:space="preserve">DEAL-6087</t>
  </si>
  <si>
    <t xml:space="preserve">DEAL-6088</t>
  </si>
  <si>
    <t xml:space="preserve">DEAL-6089</t>
  </si>
  <si>
    <t xml:space="preserve">DEAL-6090</t>
  </si>
  <si>
    <t xml:space="preserve">DEAL-6091</t>
  </si>
  <si>
    <t xml:space="preserve">DEAL-6092</t>
  </si>
  <si>
    <t xml:space="preserve">DEAL-6093</t>
  </si>
  <si>
    <t xml:space="preserve">DEAL-6094</t>
  </si>
  <si>
    <t xml:space="preserve">DEAL-6095</t>
  </si>
  <si>
    <t xml:space="preserve">DEAL-6096</t>
  </si>
  <si>
    <t xml:space="preserve">DEAL-6097</t>
  </si>
  <si>
    <t xml:space="preserve">DEAL-6098</t>
  </si>
  <si>
    <t xml:space="preserve">DEAL-6099</t>
  </si>
  <si>
    <t xml:space="preserve">DEAL-6100</t>
  </si>
  <si>
    <t xml:space="preserve">DEAL-6101</t>
  </si>
  <si>
    <t xml:space="preserve">DEAL-6102</t>
  </si>
  <si>
    <t xml:space="preserve">DEAL-6103</t>
  </si>
  <si>
    <t xml:space="preserve">DEAL-6104</t>
  </si>
  <si>
    <t xml:space="preserve">DEAL-6105</t>
  </si>
  <si>
    <t xml:space="preserve">DEAL-6106</t>
  </si>
  <si>
    <t xml:space="preserve">2026-02-18</t>
  </si>
  <si>
    <t xml:space="preserve">DEAL-6107</t>
  </si>
  <si>
    <t xml:space="preserve">DEAL-6108</t>
  </si>
  <si>
    <t xml:space="preserve">DEAL-6109</t>
  </si>
  <si>
    <t xml:space="preserve">2026-03-19</t>
  </si>
  <si>
    <t xml:space="preserve">DEAL-6110</t>
  </si>
  <si>
    <t xml:space="preserve">DEAL-6111</t>
  </si>
  <si>
    <t xml:space="preserve">DEAL-6112</t>
  </si>
  <si>
    <t xml:space="preserve">DEAL-6113</t>
  </si>
  <si>
    <t xml:space="preserve">DEAL-6114</t>
  </si>
  <si>
    <t xml:space="preserve">DEAL-6115</t>
  </si>
  <si>
    <t xml:space="preserve">DEAL-6116</t>
  </si>
  <si>
    <t xml:space="preserve">DEAL-6117</t>
  </si>
  <si>
    <t xml:space="preserve">DEAL-6118</t>
  </si>
  <si>
    <t xml:space="preserve">DEAL-6119</t>
  </si>
  <si>
    <t xml:space="preserve">DEAL-6120</t>
  </si>
  <si>
    <t xml:space="preserve">DEAL-6121</t>
  </si>
  <si>
    <t xml:space="preserve">DEAL-6122</t>
  </si>
  <si>
    <t xml:space="preserve">DEAL-6123</t>
  </si>
  <si>
    <t xml:space="preserve">DEAL-6124</t>
  </si>
  <si>
    <t xml:space="preserve">DEAL-6125</t>
  </si>
  <si>
    <t xml:space="preserve">DEAL-6126</t>
  </si>
  <si>
    <t xml:space="preserve">DEAL-6127</t>
  </si>
  <si>
    <t xml:space="preserve">DEAL-6128</t>
  </si>
  <si>
    <t xml:space="preserve">DEAL-6129</t>
  </si>
  <si>
    <t xml:space="preserve">DEAL-6130</t>
  </si>
  <si>
    <t xml:space="preserve">DEAL-6131</t>
  </si>
  <si>
    <t xml:space="preserve">DEAL-6132</t>
  </si>
  <si>
    <t xml:space="preserve">DEAL-6133</t>
  </si>
  <si>
    <t xml:space="preserve">DEAL-6134</t>
  </si>
  <si>
    <t xml:space="preserve">2026-03-03</t>
  </si>
  <si>
    <t xml:space="preserve">DEAL-6135</t>
  </si>
  <si>
    <t xml:space="preserve">DEAL-6136</t>
  </si>
  <si>
    <t xml:space="preserve">DEAL-6137</t>
  </si>
  <si>
    <t xml:space="preserve">DEAL-6138</t>
  </si>
  <si>
    <t xml:space="preserve">DEAL-6139</t>
  </si>
  <si>
    <t xml:space="preserve">DEAL-6140</t>
  </si>
  <si>
    <t xml:space="preserve">DEAL-6141</t>
  </si>
  <si>
    <t xml:space="preserve">DEAL-6142</t>
  </si>
  <si>
    <t xml:space="preserve">DEAL-6143</t>
  </si>
  <si>
    <t xml:space="preserve">DEAL-6144</t>
  </si>
  <si>
    <t xml:space="preserve">DEAL-6145</t>
  </si>
  <si>
    <t xml:space="preserve">DEAL-6146</t>
  </si>
  <si>
    <t xml:space="preserve">DEAL-6147</t>
  </si>
  <si>
    <t xml:space="preserve">DEAL-6148</t>
  </si>
  <si>
    <t xml:space="preserve">DEAL-6149</t>
  </si>
  <si>
    <t xml:space="preserve">DEAL-6150</t>
  </si>
  <si>
    <t xml:space="preserve">DEAL-6151</t>
  </si>
  <si>
    <t xml:space="preserve">2026-05-24</t>
  </si>
  <si>
    <t xml:space="preserve">DEAL-6152</t>
  </si>
  <si>
    <t xml:space="preserve">DEAL-6153</t>
  </si>
  <si>
    <t xml:space="preserve">DEAL-6154</t>
  </si>
  <si>
    <t xml:space="preserve">DEAL-6155</t>
  </si>
  <si>
    <t xml:space="preserve">DEAL-6156</t>
  </si>
  <si>
    <t xml:space="preserve">DEAL-6157</t>
  </si>
  <si>
    <t xml:space="preserve">DEAL-6158</t>
  </si>
  <si>
    <t xml:space="preserve">DEAL-6159</t>
  </si>
  <si>
    <t xml:space="preserve">DEAL-6160</t>
  </si>
  <si>
    <t xml:space="preserve">DEAL-6161</t>
  </si>
  <si>
    <t xml:space="preserve">DEAL-6162</t>
  </si>
  <si>
    <t xml:space="preserve">DEAL-6163</t>
  </si>
  <si>
    <t xml:space="preserve">DEAL-6164</t>
  </si>
  <si>
    <t xml:space="preserve">DEAL-6165</t>
  </si>
  <si>
    <t xml:space="preserve">DEAL-6166</t>
  </si>
  <si>
    <t xml:space="preserve">DEAL-6167</t>
  </si>
  <si>
    <t xml:space="preserve">DEAL-6168</t>
  </si>
  <si>
    <t xml:space="preserve">DEAL-6169</t>
  </si>
  <si>
    <t xml:space="preserve">DEAL-6170</t>
  </si>
  <si>
    <t xml:space="preserve">DEAL-6171</t>
  </si>
  <si>
    <t xml:space="preserve">2026-03-02</t>
  </si>
  <si>
    <t xml:space="preserve">DEAL-6172</t>
  </si>
  <si>
    <t xml:space="preserve">DEAL-6173</t>
  </si>
  <si>
    <t xml:space="preserve">DEAL-6174</t>
  </si>
  <si>
    <t xml:space="preserve">DEAL-6175</t>
  </si>
  <si>
    <t xml:space="preserve">DEAL-6176</t>
  </si>
  <si>
    <t xml:space="preserve">DEAL-6177</t>
  </si>
  <si>
    <t xml:space="preserve">DEAL-6178</t>
  </si>
  <si>
    <t xml:space="preserve">DEAL-6179</t>
  </si>
  <si>
    <t xml:space="preserve">DEAL-6180</t>
  </si>
  <si>
    <t xml:space="preserve">DEAL-6181</t>
  </si>
  <si>
    <t xml:space="preserve">DEAL-6182</t>
  </si>
  <si>
    <t xml:space="preserve">DEAL-6183</t>
  </si>
  <si>
    <t xml:space="preserve">DEAL-6184</t>
  </si>
  <si>
    <t xml:space="preserve">DEAL-6185</t>
  </si>
  <si>
    <t xml:space="preserve">DEAL-6186</t>
  </si>
  <si>
    <t xml:space="preserve">DEAL-6187</t>
  </si>
  <si>
    <t xml:space="preserve">DEAL-6188</t>
  </si>
  <si>
    <t xml:space="preserve">DEAL-6189</t>
  </si>
  <si>
    <t xml:space="preserve">DEAL-6190</t>
  </si>
  <si>
    <t xml:space="preserve">DEAL-6191</t>
  </si>
  <si>
    <t xml:space="preserve">DEAL-6192</t>
  </si>
  <si>
    <t xml:space="preserve">DEAL-6193</t>
  </si>
  <si>
    <t xml:space="preserve">DEAL-6194</t>
  </si>
  <si>
    <t xml:space="preserve">DEAL-6195</t>
  </si>
  <si>
    <t xml:space="preserve">DEAL-6196</t>
  </si>
  <si>
    <t xml:space="preserve">DEAL-6197</t>
  </si>
  <si>
    <t xml:space="preserve">DEAL-6198</t>
  </si>
  <si>
    <t xml:space="preserve">DEAL-6199</t>
  </si>
  <si>
    <t xml:space="preserve">annual_quota</t>
  </si>
  <si>
    <t xml:space="preserve">actual_revenue</t>
  </si>
  <si>
    <t xml:space="preserve">quota_attainment_pct</t>
  </si>
  <si>
    <t xml:space="preserve">deals_won</t>
  </si>
  <si>
    <t xml:space="preserve">deals_lost</t>
  </si>
  <si>
    <t xml:space="preserve">win_rate</t>
  </si>
  <si>
    <t xml:space="preserve">avg_deal_size</t>
  </si>
  <si>
    <t xml:space="preserve">avg_sales_cycle_days</t>
  </si>
  <si>
    <t xml:space="preserve">avg_discount_rate</t>
  </si>
  <si>
    <t xml:space="preserve">avg_gross_margin_pct</t>
  </si>
  <si>
    <t xml:space="preserve">year</t>
  </si>
  <si>
    <t xml:space="preserve">month</t>
  </si>
  <si>
    <t xml:space="preserve">plan_revenue</t>
  </si>
  <si>
    <t xml:space="preserve">variance_vs_plan</t>
  </si>
  <si>
    <t xml:space="preserve">variance_pct</t>
  </si>
  <si>
    <t xml:space="preserve">actual_discount_rate</t>
  </si>
  <si>
    <t xml:space="preserve">actual_gm_pct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</si>
  <si>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</si>
  <si>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</si>
  <si>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</si>
  <si>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</si>
  <si>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</si>
  <si>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</si>
  <si>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</si>
  <si>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</si>
  <si>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</si>
  <si>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</si>
  <si>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</si>
  <si>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</si>
  <si>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⚙  Model Assumptions &amp; Inputs — Middleton Finance Suite</t>
  </si>
  <si>
    <t xml:space="preserve">DISCOUNT POLICY</t>
  </si>
  <si>
    <t xml:space="preserve">Max Allowable Discount — Enterprise</t>
  </si>
  <si>
    <t xml:space="preserve">Policy cap per deal approval matrix</t>
  </si>
  <si>
    <t xml:space="preserve">Max Allowable Discount — Commercial</t>
  </si>
  <si>
    <t xml:space="preserve">Max Allowable Discount — SMB/Public</t>
  </si>
  <si>
    <t xml:space="preserve">Plan Discount Rate (blended FY2024)</t>
  </si>
  <si>
    <t xml:space="preserve">Finance budget assumption</t>
  </si>
  <si>
    <t xml:space="preserve">GROSS MARGIN TARGETS</t>
  </si>
  <si>
    <t xml:space="preserve">Target GM% — GPUs</t>
  </si>
  <si>
    <t xml:space="preserve">FY2024 product finance target</t>
  </si>
  <si>
    <t xml:space="preserve">Target GM% — CPUs</t>
  </si>
  <si>
    <t xml:space="preserve">Target GM% — Embedded</t>
  </si>
  <si>
    <t xml:space="preserve">Target GM% — Semi-Custom</t>
  </si>
  <si>
    <t xml:space="preserve">Target GM% — Adaptive Computing</t>
  </si>
  <si>
    <t xml:space="preserve">REBATE ACCRUAL</t>
  </si>
  <si>
    <t xml:space="preserve">Rebate Rate — Gold Partners</t>
  </si>
  <si>
    <t xml:space="preserve">Applied to net revenue, accrued monthly</t>
  </si>
  <si>
    <t xml:space="preserve">Rebate Rate — Silver Partners</t>
  </si>
  <si>
    <t xml:space="preserve">Rebate Rate — Bronze Partners</t>
  </si>
  <si>
    <t xml:space="preserve">MDF Allocation % of Net Revenue</t>
  </si>
  <si>
    <t xml:space="preserve">Market Development Funds annual budget</t>
  </si>
  <si>
    <t xml:space="preserve">DEAL SCORING WEIGHTS</t>
  </si>
  <si>
    <t xml:space="preserve">Weight — Gross Margin Component</t>
  </si>
  <si>
    <t xml:space="preserve">Composite score formula — must sum to 100%</t>
  </si>
  <si>
    <t xml:space="preserve">Weight — Discount Component</t>
  </si>
  <si>
    <t xml:space="preserve">Composite score formula</t>
  </si>
  <si>
    <t xml:space="preserve">Weight — Strategic Value Component</t>
  </si>
  <si>
    <t xml:space="preserve">Weight — Risk Component</t>
  </si>
  <si>
    <t xml:space="preserve">Auto-Approve Threshold (score ≥)</t>
  </si>
  <si>
    <t xml:space="preserve">Deals above this score auto-cleared</t>
  </si>
  <si>
    <t xml:space="preserve">Escalate Threshold (score &lt;)</t>
  </si>
  <si>
    <t xml:space="preserve">Deals below this require VP sign-off</t>
  </si>
  <si>
    <t xml:space="preserve">COLOR CODING STANDARD</t>
  </si>
  <si>
    <t xml:space="preserve">  Blue text</t>
  </si>
  <si>
    <t xml:space="preserve">Hardcoded input — editable for scenario analysis</t>
  </si>
  <si>
    <t xml:space="preserve">  Black text</t>
  </si>
  <si>
    <t xml:space="preserve">Formula — calculated, do not edit directly</t>
  </si>
  <si>
    <t xml:space="preserve">  Green text</t>
  </si>
  <si>
    <t xml:space="preserve">Cross-sheet reference link</t>
  </si>
  <si>
    <t xml:space="preserve">💰  Pricing &amp; Rebate Intelligence — FY2024 Actuals vs. Plan</t>
  </si>
  <si>
    <t xml:space="preserve">A  |  Discount &amp; Margin by Product Category  [sourced from Data_Transactions]</t>
  </si>
  <si>
    <t xml:space="preserve">Product Category</t>
  </si>
  <si>
    <t xml:space="preserve">Orders</t>
  </si>
  <si>
    <t xml:space="preserve">Net Revenue ($M)</t>
  </si>
  <si>
    <t xml:space="preserve">Actual Disc%</t>
  </si>
  <si>
    <t xml:space="preserve">Plan Disc%</t>
  </si>
  <si>
    <t xml:space="preserve">Variance (pp)</t>
  </si>
  <si>
    <t xml:space="preserve">Actual GM%</t>
  </si>
  <si>
    <t xml:space="preserve">Target GM%</t>
  </si>
  <si>
    <t xml:space="preserve">GM vs Target</t>
  </si>
  <si>
    <t xml:space="preserve">Rebate Accrual ($K)</t>
  </si>
  <si>
    <t xml:space="preserve">Status</t>
  </si>
  <si>
    <t xml:space="preserve">TOTAL / BLENDED AVERAGE</t>
  </si>
  <si>
    <t xml:space="preserve">B  |  Channel Partner Rebate Accrual Schedule  [Data_Transactions + rebate_tiers.csv]</t>
  </si>
  <si>
    <t xml:space="preserve">Channel Partner</t>
  </si>
  <si>
    <t xml:space="preserve">Tier</t>
  </si>
  <si>
    <t xml:space="preserve">Rev Threshold ($M)</t>
  </si>
  <si>
    <t xml:space="preserve">Rebate Rate</t>
  </si>
  <si>
    <t xml:space="preserve">Accrued Rebate ($K)</t>
  </si>
  <si>
    <t xml:space="preserve">MDF Eligible</t>
  </si>
  <si>
    <t xml:space="preserve">Contract End</t>
  </si>
  <si>
    <t xml:space="preserve">Gold</t>
  </si>
  <si>
    <t xml:space="preserve">Yes</t>
  </si>
  <si>
    <t xml:space="preserve">Silver</t>
  </si>
  <si>
    <t xml:space="preserve">Bronze</t>
  </si>
  <si>
    <t xml:space="preserve">No</t>
  </si>
  <si>
    <t xml:space="preserve">C  |  Quarterly Discount Variance vs. Plan — FY2024  [SUMIF/AVERAGEIF from Data_Transactions]</t>
  </si>
  <si>
    <t xml:space="preserve">Quarter</t>
  </si>
  <si>
    <t xml:space="preserve">Avg GM%</t>
  </si>
  <si>
    <t xml:space="preserve">Trend</t>
  </si>
  <si>
    <t xml:space="preserve">📋  Deal Evaluation Scorecard — Pipeline Analysis &amp; Approval Status</t>
  </si>
  <si>
    <t xml:space="preserve">A  |  Scenario Model — Discount Rate Sensitivity  [inputs from Assumptions sheet]</t>
  </si>
  <si>
    <t xml:space="preserve">Scenario</t>
  </si>
  <si>
    <t xml:space="preserve">Discount Rate</t>
  </si>
  <si>
    <t xml:space="preserve">Net Deal Value</t>
  </si>
  <si>
    <t xml:space="preserve">COGS (est.)</t>
  </si>
  <si>
    <t xml:space="preserve">Gross Margin $</t>
  </si>
  <si>
    <t xml:space="preserve">GM%</t>
  </si>
  <si>
    <t xml:space="preserve">vs. Base Case</t>
  </si>
  <si>
    <t xml:space="preserve">Auto-Approve?</t>
  </si>
  <si>
    <t xml:space="preserve">Conservative (Low Disc.)</t>
  </si>
  <si>
    <t xml:space="preserve">Base Case</t>
  </si>
  <si>
    <t xml:space="preserve">—</t>
  </si>
  <si>
    <t xml:space="preserve">Stretched (High Disc.)</t>
  </si>
  <si>
    <t xml:space="preserve">Max Policy — Enterprise</t>
  </si>
  <si>
    <t xml:space="preserve">B  |  Deal Pipeline — Scored &amp; Classified  [1200 Deals from Data_Deals]</t>
  </si>
  <si>
    <t xml:space="preserve">Deal ID</t>
  </si>
  <si>
    <t xml:space="preserve">Stage</t>
  </si>
  <si>
    <t xml:space="preserve">Region</t>
  </si>
  <si>
    <t xml:space="preserve">Segment</t>
  </si>
  <si>
    <t xml:space="preserve">List Value</t>
  </si>
  <si>
    <t xml:space="preserve">Disc%</t>
  </si>
  <si>
    <t xml:space="preserve">Net Value</t>
  </si>
  <si>
    <t xml:space="preserve">Score</t>
  </si>
  <si>
    <t xml:space="preserve">Recommendation</t>
  </si>
  <si>
    <t xml:space="preserve">Partner</t>
  </si>
  <si>
    <t xml:space="preserve">📊  Channel Sales Performance — FY2024 Rep Scorecard &amp; Month-End Close</t>
  </si>
  <si>
    <t xml:space="preserve">A  |  Rep Performance vs. Quota — FY2024  [XLOOKUP from Data_Reps]</t>
  </si>
  <si>
    <t xml:space="preserve">Rep Name</t>
  </si>
  <si>
    <t xml:space="preserve">Annual Quota</t>
  </si>
  <si>
    <t xml:space="preserve">Actual Revenue</t>
  </si>
  <si>
    <t xml:space="preserve">Attainment %</t>
  </si>
  <si>
    <t xml:space="preserve">Avg Deal Size</t>
  </si>
  <si>
    <t xml:space="preserve">Win Rate</t>
  </si>
  <si>
    <t xml:space="preserve">Avg Disc%</t>
  </si>
  <si>
    <t xml:space="preserve">TEAM TOTAL / AVERAGE</t>
  </si>
  <si>
    <t xml:space="preserve">B  |  Month-End Close — Actual vs. Plan Variance (Q4 2024)  [AVERAGEIFS from Data_Monthly]</t>
  </si>
  <si>
    <t xml:space="preserve">Month</t>
  </si>
  <si>
    <t xml:space="preserve">Plan Revenue</t>
  </si>
  <si>
    <t xml:space="preserve">Variance $</t>
  </si>
  <si>
    <t xml:space="preserve">Variance %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</si>
</sst>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"/>
    <numFmt numFmtId="167" formatCode="#,##0"/>
    <numFmt numFmtId="168" formatCode="\$#,##0.00"/>
    <numFmt numFmtId="169" formatCode="\+0.0%;\(0.0%\);\-"/>
    <numFmt numFmtId="170" formatCode="\$#,##0.0"/>
    <numFmt numFmtId="171" formatCode="\$#,##0"/>
    <numFmt numFmtId="172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1A1A2E"/>
        <bgColor rgb="FF003300"/>
      </patternFill>
    </fill>
    <fill>
      <patternFill patternType="solid">
        <fgColor rgb="FFFFFACD"/>
        <bgColor rgb="FFFFF8E1"/>
      </patternFill>
    </fill>
    <fill>
      <patternFill patternType="solid">
        <fgColor rgb="FFFFFFFF"/>
        <bgColor rgb="FFF5F6FA"/>
      </patternFill>
    </fill>
    <fill>
      <patternFill patternType="solid">
        <fgColor rgb="FFF5F6FA"/>
        <bgColor rgb="FFFFFFFF"/>
      </patternFill>
    </fill>
    <fill>
      <patternFill patternType="solid">
        <fgColor rgb="FFD5D8DC"/>
        <bgColor rgb="FFCCCCCC"/>
      </patternFill>
    </fill>
    <fill>
      <patternFill patternType="solid">
        <fgColor rgb="FFE8F8E8"/>
        <bgColor rgb="FFF5F6FA"/>
      </patternFill>
    </fill>
    <fill>
      <patternFill patternType="solid">
        <fgColor rgb="FFFFF8E1"/>
        <bgColor rgb="FFFFFACD"/>
      </patternFill>
    </fill>
    <fill>
      <patternFill patternType="solid">
        <fgColor rgb="FFFFEBEE"/>
        <bgColor rgb="FFF5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ACD"/>
      <rgbColor rgb="FFE8F8E8"/>
      <rgbColor rgb="FF660066"/>
      <rgbColor rgb="FFFF8080"/>
      <rgbColor rgb="FF1F618D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FFEBEE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1A1A2E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T4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tru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n">
        <v>15</v>
      </c>
      <c r="K2" s="3" t="n">
        <v>16800.94</v>
      </c>
      <c r="L2" s="3" t="n">
        <v>252014.1</v>
      </c>
      <c r="M2" s="3" t="n">
        <v>0.0852</v>
      </c>
      <c r="N2" s="3" t="n">
        <v>21471.6</v>
      </c>
      <c r="O2" s="3" t="n">
        <v>230542.5</v>
      </c>
      <c r="P2" s="3" t="n">
        <v>156248.74</v>
      </c>
      <c r="Q2" s="3" t="n">
        <v>74293.76</v>
      </c>
      <c r="R2" s="3" t="n">
        <v>0.3223</v>
      </c>
      <c r="S2" s="3" t="n">
        <v>0.0832</v>
      </c>
      <c r="T2" s="3" t="n">
        <v>0.002</v>
      </c>
    </row>
    <row r="3" customFormat="false" ht="15" hidden="false" customHeight="true" outlineLevel="0" collapsed="false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25</v>
      </c>
      <c r="G3" s="3" t="s">
        <v>34</v>
      </c>
      <c r="H3" s="3" t="s">
        <v>27</v>
      </c>
      <c r="I3" s="3" t="s">
        <v>28</v>
      </c>
      <c r="J3" s="3" t="n">
        <v>39</v>
      </c>
      <c r="K3" s="3" t="n">
        <v>15445.15</v>
      </c>
      <c r="L3" s="3" t="n">
        <v>602360.85</v>
      </c>
      <c r="M3" s="3" t="n">
        <v>0.1332</v>
      </c>
      <c r="N3" s="3" t="n">
        <v>80234.47</v>
      </c>
      <c r="O3" s="3" t="n">
        <v>522126.38</v>
      </c>
      <c r="P3" s="3" t="n">
        <v>373463.73</v>
      </c>
      <c r="Q3" s="3" t="n">
        <v>148662.65</v>
      </c>
      <c r="R3" s="3" t="n">
        <v>0.2847</v>
      </c>
      <c r="S3" s="3" t="n">
        <v>0.1154</v>
      </c>
      <c r="T3" s="3" t="n">
        <v>0.0178</v>
      </c>
    </row>
    <row r="4" customFormat="false" ht="15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n">
        <v>22</v>
      </c>
      <c r="K4" s="3" t="n">
        <v>2943.49</v>
      </c>
      <c r="L4" s="3" t="n">
        <v>64756.78</v>
      </c>
      <c r="M4" s="3" t="n">
        <v>0.0725</v>
      </c>
      <c r="N4" s="3" t="n">
        <v>4694.87</v>
      </c>
      <c r="O4" s="3" t="n">
        <v>60061.91</v>
      </c>
      <c r="P4" s="3" t="n">
        <v>35616.23</v>
      </c>
      <c r="Q4" s="3" t="n">
        <v>24445.68</v>
      </c>
      <c r="R4" s="3" t="n">
        <v>0.407</v>
      </c>
      <c r="S4" s="3" t="n">
        <v>0.0602</v>
      </c>
      <c r="T4" s="3" t="n">
        <v>0.0123</v>
      </c>
    </row>
    <row r="5" customFormat="false" ht="15" hidden="false" customHeight="true" outlineLevel="0" collapsed="false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25</v>
      </c>
      <c r="G5" s="3" t="s">
        <v>49</v>
      </c>
      <c r="H5" s="3" t="s">
        <v>27</v>
      </c>
      <c r="I5" s="3" t="s">
        <v>50</v>
      </c>
      <c r="J5" s="3" t="n">
        <v>3</v>
      </c>
      <c r="K5" s="3" t="n">
        <v>27319.23</v>
      </c>
      <c r="L5" s="3" t="n">
        <v>81957.69</v>
      </c>
      <c r="M5" s="3" t="n">
        <v>0.1494</v>
      </c>
      <c r="N5" s="3" t="n">
        <v>12244.48</v>
      </c>
      <c r="O5" s="3" t="n">
        <v>69713.21</v>
      </c>
      <c r="P5" s="3" t="n">
        <v>50813.77</v>
      </c>
      <c r="Q5" s="3" t="n">
        <v>18899.44</v>
      </c>
      <c r="R5" s="3" t="n">
        <v>0.2711</v>
      </c>
      <c r="S5" s="3" t="n">
        <v>0.123</v>
      </c>
      <c r="T5" s="3" t="n">
        <v>0.0264</v>
      </c>
    </row>
    <row r="6" customFormat="false" ht="1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24</v>
      </c>
      <c r="F6" s="3" t="s">
        <v>40</v>
      </c>
      <c r="G6" s="3" t="s">
        <v>55</v>
      </c>
      <c r="H6" s="3" t="s">
        <v>56</v>
      </c>
      <c r="I6" s="3" t="s">
        <v>57</v>
      </c>
      <c r="J6" s="3" t="n">
        <v>5</v>
      </c>
      <c r="K6" s="3" t="n">
        <v>5076.62</v>
      </c>
      <c r="L6" s="3" t="n">
        <v>25383.1</v>
      </c>
      <c r="M6" s="3" t="n">
        <v>0.0323</v>
      </c>
      <c r="N6" s="3" t="n">
        <v>819.87</v>
      </c>
      <c r="O6" s="3" t="n">
        <v>24563.23</v>
      </c>
      <c r="P6" s="3" t="n">
        <v>15229.86</v>
      </c>
      <c r="Q6" s="3" t="n">
        <v>9333.37</v>
      </c>
      <c r="R6" s="3" t="n">
        <v>0.38</v>
      </c>
      <c r="S6" s="3" t="n">
        <v>0.0333</v>
      </c>
      <c r="T6" s="3" t="n">
        <v>-0.001</v>
      </c>
    </row>
    <row r="7" customFormat="false" ht="15" hidden="false" customHeight="tru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s">
        <v>33</v>
      </c>
      <c r="F7" s="3" t="s">
        <v>62</v>
      </c>
      <c r="G7" s="3" t="s">
        <v>63</v>
      </c>
      <c r="H7" s="3" t="s">
        <v>64</v>
      </c>
      <c r="I7" s="3" t="s">
        <v>65</v>
      </c>
      <c r="J7" s="3" t="n">
        <v>41</v>
      </c>
      <c r="K7" s="3" t="n">
        <v>5501.76</v>
      </c>
      <c r="L7" s="3" t="n">
        <v>225572.16</v>
      </c>
      <c r="M7" s="3" t="n">
        <v>0.0717</v>
      </c>
      <c r="N7" s="3" t="n">
        <v>16173.52</v>
      </c>
      <c r="O7" s="3" t="n">
        <v>209398.64</v>
      </c>
      <c r="P7" s="3" t="n">
        <v>130831.85</v>
      </c>
      <c r="Q7" s="3" t="n">
        <v>78566.79</v>
      </c>
      <c r="R7" s="3" t="n">
        <v>0.3752</v>
      </c>
      <c r="S7" s="3" t="n">
        <v>0.0653</v>
      </c>
      <c r="T7" s="3" t="n">
        <v>0.0064</v>
      </c>
    </row>
    <row r="8" customFormat="false" ht="15" hidden="false" customHeight="true" outlineLevel="0" collapsed="false">
      <c r="A8" s="3" t="s">
        <v>66</v>
      </c>
      <c r="B8" s="3" t="s">
        <v>67</v>
      </c>
      <c r="C8" s="3" t="s">
        <v>68</v>
      </c>
      <c r="D8" s="3" t="s">
        <v>69</v>
      </c>
      <c r="E8" s="3" t="s">
        <v>39</v>
      </c>
      <c r="F8" s="3" t="s">
        <v>70</v>
      </c>
      <c r="G8" s="3" t="s">
        <v>71</v>
      </c>
      <c r="H8" s="3" t="s">
        <v>42</v>
      </c>
      <c r="I8" s="3" t="s">
        <v>72</v>
      </c>
      <c r="J8" s="3" t="n">
        <v>39</v>
      </c>
      <c r="K8" s="3" t="n">
        <v>2768.12</v>
      </c>
      <c r="L8" s="3" t="n">
        <v>107956.68</v>
      </c>
      <c r="M8" s="3" t="n">
        <v>0.0617</v>
      </c>
      <c r="N8" s="3" t="n">
        <v>6660.93</v>
      </c>
      <c r="O8" s="3" t="n">
        <v>101295.75</v>
      </c>
      <c r="P8" s="3" t="n">
        <v>59376.17</v>
      </c>
      <c r="Q8" s="3" t="n">
        <v>41919.58</v>
      </c>
      <c r="R8" s="3" t="n">
        <v>0.4138</v>
      </c>
      <c r="S8" s="3" t="n">
        <v>0.0629</v>
      </c>
      <c r="T8" s="3" t="n">
        <v>-0.0012</v>
      </c>
    </row>
    <row r="9" customFormat="false" ht="15" hidden="false" customHeight="true" outlineLevel="0" collapsed="false">
      <c r="A9" s="3" t="s">
        <v>73</v>
      </c>
      <c r="B9" s="3" t="s">
        <v>74</v>
      </c>
      <c r="C9" s="3" t="s">
        <v>37</v>
      </c>
      <c r="D9" s="3" t="s">
        <v>75</v>
      </c>
      <c r="E9" s="3" t="s">
        <v>39</v>
      </c>
      <c r="F9" s="3" t="s">
        <v>25</v>
      </c>
      <c r="G9" s="3" t="s">
        <v>76</v>
      </c>
      <c r="H9" s="3" t="s">
        <v>77</v>
      </c>
      <c r="I9" s="3" t="s">
        <v>78</v>
      </c>
      <c r="J9" s="3" t="n">
        <v>41</v>
      </c>
      <c r="K9" s="3" t="n">
        <v>5949.71</v>
      </c>
      <c r="L9" s="3" t="n">
        <v>243938.11</v>
      </c>
      <c r="M9" s="3" t="n">
        <v>0.122</v>
      </c>
      <c r="N9" s="3" t="n">
        <v>29760.45</v>
      </c>
      <c r="O9" s="3" t="n">
        <v>214177.66</v>
      </c>
      <c r="P9" s="3" t="n">
        <v>165877.91</v>
      </c>
      <c r="Q9" s="3" t="n">
        <v>48299.75</v>
      </c>
      <c r="R9" s="3" t="n">
        <v>0.2255</v>
      </c>
      <c r="S9" s="3" t="n">
        <v>0.1284</v>
      </c>
      <c r="T9" s="3" t="n">
        <v>-0.0064</v>
      </c>
    </row>
    <row r="10" customFormat="false" ht="15" hidden="false" customHeight="true" outlineLevel="0" collapsed="false">
      <c r="A10" s="3" t="s">
        <v>79</v>
      </c>
      <c r="B10" s="3" t="s">
        <v>80</v>
      </c>
      <c r="C10" s="3" t="s">
        <v>37</v>
      </c>
      <c r="D10" s="3" t="s">
        <v>32</v>
      </c>
      <c r="E10" s="3" t="s">
        <v>33</v>
      </c>
      <c r="F10" s="3" t="s">
        <v>25</v>
      </c>
      <c r="G10" s="3" t="s">
        <v>49</v>
      </c>
      <c r="H10" s="3" t="s">
        <v>64</v>
      </c>
      <c r="I10" s="3" t="s">
        <v>65</v>
      </c>
      <c r="J10" s="3" t="n">
        <v>5</v>
      </c>
      <c r="K10" s="3" t="n">
        <v>6610.48</v>
      </c>
      <c r="L10" s="3" t="n">
        <v>33052.4</v>
      </c>
      <c r="M10" s="3" t="n">
        <v>0.156</v>
      </c>
      <c r="N10" s="3" t="n">
        <v>5156.17</v>
      </c>
      <c r="O10" s="3" t="n">
        <v>27896.23</v>
      </c>
      <c r="P10" s="3" t="n">
        <v>19170.39</v>
      </c>
      <c r="Q10" s="3" t="n">
        <v>8725.84</v>
      </c>
      <c r="R10" s="3" t="n">
        <v>0.3128</v>
      </c>
      <c r="S10" s="3" t="n">
        <v>0.1347</v>
      </c>
      <c r="T10" s="3" t="n">
        <v>0.0213</v>
      </c>
    </row>
    <row r="11" customFormat="false" ht="15" hidden="false" customHeight="true" outlineLevel="0" collapsed="false">
      <c r="A11" s="3" t="s">
        <v>81</v>
      </c>
      <c r="B11" s="3" t="s">
        <v>82</v>
      </c>
      <c r="C11" s="3" t="s">
        <v>53</v>
      </c>
      <c r="D11" s="3" t="s">
        <v>83</v>
      </c>
      <c r="E11" s="3" t="s">
        <v>48</v>
      </c>
      <c r="F11" s="3" t="s">
        <v>62</v>
      </c>
      <c r="G11" s="3" t="s">
        <v>84</v>
      </c>
      <c r="H11" s="3" t="s">
        <v>77</v>
      </c>
      <c r="I11" s="3" t="s">
        <v>85</v>
      </c>
      <c r="J11" s="3" t="n">
        <v>9</v>
      </c>
      <c r="K11" s="3" t="n">
        <v>1885.78</v>
      </c>
      <c r="L11" s="3" t="n">
        <v>16972.02</v>
      </c>
      <c r="M11" s="3" t="n">
        <v>0.0423</v>
      </c>
      <c r="N11" s="3" t="n">
        <v>717.92</v>
      </c>
      <c r="O11" s="3" t="n">
        <v>16254.1</v>
      </c>
      <c r="P11" s="3" t="n">
        <v>11540.97</v>
      </c>
      <c r="Q11" s="3" t="n">
        <v>4713.13</v>
      </c>
      <c r="R11" s="3" t="n">
        <v>0.29</v>
      </c>
      <c r="S11" s="3" t="n">
        <v>0.0434</v>
      </c>
      <c r="T11" s="3" t="n">
        <v>-0.0011</v>
      </c>
    </row>
    <row r="12" customFormat="false" ht="15" hidden="false" customHeight="true" outlineLevel="0" collapsed="false">
      <c r="A12" s="3" t="s">
        <v>86</v>
      </c>
      <c r="B12" s="3" t="s">
        <v>87</v>
      </c>
      <c r="C12" s="3" t="s">
        <v>22</v>
      </c>
      <c r="D12" s="3" t="s">
        <v>47</v>
      </c>
      <c r="E12" s="3" t="s">
        <v>48</v>
      </c>
      <c r="F12" s="3" t="s">
        <v>25</v>
      </c>
      <c r="G12" s="3" t="s">
        <v>49</v>
      </c>
      <c r="H12" s="3" t="s">
        <v>56</v>
      </c>
      <c r="I12" s="3" t="s">
        <v>57</v>
      </c>
      <c r="J12" s="3" t="n">
        <v>9</v>
      </c>
      <c r="K12" s="3" t="n">
        <v>5509.13</v>
      </c>
      <c r="L12" s="3" t="n">
        <v>49582.17</v>
      </c>
      <c r="M12" s="3" t="n">
        <v>0.1027</v>
      </c>
      <c r="N12" s="3" t="n">
        <v>5092.09</v>
      </c>
      <c r="O12" s="3" t="n">
        <v>44490.08</v>
      </c>
      <c r="P12" s="3" t="n">
        <v>29749.3</v>
      </c>
      <c r="Q12" s="3" t="n">
        <v>14740.78</v>
      </c>
      <c r="R12" s="3" t="n">
        <v>0.3313</v>
      </c>
      <c r="S12" s="3" t="n">
        <v>0.1087</v>
      </c>
      <c r="T12" s="3" t="n">
        <v>-0.006</v>
      </c>
    </row>
    <row r="13" customFormat="false" ht="15" hidden="false" customHeight="true" outlineLevel="0" collapsed="false">
      <c r="A13" s="3" t="s">
        <v>88</v>
      </c>
      <c r="B13" s="3" t="s">
        <v>89</v>
      </c>
      <c r="C13" s="3" t="s">
        <v>53</v>
      </c>
      <c r="D13" s="3" t="s">
        <v>75</v>
      </c>
      <c r="E13" s="3" t="s">
        <v>39</v>
      </c>
      <c r="F13" s="3" t="s">
        <v>25</v>
      </c>
      <c r="G13" s="3" t="s">
        <v>55</v>
      </c>
      <c r="H13" s="3" t="s">
        <v>64</v>
      </c>
      <c r="I13" s="3" t="s">
        <v>90</v>
      </c>
      <c r="J13" s="3" t="n">
        <v>25</v>
      </c>
      <c r="K13" s="3" t="n">
        <v>3571.75</v>
      </c>
      <c r="L13" s="3" t="n">
        <v>89293.75</v>
      </c>
      <c r="M13" s="3" t="n">
        <v>0.1372</v>
      </c>
      <c r="N13" s="3" t="n">
        <v>12251.1</v>
      </c>
      <c r="O13" s="3" t="n">
        <v>77042.65</v>
      </c>
      <c r="P13" s="3" t="n">
        <v>51790.38</v>
      </c>
      <c r="Q13" s="3" t="n">
        <v>25252.27</v>
      </c>
      <c r="R13" s="3" t="n">
        <v>0.3278</v>
      </c>
      <c r="S13" s="3" t="n">
        <v>0.1498</v>
      </c>
      <c r="T13" s="3" t="n">
        <v>-0.0126</v>
      </c>
    </row>
    <row r="14" customFormat="false" ht="15" hidden="false" customHeight="true" outlineLevel="0" collapsed="false">
      <c r="A14" s="3" t="s">
        <v>91</v>
      </c>
      <c r="B14" s="3" t="s">
        <v>92</v>
      </c>
      <c r="C14" s="3" t="s">
        <v>93</v>
      </c>
      <c r="D14" s="3" t="s">
        <v>32</v>
      </c>
      <c r="E14" s="3" t="s">
        <v>33</v>
      </c>
      <c r="F14" s="3" t="s">
        <v>25</v>
      </c>
      <c r="G14" s="3" t="s">
        <v>76</v>
      </c>
      <c r="H14" s="3" t="s">
        <v>27</v>
      </c>
      <c r="I14" s="3" t="s">
        <v>94</v>
      </c>
      <c r="J14" s="3" t="n">
        <v>22</v>
      </c>
      <c r="K14" s="3" t="n">
        <v>32595.16</v>
      </c>
      <c r="L14" s="3" t="n">
        <v>717093.52</v>
      </c>
      <c r="M14" s="3" t="n">
        <v>0.1104</v>
      </c>
      <c r="N14" s="3" t="n">
        <v>79167.12</v>
      </c>
      <c r="O14" s="3" t="n">
        <v>637926.4</v>
      </c>
      <c r="P14" s="3" t="n">
        <v>444597.98</v>
      </c>
      <c r="Q14" s="3" t="n">
        <v>193328.42</v>
      </c>
      <c r="R14" s="3" t="n">
        <v>0.3031</v>
      </c>
      <c r="S14" s="3" t="n">
        <v>0.0884</v>
      </c>
      <c r="T14" s="3" t="n">
        <v>0.022</v>
      </c>
    </row>
    <row r="15" customFormat="false" ht="15" hidden="false" customHeight="true" outlineLevel="0" collapsed="false">
      <c r="A15" s="3" t="s">
        <v>95</v>
      </c>
      <c r="B15" s="3" t="s">
        <v>96</v>
      </c>
      <c r="C15" s="3" t="s">
        <v>68</v>
      </c>
      <c r="D15" s="3" t="s">
        <v>97</v>
      </c>
      <c r="E15" s="3" t="s">
        <v>48</v>
      </c>
      <c r="F15" s="3" t="s">
        <v>40</v>
      </c>
      <c r="G15" s="3" t="s">
        <v>41</v>
      </c>
      <c r="H15" s="3" t="s">
        <v>42</v>
      </c>
      <c r="I15" s="3" t="s">
        <v>72</v>
      </c>
      <c r="J15" s="3" t="n">
        <v>7</v>
      </c>
      <c r="K15" s="3" t="n">
        <v>2276.89</v>
      </c>
      <c r="L15" s="3" t="n">
        <v>15938.23</v>
      </c>
      <c r="M15" s="3" t="n">
        <v>0.1055</v>
      </c>
      <c r="N15" s="3" t="n">
        <v>1681.48</v>
      </c>
      <c r="O15" s="3" t="n">
        <v>14256.75</v>
      </c>
      <c r="P15" s="3" t="n">
        <v>8766.03</v>
      </c>
      <c r="Q15" s="3" t="n">
        <v>5490.72</v>
      </c>
      <c r="R15" s="3" t="n">
        <v>0.3851</v>
      </c>
      <c r="S15" s="3" t="n">
        <v>0.1036</v>
      </c>
      <c r="T15" s="3" t="n">
        <v>0.0019</v>
      </c>
    </row>
    <row r="16" customFormat="false" ht="15" hidden="false" customHeight="true" outlineLevel="0" collapsed="false">
      <c r="A16" s="3" t="s">
        <v>98</v>
      </c>
      <c r="B16" s="3" t="s">
        <v>99</v>
      </c>
      <c r="C16" s="3" t="s">
        <v>93</v>
      </c>
      <c r="D16" s="3" t="s">
        <v>75</v>
      </c>
      <c r="E16" s="3" t="s">
        <v>39</v>
      </c>
      <c r="F16" s="3" t="s">
        <v>25</v>
      </c>
      <c r="G16" s="3" t="s">
        <v>100</v>
      </c>
      <c r="H16" s="3" t="s">
        <v>42</v>
      </c>
      <c r="I16" s="3" t="s">
        <v>43</v>
      </c>
      <c r="J16" s="3" t="n">
        <v>34</v>
      </c>
      <c r="K16" s="3" t="n">
        <v>3837.25</v>
      </c>
      <c r="L16" s="3" t="n">
        <v>130466.5</v>
      </c>
      <c r="M16" s="3" t="n">
        <v>0.1638</v>
      </c>
      <c r="N16" s="3" t="n">
        <v>21370.41</v>
      </c>
      <c r="O16" s="3" t="n">
        <v>109096.09</v>
      </c>
      <c r="P16" s="3" t="n">
        <v>71756.58</v>
      </c>
      <c r="Q16" s="3" t="n">
        <v>37339.51</v>
      </c>
      <c r="R16" s="3" t="n">
        <v>0.3423</v>
      </c>
      <c r="S16" s="3" t="n">
        <v>0.132</v>
      </c>
      <c r="T16" s="3" t="n">
        <v>0.0318</v>
      </c>
    </row>
    <row r="17" customFormat="false" ht="15" hidden="false" customHeight="true" outlineLevel="0" collapsed="false">
      <c r="A17" s="3" t="s">
        <v>101</v>
      </c>
      <c r="B17" s="3" t="s">
        <v>102</v>
      </c>
      <c r="C17" s="3" t="s">
        <v>93</v>
      </c>
      <c r="D17" s="3" t="s">
        <v>103</v>
      </c>
      <c r="E17" s="3" t="s">
        <v>24</v>
      </c>
      <c r="F17" s="3" t="s">
        <v>62</v>
      </c>
      <c r="G17" s="3" t="s">
        <v>104</v>
      </c>
      <c r="H17" s="3" t="s">
        <v>42</v>
      </c>
      <c r="I17" s="3" t="s">
        <v>43</v>
      </c>
      <c r="J17" s="3" t="n">
        <v>37</v>
      </c>
      <c r="K17" s="3" t="n">
        <v>1343.05</v>
      </c>
      <c r="L17" s="3" t="n">
        <v>49692.85</v>
      </c>
      <c r="M17" s="3" t="n">
        <v>0.1008</v>
      </c>
      <c r="N17" s="3" t="n">
        <v>5009.04</v>
      </c>
      <c r="O17" s="3" t="n">
        <v>44683.81</v>
      </c>
      <c r="P17" s="3" t="n">
        <v>27331.07</v>
      </c>
      <c r="Q17" s="3" t="n">
        <v>17352.74</v>
      </c>
      <c r="R17" s="3" t="n">
        <v>0.3883</v>
      </c>
      <c r="S17" s="3" t="n">
        <v>0.1053</v>
      </c>
      <c r="T17" s="3" t="n">
        <v>-0.0045</v>
      </c>
    </row>
    <row r="18" customFormat="false" ht="15" hidden="false" customHeight="true" outlineLevel="0" collapsed="false">
      <c r="A18" s="3" t="s">
        <v>105</v>
      </c>
      <c r="B18" s="3" t="s">
        <v>106</v>
      </c>
      <c r="C18" s="3" t="s">
        <v>68</v>
      </c>
      <c r="D18" s="3" t="s">
        <v>107</v>
      </c>
      <c r="E18" s="3" t="s">
        <v>33</v>
      </c>
      <c r="F18" s="3" t="s">
        <v>70</v>
      </c>
      <c r="G18" s="3" t="s">
        <v>71</v>
      </c>
      <c r="H18" s="3" t="s">
        <v>64</v>
      </c>
      <c r="I18" s="3" t="s">
        <v>108</v>
      </c>
      <c r="J18" s="3" t="n">
        <v>36</v>
      </c>
      <c r="K18" s="3" t="n">
        <v>7277.54</v>
      </c>
      <c r="L18" s="3" t="n">
        <v>261991.44</v>
      </c>
      <c r="M18" s="3" t="n">
        <v>0.0383</v>
      </c>
      <c r="N18" s="3" t="n">
        <v>10034.27</v>
      </c>
      <c r="O18" s="3" t="n">
        <v>251957.17</v>
      </c>
      <c r="P18" s="3" t="n">
        <v>151955.04</v>
      </c>
      <c r="Q18" s="3" t="n">
        <v>100002.13</v>
      </c>
      <c r="R18" s="3" t="n">
        <v>0.3969</v>
      </c>
      <c r="S18" s="3" t="n">
        <v>0.0406</v>
      </c>
      <c r="T18" s="3" t="n">
        <v>-0.0023</v>
      </c>
    </row>
    <row r="19" customFormat="false" ht="15" hidden="false" customHeight="true" outlineLevel="0" collapsed="false">
      <c r="A19" s="3" t="s">
        <v>109</v>
      </c>
      <c r="B19" s="3" t="s">
        <v>110</v>
      </c>
      <c r="C19" s="3" t="s">
        <v>68</v>
      </c>
      <c r="D19" s="3" t="s">
        <v>47</v>
      </c>
      <c r="E19" s="3" t="s">
        <v>48</v>
      </c>
      <c r="F19" s="3" t="s">
        <v>25</v>
      </c>
      <c r="G19" s="3" t="s">
        <v>26</v>
      </c>
      <c r="H19" s="3" t="s">
        <v>64</v>
      </c>
      <c r="I19" s="3" t="s">
        <v>108</v>
      </c>
      <c r="J19" s="3" t="n">
        <v>43</v>
      </c>
      <c r="K19" s="3" t="n">
        <v>5805.45</v>
      </c>
      <c r="L19" s="3" t="n">
        <v>249634.35</v>
      </c>
      <c r="M19" s="3" t="n">
        <v>0.1375</v>
      </c>
      <c r="N19" s="3" t="n">
        <v>34324.72</v>
      </c>
      <c r="O19" s="3" t="n">
        <v>215309.63</v>
      </c>
      <c r="P19" s="3" t="n">
        <v>144787.92</v>
      </c>
      <c r="Q19" s="3" t="n">
        <v>70521.71</v>
      </c>
      <c r="R19" s="3" t="n">
        <v>0.3275</v>
      </c>
      <c r="S19" s="3" t="n">
        <v>0.1287</v>
      </c>
      <c r="T19" s="3" t="n">
        <v>0.0088</v>
      </c>
    </row>
    <row r="20" customFormat="false" ht="15" hidden="false" customHeight="true" outlineLevel="0" collapsed="false">
      <c r="A20" s="3" t="s">
        <v>111</v>
      </c>
      <c r="B20" s="3" t="s">
        <v>112</v>
      </c>
      <c r="C20" s="3" t="s">
        <v>113</v>
      </c>
      <c r="D20" s="3" t="s">
        <v>69</v>
      </c>
      <c r="E20" s="3" t="s">
        <v>39</v>
      </c>
      <c r="F20" s="3" t="s">
        <v>70</v>
      </c>
      <c r="G20" s="3" t="s">
        <v>49</v>
      </c>
      <c r="H20" s="3" t="s">
        <v>64</v>
      </c>
      <c r="I20" s="3" t="s">
        <v>65</v>
      </c>
      <c r="J20" s="3" t="n">
        <v>36</v>
      </c>
      <c r="K20" s="3" t="n">
        <v>3189.31</v>
      </c>
      <c r="L20" s="3" t="n">
        <v>114815.16</v>
      </c>
      <c r="M20" s="3" t="n">
        <v>0.0415</v>
      </c>
      <c r="N20" s="3" t="n">
        <v>4764.83</v>
      </c>
      <c r="O20" s="3" t="n">
        <v>110050.33</v>
      </c>
      <c r="P20" s="3" t="n">
        <v>66592.79</v>
      </c>
      <c r="Q20" s="3" t="n">
        <v>43457.54</v>
      </c>
      <c r="R20" s="3" t="n">
        <v>0.3949</v>
      </c>
      <c r="S20" s="3" t="n">
        <v>0.0333</v>
      </c>
      <c r="T20" s="3" t="n">
        <v>0.0082</v>
      </c>
    </row>
    <row r="21" customFormat="false" ht="15" hidden="false" customHeight="true" outlineLevel="0" collapsed="false">
      <c r="A21" s="3" t="s">
        <v>114</v>
      </c>
      <c r="B21" s="3" t="s">
        <v>115</v>
      </c>
      <c r="C21" s="3" t="s">
        <v>93</v>
      </c>
      <c r="D21" s="3" t="s">
        <v>97</v>
      </c>
      <c r="E21" s="3" t="s">
        <v>48</v>
      </c>
      <c r="F21" s="3" t="s">
        <v>40</v>
      </c>
      <c r="G21" s="3" t="s">
        <v>116</v>
      </c>
      <c r="H21" s="3" t="s">
        <v>27</v>
      </c>
      <c r="I21" s="3" t="s">
        <v>117</v>
      </c>
      <c r="J21" s="3" t="n">
        <v>22</v>
      </c>
      <c r="K21" s="3" t="n">
        <v>36973.44</v>
      </c>
      <c r="L21" s="3" t="n">
        <v>813415.68</v>
      </c>
      <c r="M21" s="3" t="n">
        <v>0.0631</v>
      </c>
      <c r="N21" s="3" t="n">
        <v>51326.53</v>
      </c>
      <c r="O21" s="3" t="n">
        <v>762089.15</v>
      </c>
      <c r="P21" s="3" t="n">
        <v>504317.72</v>
      </c>
      <c r="Q21" s="3" t="n">
        <v>257771.43</v>
      </c>
      <c r="R21" s="3" t="n">
        <v>0.3382</v>
      </c>
      <c r="S21" s="3" t="n">
        <v>0.0545</v>
      </c>
      <c r="T21" s="3" t="n">
        <v>0.0086</v>
      </c>
    </row>
    <row r="22" customFormat="false" ht="15" hidden="false" customHeight="true" outlineLevel="0" collapsed="false">
      <c r="A22" s="3" t="s">
        <v>118</v>
      </c>
      <c r="B22" s="3" t="s">
        <v>119</v>
      </c>
      <c r="C22" s="3" t="s">
        <v>120</v>
      </c>
      <c r="D22" s="3" t="s">
        <v>75</v>
      </c>
      <c r="E22" s="3" t="s">
        <v>39</v>
      </c>
      <c r="F22" s="3" t="s">
        <v>25</v>
      </c>
      <c r="G22" s="3" t="s">
        <v>84</v>
      </c>
      <c r="H22" s="3" t="s">
        <v>56</v>
      </c>
      <c r="I22" s="3" t="s">
        <v>121</v>
      </c>
      <c r="J22" s="3" t="n">
        <v>31</v>
      </c>
      <c r="K22" s="3" t="n">
        <v>5887.96</v>
      </c>
      <c r="L22" s="3" t="n">
        <v>182526.76</v>
      </c>
      <c r="M22" s="3" t="n">
        <v>0.1256</v>
      </c>
      <c r="N22" s="3" t="n">
        <v>22925.36</v>
      </c>
      <c r="O22" s="3" t="n">
        <v>159601.4</v>
      </c>
      <c r="P22" s="3" t="n">
        <v>109516.06</v>
      </c>
      <c r="Q22" s="3" t="n">
        <v>50085.34</v>
      </c>
      <c r="R22" s="3" t="n">
        <v>0.3138</v>
      </c>
      <c r="S22" s="3" t="n">
        <v>0.1253</v>
      </c>
      <c r="T22" s="3" t="n">
        <v>0.0003</v>
      </c>
    </row>
    <row r="23" customFormat="false" ht="15" hidden="false" customHeight="true" outlineLevel="0" collapsed="false">
      <c r="A23" s="3" t="s">
        <v>122</v>
      </c>
      <c r="B23" s="3" t="s">
        <v>123</v>
      </c>
      <c r="C23" s="3" t="s">
        <v>120</v>
      </c>
      <c r="D23" s="3" t="s">
        <v>103</v>
      </c>
      <c r="E23" s="3" t="s">
        <v>24</v>
      </c>
      <c r="F23" s="3" t="s">
        <v>62</v>
      </c>
      <c r="G23" s="3" t="s">
        <v>84</v>
      </c>
      <c r="H23" s="3" t="s">
        <v>77</v>
      </c>
      <c r="I23" s="3" t="s">
        <v>78</v>
      </c>
      <c r="J23" s="3" t="n">
        <v>4</v>
      </c>
      <c r="K23" s="3" t="n">
        <v>5346.42</v>
      </c>
      <c r="L23" s="3" t="n">
        <v>21385.68</v>
      </c>
      <c r="M23" s="3" t="n">
        <v>0.0637</v>
      </c>
      <c r="N23" s="3" t="n">
        <v>1362.27</v>
      </c>
      <c r="O23" s="3" t="n">
        <v>20023.41</v>
      </c>
      <c r="P23" s="3" t="n">
        <v>14542.26</v>
      </c>
      <c r="Q23" s="3" t="n">
        <v>5481.15</v>
      </c>
      <c r="R23" s="3" t="n">
        <v>0.2737</v>
      </c>
      <c r="S23" s="3" t="n">
        <v>0.0521</v>
      </c>
      <c r="T23" s="3" t="n">
        <v>0.0116</v>
      </c>
    </row>
    <row r="24" customFormat="false" ht="15" hidden="false" customHeight="true" outlineLevel="0" collapsed="false">
      <c r="A24" s="3" t="s">
        <v>124</v>
      </c>
      <c r="B24" s="3" t="s">
        <v>125</v>
      </c>
      <c r="C24" s="3" t="s">
        <v>126</v>
      </c>
      <c r="D24" s="3" t="s">
        <v>97</v>
      </c>
      <c r="E24" s="3" t="s">
        <v>48</v>
      </c>
      <c r="F24" s="3" t="s">
        <v>40</v>
      </c>
      <c r="G24" s="3" t="s">
        <v>34</v>
      </c>
      <c r="H24" s="3" t="s">
        <v>42</v>
      </c>
      <c r="I24" s="3" t="s">
        <v>43</v>
      </c>
      <c r="J24" s="3" t="n">
        <v>35</v>
      </c>
      <c r="K24" s="3" t="n">
        <v>1170.57</v>
      </c>
      <c r="L24" s="3" t="n">
        <v>40969.95</v>
      </c>
      <c r="M24" s="3" t="n">
        <v>0.0893</v>
      </c>
      <c r="N24" s="3" t="n">
        <v>3658.62</v>
      </c>
      <c r="O24" s="3" t="n">
        <v>37311.33</v>
      </c>
      <c r="P24" s="3" t="n">
        <v>22533.47</v>
      </c>
      <c r="Q24" s="3" t="n">
        <v>14777.86</v>
      </c>
      <c r="R24" s="3" t="n">
        <v>0.3961</v>
      </c>
      <c r="S24" s="3" t="n">
        <v>0.0838</v>
      </c>
      <c r="T24" s="3" t="n">
        <v>0.0055</v>
      </c>
    </row>
    <row r="25" customFormat="false" ht="15" hidden="false" customHeight="true" outlineLevel="0" collapsed="false">
      <c r="A25" s="3" t="s">
        <v>127</v>
      </c>
      <c r="B25" s="3" t="s">
        <v>128</v>
      </c>
      <c r="C25" s="3" t="s">
        <v>53</v>
      </c>
      <c r="D25" s="3" t="s">
        <v>61</v>
      </c>
      <c r="E25" s="3" t="s">
        <v>33</v>
      </c>
      <c r="F25" s="3" t="s">
        <v>62</v>
      </c>
      <c r="G25" s="3" t="s">
        <v>116</v>
      </c>
      <c r="H25" s="3" t="s">
        <v>77</v>
      </c>
      <c r="I25" s="3" t="s">
        <v>85</v>
      </c>
      <c r="J25" s="3" t="n">
        <v>35</v>
      </c>
      <c r="K25" s="3" t="n">
        <v>1442.82</v>
      </c>
      <c r="L25" s="3" t="n">
        <v>50498.7</v>
      </c>
      <c r="M25" s="3" t="n">
        <v>0.1306</v>
      </c>
      <c r="N25" s="3" t="n">
        <v>6595.13</v>
      </c>
      <c r="O25" s="3" t="n">
        <v>43903.57</v>
      </c>
      <c r="P25" s="3" t="n">
        <v>34339.12</v>
      </c>
      <c r="Q25" s="3" t="n">
        <v>9564.45</v>
      </c>
      <c r="R25" s="3" t="n">
        <v>0.2179</v>
      </c>
      <c r="S25" s="3" t="n">
        <v>0.111</v>
      </c>
      <c r="T25" s="3" t="n">
        <v>0.0196</v>
      </c>
    </row>
    <row r="26" customFormat="false" ht="15" hidden="false" customHeight="true" outlineLevel="0" collapsed="false">
      <c r="A26" s="3" t="s">
        <v>129</v>
      </c>
      <c r="B26" s="3" t="s">
        <v>130</v>
      </c>
      <c r="C26" s="3" t="s">
        <v>46</v>
      </c>
      <c r="D26" s="3" t="s">
        <v>83</v>
      </c>
      <c r="E26" s="3" t="s">
        <v>48</v>
      </c>
      <c r="F26" s="3" t="s">
        <v>62</v>
      </c>
      <c r="G26" s="3" t="s">
        <v>63</v>
      </c>
      <c r="H26" s="3" t="s">
        <v>77</v>
      </c>
      <c r="I26" s="3" t="s">
        <v>131</v>
      </c>
      <c r="J26" s="3" t="n">
        <v>11</v>
      </c>
      <c r="K26" s="3" t="n">
        <v>5531.73</v>
      </c>
      <c r="L26" s="3" t="n">
        <v>60849.03</v>
      </c>
      <c r="M26" s="3" t="n">
        <v>0.0489</v>
      </c>
      <c r="N26" s="3" t="n">
        <v>2975.52</v>
      </c>
      <c r="O26" s="3" t="n">
        <v>57873.51</v>
      </c>
      <c r="P26" s="3" t="n">
        <v>41377.34</v>
      </c>
      <c r="Q26" s="3" t="n">
        <v>16496.17</v>
      </c>
      <c r="R26" s="3" t="n">
        <v>0.285</v>
      </c>
      <c r="S26" s="3" t="n">
        <v>0.0431</v>
      </c>
      <c r="T26" s="3" t="n">
        <v>0.0058</v>
      </c>
    </row>
    <row r="27" customFormat="false" ht="15" hidden="false" customHeight="true" outlineLevel="0" collapsed="false">
      <c r="A27" s="3" t="s">
        <v>132</v>
      </c>
      <c r="B27" s="3" t="s">
        <v>133</v>
      </c>
      <c r="C27" s="3" t="s">
        <v>93</v>
      </c>
      <c r="D27" s="3" t="s">
        <v>83</v>
      </c>
      <c r="E27" s="3" t="s">
        <v>48</v>
      </c>
      <c r="F27" s="3" t="s">
        <v>62</v>
      </c>
      <c r="G27" s="3" t="s">
        <v>26</v>
      </c>
      <c r="H27" s="3" t="s">
        <v>42</v>
      </c>
      <c r="I27" s="3" t="s">
        <v>134</v>
      </c>
      <c r="J27" s="3" t="n">
        <v>36</v>
      </c>
      <c r="K27" s="3" t="n">
        <v>3850.61</v>
      </c>
      <c r="L27" s="3" t="n">
        <v>138621.96</v>
      </c>
      <c r="M27" s="3" t="n">
        <v>0.0631</v>
      </c>
      <c r="N27" s="3" t="n">
        <v>8747.05</v>
      </c>
      <c r="O27" s="3" t="n">
        <v>129874.91</v>
      </c>
      <c r="P27" s="3" t="n">
        <v>76242.08</v>
      </c>
      <c r="Q27" s="3" t="n">
        <v>53632.83</v>
      </c>
      <c r="R27" s="3" t="n">
        <v>0.413</v>
      </c>
      <c r="S27" s="3" t="n">
        <v>0.0534</v>
      </c>
      <c r="T27" s="3" t="n">
        <v>0.0097</v>
      </c>
    </row>
    <row r="28" customFormat="false" ht="15" hidden="false" customHeight="true" outlineLevel="0" collapsed="false">
      <c r="A28" s="3" t="s">
        <v>135</v>
      </c>
      <c r="B28" s="3" t="s">
        <v>136</v>
      </c>
      <c r="C28" s="3" t="s">
        <v>22</v>
      </c>
      <c r="D28" s="3" t="s">
        <v>54</v>
      </c>
      <c r="E28" s="3" t="s">
        <v>24</v>
      </c>
      <c r="F28" s="3" t="s">
        <v>40</v>
      </c>
      <c r="G28" s="3" t="s">
        <v>55</v>
      </c>
      <c r="H28" s="3" t="s">
        <v>64</v>
      </c>
      <c r="I28" s="3" t="s">
        <v>65</v>
      </c>
      <c r="J28" s="3" t="n">
        <v>4</v>
      </c>
      <c r="K28" s="3" t="n">
        <v>9621.63</v>
      </c>
      <c r="L28" s="3" t="n">
        <v>38486.52</v>
      </c>
      <c r="M28" s="3" t="n">
        <v>0.0674</v>
      </c>
      <c r="N28" s="3" t="n">
        <v>2593.99</v>
      </c>
      <c r="O28" s="3" t="n">
        <v>35892.53</v>
      </c>
      <c r="P28" s="3" t="n">
        <v>22322.18</v>
      </c>
      <c r="Q28" s="3" t="n">
        <v>13570.35</v>
      </c>
      <c r="R28" s="3" t="n">
        <v>0.3781</v>
      </c>
      <c r="S28" s="3" t="n">
        <v>0.0549</v>
      </c>
      <c r="T28" s="3" t="n">
        <v>0.0125</v>
      </c>
    </row>
    <row r="29" customFormat="false" ht="15" hidden="false" customHeight="true" outlineLevel="0" collapsed="false">
      <c r="A29" s="3" t="s">
        <v>137</v>
      </c>
      <c r="B29" s="3" t="s">
        <v>138</v>
      </c>
      <c r="C29" s="3" t="s">
        <v>22</v>
      </c>
      <c r="D29" s="3" t="s">
        <v>83</v>
      </c>
      <c r="E29" s="3" t="s">
        <v>48</v>
      </c>
      <c r="F29" s="3" t="s">
        <v>62</v>
      </c>
      <c r="G29" s="3" t="s">
        <v>41</v>
      </c>
      <c r="H29" s="3" t="s">
        <v>56</v>
      </c>
      <c r="I29" s="3" t="s">
        <v>121</v>
      </c>
      <c r="J29" s="3" t="n">
        <v>33</v>
      </c>
      <c r="K29" s="3" t="n">
        <v>2910.07</v>
      </c>
      <c r="L29" s="3" t="n">
        <v>96032.31</v>
      </c>
      <c r="M29" s="3" t="n">
        <v>0.0614</v>
      </c>
      <c r="N29" s="3" t="n">
        <v>5896.38</v>
      </c>
      <c r="O29" s="3" t="n">
        <v>90135.93</v>
      </c>
      <c r="P29" s="3" t="n">
        <v>57619.39</v>
      </c>
      <c r="Q29" s="3" t="n">
        <v>32516.54</v>
      </c>
      <c r="R29" s="3" t="n">
        <v>0.3608</v>
      </c>
      <c r="S29" s="3" t="n">
        <v>0.0616</v>
      </c>
      <c r="T29" s="3" t="n">
        <v>-0.0002</v>
      </c>
    </row>
    <row r="30" customFormat="false" ht="15" hidden="false" customHeight="true" outlineLevel="0" collapsed="false">
      <c r="A30" s="3" t="s">
        <v>139</v>
      </c>
      <c r="B30" s="3" t="s">
        <v>140</v>
      </c>
      <c r="C30" s="3" t="s">
        <v>22</v>
      </c>
      <c r="D30" s="3" t="s">
        <v>69</v>
      </c>
      <c r="E30" s="3" t="s">
        <v>39</v>
      </c>
      <c r="F30" s="3" t="s">
        <v>70</v>
      </c>
      <c r="G30" s="3" t="s">
        <v>55</v>
      </c>
      <c r="H30" s="3" t="s">
        <v>77</v>
      </c>
      <c r="I30" s="3" t="s">
        <v>131</v>
      </c>
      <c r="J30" s="3" t="n">
        <v>39</v>
      </c>
      <c r="K30" s="3" t="n">
        <v>2381.83</v>
      </c>
      <c r="L30" s="3" t="n">
        <v>92891.37</v>
      </c>
      <c r="M30" s="3" t="n">
        <v>0.032</v>
      </c>
      <c r="N30" s="3" t="n">
        <v>2972.52</v>
      </c>
      <c r="O30" s="3" t="n">
        <v>89918.85</v>
      </c>
      <c r="P30" s="3" t="n">
        <v>63166.13</v>
      </c>
      <c r="Q30" s="3" t="n">
        <v>26752.72</v>
      </c>
      <c r="R30" s="3" t="n">
        <v>0.2975</v>
      </c>
      <c r="S30" s="3" t="n">
        <v>0.0296</v>
      </c>
      <c r="T30" s="3" t="n">
        <v>0.0024</v>
      </c>
    </row>
    <row r="31" customFormat="false" ht="15" hidden="false" customHeight="true" outlineLevel="0" collapsed="false">
      <c r="A31" s="3" t="s">
        <v>141</v>
      </c>
      <c r="B31" s="3" t="s">
        <v>142</v>
      </c>
      <c r="C31" s="3" t="s">
        <v>37</v>
      </c>
      <c r="D31" s="3" t="s">
        <v>38</v>
      </c>
      <c r="E31" s="3" t="s">
        <v>39</v>
      </c>
      <c r="F31" s="3" t="s">
        <v>40</v>
      </c>
      <c r="G31" s="3" t="s">
        <v>49</v>
      </c>
      <c r="H31" s="3" t="s">
        <v>56</v>
      </c>
      <c r="I31" s="3" t="s">
        <v>121</v>
      </c>
      <c r="J31" s="3" t="n">
        <v>14</v>
      </c>
      <c r="K31" s="3" t="n">
        <v>16955.3</v>
      </c>
      <c r="L31" s="3" t="n">
        <v>237374.2</v>
      </c>
      <c r="M31" s="3" t="n">
        <v>0.0635</v>
      </c>
      <c r="N31" s="3" t="n">
        <v>15073.26</v>
      </c>
      <c r="O31" s="3" t="n">
        <v>222300.94</v>
      </c>
      <c r="P31" s="3" t="n">
        <v>142424.52</v>
      </c>
      <c r="Q31" s="3" t="n">
        <v>79876.42</v>
      </c>
      <c r="R31" s="3" t="n">
        <v>0.3593</v>
      </c>
      <c r="S31" s="3" t="n">
        <v>0.0553</v>
      </c>
      <c r="T31" s="3" t="n">
        <v>0.0082</v>
      </c>
    </row>
    <row r="32" customFormat="false" ht="15" hidden="false" customHeight="true" outlineLevel="0" collapsed="false">
      <c r="A32" s="3" t="s">
        <v>143</v>
      </c>
      <c r="B32" s="3" t="s">
        <v>144</v>
      </c>
      <c r="C32" s="3" t="s">
        <v>120</v>
      </c>
      <c r="D32" s="3" t="s">
        <v>47</v>
      </c>
      <c r="E32" s="3" t="s">
        <v>48</v>
      </c>
      <c r="F32" s="3" t="s">
        <v>25</v>
      </c>
      <c r="G32" s="3" t="s">
        <v>84</v>
      </c>
      <c r="H32" s="3" t="s">
        <v>64</v>
      </c>
      <c r="I32" s="3" t="s">
        <v>145</v>
      </c>
      <c r="J32" s="3" t="n">
        <v>49</v>
      </c>
      <c r="K32" s="3" t="n">
        <v>5845.59</v>
      </c>
      <c r="L32" s="3" t="n">
        <v>286433.91</v>
      </c>
      <c r="M32" s="3" t="n">
        <v>0.1175</v>
      </c>
      <c r="N32" s="3" t="n">
        <v>33655.98</v>
      </c>
      <c r="O32" s="3" t="n">
        <v>252777.93</v>
      </c>
      <c r="P32" s="3" t="n">
        <v>166131.67</v>
      </c>
      <c r="Q32" s="3" t="n">
        <v>86646.26</v>
      </c>
      <c r="R32" s="3" t="n">
        <v>0.3428</v>
      </c>
      <c r="S32" s="3" t="n">
        <v>0.0966</v>
      </c>
      <c r="T32" s="3" t="n">
        <v>0.0209</v>
      </c>
    </row>
    <row r="33" customFormat="false" ht="15" hidden="false" customHeight="true" outlineLevel="0" collapsed="false">
      <c r="A33" s="3" t="s">
        <v>146</v>
      </c>
      <c r="B33" s="3" t="s">
        <v>147</v>
      </c>
      <c r="C33" s="3" t="s">
        <v>60</v>
      </c>
      <c r="D33" s="3" t="s">
        <v>69</v>
      </c>
      <c r="E33" s="3" t="s">
        <v>39</v>
      </c>
      <c r="F33" s="3" t="s">
        <v>70</v>
      </c>
      <c r="G33" s="3" t="s">
        <v>41</v>
      </c>
      <c r="H33" s="3" t="s">
        <v>56</v>
      </c>
      <c r="I33" s="3" t="s">
        <v>57</v>
      </c>
      <c r="J33" s="3" t="n">
        <v>5</v>
      </c>
      <c r="K33" s="3" t="n">
        <v>16932.15</v>
      </c>
      <c r="L33" s="3" t="n">
        <v>84660.75</v>
      </c>
      <c r="M33" s="3" t="n">
        <v>0.1087</v>
      </c>
      <c r="N33" s="3" t="n">
        <v>9202.62</v>
      </c>
      <c r="O33" s="3" t="n">
        <v>75458.13</v>
      </c>
      <c r="P33" s="3" t="n">
        <v>50796.45</v>
      </c>
      <c r="Q33" s="3" t="n">
        <v>24661.68</v>
      </c>
      <c r="R33" s="3" t="n">
        <v>0.3268</v>
      </c>
      <c r="S33" s="3" t="n">
        <v>0.1013</v>
      </c>
      <c r="T33" s="3" t="n">
        <v>0.0074</v>
      </c>
    </row>
    <row r="34" customFormat="false" ht="15" hidden="false" customHeight="true" outlineLevel="0" collapsed="false">
      <c r="A34" s="3" t="s">
        <v>148</v>
      </c>
      <c r="B34" s="3" t="s">
        <v>149</v>
      </c>
      <c r="C34" s="3" t="s">
        <v>126</v>
      </c>
      <c r="D34" s="3" t="s">
        <v>107</v>
      </c>
      <c r="E34" s="3" t="s">
        <v>33</v>
      </c>
      <c r="F34" s="3" t="s">
        <v>70</v>
      </c>
      <c r="G34" s="3" t="s">
        <v>71</v>
      </c>
      <c r="H34" s="3" t="s">
        <v>42</v>
      </c>
      <c r="I34" s="3" t="s">
        <v>72</v>
      </c>
      <c r="J34" s="3" t="n">
        <v>43</v>
      </c>
      <c r="K34" s="3" t="n">
        <v>2351.29</v>
      </c>
      <c r="L34" s="3" t="n">
        <v>101105.47</v>
      </c>
      <c r="M34" s="3" t="n">
        <v>0.0709</v>
      </c>
      <c r="N34" s="3" t="n">
        <v>7168.38</v>
      </c>
      <c r="O34" s="3" t="n">
        <v>93937.09</v>
      </c>
      <c r="P34" s="3" t="n">
        <v>55608.01</v>
      </c>
      <c r="Q34" s="3" t="n">
        <v>38329.08</v>
      </c>
      <c r="R34" s="3" t="n">
        <v>0.408</v>
      </c>
      <c r="S34" s="3" t="n">
        <v>0.0765</v>
      </c>
      <c r="T34" s="3" t="n">
        <v>-0.0056</v>
      </c>
    </row>
    <row r="35" customFormat="false" ht="15" hidden="false" customHeight="true" outlineLevel="0" collapsed="false">
      <c r="A35" s="3" t="s">
        <v>150</v>
      </c>
      <c r="B35" s="3" t="s">
        <v>151</v>
      </c>
      <c r="C35" s="3" t="s">
        <v>113</v>
      </c>
      <c r="D35" s="3" t="s">
        <v>61</v>
      </c>
      <c r="E35" s="3" t="s">
        <v>33</v>
      </c>
      <c r="F35" s="3" t="s">
        <v>62</v>
      </c>
      <c r="G35" s="3" t="s">
        <v>116</v>
      </c>
      <c r="H35" s="3" t="s">
        <v>64</v>
      </c>
      <c r="I35" s="3" t="s">
        <v>145</v>
      </c>
      <c r="J35" s="3" t="n">
        <v>48</v>
      </c>
      <c r="K35" s="3" t="n">
        <v>11007.41</v>
      </c>
      <c r="L35" s="3" t="n">
        <v>528355.68</v>
      </c>
      <c r="M35" s="3" t="n">
        <v>0.0886</v>
      </c>
      <c r="N35" s="3" t="n">
        <v>46812.31</v>
      </c>
      <c r="O35" s="3" t="n">
        <v>481543.37</v>
      </c>
      <c r="P35" s="3" t="n">
        <v>306446.29</v>
      </c>
      <c r="Q35" s="3" t="n">
        <v>175097.08</v>
      </c>
      <c r="R35" s="3" t="n">
        <v>0.3636</v>
      </c>
      <c r="S35" s="3" t="n">
        <v>0.0899</v>
      </c>
      <c r="T35" s="3" t="n">
        <v>-0.0013</v>
      </c>
    </row>
    <row r="36" customFormat="false" ht="15" hidden="false" customHeight="true" outlineLevel="0" collapsed="false">
      <c r="A36" s="3" t="s">
        <v>152</v>
      </c>
      <c r="B36" s="3" t="s">
        <v>153</v>
      </c>
      <c r="C36" s="3" t="s">
        <v>31</v>
      </c>
      <c r="D36" s="3" t="s">
        <v>69</v>
      </c>
      <c r="E36" s="3" t="s">
        <v>39</v>
      </c>
      <c r="F36" s="3" t="s">
        <v>70</v>
      </c>
      <c r="G36" s="3" t="s">
        <v>84</v>
      </c>
      <c r="H36" s="3" t="s">
        <v>42</v>
      </c>
      <c r="I36" s="3" t="s">
        <v>72</v>
      </c>
      <c r="J36" s="3" t="n">
        <v>4</v>
      </c>
      <c r="K36" s="3" t="n">
        <v>1378.92</v>
      </c>
      <c r="L36" s="3" t="n">
        <v>5515.68</v>
      </c>
      <c r="M36" s="3" t="n">
        <v>0.0346</v>
      </c>
      <c r="N36" s="3" t="n">
        <v>190.84</v>
      </c>
      <c r="O36" s="3" t="n">
        <v>5324.84</v>
      </c>
      <c r="P36" s="3" t="n">
        <v>3033.62</v>
      </c>
      <c r="Q36" s="3" t="n">
        <v>2291.22</v>
      </c>
      <c r="R36" s="3" t="n">
        <v>0.4303</v>
      </c>
      <c r="S36" s="3" t="n">
        <v>0.0363</v>
      </c>
      <c r="T36" s="3" t="n">
        <v>-0.0017</v>
      </c>
    </row>
    <row r="37" customFormat="false" ht="15" hidden="false" customHeight="true" outlineLevel="0" collapsed="false">
      <c r="A37" s="3" t="s">
        <v>154</v>
      </c>
      <c r="B37" s="3" t="s">
        <v>155</v>
      </c>
      <c r="C37" s="3" t="s">
        <v>156</v>
      </c>
      <c r="D37" s="3" t="s">
        <v>32</v>
      </c>
      <c r="E37" s="3" t="s">
        <v>33</v>
      </c>
      <c r="F37" s="3" t="s">
        <v>25</v>
      </c>
      <c r="G37" s="3" t="s">
        <v>41</v>
      </c>
      <c r="H37" s="3" t="s">
        <v>27</v>
      </c>
      <c r="I37" s="3" t="s">
        <v>50</v>
      </c>
      <c r="J37" s="3" t="n">
        <v>17</v>
      </c>
      <c r="K37" s="3" t="n">
        <v>28387.63</v>
      </c>
      <c r="L37" s="3" t="n">
        <v>482589.71</v>
      </c>
      <c r="M37" s="3" t="n">
        <v>0.1617</v>
      </c>
      <c r="N37" s="3" t="n">
        <v>78034.76</v>
      </c>
      <c r="O37" s="3" t="n">
        <v>404554.95</v>
      </c>
      <c r="P37" s="3" t="n">
        <v>299205.62</v>
      </c>
      <c r="Q37" s="3" t="n">
        <v>105349.33</v>
      </c>
      <c r="R37" s="3" t="n">
        <v>0.2604</v>
      </c>
      <c r="S37" s="3" t="n">
        <v>0.1347</v>
      </c>
      <c r="T37" s="3" t="n">
        <v>0.027</v>
      </c>
    </row>
    <row r="38" customFormat="false" ht="15" hidden="false" customHeight="true" outlineLevel="0" collapsed="false">
      <c r="A38" s="3" t="s">
        <v>157</v>
      </c>
      <c r="B38" s="3" t="s">
        <v>158</v>
      </c>
      <c r="C38" s="3" t="s">
        <v>156</v>
      </c>
      <c r="D38" s="3" t="s">
        <v>97</v>
      </c>
      <c r="E38" s="3" t="s">
        <v>48</v>
      </c>
      <c r="F38" s="3" t="s">
        <v>40</v>
      </c>
      <c r="G38" s="3" t="s">
        <v>49</v>
      </c>
      <c r="H38" s="3" t="s">
        <v>64</v>
      </c>
      <c r="I38" s="3" t="s">
        <v>65</v>
      </c>
      <c r="J38" s="3" t="n">
        <v>10</v>
      </c>
      <c r="K38" s="3" t="n">
        <v>8242.59</v>
      </c>
      <c r="L38" s="3" t="n">
        <v>82425.9</v>
      </c>
      <c r="M38" s="3" t="n">
        <v>0.0515</v>
      </c>
      <c r="N38" s="3" t="n">
        <v>4244.93</v>
      </c>
      <c r="O38" s="3" t="n">
        <v>78180.97</v>
      </c>
      <c r="P38" s="3" t="n">
        <v>47807.02</v>
      </c>
      <c r="Q38" s="3" t="n">
        <v>30373.95</v>
      </c>
      <c r="R38" s="3" t="n">
        <v>0.3885</v>
      </c>
      <c r="S38" s="3" t="n">
        <v>0.046</v>
      </c>
      <c r="T38" s="3" t="n">
        <v>0.0055</v>
      </c>
    </row>
    <row r="39" customFormat="false" ht="15" hidden="false" customHeight="true" outlineLevel="0" collapsed="false">
      <c r="A39" s="3" t="s">
        <v>159</v>
      </c>
      <c r="B39" s="3" t="s">
        <v>160</v>
      </c>
      <c r="C39" s="3" t="s">
        <v>31</v>
      </c>
      <c r="D39" s="3" t="s">
        <v>32</v>
      </c>
      <c r="E39" s="3" t="s">
        <v>33</v>
      </c>
      <c r="F39" s="3" t="s">
        <v>25</v>
      </c>
      <c r="G39" s="3" t="s">
        <v>71</v>
      </c>
      <c r="H39" s="3" t="s">
        <v>42</v>
      </c>
      <c r="I39" s="3" t="s">
        <v>43</v>
      </c>
      <c r="J39" s="3" t="n">
        <v>7</v>
      </c>
      <c r="K39" s="3" t="n">
        <v>1373.35</v>
      </c>
      <c r="L39" s="3" t="n">
        <v>9613.45</v>
      </c>
      <c r="M39" s="3" t="n">
        <v>0.1325</v>
      </c>
      <c r="N39" s="3" t="n">
        <v>1273.78</v>
      </c>
      <c r="O39" s="3" t="n">
        <v>8339.67</v>
      </c>
      <c r="P39" s="3" t="n">
        <v>5287.4</v>
      </c>
      <c r="Q39" s="3" t="n">
        <v>3052.27</v>
      </c>
      <c r="R39" s="3" t="n">
        <v>0.366</v>
      </c>
      <c r="S39" s="3" t="n">
        <v>0.1447</v>
      </c>
      <c r="T39" s="3" t="n">
        <v>-0.0122</v>
      </c>
    </row>
    <row r="40" customFormat="false" ht="15" hidden="false" customHeight="true" outlineLevel="0" collapsed="false">
      <c r="A40" s="3" t="s">
        <v>161</v>
      </c>
      <c r="B40" s="3" t="s">
        <v>162</v>
      </c>
      <c r="C40" s="3" t="s">
        <v>37</v>
      </c>
      <c r="D40" s="3" t="s">
        <v>97</v>
      </c>
      <c r="E40" s="3" t="s">
        <v>48</v>
      </c>
      <c r="F40" s="3" t="s">
        <v>40</v>
      </c>
      <c r="G40" s="3" t="s">
        <v>41</v>
      </c>
      <c r="H40" s="3" t="s">
        <v>64</v>
      </c>
      <c r="I40" s="3" t="s">
        <v>108</v>
      </c>
      <c r="J40" s="3" t="n">
        <v>12</v>
      </c>
      <c r="K40" s="3" t="n">
        <v>11785.85</v>
      </c>
      <c r="L40" s="3" t="n">
        <v>141430.2</v>
      </c>
      <c r="M40" s="3" t="n">
        <v>0.0951</v>
      </c>
      <c r="N40" s="3" t="n">
        <v>13450.01</v>
      </c>
      <c r="O40" s="3" t="n">
        <v>127980.19</v>
      </c>
      <c r="P40" s="3" t="n">
        <v>82029.52</v>
      </c>
      <c r="Q40" s="3" t="n">
        <v>45950.67</v>
      </c>
      <c r="R40" s="3" t="n">
        <v>0.359</v>
      </c>
      <c r="S40" s="3" t="n">
        <v>0.0984</v>
      </c>
      <c r="T40" s="3" t="n">
        <v>-0.0033</v>
      </c>
    </row>
    <row r="41" customFormat="false" ht="15" hidden="false" customHeight="true" outlineLevel="0" collapsed="false">
      <c r="A41" s="3" t="s">
        <v>163</v>
      </c>
      <c r="B41" s="3" t="s">
        <v>164</v>
      </c>
      <c r="C41" s="3" t="s">
        <v>113</v>
      </c>
      <c r="D41" s="3" t="s">
        <v>47</v>
      </c>
      <c r="E41" s="3" t="s">
        <v>48</v>
      </c>
      <c r="F41" s="3" t="s">
        <v>25</v>
      </c>
      <c r="G41" s="3" t="s">
        <v>41</v>
      </c>
      <c r="H41" s="3" t="s">
        <v>64</v>
      </c>
      <c r="I41" s="3" t="s">
        <v>145</v>
      </c>
      <c r="J41" s="3" t="n">
        <v>7</v>
      </c>
      <c r="K41" s="3" t="n">
        <v>10086.37</v>
      </c>
      <c r="L41" s="3" t="n">
        <v>70604.59</v>
      </c>
      <c r="M41" s="3" t="n">
        <v>0.1311</v>
      </c>
      <c r="N41" s="3" t="n">
        <v>9256.26</v>
      </c>
      <c r="O41" s="3" t="n">
        <v>61348.33</v>
      </c>
      <c r="P41" s="3" t="n">
        <v>40950.66</v>
      </c>
      <c r="Q41" s="3" t="n">
        <v>20397.67</v>
      </c>
      <c r="R41" s="3" t="n">
        <v>0.3325</v>
      </c>
      <c r="S41" s="3" t="n">
        <v>0.1369</v>
      </c>
      <c r="T41" s="3" t="n">
        <v>-0.0058</v>
      </c>
    </row>
    <row r="42" customFormat="false" ht="15" hidden="false" customHeight="true" outlineLevel="0" collapsed="false">
      <c r="A42" s="3" t="s">
        <v>165</v>
      </c>
      <c r="B42" s="3" t="s">
        <v>166</v>
      </c>
      <c r="C42" s="3" t="s">
        <v>22</v>
      </c>
      <c r="D42" s="3" t="s">
        <v>83</v>
      </c>
      <c r="E42" s="3" t="s">
        <v>48</v>
      </c>
      <c r="F42" s="3" t="s">
        <v>62</v>
      </c>
      <c r="G42" s="3" t="s">
        <v>34</v>
      </c>
      <c r="H42" s="3" t="s">
        <v>42</v>
      </c>
      <c r="I42" s="3" t="s">
        <v>134</v>
      </c>
      <c r="J42" s="3" t="n">
        <v>43</v>
      </c>
      <c r="K42" s="3" t="n">
        <v>1280.23</v>
      </c>
      <c r="L42" s="3" t="n">
        <v>55049.89</v>
      </c>
      <c r="M42" s="3" t="n">
        <v>0.0728</v>
      </c>
      <c r="N42" s="3" t="n">
        <v>4007.63</v>
      </c>
      <c r="O42" s="3" t="n">
        <v>51042.26</v>
      </c>
      <c r="P42" s="3" t="n">
        <v>30277.44</v>
      </c>
      <c r="Q42" s="3" t="n">
        <v>20764.82</v>
      </c>
      <c r="R42" s="3" t="n">
        <v>0.4068</v>
      </c>
      <c r="S42" s="3" t="n">
        <v>0.0793</v>
      </c>
      <c r="T42" s="3" t="n">
        <v>-0.0065</v>
      </c>
    </row>
    <row r="43" customFormat="false" ht="15" hidden="false" customHeight="true" outlineLevel="0" collapsed="false">
      <c r="A43" s="3" t="s">
        <v>167</v>
      </c>
      <c r="B43" s="3" t="s">
        <v>168</v>
      </c>
      <c r="C43" s="3" t="s">
        <v>156</v>
      </c>
      <c r="D43" s="3" t="s">
        <v>54</v>
      </c>
      <c r="E43" s="3" t="s">
        <v>24</v>
      </c>
      <c r="F43" s="3" t="s">
        <v>40</v>
      </c>
      <c r="G43" s="3" t="s">
        <v>100</v>
      </c>
      <c r="H43" s="3" t="s">
        <v>42</v>
      </c>
      <c r="I43" s="3" t="s">
        <v>72</v>
      </c>
      <c r="J43" s="3" t="n">
        <v>35</v>
      </c>
      <c r="K43" s="3" t="n">
        <v>1898.87</v>
      </c>
      <c r="L43" s="3" t="n">
        <v>66460.45</v>
      </c>
      <c r="M43" s="3" t="n">
        <v>0.0466</v>
      </c>
      <c r="N43" s="3" t="n">
        <v>3097.06</v>
      </c>
      <c r="O43" s="3" t="n">
        <v>63363.39</v>
      </c>
      <c r="P43" s="3" t="n">
        <v>36553.25</v>
      </c>
      <c r="Q43" s="3" t="n">
        <v>26810.14</v>
      </c>
      <c r="R43" s="3" t="n">
        <v>0.4231</v>
      </c>
      <c r="S43" s="3" t="n">
        <v>0.0389</v>
      </c>
      <c r="T43" s="3" t="n">
        <v>0.0077</v>
      </c>
    </row>
    <row r="44" customFormat="false" ht="15" hidden="false" customHeight="true" outlineLevel="0" collapsed="false">
      <c r="A44" s="3" t="s">
        <v>169</v>
      </c>
      <c r="B44" s="3" t="s">
        <v>170</v>
      </c>
      <c r="C44" s="3" t="s">
        <v>31</v>
      </c>
      <c r="D44" s="3" t="s">
        <v>54</v>
      </c>
      <c r="E44" s="3" t="s">
        <v>24</v>
      </c>
      <c r="F44" s="3" t="s">
        <v>40</v>
      </c>
      <c r="G44" s="3" t="s">
        <v>104</v>
      </c>
      <c r="H44" s="3" t="s">
        <v>64</v>
      </c>
      <c r="I44" s="3" t="s">
        <v>145</v>
      </c>
      <c r="J44" s="3" t="n">
        <v>28</v>
      </c>
      <c r="K44" s="3" t="n">
        <v>3975.62</v>
      </c>
      <c r="L44" s="3" t="n">
        <v>111317.36</v>
      </c>
      <c r="M44" s="3" t="n">
        <v>0.0987</v>
      </c>
      <c r="N44" s="3" t="n">
        <v>10987.02</v>
      </c>
      <c r="O44" s="3" t="n">
        <v>100330.34</v>
      </c>
      <c r="P44" s="3" t="n">
        <v>64564.07</v>
      </c>
      <c r="Q44" s="3" t="n">
        <v>35766.27</v>
      </c>
      <c r="R44" s="3" t="n">
        <v>0.3565</v>
      </c>
      <c r="S44" s="3" t="n">
        <v>0.097</v>
      </c>
      <c r="T44" s="3" t="n">
        <v>0.0017</v>
      </c>
    </row>
    <row r="45" customFormat="false" ht="15" hidden="false" customHeight="true" outlineLevel="0" collapsed="false">
      <c r="A45" s="3" t="s">
        <v>171</v>
      </c>
      <c r="B45" s="3" t="s">
        <v>172</v>
      </c>
      <c r="C45" s="3" t="s">
        <v>156</v>
      </c>
      <c r="D45" s="3" t="s">
        <v>107</v>
      </c>
      <c r="E45" s="3" t="s">
        <v>33</v>
      </c>
      <c r="F45" s="3" t="s">
        <v>70</v>
      </c>
      <c r="G45" s="3" t="s">
        <v>55</v>
      </c>
      <c r="H45" s="3" t="s">
        <v>27</v>
      </c>
      <c r="I45" s="3" t="s">
        <v>173</v>
      </c>
      <c r="J45" s="3" t="n">
        <v>3</v>
      </c>
      <c r="K45" s="3" t="n">
        <v>14082.52</v>
      </c>
      <c r="L45" s="3" t="n">
        <v>42247.56</v>
      </c>
      <c r="M45" s="3" t="n">
        <v>0.0654</v>
      </c>
      <c r="N45" s="3" t="n">
        <v>2762.99</v>
      </c>
      <c r="O45" s="3" t="n">
        <v>39484.57</v>
      </c>
      <c r="P45" s="3" t="n">
        <v>26193.49</v>
      </c>
      <c r="Q45" s="3" t="n">
        <v>13291.08</v>
      </c>
      <c r="R45" s="3" t="n">
        <v>0.3366</v>
      </c>
      <c r="S45" s="3" t="n">
        <v>0.0626</v>
      </c>
      <c r="T45" s="3" t="n">
        <v>0.0028</v>
      </c>
    </row>
    <row r="46" customFormat="false" ht="15" hidden="false" customHeight="true" outlineLevel="0" collapsed="false">
      <c r="A46" s="3" t="s">
        <v>174</v>
      </c>
      <c r="B46" s="3" t="s">
        <v>175</v>
      </c>
      <c r="C46" s="3" t="s">
        <v>37</v>
      </c>
      <c r="D46" s="3" t="s">
        <v>107</v>
      </c>
      <c r="E46" s="3" t="s">
        <v>33</v>
      </c>
      <c r="F46" s="3" t="s">
        <v>70</v>
      </c>
      <c r="G46" s="3" t="s">
        <v>63</v>
      </c>
      <c r="H46" s="3" t="s">
        <v>64</v>
      </c>
      <c r="I46" s="3" t="s">
        <v>145</v>
      </c>
      <c r="J46" s="3" t="n">
        <v>43</v>
      </c>
      <c r="K46" s="3" t="n">
        <v>3629.76</v>
      </c>
      <c r="L46" s="3" t="n">
        <v>156079.68</v>
      </c>
      <c r="M46" s="3" t="n">
        <v>0.076</v>
      </c>
      <c r="N46" s="3" t="n">
        <v>11862.06</v>
      </c>
      <c r="O46" s="3" t="n">
        <v>144217.62</v>
      </c>
      <c r="P46" s="3" t="n">
        <v>90526.21</v>
      </c>
      <c r="Q46" s="3" t="n">
        <v>53691.41</v>
      </c>
      <c r="R46" s="3" t="n">
        <v>0.3723</v>
      </c>
      <c r="S46" s="3" t="n">
        <v>0.076</v>
      </c>
      <c r="T46" s="3" t="n">
        <v>0</v>
      </c>
    </row>
    <row r="47" customFormat="false" ht="15" hidden="false" customHeight="true" outlineLevel="0" collapsed="false">
      <c r="A47" s="3" t="s">
        <v>176</v>
      </c>
      <c r="B47" s="3" t="s">
        <v>177</v>
      </c>
      <c r="C47" s="3" t="s">
        <v>126</v>
      </c>
      <c r="D47" s="3" t="s">
        <v>61</v>
      </c>
      <c r="E47" s="3" t="s">
        <v>33</v>
      </c>
      <c r="F47" s="3" t="s">
        <v>62</v>
      </c>
      <c r="G47" s="3" t="s">
        <v>76</v>
      </c>
      <c r="H47" s="3" t="s">
        <v>42</v>
      </c>
      <c r="I47" s="3" t="s">
        <v>72</v>
      </c>
      <c r="J47" s="3" t="n">
        <v>21</v>
      </c>
      <c r="K47" s="3" t="n">
        <v>2834.13</v>
      </c>
      <c r="L47" s="3" t="n">
        <v>59516.73</v>
      </c>
      <c r="M47" s="3" t="n">
        <v>0.0501</v>
      </c>
      <c r="N47" s="3" t="n">
        <v>2981.79</v>
      </c>
      <c r="O47" s="3" t="n">
        <v>56534.94</v>
      </c>
      <c r="P47" s="3" t="n">
        <v>32734.2</v>
      </c>
      <c r="Q47" s="3" t="n">
        <v>23800.74</v>
      </c>
      <c r="R47" s="3" t="n">
        <v>0.421</v>
      </c>
      <c r="S47" s="3" t="n">
        <v>0.0484</v>
      </c>
      <c r="T47" s="3" t="n">
        <v>0.0017</v>
      </c>
    </row>
    <row r="48" customFormat="false" ht="15" hidden="false" customHeight="true" outlineLevel="0" collapsed="false">
      <c r="A48" s="3" t="s">
        <v>178</v>
      </c>
      <c r="B48" s="3" t="s">
        <v>179</v>
      </c>
      <c r="C48" s="3" t="s">
        <v>126</v>
      </c>
      <c r="D48" s="3" t="s">
        <v>69</v>
      </c>
      <c r="E48" s="3" t="s">
        <v>39</v>
      </c>
      <c r="F48" s="3" t="s">
        <v>70</v>
      </c>
      <c r="G48" s="3" t="s">
        <v>63</v>
      </c>
      <c r="H48" s="3" t="s">
        <v>77</v>
      </c>
      <c r="I48" s="3" t="s">
        <v>85</v>
      </c>
      <c r="J48" s="3" t="n">
        <v>12</v>
      </c>
      <c r="K48" s="3" t="n">
        <v>4451.13</v>
      </c>
      <c r="L48" s="3" t="n">
        <v>53413.56</v>
      </c>
      <c r="M48" s="3" t="n">
        <v>0.0608</v>
      </c>
      <c r="N48" s="3" t="n">
        <v>3247.54</v>
      </c>
      <c r="O48" s="3" t="n">
        <v>50166.02</v>
      </c>
      <c r="P48" s="3" t="n">
        <v>36321.22</v>
      </c>
      <c r="Q48" s="3" t="n">
        <v>13844.8</v>
      </c>
      <c r="R48" s="3" t="n">
        <v>0.276</v>
      </c>
      <c r="S48" s="3" t="n">
        <v>0.056</v>
      </c>
      <c r="T48" s="3" t="n">
        <v>0.0048</v>
      </c>
    </row>
    <row r="49" customFormat="false" ht="15" hidden="false" customHeight="true" outlineLevel="0" collapsed="false">
      <c r="A49" s="3" t="s">
        <v>180</v>
      </c>
      <c r="B49" s="3" t="s">
        <v>181</v>
      </c>
      <c r="C49" s="3" t="s">
        <v>113</v>
      </c>
      <c r="D49" s="3" t="s">
        <v>32</v>
      </c>
      <c r="E49" s="3" t="s">
        <v>33</v>
      </c>
      <c r="F49" s="3" t="s">
        <v>25</v>
      </c>
      <c r="G49" s="3" t="s">
        <v>34</v>
      </c>
      <c r="H49" s="3" t="s">
        <v>42</v>
      </c>
      <c r="I49" s="3" t="s">
        <v>134</v>
      </c>
      <c r="J49" s="3" t="n">
        <v>38</v>
      </c>
      <c r="K49" s="3" t="n">
        <v>2004.61</v>
      </c>
      <c r="L49" s="3" t="n">
        <v>76175.18</v>
      </c>
      <c r="M49" s="3" t="n">
        <v>0.1638</v>
      </c>
      <c r="N49" s="3" t="n">
        <v>12477.49</v>
      </c>
      <c r="O49" s="3" t="n">
        <v>63697.69</v>
      </c>
      <c r="P49" s="3" t="n">
        <v>41896.35</v>
      </c>
      <c r="Q49" s="3" t="n">
        <v>21801.34</v>
      </c>
      <c r="R49" s="3" t="n">
        <v>0.3423</v>
      </c>
      <c r="S49" s="3" t="n">
        <v>0.1561</v>
      </c>
      <c r="T49" s="3" t="n">
        <v>0.0077</v>
      </c>
    </row>
    <row r="50" customFormat="false" ht="15" hidden="false" customHeight="true" outlineLevel="0" collapsed="false">
      <c r="A50" s="3" t="s">
        <v>182</v>
      </c>
      <c r="B50" s="3" t="s">
        <v>183</v>
      </c>
      <c r="C50" s="3" t="s">
        <v>120</v>
      </c>
      <c r="D50" s="3" t="s">
        <v>97</v>
      </c>
      <c r="E50" s="3" t="s">
        <v>48</v>
      </c>
      <c r="F50" s="3" t="s">
        <v>40</v>
      </c>
      <c r="G50" s="3" t="s">
        <v>76</v>
      </c>
      <c r="H50" s="3" t="s">
        <v>64</v>
      </c>
      <c r="I50" s="3" t="s">
        <v>65</v>
      </c>
      <c r="J50" s="3" t="n">
        <v>41</v>
      </c>
      <c r="K50" s="3" t="n">
        <v>7639.07</v>
      </c>
      <c r="L50" s="3" t="n">
        <v>313201.87</v>
      </c>
      <c r="M50" s="3" t="n">
        <v>0.061</v>
      </c>
      <c r="N50" s="3" t="n">
        <v>19105.31</v>
      </c>
      <c r="O50" s="3" t="n">
        <v>294096.56</v>
      </c>
      <c r="P50" s="3" t="n">
        <v>181657.08</v>
      </c>
      <c r="Q50" s="3" t="n">
        <v>112439.48</v>
      </c>
      <c r="R50" s="3" t="n">
        <v>0.3823</v>
      </c>
      <c r="S50" s="3" t="n">
        <v>0.0637</v>
      </c>
      <c r="T50" s="3" t="n">
        <v>-0.0027</v>
      </c>
    </row>
    <row r="51" customFormat="false" ht="15" hidden="false" customHeight="true" outlineLevel="0" collapsed="false">
      <c r="A51" s="3" t="s">
        <v>184</v>
      </c>
      <c r="B51" s="3" t="s">
        <v>185</v>
      </c>
      <c r="C51" s="3" t="s">
        <v>22</v>
      </c>
      <c r="D51" s="3" t="s">
        <v>69</v>
      </c>
      <c r="E51" s="3" t="s">
        <v>39</v>
      </c>
      <c r="F51" s="3" t="s">
        <v>70</v>
      </c>
      <c r="G51" s="3" t="s">
        <v>34</v>
      </c>
      <c r="H51" s="3" t="s">
        <v>42</v>
      </c>
      <c r="I51" s="3" t="s">
        <v>43</v>
      </c>
      <c r="J51" s="3" t="n">
        <v>3</v>
      </c>
      <c r="K51" s="3" t="n">
        <v>1015.74</v>
      </c>
      <c r="L51" s="3" t="n">
        <v>3047.22</v>
      </c>
      <c r="M51" s="3" t="n">
        <v>0.0812</v>
      </c>
      <c r="N51" s="3" t="n">
        <v>247.43</v>
      </c>
      <c r="O51" s="3" t="n">
        <v>2799.79</v>
      </c>
      <c r="P51" s="3" t="n">
        <v>1675.97</v>
      </c>
      <c r="Q51" s="3" t="n">
        <v>1123.82</v>
      </c>
      <c r="R51" s="3" t="n">
        <v>0.4014</v>
      </c>
      <c r="S51" s="3" t="n">
        <v>0.0761</v>
      </c>
      <c r="T51" s="3" t="n">
        <v>0.0051</v>
      </c>
    </row>
    <row r="52" customFormat="false" ht="15" hidden="false" customHeight="true" outlineLevel="0" collapsed="false">
      <c r="A52" s="3" t="s">
        <v>186</v>
      </c>
      <c r="B52" s="3" t="s">
        <v>187</v>
      </c>
      <c r="C52" s="3" t="s">
        <v>156</v>
      </c>
      <c r="D52" s="3" t="s">
        <v>23</v>
      </c>
      <c r="E52" s="3" t="s">
        <v>24</v>
      </c>
      <c r="F52" s="3" t="s">
        <v>25</v>
      </c>
      <c r="G52" s="3" t="s">
        <v>26</v>
      </c>
      <c r="H52" s="3" t="s">
        <v>56</v>
      </c>
      <c r="I52" s="3" t="s">
        <v>188</v>
      </c>
      <c r="J52" s="3" t="n">
        <v>32</v>
      </c>
      <c r="K52" s="3" t="n">
        <v>13141.67</v>
      </c>
      <c r="L52" s="3" t="n">
        <v>420533.44</v>
      </c>
      <c r="M52" s="3" t="n">
        <v>0.1018</v>
      </c>
      <c r="N52" s="3" t="n">
        <v>42810.3</v>
      </c>
      <c r="O52" s="3" t="n">
        <v>377723.14</v>
      </c>
      <c r="P52" s="3" t="n">
        <v>252320.06</v>
      </c>
      <c r="Q52" s="3" t="n">
        <v>125403.08</v>
      </c>
      <c r="R52" s="3" t="n">
        <v>0.332</v>
      </c>
      <c r="S52" s="3" t="n">
        <v>0.1087</v>
      </c>
      <c r="T52" s="3" t="n">
        <v>-0.0069</v>
      </c>
    </row>
    <row r="53" customFormat="false" ht="15" hidden="false" customHeight="true" outlineLevel="0" collapsed="false">
      <c r="A53" s="3" t="s">
        <v>189</v>
      </c>
      <c r="B53" s="3" t="s">
        <v>190</v>
      </c>
      <c r="C53" s="3" t="s">
        <v>53</v>
      </c>
      <c r="D53" s="3" t="s">
        <v>61</v>
      </c>
      <c r="E53" s="3" t="s">
        <v>33</v>
      </c>
      <c r="F53" s="3" t="s">
        <v>62</v>
      </c>
      <c r="G53" s="3" t="s">
        <v>41</v>
      </c>
      <c r="H53" s="3" t="s">
        <v>77</v>
      </c>
      <c r="I53" s="3" t="s">
        <v>131</v>
      </c>
      <c r="J53" s="3" t="n">
        <v>45</v>
      </c>
      <c r="K53" s="3" t="n">
        <v>5059.73</v>
      </c>
      <c r="L53" s="3" t="n">
        <v>227687.85</v>
      </c>
      <c r="M53" s="3" t="n">
        <v>0.0779</v>
      </c>
      <c r="N53" s="3" t="n">
        <v>17736.88</v>
      </c>
      <c r="O53" s="3" t="n">
        <v>209950.97</v>
      </c>
      <c r="P53" s="3" t="n">
        <v>154827.74</v>
      </c>
      <c r="Q53" s="3" t="n">
        <v>55123.23</v>
      </c>
      <c r="R53" s="3" t="n">
        <v>0.2626</v>
      </c>
      <c r="S53" s="3" t="n">
        <v>0.0838</v>
      </c>
      <c r="T53" s="3" t="n">
        <v>-0.0059</v>
      </c>
    </row>
    <row r="54" customFormat="false" ht="15" hidden="false" customHeight="true" outlineLevel="0" collapsed="false">
      <c r="A54" s="3" t="s">
        <v>191</v>
      </c>
      <c r="B54" s="3" t="s">
        <v>192</v>
      </c>
      <c r="C54" s="3" t="s">
        <v>31</v>
      </c>
      <c r="D54" s="3" t="s">
        <v>61</v>
      </c>
      <c r="E54" s="3" t="s">
        <v>33</v>
      </c>
      <c r="F54" s="3" t="s">
        <v>62</v>
      </c>
      <c r="G54" s="3" t="s">
        <v>84</v>
      </c>
      <c r="H54" s="3" t="s">
        <v>77</v>
      </c>
      <c r="I54" s="3" t="s">
        <v>131</v>
      </c>
      <c r="J54" s="3" t="n">
        <v>36</v>
      </c>
      <c r="K54" s="3" t="n">
        <v>4404.37</v>
      </c>
      <c r="L54" s="3" t="n">
        <v>158557.32</v>
      </c>
      <c r="M54" s="3" t="n">
        <v>0.0598</v>
      </c>
      <c r="N54" s="3" t="n">
        <v>9481.73</v>
      </c>
      <c r="O54" s="3" t="n">
        <v>149075.59</v>
      </c>
      <c r="P54" s="3" t="n">
        <v>107818.98</v>
      </c>
      <c r="Q54" s="3" t="n">
        <v>41256.61</v>
      </c>
      <c r="R54" s="3" t="n">
        <v>0.2767</v>
      </c>
      <c r="S54" s="3" t="n">
        <v>0.0588</v>
      </c>
      <c r="T54" s="3" t="n">
        <v>0.001</v>
      </c>
    </row>
    <row r="55" customFormat="false" ht="15" hidden="false" customHeight="true" outlineLevel="0" collapsed="false">
      <c r="A55" s="3" t="s">
        <v>193</v>
      </c>
      <c r="B55" s="3" t="s">
        <v>194</v>
      </c>
      <c r="C55" s="3" t="s">
        <v>93</v>
      </c>
      <c r="D55" s="3" t="s">
        <v>97</v>
      </c>
      <c r="E55" s="3" t="s">
        <v>48</v>
      </c>
      <c r="F55" s="3" t="s">
        <v>40</v>
      </c>
      <c r="G55" s="3" t="s">
        <v>100</v>
      </c>
      <c r="H55" s="3" t="s">
        <v>56</v>
      </c>
      <c r="I55" s="3" t="s">
        <v>57</v>
      </c>
      <c r="J55" s="3" t="n">
        <v>11</v>
      </c>
      <c r="K55" s="3" t="n">
        <v>9134.62</v>
      </c>
      <c r="L55" s="3" t="n">
        <v>100480.82</v>
      </c>
      <c r="M55" s="3" t="n">
        <v>0.0672</v>
      </c>
      <c r="N55" s="3" t="n">
        <v>6752.31</v>
      </c>
      <c r="O55" s="3" t="n">
        <v>93728.51</v>
      </c>
      <c r="P55" s="3" t="n">
        <v>60288.49</v>
      </c>
      <c r="Q55" s="3" t="n">
        <v>33440.02</v>
      </c>
      <c r="R55" s="3" t="n">
        <v>0.3568</v>
      </c>
      <c r="S55" s="3" t="n">
        <v>0.0628</v>
      </c>
      <c r="T55" s="3" t="n">
        <v>0.0044</v>
      </c>
    </row>
    <row r="56" customFormat="false" ht="15" hidden="false" customHeight="true" outlineLevel="0" collapsed="false">
      <c r="A56" s="3" t="s">
        <v>195</v>
      </c>
      <c r="B56" s="3" t="s">
        <v>196</v>
      </c>
      <c r="C56" s="3" t="s">
        <v>126</v>
      </c>
      <c r="D56" s="3" t="s">
        <v>69</v>
      </c>
      <c r="E56" s="3" t="s">
        <v>39</v>
      </c>
      <c r="F56" s="3" t="s">
        <v>70</v>
      </c>
      <c r="G56" s="3" t="s">
        <v>84</v>
      </c>
      <c r="H56" s="3" t="s">
        <v>42</v>
      </c>
      <c r="I56" s="3" t="s">
        <v>72</v>
      </c>
      <c r="J56" s="3" t="n">
        <v>18</v>
      </c>
      <c r="K56" s="3" t="n">
        <v>2693.62</v>
      </c>
      <c r="L56" s="3" t="n">
        <v>48485.16</v>
      </c>
      <c r="M56" s="3" t="n">
        <v>0.052</v>
      </c>
      <c r="N56" s="3" t="n">
        <v>2521.23</v>
      </c>
      <c r="O56" s="3" t="n">
        <v>45963.93</v>
      </c>
      <c r="P56" s="3" t="n">
        <v>26666.84</v>
      </c>
      <c r="Q56" s="3" t="n">
        <v>19297.09</v>
      </c>
      <c r="R56" s="3" t="n">
        <v>0.4198</v>
      </c>
      <c r="S56" s="3" t="n">
        <v>0.0453</v>
      </c>
      <c r="T56" s="3" t="n">
        <v>0.0067</v>
      </c>
    </row>
    <row r="57" customFormat="false" ht="15" hidden="false" customHeight="true" outlineLevel="0" collapsed="false">
      <c r="A57" s="3" t="s">
        <v>197</v>
      </c>
      <c r="B57" s="3" t="s">
        <v>198</v>
      </c>
      <c r="C57" s="3" t="s">
        <v>113</v>
      </c>
      <c r="D57" s="3" t="s">
        <v>103</v>
      </c>
      <c r="E57" s="3" t="s">
        <v>24</v>
      </c>
      <c r="F57" s="3" t="s">
        <v>62</v>
      </c>
      <c r="G57" s="3" t="s">
        <v>116</v>
      </c>
      <c r="H57" s="3" t="s">
        <v>42</v>
      </c>
      <c r="I57" s="3" t="s">
        <v>72</v>
      </c>
      <c r="J57" s="3" t="n">
        <v>15</v>
      </c>
      <c r="K57" s="3" t="n">
        <v>984.31</v>
      </c>
      <c r="L57" s="3" t="n">
        <v>14764.65</v>
      </c>
      <c r="M57" s="3" t="n">
        <v>0.0753</v>
      </c>
      <c r="N57" s="3" t="n">
        <v>1111.78</v>
      </c>
      <c r="O57" s="3" t="n">
        <v>13652.87</v>
      </c>
      <c r="P57" s="3" t="n">
        <v>8120.56</v>
      </c>
      <c r="Q57" s="3" t="n">
        <v>5532.31</v>
      </c>
      <c r="R57" s="3" t="n">
        <v>0.4052</v>
      </c>
      <c r="S57" s="3" t="n">
        <v>0.0617</v>
      </c>
      <c r="T57" s="3" t="n">
        <v>0.0136</v>
      </c>
    </row>
    <row r="58" customFormat="false" ht="15" hidden="false" customHeight="true" outlineLevel="0" collapsed="false">
      <c r="A58" s="3" t="s">
        <v>199</v>
      </c>
      <c r="B58" s="3" t="s">
        <v>200</v>
      </c>
      <c r="C58" s="3" t="s">
        <v>156</v>
      </c>
      <c r="D58" s="3" t="s">
        <v>47</v>
      </c>
      <c r="E58" s="3" t="s">
        <v>48</v>
      </c>
      <c r="F58" s="3" t="s">
        <v>25</v>
      </c>
      <c r="G58" s="3" t="s">
        <v>84</v>
      </c>
      <c r="H58" s="3" t="s">
        <v>42</v>
      </c>
      <c r="I58" s="3" t="s">
        <v>72</v>
      </c>
      <c r="J58" s="3" t="n">
        <v>14</v>
      </c>
      <c r="K58" s="3" t="n">
        <v>1955.21</v>
      </c>
      <c r="L58" s="3" t="n">
        <v>27372.94</v>
      </c>
      <c r="M58" s="3" t="n">
        <v>0.1428</v>
      </c>
      <c r="N58" s="3" t="n">
        <v>3908.86</v>
      </c>
      <c r="O58" s="3" t="n">
        <v>23464.08</v>
      </c>
      <c r="P58" s="3" t="n">
        <v>15055.12</v>
      </c>
      <c r="Q58" s="3" t="n">
        <v>8408.96</v>
      </c>
      <c r="R58" s="3" t="n">
        <v>0.3584</v>
      </c>
      <c r="S58" s="3" t="n">
        <v>0.1509</v>
      </c>
      <c r="T58" s="3" t="n">
        <v>-0.0081</v>
      </c>
    </row>
    <row r="59" customFormat="false" ht="15" hidden="false" customHeight="true" outlineLevel="0" collapsed="false">
      <c r="A59" s="3" t="s">
        <v>201</v>
      </c>
      <c r="B59" s="3" t="s">
        <v>202</v>
      </c>
      <c r="C59" s="3" t="s">
        <v>31</v>
      </c>
      <c r="D59" s="3" t="s">
        <v>38</v>
      </c>
      <c r="E59" s="3" t="s">
        <v>39</v>
      </c>
      <c r="F59" s="3" t="s">
        <v>40</v>
      </c>
      <c r="G59" s="3" t="s">
        <v>104</v>
      </c>
      <c r="H59" s="3" t="s">
        <v>77</v>
      </c>
      <c r="I59" s="3" t="s">
        <v>78</v>
      </c>
      <c r="J59" s="3" t="n">
        <v>20</v>
      </c>
      <c r="K59" s="3" t="n">
        <v>5725.16</v>
      </c>
      <c r="L59" s="3" t="n">
        <v>114503.2</v>
      </c>
      <c r="M59" s="3" t="n">
        <v>0.1218</v>
      </c>
      <c r="N59" s="3" t="n">
        <v>13946.49</v>
      </c>
      <c r="O59" s="3" t="n">
        <v>100556.71</v>
      </c>
      <c r="P59" s="3" t="n">
        <v>77862.18</v>
      </c>
      <c r="Q59" s="3" t="n">
        <v>22694.53</v>
      </c>
      <c r="R59" s="3" t="n">
        <v>0.2257</v>
      </c>
      <c r="S59" s="3" t="n">
        <v>0.1171</v>
      </c>
      <c r="T59" s="3" t="n">
        <v>0.0047</v>
      </c>
    </row>
    <row r="60" customFormat="false" ht="15" hidden="false" customHeight="true" outlineLevel="0" collapsed="false">
      <c r="A60" s="3" t="s">
        <v>203</v>
      </c>
      <c r="B60" s="3" t="s">
        <v>204</v>
      </c>
      <c r="C60" s="3" t="s">
        <v>37</v>
      </c>
      <c r="D60" s="3" t="s">
        <v>97</v>
      </c>
      <c r="E60" s="3" t="s">
        <v>48</v>
      </c>
      <c r="F60" s="3" t="s">
        <v>40</v>
      </c>
      <c r="G60" s="3" t="s">
        <v>34</v>
      </c>
      <c r="H60" s="3" t="s">
        <v>56</v>
      </c>
      <c r="I60" s="3" t="s">
        <v>121</v>
      </c>
      <c r="J60" s="3" t="n">
        <v>18</v>
      </c>
      <c r="K60" s="3" t="n">
        <v>9811.67</v>
      </c>
      <c r="L60" s="3" t="n">
        <v>176610.06</v>
      </c>
      <c r="M60" s="3" t="n">
        <v>0.073</v>
      </c>
      <c r="N60" s="3" t="n">
        <v>12892.53</v>
      </c>
      <c r="O60" s="3" t="n">
        <v>163717.53</v>
      </c>
      <c r="P60" s="3" t="n">
        <v>105966.04</v>
      </c>
      <c r="Q60" s="3" t="n">
        <v>57751.49</v>
      </c>
      <c r="R60" s="3" t="n">
        <v>0.3528</v>
      </c>
      <c r="S60" s="3" t="n">
        <v>0.073</v>
      </c>
      <c r="T60" s="3" t="n">
        <v>0</v>
      </c>
    </row>
    <row r="61" customFormat="false" ht="15" hidden="false" customHeight="true" outlineLevel="0" collapsed="false">
      <c r="A61" s="3" t="s">
        <v>205</v>
      </c>
      <c r="B61" s="3" t="s">
        <v>206</v>
      </c>
      <c r="C61" s="3" t="s">
        <v>156</v>
      </c>
      <c r="D61" s="3" t="s">
        <v>47</v>
      </c>
      <c r="E61" s="3" t="s">
        <v>48</v>
      </c>
      <c r="F61" s="3" t="s">
        <v>25</v>
      </c>
      <c r="G61" s="3" t="s">
        <v>41</v>
      </c>
      <c r="H61" s="3" t="s">
        <v>64</v>
      </c>
      <c r="I61" s="3" t="s">
        <v>90</v>
      </c>
      <c r="J61" s="3" t="n">
        <v>35</v>
      </c>
      <c r="K61" s="3" t="n">
        <v>11826.5</v>
      </c>
      <c r="L61" s="3" t="n">
        <v>413927.5</v>
      </c>
      <c r="M61" s="3" t="n">
        <v>0.1454</v>
      </c>
      <c r="N61" s="3" t="n">
        <v>60185.06</v>
      </c>
      <c r="O61" s="3" t="n">
        <v>353742.44</v>
      </c>
      <c r="P61" s="3" t="n">
        <v>240077.95</v>
      </c>
      <c r="Q61" s="3" t="n">
        <v>113664.49</v>
      </c>
      <c r="R61" s="3" t="n">
        <v>0.3213</v>
      </c>
      <c r="S61" s="3" t="n">
        <v>0.12</v>
      </c>
      <c r="T61" s="3" t="n">
        <v>0.0254</v>
      </c>
    </row>
    <row r="62" customFormat="false" ht="15" hidden="false" customHeight="true" outlineLevel="0" collapsed="false">
      <c r="A62" s="3" t="s">
        <v>207</v>
      </c>
      <c r="B62" s="3" t="s">
        <v>208</v>
      </c>
      <c r="C62" s="3" t="s">
        <v>46</v>
      </c>
      <c r="D62" s="3" t="s">
        <v>47</v>
      </c>
      <c r="E62" s="3" t="s">
        <v>48</v>
      </c>
      <c r="F62" s="3" t="s">
        <v>25</v>
      </c>
      <c r="G62" s="3" t="s">
        <v>41</v>
      </c>
      <c r="H62" s="3" t="s">
        <v>64</v>
      </c>
      <c r="I62" s="3" t="s">
        <v>90</v>
      </c>
      <c r="J62" s="3" t="n">
        <v>25</v>
      </c>
      <c r="K62" s="3" t="n">
        <v>3452.56</v>
      </c>
      <c r="L62" s="3" t="n">
        <v>86314</v>
      </c>
      <c r="M62" s="3" t="n">
        <v>0.1562</v>
      </c>
      <c r="N62" s="3" t="n">
        <v>13482.25</v>
      </c>
      <c r="O62" s="3" t="n">
        <v>72831.75</v>
      </c>
      <c r="P62" s="3" t="n">
        <v>50062.12</v>
      </c>
      <c r="Q62" s="3" t="n">
        <v>22769.63</v>
      </c>
      <c r="R62" s="3" t="n">
        <v>0.3126</v>
      </c>
      <c r="S62" s="3" t="n">
        <v>0.138</v>
      </c>
      <c r="T62" s="3" t="n">
        <v>0.0182</v>
      </c>
    </row>
    <row r="63" customFormat="false" ht="15" hidden="false" customHeight="true" outlineLevel="0" collapsed="false">
      <c r="A63" s="3" t="s">
        <v>209</v>
      </c>
      <c r="B63" s="3" t="s">
        <v>210</v>
      </c>
      <c r="C63" s="3" t="s">
        <v>53</v>
      </c>
      <c r="D63" s="3" t="s">
        <v>47</v>
      </c>
      <c r="E63" s="3" t="s">
        <v>48</v>
      </c>
      <c r="F63" s="3" t="s">
        <v>25</v>
      </c>
      <c r="G63" s="3" t="s">
        <v>84</v>
      </c>
      <c r="H63" s="3" t="s">
        <v>42</v>
      </c>
      <c r="I63" s="3" t="s">
        <v>43</v>
      </c>
      <c r="J63" s="3" t="n">
        <v>35</v>
      </c>
      <c r="K63" s="3" t="n">
        <v>567.84</v>
      </c>
      <c r="L63" s="3" t="n">
        <v>19874.4</v>
      </c>
      <c r="M63" s="3" t="n">
        <v>0.1488</v>
      </c>
      <c r="N63" s="3" t="n">
        <v>2957.31</v>
      </c>
      <c r="O63" s="3" t="n">
        <v>16917.09</v>
      </c>
      <c r="P63" s="3" t="n">
        <v>10930.92</v>
      </c>
      <c r="Q63" s="3" t="n">
        <v>5986.17</v>
      </c>
      <c r="R63" s="3" t="n">
        <v>0.3539</v>
      </c>
      <c r="S63" s="3" t="n">
        <v>0.148</v>
      </c>
      <c r="T63" s="3" t="n">
        <v>0.0008</v>
      </c>
    </row>
    <row r="64" customFormat="false" ht="15" hidden="false" customHeight="true" outlineLevel="0" collapsed="false">
      <c r="A64" s="3" t="s">
        <v>211</v>
      </c>
      <c r="B64" s="3" t="s">
        <v>212</v>
      </c>
      <c r="C64" s="3" t="s">
        <v>120</v>
      </c>
      <c r="D64" s="3" t="s">
        <v>23</v>
      </c>
      <c r="E64" s="3" t="s">
        <v>24</v>
      </c>
      <c r="F64" s="3" t="s">
        <v>25</v>
      </c>
      <c r="G64" s="3" t="s">
        <v>34</v>
      </c>
      <c r="H64" s="3" t="s">
        <v>27</v>
      </c>
      <c r="I64" s="3" t="s">
        <v>28</v>
      </c>
      <c r="J64" s="3" t="n">
        <v>2</v>
      </c>
      <c r="K64" s="3" t="n">
        <v>14379.54</v>
      </c>
      <c r="L64" s="3" t="n">
        <v>28759.08</v>
      </c>
      <c r="M64" s="3" t="n">
        <v>0.1591</v>
      </c>
      <c r="N64" s="3" t="n">
        <v>4575.57</v>
      </c>
      <c r="O64" s="3" t="n">
        <v>24183.51</v>
      </c>
      <c r="P64" s="3" t="n">
        <v>17830.63</v>
      </c>
      <c r="Q64" s="3" t="n">
        <v>6352.88</v>
      </c>
      <c r="R64" s="3" t="n">
        <v>0.2627</v>
      </c>
      <c r="S64" s="3" t="n">
        <v>0.1542</v>
      </c>
      <c r="T64" s="3" t="n">
        <v>0.0049</v>
      </c>
    </row>
    <row r="65" customFormat="false" ht="15" hidden="false" customHeight="true" outlineLevel="0" collapsed="false">
      <c r="A65" s="3" t="s">
        <v>213</v>
      </c>
      <c r="B65" s="3" t="s">
        <v>212</v>
      </c>
      <c r="C65" s="3" t="s">
        <v>120</v>
      </c>
      <c r="D65" s="3" t="s">
        <v>69</v>
      </c>
      <c r="E65" s="3" t="s">
        <v>39</v>
      </c>
      <c r="F65" s="3" t="s">
        <v>70</v>
      </c>
      <c r="G65" s="3" t="s">
        <v>76</v>
      </c>
      <c r="H65" s="3" t="s">
        <v>77</v>
      </c>
      <c r="I65" s="3" t="s">
        <v>85</v>
      </c>
      <c r="J65" s="3" t="n">
        <v>11</v>
      </c>
      <c r="K65" s="3" t="n">
        <v>4881.11</v>
      </c>
      <c r="L65" s="3" t="n">
        <v>53692.21</v>
      </c>
      <c r="M65" s="3" t="n">
        <v>0.0603</v>
      </c>
      <c r="N65" s="3" t="n">
        <v>3237.64</v>
      </c>
      <c r="O65" s="3" t="n">
        <v>50454.57</v>
      </c>
      <c r="P65" s="3" t="n">
        <v>36510.7</v>
      </c>
      <c r="Q65" s="3" t="n">
        <v>13943.87</v>
      </c>
      <c r="R65" s="3" t="n">
        <v>0.2764</v>
      </c>
      <c r="S65" s="3" t="n">
        <v>0.0623</v>
      </c>
      <c r="T65" s="3" t="n">
        <v>-0.002</v>
      </c>
    </row>
    <row r="66" customFormat="false" ht="15" hidden="false" customHeight="true" outlineLevel="0" collapsed="false">
      <c r="A66" s="3" t="s">
        <v>214</v>
      </c>
      <c r="B66" s="3" t="s">
        <v>215</v>
      </c>
      <c r="C66" s="3" t="s">
        <v>46</v>
      </c>
      <c r="D66" s="3" t="s">
        <v>75</v>
      </c>
      <c r="E66" s="3" t="s">
        <v>39</v>
      </c>
      <c r="F66" s="3" t="s">
        <v>25</v>
      </c>
      <c r="G66" s="3" t="s">
        <v>55</v>
      </c>
      <c r="H66" s="3" t="s">
        <v>42</v>
      </c>
      <c r="I66" s="3" t="s">
        <v>43</v>
      </c>
      <c r="J66" s="3" t="n">
        <v>20</v>
      </c>
      <c r="K66" s="3" t="n">
        <v>589.87</v>
      </c>
      <c r="L66" s="3" t="n">
        <v>11797.4</v>
      </c>
      <c r="M66" s="3" t="n">
        <v>0.1714</v>
      </c>
      <c r="N66" s="3" t="n">
        <v>2022.07</v>
      </c>
      <c r="O66" s="3" t="n">
        <v>9775.33</v>
      </c>
      <c r="P66" s="3" t="n">
        <v>6488.57</v>
      </c>
      <c r="Q66" s="3" t="n">
        <v>3286.76</v>
      </c>
      <c r="R66" s="3" t="n">
        <v>0.3362</v>
      </c>
      <c r="S66" s="3" t="n">
        <v>0.1575</v>
      </c>
      <c r="T66" s="3" t="n">
        <v>0.0139</v>
      </c>
    </row>
    <row r="67" customFormat="false" ht="15" hidden="false" customHeight="true" outlineLevel="0" collapsed="false">
      <c r="A67" s="3" t="s">
        <v>216</v>
      </c>
      <c r="B67" s="3" t="s">
        <v>217</v>
      </c>
      <c r="C67" s="3" t="s">
        <v>126</v>
      </c>
      <c r="D67" s="3" t="s">
        <v>97</v>
      </c>
      <c r="E67" s="3" t="s">
        <v>48</v>
      </c>
      <c r="F67" s="3" t="s">
        <v>40</v>
      </c>
      <c r="G67" s="3" t="s">
        <v>55</v>
      </c>
      <c r="H67" s="3" t="s">
        <v>64</v>
      </c>
      <c r="I67" s="3" t="s">
        <v>65</v>
      </c>
      <c r="J67" s="3" t="n">
        <v>41</v>
      </c>
      <c r="K67" s="3" t="n">
        <v>9215.53</v>
      </c>
      <c r="L67" s="3" t="n">
        <v>377836.73</v>
      </c>
      <c r="M67" s="3" t="n">
        <v>0.0421</v>
      </c>
      <c r="N67" s="3" t="n">
        <v>15906.93</v>
      </c>
      <c r="O67" s="3" t="n">
        <v>361929.8</v>
      </c>
      <c r="P67" s="3" t="n">
        <v>219145.3</v>
      </c>
      <c r="Q67" s="3" t="n">
        <v>142784.5</v>
      </c>
      <c r="R67" s="3" t="n">
        <v>0.3945</v>
      </c>
      <c r="S67" s="3" t="n">
        <v>0.0445</v>
      </c>
      <c r="T67" s="3" t="n">
        <v>-0.0024</v>
      </c>
    </row>
    <row r="68" customFormat="false" ht="15" hidden="false" customHeight="true" outlineLevel="0" collapsed="false">
      <c r="A68" s="3" t="s">
        <v>218</v>
      </c>
      <c r="B68" s="3" t="s">
        <v>219</v>
      </c>
      <c r="C68" s="3" t="s">
        <v>37</v>
      </c>
      <c r="D68" s="3" t="s">
        <v>38</v>
      </c>
      <c r="E68" s="3" t="s">
        <v>39</v>
      </c>
      <c r="F68" s="3" t="s">
        <v>40</v>
      </c>
      <c r="G68" s="3" t="s">
        <v>104</v>
      </c>
      <c r="H68" s="3" t="s">
        <v>27</v>
      </c>
      <c r="I68" s="3" t="s">
        <v>94</v>
      </c>
      <c r="J68" s="3" t="n">
        <v>28</v>
      </c>
      <c r="K68" s="3" t="n">
        <v>19110.52</v>
      </c>
      <c r="L68" s="3" t="n">
        <v>535094.56</v>
      </c>
      <c r="M68" s="3" t="n">
        <v>0.0858</v>
      </c>
      <c r="N68" s="3" t="n">
        <v>45911.11</v>
      </c>
      <c r="O68" s="3" t="n">
        <v>489183.45</v>
      </c>
      <c r="P68" s="3" t="n">
        <v>331758.63</v>
      </c>
      <c r="Q68" s="3" t="n">
        <v>157424.82</v>
      </c>
      <c r="R68" s="3" t="n">
        <v>0.3218</v>
      </c>
      <c r="S68" s="3" t="n">
        <v>0.069</v>
      </c>
      <c r="T68" s="3" t="n">
        <v>0.0168</v>
      </c>
    </row>
    <row r="69" customFormat="false" ht="15" hidden="false" customHeight="true" outlineLevel="0" collapsed="false">
      <c r="A69" s="3" t="s">
        <v>220</v>
      </c>
      <c r="B69" s="3" t="s">
        <v>221</v>
      </c>
      <c r="C69" s="3" t="s">
        <v>60</v>
      </c>
      <c r="D69" s="3" t="s">
        <v>47</v>
      </c>
      <c r="E69" s="3" t="s">
        <v>48</v>
      </c>
      <c r="F69" s="3" t="s">
        <v>25</v>
      </c>
      <c r="G69" s="3" t="s">
        <v>63</v>
      </c>
      <c r="H69" s="3" t="s">
        <v>77</v>
      </c>
      <c r="I69" s="3" t="s">
        <v>131</v>
      </c>
      <c r="J69" s="3" t="n">
        <v>41</v>
      </c>
      <c r="K69" s="3" t="n">
        <v>5811.78</v>
      </c>
      <c r="L69" s="3" t="n">
        <v>238282.98</v>
      </c>
      <c r="M69" s="3" t="n">
        <v>0.1514</v>
      </c>
      <c r="N69" s="3" t="n">
        <v>36076.04</v>
      </c>
      <c r="O69" s="3" t="n">
        <v>202206.94</v>
      </c>
      <c r="P69" s="3" t="n">
        <v>162032.43</v>
      </c>
      <c r="Q69" s="3" t="n">
        <v>40174.51</v>
      </c>
      <c r="R69" s="3" t="n">
        <v>0.1987</v>
      </c>
      <c r="S69" s="3" t="n">
        <v>0.1409</v>
      </c>
      <c r="T69" s="3" t="n">
        <v>0.0105</v>
      </c>
    </row>
    <row r="70" customFormat="false" ht="15" hidden="false" customHeight="true" outlineLevel="0" collapsed="false">
      <c r="A70" s="3" t="s">
        <v>222</v>
      </c>
      <c r="B70" s="3" t="s">
        <v>223</v>
      </c>
      <c r="C70" s="3" t="s">
        <v>93</v>
      </c>
      <c r="D70" s="3" t="s">
        <v>97</v>
      </c>
      <c r="E70" s="3" t="s">
        <v>48</v>
      </c>
      <c r="F70" s="3" t="s">
        <v>40</v>
      </c>
      <c r="G70" s="3" t="s">
        <v>76</v>
      </c>
      <c r="H70" s="3" t="s">
        <v>56</v>
      </c>
      <c r="I70" s="3" t="s">
        <v>121</v>
      </c>
      <c r="J70" s="3" t="n">
        <v>35</v>
      </c>
      <c r="K70" s="3" t="n">
        <v>11854.6</v>
      </c>
      <c r="L70" s="3" t="n">
        <v>414911</v>
      </c>
      <c r="M70" s="3" t="n">
        <v>0.0687</v>
      </c>
      <c r="N70" s="3" t="n">
        <v>28504.39</v>
      </c>
      <c r="O70" s="3" t="n">
        <v>386406.61</v>
      </c>
      <c r="P70" s="3" t="n">
        <v>248946.6</v>
      </c>
      <c r="Q70" s="3" t="n">
        <v>137460.01</v>
      </c>
      <c r="R70" s="3" t="n">
        <v>0.3557</v>
      </c>
      <c r="S70" s="3" t="n">
        <v>0.064</v>
      </c>
      <c r="T70" s="3" t="n">
        <v>0.0047</v>
      </c>
    </row>
    <row r="71" customFormat="false" ht="15" hidden="false" customHeight="true" outlineLevel="0" collapsed="false">
      <c r="A71" s="3" t="s">
        <v>224</v>
      </c>
      <c r="B71" s="3" t="s">
        <v>225</v>
      </c>
      <c r="C71" s="3" t="s">
        <v>93</v>
      </c>
      <c r="D71" s="3" t="s">
        <v>97</v>
      </c>
      <c r="E71" s="3" t="s">
        <v>48</v>
      </c>
      <c r="F71" s="3" t="s">
        <v>40</v>
      </c>
      <c r="G71" s="3" t="s">
        <v>49</v>
      </c>
      <c r="H71" s="3" t="s">
        <v>56</v>
      </c>
      <c r="I71" s="3" t="s">
        <v>57</v>
      </c>
      <c r="J71" s="3" t="n">
        <v>6</v>
      </c>
      <c r="K71" s="3" t="n">
        <v>15627.41</v>
      </c>
      <c r="L71" s="3" t="n">
        <v>93764.46</v>
      </c>
      <c r="M71" s="3" t="n">
        <v>0.0439</v>
      </c>
      <c r="N71" s="3" t="n">
        <v>4116.26</v>
      </c>
      <c r="O71" s="3" t="n">
        <v>89648.2</v>
      </c>
      <c r="P71" s="3" t="n">
        <v>56258.68</v>
      </c>
      <c r="Q71" s="3" t="n">
        <v>33389.52</v>
      </c>
      <c r="R71" s="3" t="n">
        <v>0.3725</v>
      </c>
      <c r="S71" s="3" t="n">
        <v>0.0384</v>
      </c>
      <c r="T71" s="3" t="n">
        <v>0.0055</v>
      </c>
    </row>
    <row r="72" customFormat="false" ht="15" hidden="false" customHeight="true" outlineLevel="0" collapsed="false">
      <c r="A72" s="3" t="s">
        <v>226</v>
      </c>
      <c r="B72" s="3" t="s">
        <v>227</v>
      </c>
      <c r="C72" s="3" t="s">
        <v>37</v>
      </c>
      <c r="D72" s="3" t="s">
        <v>83</v>
      </c>
      <c r="E72" s="3" t="s">
        <v>48</v>
      </c>
      <c r="F72" s="3" t="s">
        <v>62</v>
      </c>
      <c r="G72" s="3" t="s">
        <v>71</v>
      </c>
      <c r="H72" s="3" t="s">
        <v>56</v>
      </c>
      <c r="I72" s="3" t="s">
        <v>121</v>
      </c>
      <c r="J72" s="3" t="n">
        <v>2</v>
      </c>
      <c r="K72" s="3" t="n">
        <v>8063.83</v>
      </c>
      <c r="L72" s="3" t="n">
        <v>16127.66</v>
      </c>
      <c r="M72" s="3" t="n">
        <v>0.0547</v>
      </c>
      <c r="N72" s="3" t="n">
        <v>882.18</v>
      </c>
      <c r="O72" s="3" t="n">
        <v>15245.48</v>
      </c>
      <c r="P72" s="3" t="n">
        <v>9676.6</v>
      </c>
      <c r="Q72" s="3" t="n">
        <v>5568.88</v>
      </c>
      <c r="R72" s="3" t="n">
        <v>0.3653</v>
      </c>
      <c r="S72" s="3" t="n">
        <v>0.0468</v>
      </c>
      <c r="T72" s="3" t="n">
        <v>0.0079</v>
      </c>
    </row>
    <row r="73" customFormat="false" ht="15" hidden="false" customHeight="true" outlineLevel="0" collapsed="false">
      <c r="A73" s="3" t="s">
        <v>228</v>
      </c>
      <c r="B73" s="3" t="s">
        <v>229</v>
      </c>
      <c r="C73" s="3" t="s">
        <v>126</v>
      </c>
      <c r="D73" s="3" t="s">
        <v>69</v>
      </c>
      <c r="E73" s="3" t="s">
        <v>39</v>
      </c>
      <c r="F73" s="3" t="s">
        <v>70</v>
      </c>
      <c r="G73" s="3" t="s">
        <v>49</v>
      </c>
      <c r="H73" s="3" t="s">
        <v>42</v>
      </c>
      <c r="I73" s="3" t="s">
        <v>134</v>
      </c>
      <c r="J73" s="3" t="n">
        <v>39</v>
      </c>
      <c r="K73" s="3" t="n">
        <v>1478.8</v>
      </c>
      <c r="L73" s="3" t="n">
        <v>57673.2</v>
      </c>
      <c r="M73" s="3" t="n">
        <v>0.0651</v>
      </c>
      <c r="N73" s="3" t="n">
        <v>3754.53</v>
      </c>
      <c r="O73" s="3" t="n">
        <v>53918.67</v>
      </c>
      <c r="P73" s="3" t="n">
        <v>31720.26</v>
      </c>
      <c r="Q73" s="3" t="n">
        <v>22198.41</v>
      </c>
      <c r="R73" s="3" t="n">
        <v>0.4117</v>
      </c>
      <c r="S73" s="3" t="n">
        <v>0.0629</v>
      </c>
      <c r="T73" s="3" t="n">
        <v>0.0022</v>
      </c>
    </row>
    <row r="74" customFormat="false" ht="15" hidden="false" customHeight="true" outlineLevel="0" collapsed="false">
      <c r="A74" s="3" t="s">
        <v>230</v>
      </c>
      <c r="B74" s="3" t="s">
        <v>231</v>
      </c>
      <c r="C74" s="3" t="s">
        <v>93</v>
      </c>
      <c r="D74" s="3" t="s">
        <v>107</v>
      </c>
      <c r="E74" s="3" t="s">
        <v>33</v>
      </c>
      <c r="F74" s="3" t="s">
        <v>70</v>
      </c>
      <c r="G74" s="3" t="s">
        <v>34</v>
      </c>
      <c r="H74" s="3" t="s">
        <v>64</v>
      </c>
      <c r="I74" s="3" t="s">
        <v>65</v>
      </c>
      <c r="J74" s="3" t="n">
        <v>32</v>
      </c>
      <c r="K74" s="3" t="n">
        <v>9480.67</v>
      </c>
      <c r="L74" s="3" t="n">
        <v>303381.44</v>
      </c>
      <c r="M74" s="3" t="n">
        <v>0.0874</v>
      </c>
      <c r="N74" s="3" t="n">
        <v>26515.54</v>
      </c>
      <c r="O74" s="3" t="n">
        <v>276865.9</v>
      </c>
      <c r="P74" s="3" t="n">
        <v>175961.24</v>
      </c>
      <c r="Q74" s="3" t="n">
        <v>100904.66</v>
      </c>
      <c r="R74" s="3" t="n">
        <v>0.3645</v>
      </c>
      <c r="S74" s="3" t="n">
        <v>0.0868</v>
      </c>
      <c r="T74" s="3" t="n">
        <v>0.0006</v>
      </c>
    </row>
    <row r="75" customFormat="false" ht="15" hidden="false" customHeight="true" outlineLevel="0" collapsed="false">
      <c r="A75" s="3" t="s">
        <v>232</v>
      </c>
      <c r="B75" s="3" t="s">
        <v>233</v>
      </c>
      <c r="C75" s="3" t="s">
        <v>46</v>
      </c>
      <c r="D75" s="3" t="s">
        <v>83</v>
      </c>
      <c r="E75" s="3" t="s">
        <v>48</v>
      </c>
      <c r="F75" s="3" t="s">
        <v>62</v>
      </c>
      <c r="G75" s="3" t="s">
        <v>116</v>
      </c>
      <c r="H75" s="3" t="s">
        <v>77</v>
      </c>
      <c r="I75" s="3" t="s">
        <v>131</v>
      </c>
      <c r="J75" s="3" t="n">
        <v>26</v>
      </c>
      <c r="K75" s="3" t="n">
        <v>2612.33</v>
      </c>
      <c r="L75" s="3" t="n">
        <v>67920.58</v>
      </c>
      <c r="M75" s="3" t="n">
        <v>0.0968</v>
      </c>
      <c r="N75" s="3" t="n">
        <v>6574.71</v>
      </c>
      <c r="O75" s="3" t="n">
        <v>61345.87</v>
      </c>
      <c r="P75" s="3" t="n">
        <v>46185.99</v>
      </c>
      <c r="Q75" s="3" t="n">
        <v>15159.88</v>
      </c>
      <c r="R75" s="3" t="n">
        <v>0.2471</v>
      </c>
      <c r="S75" s="3" t="n">
        <v>0.0912</v>
      </c>
      <c r="T75" s="3" t="n">
        <v>0.0056</v>
      </c>
    </row>
    <row r="76" customFormat="false" ht="15" hidden="false" customHeight="true" outlineLevel="0" collapsed="false">
      <c r="A76" s="3" t="s">
        <v>234</v>
      </c>
      <c r="B76" s="3" t="s">
        <v>235</v>
      </c>
      <c r="C76" s="3" t="s">
        <v>126</v>
      </c>
      <c r="D76" s="3" t="s">
        <v>107</v>
      </c>
      <c r="E76" s="3" t="s">
        <v>33</v>
      </c>
      <c r="F76" s="3" t="s">
        <v>70</v>
      </c>
      <c r="G76" s="3" t="s">
        <v>26</v>
      </c>
      <c r="H76" s="3" t="s">
        <v>42</v>
      </c>
      <c r="I76" s="3" t="s">
        <v>134</v>
      </c>
      <c r="J76" s="3" t="n">
        <v>23</v>
      </c>
      <c r="K76" s="3" t="n">
        <v>2426.36</v>
      </c>
      <c r="L76" s="3" t="n">
        <v>55806.28</v>
      </c>
      <c r="M76" s="3" t="n">
        <v>0.0651</v>
      </c>
      <c r="N76" s="3" t="n">
        <v>3632.99</v>
      </c>
      <c r="O76" s="3" t="n">
        <v>52173.29</v>
      </c>
      <c r="P76" s="3" t="n">
        <v>30693.45</v>
      </c>
      <c r="Q76" s="3" t="n">
        <v>21479.84</v>
      </c>
      <c r="R76" s="3" t="n">
        <v>0.4117</v>
      </c>
      <c r="S76" s="3" t="n">
        <v>0.0581</v>
      </c>
      <c r="T76" s="3" t="n">
        <v>0.007</v>
      </c>
    </row>
    <row r="77" customFormat="false" ht="15" hidden="false" customHeight="true" outlineLevel="0" collapsed="false">
      <c r="A77" s="3" t="s">
        <v>236</v>
      </c>
      <c r="B77" s="3" t="s">
        <v>237</v>
      </c>
      <c r="C77" s="3" t="s">
        <v>113</v>
      </c>
      <c r="D77" s="3" t="s">
        <v>69</v>
      </c>
      <c r="E77" s="3" t="s">
        <v>39</v>
      </c>
      <c r="F77" s="3" t="s">
        <v>70</v>
      </c>
      <c r="G77" s="3" t="s">
        <v>49</v>
      </c>
      <c r="H77" s="3" t="s">
        <v>27</v>
      </c>
      <c r="I77" s="3" t="s">
        <v>117</v>
      </c>
      <c r="J77" s="3" t="n">
        <v>35</v>
      </c>
      <c r="K77" s="3" t="n">
        <v>11825.75</v>
      </c>
      <c r="L77" s="3" t="n">
        <v>413901.25</v>
      </c>
      <c r="M77" s="3" t="n">
        <v>0.0775</v>
      </c>
      <c r="N77" s="3" t="n">
        <v>32077.35</v>
      </c>
      <c r="O77" s="3" t="n">
        <v>381823.9</v>
      </c>
      <c r="P77" s="3" t="n">
        <v>256618.77</v>
      </c>
      <c r="Q77" s="3" t="n">
        <v>125205.13</v>
      </c>
      <c r="R77" s="3" t="n">
        <v>0.3279</v>
      </c>
      <c r="S77" s="3" t="n">
        <v>0.0665</v>
      </c>
      <c r="T77" s="3" t="n">
        <v>0.011</v>
      </c>
    </row>
    <row r="78" customFormat="false" ht="15" hidden="false" customHeight="true" outlineLevel="0" collapsed="false">
      <c r="A78" s="3" t="s">
        <v>238</v>
      </c>
      <c r="B78" s="3" t="s">
        <v>239</v>
      </c>
      <c r="C78" s="3" t="s">
        <v>126</v>
      </c>
      <c r="D78" s="3" t="s">
        <v>97</v>
      </c>
      <c r="E78" s="3" t="s">
        <v>48</v>
      </c>
      <c r="F78" s="3" t="s">
        <v>40</v>
      </c>
      <c r="G78" s="3" t="s">
        <v>26</v>
      </c>
      <c r="H78" s="3" t="s">
        <v>77</v>
      </c>
      <c r="I78" s="3" t="s">
        <v>78</v>
      </c>
      <c r="J78" s="3" t="n">
        <v>49</v>
      </c>
      <c r="K78" s="3" t="n">
        <v>4030.02</v>
      </c>
      <c r="L78" s="3" t="n">
        <v>197470.98</v>
      </c>
      <c r="M78" s="3" t="n">
        <v>0.0562</v>
      </c>
      <c r="N78" s="3" t="n">
        <v>11097.87</v>
      </c>
      <c r="O78" s="3" t="n">
        <v>186373.11</v>
      </c>
      <c r="P78" s="3" t="n">
        <v>134280.27</v>
      </c>
      <c r="Q78" s="3" t="n">
        <v>52092.84</v>
      </c>
      <c r="R78" s="3" t="n">
        <v>0.2795</v>
      </c>
      <c r="S78" s="3" t="n">
        <v>0.0615</v>
      </c>
      <c r="T78" s="3" t="n">
        <v>-0.0053</v>
      </c>
    </row>
    <row r="79" customFormat="false" ht="15" hidden="false" customHeight="true" outlineLevel="0" collapsed="false">
      <c r="A79" s="3" t="s">
        <v>240</v>
      </c>
      <c r="B79" s="3" t="s">
        <v>241</v>
      </c>
      <c r="C79" s="3" t="s">
        <v>120</v>
      </c>
      <c r="D79" s="3" t="s">
        <v>69</v>
      </c>
      <c r="E79" s="3" t="s">
        <v>39</v>
      </c>
      <c r="F79" s="3" t="s">
        <v>70</v>
      </c>
      <c r="G79" s="3" t="s">
        <v>49</v>
      </c>
      <c r="H79" s="3" t="s">
        <v>42</v>
      </c>
      <c r="I79" s="3" t="s">
        <v>43</v>
      </c>
      <c r="J79" s="3" t="n">
        <v>1</v>
      </c>
      <c r="K79" s="3" t="n">
        <v>1128.05</v>
      </c>
      <c r="L79" s="3" t="n">
        <v>1128.05</v>
      </c>
      <c r="M79" s="3" t="n">
        <v>0.0654</v>
      </c>
      <c r="N79" s="3" t="n">
        <v>73.77</v>
      </c>
      <c r="O79" s="3" t="n">
        <v>1054.28</v>
      </c>
      <c r="P79" s="3" t="n">
        <v>620.43</v>
      </c>
      <c r="Q79" s="3" t="n">
        <v>433.85</v>
      </c>
      <c r="R79" s="3" t="n">
        <v>0.4115</v>
      </c>
      <c r="S79" s="3" t="n">
        <v>0.0577</v>
      </c>
      <c r="T79" s="3" t="n">
        <v>0.0077</v>
      </c>
    </row>
    <row r="80" customFormat="false" ht="15" hidden="false" customHeight="true" outlineLevel="0" collapsed="false">
      <c r="A80" s="3" t="s">
        <v>242</v>
      </c>
      <c r="B80" s="3" t="s">
        <v>243</v>
      </c>
      <c r="C80" s="3" t="s">
        <v>156</v>
      </c>
      <c r="D80" s="3" t="s">
        <v>32</v>
      </c>
      <c r="E80" s="3" t="s">
        <v>33</v>
      </c>
      <c r="F80" s="3" t="s">
        <v>25</v>
      </c>
      <c r="G80" s="3" t="s">
        <v>26</v>
      </c>
      <c r="H80" s="3" t="s">
        <v>56</v>
      </c>
      <c r="I80" s="3" t="s">
        <v>57</v>
      </c>
      <c r="J80" s="3" t="n">
        <v>41</v>
      </c>
      <c r="K80" s="3" t="n">
        <v>17105.43</v>
      </c>
      <c r="L80" s="3" t="n">
        <v>701322.63</v>
      </c>
      <c r="M80" s="3" t="n">
        <v>0.1527</v>
      </c>
      <c r="N80" s="3" t="n">
        <v>107091.97</v>
      </c>
      <c r="O80" s="3" t="n">
        <v>594230.66</v>
      </c>
      <c r="P80" s="3" t="n">
        <v>420793.58</v>
      </c>
      <c r="Q80" s="3" t="n">
        <v>173437.08</v>
      </c>
      <c r="R80" s="3" t="n">
        <v>0.2919</v>
      </c>
      <c r="S80" s="3" t="n">
        <v>0.1485</v>
      </c>
      <c r="T80" s="3" t="n">
        <v>0.0042</v>
      </c>
    </row>
    <row r="81" customFormat="false" ht="15" hidden="false" customHeight="true" outlineLevel="0" collapsed="false">
      <c r="A81" s="3" t="s">
        <v>244</v>
      </c>
      <c r="B81" s="3" t="s">
        <v>245</v>
      </c>
      <c r="C81" s="3" t="s">
        <v>93</v>
      </c>
      <c r="D81" s="3" t="s">
        <v>83</v>
      </c>
      <c r="E81" s="3" t="s">
        <v>48</v>
      </c>
      <c r="F81" s="3" t="s">
        <v>62</v>
      </c>
      <c r="G81" s="3" t="s">
        <v>49</v>
      </c>
      <c r="H81" s="3" t="s">
        <v>77</v>
      </c>
      <c r="I81" s="3" t="s">
        <v>78</v>
      </c>
      <c r="J81" s="3" t="n">
        <v>4</v>
      </c>
      <c r="K81" s="3" t="n">
        <v>2084.95</v>
      </c>
      <c r="L81" s="3" t="n">
        <v>8339.8</v>
      </c>
      <c r="M81" s="3" t="n">
        <v>0.0426</v>
      </c>
      <c r="N81" s="3" t="n">
        <v>355.28</v>
      </c>
      <c r="O81" s="3" t="n">
        <v>7984.52</v>
      </c>
      <c r="P81" s="3" t="n">
        <v>5671.06</v>
      </c>
      <c r="Q81" s="3" t="n">
        <v>2313.46</v>
      </c>
      <c r="R81" s="3" t="n">
        <v>0.2897</v>
      </c>
      <c r="S81" s="3" t="n">
        <v>0.0356</v>
      </c>
      <c r="T81" s="3" t="n">
        <v>0.007</v>
      </c>
    </row>
    <row r="82" customFormat="false" ht="15" hidden="false" customHeight="true" outlineLevel="0" collapsed="false">
      <c r="A82" s="3" t="s">
        <v>246</v>
      </c>
      <c r="B82" s="3" t="s">
        <v>247</v>
      </c>
      <c r="C82" s="3" t="s">
        <v>126</v>
      </c>
      <c r="D82" s="3" t="s">
        <v>61</v>
      </c>
      <c r="E82" s="3" t="s">
        <v>33</v>
      </c>
      <c r="F82" s="3" t="s">
        <v>62</v>
      </c>
      <c r="G82" s="3" t="s">
        <v>116</v>
      </c>
      <c r="H82" s="3" t="s">
        <v>77</v>
      </c>
      <c r="I82" s="3" t="s">
        <v>78</v>
      </c>
      <c r="J82" s="3" t="n">
        <v>44</v>
      </c>
      <c r="K82" s="3" t="n">
        <v>3969.7</v>
      </c>
      <c r="L82" s="3" t="n">
        <v>174666.8</v>
      </c>
      <c r="M82" s="3" t="n">
        <v>0.0586</v>
      </c>
      <c r="N82" s="3" t="n">
        <v>10235.47</v>
      </c>
      <c r="O82" s="3" t="n">
        <v>164431.33</v>
      </c>
      <c r="P82" s="3" t="n">
        <v>118773.42</v>
      </c>
      <c r="Q82" s="3" t="n">
        <v>45657.91</v>
      </c>
      <c r="R82" s="3" t="n">
        <v>0.2777</v>
      </c>
      <c r="S82" s="3" t="n">
        <v>0.0484</v>
      </c>
      <c r="T82" s="3" t="n">
        <v>0.0102</v>
      </c>
    </row>
    <row r="83" customFormat="false" ht="15" hidden="false" customHeight="true" outlineLevel="0" collapsed="false">
      <c r="A83" s="3" t="s">
        <v>248</v>
      </c>
      <c r="B83" s="3" t="s">
        <v>249</v>
      </c>
      <c r="C83" s="3" t="s">
        <v>68</v>
      </c>
      <c r="D83" s="3" t="s">
        <v>69</v>
      </c>
      <c r="E83" s="3" t="s">
        <v>39</v>
      </c>
      <c r="F83" s="3" t="s">
        <v>70</v>
      </c>
      <c r="G83" s="3" t="s">
        <v>63</v>
      </c>
      <c r="H83" s="3" t="s">
        <v>27</v>
      </c>
      <c r="I83" s="3" t="s">
        <v>94</v>
      </c>
      <c r="J83" s="3" t="n">
        <v>40</v>
      </c>
      <c r="K83" s="3" t="n">
        <v>27402.16</v>
      </c>
      <c r="L83" s="3" t="n">
        <v>1096086.4</v>
      </c>
      <c r="M83" s="3" t="n">
        <v>0.0413</v>
      </c>
      <c r="N83" s="3" t="n">
        <v>45268.37</v>
      </c>
      <c r="O83" s="3" t="n">
        <v>1050818.03</v>
      </c>
      <c r="P83" s="3" t="n">
        <v>679573.57</v>
      </c>
      <c r="Q83" s="3" t="n">
        <v>371244.46</v>
      </c>
      <c r="R83" s="3" t="n">
        <v>0.3533</v>
      </c>
      <c r="S83" s="3" t="n">
        <v>0.0377</v>
      </c>
      <c r="T83" s="3" t="n">
        <v>0.0036</v>
      </c>
    </row>
    <row r="84" customFormat="false" ht="15" hidden="false" customHeight="true" outlineLevel="0" collapsed="false">
      <c r="A84" s="3" t="s">
        <v>250</v>
      </c>
      <c r="B84" s="3" t="s">
        <v>251</v>
      </c>
      <c r="C84" s="3" t="s">
        <v>120</v>
      </c>
      <c r="D84" s="3" t="s">
        <v>83</v>
      </c>
      <c r="E84" s="3" t="s">
        <v>48</v>
      </c>
      <c r="F84" s="3" t="s">
        <v>62</v>
      </c>
      <c r="G84" s="3" t="s">
        <v>63</v>
      </c>
      <c r="H84" s="3" t="s">
        <v>42</v>
      </c>
      <c r="I84" s="3" t="s">
        <v>72</v>
      </c>
      <c r="J84" s="3" t="n">
        <v>40</v>
      </c>
      <c r="K84" s="3" t="n">
        <v>1568.83</v>
      </c>
      <c r="L84" s="3" t="n">
        <v>62753.2</v>
      </c>
      <c r="M84" s="3" t="n">
        <v>0.033</v>
      </c>
      <c r="N84" s="3" t="n">
        <v>2070.86</v>
      </c>
      <c r="O84" s="3" t="n">
        <v>60682.34</v>
      </c>
      <c r="P84" s="3" t="n">
        <v>34514.26</v>
      </c>
      <c r="Q84" s="3" t="n">
        <v>26168.08</v>
      </c>
      <c r="R84" s="3" t="n">
        <v>0.4312</v>
      </c>
      <c r="S84" s="3" t="n">
        <v>0.0358</v>
      </c>
      <c r="T84" s="3" t="n">
        <v>-0.0028</v>
      </c>
    </row>
    <row r="85" customFormat="false" ht="15" hidden="false" customHeight="true" outlineLevel="0" collapsed="false">
      <c r="A85" s="3" t="s">
        <v>252</v>
      </c>
      <c r="B85" s="3" t="s">
        <v>253</v>
      </c>
      <c r="C85" s="3" t="s">
        <v>22</v>
      </c>
      <c r="D85" s="3" t="s">
        <v>69</v>
      </c>
      <c r="E85" s="3" t="s">
        <v>39</v>
      </c>
      <c r="F85" s="3" t="s">
        <v>70</v>
      </c>
      <c r="G85" s="3" t="s">
        <v>71</v>
      </c>
      <c r="H85" s="3" t="s">
        <v>64</v>
      </c>
      <c r="I85" s="3" t="s">
        <v>145</v>
      </c>
      <c r="J85" s="3" t="n">
        <v>16</v>
      </c>
      <c r="K85" s="3" t="n">
        <v>3730.69</v>
      </c>
      <c r="L85" s="3" t="n">
        <v>59691.04</v>
      </c>
      <c r="M85" s="3" t="n">
        <v>0.0387</v>
      </c>
      <c r="N85" s="3" t="n">
        <v>2310.04</v>
      </c>
      <c r="O85" s="3" t="n">
        <v>57381</v>
      </c>
      <c r="P85" s="3" t="n">
        <v>34620.8</v>
      </c>
      <c r="Q85" s="3" t="n">
        <v>22760.2</v>
      </c>
      <c r="R85" s="3" t="n">
        <v>0.3967</v>
      </c>
      <c r="S85" s="3" t="n">
        <v>0.0328</v>
      </c>
      <c r="T85" s="3" t="n">
        <v>0.0059</v>
      </c>
    </row>
    <row r="86" customFormat="false" ht="15" hidden="false" customHeight="true" outlineLevel="0" collapsed="false">
      <c r="A86" s="3" t="s">
        <v>254</v>
      </c>
      <c r="B86" s="3" t="s">
        <v>92</v>
      </c>
      <c r="C86" s="3" t="s">
        <v>93</v>
      </c>
      <c r="D86" s="3" t="s">
        <v>47</v>
      </c>
      <c r="E86" s="3" t="s">
        <v>48</v>
      </c>
      <c r="F86" s="3" t="s">
        <v>25</v>
      </c>
      <c r="G86" s="3" t="s">
        <v>55</v>
      </c>
      <c r="H86" s="3" t="s">
        <v>77</v>
      </c>
      <c r="I86" s="3" t="s">
        <v>85</v>
      </c>
      <c r="J86" s="3" t="n">
        <v>3</v>
      </c>
      <c r="K86" s="3" t="n">
        <v>3455.58</v>
      </c>
      <c r="L86" s="3" t="n">
        <v>10366.74</v>
      </c>
      <c r="M86" s="3" t="n">
        <v>0.1381</v>
      </c>
      <c r="N86" s="3" t="n">
        <v>1431.65</v>
      </c>
      <c r="O86" s="3" t="n">
        <v>8935.09</v>
      </c>
      <c r="P86" s="3" t="n">
        <v>7049.38</v>
      </c>
      <c r="Q86" s="3" t="n">
        <v>1885.71</v>
      </c>
      <c r="R86" s="3" t="n">
        <v>0.211</v>
      </c>
      <c r="S86" s="3" t="n">
        <v>0.1135</v>
      </c>
      <c r="T86" s="3" t="n">
        <v>0.0246</v>
      </c>
    </row>
    <row r="87" customFormat="false" ht="15" hidden="false" customHeight="true" outlineLevel="0" collapsed="false">
      <c r="A87" s="3" t="s">
        <v>255</v>
      </c>
      <c r="B87" s="3" t="s">
        <v>256</v>
      </c>
      <c r="C87" s="3" t="s">
        <v>53</v>
      </c>
      <c r="D87" s="3" t="s">
        <v>69</v>
      </c>
      <c r="E87" s="3" t="s">
        <v>39</v>
      </c>
      <c r="F87" s="3" t="s">
        <v>70</v>
      </c>
      <c r="G87" s="3" t="s">
        <v>55</v>
      </c>
      <c r="H87" s="3" t="s">
        <v>42</v>
      </c>
      <c r="I87" s="3" t="s">
        <v>72</v>
      </c>
      <c r="J87" s="3" t="n">
        <v>13</v>
      </c>
      <c r="K87" s="3" t="n">
        <v>2814.14</v>
      </c>
      <c r="L87" s="3" t="n">
        <v>36583.82</v>
      </c>
      <c r="M87" s="3" t="n">
        <v>0.0513</v>
      </c>
      <c r="N87" s="3" t="n">
        <v>1876.75</v>
      </c>
      <c r="O87" s="3" t="n">
        <v>34707.07</v>
      </c>
      <c r="P87" s="3" t="n">
        <v>20121.1</v>
      </c>
      <c r="Q87" s="3" t="n">
        <v>14585.97</v>
      </c>
      <c r="R87" s="3" t="n">
        <v>0.4203</v>
      </c>
      <c r="S87" s="3" t="n">
        <v>0.051</v>
      </c>
      <c r="T87" s="3" t="n">
        <v>0.0003</v>
      </c>
    </row>
    <row r="88" customFormat="false" ht="15" hidden="false" customHeight="true" outlineLevel="0" collapsed="false">
      <c r="A88" s="3" t="s">
        <v>257</v>
      </c>
      <c r="B88" s="3" t="s">
        <v>258</v>
      </c>
      <c r="C88" s="3" t="s">
        <v>126</v>
      </c>
      <c r="D88" s="3" t="s">
        <v>54</v>
      </c>
      <c r="E88" s="3" t="s">
        <v>24</v>
      </c>
      <c r="F88" s="3" t="s">
        <v>40</v>
      </c>
      <c r="G88" s="3" t="s">
        <v>104</v>
      </c>
      <c r="H88" s="3" t="s">
        <v>64</v>
      </c>
      <c r="I88" s="3" t="s">
        <v>65</v>
      </c>
      <c r="J88" s="3" t="n">
        <v>20</v>
      </c>
      <c r="K88" s="3" t="n">
        <v>4493.31</v>
      </c>
      <c r="L88" s="3" t="n">
        <v>89866.2</v>
      </c>
      <c r="M88" s="3" t="n">
        <v>0.1127</v>
      </c>
      <c r="N88" s="3" t="n">
        <v>10127.92</v>
      </c>
      <c r="O88" s="3" t="n">
        <v>79738.28</v>
      </c>
      <c r="P88" s="3" t="n">
        <v>52122.4</v>
      </c>
      <c r="Q88" s="3" t="n">
        <v>27615.88</v>
      </c>
      <c r="R88" s="3" t="n">
        <v>0.3463</v>
      </c>
      <c r="S88" s="3" t="n">
        <v>0.105</v>
      </c>
      <c r="T88" s="3" t="n">
        <v>0.0077</v>
      </c>
    </row>
    <row r="89" customFormat="false" ht="15" hidden="false" customHeight="true" outlineLevel="0" collapsed="false">
      <c r="A89" s="3" t="s">
        <v>259</v>
      </c>
      <c r="B89" s="3" t="s">
        <v>260</v>
      </c>
      <c r="C89" s="3" t="s">
        <v>31</v>
      </c>
      <c r="D89" s="3" t="s">
        <v>83</v>
      </c>
      <c r="E89" s="3" t="s">
        <v>48</v>
      </c>
      <c r="F89" s="3" t="s">
        <v>62</v>
      </c>
      <c r="G89" s="3" t="s">
        <v>63</v>
      </c>
      <c r="H89" s="3" t="s">
        <v>42</v>
      </c>
      <c r="I89" s="3" t="s">
        <v>72</v>
      </c>
      <c r="J89" s="3" t="n">
        <v>33</v>
      </c>
      <c r="K89" s="3" t="n">
        <v>3799.37</v>
      </c>
      <c r="L89" s="3" t="n">
        <v>125379.21</v>
      </c>
      <c r="M89" s="3" t="n">
        <v>0.057</v>
      </c>
      <c r="N89" s="3" t="n">
        <v>7146.61</v>
      </c>
      <c r="O89" s="3" t="n">
        <v>118232.6</v>
      </c>
      <c r="P89" s="3" t="n">
        <v>68958.57</v>
      </c>
      <c r="Q89" s="3" t="n">
        <v>49274.03</v>
      </c>
      <c r="R89" s="3" t="n">
        <v>0.4168</v>
      </c>
      <c r="S89" s="3" t="n">
        <v>0.047</v>
      </c>
      <c r="T89" s="3" t="n">
        <v>0.01</v>
      </c>
    </row>
    <row r="90" customFormat="false" ht="15" hidden="false" customHeight="true" outlineLevel="0" collapsed="false">
      <c r="A90" s="3" t="s">
        <v>261</v>
      </c>
      <c r="B90" s="3" t="s">
        <v>262</v>
      </c>
      <c r="C90" s="3" t="s">
        <v>156</v>
      </c>
      <c r="D90" s="3" t="s">
        <v>32</v>
      </c>
      <c r="E90" s="3" t="s">
        <v>33</v>
      </c>
      <c r="F90" s="3" t="s">
        <v>25</v>
      </c>
      <c r="G90" s="3" t="s">
        <v>49</v>
      </c>
      <c r="H90" s="3" t="s">
        <v>77</v>
      </c>
      <c r="I90" s="3" t="s">
        <v>85</v>
      </c>
      <c r="J90" s="3" t="n">
        <v>2</v>
      </c>
      <c r="K90" s="3" t="n">
        <v>4097.83</v>
      </c>
      <c r="L90" s="3" t="n">
        <v>8195.66</v>
      </c>
      <c r="M90" s="3" t="n">
        <v>0.1515</v>
      </c>
      <c r="N90" s="3" t="n">
        <v>1241.64</v>
      </c>
      <c r="O90" s="3" t="n">
        <v>6954.02</v>
      </c>
      <c r="P90" s="3" t="n">
        <v>5573.05</v>
      </c>
      <c r="Q90" s="3" t="n">
        <v>1380.97</v>
      </c>
      <c r="R90" s="3" t="n">
        <v>0.1986</v>
      </c>
      <c r="S90" s="3" t="n">
        <v>0.1667</v>
      </c>
      <c r="T90" s="3" t="n">
        <v>-0.0152</v>
      </c>
    </row>
    <row r="91" customFormat="false" ht="15" hidden="false" customHeight="true" outlineLevel="0" collapsed="false">
      <c r="A91" s="3" t="s">
        <v>263</v>
      </c>
      <c r="B91" s="3" t="s">
        <v>264</v>
      </c>
      <c r="C91" s="3" t="s">
        <v>113</v>
      </c>
      <c r="D91" s="3" t="s">
        <v>23</v>
      </c>
      <c r="E91" s="3" t="s">
        <v>24</v>
      </c>
      <c r="F91" s="3" t="s">
        <v>25</v>
      </c>
      <c r="G91" s="3" t="s">
        <v>104</v>
      </c>
      <c r="H91" s="3" t="s">
        <v>42</v>
      </c>
      <c r="I91" s="3" t="s">
        <v>72</v>
      </c>
      <c r="J91" s="3" t="n">
        <v>12</v>
      </c>
      <c r="K91" s="3" t="n">
        <v>3170.88</v>
      </c>
      <c r="L91" s="3" t="n">
        <v>38050.56</v>
      </c>
      <c r="M91" s="3" t="n">
        <v>0.2023</v>
      </c>
      <c r="N91" s="3" t="n">
        <v>7697.63</v>
      </c>
      <c r="O91" s="3" t="n">
        <v>30352.93</v>
      </c>
      <c r="P91" s="3" t="n">
        <v>20927.81</v>
      </c>
      <c r="Q91" s="3" t="n">
        <v>9425.12</v>
      </c>
      <c r="R91" s="3" t="n">
        <v>0.3105</v>
      </c>
      <c r="S91" s="3" t="n">
        <v>0.2223</v>
      </c>
      <c r="T91" s="3" t="n">
        <v>-0.02</v>
      </c>
    </row>
    <row r="92" customFormat="false" ht="15" hidden="false" customHeight="true" outlineLevel="0" collapsed="false">
      <c r="A92" s="3" t="s">
        <v>265</v>
      </c>
      <c r="B92" s="3" t="s">
        <v>266</v>
      </c>
      <c r="C92" s="3" t="s">
        <v>60</v>
      </c>
      <c r="D92" s="3" t="s">
        <v>47</v>
      </c>
      <c r="E92" s="3" t="s">
        <v>48</v>
      </c>
      <c r="F92" s="3" t="s">
        <v>25</v>
      </c>
      <c r="G92" s="3" t="s">
        <v>84</v>
      </c>
      <c r="H92" s="3" t="s">
        <v>77</v>
      </c>
      <c r="I92" s="3" t="s">
        <v>131</v>
      </c>
      <c r="J92" s="3" t="n">
        <v>22</v>
      </c>
      <c r="K92" s="3" t="n">
        <v>2870.21</v>
      </c>
      <c r="L92" s="3" t="n">
        <v>63144.62</v>
      </c>
      <c r="M92" s="3" t="n">
        <v>0.0944</v>
      </c>
      <c r="N92" s="3" t="n">
        <v>5960.85</v>
      </c>
      <c r="O92" s="3" t="n">
        <v>57183.77</v>
      </c>
      <c r="P92" s="3" t="n">
        <v>42938.34</v>
      </c>
      <c r="Q92" s="3" t="n">
        <v>14245.43</v>
      </c>
      <c r="R92" s="3" t="n">
        <v>0.2491</v>
      </c>
      <c r="S92" s="3" t="n">
        <v>0.0849</v>
      </c>
      <c r="T92" s="3" t="n">
        <v>0.0095</v>
      </c>
    </row>
    <row r="93" customFormat="false" ht="15" hidden="false" customHeight="true" outlineLevel="0" collapsed="false">
      <c r="A93" s="3" t="s">
        <v>267</v>
      </c>
      <c r="B93" s="3" t="s">
        <v>268</v>
      </c>
      <c r="C93" s="3" t="s">
        <v>93</v>
      </c>
      <c r="D93" s="3" t="s">
        <v>97</v>
      </c>
      <c r="E93" s="3" t="s">
        <v>48</v>
      </c>
      <c r="F93" s="3" t="s">
        <v>40</v>
      </c>
      <c r="G93" s="3" t="s">
        <v>71</v>
      </c>
      <c r="H93" s="3" t="s">
        <v>77</v>
      </c>
      <c r="I93" s="3" t="s">
        <v>78</v>
      </c>
      <c r="J93" s="3" t="n">
        <v>49</v>
      </c>
      <c r="K93" s="3" t="n">
        <v>5736.93</v>
      </c>
      <c r="L93" s="3" t="n">
        <v>281109.57</v>
      </c>
      <c r="M93" s="3" t="n">
        <v>0.0575</v>
      </c>
      <c r="N93" s="3" t="n">
        <v>16163.8</v>
      </c>
      <c r="O93" s="3" t="n">
        <v>264945.77</v>
      </c>
      <c r="P93" s="3" t="n">
        <v>191154.51</v>
      </c>
      <c r="Q93" s="3" t="n">
        <v>73791.26</v>
      </c>
      <c r="R93" s="3" t="n">
        <v>0.2785</v>
      </c>
      <c r="S93" s="3" t="n">
        <v>0.0475</v>
      </c>
      <c r="T93" s="3" t="n">
        <v>0.01</v>
      </c>
    </row>
    <row r="94" customFormat="false" ht="15" hidden="false" customHeight="true" outlineLevel="0" collapsed="false">
      <c r="A94" s="3" t="s">
        <v>269</v>
      </c>
      <c r="B94" s="3" t="s">
        <v>270</v>
      </c>
      <c r="C94" s="3" t="s">
        <v>93</v>
      </c>
      <c r="D94" s="3" t="s">
        <v>54</v>
      </c>
      <c r="E94" s="3" t="s">
        <v>24</v>
      </c>
      <c r="F94" s="3" t="s">
        <v>40</v>
      </c>
      <c r="G94" s="3" t="s">
        <v>63</v>
      </c>
      <c r="H94" s="3" t="s">
        <v>42</v>
      </c>
      <c r="I94" s="3" t="s">
        <v>43</v>
      </c>
      <c r="J94" s="3" t="n">
        <v>1</v>
      </c>
      <c r="K94" s="3" t="n">
        <v>3527.19</v>
      </c>
      <c r="L94" s="3" t="n">
        <v>3527.19</v>
      </c>
      <c r="M94" s="3" t="n">
        <v>0.0629</v>
      </c>
      <c r="N94" s="3" t="n">
        <v>221.86</v>
      </c>
      <c r="O94" s="3" t="n">
        <v>3305.33</v>
      </c>
      <c r="P94" s="3" t="n">
        <v>1939.95</v>
      </c>
      <c r="Q94" s="3" t="n">
        <v>1365.38</v>
      </c>
      <c r="R94" s="3" t="n">
        <v>0.4131</v>
      </c>
      <c r="S94" s="3" t="n">
        <v>0.0581</v>
      </c>
      <c r="T94" s="3" t="n">
        <v>0.0048</v>
      </c>
    </row>
    <row r="95" customFormat="false" ht="15" hidden="false" customHeight="true" outlineLevel="0" collapsed="false">
      <c r="A95" s="3" t="s">
        <v>271</v>
      </c>
      <c r="B95" s="3" t="s">
        <v>272</v>
      </c>
      <c r="C95" s="3" t="s">
        <v>22</v>
      </c>
      <c r="D95" s="3" t="s">
        <v>69</v>
      </c>
      <c r="E95" s="3" t="s">
        <v>39</v>
      </c>
      <c r="F95" s="3" t="s">
        <v>70</v>
      </c>
      <c r="G95" s="3" t="s">
        <v>55</v>
      </c>
      <c r="H95" s="3" t="s">
        <v>56</v>
      </c>
      <c r="I95" s="3" t="s">
        <v>57</v>
      </c>
      <c r="J95" s="3" t="n">
        <v>41</v>
      </c>
      <c r="K95" s="3" t="n">
        <v>14103.09</v>
      </c>
      <c r="L95" s="3" t="n">
        <v>578226.69</v>
      </c>
      <c r="M95" s="3" t="n">
        <v>0.0521</v>
      </c>
      <c r="N95" s="3" t="n">
        <v>30125.61</v>
      </c>
      <c r="O95" s="3" t="n">
        <v>548101.08</v>
      </c>
      <c r="P95" s="3" t="n">
        <v>346936.01</v>
      </c>
      <c r="Q95" s="3" t="n">
        <v>201165.07</v>
      </c>
      <c r="R95" s="3" t="n">
        <v>0.367</v>
      </c>
      <c r="S95" s="3" t="n">
        <v>0.0449</v>
      </c>
      <c r="T95" s="3" t="n">
        <v>0.0072</v>
      </c>
    </row>
    <row r="96" customFormat="false" ht="15" hidden="false" customHeight="true" outlineLevel="0" collapsed="false">
      <c r="A96" s="3" t="s">
        <v>273</v>
      </c>
      <c r="B96" s="3" t="s">
        <v>274</v>
      </c>
      <c r="C96" s="3" t="s">
        <v>53</v>
      </c>
      <c r="D96" s="3" t="s">
        <v>107</v>
      </c>
      <c r="E96" s="3" t="s">
        <v>33</v>
      </c>
      <c r="F96" s="3" t="s">
        <v>70</v>
      </c>
      <c r="G96" s="3" t="s">
        <v>84</v>
      </c>
      <c r="H96" s="3" t="s">
        <v>64</v>
      </c>
      <c r="I96" s="3" t="s">
        <v>145</v>
      </c>
      <c r="J96" s="3" t="n">
        <v>32</v>
      </c>
      <c r="K96" s="3" t="n">
        <v>10927.62</v>
      </c>
      <c r="L96" s="3" t="n">
        <v>349683.84</v>
      </c>
      <c r="M96" s="3" t="n">
        <v>0.0361</v>
      </c>
      <c r="N96" s="3" t="n">
        <v>12623.59</v>
      </c>
      <c r="O96" s="3" t="n">
        <v>337060.25</v>
      </c>
      <c r="P96" s="3" t="n">
        <v>202816.63</v>
      </c>
      <c r="Q96" s="3" t="n">
        <v>134243.62</v>
      </c>
      <c r="R96" s="3" t="n">
        <v>0.3983</v>
      </c>
      <c r="S96" s="3" t="n">
        <v>0.0365</v>
      </c>
      <c r="T96" s="3" t="n">
        <v>-0.0004</v>
      </c>
    </row>
    <row r="97" customFormat="false" ht="15" hidden="false" customHeight="true" outlineLevel="0" collapsed="false">
      <c r="A97" s="3" t="s">
        <v>275</v>
      </c>
      <c r="B97" s="3" t="s">
        <v>276</v>
      </c>
      <c r="C97" s="3" t="s">
        <v>120</v>
      </c>
      <c r="D97" s="3" t="s">
        <v>54</v>
      </c>
      <c r="E97" s="3" t="s">
        <v>24</v>
      </c>
      <c r="F97" s="3" t="s">
        <v>40</v>
      </c>
      <c r="G97" s="3" t="s">
        <v>100</v>
      </c>
      <c r="H97" s="3" t="s">
        <v>56</v>
      </c>
      <c r="I97" s="3" t="s">
        <v>188</v>
      </c>
      <c r="J97" s="3" t="n">
        <v>15</v>
      </c>
      <c r="K97" s="3" t="n">
        <v>8527.85</v>
      </c>
      <c r="L97" s="3" t="n">
        <v>127917.75</v>
      </c>
      <c r="M97" s="3" t="n">
        <v>0.0796</v>
      </c>
      <c r="N97" s="3" t="n">
        <v>10182.25</v>
      </c>
      <c r="O97" s="3" t="n">
        <v>117735.5</v>
      </c>
      <c r="P97" s="3" t="n">
        <v>76750.65</v>
      </c>
      <c r="Q97" s="3" t="n">
        <v>40984.85</v>
      </c>
      <c r="R97" s="3" t="n">
        <v>0.3481</v>
      </c>
      <c r="S97" s="3" t="n">
        <v>0.0747</v>
      </c>
      <c r="T97" s="3" t="n">
        <v>0.0049</v>
      </c>
    </row>
    <row r="98" customFormat="false" ht="15" hidden="false" customHeight="true" outlineLevel="0" collapsed="false">
      <c r="A98" s="3" t="s">
        <v>277</v>
      </c>
      <c r="B98" s="3" t="s">
        <v>278</v>
      </c>
      <c r="C98" s="3" t="s">
        <v>93</v>
      </c>
      <c r="D98" s="3" t="s">
        <v>61</v>
      </c>
      <c r="E98" s="3" t="s">
        <v>33</v>
      </c>
      <c r="F98" s="3" t="s">
        <v>62</v>
      </c>
      <c r="G98" s="3" t="s">
        <v>26</v>
      </c>
      <c r="H98" s="3" t="s">
        <v>64</v>
      </c>
      <c r="I98" s="3" t="s">
        <v>90</v>
      </c>
      <c r="J98" s="3" t="n">
        <v>46</v>
      </c>
      <c r="K98" s="3" t="n">
        <v>5626.75</v>
      </c>
      <c r="L98" s="3" t="n">
        <v>258830.5</v>
      </c>
      <c r="M98" s="3" t="n">
        <v>0.0437</v>
      </c>
      <c r="N98" s="3" t="n">
        <v>11310.89</v>
      </c>
      <c r="O98" s="3" t="n">
        <v>247519.61</v>
      </c>
      <c r="P98" s="3" t="n">
        <v>150121.69</v>
      </c>
      <c r="Q98" s="3" t="n">
        <v>97397.92</v>
      </c>
      <c r="R98" s="3" t="n">
        <v>0.3935</v>
      </c>
      <c r="S98" s="3" t="n">
        <v>0.0478</v>
      </c>
      <c r="T98" s="3" t="n">
        <v>-0.0041</v>
      </c>
    </row>
    <row r="99" customFormat="false" ht="15" hidden="false" customHeight="true" outlineLevel="0" collapsed="false">
      <c r="A99" s="3" t="s">
        <v>279</v>
      </c>
      <c r="B99" s="3" t="s">
        <v>166</v>
      </c>
      <c r="C99" s="3" t="s">
        <v>22</v>
      </c>
      <c r="D99" s="3" t="s">
        <v>69</v>
      </c>
      <c r="E99" s="3" t="s">
        <v>39</v>
      </c>
      <c r="F99" s="3" t="s">
        <v>70</v>
      </c>
      <c r="G99" s="3" t="s">
        <v>41</v>
      </c>
      <c r="H99" s="3" t="s">
        <v>77</v>
      </c>
      <c r="I99" s="3" t="s">
        <v>85</v>
      </c>
      <c r="J99" s="3" t="n">
        <v>39</v>
      </c>
      <c r="K99" s="3" t="n">
        <v>3041.21</v>
      </c>
      <c r="L99" s="3" t="n">
        <v>118607.19</v>
      </c>
      <c r="M99" s="3" t="n">
        <v>0.1106</v>
      </c>
      <c r="N99" s="3" t="n">
        <v>13117.96</v>
      </c>
      <c r="O99" s="3" t="n">
        <v>105489.23</v>
      </c>
      <c r="P99" s="3" t="n">
        <v>80652.89</v>
      </c>
      <c r="Q99" s="3" t="n">
        <v>24836.34</v>
      </c>
      <c r="R99" s="3" t="n">
        <v>0.2354</v>
      </c>
      <c r="S99" s="3" t="n">
        <v>0.0976</v>
      </c>
      <c r="T99" s="3" t="n">
        <v>0.013</v>
      </c>
    </row>
    <row r="100" customFormat="false" ht="15" hidden="false" customHeight="true" outlineLevel="0" collapsed="false">
      <c r="A100" s="3" t="s">
        <v>280</v>
      </c>
      <c r="B100" s="3" t="s">
        <v>281</v>
      </c>
      <c r="C100" s="3" t="s">
        <v>93</v>
      </c>
      <c r="D100" s="3" t="s">
        <v>47</v>
      </c>
      <c r="E100" s="3" t="s">
        <v>48</v>
      </c>
      <c r="F100" s="3" t="s">
        <v>25</v>
      </c>
      <c r="G100" s="3" t="s">
        <v>76</v>
      </c>
      <c r="H100" s="3" t="s">
        <v>42</v>
      </c>
      <c r="I100" s="3" t="s">
        <v>72</v>
      </c>
      <c r="J100" s="3" t="n">
        <v>19</v>
      </c>
      <c r="K100" s="3" t="n">
        <v>3371.92</v>
      </c>
      <c r="L100" s="3" t="n">
        <v>64066.48</v>
      </c>
      <c r="M100" s="3" t="n">
        <v>0.1733</v>
      </c>
      <c r="N100" s="3" t="n">
        <v>11102.72</v>
      </c>
      <c r="O100" s="3" t="n">
        <v>52963.76</v>
      </c>
      <c r="P100" s="3" t="n">
        <v>35236.56</v>
      </c>
      <c r="Q100" s="3" t="n">
        <v>17727.2</v>
      </c>
      <c r="R100" s="3" t="n">
        <v>0.3347</v>
      </c>
      <c r="S100" s="3" t="n">
        <v>0.1836</v>
      </c>
      <c r="T100" s="3" t="n">
        <v>-0.0103</v>
      </c>
    </row>
    <row r="101" customFormat="false" ht="15" hidden="false" customHeight="true" outlineLevel="0" collapsed="false">
      <c r="A101" s="3" t="s">
        <v>282</v>
      </c>
      <c r="B101" s="3" t="s">
        <v>283</v>
      </c>
      <c r="C101" s="3" t="s">
        <v>93</v>
      </c>
      <c r="D101" s="3" t="s">
        <v>83</v>
      </c>
      <c r="E101" s="3" t="s">
        <v>48</v>
      </c>
      <c r="F101" s="3" t="s">
        <v>62</v>
      </c>
      <c r="G101" s="3" t="s">
        <v>49</v>
      </c>
      <c r="H101" s="3" t="s">
        <v>56</v>
      </c>
      <c r="I101" s="3" t="s">
        <v>57</v>
      </c>
      <c r="J101" s="3" t="n">
        <v>49</v>
      </c>
      <c r="K101" s="3" t="n">
        <v>7319.04</v>
      </c>
      <c r="L101" s="3" t="n">
        <v>358632.96</v>
      </c>
      <c r="M101" s="3" t="n">
        <v>0.0572</v>
      </c>
      <c r="N101" s="3" t="n">
        <v>20513.81</v>
      </c>
      <c r="O101" s="3" t="n">
        <v>338119.15</v>
      </c>
      <c r="P101" s="3" t="n">
        <v>215179.78</v>
      </c>
      <c r="Q101" s="3" t="n">
        <v>122939.37</v>
      </c>
      <c r="R101" s="3" t="n">
        <v>0.3636</v>
      </c>
      <c r="S101" s="3" t="n">
        <v>0.0617</v>
      </c>
      <c r="T101" s="3" t="n">
        <v>-0.0045</v>
      </c>
    </row>
    <row r="102" customFormat="false" ht="15" hidden="false" customHeight="true" outlineLevel="0" collapsed="false">
      <c r="A102" s="3" t="s">
        <v>284</v>
      </c>
      <c r="B102" s="3" t="s">
        <v>285</v>
      </c>
      <c r="C102" s="3" t="s">
        <v>46</v>
      </c>
      <c r="D102" s="3" t="s">
        <v>69</v>
      </c>
      <c r="E102" s="3" t="s">
        <v>39</v>
      </c>
      <c r="F102" s="3" t="s">
        <v>70</v>
      </c>
      <c r="G102" s="3" t="s">
        <v>34</v>
      </c>
      <c r="H102" s="3" t="s">
        <v>64</v>
      </c>
      <c r="I102" s="3" t="s">
        <v>90</v>
      </c>
      <c r="J102" s="3" t="n">
        <v>27</v>
      </c>
      <c r="K102" s="3" t="n">
        <v>10704.12</v>
      </c>
      <c r="L102" s="3" t="n">
        <v>289011.24</v>
      </c>
      <c r="M102" s="3" t="n">
        <v>0.082</v>
      </c>
      <c r="N102" s="3" t="n">
        <v>23698.92</v>
      </c>
      <c r="O102" s="3" t="n">
        <v>265312.32</v>
      </c>
      <c r="P102" s="3" t="n">
        <v>167626.52</v>
      </c>
      <c r="Q102" s="3" t="n">
        <v>97685.8</v>
      </c>
      <c r="R102" s="3" t="n">
        <v>0.3682</v>
      </c>
      <c r="S102" s="3" t="n">
        <v>0.0751</v>
      </c>
      <c r="T102" s="3" t="n">
        <v>0.0069</v>
      </c>
    </row>
    <row r="103" customFormat="false" ht="15" hidden="false" customHeight="true" outlineLevel="0" collapsed="false">
      <c r="A103" s="3" t="s">
        <v>286</v>
      </c>
      <c r="B103" s="3" t="s">
        <v>144</v>
      </c>
      <c r="C103" s="3" t="s">
        <v>120</v>
      </c>
      <c r="D103" s="3" t="s">
        <v>23</v>
      </c>
      <c r="E103" s="3" t="s">
        <v>24</v>
      </c>
      <c r="F103" s="3" t="s">
        <v>25</v>
      </c>
      <c r="G103" s="3" t="s">
        <v>104</v>
      </c>
      <c r="H103" s="3" t="s">
        <v>64</v>
      </c>
      <c r="I103" s="3" t="s">
        <v>90</v>
      </c>
      <c r="J103" s="3" t="n">
        <v>38</v>
      </c>
      <c r="K103" s="3" t="n">
        <v>4136.22</v>
      </c>
      <c r="L103" s="3" t="n">
        <v>157176.36</v>
      </c>
      <c r="M103" s="3" t="n">
        <v>0.1484</v>
      </c>
      <c r="N103" s="3" t="n">
        <v>23324.97</v>
      </c>
      <c r="O103" s="3" t="n">
        <v>133851.39</v>
      </c>
      <c r="P103" s="3" t="n">
        <v>91162.29</v>
      </c>
      <c r="Q103" s="3" t="n">
        <v>42689.1</v>
      </c>
      <c r="R103" s="3" t="n">
        <v>0.3189</v>
      </c>
      <c r="S103" s="3" t="n">
        <v>0.1422</v>
      </c>
      <c r="T103" s="3" t="n">
        <v>0.0062</v>
      </c>
    </row>
    <row r="104" customFormat="false" ht="15" hidden="false" customHeight="true" outlineLevel="0" collapsed="false">
      <c r="A104" s="3" t="s">
        <v>287</v>
      </c>
      <c r="B104" s="3" t="s">
        <v>288</v>
      </c>
      <c r="C104" s="3" t="s">
        <v>53</v>
      </c>
      <c r="D104" s="3" t="s">
        <v>83</v>
      </c>
      <c r="E104" s="3" t="s">
        <v>48</v>
      </c>
      <c r="F104" s="3" t="s">
        <v>62</v>
      </c>
      <c r="G104" s="3" t="s">
        <v>63</v>
      </c>
      <c r="H104" s="3" t="s">
        <v>27</v>
      </c>
      <c r="I104" s="3" t="s">
        <v>117</v>
      </c>
      <c r="J104" s="3" t="n">
        <v>10</v>
      </c>
      <c r="K104" s="3" t="n">
        <v>35869.86</v>
      </c>
      <c r="L104" s="3" t="n">
        <v>358698.6</v>
      </c>
      <c r="M104" s="3" t="n">
        <v>0.0337</v>
      </c>
      <c r="N104" s="3" t="n">
        <v>12088.14</v>
      </c>
      <c r="O104" s="3" t="n">
        <v>346610.46</v>
      </c>
      <c r="P104" s="3" t="n">
        <v>222393.13</v>
      </c>
      <c r="Q104" s="3" t="n">
        <v>124217.33</v>
      </c>
      <c r="R104" s="3" t="n">
        <v>0.3584</v>
      </c>
      <c r="S104" s="3" t="n">
        <v>0.0304</v>
      </c>
      <c r="T104" s="3" t="n">
        <v>0.0033</v>
      </c>
    </row>
    <row r="105" customFormat="false" ht="15" hidden="false" customHeight="true" outlineLevel="0" collapsed="false">
      <c r="A105" s="3" t="s">
        <v>289</v>
      </c>
      <c r="B105" s="3" t="s">
        <v>290</v>
      </c>
      <c r="C105" s="3" t="s">
        <v>37</v>
      </c>
      <c r="D105" s="3" t="s">
        <v>97</v>
      </c>
      <c r="E105" s="3" t="s">
        <v>48</v>
      </c>
      <c r="F105" s="3" t="s">
        <v>40</v>
      </c>
      <c r="G105" s="3" t="s">
        <v>116</v>
      </c>
      <c r="H105" s="3" t="s">
        <v>77</v>
      </c>
      <c r="I105" s="3" t="s">
        <v>85</v>
      </c>
      <c r="J105" s="3" t="n">
        <v>44</v>
      </c>
      <c r="K105" s="3" t="n">
        <v>5288.47</v>
      </c>
      <c r="L105" s="3" t="n">
        <v>232692.68</v>
      </c>
      <c r="M105" s="3" t="n">
        <v>0.1082</v>
      </c>
      <c r="N105" s="3" t="n">
        <v>25177.35</v>
      </c>
      <c r="O105" s="3" t="n">
        <v>207515.33</v>
      </c>
      <c r="P105" s="3" t="n">
        <v>158231.02</v>
      </c>
      <c r="Q105" s="3" t="n">
        <v>49284.31</v>
      </c>
      <c r="R105" s="3" t="n">
        <v>0.2375</v>
      </c>
      <c r="S105" s="3" t="n">
        <v>0.1069</v>
      </c>
      <c r="T105" s="3" t="n">
        <v>0.0013</v>
      </c>
    </row>
    <row r="106" customFormat="false" ht="15" hidden="false" customHeight="true" outlineLevel="0" collapsed="false">
      <c r="A106" s="3" t="s">
        <v>291</v>
      </c>
      <c r="B106" s="3" t="s">
        <v>292</v>
      </c>
      <c r="C106" s="3" t="s">
        <v>126</v>
      </c>
      <c r="D106" s="3" t="s">
        <v>83</v>
      </c>
      <c r="E106" s="3" t="s">
        <v>48</v>
      </c>
      <c r="F106" s="3" t="s">
        <v>62</v>
      </c>
      <c r="G106" s="3" t="s">
        <v>55</v>
      </c>
      <c r="H106" s="3" t="s">
        <v>56</v>
      </c>
      <c r="I106" s="3" t="s">
        <v>188</v>
      </c>
      <c r="J106" s="3" t="n">
        <v>41</v>
      </c>
      <c r="K106" s="3" t="n">
        <v>3094.73</v>
      </c>
      <c r="L106" s="3" t="n">
        <v>126883.93</v>
      </c>
      <c r="M106" s="3" t="n">
        <v>0.0642</v>
      </c>
      <c r="N106" s="3" t="n">
        <v>8145.95</v>
      </c>
      <c r="O106" s="3" t="n">
        <v>118737.98</v>
      </c>
      <c r="P106" s="3" t="n">
        <v>76130.36</v>
      </c>
      <c r="Q106" s="3" t="n">
        <v>42607.62</v>
      </c>
      <c r="R106" s="3" t="n">
        <v>0.3588</v>
      </c>
      <c r="S106" s="3" t="n">
        <v>0.0706</v>
      </c>
      <c r="T106" s="3" t="n">
        <v>-0.0064</v>
      </c>
    </row>
    <row r="107" customFormat="false" ht="15" hidden="false" customHeight="true" outlineLevel="0" collapsed="false">
      <c r="A107" s="3" t="s">
        <v>293</v>
      </c>
      <c r="B107" s="3" t="s">
        <v>149</v>
      </c>
      <c r="C107" s="3" t="s">
        <v>126</v>
      </c>
      <c r="D107" s="3" t="s">
        <v>97</v>
      </c>
      <c r="E107" s="3" t="s">
        <v>48</v>
      </c>
      <c r="F107" s="3" t="s">
        <v>40</v>
      </c>
      <c r="G107" s="3" t="s">
        <v>116</v>
      </c>
      <c r="H107" s="3" t="s">
        <v>27</v>
      </c>
      <c r="I107" s="3" t="s">
        <v>173</v>
      </c>
      <c r="J107" s="3" t="n">
        <v>46</v>
      </c>
      <c r="K107" s="3" t="n">
        <v>32331.83</v>
      </c>
      <c r="L107" s="3" t="n">
        <v>1487264.18</v>
      </c>
      <c r="M107" s="3" t="n">
        <v>0.1114</v>
      </c>
      <c r="N107" s="3" t="n">
        <v>165681.23</v>
      </c>
      <c r="O107" s="3" t="n">
        <v>1321582.95</v>
      </c>
      <c r="P107" s="3" t="n">
        <v>922103.79</v>
      </c>
      <c r="Q107" s="3" t="n">
        <v>399479.16</v>
      </c>
      <c r="R107" s="3" t="n">
        <v>0.3023</v>
      </c>
      <c r="S107" s="3" t="n">
        <v>0.1193</v>
      </c>
      <c r="T107" s="3" t="n">
        <v>-0.0079</v>
      </c>
    </row>
    <row r="108" customFormat="false" ht="15" hidden="false" customHeight="true" outlineLevel="0" collapsed="false">
      <c r="A108" s="3" t="s">
        <v>294</v>
      </c>
      <c r="B108" s="3" t="s">
        <v>295</v>
      </c>
      <c r="C108" s="3" t="s">
        <v>113</v>
      </c>
      <c r="D108" s="3" t="s">
        <v>32</v>
      </c>
      <c r="E108" s="3" t="s">
        <v>33</v>
      </c>
      <c r="F108" s="3" t="s">
        <v>25</v>
      </c>
      <c r="G108" s="3" t="s">
        <v>76</v>
      </c>
      <c r="H108" s="3" t="s">
        <v>42</v>
      </c>
      <c r="I108" s="3" t="s">
        <v>43</v>
      </c>
      <c r="J108" s="3" t="n">
        <v>28</v>
      </c>
      <c r="K108" s="3" t="n">
        <v>1754.62</v>
      </c>
      <c r="L108" s="3" t="n">
        <v>49129.36</v>
      </c>
      <c r="M108" s="3" t="n">
        <v>0.1198</v>
      </c>
      <c r="N108" s="3" t="n">
        <v>5885.7</v>
      </c>
      <c r="O108" s="3" t="n">
        <v>43243.66</v>
      </c>
      <c r="P108" s="3" t="n">
        <v>27021.15</v>
      </c>
      <c r="Q108" s="3" t="n">
        <v>16222.51</v>
      </c>
      <c r="R108" s="3" t="n">
        <v>0.3751</v>
      </c>
      <c r="S108" s="3" t="n">
        <v>0.1019</v>
      </c>
      <c r="T108" s="3" t="n">
        <v>0.0179</v>
      </c>
    </row>
    <row r="109" customFormat="false" ht="15" hidden="false" customHeight="true" outlineLevel="0" collapsed="false">
      <c r="A109" s="3" t="s">
        <v>296</v>
      </c>
      <c r="B109" s="3" t="s">
        <v>297</v>
      </c>
      <c r="C109" s="3" t="s">
        <v>60</v>
      </c>
      <c r="D109" s="3" t="s">
        <v>61</v>
      </c>
      <c r="E109" s="3" t="s">
        <v>33</v>
      </c>
      <c r="F109" s="3" t="s">
        <v>62</v>
      </c>
      <c r="G109" s="3" t="s">
        <v>55</v>
      </c>
      <c r="H109" s="3" t="s">
        <v>56</v>
      </c>
      <c r="I109" s="3" t="s">
        <v>57</v>
      </c>
      <c r="J109" s="3" t="n">
        <v>32</v>
      </c>
      <c r="K109" s="3" t="n">
        <v>12930.15</v>
      </c>
      <c r="L109" s="3" t="n">
        <v>413764.8</v>
      </c>
      <c r="M109" s="3" t="n">
        <v>0.0756</v>
      </c>
      <c r="N109" s="3" t="n">
        <v>31280.62</v>
      </c>
      <c r="O109" s="3" t="n">
        <v>382484.18</v>
      </c>
      <c r="P109" s="3" t="n">
        <v>248258.88</v>
      </c>
      <c r="Q109" s="3" t="n">
        <v>134225.3</v>
      </c>
      <c r="R109" s="3" t="n">
        <v>0.3509</v>
      </c>
      <c r="S109" s="3" t="n">
        <v>0.0658</v>
      </c>
      <c r="T109" s="3" t="n">
        <v>0.0098</v>
      </c>
    </row>
    <row r="110" customFormat="false" ht="15" hidden="false" customHeight="true" outlineLevel="0" collapsed="false">
      <c r="A110" s="3" t="s">
        <v>298</v>
      </c>
      <c r="B110" s="3" t="s">
        <v>147</v>
      </c>
      <c r="C110" s="3" t="s">
        <v>60</v>
      </c>
      <c r="D110" s="3" t="s">
        <v>23</v>
      </c>
      <c r="E110" s="3" t="s">
        <v>24</v>
      </c>
      <c r="F110" s="3" t="s">
        <v>25</v>
      </c>
      <c r="G110" s="3" t="s">
        <v>76</v>
      </c>
      <c r="H110" s="3" t="s">
        <v>42</v>
      </c>
      <c r="I110" s="3" t="s">
        <v>134</v>
      </c>
      <c r="J110" s="3" t="n">
        <v>30</v>
      </c>
      <c r="K110" s="3" t="n">
        <v>2833.94</v>
      </c>
      <c r="L110" s="3" t="n">
        <v>85018.2</v>
      </c>
      <c r="M110" s="3" t="n">
        <v>0.1693</v>
      </c>
      <c r="N110" s="3" t="n">
        <v>14393.58</v>
      </c>
      <c r="O110" s="3" t="n">
        <v>70624.62</v>
      </c>
      <c r="P110" s="3" t="n">
        <v>46760.01</v>
      </c>
      <c r="Q110" s="3" t="n">
        <v>23864.61</v>
      </c>
      <c r="R110" s="3" t="n">
        <v>0.3379</v>
      </c>
      <c r="S110" s="3" t="n">
        <v>0.1392</v>
      </c>
      <c r="T110" s="3" t="n">
        <v>0.0301</v>
      </c>
    </row>
    <row r="111" customFormat="false" ht="15" hidden="false" customHeight="true" outlineLevel="0" collapsed="false">
      <c r="A111" s="3" t="s">
        <v>299</v>
      </c>
      <c r="B111" s="3" t="s">
        <v>300</v>
      </c>
      <c r="C111" s="3" t="s">
        <v>126</v>
      </c>
      <c r="D111" s="3" t="s">
        <v>103</v>
      </c>
      <c r="E111" s="3" t="s">
        <v>24</v>
      </c>
      <c r="F111" s="3" t="s">
        <v>62</v>
      </c>
      <c r="G111" s="3" t="s">
        <v>71</v>
      </c>
      <c r="H111" s="3" t="s">
        <v>56</v>
      </c>
      <c r="I111" s="3" t="s">
        <v>57</v>
      </c>
      <c r="J111" s="3" t="n">
        <v>45</v>
      </c>
      <c r="K111" s="3" t="n">
        <v>17392.47</v>
      </c>
      <c r="L111" s="3" t="n">
        <v>782661.15</v>
      </c>
      <c r="M111" s="3" t="n">
        <v>0.0425</v>
      </c>
      <c r="N111" s="3" t="n">
        <v>33263.1</v>
      </c>
      <c r="O111" s="3" t="n">
        <v>749398.05</v>
      </c>
      <c r="P111" s="3" t="n">
        <v>469596.69</v>
      </c>
      <c r="Q111" s="3" t="n">
        <v>279801.36</v>
      </c>
      <c r="R111" s="3" t="n">
        <v>0.3734</v>
      </c>
      <c r="S111" s="3" t="n">
        <v>0.0365</v>
      </c>
      <c r="T111" s="3" t="n">
        <v>0.006</v>
      </c>
    </row>
    <row r="112" customFormat="false" ht="15" hidden="false" customHeight="true" outlineLevel="0" collapsed="false">
      <c r="A112" s="3" t="s">
        <v>301</v>
      </c>
      <c r="B112" s="3" t="s">
        <v>302</v>
      </c>
      <c r="C112" s="3" t="s">
        <v>46</v>
      </c>
      <c r="D112" s="3" t="s">
        <v>47</v>
      </c>
      <c r="E112" s="3" t="s">
        <v>48</v>
      </c>
      <c r="F112" s="3" t="s">
        <v>25</v>
      </c>
      <c r="G112" s="3" t="s">
        <v>34</v>
      </c>
      <c r="H112" s="3" t="s">
        <v>77</v>
      </c>
      <c r="I112" s="3" t="s">
        <v>131</v>
      </c>
      <c r="J112" s="3" t="n">
        <v>23</v>
      </c>
      <c r="K112" s="3" t="n">
        <v>3030.55</v>
      </c>
      <c r="L112" s="3" t="n">
        <v>69702.65</v>
      </c>
      <c r="M112" s="3" t="n">
        <v>0.21</v>
      </c>
      <c r="N112" s="3" t="n">
        <v>14637.56</v>
      </c>
      <c r="O112" s="3" t="n">
        <v>55065.09</v>
      </c>
      <c r="P112" s="3" t="n">
        <v>47397.8</v>
      </c>
      <c r="Q112" s="3" t="n">
        <v>7667.29</v>
      </c>
      <c r="R112" s="3" t="n">
        <v>0.1392</v>
      </c>
      <c r="S112" s="3" t="n">
        <v>0.1853</v>
      </c>
      <c r="T112" s="3" t="n">
        <v>0.0247</v>
      </c>
    </row>
    <row r="113" customFormat="false" ht="15" hidden="false" customHeight="true" outlineLevel="0" collapsed="false">
      <c r="A113" s="3" t="s">
        <v>303</v>
      </c>
      <c r="B113" s="3" t="s">
        <v>304</v>
      </c>
      <c r="C113" s="3" t="s">
        <v>53</v>
      </c>
      <c r="D113" s="3" t="s">
        <v>38</v>
      </c>
      <c r="E113" s="3" t="s">
        <v>39</v>
      </c>
      <c r="F113" s="3" t="s">
        <v>40</v>
      </c>
      <c r="G113" s="3" t="s">
        <v>26</v>
      </c>
      <c r="H113" s="3" t="s">
        <v>27</v>
      </c>
      <c r="I113" s="3" t="s">
        <v>94</v>
      </c>
      <c r="J113" s="3" t="n">
        <v>19</v>
      </c>
      <c r="K113" s="3" t="n">
        <v>23895.27</v>
      </c>
      <c r="L113" s="3" t="n">
        <v>454010.13</v>
      </c>
      <c r="M113" s="3" t="n">
        <v>0.0688</v>
      </c>
      <c r="N113" s="3" t="n">
        <v>31235.9</v>
      </c>
      <c r="O113" s="3" t="n">
        <v>422774.23</v>
      </c>
      <c r="P113" s="3" t="n">
        <v>281486.28</v>
      </c>
      <c r="Q113" s="3" t="n">
        <v>141287.95</v>
      </c>
      <c r="R113" s="3" t="n">
        <v>0.3342</v>
      </c>
      <c r="S113" s="3" t="n">
        <v>0.0676</v>
      </c>
      <c r="T113" s="3" t="n">
        <v>0.0012</v>
      </c>
    </row>
    <row r="114" customFormat="false" ht="15" hidden="false" customHeight="true" outlineLevel="0" collapsed="false">
      <c r="A114" s="3" t="s">
        <v>305</v>
      </c>
      <c r="B114" s="3" t="s">
        <v>306</v>
      </c>
      <c r="C114" s="3" t="s">
        <v>60</v>
      </c>
      <c r="D114" s="3" t="s">
        <v>103</v>
      </c>
      <c r="E114" s="3" t="s">
        <v>24</v>
      </c>
      <c r="F114" s="3" t="s">
        <v>62</v>
      </c>
      <c r="G114" s="3" t="s">
        <v>55</v>
      </c>
      <c r="H114" s="3" t="s">
        <v>64</v>
      </c>
      <c r="I114" s="3" t="s">
        <v>108</v>
      </c>
      <c r="J114" s="3" t="n">
        <v>49</v>
      </c>
      <c r="K114" s="3" t="n">
        <v>5255.64</v>
      </c>
      <c r="L114" s="3" t="n">
        <v>257526.36</v>
      </c>
      <c r="M114" s="3" t="n">
        <v>0.066</v>
      </c>
      <c r="N114" s="3" t="n">
        <v>16996.74</v>
      </c>
      <c r="O114" s="3" t="n">
        <v>240529.62</v>
      </c>
      <c r="P114" s="3" t="n">
        <v>149365.29</v>
      </c>
      <c r="Q114" s="3" t="n">
        <v>91164.33</v>
      </c>
      <c r="R114" s="3" t="n">
        <v>0.379</v>
      </c>
      <c r="S114" s="3" t="n">
        <v>0.0653</v>
      </c>
      <c r="T114" s="3" t="n">
        <v>0.0007</v>
      </c>
    </row>
    <row r="115" customFormat="false" ht="15" hidden="false" customHeight="true" outlineLevel="0" collapsed="false">
      <c r="A115" s="3" t="s">
        <v>307</v>
      </c>
      <c r="B115" s="3" t="s">
        <v>308</v>
      </c>
      <c r="C115" s="3" t="s">
        <v>126</v>
      </c>
      <c r="D115" s="3" t="s">
        <v>23</v>
      </c>
      <c r="E115" s="3" t="s">
        <v>24</v>
      </c>
      <c r="F115" s="3" t="s">
        <v>25</v>
      </c>
      <c r="G115" s="3" t="s">
        <v>84</v>
      </c>
      <c r="H115" s="3" t="s">
        <v>27</v>
      </c>
      <c r="I115" s="3" t="s">
        <v>50</v>
      </c>
      <c r="J115" s="3" t="n">
        <v>24</v>
      </c>
      <c r="K115" s="3" t="n">
        <v>9067.66</v>
      </c>
      <c r="L115" s="3" t="n">
        <v>217623.84</v>
      </c>
      <c r="M115" s="3" t="n">
        <v>0.1138</v>
      </c>
      <c r="N115" s="3" t="n">
        <v>24765.59</v>
      </c>
      <c r="O115" s="3" t="n">
        <v>192858.25</v>
      </c>
      <c r="P115" s="3" t="n">
        <v>134926.78</v>
      </c>
      <c r="Q115" s="3" t="n">
        <v>57931.47</v>
      </c>
      <c r="R115" s="3" t="n">
        <v>0.3004</v>
      </c>
      <c r="S115" s="3" t="n">
        <v>0.1022</v>
      </c>
      <c r="T115" s="3" t="n">
        <v>0.0116</v>
      </c>
    </row>
    <row r="116" customFormat="false" ht="15" hidden="false" customHeight="true" outlineLevel="0" collapsed="false">
      <c r="A116" s="3" t="s">
        <v>309</v>
      </c>
      <c r="B116" s="3" t="s">
        <v>310</v>
      </c>
      <c r="C116" s="3" t="s">
        <v>53</v>
      </c>
      <c r="D116" s="3" t="s">
        <v>47</v>
      </c>
      <c r="E116" s="3" t="s">
        <v>48</v>
      </c>
      <c r="F116" s="3" t="s">
        <v>25</v>
      </c>
      <c r="G116" s="3" t="s">
        <v>41</v>
      </c>
      <c r="H116" s="3" t="s">
        <v>64</v>
      </c>
      <c r="I116" s="3" t="s">
        <v>108</v>
      </c>
      <c r="J116" s="3" t="n">
        <v>24</v>
      </c>
      <c r="K116" s="3" t="n">
        <v>10078.62</v>
      </c>
      <c r="L116" s="3" t="n">
        <v>241886.88</v>
      </c>
      <c r="M116" s="3" t="n">
        <v>0.2228</v>
      </c>
      <c r="N116" s="3" t="n">
        <v>53892.4</v>
      </c>
      <c r="O116" s="3" t="n">
        <v>187994.48</v>
      </c>
      <c r="P116" s="3" t="n">
        <v>140294.39</v>
      </c>
      <c r="Q116" s="3" t="n">
        <v>47700.09</v>
      </c>
      <c r="R116" s="3" t="n">
        <v>0.2537</v>
      </c>
      <c r="S116" s="3" t="n">
        <v>0.2394</v>
      </c>
      <c r="T116" s="3" t="n">
        <v>-0.0166</v>
      </c>
    </row>
    <row r="117" customFormat="false" ht="15" hidden="false" customHeight="true" outlineLevel="0" collapsed="false">
      <c r="A117" s="3" t="s">
        <v>311</v>
      </c>
      <c r="B117" s="3" t="s">
        <v>312</v>
      </c>
      <c r="C117" s="3" t="s">
        <v>60</v>
      </c>
      <c r="D117" s="3" t="s">
        <v>83</v>
      </c>
      <c r="E117" s="3" t="s">
        <v>48</v>
      </c>
      <c r="F117" s="3" t="s">
        <v>62</v>
      </c>
      <c r="G117" s="3" t="s">
        <v>49</v>
      </c>
      <c r="H117" s="3" t="s">
        <v>42</v>
      </c>
      <c r="I117" s="3" t="s">
        <v>72</v>
      </c>
      <c r="J117" s="3" t="n">
        <v>30</v>
      </c>
      <c r="K117" s="3" t="n">
        <v>3314.81</v>
      </c>
      <c r="L117" s="3" t="n">
        <v>99444.3</v>
      </c>
      <c r="M117" s="3" t="n">
        <v>0.0781</v>
      </c>
      <c r="N117" s="3" t="n">
        <v>7766.6</v>
      </c>
      <c r="O117" s="3" t="n">
        <v>91677.7</v>
      </c>
      <c r="P117" s="3" t="n">
        <v>54694.37</v>
      </c>
      <c r="Q117" s="3" t="n">
        <v>36983.33</v>
      </c>
      <c r="R117" s="3" t="n">
        <v>0.4034</v>
      </c>
      <c r="S117" s="3" t="n">
        <v>0.0802</v>
      </c>
      <c r="T117" s="3" t="n">
        <v>-0.0021</v>
      </c>
    </row>
    <row r="118" customFormat="false" ht="15" hidden="false" customHeight="true" outlineLevel="0" collapsed="false">
      <c r="A118" s="3" t="s">
        <v>313</v>
      </c>
      <c r="B118" s="3" t="s">
        <v>314</v>
      </c>
      <c r="C118" s="3" t="s">
        <v>120</v>
      </c>
      <c r="D118" s="3" t="s">
        <v>69</v>
      </c>
      <c r="E118" s="3" t="s">
        <v>39</v>
      </c>
      <c r="F118" s="3" t="s">
        <v>70</v>
      </c>
      <c r="G118" s="3" t="s">
        <v>49</v>
      </c>
      <c r="H118" s="3" t="s">
        <v>77</v>
      </c>
      <c r="I118" s="3" t="s">
        <v>85</v>
      </c>
      <c r="J118" s="3" t="n">
        <v>26</v>
      </c>
      <c r="K118" s="3" t="n">
        <v>1633.45</v>
      </c>
      <c r="L118" s="3" t="n">
        <v>42469.7</v>
      </c>
      <c r="M118" s="3" t="n">
        <v>0.0307</v>
      </c>
      <c r="N118" s="3" t="n">
        <v>1303.82</v>
      </c>
      <c r="O118" s="3" t="n">
        <v>41165.88</v>
      </c>
      <c r="P118" s="3" t="n">
        <v>28879.4</v>
      </c>
      <c r="Q118" s="3" t="n">
        <v>12286.48</v>
      </c>
      <c r="R118" s="3" t="n">
        <v>0.2985</v>
      </c>
      <c r="S118" s="3" t="n">
        <v>0.0287</v>
      </c>
      <c r="T118" s="3" t="n">
        <v>0.002</v>
      </c>
    </row>
    <row r="119" customFormat="false" ht="15" hidden="false" customHeight="true" outlineLevel="0" collapsed="false">
      <c r="A119" s="3" t="s">
        <v>315</v>
      </c>
      <c r="B119" s="3" t="s">
        <v>316</v>
      </c>
      <c r="C119" s="3" t="s">
        <v>156</v>
      </c>
      <c r="D119" s="3" t="s">
        <v>23</v>
      </c>
      <c r="E119" s="3" t="s">
        <v>24</v>
      </c>
      <c r="F119" s="3" t="s">
        <v>25</v>
      </c>
      <c r="G119" s="3" t="s">
        <v>63</v>
      </c>
      <c r="H119" s="3" t="s">
        <v>42</v>
      </c>
      <c r="I119" s="3" t="s">
        <v>72</v>
      </c>
      <c r="J119" s="3" t="n">
        <v>24</v>
      </c>
      <c r="K119" s="3" t="n">
        <v>3378.46</v>
      </c>
      <c r="L119" s="3" t="n">
        <v>81083.04</v>
      </c>
      <c r="M119" s="3" t="n">
        <v>0.0941</v>
      </c>
      <c r="N119" s="3" t="n">
        <v>7629.91</v>
      </c>
      <c r="O119" s="3" t="n">
        <v>73453.13</v>
      </c>
      <c r="P119" s="3" t="n">
        <v>44595.67</v>
      </c>
      <c r="Q119" s="3" t="n">
        <v>28857.46</v>
      </c>
      <c r="R119" s="3" t="n">
        <v>0.3929</v>
      </c>
      <c r="S119" s="3" t="n">
        <v>0.0928</v>
      </c>
      <c r="T119" s="3" t="n">
        <v>0.0013</v>
      </c>
    </row>
    <row r="120" customFormat="false" ht="15" hidden="false" customHeight="true" outlineLevel="0" collapsed="false">
      <c r="A120" s="3" t="s">
        <v>317</v>
      </c>
      <c r="B120" s="3" t="s">
        <v>300</v>
      </c>
      <c r="C120" s="3" t="s">
        <v>126</v>
      </c>
      <c r="D120" s="3" t="s">
        <v>107</v>
      </c>
      <c r="E120" s="3" t="s">
        <v>33</v>
      </c>
      <c r="F120" s="3" t="s">
        <v>70</v>
      </c>
      <c r="G120" s="3" t="s">
        <v>34</v>
      </c>
      <c r="H120" s="3" t="s">
        <v>42</v>
      </c>
      <c r="I120" s="3" t="s">
        <v>72</v>
      </c>
      <c r="J120" s="3" t="n">
        <v>41</v>
      </c>
      <c r="K120" s="3" t="n">
        <v>2766.78</v>
      </c>
      <c r="L120" s="3" t="n">
        <v>113437.98</v>
      </c>
      <c r="M120" s="3" t="n">
        <v>0.1276</v>
      </c>
      <c r="N120" s="3" t="n">
        <v>14474.69</v>
      </c>
      <c r="O120" s="3" t="n">
        <v>98963.29</v>
      </c>
      <c r="P120" s="3" t="n">
        <v>62390.89</v>
      </c>
      <c r="Q120" s="3" t="n">
        <v>36572.4</v>
      </c>
      <c r="R120" s="3" t="n">
        <v>0.3696</v>
      </c>
      <c r="S120" s="3" t="n">
        <v>0.1269</v>
      </c>
      <c r="T120" s="3" t="n">
        <v>0.0007</v>
      </c>
    </row>
    <row r="121" customFormat="false" ht="15" hidden="false" customHeight="true" outlineLevel="0" collapsed="false">
      <c r="A121" s="3" t="s">
        <v>318</v>
      </c>
      <c r="B121" s="3" t="s">
        <v>319</v>
      </c>
      <c r="C121" s="3" t="s">
        <v>60</v>
      </c>
      <c r="D121" s="3" t="s">
        <v>61</v>
      </c>
      <c r="E121" s="3" t="s">
        <v>33</v>
      </c>
      <c r="F121" s="3" t="s">
        <v>62</v>
      </c>
      <c r="G121" s="3" t="s">
        <v>104</v>
      </c>
      <c r="H121" s="3" t="s">
        <v>64</v>
      </c>
      <c r="I121" s="3" t="s">
        <v>65</v>
      </c>
      <c r="J121" s="3" t="n">
        <v>32</v>
      </c>
      <c r="K121" s="3" t="n">
        <v>5739.28</v>
      </c>
      <c r="L121" s="3" t="n">
        <v>183656.96</v>
      </c>
      <c r="M121" s="3" t="n">
        <v>0.0652</v>
      </c>
      <c r="N121" s="3" t="n">
        <v>11974.43</v>
      </c>
      <c r="O121" s="3" t="n">
        <v>171682.53</v>
      </c>
      <c r="P121" s="3" t="n">
        <v>106521.04</v>
      </c>
      <c r="Q121" s="3" t="n">
        <v>65161.49</v>
      </c>
      <c r="R121" s="3" t="n">
        <v>0.3795</v>
      </c>
      <c r="S121" s="3" t="n">
        <v>0.0598</v>
      </c>
      <c r="T121" s="3" t="n">
        <v>0.0054</v>
      </c>
    </row>
    <row r="122" customFormat="false" ht="15" hidden="false" customHeight="true" outlineLevel="0" collapsed="false">
      <c r="A122" s="3" t="s">
        <v>320</v>
      </c>
      <c r="B122" s="3" t="s">
        <v>321</v>
      </c>
      <c r="C122" s="3" t="s">
        <v>120</v>
      </c>
      <c r="D122" s="3" t="s">
        <v>103</v>
      </c>
      <c r="E122" s="3" t="s">
        <v>24</v>
      </c>
      <c r="F122" s="3" t="s">
        <v>62</v>
      </c>
      <c r="G122" s="3" t="s">
        <v>55</v>
      </c>
      <c r="H122" s="3" t="s">
        <v>56</v>
      </c>
      <c r="I122" s="3" t="s">
        <v>57</v>
      </c>
      <c r="J122" s="3" t="n">
        <v>10</v>
      </c>
      <c r="K122" s="3" t="n">
        <v>13876.3</v>
      </c>
      <c r="L122" s="3" t="n">
        <v>138763</v>
      </c>
      <c r="M122" s="3" t="n">
        <v>0.0743</v>
      </c>
      <c r="N122" s="3" t="n">
        <v>10310.09</v>
      </c>
      <c r="O122" s="3" t="n">
        <v>128452.91</v>
      </c>
      <c r="P122" s="3" t="n">
        <v>83257.8</v>
      </c>
      <c r="Q122" s="3" t="n">
        <v>45195.11</v>
      </c>
      <c r="R122" s="3" t="n">
        <v>0.3518</v>
      </c>
      <c r="S122" s="3" t="n">
        <v>0.078</v>
      </c>
      <c r="T122" s="3" t="n">
        <v>-0.0037</v>
      </c>
    </row>
    <row r="123" customFormat="false" ht="15" hidden="false" customHeight="true" outlineLevel="0" collapsed="false">
      <c r="A123" s="3" t="s">
        <v>322</v>
      </c>
      <c r="B123" s="3" t="s">
        <v>323</v>
      </c>
      <c r="C123" s="3" t="s">
        <v>46</v>
      </c>
      <c r="D123" s="3" t="s">
        <v>38</v>
      </c>
      <c r="E123" s="3" t="s">
        <v>39</v>
      </c>
      <c r="F123" s="3" t="s">
        <v>40</v>
      </c>
      <c r="G123" s="3" t="s">
        <v>104</v>
      </c>
      <c r="H123" s="3" t="s">
        <v>77</v>
      </c>
      <c r="I123" s="3" t="s">
        <v>78</v>
      </c>
      <c r="J123" s="3" t="n">
        <v>14</v>
      </c>
      <c r="K123" s="3" t="n">
        <v>4513.35</v>
      </c>
      <c r="L123" s="3" t="n">
        <v>63186.9</v>
      </c>
      <c r="M123" s="3" t="n">
        <v>0.1102</v>
      </c>
      <c r="N123" s="3" t="n">
        <v>6963.2</v>
      </c>
      <c r="O123" s="3" t="n">
        <v>56223.7</v>
      </c>
      <c r="P123" s="3" t="n">
        <v>42967.09</v>
      </c>
      <c r="Q123" s="3" t="n">
        <v>13256.61</v>
      </c>
      <c r="R123" s="3" t="n">
        <v>0.2358</v>
      </c>
      <c r="S123" s="3" t="n">
        <v>0.0914</v>
      </c>
      <c r="T123" s="3" t="n">
        <v>0.0188</v>
      </c>
    </row>
    <row r="124" customFormat="false" ht="15" hidden="false" customHeight="true" outlineLevel="0" collapsed="false">
      <c r="A124" s="3" t="s">
        <v>324</v>
      </c>
      <c r="B124" s="3" t="s">
        <v>268</v>
      </c>
      <c r="C124" s="3" t="s">
        <v>93</v>
      </c>
      <c r="D124" s="3" t="s">
        <v>23</v>
      </c>
      <c r="E124" s="3" t="s">
        <v>24</v>
      </c>
      <c r="F124" s="3" t="s">
        <v>25</v>
      </c>
      <c r="G124" s="3" t="s">
        <v>71</v>
      </c>
      <c r="H124" s="3" t="s">
        <v>42</v>
      </c>
      <c r="I124" s="3" t="s">
        <v>72</v>
      </c>
      <c r="J124" s="3" t="n">
        <v>26</v>
      </c>
      <c r="K124" s="3" t="n">
        <v>1755.36</v>
      </c>
      <c r="L124" s="3" t="n">
        <v>45639.36</v>
      </c>
      <c r="M124" s="3" t="n">
        <v>0.1613</v>
      </c>
      <c r="N124" s="3" t="n">
        <v>7361.63</v>
      </c>
      <c r="O124" s="3" t="n">
        <v>38277.73</v>
      </c>
      <c r="P124" s="3" t="n">
        <v>25101.65</v>
      </c>
      <c r="Q124" s="3" t="n">
        <v>13176.08</v>
      </c>
      <c r="R124" s="3" t="n">
        <v>0.3442</v>
      </c>
      <c r="S124" s="3" t="n">
        <v>0.1334</v>
      </c>
      <c r="T124" s="3" t="n">
        <v>0.0279</v>
      </c>
    </row>
    <row r="125" customFormat="false" ht="15" hidden="false" customHeight="true" outlineLevel="0" collapsed="false">
      <c r="A125" s="3" t="s">
        <v>325</v>
      </c>
      <c r="B125" s="3" t="s">
        <v>326</v>
      </c>
      <c r="C125" s="3" t="s">
        <v>113</v>
      </c>
      <c r="D125" s="3" t="s">
        <v>69</v>
      </c>
      <c r="E125" s="3" t="s">
        <v>39</v>
      </c>
      <c r="F125" s="3" t="s">
        <v>70</v>
      </c>
      <c r="G125" s="3" t="s">
        <v>104</v>
      </c>
      <c r="H125" s="3" t="s">
        <v>56</v>
      </c>
      <c r="I125" s="3" t="s">
        <v>188</v>
      </c>
      <c r="J125" s="3" t="n">
        <v>16</v>
      </c>
      <c r="K125" s="3" t="n">
        <v>14588.71</v>
      </c>
      <c r="L125" s="3" t="n">
        <v>233419.36</v>
      </c>
      <c r="M125" s="3" t="n">
        <v>0.1309</v>
      </c>
      <c r="N125" s="3" t="n">
        <v>30554.59</v>
      </c>
      <c r="O125" s="3" t="n">
        <v>202864.77</v>
      </c>
      <c r="P125" s="3" t="n">
        <v>140051.62</v>
      </c>
      <c r="Q125" s="3" t="n">
        <v>62813.15</v>
      </c>
      <c r="R125" s="3" t="n">
        <v>0.3096</v>
      </c>
      <c r="S125" s="3" t="n">
        <v>0.1074</v>
      </c>
      <c r="T125" s="3" t="n">
        <v>0.0235</v>
      </c>
    </row>
    <row r="126" customFormat="false" ht="15" hidden="false" customHeight="true" outlineLevel="0" collapsed="false">
      <c r="A126" s="3" t="s">
        <v>327</v>
      </c>
      <c r="B126" s="3" t="s">
        <v>328</v>
      </c>
      <c r="C126" s="3" t="s">
        <v>126</v>
      </c>
      <c r="D126" s="3" t="s">
        <v>107</v>
      </c>
      <c r="E126" s="3" t="s">
        <v>33</v>
      </c>
      <c r="F126" s="3" t="s">
        <v>70</v>
      </c>
      <c r="G126" s="3" t="s">
        <v>34</v>
      </c>
      <c r="H126" s="3" t="s">
        <v>64</v>
      </c>
      <c r="I126" s="3" t="s">
        <v>108</v>
      </c>
      <c r="J126" s="3" t="n">
        <v>10</v>
      </c>
      <c r="K126" s="3" t="n">
        <v>5957.04</v>
      </c>
      <c r="L126" s="3" t="n">
        <v>59570.4</v>
      </c>
      <c r="M126" s="3" t="n">
        <v>0.1133</v>
      </c>
      <c r="N126" s="3" t="n">
        <v>6749.33</v>
      </c>
      <c r="O126" s="3" t="n">
        <v>52821.07</v>
      </c>
      <c r="P126" s="3" t="n">
        <v>34550.83</v>
      </c>
      <c r="Q126" s="3" t="n">
        <v>18270.24</v>
      </c>
      <c r="R126" s="3" t="n">
        <v>0.3459</v>
      </c>
      <c r="S126" s="3" t="n">
        <v>0.1198</v>
      </c>
      <c r="T126" s="3" t="n">
        <v>-0.0065</v>
      </c>
    </row>
    <row r="127" customFormat="false" ht="15" hidden="false" customHeight="true" outlineLevel="0" collapsed="false">
      <c r="A127" s="3" t="s">
        <v>329</v>
      </c>
      <c r="B127" s="3" t="s">
        <v>330</v>
      </c>
      <c r="C127" s="3" t="s">
        <v>37</v>
      </c>
      <c r="D127" s="3" t="s">
        <v>75</v>
      </c>
      <c r="E127" s="3" t="s">
        <v>39</v>
      </c>
      <c r="F127" s="3" t="s">
        <v>25</v>
      </c>
      <c r="G127" s="3" t="s">
        <v>41</v>
      </c>
      <c r="H127" s="3" t="s">
        <v>64</v>
      </c>
      <c r="I127" s="3" t="s">
        <v>145</v>
      </c>
      <c r="J127" s="3" t="n">
        <v>2</v>
      </c>
      <c r="K127" s="3" t="n">
        <v>3989.34</v>
      </c>
      <c r="L127" s="3" t="n">
        <v>7978.68</v>
      </c>
      <c r="M127" s="3" t="n">
        <v>0.1568</v>
      </c>
      <c r="N127" s="3" t="n">
        <v>1251.06</v>
      </c>
      <c r="O127" s="3" t="n">
        <v>6727.62</v>
      </c>
      <c r="P127" s="3" t="n">
        <v>4627.63</v>
      </c>
      <c r="Q127" s="3" t="n">
        <v>2099.99</v>
      </c>
      <c r="R127" s="3" t="n">
        <v>0.3121</v>
      </c>
      <c r="S127" s="3" t="n">
        <v>0.1262</v>
      </c>
      <c r="T127" s="3" t="n">
        <v>0.0306</v>
      </c>
    </row>
    <row r="128" customFormat="false" ht="15" hidden="false" customHeight="true" outlineLevel="0" collapsed="false">
      <c r="A128" s="3" t="s">
        <v>331</v>
      </c>
      <c r="B128" s="3" t="s">
        <v>231</v>
      </c>
      <c r="C128" s="3" t="s">
        <v>93</v>
      </c>
      <c r="D128" s="3" t="s">
        <v>54</v>
      </c>
      <c r="E128" s="3" t="s">
        <v>24</v>
      </c>
      <c r="F128" s="3" t="s">
        <v>40</v>
      </c>
      <c r="G128" s="3" t="s">
        <v>26</v>
      </c>
      <c r="H128" s="3" t="s">
        <v>27</v>
      </c>
      <c r="I128" s="3" t="s">
        <v>117</v>
      </c>
      <c r="J128" s="3" t="n">
        <v>8</v>
      </c>
      <c r="K128" s="3" t="n">
        <v>21470.74</v>
      </c>
      <c r="L128" s="3" t="n">
        <v>171765.92</v>
      </c>
      <c r="M128" s="3" t="n">
        <v>0.0673</v>
      </c>
      <c r="N128" s="3" t="n">
        <v>11559.85</v>
      </c>
      <c r="O128" s="3" t="n">
        <v>160206.07</v>
      </c>
      <c r="P128" s="3" t="n">
        <v>106494.87</v>
      </c>
      <c r="Q128" s="3" t="n">
        <v>53711.2</v>
      </c>
      <c r="R128" s="3" t="n">
        <v>0.3353</v>
      </c>
      <c r="S128" s="3" t="n">
        <v>0.0629</v>
      </c>
      <c r="T128" s="3" t="n">
        <v>0.0044</v>
      </c>
    </row>
    <row r="129" customFormat="false" ht="15" hidden="false" customHeight="true" outlineLevel="0" collapsed="false">
      <c r="A129" s="3" t="s">
        <v>332</v>
      </c>
      <c r="B129" s="3" t="s">
        <v>333</v>
      </c>
      <c r="C129" s="3" t="s">
        <v>68</v>
      </c>
      <c r="D129" s="3" t="s">
        <v>103</v>
      </c>
      <c r="E129" s="3" t="s">
        <v>24</v>
      </c>
      <c r="F129" s="3" t="s">
        <v>62</v>
      </c>
      <c r="G129" s="3" t="s">
        <v>116</v>
      </c>
      <c r="H129" s="3" t="s">
        <v>56</v>
      </c>
      <c r="I129" s="3" t="s">
        <v>121</v>
      </c>
      <c r="J129" s="3" t="n">
        <v>15</v>
      </c>
      <c r="K129" s="3" t="n">
        <v>9232.09</v>
      </c>
      <c r="L129" s="3" t="n">
        <v>138481.35</v>
      </c>
      <c r="M129" s="3" t="n">
        <v>0.099</v>
      </c>
      <c r="N129" s="3" t="n">
        <v>13709.65</v>
      </c>
      <c r="O129" s="3" t="n">
        <v>124771.7</v>
      </c>
      <c r="P129" s="3" t="n">
        <v>83088.81</v>
      </c>
      <c r="Q129" s="3" t="n">
        <v>41682.89</v>
      </c>
      <c r="R129" s="3" t="n">
        <v>0.3341</v>
      </c>
      <c r="S129" s="3" t="n">
        <v>0.0882</v>
      </c>
      <c r="T129" s="3" t="n">
        <v>0.0108</v>
      </c>
    </row>
    <row r="130" customFormat="false" ht="15" hidden="false" customHeight="true" outlineLevel="0" collapsed="false">
      <c r="A130" s="3" t="s">
        <v>334</v>
      </c>
      <c r="B130" s="3" t="s">
        <v>335</v>
      </c>
      <c r="C130" s="3" t="s">
        <v>31</v>
      </c>
      <c r="D130" s="3" t="s">
        <v>23</v>
      </c>
      <c r="E130" s="3" t="s">
        <v>24</v>
      </c>
      <c r="F130" s="3" t="s">
        <v>25</v>
      </c>
      <c r="G130" s="3" t="s">
        <v>84</v>
      </c>
      <c r="H130" s="3" t="s">
        <v>27</v>
      </c>
      <c r="I130" s="3" t="s">
        <v>28</v>
      </c>
      <c r="J130" s="3" t="n">
        <v>28</v>
      </c>
      <c r="K130" s="3" t="n">
        <v>35113.55</v>
      </c>
      <c r="L130" s="3" t="n">
        <v>983179.4</v>
      </c>
      <c r="M130" s="3" t="n">
        <v>0.1435</v>
      </c>
      <c r="N130" s="3" t="n">
        <v>141086.24</v>
      </c>
      <c r="O130" s="3" t="n">
        <v>842093.16</v>
      </c>
      <c r="P130" s="3" t="n">
        <v>609571.23</v>
      </c>
      <c r="Q130" s="3" t="n">
        <v>232521.93</v>
      </c>
      <c r="R130" s="3" t="n">
        <v>0.2761</v>
      </c>
      <c r="S130" s="3" t="n">
        <v>0.118</v>
      </c>
      <c r="T130" s="3" t="n">
        <v>0.0255</v>
      </c>
    </row>
    <row r="131" customFormat="false" ht="15" hidden="false" customHeight="true" outlineLevel="0" collapsed="false">
      <c r="A131" s="3" t="s">
        <v>336</v>
      </c>
      <c r="B131" s="3" t="s">
        <v>227</v>
      </c>
      <c r="C131" s="3" t="s">
        <v>37</v>
      </c>
      <c r="D131" s="3" t="s">
        <v>61</v>
      </c>
      <c r="E131" s="3" t="s">
        <v>33</v>
      </c>
      <c r="F131" s="3" t="s">
        <v>62</v>
      </c>
      <c r="G131" s="3" t="s">
        <v>41</v>
      </c>
      <c r="H131" s="3" t="s">
        <v>42</v>
      </c>
      <c r="I131" s="3" t="s">
        <v>72</v>
      </c>
      <c r="J131" s="3" t="n">
        <v>18</v>
      </c>
      <c r="K131" s="3" t="n">
        <v>729.89</v>
      </c>
      <c r="L131" s="3" t="n">
        <v>13138.02</v>
      </c>
      <c r="M131" s="3" t="n">
        <v>0.1046</v>
      </c>
      <c r="N131" s="3" t="n">
        <v>1374.24</v>
      </c>
      <c r="O131" s="3" t="n">
        <v>11763.78</v>
      </c>
      <c r="P131" s="3" t="n">
        <v>7225.91</v>
      </c>
      <c r="Q131" s="3" t="n">
        <v>4537.87</v>
      </c>
      <c r="R131" s="3" t="n">
        <v>0.3857</v>
      </c>
      <c r="S131" s="3" t="n">
        <v>0.0957</v>
      </c>
      <c r="T131" s="3" t="n">
        <v>0.0089</v>
      </c>
    </row>
    <row r="132" customFormat="false" ht="15" hidden="false" customHeight="true" outlineLevel="0" collapsed="false">
      <c r="A132" s="3" t="s">
        <v>337</v>
      </c>
      <c r="B132" s="3" t="s">
        <v>212</v>
      </c>
      <c r="C132" s="3" t="s">
        <v>120</v>
      </c>
      <c r="D132" s="3" t="s">
        <v>38</v>
      </c>
      <c r="E132" s="3" t="s">
        <v>39</v>
      </c>
      <c r="F132" s="3" t="s">
        <v>40</v>
      </c>
      <c r="G132" s="3" t="s">
        <v>84</v>
      </c>
      <c r="H132" s="3" t="s">
        <v>56</v>
      </c>
      <c r="I132" s="3" t="s">
        <v>57</v>
      </c>
      <c r="J132" s="3" t="n">
        <v>28</v>
      </c>
      <c r="K132" s="3" t="n">
        <v>10088.82</v>
      </c>
      <c r="L132" s="3" t="n">
        <v>282486.96</v>
      </c>
      <c r="M132" s="3" t="n">
        <v>0.035</v>
      </c>
      <c r="N132" s="3" t="n">
        <v>9887.04</v>
      </c>
      <c r="O132" s="3" t="n">
        <v>272599.92</v>
      </c>
      <c r="P132" s="3" t="n">
        <v>169492.18</v>
      </c>
      <c r="Q132" s="3" t="n">
        <v>103107.74</v>
      </c>
      <c r="R132" s="3" t="n">
        <v>0.3782</v>
      </c>
      <c r="S132" s="3" t="n">
        <v>0.0369</v>
      </c>
      <c r="T132" s="3" t="n">
        <v>-0.0019</v>
      </c>
    </row>
    <row r="133" customFormat="false" ht="15" hidden="false" customHeight="true" outlineLevel="0" collapsed="false">
      <c r="A133" s="3" t="s">
        <v>338</v>
      </c>
      <c r="B133" s="3" t="s">
        <v>339</v>
      </c>
      <c r="C133" s="3" t="s">
        <v>120</v>
      </c>
      <c r="D133" s="3" t="s">
        <v>23</v>
      </c>
      <c r="E133" s="3" t="s">
        <v>24</v>
      </c>
      <c r="F133" s="3" t="s">
        <v>25</v>
      </c>
      <c r="G133" s="3" t="s">
        <v>34</v>
      </c>
      <c r="H133" s="3" t="s">
        <v>56</v>
      </c>
      <c r="I133" s="3" t="s">
        <v>121</v>
      </c>
      <c r="J133" s="3" t="n">
        <v>15</v>
      </c>
      <c r="K133" s="3" t="n">
        <v>8881.12</v>
      </c>
      <c r="L133" s="3" t="n">
        <v>133216.8</v>
      </c>
      <c r="M133" s="3" t="n">
        <v>0.1928</v>
      </c>
      <c r="N133" s="3" t="n">
        <v>25684.2</v>
      </c>
      <c r="O133" s="3" t="n">
        <v>107532.6</v>
      </c>
      <c r="P133" s="3" t="n">
        <v>79930.08</v>
      </c>
      <c r="Q133" s="3" t="n">
        <v>27602.52</v>
      </c>
      <c r="R133" s="3" t="n">
        <v>0.2567</v>
      </c>
      <c r="S133" s="3" t="n">
        <v>0.1723</v>
      </c>
      <c r="T133" s="3" t="n">
        <v>0.0205</v>
      </c>
    </row>
    <row r="134" customFormat="false" ht="15" hidden="false" customHeight="true" outlineLevel="0" collapsed="false">
      <c r="A134" s="3" t="s">
        <v>340</v>
      </c>
      <c r="B134" s="3" t="s">
        <v>341</v>
      </c>
      <c r="C134" s="3" t="s">
        <v>120</v>
      </c>
      <c r="D134" s="3" t="s">
        <v>103</v>
      </c>
      <c r="E134" s="3" t="s">
        <v>24</v>
      </c>
      <c r="F134" s="3" t="s">
        <v>62</v>
      </c>
      <c r="G134" s="3" t="s">
        <v>41</v>
      </c>
      <c r="H134" s="3" t="s">
        <v>42</v>
      </c>
      <c r="I134" s="3" t="s">
        <v>134</v>
      </c>
      <c r="J134" s="3" t="n">
        <v>31</v>
      </c>
      <c r="K134" s="3" t="n">
        <v>2903.87</v>
      </c>
      <c r="L134" s="3" t="n">
        <v>90019.97</v>
      </c>
      <c r="M134" s="3" t="n">
        <v>0.0866</v>
      </c>
      <c r="N134" s="3" t="n">
        <v>7795.73</v>
      </c>
      <c r="O134" s="3" t="n">
        <v>82224.24</v>
      </c>
      <c r="P134" s="3" t="n">
        <v>49510.98</v>
      </c>
      <c r="Q134" s="3" t="n">
        <v>32713.26</v>
      </c>
      <c r="R134" s="3" t="n">
        <v>0.3979</v>
      </c>
      <c r="S134" s="3" t="n">
        <v>0.0805</v>
      </c>
      <c r="T134" s="3" t="n">
        <v>0.0061</v>
      </c>
    </row>
    <row r="135" customFormat="false" ht="15" hidden="false" customHeight="true" outlineLevel="0" collapsed="false">
      <c r="A135" s="3" t="s">
        <v>342</v>
      </c>
      <c r="B135" s="3" t="s">
        <v>343</v>
      </c>
      <c r="C135" s="3" t="s">
        <v>120</v>
      </c>
      <c r="D135" s="3" t="s">
        <v>97</v>
      </c>
      <c r="E135" s="3" t="s">
        <v>48</v>
      </c>
      <c r="F135" s="3" t="s">
        <v>40</v>
      </c>
      <c r="G135" s="3" t="s">
        <v>100</v>
      </c>
      <c r="H135" s="3" t="s">
        <v>42</v>
      </c>
      <c r="I135" s="3" t="s">
        <v>43</v>
      </c>
      <c r="J135" s="3" t="n">
        <v>36</v>
      </c>
      <c r="K135" s="3" t="n">
        <v>709.93</v>
      </c>
      <c r="L135" s="3" t="n">
        <v>25557.48</v>
      </c>
      <c r="M135" s="3" t="n">
        <v>0.0581</v>
      </c>
      <c r="N135" s="3" t="n">
        <v>1484.89</v>
      </c>
      <c r="O135" s="3" t="n">
        <v>24072.59</v>
      </c>
      <c r="P135" s="3" t="n">
        <v>14056.61</v>
      </c>
      <c r="Q135" s="3" t="n">
        <v>10015.98</v>
      </c>
      <c r="R135" s="3" t="n">
        <v>0.4161</v>
      </c>
      <c r="S135" s="3" t="n">
        <v>0.0536</v>
      </c>
      <c r="T135" s="3" t="n">
        <v>0.0045</v>
      </c>
    </row>
    <row r="136" customFormat="false" ht="15" hidden="false" customHeight="true" outlineLevel="0" collapsed="false">
      <c r="A136" s="3" t="s">
        <v>344</v>
      </c>
      <c r="B136" s="3" t="s">
        <v>345</v>
      </c>
      <c r="C136" s="3" t="s">
        <v>60</v>
      </c>
      <c r="D136" s="3" t="s">
        <v>23</v>
      </c>
      <c r="E136" s="3" t="s">
        <v>24</v>
      </c>
      <c r="F136" s="3" t="s">
        <v>25</v>
      </c>
      <c r="G136" s="3" t="s">
        <v>104</v>
      </c>
      <c r="H136" s="3" t="s">
        <v>77</v>
      </c>
      <c r="I136" s="3" t="s">
        <v>85</v>
      </c>
      <c r="J136" s="3" t="n">
        <v>39</v>
      </c>
      <c r="K136" s="3" t="n">
        <v>5848.31</v>
      </c>
      <c r="L136" s="3" t="n">
        <v>228084.09</v>
      </c>
      <c r="M136" s="3" t="n">
        <v>0.1342</v>
      </c>
      <c r="N136" s="3" t="n">
        <v>30608.88</v>
      </c>
      <c r="O136" s="3" t="n">
        <v>197475.21</v>
      </c>
      <c r="P136" s="3" t="n">
        <v>155097.18</v>
      </c>
      <c r="Q136" s="3" t="n">
        <v>42378.03</v>
      </c>
      <c r="R136" s="3" t="n">
        <v>0.2146</v>
      </c>
      <c r="S136" s="3" t="n">
        <v>0.1338</v>
      </c>
      <c r="T136" s="3" t="n">
        <v>0.0004</v>
      </c>
    </row>
    <row r="137" customFormat="false" ht="15" hidden="false" customHeight="true" outlineLevel="0" collapsed="false">
      <c r="A137" s="3" t="s">
        <v>346</v>
      </c>
      <c r="B137" s="3" t="s">
        <v>347</v>
      </c>
      <c r="C137" s="3" t="s">
        <v>53</v>
      </c>
      <c r="D137" s="3" t="s">
        <v>69</v>
      </c>
      <c r="E137" s="3" t="s">
        <v>39</v>
      </c>
      <c r="F137" s="3" t="s">
        <v>70</v>
      </c>
      <c r="G137" s="3" t="s">
        <v>100</v>
      </c>
      <c r="H137" s="3" t="s">
        <v>27</v>
      </c>
      <c r="I137" s="3" t="s">
        <v>50</v>
      </c>
      <c r="J137" s="3" t="n">
        <v>49</v>
      </c>
      <c r="K137" s="3" t="n">
        <v>19761.95</v>
      </c>
      <c r="L137" s="3" t="n">
        <v>968335.55</v>
      </c>
      <c r="M137" s="3" t="n">
        <v>0.0439</v>
      </c>
      <c r="N137" s="3" t="n">
        <v>42509.93</v>
      </c>
      <c r="O137" s="3" t="n">
        <v>925825.62</v>
      </c>
      <c r="P137" s="3" t="n">
        <v>600368.04</v>
      </c>
      <c r="Q137" s="3" t="n">
        <v>325457.58</v>
      </c>
      <c r="R137" s="3" t="n">
        <v>0.3515</v>
      </c>
      <c r="S137" s="3" t="n">
        <v>0.0458</v>
      </c>
      <c r="T137" s="3" t="n">
        <v>-0.0019</v>
      </c>
    </row>
    <row r="138" customFormat="false" ht="15" hidden="false" customHeight="true" outlineLevel="0" collapsed="false">
      <c r="A138" s="3" t="s">
        <v>348</v>
      </c>
      <c r="B138" s="3" t="s">
        <v>349</v>
      </c>
      <c r="C138" s="3" t="s">
        <v>126</v>
      </c>
      <c r="D138" s="3" t="s">
        <v>107</v>
      </c>
      <c r="E138" s="3" t="s">
        <v>33</v>
      </c>
      <c r="F138" s="3" t="s">
        <v>70</v>
      </c>
      <c r="G138" s="3" t="s">
        <v>71</v>
      </c>
      <c r="H138" s="3" t="s">
        <v>56</v>
      </c>
      <c r="I138" s="3" t="s">
        <v>121</v>
      </c>
      <c r="J138" s="3" t="n">
        <v>2</v>
      </c>
      <c r="K138" s="3" t="n">
        <v>12283.19</v>
      </c>
      <c r="L138" s="3" t="n">
        <v>24566.38</v>
      </c>
      <c r="M138" s="3" t="n">
        <v>0.0604</v>
      </c>
      <c r="N138" s="3" t="n">
        <v>1483.81</v>
      </c>
      <c r="O138" s="3" t="n">
        <v>23082.57</v>
      </c>
      <c r="P138" s="3" t="n">
        <v>14739.83</v>
      </c>
      <c r="Q138" s="3" t="n">
        <v>8342.74</v>
      </c>
      <c r="R138" s="3" t="n">
        <v>0.3614</v>
      </c>
      <c r="S138" s="3" t="n">
        <v>0.0489</v>
      </c>
      <c r="T138" s="3" t="n">
        <v>0.0115</v>
      </c>
    </row>
    <row r="139" customFormat="false" ht="15" hidden="false" customHeight="true" outlineLevel="0" collapsed="false">
      <c r="A139" s="3" t="s">
        <v>350</v>
      </c>
      <c r="B139" s="3" t="s">
        <v>351</v>
      </c>
      <c r="C139" s="3" t="s">
        <v>46</v>
      </c>
      <c r="D139" s="3" t="s">
        <v>54</v>
      </c>
      <c r="E139" s="3" t="s">
        <v>24</v>
      </c>
      <c r="F139" s="3" t="s">
        <v>40</v>
      </c>
      <c r="G139" s="3" t="s">
        <v>49</v>
      </c>
      <c r="H139" s="3" t="s">
        <v>42</v>
      </c>
      <c r="I139" s="3" t="s">
        <v>134</v>
      </c>
      <c r="J139" s="3" t="n">
        <v>10</v>
      </c>
      <c r="K139" s="3" t="n">
        <v>521.37</v>
      </c>
      <c r="L139" s="3" t="n">
        <v>5213.7</v>
      </c>
      <c r="M139" s="3" t="n">
        <v>0.0583</v>
      </c>
      <c r="N139" s="3" t="n">
        <v>303.96</v>
      </c>
      <c r="O139" s="3" t="n">
        <v>4909.74</v>
      </c>
      <c r="P139" s="3" t="n">
        <v>2867.54</v>
      </c>
      <c r="Q139" s="3" t="n">
        <v>2042.2</v>
      </c>
      <c r="R139" s="3" t="n">
        <v>0.4159</v>
      </c>
      <c r="S139" s="3" t="n">
        <v>0.0479</v>
      </c>
      <c r="T139" s="3" t="n">
        <v>0.0104</v>
      </c>
    </row>
    <row r="140" customFormat="false" ht="15" hidden="false" customHeight="true" outlineLevel="0" collapsed="false">
      <c r="A140" s="3" t="s">
        <v>352</v>
      </c>
      <c r="B140" s="3" t="s">
        <v>219</v>
      </c>
      <c r="C140" s="3" t="s">
        <v>37</v>
      </c>
      <c r="D140" s="3" t="s">
        <v>97</v>
      </c>
      <c r="E140" s="3" t="s">
        <v>48</v>
      </c>
      <c r="F140" s="3" t="s">
        <v>40</v>
      </c>
      <c r="G140" s="3" t="s">
        <v>26</v>
      </c>
      <c r="H140" s="3" t="s">
        <v>27</v>
      </c>
      <c r="I140" s="3" t="s">
        <v>28</v>
      </c>
      <c r="J140" s="3" t="n">
        <v>25</v>
      </c>
      <c r="K140" s="3" t="n">
        <v>24975.45</v>
      </c>
      <c r="L140" s="3" t="n">
        <v>624386.25</v>
      </c>
      <c r="M140" s="3" t="n">
        <v>0.051</v>
      </c>
      <c r="N140" s="3" t="n">
        <v>31843.7</v>
      </c>
      <c r="O140" s="3" t="n">
        <v>592542.55</v>
      </c>
      <c r="P140" s="3" t="n">
        <v>387119.47</v>
      </c>
      <c r="Q140" s="3" t="n">
        <v>205423.08</v>
      </c>
      <c r="R140" s="3" t="n">
        <v>0.3467</v>
      </c>
      <c r="S140" s="3" t="n">
        <v>0.0432</v>
      </c>
      <c r="T140" s="3" t="n">
        <v>0.0078</v>
      </c>
    </row>
    <row r="141" customFormat="false" ht="15" hidden="false" customHeight="true" outlineLevel="0" collapsed="false">
      <c r="A141" s="3" t="s">
        <v>353</v>
      </c>
      <c r="B141" s="3" t="s">
        <v>354</v>
      </c>
      <c r="C141" s="3" t="s">
        <v>22</v>
      </c>
      <c r="D141" s="3" t="s">
        <v>54</v>
      </c>
      <c r="E141" s="3" t="s">
        <v>24</v>
      </c>
      <c r="F141" s="3" t="s">
        <v>40</v>
      </c>
      <c r="G141" s="3" t="s">
        <v>55</v>
      </c>
      <c r="H141" s="3" t="s">
        <v>42</v>
      </c>
      <c r="I141" s="3" t="s">
        <v>72</v>
      </c>
      <c r="J141" s="3" t="n">
        <v>4</v>
      </c>
      <c r="K141" s="3" t="n">
        <v>797.35</v>
      </c>
      <c r="L141" s="3" t="n">
        <v>3189.4</v>
      </c>
      <c r="M141" s="3" t="n">
        <v>0.0378</v>
      </c>
      <c r="N141" s="3" t="n">
        <v>120.56</v>
      </c>
      <c r="O141" s="3" t="n">
        <v>3068.84</v>
      </c>
      <c r="P141" s="3" t="n">
        <v>1754.17</v>
      </c>
      <c r="Q141" s="3" t="n">
        <v>1314.67</v>
      </c>
      <c r="R141" s="3" t="n">
        <v>0.4284</v>
      </c>
      <c r="S141" s="3" t="n">
        <v>0.0379</v>
      </c>
      <c r="T141" s="3" t="n">
        <v>-0.0001</v>
      </c>
    </row>
    <row r="142" customFormat="false" ht="15" hidden="false" customHeight="true" outlineLevel="0" collapsed="false">
      <c r="A142" s="3" t="s">
        <v>355</v>
      </c>
      <c r="B142" s="3" t="s">
        <v>356</v>
      </c>
      <c r="C142" s="3" t="s">
        <v>113</v>
      </c>
      <c r="D142" s="3" t="s">
        <v>54</v>
      </c>
      <c r="E142" s="3" t="s">
        <v>24</v>
      </c>
      <c r="F142" s="3" t="s">
        <v>40</v>
      </c>
      <c r="G142" s="3" t="s">
        <v>63</v>
      </c>
      <c r="H142" s="3" t="s">
        <v>77</v>
      </c>
      <c r="I142" s="3" t="s">
        <v>85</v>
      </c>
      <c r="J142" s="3" t="n">
        <v>29</v>
      </c>
      <c r="K142" s="3" t="n">
        <v>3531.18</v>
      </c>
      <c r="L142" s="3" t="n">
        <v>102404.22</v>
      </c>
      <c r="M142" s="3" t="n">
        <v>0.0507</v>
      </c>
      <c r="N142" s="3" t="n">
        <v>5191.89</v>
      </c>
      <c r="O142" s="3" t="n">
        <v>97212.33</v>
      </c>
      <c r="P142" s="3" t="n">
        <v>69634.87</v>
      </c>
      <c r="Q142" s="3" t="n">
        <v>27577.46</v>
      </c>
      <c r="R142" s="3" t="n">
        <v>0.2837</v>
      </c>
      <c r="S142" s="3" t="n">
        <v>0.0521</v>
      </c>
      <c r="T142" s="3" t="n">
        <v>-0.0014</v>
      </c>
    </row>
    <row r="143" customFormat="false" ht="15" hidden="false" customHeight="true" outlineLevel="0" collapsed="false">
      <c r="A143" s="3" t="s">
        <v>357</v>
      </c>
      <c r="B143" s="3" t="s">
        <v>358</v>
      </c>
      <c r="C143" s="3" t="s">
        <v>126</v>
      </c>
      <c r="D143" s="3" t="s">
        <v>61</v>
      </c>
      <c r="E143" s="3" t="s">
        <v>33</v>
      </c>
      <c r="F143" s="3" t="s">
        <v>62</v>
      </c>
      <c r="G143" s="3" t="s">
        <v>116</v>
      </c>
      <c r="H143" s="3" t="s">
        <v>42</v>
      </c>
      <c r="I143" s="3" t="s">
        <v>134</v>
      </c>
      <c r="J143" s="3" t="n">
        <v>44</v>
      </c>
      <c r="K143" s="3" t="n">
        <v>1491.36</v>
      </c>
      <c r="L143" s="3" t="n">
        <v>65619.84</v>
      </c>
      <c r="M143" s="3" t="n">
        <v>0.1007</v>
      </c>
      <c r="N143" s="3" t="n">
        <v>6607.92</v>
      </c>
      <c r="O143" s="3" t="n">
        <v>59011.92</v>
      </c>
      <c r="P143" s="3" t="n">
        <v>36090.91</v>
      </c>
      <c r="Q143" s="3" t="n">
        <v>22921.01</v>
      </c>
      <c r="R143" s="3" t="n">
        <v>0.3884</v>
      </c>
      <c r="S143" s="3" t="n">
        <v>0.082</v>
      </c>
      <c r="T143" s="3" t="n">
        <v>0.0187</v>
      </c>
    </row>
    <row r="144" customFormat="false" ht="15" hidden="false" customHeight="true" outlineLevel="0" collapsed="false">
      <c r="A144" s="3" t="s">
        <v>359</v>
      </c>
      <c r="B144" s="3" t="s">
        <v>360</v>
      </c>
      <c r="C144" s="3" t="s">
        <v>120</v>
      </c>
      <c r="D144" s="3" t="s">
        <v>47</v>
      </c>
      <c r="E144" s="3" t="s">
        <v>48</v>
      </c>
      <c r="F144" s="3" t="s">
        <v>25</v>
      </c>
      <c r="G144" s="3" t="s">
        <v>104</v>
      </c>
      <c r="H144" s="3" t="s">
        <v>56</v>
      </c>
      <c r="I144" s="3" t="s">
        <v>188</v>
      </c>
      <c r="J144" s="3" t="n">
        <v>14</v>
      </c>
      <c r="K144" s="3" t="n">
        <v>5270.77</v>
      </c>
      <c r="L144" s="3" t="n">
        <v>73790.78</v>
      </c>
      <c r="M144" s="3" t="n">
        <v>0.2011</v>
      </c>
      <c r="N144" s="3" t="n">
        <v>14839.33</v>
      </c>
      <c r="O144" s="3" t="n">
        <v>58951.45</v>
      </c>
      <c r="P144" s="3" t="n">
        <v>44274.47</v>
      </c>
      <c r="Q144" s="3" t="n">
        <v>14676.98</v>
      </c>
      <c r="R144" s="3" t="n">
        <v>0.249</v>
      </c>
      <c r="S144" s="3" t="n">
        <v>0.1613</v>
      </c>
      <c r="T144" s="3" t="n">
        <v>0.0398</v>
      </c>
    </row>
    <row r="145" customFormat="false" ht="15" hidden="false" customHeight="true" outlineLevel="0" collapsed="false">
      <c r="A145" s="3" t="s">
        <v>361</v>
      </c>
      <c r="B145" s="3" t="s">
        <v>362</v>
      </c>
      <c r="C145" s="3" t="s">
        <v>37</v>
      </c>
      <c r="D145" s="3" t="s">
        <v>97</v>
      </c>
      <c r="E145" s="3" t="s">
        <v>48</v>
      </c>
      <c r="F145" s="3" t="s">
        <v>40</v>
      </c>
      <c r="G145" s="3" t="s">
        <v>41</v>
      </c>
      <c r="H145" s="3" t="s">
        <v>77</v>
      </c>
      <c r="I145" s="3" t="s">
        <v>131</v>
      </c>
      <c r="J145" s="3" t="n">
        <v>46</v>
      </c>
      <c r="K145" s="3" t="n">
        <v>3025</v>
      </c>
      <c r="L145" s="3" t="n">
        <v>139150</v>
      </c>
      <c r="M145" s="3" t="n">
        <v>0.0839</v>
      </c>
      <c r="N145" s="3" t="n">
        <v>11674.68</v>
      </c>
      <c r="O145" s="3" t="n">
        <v>127475.32</v>
      </c>
      <c r="P145" s="3" t="n">
        <v>94622</v>
      </c>
      <c r="Q145" s="3" t="n">
        <v>32853.32</v>
      </c>
      <c r="R145" s="3" t="n">
        <v>0.2577</v>
      </c>
      <c r="S145" s="3" t="n">
        <v>0.0689</v>
      </c>
      <c r="T145" s="3" t="n">
        <v>0.015</v>
      </c>
    </row>
    <row r="146" customFormat="false" ht="15" hidden="false" customHeight="true" outlineLevel="0" collapsed="false">
      <c r="A146" s="3" t="s">
        <v>363</v>
      </c>
      <c r="B146" s="3" t="s">
        <v>364</v>
      </c>
      <c r="C146" s="3" t="s">
        <v>31</v>
      </c>
      <c r="D146" s="3" t="s">
        <v>97</v>
      </c>
      <c r="E146" s="3" t="s">
        <v>48</v>
      </c>
      <c r="F146" s="3" t="s">
        <v>40</v>
      </c>
      <c r="G146" s="3" t="s">
        <v>104</v>
      </c>
      <c r="H146" s="3" t="s">
        <v>27</v>
      </c>
      <c r="I146" s="3" t="s">
        <v>173</v>
      </c>
      <c r="J146" s="3" t="n">
        <v>5</v>
      </c>
      <c r="K146" s="3" t="n">
        <v>22712.14</v>
      </c>
      <c r="L146" s="3" t="n">
        <v>113560.7</v>
      </c>
      <c r="M146" s="3" t="n">
        <v>0.1161</v>
      </c>
      <c r="N146" s="3" t="n">
        <v>13184.4</v>
      </c>
      <c r="O146" s="3" t="n">
        <v>100376.3</v>
      </c>
      <c r="P146" s="3" t="n">
        <v>70407.63</v>
      </c>
      <c r="Q146" s="3" t="n">
        <v>29968.67</v>
      </c>
      <c r="R146" s="3" t="n">
        <v>0.2986</v>
      </c>
      <c r="S146" s="3" t="n">
        <v>0.1176</v>
      </c>
      <c r="T146" s="3" t="n">
        <v>-0.0015</v>
      </c>
    </row>
    <row r="147" customFormat="false" ht="15" hidden="false" customHeight="true" outlineLevel="0" collapsed="false">
      <c r="A147" s="3" t="s">
        <v>365</v>
      </c>
      <c r="B147" s="3" t="s">
        <v>366</v>
      </c>
      <c r="C147" s="3" t="s">
        <v>93</v>
      </c>
      <c r="D147" s="3" t="s">
        <v>47</v>
      </c>
      <c r="E147" s="3" t="s">
        <v>48</v>
      </c>
      <c r="F147" s="3" t="s">
        <v>25</v>
      </c>
      <c r="G147" s="3" t="s">
        <v>63</v>
      </c>
      <c r="H147" s="3" t="s">
        <v>42</v>
      </c>
      <c r="I147" s="3" t="s">
        <v>43</v>
      </c>
      <c r="J147" s="3" t="n">
        <v>21</v>
      </c>
      <c r="K147" s="3" t="n">
        <v>573</v>
      </c>
      <c r="L147" s="3" t="n">
        <v>12033</v>
      </c>
      <c r="M147" s="3" t="n">
        <v>0.1544</v>
      </c>
      <c r="N147" s="3" t="n">
        <v>1857.9</v>
      </c>
      <c r="O147" s="3" t="n">
        <v>10175.1</v>
      </c>
      <c r="P147" s="3" t="n">
        <v>6618.15</v>
      </c>
      <c r="Q147" s="3" t="n">
        <v>3556.95</v>
      </c>
      <c r="R147" s="3" t="n">
        <v>0.3496</v>
      </c>
      <c r="S147" s="3" t="n">
        <v>0.1621</v>
      </c>
      <c r="T147" s="3" t="n">
        <v>-0.0077</v>
      </c>
    </row>
    <row r="148" customFormat="false" ht="15" hidden="false" customHeight="true" outlineLevel="0" collapsed="false">
      <c r="A148" s="3" t="s">
        <v>367</v>
      </c>
      <c r="B148" s="3" t="s">
        <v>368</v>
      </c>
      <c r="C148" s="3" t="s">
        <v>126</v>
      </c>
      <c r="D148" s="3" t="s">
        <v>103</v>
      </c>
      <c r="E148" s="3" t="s">
        <v>24</v>
      </c>
      <c r="F148" s="3" t="s">
        <v>62</v>
      </c>
      <c r="G148" s="3" t="s">
        <v>116</v>
      </c>
      <c r="H148" s="3" t="s">
        <v>27</v>
      </c>
      <c r="I148" s="3" t="s">
        <v>173</v>
      </c>
      <c r="J148" s="3" t="n">
        <v>38</v>
      </c>
      <c r="K148" s="3" t="n">
        <v>15786.13</v>
      </c>
      <c r="L148" s="3" t="n">
        <v>599872.94</v>
      </c>
      <c r="M148" s="3" t="n">
        <v>0.0732</v>
      </c>
      <c r="N148" s="3" t="n">
        <v>43910.7</v>
      </c>
      <c r="O148" s="3" t="n">
        <v>555962.24</v>
      </c>
      <c r="P148" s="3" t="n">
        <v>371921.22</v>
      </c>
      <c r="Q148" s="3" t="n">
        <v>184041.02</v>
      </c>
      <c r="R148" s="3" t="n">
        <v>0.331</v>
      </c>
      <c r="S148" s="3" t="n">
        <v>0.0749</v>
      </c>
      <c r="T148" s="3" t="n">
        <v>-0.0017</v>
      </c>
    </row>
    <row r="149" customFormat="false" ht="15" hidden="false" customHeight="true" outlineLevel="0" collapsed="false">
      <c r="A149" s="3" t="s">
        <v>369</v>
      </c>
      <c r="B149" s="3" t="s">
        <v>370</v>
      </c>
      <c r="C149" s="3" t="s">
        <v>37</v>
      </c>
      <c r="D149" s="3" t="s">
        <v>69</v>
      </c>
      <c r="E149" s="3" t="s">
        <v>39</v>
      </c>
      <c r="F149" s="3" t="s">
        <v>70</v>
      </c>
      <c r="G149" s="3" t="s">
        <v>116</v>
      </c>
      <c r="H149" s="3" t="s">
        <v>42</v>
      </c>
      <c r="I149" s="3" t="s">
        <v>43</v>
      </c>
      <c r="J149" s="3" t="n">
        <v>8</v>
      </c>
      <c r="K149" s="3" t="n">
        <v>2286.69</v>
      </c>
      <c r="L149" s="3" t="n">
        <v>18293.52</v>
      </c>
      <c r="M149" s="3" t="n">
        <v>0.0843</v>
      </c>
      <c r="N149" s="3" t="n">
        <v>1542.14</v>
      </c>
      <c r="O149" s="3" t="n">
        <v>16751.38</v>
      </c>
      <c r="P149" s="3" t="n">
        <v>10061.44</v>
      </c>
      <c r="Q149" s="3" t="n">
        <v>6689.94</v>
      </c>
      <c r="R149" s="3" t="n">
        <v>0.3994</v>
      </c>
      <c r="S149" s="3" t="n">
        <v>0.0763</v>
      </c>
      <c r="T149" s="3" t="n">
        <v>0.008</v>
      </c>
    </row>
    <row r="150" customFormat="false" ht="15" hidden="false" customHeight="true" outlineLevel="0" collapsed="false">
      <c r="A150" s="3" t="s">
        <v>371</v>
      </c>
      <c r="B150" s="3" t="s">
        <v>372</v>
      </c>
      <c r="C150" s="3" t="s">
        <v>22</v>
      </c>
      <c r="D150" s="3" t="s">
        <v>23</v>
      </c>
      <c r="E150" s="3" t="s">
        <v>24</v>
      </c>
      <c r="F150" s="3" t="s">
        <v>25</v>
      </c>
      <c r="G150" s="3" t="s">
        <v>116</v>
      </c>
      <c r="H150" s="3" t="s">
        <v>64</v>
      </c>
      <c r="I150" s="3" t="s">
        <v>108</v>
      </c>
      <c r="J150" s="3" t="n">
        <v>13</v>
      </c>
      <c r="K150" s="3" t="n">
        <v>4318</v>
      </c>
      <c r="L150" s="3" t="n">
        <v>56134</v>
      </c>
      <c r="M150" s="3" t="n">
        <v>0.1413</v>
      </c>
      <c r="N150" s="3" t="n">
        <v>7931.73</v>
      </c>
      <c r="O150" s="3" t="n">
        <v>48202.27</v>
      </c>
      <c r="P150" s="3" t="n">
        <v>32557.72</v>
      </c>
      <c r="Q150" s="3" t="n">
        <v>15644.55</v>
      </c>
      <c r="R150" s="3" t="n">
        <v>0.3246</v>
      </c>
      <c r="S150" s="3" t="n">
        <v>0.1205</v>
      </c>
      <c r="T150" s="3" t="n">
        <v>0.0208</v>
      </c>
    </row>
    <row r="151" customFormat="false" ht="15" hidden="false" customHeight="true" outlineLevel="0" collapsed="false">
      <c r="A151" s="3" t="s">
        <v>373</v>
      </c>
      <c r="B151" s="3" t="s">
        <v>374</v>
      </c>
      <c r="C151" s="3" t="s">
        <v>37</v>
      </c>
      <c r="D151" s="3" t="s">
        <v>23</v>
      </c>
      <c r="E151" s="3" t="s">
        <v>24</v>
      </c>
      <c r="F151" s="3" t="s">
        <v>25</v>
      </c>
      <c r="G151" s="3" t="s">
        <v>55</v>
      </c>
      <c r="H151" s="3" t="s">
        <v>77</v>
      </c>
      <c r="I151" s="3" t="s">
        <v>78</v>
      </c>
      <c r="J151" s="3" t="n">
        <v>29</v>
      </c>
      <c r="K151" s="3" t="n">
        <v>4847.41</v>
      </c>
      <c r="L151" s="3" t="n">
        <v>140574.89</v>
      </c>
      <c r="M151" s="3" t="n">
        <v>0.1746</v>
      </c>
      <c r="N151" s="3" t="n">
        <v>24544.38</v>
      </c>
      <c r="O151" s="3" t="n">
        <v>116030.51</v>
      </c>
      <c r="P151" s="3" t="n">
        <v>95590.93</v>
      </c>
      <c r="Q151" s="3" t="n">
        <v>20439.58</v>
      </c>
      <c r="R151" s="3" t="n">
        <v>0.1762</v>
      </c>
      <c r="S151" s="3" t="n">
        <v>0.185</v>
      </c>
      <c r="T151" s="3" t="n">
        <v>-0.0104</v>
      </c>
    </row>
    <row r="152" customFormat="false" ht="15" hidden="false" customHeight="true" outlineLevel="0" collapsed="false">
      <c r="A152" s="3" t="s">
        <v>375</v>
      </c>
      <c r="B152" s="3" t="s">
        <v>376</v>
      </c>
      <c r="C152" s="3" t="s">
        <v>22</v>
      </c>
      <c r="D152" s="3" t="s">
        <v>23</v>
      </c>
      <c r="E152" s="3" t="s">
        <v>24</v>
      </c>
      <c r="F152" s="3" t="s">
        <v>25</v>
      </c>
      <c r="G152" s="3" t="s">
        <v>84</v>
      </c>
      <c r="H152" s="3" t="s">
        <v>42</v>
      </c>
      <c r="I152" s="3" t="s">
        <v>43</v>
      </c>
      <c r="J152" s="3" t="n">
        <v>29</v>
      </c>
      <c r="K152" s="3" t="n">
        <v>739</v>
      </c>
      <c r="L152" s="3" t="n">
        <v>21431</v>
      </c>
      <c r="M152" s="3" t="n">
        <v>0.1653</v>
      </c>
      <c r="N152" s="3" t="n">
        <v>3542.54</v>
      </c>
      <c r="O152" s="3" t="n">
        <v>17888.46</v>
      </c>
      <c r="P152" s="3" t="n">
        <v>11787.05</v>
      </c>
      <c r="Q152" s="3" t="n">
        <v>6101.41</v>
      </c>
      <c r="R152" s="3" t="n">
        <v>0.3411</v>
      </c>
      <c r="S152" s="3" t="n">
        <v>0.1497</v>
      </c>
      <c r="T152" s="3" t="n">
        <v>0.0156</v>
      </c>
    </row>
    <row r="153" customFormat="false" ht="15" hidden="false" customHeight="true" outlineLevel="0" collapsed="false">
      <c r="A153" s="3" t="s">
        <v>377</v>
      </c>
      <c r="B153" s="3" t="s">
        <v>378</v>
      </c>
      <c r="C153" s="3" t="s">
        <v>22</v>
      </c>
      <c r="D153" s="3" t="s">
        <v>61</v>
      </c>
      <c r="E153" s="3" t="s">
        <v>33</v>
      </c>
      <c r="F153" s="3" t="s">
        <v>62</v>
      </c>
      <c r="G153" s="3" t="s">
        <v>84</v>
      </c>
      <c r="H153" s="3" t="s">
        <v>42</v>
      </c>
      <c r="I153" s="3" t="s">
        <v>134</v>
      </c>
      <c r="J153" s="3" t="n">
        <v>24</v>
      </c>
      <c r="K153" s="3" t="n">
        <v>631.63</v>
      </c>
      <c r="L153" s="3" t="n">
        <v>15159.12</v>
      </c>
      <c r="M153" s="3" t="n">
        <v>0.0716</v>
      </c>
      <c r="N153" s="3" t="n">
        <v>1085.39</v>
      </c>
      <c r="O153" s="3" t="n">
        <v>14073.73</v>
      </c>
      <c r="P153" s="3" t="n">
        <v>8337.52</v>
      </c>
      <c r="Q153" s="3" t="n">
        <v>5736.21</v>
      </c>
      <c r="R153" s="3" t="n">
        <v>0.4076</v>
      </c>
      <c r="S153" s="3" t="n">
        <v>0.0711</v>
      </c>
      <c r="T153" s="3" t="n">
        <v>0.0005</v>
      </c>
    </row>
    <row r="154" customFormat="false" ht="15" hidden="false" customHeight="true" outlineLevel="0" collapsed="false">
      <c r="A154" s="3" t="s">
        <v>379</v>
      </c>
      <c r="B154" s="3" t="s">
        <v>380</v>
      </c>
      <c r="C154" s="3" t="s">
        <v>156</v>
      </c>
      <c r="D154" s="3" t="s">
        <v>61</v>
      </c>
      <c r="E154" s="3" t="s">
        <v>33</v>
      </c>
      <c r="F154" s="3" t="s">
        <v>62</v>
      </c>
      <c r="G154" s="3" t="s">
        <v>100</v>
      </c>
      <c r="H154" s="3" t="s">
        <v>56</v>
      </c>
      <c r="I154" s="3" t="s">
        <v>121</v>
      </c>
      <c r="J154" s="3" t="n">
        <v>38</v>
      </c>
      <c r="K154" s="3" t="n">
        <v>8151.72</v>
      </c>
      <c r="L154" s="3" t="n">
        <v>309765.36</v>
      </c>
      <c r="M154" s="3" t="n">
        <v>0.0577</v>
      </c>
      <c r="N154" s="3" t="n">
        <v>17873.46</v>
      </c>
      <c r="O154" s="3" t="n">
        <v>291891.9</v>
      </c>
      <c r="P154" s="3" t="n">
        <v>185859.22</v>
      </c>
      <c r="Q154" s="3" t="n">
        <v>106032.68</v>
      </c>
      <c r="R154" s="3" t="n">
        <v>0.3633</v>
      </c>
      <c r="S154" s="3" t="n">
        <v>0.054</v>
      </c>
      <c r="T154" s="3" t="n">
        <v>0.0037</v>
      </c>
    </row>
    <row r="155" customFormat="false" ht="15" hidden="false" customHeight="true" outlineLevel="0" collapsed="false">
      <c r="A155" s="3" t="s">
        <v>381</v>
      </c>
      <c r="B155" s="3" t="s">
        <v>382</v>
      </c>
      <c r="C155" s="3" t="s">
        <v>93</v>
      </c>
      <c r="D155" s="3" t="s">
        <v>38</v>
      </c>
      <c r="E155" s="3" t="s">
        <v>39</v>
      </c>
      <c r="F155" s="3" t="s">
        <v>40</v>
      </c>
      <c r="G155" s="3" t="s">
        <v>55</v>
      </c>
      <c r="H155" s="3" t="s">
        <v>64</v>
      </c>
      <c r="I155" s="3" t="s">
        <v>145</v>
      </c>
      <c r="J155" s="3" t="n">
        <v>10</v>
      </c>
      <c r="K155" s="3" t="n">
        <v>7280.66</v>
      </c>
      <c r="L155" s="3" t="n">
        <v>72806.6</v>
      </c>
      <c r="M155" s="3" t="n">
        <v>0.0779</v>
      </c>
      <c r="N155" s="3" t="n">
        <v>5671.63</v>
      </c>
      <c r="O155" s="3" t="n">
        <v>67134.97</v>
      </c>
      <c r="P155" s="3" t="n">
        <v>42227.83</v>
      </c>
      <c r="Q155" s="3" t="n">
        <v>24907.14</v>
      </c>
      <c r="R155" s="3" t="n">
        <v>0.371</v>
      </c>
      <c r="S155" s="3" t="n">
        <v>0.0647</v>
      </c>
      <c r="T155" s="3" t="n">
        <v>0.0132</v>
      </c>
    </row>
    <row r="156" customFormat="false" ht="15" hidden="false" customHeight="true" outlineLevel="0" collapsed="false">
      <c r="A156" s="3" t="s">
        <v>383</v>
      </c>
      <c r="B156" s="3" t="s">
        <v>384</v>
      </c>
      <c r="C156" s="3" t="s">
        <v>31</v>
      </c>
      <c r="D156" s="3" t="s">
        <v>103</v>
      </c>
      <c r="E156" s="3" t="s">
        <v>24</v>
      </c>
      <c r="F156" s="3" t="s">
        <v>62</v>
      </c>
      <c r="G156" s="3" t="s">
        <v>71</v>
      </c>
      <c r="H156" s="3" t="s">
        <v>27</v>
      </c>
      <c r="I156" s="3" t="s">
        <v>94</v>
      </c>
      <c r="J156" s="3" t="n">
        <v>16</v>
      </c>
      <c r="K156" s="3" t="n">
        <v>13521.89</v>
      </c>
      <c r="L156" s="3" t="n">
        <v>216350.24</v>
      </c>
      <c r="M156" s="3" t="n">
        <v>0.0654</v>
      </c>
      <c r="N156" s="3" t="n">
        <v>14149.31</v>
      </c>
      <c r="O156" s="3" t="n">
        <v>202200.93</v>
      </c>
      <c r="P156" s="3" t="n">
        <v>134137.15</v>
      </c>
      <c r="Q156" s="3" t="n">
        <v>68063.78</v>
      </c>
      <c r="R156" s="3" t="n">
        <v>0.3366</v>
      </c>
      <c r="S156" s="3" t="n">
        <v>0.0626</v>
      </c>
      <c r="T156" s="3" t="n">
        <v>0.0028</v>
      </c>
    </row>
    <row r="157" customFormat="false" ht="15" hidden="false" customHeight="true" outlineLevel="0" collapsed="false">
      <c r="A157" s="3" t="s">
        <v>385</v>
      </c>
      <c r="B157" s="3" t="s">
        <v>386</v>
      </c>
      <c r="C157" s="3" t="s">
        <v>37</v>
      </c>
      <c r="D157" s="3" t="s">
        <v>38</v>
      </c>
      <c r="E157" s="3" t="s">
        <v>39</v>
      </c>
      <c r="F157" s="3" t="s">
        <v>40</v>
      </c>
      <c r="G157" s="3" t="s">
        <v>49</v>
      </c>
      <c r="H157" s="3" t="s">
        <v>64</v>
      </c>
      <c r="I157" s="3" t="s">
        <v>145</v>
      </c>
      <c r="J157" s="3" t="n">
        <v>25</v>
      </c>
      <c r="K157" s="3" t="n">
        <v>11261.43</v>
      </c>
      <c r="L157" s="3" t="n">
        <v>281535.75</v>
      </c>
      <c r="M157" s="3" t="n">
        <v>0.0504</v>
      </c>
      <c r="N157" s="3" t="n">
        <v>14189.4</v>
      </c>
      <c r="O157" s="3" t="n">
        <v>267346.35</v>
      </c>
      <c r="P157" s="3" t="n">
        <v>163290.73</v>
      </c>
      <c r="Q157" s="3" t="n">
        <v>104055.62</v>
      </c>
      <c r="R157" s="3" t="n">
        <v>0.3892</v>
      </c>
      <c r="S157" s="3" t="n">
        <v>0.0506</v>
      </c>
      <c r="T157" s="3" t="n">
        <v>-0.0002</v>
      </c>
    </row>
    <row r="158" customFormat="false" ht="15" hidden="false" customHeight="true" outlineLevel="0" collapsed="false">
      <c r="A158" s="3" t="s">
        <v>387</v>
      </c>
      <c r="B158" s="3" t="s">
        <v>388</v>
      </c>
      <c r="C158" s="3" t="s">
        <v>60</v>
      </c>
      <c r="D158" s="3" t="s">
        <v>32</v>
      </c>
      <c r="E158" s="3" t="s">
        <v>33</v>
      </c>
      <c r="F158" s="3" t="s">
        <v>25</v>
      </c>
      <c r="G158" s="3" t="s">
        <v>49</v>
      </c>
      <c r="H158" s="3" t="s">
        <v>42</v>
      </c>
      <c r="I158" s="3" t="s">
        <v>43</v>
      </c>
      <c r="J158" s="3" t="n">
        <v>44</v>
      </c>
      <c r="K158" s="3" t="n">
        <v>830.77</v>
      </c>
      <c r="L158" s="3" t="n">
        <v>36553.88</v>
      </c>
      <c r="M158" s="3" t="n">
        <v>0.1095</v>
      </c>
      <c r="N158" s="3" t="n">
        <v>4002.65</v>
      </c>
      <c r="O158" s="3" t="n">
        <v>32551.23</v>
      </c>
      <c r="P158" s="3" t="n">
        <v>20104.63</v>
      </c>
      <c r="Q158" s="3" t="n">
        <v>12446.6</v>
      </c>
      <c r="R158" s="3" t="n">
        <v>0.3824</v>
      </c>
      <c r="S158" s="3" t="n">
        <v>0.0985</v>
      </c>
      <c r="T158" s="3" t="n">
        <v>0.011</v>
      </c>
    </row>
    <row r="159" customFormat="false" ht="15" hidden="false" customHeight="true" outlineLevel="0" collapsed="false">
      <c r="A159" s="3" t="s">
        <v>389</v>
      </c>
      <c r="B159" s="3" t="s">
        <v>390</v>
      </c>
      <c r="C159" s="3" t="s">
        <v>120</v>
      </c>
      <c r="D159" s="3" t="s">
        <v>38</v>
      </c>
      <c r="E159" s="3" t="s">
        <v>39</v>
      </c>
      <c r="F159" s="3" t="s">
        <v>40</v>
      </c>
      <c r="G159" s="3" t="s">
        <v>76</v>
      </c>
      <c r="H159" s="3" t="s">
        <v>64</v>
      </c>
      <c r="I159" s="3" t="s">
        <v>145</v>
      </c>
      <c r="J159" s="3" t="n">
        <v>45</v>
      </c>
      <c r="K159" s="3" t="n">
        <v>11709.27</v>
      </c>
      <c r="L159" s="3" t="n">
        <v>526917.15</v>
      </c>
      <c r="M159" s="3" t="n">
        <v>0.0631</v>
      </c>
      <c r="N159" s="3" t="n">
        <v>33248.47</v>
      </c>
      <c r="O159" s="3" t="n">
        <v>493668.68</v>
      </c>
      <c r="P159" s="3" t="n">
        <v>305611.95</v>
      </c>
      <c r="Q159" s="3" t="n">
        <v>188056.73</v>
      </c>
      <c r="R159" s="3" t="n">
        <v>0.3809</v>
      </c>
      <c r="S159" s="3" t="n">
        <v>0.0618</v>
      </c>
      <c r="T159" s="3" t="n">
        <v>0.0013</v>
      </c>
    </row>
    <row r="160" customFormat="false" ht="15" hidden="false" customHeight="true" outlineLevel="0" collapsed="false">
      <c r="A160" s="3" t="s">
        <v>391</v>
      </c>
      <c r="B160" s="3" t="s">
        <v>392</v>
      </c>
      <c r="C160" s="3" t="s">
        <v>68</v>
      </c>
      <c r="D160" s="3" t="s">
        <v>61</v>
      </c>
      <c r="E160" s="3" t="s">
        <v>33</v>
      </c>
      <c r="F160" s="3" t="s">
        <v>62</v>
      </c>
      <c r="G160" s="3" t="s">
        <v>63</v>
      </c>
      <c r="H160" s="3" t="s">
        <v>42</v>
      </c>
      <c r="I160" s="3" t="s">
        <v>72</v>
      </c>
      <c r="J160" s="3" t="n">
        <v>22</v>
      </c>
      <c r="K160" s="3" t="n">
        <v>2752.23</v>
      </c>
      <c r="L160" s="3" t="n">
        <v>60549.06</v>
      </c>
      <c r="M160" s="3" t="n">
        <v>0.0707</v>
      </c>
      <c r="N160" s="3" t="n">
        <v>4280.82</v>
      </c>
      <c r="O160" s="3" t="n">
        <v>56268.24</v>
      </c>
      <c r="P160" s="3" t="n">
        <v>33301.98</v>
      </c>
      <c r="Q160" s="3" t="n">
        <v>22966.26</v>
      </c>
      <c r="R160" s="3" t="n">
        <v>0.4082</v>
      </c>
      <c r="S160" s="3" t="n">
        <v>0.0585</v>
      </c>
      <c r="T160" s="3" t="n">
        <v>0.0122</v>
      </c>
    </row>
    <row r="161" customFormat="false" ht="15" hidden="false" customHeight="true" outlineLevel="0" collapsed="false">
      <c r="A161" s="3" t="s">
        <v>393</v>
      </c>
      <c r="B161" s="3" t="s">
        <v>102</v>
      </c>
      <c r="C161" s="3" t="s">
        <v>93</v>
      </c>
      <c r="D161" s="3" t="s">
        <v>23</v>
      </c>
      <c r="E161" s="3" t="s">
        <v>24</v>
      </c>
      <c r="F161" s="3" t="s">
        <v>25</v>
      </c>
      <c r="G161" s="3" t="s">
        <v>49</v>
      </c>
      <c r="H161" s="3" t="s">
        <v>77</v>
      </c>
      <c r="I161" s="3" t="s">
        <v>85</v>
      </c>
      <c r="J161" s="3" t="n">
        <v>20</v>
      </c>
      <c r="K161" s="3" t="n">
        <v>1287.51</v>
      </c>
      <c r="L161" s="3" t="n">
        <v>25750.2</v>
      </c>
      <c r="M161" s="3" t="n">
        <v>0.0961</v>
      </c>
      <c r="N161" s="3" t="n">
        <v>2474.59</v>
      </c>
      <c r="O161" s="3" t="n">
        <v>23275.61</v>
      </c>
      <c r="P161" s="3" t="n">
        <v>17510.14</v>
      </c>
      <c r="Q161" s="3" t="n">
        <v>5765.47</v>
      </c>
      <c r="R161" s="3" t="n">
        <v>0.2477</v>
      </c>
      <c r="S161" s="3" t="n">
        <v>0.0825</v>
      </c>
      <c r="T161" s="3" t="n">
        <v>0.0136</v>
      </c>
    </row>
    <row r="162" customFormat="false" ht="15" hidden="false" customHeight="true" outlineLevel="0" collapsed="false">
      <c r="A162" s="3" t="s">
        <v>394</v>
      </c>
      <c r="B162" s="3" t="s">
        <v>392</v>
      </c>
      <c r="C162" s="3" t="s">
        <v>68</v>
      </c>
      <c r="D162" s="3" t="s">
        <v>75</v>
      </c>
      <c r="E162" s="3" t="s">
        <v>39</v>
      </c>
      <c r="F162" s="3" t="s">
        <v>25</v>
      </c>
      <c r="G162" s="3" t="s">
        <v>76</v>
      </c>
      <c r="H162" s="3" t="s">
        <v>64</v>
      </c>
      <c r="I162" s="3" t="s">
        <v>65</v>
      </c>
      <c r="J162" s="3" t="n">
        <v>7</v>
      </c>
      <c r="K162" s="3" t="n">
        <v>10599.86</v>
      </c>
      <c r="L162" s="3" t="n">
        <v>74199.02</v>
      </c>
      <c r="M162" s="3" t="n">
        <v>0.1386</v>
      </c>
      <c r="N162" s="3" t="n">
        <v>10283.98</v>
      </c>
      <c r="O162" s="3" t="n">
        <v>63915.04</v>
      </c>
      <c r="P162" s="3" t="n">
        <v>43035.43</v>
      </c>
      <c r="Q162" s="3" t="n">
        <v>20879.61</v>
      </c>
      <c r="R162" s="3" t="n">
        <v>0.3267</v>
      </c>
      <c r="S162" s="3" t="n">
        <v>0.1124</v>
      </c>
      <c r="T162" s="3" t="n">
        <v>0.0262</v>
      </c>
    </row>
    <row r="163" customFormat="false" ht="15" hidden="false" customHeight="true" outlineLevel="0" collapsed="false">
      <c r="A163" s="3" t="s">
        <v>395</v>
      </c>
      <c r="B163" s="3" t="s">
        <v>396</v>
      </c>
      <c r="C163" s="3" t="s">
        <v>60</v>
      </c>
      <c r="D163" s="3" t="s">
        <v>103</v>
      </c>
      <c r="E163" s="3" t="s">
        <v>24</v>
      </c>
      <c r="F163" s="3" t="s">
        <v>62</v>
      </c>
      <c r="G163" s="3" t="s">
        <v>55</v>
      </c>
      <c r="H163" s="3" t="s">
        <v>56</v>
      </c>
      <c r="I163" s="3" t="s">
        <v>188</v>
      </c>
      <c r="J163" s="3" t="n">
        <v>11</v>
      </c>
      <c r="K163" s="3" t="n">
        <v>8027.52</v>
      </c>
      <c r="L163" s="3" t="n">
        <v>88302.72</v>
      </c>
      <c r="M163" s="3" t="n">
        <v>0.039</v>
      </c>
      <c r="N163" s="3" t="n">
        <v>3443.81</v>
      </c>
      <c r="O163" s="3" t="n">
        <v>84858.91</v>
      </c>
      <c r="P163" s="3" t="n">
        <v>52981.63</v>
      </c>
      <c r="Q163" s="3" t="n">
        <v>31877.28</v>
      </c>
      <c r="R163" s="3" t="n">
        <v>0.3757</v>
      </c>
      <c r="S163" s="3" t="n">
        <v>0.0397</v>
      </c>
      <c r="T163" s="3" t="n">
        <v>-0.0007</v>
      </c>
    </row>
    <row r="164" customFormat="false" ht="15" hidden="false" customHeight="true" outlineLevel="0" collapsed="false">
      <c r="A164" s="3" t="s">
        <v>397</v>
      </c>
      <c r="B164" s="3" t="s">
        <v>398</v>
      </c>
      <c r="C164" s="3" t="s">
        <v>93</v>
      </c>
      <c r="D164" s="3" t="s">
        <v>32</v>
      </c>
      <c r="E164" s="3" t="s">
        <v>33</v>
      </c>
      <c r="F164" s="3" t="s">
        <v>25</v>
      </c>
      <c r="G164" s="3" t="s">
        <v>71</v>
      </c>
      <c r="H164" s="3" t="s">
        <v>77</v>
      </c>
      <c r="I164" s="3" t="s">
        <v>78</v>
      </c>
      <c r="J164" s="3" t="n">
        <v>29</v>
      </c>
      <c r="K164" s="3" t="n">
        <v>4654.01</v>
      </c>
      <c r="L164" s="3" t="n">
        <v>134966.29</v>
      </c>
      <c r="M164" s="3" t="n">
        <v>0.1607</v>
      </c>
      <c r="N164" s="3" t="n">
        <v>21689.08</v>
      </c>
      <c r="O164" s="3" t="n">
        <v>113277.21</v>
      </c>
      <c r="P164" s="3" t="n">
        <v>91777.08</v>
      </c>
      <c r="Q164" s="3" t="n">
        <v>21500.13</v>
      </c>
      <c r="R164" s="3" t="n">
        <v>0.1898</v>
      </c>
      <c r="S164" s="3" t="n">
        <v>0.1399</v>
      </c>
      <c r="T164" s="3" t="n">
        <v>0.0208</v>
      </c>
    </row>
    <row r="165" customFormat="false" ht="15" hidden="false" customHeight="true" outlineLevel="0" collapsed="false">
      <c r="A165" s="3" t="s">
        <v>399</v>
      </c>
      <c r="B165" s="3" t="s">
        <v>400</v>
      </c>
      <c r="C165" s="3" t="s">
        <v>126</v>
      </c>
      <c r="D165" s="3" t="s">
        <v>69</v>
      </c>
      <c r="E165" s="3" t="s">
        <v>39</v>
      </c>
      <c r="F165" s="3" t="s">
        <v>70</v>
      </c>
      <c r="G165" s="3" t="s">
        <v>34</v>
      </c>
      <c r="H165" s="3" t="s">
        <v>42</v>
      </c>
      <c r="I165" s="3" t="s">
        <v>134</v>
      </c>
      <c r="J165" s="3" t="n">
        <v>37</v>
      </c>
      <c r="K165" s="3" t="n">
        <v>1787.44</v>
      </c>
      <c r="L165" s="3" t="n">
        <v>66135.28</v>
      </c>
      <c r="M165" s="3" t="n">
        <v>0.1177</v>
      </c>
      <c r="N165" s="3" t="n">
        <v>7784.12</v>
      </c>
      <c r="O165" s="3" t="n">
        <v>58351.16</v>
      </c>
      <c r="P165" s="3" t="n">
        <v>36374.4</v>
      </c>
      <c r="Q165" s="3" t="n">
        <v>21976.76</v>
      </c>
      <c r="R165" s="3" t="n">
        <v>0.3766</v>
      </c>
      <c r="S165" s="3" t="n">
        <v>0.1216</v>
      </c>
      <c r="T165" s="3" t="n">
        <v>-0.0039</v>
      </c>
    </row>
    <row r="166" customFormat="false" ht="15" hidden="false" customHeight="true" outlineLevel="0" collapsed="false">
      <c r="A166" s="3" t="s">
        <v>401</v>
      </c>
      <c r="B166" s="3" t="s">
        <v>402</v>
      </c>
      <c r="C166" s="3" t="s">
        <v>93</v>
      </c>
      <c r="D166" s="3" t="s">
        <v>107</v>
      </c>
      <c r="E166" s="3" t="s">
        <v>33</v>
      </c>
      <c r="F166" s="3" t="s">
        <v>70</v>
      </c>
      <c r="G166" s="3" t="s">
        <v>41</v>
      </c>
      <c r="H166" s="3" t="s">
        <v>56</v>
      </c>
      <c r="I166" s="3" t="s">
        <v>57</v>
      </c>
      <c r="J166" s="3" t="n">
        <v>39</v>
      </c>
      <c r="K166" s="3" t="n">
        <v>15070.26</v>
      </c>
      <c r="L166" s="3" t="n">
        <v>587740.14</v>
      </c>
      <c r="M166" s="3" t="n">
        <v>0.0669</v>
      </c>
      <c r="N166" s="3" t="n">
        <v>39319.82</v>
      </c>
      <c r="O166" s="3" t="n">
        <v>548420.32</v>
      </c>
      <c r="P166" s="3" t="n">
        <v>352644.08</v>
      </c>
      <c r="Q166" s="3" t="n">
        <v>195776.24</v>
      </c>
      <c r="R166" s="3" t="n">
        <v>0.357</v>
      </c>
      <c r="S166" s="3" t="n">
        <v>0.0711</v>
      </c>
      <c r="T166" s="3" t="n">
        <v>-0.0042</v>
      </c>
    </row>
    <row r="167" customFormat="false" ht="15" hidden="false" customHeight="true" outlineLevel="0" collapsed="false">
      <c r="A167" s="3" t="s">
        <v>403</v>
      </c>
      <c r="B167" s="3" t="s">
        <v>404</v>
      </c>
      <c r="C167" s="3" t="s">
        <v>68</v>
      </c>
      <c r="D167" s="3" t="s">
        <v>107</v>
      </c>
      <c r="E167" s="3" t="s">
        <v>33</v>
      </c>
      <c r="F167" s="3" t="s">
        <v>70</v>
      </c>
      <c r="G167" s="3" t="s">
        <v>116</v>
      </c>
      <c r="H167" s="3" t="s">
        <v>27</v>
      </c>
      <c r="I167" s="3" t="s">
        <v>94</v>
      </c>
      <c r="J167" s="3" t="n">
        <v>49</v>
      </c>
      <c r="K167" s="3" t="n">
        <v>17122.02</v>
      </c>
      <c r="L167" s="3" t="n">
        <v>838978.98</v>
      </c>
      <c r="M167" s="3" t="n">
        <v>0.076</v>
      </c>
      <c r="N167" s="3" t="n">
        <v>63762.4</v>
      </c>
      <c r="O167" s="3" t="n">
        <v>775216.58</v>
      </c>
      <c r="P167" s="3" t="n">
        <v>520166.97</v>
      </c>
      <c r="Q167" s="3" t="n">
        <v>255049.61</v>
      </c>
      <c r="R167" s="3" t="n">
        <v>0.329</v>
      </c>
      <c r="S167" s="3" t="n">
        <v>0.0641</v>
      </c>
      <c r="T167" s="3" t="n">
        <v>0.0119</v>
      </c>
    </row>
    <row r="168" customFormat="false" ht="15" hidden="false" customHeight="true" outlineLevel="0" collapsed="false">
      <c r="A168" s="3" t="s">
        <v>405</v>
      </c>
      <c r="B168" s="3" t="s">
        <v>406</v>
      </c>
      <c r="C168" s="3" t="s">
        <v>46</v>
      </c>
      <c r="D168" s="3" t="s">
        <v>47</v>
      </c>
      <c r="E168" s="3" t="s">
        <v>48</v>
      </c>
      <c r="F168" s="3" t="s">
        <v>25</v>
      </c>
      <c r="G168" s="3" t="s">
        <v>84</v>
      </c>
      <c r="H168" s="3" t="s">
        <v>27</v>
      </c>
      <c r="I168" s="3" t="s">
        <v>117</v>
      </c>
      <c r="J168" s="3" t="n">
        <v>2</v>
      </c>
      <c r="K168" s="3" t="n">
        <v>36308.15</v>
      </c>
      <c r="L168" s="3" t="n">
        <v>72616.3</v>
      </c>
      <c r="M168" s="3" t="n">
        <v>0.1225</v>
      </c>
      <c r="N168" s="3" t="n">
        <v>8895.5</v>
      </c>
      <c r="O168" s="3" t="n">
        <v>63720.8</v>
      </c>
      <c r="P168" s="3" t="n">
        <v>45022.11</v>
      </c>
      <c r="Q168" s="3" t="n">
        <v>18698.69</v>
      </c>
      <c r="R168" s="3" t="n">
        <v>0.2934</v>
      </c>
      <c r="S168" s="3" t="n">
        <v>0.1066</v>
      </c>
      <c r="T168" s="3" t="n">
        <v>0.0159</v>
      </c>
    </row>
    <row r="169" customFormat="false" ht="15" hidden="false" customHeight="true" outlineLevel="0" collapsed="false">
      <c r="A169" s="3" t="s">
        <v>407</v>
      </c>
      <c r="B169" s="3" t="s">
        <v>408</v>
      </c>
      <c r="C169" s="3" t="s">
        <v>60</v>
      </c>
      <c r="D169" s="3" t="s">
        <v>61</v>
      </c>
      <c r="E169" s="3" t="s">
        <v>33</v>
      </c>
      <c r="F169" s="3" t="s">
        <v>62</v>
      </c>
      <c r="G169" s="3" t="s">
        <v>104</v>
      </c>
      <c r="H169" s="3" t="s">
        <v>42</v>
      </c>
      <c r="I169" s="3" t="s">
        <v>43</v>
      </c>
      <c r="J169" s="3" t="n">
        <v>7</v>
      </c>
      <c r="K169" s="3" t="n">
        <v>1615.4</v>
      </c>
      <c r="L169" s="3" t="n">
        <v>11307.8</v>
      </c>
      <c r="M169" s="3" t="n">
        <v>0.118</v>
      </c>
      <c r="N169" s="3" t="n">
        <v>1334.32</v>
      </c>
      <c r="O169" s="3" t="n">
        <v>9973.48</v>
      </c>
      <c r="P169" s="3" t="n">
        <v>6219.29</v>
      </c>
      <c r="Q169" s="3" t="n">
        <v>3754.19</v>
      </c>
      <c r="R169" s="3" t="n">
        <v>0.3764</v>
      </c>
      <c r="S169" s="3" t="n">
        <v>0.0992</v>
      </c>
      <c r="T169" s="3" t="n">
        <v>0.0188</v>
      </c>
    </row>
    <row r="170" customFormat="false" ht="15" hidden="false" customHeight="true" outlineLevel="0" collapsed="false">
      <c r="A170" s="3" t="s">
        <v>409</v>
      </c>
      <c r="B170" s="3" t="s">
        <v>410</v>
      </c>
      <c r="C170" s="3" t="s">
        <v>22</v>
      </c>
      <c r="D170" s="3" t="s">
        <v>54</v>
      </c>
      <c r="E170" s="3" t="s">
        <v>24</v>
      </c>
      <c r="F170" s="3" t="s">
        <v>40</v>
      </c>
      <c r="G170" s="3" t="s">
        <v>41</v>
      </c>
      <c r="H170" s="3" t="s">
        <v>77</v>
      </c>
      <c r="I170" s="3" t="s">
        <v>85</v>
      </c>
      <c r="J170" s="3" t="n">
        <v>31</v>
      </c>
      <c r="K170" s="3" t="n">
        <v>4842.44</v>
      </c>
      <c r="L170" s="3" t="n">
        <v>150115.64</v>
      </c>
      <c r="M170" s="3" t="n">
        <v>0.0726</v>
      </c>
      <c r="N170" s="3" t="n">
        <v>10898.4</v>
      </c>
      <c r="O170" s="3" t="n">
        <v>139217.24</v>
      </c>
      <c r="P170" s="3" t="n">
        <v>102078.64</v>
      </c>
      <c r="Q170" s="3" t="n">
        <v>37138.6</v>
      </c>
      <c r="R170" s="3" t="n">
        <v>0.2668</v>
      </c>
      <c r="S170" s="3" t="n">
        <v>0.0585</v>
      </c>
      <c r="T170" s="3" t="n">
        <v>0.0141</v>
      </c>
    </row>
    <row r="171" customFormat="false" ht="15" hidden="false" customHeight="true" outlineLevel="0" collapsed="false">
      <c r="A171" s="3" t="s">
        <v>411</v>
      </c>
      <c r="B171" s="3" t="s">
        <v>30</v>
      </c>
      <c r="C171" s="3" t="s">
        <v>31</v>
      </c>
      <c r="D171" s="3" t="s">
        <v>69</v>
      </c>
      <c r="E171" s="3" t="s">
        <v>39</v>
      </c>
      <c r="F171" s="3" t="s">
        <v>70</v>
      </c>
      <c r="G171" s="3" t="s">
        <v>116</v>
      </c>
      <c r="H171" s="3" t="s">
        <v>64</v>
      </c>
      <c r="I171" s="3" t="s">
        <v>90</v>
      </c>
      <c r="J171" s="3" t="n">
        <v>16</v>
      </c>
      <c r="K171" s="3" t="n">
        <v>9985.55</v>
      </c>
      <c r="L171" s="3" t="n">
        <v>159768.8</v>
      </c>
      <c r="M171" s="3" t="n">
        <v>0.067</v>
      </c>
      <c r="N171" s="3" t="n">
        <v>10704.51</v>
      </c>
      <c r="O171" s="3" t="n">
        <v>149064.29</v>
      </c>
      <c r="P171" s="3" t="n">
        <v>92665.9</v>
      </c>
      <c r="Q171" s="3" t="n">
        <v>56398.39</v>
      </c>
      <c r="R171" s="3" t="n">
        <v>0.3783</v>
      </c>
      <c r="S171" s="3" t="n">
        <v>0.0664</v>
      </c>
      <c r="T171" s="3" t="n">
        <v>0.0006</v>
      </c>
    </row>
    <row r="172" customFormat="false" ht="15" hidden="false" customHeight="true" outlineLevel="0" collapsed="false">
      <c r="A172" s="3" t="s">
        <v>412</v>
      </c>
      <c r="B172" s="3" t="s">
        <v>413</v>
      </c>
      <c r="C172" s="3" t="s">
        <v>68</v>
      </c>
      <c r="D172" s="3" t="s">
        <v>38</v>
      </c>
      <c r="E172" s="3" t="s">
        <v>39</v>
      </c>
      <c r="F172" s="3" t="s">
        <v>40</v>
      </c>
      <c r="G172" s="3" t="s">
        <v>116</v>
      </c>
      <c r="H172" s="3" t="s">
        <v>77</v>
      </c>
      <c r="I172" s="3" t="s">
        <v>131</v>
      </c>
      <c r="J172" s="3" t="n">
        <v>32</v>
      </c>
      <c r="K172" s="3" t="n">
        <v>5216.1</v>
      </c>
      <c r="L172" s="3" t="n">
        <v>166915.2</v>
      </c>
      <c r="M172" s="3" t="n">
        <v>0.0805</v>
      </c>
      <c r="N172" s="3" t="n">
        <v>13436.67</v>
      </c>
      <c r="O172" s="3" t="n">
        <v>153478.53</v>
      </c>
      <c r="P172" s="3" t="n">
        <v>113502.34</v>
      </c>
      <c r="Q172" s="3" t="n">
        <v>39976.19</v>
      </c>
      <c r="R172" s="3" t="n">
        <v>0.2605</v>
      </c>
      <c r="S172" s="3" t="n">
        <v>0.0783</v>
      </c>
      <c r="T172" s="3" t="n">
        <v>0.0022</v>
      </c>
    </row>
    <row r="173" customFormat="false" ht="15" hidden="false" customHeight="true" outlineLevel="0" collapsed="false">
      <c r="A173" s="3" t="s">
        <v>414</v>
      </c>
      <c r="B173" s="3" t="s">
        <v>415</v>
      </c>
      <c r="C173" s="3" t="s">
        <v>31</v>
      </c>
      <c r="D173" s="3" t="s">
        <v>97</v>
      </c>
      <c r="E173" s="3" t="s">
        <v>48</v>
      </c>
      <c r="F173" s="3" t="s">
        <v>40</v>
      </c>
      <c r="G173" s="3" t="s">
        <v>63</v>
      </c>
      <c r="H173" s="3" t="s">
        <v>64</v>
      </c>
      <c r="I173" s="3" t="s">
        <v>145</v>
      </c>
      <c r="J173" s="3" t="n">
        <v>23</v>
      </c>
      <c r="K173" s="3" t="n">
        <v>3014.08</v>
      </c>
      <c r="L173" s="3" t="n">
        <v>69323.84</v>
      </c>
      <c r="M173" s="3" t="n">
        <v>0.042</v>
      </c>
      <c r="N173" s="3" t="n">
        <v>2911.6</v>
      </c>
      <c r="O173" s="3" t="n">
        <v>66412.24</v>
      </c>
      <c r="P173" s="3" t="n">
        <v>40207.83</v>
      </c>
      <c r="Q173" s="3" t="n">
        <v>26204.41</v>
      </c>
      <c r="R173" s="3" t="n">
        <v>0.3946</v>
      </c>
      <c r="S173" s="3" t="n">
        <v>0.036</v>
      </c>
      <c r="T173" s="3" t="n">
        <v>0.006</v>
      </c>
    </row>
    <row r="174" customFormat="false" ht="15" hidden="false" customHeight="true" outlineLevel="0" collapsed="false">
      <c r="A174" s="3" t="s">
        <v>416</v>
      </c>
      <c r="B174" s="3" t="s">
        <v>96</v>
      </c>
      <c r="C174" s="3" t="s">
        <v>68</v>
      </c>
      <c r="D174" s="3" t="s">
        <v>23</v>
      </c>
      <c r="E174" s="3" t="s">
        <v>24</v>
      </c>
      <c r="F174" s="3" t="s">
        <v>25</v>
      </c>
      <c r="G174" s="3" t="s">
        <v>49</v>
      </c>
      <c r="H174" s="3" t="s">
        <v>27</v>
      </c>
      <c r="I174" s="3" t="s">
        <v>94</v>
      </c>
      <c r="J174" s="3" t="n">
        <v>34</v>
      </c>
      <c r="K174" s="3" t="n">
        <v>10165.74</v>
      </c>
      <c r="L174" s="3" t="n">
        <v>345635.16</v>
      </c>
      <c r="M174" s="3" t="n">
        <v>0.1601</v>
      </c>
      <c r="N174" s="3" t="n">
        <v>55336.19</v>
      </c>
      <c r="O174" s="3" t="n">
        <v>290298.97</v>
      </c>
      <c r="P174" s="3" t="n">
        <v>214293.8</v>
      </c>
      <c r="Q174" s="3" t="n">
        <v>76005.17</v>
      </c>
      <c r="R174" s="3" t="n">
        <v>0.2618</v>
      </c>
      <c r="S174" s="3" t="n">
        <v>0.1547</v>
      </c>
      <c r="T174" s="3" t="n">
        <v>0.0054</v>
      </c>
    </row>
    <row r="175" customFormat="false" ht="15" hidden="false" customHeight="true" outlineLevel="0" collapsed="false">
      <c r="A175" s="3" t="s">
        <v>417</v>
      </c>
      <c r="B175" s="3" t="s">
        <v>418</v>
      </c>
      <c r="C175" s="3" t="s">
        <v>22</v>
      </c>
      <c r="D175" s="3" t="s">
        <v>47</v>
      </c>
      <c r="E175" s="3" t="s">
        <v>48</v>
      </c>
      <c r="F175" s="3" t="s">
        <v>25</v>
      </c>
      <c r="G175" s="3" t="s">
        <v>71</v>
      </c>
      <c r="H175" s="3" t="s">
        <v>77</v>
      </c>
      <c r="I175" s="3" t="s">
        <v>131</v>
      </c>
      <c r="J175" s="3" t="n">
        <v>24</v>
      </c>
      <c r="K175" s="3" t="n">
        <v>3057.03</v>
      </c>
      <c r="L175" s="3" t="n">
        <v>73368.72</v>
      </c>
      <c r="M175" s="3" t="n">
        <v>0.084</v>
      </c>
      <c r="N175" s="3" t="n">
        <v>6162.97</v>
      </c>
      <c r="O175" s="3" t="n">
        <v>67205.75</v>
      </c>
      <c r="P175" s="3" t="n">
        <v>49890.73</v>
      </c>
      <c r="Q175" s="3" t="n">
        <v>17315.02</v>
      </c>
      <c r="R175" s="3" t="n">
        <v>0.2576</v>
      </c>
      <c r="S175" s="3" t="n">
        <v>0.0759</v>
      </c>
      <c r="T175" s="3" t="n">
        <v>0.0081</v>
      </c>
    </row>
    <row r="176" customFormat="false" ht="15" hidden="false" customHeight="true" outlineLevel="0" collapsed="false">
      <c r="A176" s="3" t="s">
        <v>419</v>
      </c>
      <c r="B176" s="3" t="s">
        <v>420</v>
      </c>
      <c r="C176" s="3" t="s">
        <v>37</v>
      </c>
      <c r="D176" s="3" t="s">
        <v>97</v>
      </c>
      <c r="E176" s="3" t="s">
        <v>48</v>
      </c>
      <c r="F176" s="3" t="s">
        <v>40</v>
      </c>
      <c r="G176" s="3" t="s">
        <v>26</v>
      </c>
      <c r="H176" s="3" t="s">
        <v>27</v>
      </c>
      <c r="I176" s="3" t="s">
        <v>94</v>
      </c>
      <c r="J176" s="3" t="n">
        <v>9</v>
      </c>
      <c r="K176" s="3" t="n">
        <v>32213.73</v>
      </c>
      <c r="L176" s="3" t="n">
        <v>289923.57</v>
      </c>
      <c r="M176" s="3" t="n">
        <v>0.0322</v>
      </c>
      <c r="N176" s="3" t="n">
        <v>9335.54</v>
      </c>
      <c r="O176" s="3" t="n">
        <v>280588.03</v>
      </c>
      <c r="P176" s="3" t="n">
        <v>179752.61</v>
      </c>
      <c r="Q176" s="3" t="n">
        <v>100835.42</v>
      </c>
      <c r="R176" s="3" t="n">
        <v>0.3594</v>
      </c>
      <c r="S176" s="3" t="n">
        <v>0.0336</v>
      </c>
      <c r="T176" s="3" t="n">
        <v>-0.0014</v>
      </c>
    </row>
    <row r="177" customFormat="false" ht="15" hidden="false" customHeight="true" outlineLevel="0" collapsed="false">
      <c r="A177" s="3" t="s">
        <v>421</v>
      </c>
      <c r="B177" s="3" t="s">
        <v>422</v>
      </c>
      <c r="C177" s="3" t="s">
        <v>93</v>
      </c>
      <c r="D177" s="3" t="s">
        <v>75</v>
      </c>
      <c r="E177" s="3" t="s">
        <v>39</v>
      </c>
      <c r="F177" s="3" t="s">
        <v>25</v>
      </c>
      <c r="G177" s="3" t="s">
        <v>84</v>
      </c>
      <c r="H177" s="3" t="s">
        <v>77</v>
      </c>
      <c r="I177" s="3" t="s">
        <v>85</v>
      </c>
      <c r="J177" s="3" t="n">
        <v>9</v>
      </c>
      <c r="K177" s="3" t="n">
        <v>4232.33</v>
      </c>
      <c r="L177" s="3" t="n">
        <v>38090.97</v>
      </c>
      <c r="M177" s="3" t="n">
        <v>0.1353</v>
      </c>
      <c r="N177" s="3" t="n">
        <v>5153.71</v>
      </c>
      <c r="O177" s="3" t="n">
        <v>32937.26</v>
      </c>
      <c r="P177" s="3" t="n">
        <v>25901.86</v>
      </c>
      <c r="Q177" s="3" t="n">
        <v>7035.4</v>
      </c>
      <c r="R177" s="3" t="n">
        <v>0.2136</v>
      </c>
      <c r="S177" s="3" t="n">
        <v>0.1097</v>
      </c>
      <c r="T177" s="3" t="n">
        <v>0.0256</v>
      </c>
    </row>
    <row r="178" customFormat="false" ht="15" hidden="false" customHeight="true" outlineLevel="0" collapsed="false">
      <c r="A178" s="3" t="s">
        <v>423</v>
      </c>
      <c r="B178" s="3" t="s">
        <v>424</v>
      </c>
      <c r="C178" s="3" t="s">
        <v>93</v>
      </c>
      <c r="D178" s="3" t="s">
        <v>69</v>
      </c>
      <c r="E178" s="3" t="s">
        <v>39</v>
      </c>
      <c r="F178" s="3" t="s">
        <v>70</v>
      </c>
      <c r="G178" s="3" t="s">
        <v>104</v>
      </c>
      <c r="H178" s="3" t="s">
        <v>27</v>
      </c>
      <c r="I178" s="3" t="s">
        <v>117</v>
      </c>
      <c r="J178" s="3" t="n">
        <v>20</v>
      </c>
      <c r="K178" s="3" t="n">
        <v>18099.07</v>
      </c>
      <c r="L178" s="3" t="n">
        <v>361981.4</v>
      </c>
      <c r="M178" s="3" t="n">
        <v>0.1153</v>
      </c>
      <c r="N178" s="3" t="n">
        <v>41736.46</v>
      </c>
      <c r="O178" s="3" t="n">
        <v>320244.94</v>
      </c>
      <c r="P178" s="3" t="n">
        <v>224428.47</v>
      </c>
      <c r="Q178" s="3" t="n">
        <v>95816.47</v>
      </c>
      <c r="R178" s="3" t="n">
        <v>0.2992</v>
      </c>
      <c r="S178" s="3" t="n">
        <v>0.101</v>
      </c>
      <c r="T178" s="3" t="n">
        <v>0.0143</v>
      </c>
    </row>
    <row r="179" customFormat="false" ht="15" hidden="false" customHeight="true" outlineLevel="0" collapsed="false">
      <c r="A179" s="3" t="s">
        <v>425</v>
      </c>
      <c r="B179" s="3" t="s">
        <v>426</v>
      </c>
      <c r="C179" s="3" t="s">
        <v>120</v>
      </c>
      <c r="D179" s="3" t="s">
        <v>23</v>
      </c>
      <c r="E179" s="3" t="s">
        <v>24</v>
      </c>
      <c r="F179" s="3" t="s">
        <v>25</v>
      </c>
      <c r="G179" s="3" t="s">
        <v>49</v>
      </c>
      <c r="H179" s="3" t="s">
        <v>64</v>
      </c>
      <c r="I179" s="3" t="s">
        <v>145</v>
      </c>
      <c r="J179" s="3" t="n">
        <v>4</v>
      </c>
      <c r="K179" s="3" t="n">
        <v>10759.25</v>
      </c>
      <c r="L179" s="3" t="n">
        <v>43037</v>
      </c>
      <c r="M179" s="3" t="n">
        <v>0.1398</v>
      </c>
      <c r="N179" s="3" t="n">
        <v>6016.57</v>
      </c>
      <c r="O179" s="3" t="n">
        <v>37020.43</v>
      </c>
      <c r="P179" s="3" t="n">
        <v>24961.46</v>
      </c>
      <c r="Q179" s="3" t="n">
        <v>12058.97</v>
      </c>
      <c r="R179" s="3" t="n">
        <v>0.3257</v>
      </c>
      <c r="S179" s="3" t="n">
        <v>0.1454</v>
      </c>
      <c r="T179" s="3" t="n">
        <v>-0.0056</v>
      </c>
    </row>
    <row r="180" customFormat="false" ht="15" hidden="false" customHeight="true" outlineLevel="0" collapsed="false">
      <c r="A180" s="3" t="s">
        <v>427</v>
      </c>
      <c r="B180" s="3" t="s">
        <v>428</v>
      </c>
      <c r="C180" s="3" t="s">
        <v>68</v>
      </c>
      <c r="D180" s="3" t="s">
        <v>47</v>
      </c>
      <c r="E180" s="3" t="s">
        <v>48</v>
      </c>
      <c r="F180" s="3" t="s">
        <v>25</v>
      </c>
      <c r="G180" s="3" t="s">
        <v>84</v>
      </c>
      <c r="H180" s="3" t="s">
        <v>77</v>
      </c>
      <c r="I180" s="3" t="s">
        <v>85</v>
      </c>
      <c r="J180" s="3" t="n">
        <v>25</v>
      </c>
      <c r="K180" s="3" t="n">
        <v>5494.26</v>
      </c>
      <c r="L180" s="3" t="n">
        <v>137356.5</v>
      </c>
      <c r="M180" s="3" t="n">
        <v>0.1019</v>
      </c>
      <c r="N180" s="3" t="n">
        <v>13996.63</v>
      </c>
      <c r="O180" s="3" t="n">
        <v>123359.87</v>
      </c>
      <c r="P180" s="3" t="n">
        <v>93402.42</v>
      </c>
      <c r="Q180" s="3" t="n">
        <v>29957.45</v>
      </c>
      <c r="R180" s="3" t="n">
        <v>0.2428</v>
      </c>
      <c r="S180" s="3" t="n">
        <v>0.0927</v>
      </c>
      <c r="T180" s="3" t="n">
        <v>0.0092</v>
      </c>
    </row>
    <row r="181" customFormat="false" ht="15" hidden="false" customHeight="true" outlineLevel="0" collapsed="false">
      <c r="A181" s="3" t="s">
        <v>429</v>
      </c>
      <c r="B181" s="3" t="s">
        <v>430</v>
      </c>
      <c r="C181" s="3" t="s">
        <v>113</v>
      </c>
      <c r="D181" s="3" t="s">
        <v>107</v>
      </c>
      <c r="E181" s="3" t="s">
        <v>33</v>
      </c>
      <c r="F181" s="3" t="s">
        <v>70</v>
      </c>
      <c r="G181" s="3" t="s">
        <v>26</v>
      </c>
      <c r="H181" s="3" t="s">
        <v>42</v>
      </c>
      <c r="I181" s="3" t="s">
        <v>43</v>
      </c>
      <c r="J181" s="3" t="n">
        <v>28</v>
      </c>
      <c r="K181" s="3" t="n">
        <v>1985.75</v>
      </c>
      <c r="L181" s="3" t="n">
        <v>55601</v>
      </c>
      <c r="M181" s="3" t="n">
        <v>0.0601</v>
      </c>
      <c r="N181" s="3" t="n">
        <v>3341.62</v>
      </c>
      <c r="O181" s="3" t="n">
        <v>52259.38</v>
      </c>
      <c r="P181" s="3" t="n">
        <v>30580.55</v>
      </c>
      <c r="Q181" s="3" t="n">
        <v>21678.83</v>
      </c>
      <c r="R181" s="3" t="n">
        <v>0.4148</v>
      </c>
      <c r="S181" s="3" t="n">
        <v>0.0579</v>
      </c>
      <c r="T181" s="3" t="n">
        <v>0.0022</v>
      </c>
    </row>
    <row r="182" customFormat="false" ht="15" hidden="false" customHeight="true" outlineLevel="0" collapsed="false">
      <c r="A182" s="3" t="s">
        <v>431</v>
      </c>
      <c r="B182" s="3" t="s">
        <v>432</v>
      </c>
      <c r="C182" s="3" t="s">
        <v>31</v>
      </c>
      <c r="D182" s="3" t="s">
        <v>103</v>
      </c>
      <c r="E182" s="3" t="s">
        <v>24</v>
      </c>
      <c r="F182" s="3" t="s">
        <v>62</v>
      </c>
      <c r="G182" s="3" t="s">
        <v>49</v>
      </c>
      <c r="H182" s="3" t="s">
        <v>27</v>
      </c>
      <c r="I182" s="3" t="s">
        <v>28</v>
      </c>
      <c r="J182" s="3" t="n">
        <v>20</v>
      </c>
      <c r="K182" s="3" t="n">
        <v>29149.42</v>
      </c>
      <c r="L182" s="3" t="n">
        <v>582988.4</v>
      </c>
      <c r="M182" s="3" t="n">
        <v>0.0523</v>
      </c>
      <c r="N182" s="3" t="n">
        <v>30490.29</v>
      </c>
      <c r="O182" s="3" t="n">
        <v>552498.11</v>
      </c>
      <c r="P182" s="3" t="n">
        <v>361452.81</v>
      </c>
      <c r="Q182" s="3" t="n">
        <v>191045.3</v>
      </c>
      <c r="R182" s="3" t="n">
        <v>0.3458</v>
      </c>
      <c r="S182" s="3" t="n">
        <v>0.0445</v>
      </c>
      <c r="T182" s="3" t="n">
        <v>0.0078</v>
      </c>
    </row>
    <row r="183" customFormat="false" ht="15" hidden="false" customHeight="true" outlineLevel="0" collapsed="false">
      <c r="A183" s="3" t="s">
        <v>433</v>
      </c>
      <c r="B183" s="3" t="s">
        <v>136</v>
      </c>
      <c r="C183" s="3" t="s">
        <v>22</v>
      </c>
      <c r="D183" s="3" t="s">
        <v>83</v>
      </c>
      <c r="E183" s="3" t="s">
        <v>48</v>
      </c>
      <c r="F183" s="3" t="s">
        <v>62</v>
      </c>
      <c r="G183" s="3" t="s">
        <v>104</v>
      </c>
      <c r="H183" s="3" t="s">
        <v>42</v>
      </c>
      <c r="I183" s="3" t="s">
        <v>134</v>
      </c>
      <c r="J183" s="3" t="n">
        <v>23</v>
      </c>
      <c r="K183" s="3" t="n">
        <v>3043.85</v>
      </c>
      <c r="L183" s="3" t="n">
        <v>70008.55</v>
      </c>
      <c r="M183" s="3" t="n">
        <v>0.0981</v>
      </c>
      <c r="N183" s="3" t="n">
        <v>6867.84</v>
      </c>
      <c r="O183" s="3" t="n">
        <v>63140.71</v>
      </c>
      <c r="P183" s="3" t="n">
        <v>38504.7</v>
      </c>
      <c r="Q183" s="3" t="n">
        <v>24636.01</v>
      </c>
      <c r="R183" s="3" t="n">
        <v>0.3902</v>
      </c>
      <c r="S183" s="3" t="n">
        <v>0.0807</v>
      </c>
      <c r="T183" s="3" t="n">
        <v>0.0174</v>
      </c>
    </row>
    <row r="184" customFormat="false" ht="15" hidden="false" customHeight="true" outlineLevel="0" collapsed="false">
      <c r="A184" s="3" t="s">
        <v>434</v>
      </c>
      <c r="B184" s="3" t="s">
        <v>435</v>
      </c>
      <c r="C184" s="3" t="s">
        <v>31</v>
      </c>
      <c r="D184" s="3" t="s">
        <v>23</v>
      </c>
      <c r="E184" s="3" t="s">
        <v>24</v>
      </c>
      <c r="F184" s="3" t="s">
        <v>25</v>
      </c>
      <c r="G184" s="3" t="s">
        <v>100</v>
      </c>
      <c r="H184" s="3" t="s">
        <v>77</v>
      </c>
      <c r="I184" s="3" t="s">
        <v>78</v>
      </c>
      <c r="J184" s="3" t="n">
        <v>44</v>
      </c>
      <c r="K184" s="3" t="n">
        <v>5045.26</v>
      </c>
      <c r="L184" s="3" t="n">
        <v>221991.44</v>
      </c>
      <c r="M184" s="3" t="n">
        <v>0.0805</v>
      </c>
      <c r="N184" s="3" t="n">
        <v>17870.31</v>
      </c>
      <c r="O184" s="3" t="n">
        <v>204121.13</v>
      </c>
      <c r="P184" s="3" t="n">
        <v>150954.18</v>
      </c>
      <c r="Q184" s="3" t="n">
        <v>53166.95</v>
      </c>
      <c r="R184" s="3" t="n">
        <v>0.2605</v>
      </c>
      <c r="S184" s="3" t="n">
        <v>0.0652</v>
      </c>
      <c r="T184" s="3" t="n">
        <v>0.0153</v>
      </c>
    </row>
    <row r="185" customFormat="false" ht="15" hidden="false" customHeight="true" outlineLevel="0" collapsed="false">
      <c r="A185" s="3" t="s">
        <v>436</v>
      </c>
      <c r="B185" s="3" t="s">
        <v>437</v>
      </c>
      <c r="C185" s="3" t="s">
        <v>60</v>
      </c>
      <c r="D185" s="3" t="s">
        <v>61</v>
      </c>
      <c r="E185" s="3" t="s">
        <v>33</v>
      </c>
      <c r="F185" s="3" t="s">
        <v>62</v>
      </c>
      <c r="G185" s="3" t="s">
        <v>49</v>
      </c>
      <c r="H185" s="3" t="s">
        <v>64</v>
      </c>
      <c r="I185" s="3" t="s">
        <v>145</v>
      </c>
      <c r="J185" s="3" t="n">
        <v>37</v>
      </c>
      <c r="K185" s="3" t="n">
        <v>6445.69</v>
      </c>
      <c r="L185" s="3" t="n">
        <v>238490.53</v>
      </c>
      <c r="M185" s="3" t="n">
        <v>0.0316</v>
      </c>
      <c r="N185" s="3" t="n">
        <v>7536.3</v>
      </c>
      <c r="O185" s="3" t="n">
        <v>230954.23</v>
      </c>
      <c r="P185" s="3" t="n">
        <v>138324.51</v>
      </c>
      <c r="Q185" s="3" t="n">
        <v>92629.72</v>
      </c>
      <c r="R185" s="3" t="n">
        <v>0.4011</v>
      </c>
      <c r="S185" s="3" t="n">
        <v>0.0317</v>
      </c>
      <c r="T185" s="3" t="n">
        <v>-0.0001</v>
      </c>
    </row>
    <row r="186" customFormat="false" ht="15" hidden="false" customHeight="true" outlineLevel="0" collapsed="false">
      <c r="A186" s="3" t="s">
        <v>438</v>
      </c>
      <c r="B186" s="3" t="s">
        <v>125</v>
      </c>
      <c r="C186" s="3" t="s">
        <v>126</v>
      </c>
      <c r="D186" s="3" t="s">
        <v>103</v>
      </c>
      <c r="E186" s="3" t="s">
        <v>24</v>
      </c>
      <c r="F186" s="3" t="s">
        <v>62</v>
      </c>
      <c r="G186" s="3" t="s">
        <v>116</v>
      </c>
      <c r="H186" s="3" t="s">
        <v>42</v>
      </c>
      <c r="I186" s="3" t="s">
        <v>134</v>
      </c>
      <c r="J186" s="3" t="n">
        <v>34</v>
      </c>
      <c r="K186" s="3" t="n">
        <v>2508.73</v>
      </c>
      <c r="L186" s="3" t="n">
        <v>85296.82</v>
      </c>
      <c r="M186" s="3" t="n">
        <v>0.0809</v>
      </c>
      <c r="N186" s="3" t="n">
        <v>6900.51</v>
      </c>
      <c r="O186" s="3" t="n">
        <v>78396.31</v>
      </c>
      <c r="P186" s="3" t="n">
        <v>46913.25</v>
      </c>
      <c r="Q186" s="3" t="n">
        <v>31483.06</v>
      </c>
      <c r="R186" s="3" t="n">
        <v>0.4016</v>
      </c>
      <c r="S186" s="3" t="n">
        <v>0.0708</v>
      </c>
      <c r="T186" s="3" t="n">
        <v>0.0101</v>
      </c>
    </row>
    <row r="187" customFormat="false" ht="15" hidden="false" customHeight="true" outlineLevel="0" collapsed="false">
      <c r="A187" s="3" t="s">
        <v>439</v>
      </c>
      <c r="B187" s="3" t="s">
        <v>440</v>
      </c>
      <c r="C187" s="3" t="s">
        <v>53</v>
      </c>
      <c r="D187" s="3" t="s">
        <v>61</v>
      </c>
      <c r="E187" s="3" t="s">
        <v>33</v>
      </c>
      <c r="F187" s="3" t="s">
        <v>62</v>
      </c>
      <c r="G187" s="3" t="s">
        <v>84</v>
      </c>
      <c r="H187" s="3" t="s">
        <v>27</v>
      </c>
      <c r="I187" s="3" t="s">
        <v>117</v>
      </c>
      <c r="J187" s="3" t="n">
        <v>36</v>
      </c>
      <c r="K187" s="3" t="n">
        <v>24567.85</v>
      </c>
      <c r="L187" s="3" t="n">
        <v>884442.6</v>
      </c>
      <c r="M187" s="3" t="n">
        <v>0.0359</v>
      </c>
      <c r="N187" s="3" t="n">
        <v>31751.49</v>
      </c>
      <c r="O187" s="3" t="n">
        <v>852691.11</v>
      </c>
      <c r="P187" s="3" t="n">
        <v>548354.41</v>
      </c>
      <c r="Q187" s="3" t="n">
        <v>304336.7</v>
      </c>
      <c r="R187" s="3" t="n">
        <v>0.3569</v>
      </c>
      <c r="S187" s="3" t="n">
        <v>0.0363</v>
      </c>
      <c r="T187" s="3" t="n">
        <v>-0.0004</v>
      </c>
    </row>
    <row r="188" customFormat="false" ht="15" hidden="false" customHeight="true" outlineLevel="0" collapsed="false">
      <c r="A188" s="3" t="s">
        <v>441</v>
      </c>
      <c r="B188" s="3" t="s">
        <v>319</v>
      </c>
      <c r="C188" s="3" t="s">
        <v>60</v>
      </c>
      <c r="D188" s="3" t="s">
        <v>69</v>
      </c>
      <c r="E188" s="3" t="s">
        <v>39</v>
      </c>
      <c r="F188" s="3" t="s">
        <v>70</v>
      </c>
      <c r="G188" s="3" t="s">
        <v>26</v>
      </c>
      <c r="H188" s="3" t="s">
        <v>56</v>
      </c>
      <c r="I188" s="3" t="s">
        <v>57</v>
      </c>
      <c r="J188" s="3" t="n">
        <v>32</v>
      </c>
      <c r="K188" s="3" t="n">
        <v>16663.66</v>
      </c>
      <c r="L188" s="3" t="n">
        <v>533237.12</v>
      </c>
      <c r="M188" s="3" t="n">
        <v>0.04</v>
      </c>
      <c r="N188" s="3" t="n">
        <v>21329.48</v>
      </c>
      <c r="O188" s="3" t="n">
        <v>511907.64</v>
      </c>
      <c r="P188" s="3" t="n">
        <v>319942.27</v>
      </c>
      <c r="Q188" s="3" t="n">
        <v>191965.37</v>
      </c>
      <c r="R188" s="3" t="n">
        <v>0.375</v>
      </c>
      <c r="S188" s="3" t="n">
        <v>0.0422</v>
      </c>
      <c r="T188" s="3" t="n">
        <v>-0.0022</v>
      </c>
    </row>
    <row r="189" customFormat="false" ht="15" hidden="false" customHeight="true" outlineLevel="0" collapsed="false">
      <c r="A189" s="3" t="s">
        <v>442</v>
      </c>
      <c r="B189" s="3" t="s">
        <v>443</v>
      </c>
      <c r="C189" s="3" t="s">
        <v>126</v>
      </c>
      <c r="D189" s="3" t="s">
        <v>83</v>
      </c>
      <c r="E189" s="3" t="s">
        <v>48</v>
      </c>
      <c r="F189" s="3" t="s">
        <v>62</v>
      </c>
      <c r="G189" s="3" t="s">
        <v>116</v>
      </c>
      <c r="H189" s="3" t="s">
        <v>64</v>
      </c>
      <c r="I189" s="3" t="s">
        <v>90</v>
      </c>
      <c r="J189" s="3" t="n">
        <v>21</v>
      </c>
      <c r="K189" s="3" t="n">
        <v>10294.62</v>
      </c>
      <c r="L189" s="3" t="n">
        <v>216187.02</v>
      </c>
      <c r="M189" s="3" t="n">
        <v>0.1118</v>
      </c>
      <c r="N189" s="3" t="n">
        <v>24169.71</v>
      </c>
      <c r="O189" s="3" t="n">
        <v>192017.31</v>
      </c>
      <c r="P189" s="3" t="n">
        <v>125388.47</v>
      </c>
      <c r="Q189" s="3" t="n">
        <v>66628.84</v>
      </c>
      <c r="R189" s="3" t="n">
        <v>0.347</v>
      </c>
      <c r="S189" s="3" t="n">
        <v>0.1193</v>
      </c>
      <c r="T189" s="3" t="n">
        <v>-0.0075</v>
      </c>
    </row>
    <row r="190" customFormat="false" ht="15" hidden="false" customHeight="true" outlineLevel="0" collapsed="false">
      <c r="A190" s="3" t="s">
        <v>444</v>
      </c>
      <c r="B190" s="3" t="s">
        <v>445</v>
      </c>
      <c r="C190" s="3" t="s">
        <v>68</v>
      </c>
      <c r="D190" s="3" t="s">
        <v>75</v>
      </c>
      <c r="E190" s="3" t="s">
        <v>39</v>
      </c>
      <c r="F190" s="3" t="s">
        <v>25</v>
      </c>
      <c r="G190" s="3" t="s">
        <v>100</v>
      </c>
      <c r="H190" s="3" t="s">
        <v>64</v>
      </c>
      <c r="I190" s="3" t="s">
        <v>145</v>
      </c>
      <c r="J190" s="3" t="n">
        <v>13</v>
      </c>
      <c r="K190" s="3" t="n">
        <v>5018.17</v>
      </c>
      <c r="L190" s="3" t="n">
        <v>65236.21</v>
      </c>
      <c r="M190" s="3" t="n">
        <v>0.1285</v>
      </c>
      <c r="N190" s="3" t="n">
        <v>8382.85</v>
      </c>
      <c r="O190" s="3" t="n">
        <v>56853.36</v>
      </c>
      <c r="P190" s="3" t="n">
        <v>37837</v>
      </c>
      <c r="Q190" s="3" t="n">
        <v>19016.36</v>
      </c>
      <c r="R190" s="3" t="n">
        <v>0.3345</v>
      </c>
      <c r="S190" s="3" t="n">
        <v>0.1038</v>
      </c>
      <c r="T190" s="3" t="n">
        <v>0.0247</v>
      </c>
    </row>
    <row r="191" customFormat="false" ht="15" hidden="false" customHeight="true" outlineLevel="0" collapsed="false">
      <c r="A191" s="3" t="s">
        <v>446</v>
      </c>
      <c r="B191" s="3" t="s">
        <v>447</v>
      </c>
      <c r="C191" s="3" t="s">
        <v>22</v>
      </c>
      <c r="D191" s="3" t="s">
        <v>107</v>
      </c>
      <c r="E191" s="3" t="s">
        <v>33</v>
      </c>
      <c r="F191" s="3" t="s">
        <v>70</v>
      </c>
      <c r="G191" s="3" t="s">
        <v>84</v>
      </c>
      <c r="H191" s="3" t="s">
        <v>56</v>
      </c>
      <c r="I191" s="3" t="s">
        <v>57</v>
      </c>
      <c r="J191" s="3" t="n">
        <v>36</v>
      </c>
      <c r="K191" s="3" t="n">
        <v>14858.59</v>
      </c>
      <c r="L191" s="3" t="n">
        <v>534909.24</v>
      </c>
      <c r="M191" s="3" t="n">
        <v>0.0365</v>
      </c>
      <c r="N191" s="3" t="n">
        <v>19524.19</v>
      </c>
      <c r="O191" s="3" t="n">
        <v>515385.05</v>
      </c>
      <c r="P191" s="3" t="n">
        <v>320945.54</v>
      </c>
      <c r="Q191" s="3" t="n">
        <v>194439.51</v>
      </c>
      <c r="R191" s="3" t="n">
        <v>0.3773</v>
      </c>
      <c r="S191" s="3" t="n">
        <v>0.0299</v>
      </c>
      <c r="T191" s="3" t="n">
        <v>0.0066</v>
      </c>
    </row>
    <row r="192" customFormat="false" ht="15" hidden="false" customHeight="true" outlineLevel="0" collapsed="false">
      <c r="A192" s="3" t="s">
        <v>448</v>
      </c>
      <c r="B192" s="3" t="s">
        <v>449</v>
      </c>
      <c r="C192" s="3" t="s">
        <v>22</v>
      </c>
      <c r="D192" s="3" t="s">
        <v>47</v>
      </c>
      <c r="E192" s="3" t="s">
        <v>48</v>
      </c>
      <c r="F192" s="3" t="s">
        <v>25</v>
      </c>
      <c r="G192" s="3" t="s">
        <v>63</v>
      </c>
      <c r="H192" s="3" t="s">
        <v>77</v>
      </c>
      <c r="I192" s="3" t="s">
        <v>85</v>
      </c>
      <c r="J192" s="3" t="n">
        <v>37</v>
      </c>
      <c r="K192" s="3" t="n">
        <v>4891.99</v>
      </c>
      <c r="L192" s="3" t="n">
        <v>181003.63</v>
      </c>
      <c r="M192" s="3" t="n">
        <v>0.1515</v>
      </c>
      <c r="N192" s="3" t="n">
        <v>27422.05</v>
      </c>
      <c r="O192" s="3" t="n">
        <v>153581.58</v>
      </c>
      <c r="P192" s="3" t="n">
        <v>123082.47</v>
      </c>
      <c r="Q192" s="3" t="n">
        <v>30499.11</v>
      </c>
      <c r="R192" s="3" t="n">
        <v>0.1986</v>
      </c>
      <c r="S192" s="3" t="n">
        <v>0.1416</v>
      </c>
      <c r="T192" s="3" t="n">
        <v>0.0099</v>
      </c>
    </row>
    <row r="193" customFormat="false" ht="15" hidden="false" customHeight="true" outlineLevel="0" collapsed="false">
      <c r="A193" s="3" t="s">
        <v>450</v>
      </c>
      <c r="B193" s="3" t="s">
        <v>390</v>
      </c>
      <c r="C193" s="3" t="s">
        <v>120</v>
      </c>
      <c r="D193" s="3" t="s">
        <v>23</v>
      </c>
      <c r="E193" s="3" t="s">
        <v>24</v>
      </c>
      <c r="F193" s="3" t="s">
        <v>25</v>
      </c>
      <c r="G193" s="3" t="s">
        <v>41</v>
      </c>
      <c r="H193" s="3" t="s">
        <v>56</v>
      </c>
      <c r="I193" s="3" t="s">
        <v>57</v>
      </c>
      <c r="J193" s="3" t="n">
        <v>50</v>
      </c>
      <c r="K193" s="3" t="n">
        <v>16047.36</v>
      </c>
      <c r="L193" s="3" t="n">
        <v>802368</v>
      </c>
      <c r="M193" s="3" t="n">
        <v>0.1953</v>
      </c>
      <c r="N193" s="3" t="n">
        <v>156702.47</v>
      </c>
      <c r="O193" s="3" t="n">
        <v>645665.53</v>
      </c>
      <c r="P193" s="3" t="n">
        <v>481420.8</v>
      </c>
      <c r="Q193" s="3" t="n">
        <v>164244.73</v>
      </c>
      <c r="R193" s="3" t="n">
        <v>0.2544</v>
      </c>
      <c r="S193" s="3" t="n">
        <v>0.1816</v>
      </c>
      <c r="T193" s="3" t="n">
        <v>0.0137</v>
      </c>
    </row>
    <row r="194" customFormat="false" ht="15" hidden="false" customHeight="true" outlineLevel="0" collapsed="false">
      <c r="A194" s="3" t="s">
        <v>451</v>
      </c>
      <c r="B194" s="3" t="s">
        <v>452</v>
      </c>
      <c r="C194" s="3" t="s">
        <v>68</v>
      </c>
      <c r="D194" s="3" t="s">
        <v>32</v>
      </c>
      <c r="E194" s="3" t="s">
        <v>33</v>
      </c>
      <c r="F194" s="3" t="s">
        <v>25</v>
      </c>
      <c r="G194" s="3" t="s">
        <v>41</v>
      </c>
      <c r="H194" s="3" t="s">
        <v>27</v>
      </c>
      <c r="I194" s="3" t="s">
        <v>94</v>
      </c>
      <c r="J194" s="3" t="n">
        <v>11</v>
      </c>
      <c r="K194" s="3" t="n">
        <v>17731.99</v>
      </c>
      <c r="L194" s="3" t="n">
        <v>195051.89</v>
      </c>
      <c r="M194" s="3" t="n">
        <v>0.1767</v>
      </c>
      <c r="N194" s="3" t="n">
        <v>34465.67</v>
      </c>
      <c r="O194" s="3" t="n">
        <v>160586.22</v>
      </c>
      <c r="P194" s="3" t="n">
        <v>120932.17</v>
      </c>
      <c r="Q194" s="3" t="n">
        <v>39654.05</v>
      </c>
      <c r="R194" s="3" t="n">
        <v>0.2469</v>
      </c>
      <c r="S194" s="3" t="n">
        <v>0.1888</v>
      </c>
      <c r="T194" s="3" t="n">
        <v>-0.0121</v>
      </c>
    </row>
    <row r="195" customFormat="false" ht="15" hidden="false" customHeight="true" outlineLevel="0" collapsed="false">
      <c r="A195" s="3" t="s">
        <v>453</v>
      </c>
      <c r="B195" s="3" t="s">
        <v>454</v>
      </c>
      <c r="C195" s="3" t="s">
        <v>126</v>
      </c>
      <c r="D195" s="3" t="s">
        <v>61</v>
      </c>
      <c r="E195" s="3" t="s">
        <v>33</v>
      </c>
      <c r="F195" s="3" t="s">
        <v>62</v>
      </c>
      <c r="G195" s="3" t="s">
        <v>71</v>
      </c>
      <c r="H195" s="3" t="s">
        <v>42</v>
      </c>
      <c r="I195" s="3" t="s">
        <v>43</v>
      </c>
      <c r="J195" s="3" t="n">
        <v>18</v>
      </c>
      <c r="K195" s="3" t="n">
        <v>3847.23</v>
      </c>
      <c r="L195" s="3" t="n">
        <v>69250.14</v>
      </c>
      <c r="M195" s="3" t="n">
        <v>0.0363</v>
      </c>
      <c r="N195" s="3" t="n">
        <v>2513.78</v>
      </c>
      <c r="O195" s="3" t="n">
        <v>66736.36</v>
      </c>
      <c r="P195" s="3" t="n">
        <v>38087.58</v>
      </c>
      <c r="Q195" s="3" t="n">
        <v>28648.78</v>
      </c>
      <c r="R195" s="3" t="n">
        <v>0.4293</v>
      </c>
      <c r="S195" s="3" t="n">
        <v>0.0357</v>
      </c>
      <c r="T195" s="3" t="n">
        <v>0.0006</v>
      </c>
    </row>
    <row r="196" customFormat="false" ht="15" hidden="false" customHeight="true" outlineLevel="0" collapsed="false">
      <c r="A196" s="3" t="s">
        <v>455</v>
      </c>
      <c r="B196" s="3" t="s">
        <v>456</v>
      </c>
      <c r="C196" s="3" t="s">
        <v>37</v>
      </c>
      <c r="D196" s="3" t="s">
        <v>61</v>
      </c>
      <c r="E196" s="3" t="s">
        <v>33</v>
      </c>
      <c r="F196" s="3" t="s">
        <v>62</v>
      </c>
      <c r="G196" s="3" t="s">
        <v>41</v>
      </c>
      <c r="H196" s="3" t="s">
        <v>56</v>
      </c>
      <c r="I196" s="3" t="s">
        <v>121</v>
      </c>
      <c r="J196" s="3" t="n">
        <v>38</v>
      </c>
      <c r="K196" s="3" t="n">
        <v>11468.94</v>
      </c>
      <c r="L196" s="3" t="n">
        <v>435819.72</v>
      </c>
      <c r="M196" s="3" t="n">
        <v>0.0841</v>
      </c>
      <c r="N196" s="3" t="n">
        <v>36652.44</v>
      </c>
      <c r="O196" s="3" t="n">
        <v>399167.28</v>
      </c>
      <c r="P196" s="3" t="n">
        <v>261491.83</v>
      </c>
      <c r="Q196" s="3" t="n">
        <v>137675.45</v>
      </c>
      <c r="R196" s="3" t="n">
        <v>0.3449</v>
      </c>
      <c r="S196" s="3" t="n">
        <v>0.0885</v>
      </c>
      <c r="T196" s="3" t="n">
        <v>-0.0044</v>
      </c>
    </row>
    <row r="197" customFormat="false" ht="15" hidden="false" customHeight="true" outlineLevel="0" collapsed="false">
      <c r="A197" s="3" t="s">
        <v>457</v>
      </c>
      <c r="B197" s="3" t="s">
        <v>151</v>
      </c>
      <c r="C197" s="3" t="s">
        <v>113</v>
      </c>
      <c r="D197" s="3" t="s">
        <v>38</v>
      </c>
      <c r="E197" s="3" t="s">
        <v>39</v>
      </c>
      <c r="F197" s="3" t="s">
        <v>40</v>
      </c>
      <c r="G197" s="3" t="s">
        <v>116</v>
      </c>
      <c r="H197" s="3" t="s">
        <v>27</v>
      </c>
      <c r="I197" s="3" t="s">
        <v>28</v>
      </c>
      <c r="J197" s="3" t="n">
        <v>42</v>
      </c>
      <c r="K197" s="3" t="n">
        <v>9454.78</v>
      </c>
      <c r="L197" s="3" t="n">
        <v>397100.76</v>
      </c>
      <c r="M197" s="3" t="n">
        <v>0.0991</v>
      </c>
      <c r="N197" s="3" t="n">
        <v>39352.69</v>
      </c>
      <c r="O197" s="3" t="n">
        <v>357748.07</v>
      </c>
      <c r="P197" s="3" t="n">
        <v>246202.47</v>
      </c>
      <c r="Q197" s="3" t="n">
        <v>111545.6</v>
      </c>
      <c r="R197" s="3" t="n">
        <v>0.3118</v>
      </c>
      <c r="S197" s="3" t="n">
        <v>0.1021</v>
      </c>
      <c r="T197" s="3" t="n">
        <v>-0.003</v>
      </c>
    </row>
    <row r="198" customFormat="false" ht="15" hidden="false" customHeight="true" outlineLevel="0" collapsed="false">
      <c r="A198" s="3" t="s">
        <v>458</v>
      </c>
      <c r="B198" s="3" t="s">
        <v>459</v>
      </c>
      <c r="C198" s="3" t="s">
        <v>53</v>
      </c>
      <c r="D198" s="3" t="s">
        <v>47</v>
      </c>
      <c r="E198" s="3" t="s">
        <v>48</v>
      </c>
      <c r="F198" s="3" t="s">
        <v>25</v>
      </c>
      <c r="G198" s="3" t="s">
        <v>104</v>
      </c>
      <c r="H198" s="3" t="s">
        <v>56</v>
      </c>
      <c r="I198" s="3" t="s">
        <v>121</v>
      </c>
      <c r="J198" s="3" t="n">
        <v>41</v>
      </c>
      <c r="K198" s="3" t="n">
        <v>9968.61</v>
      </c>
      <c r="L198" s="3" t="n">
        <v>408713.01</v>
      </c>
      <c r="M198" s="3" t="n">
        <v>0.1807</v>
      </c>
      <c r="N198" s="3" t="n">
        <v>73854.44</v>
      </c>
      <c r="O198" s="3" t="n">
        <v>334858.57</v>
      </c>
      <c r="P198" s="3" t="n">
        <v>245227.81</v>
      </c>
      <c r="Q198" s="3" t="n">
        <v>89630.76</v>
      </c>
      <c r="R198" s="3" t="n">
        <v>0.2677</v>
      </c>
      <c r="S198" s="3" t="n">
        <v>0.1882</v>
      </c>
      <c r="T198" s="3" t="n">
        <v>-0.0075</v>
      </c>
    </row>
    <row r="199" customFormat="false" ht="15" hidden="false" customHeight="true" outlineLevel="0" collapsed="false">
      <c r="A199" s="3" t="s">
        <v>460</v>
      </c>
      <c r="B199" s="3" t="s">
        <v>461</v>
      </c>
      <c r="C199" s="3" t="s">
        <v>93</v>
      </c>
      <c r="D199" s="3" t="s">
        <v>23</v>
      </c>
      <c r="E199" s="3" t="s">
        <v>24</v>
      </c>
      <c r="F199" s="3" t="s">
        <v>25</v>
      </c>
      <c r="G199" s="3" t="s">
        <v>84</v>
      </c>
      <c r="H199" s="3" t="s">
        <v>77</v>
      </c>
      <c r="I199" s="3" t="s">
        <v>78</v>
      </c>
      <c r="J199" s="3" t="n">
        <v>4</v>
      </c>
      <c r="K199" s="3" t="n">
        <v>1550.27</v>
      </c>
      <c r="L199" s="3" t="n">
        <v>6201.08</v>
      </c>
      <c r="M199" s="3" t="n">
        <v>0.1112</v>
      </c>
      <c r="N199" s="3" t="n">
        <v>689.56</v>
      </c>
      <c r="O199" s="3" t="n">
        <v>5511.52</v>
      </c>
      <c r="P199" s="3" t="n">
        <v>4216.73</v>
      </c>
      <c r="Q199" s="3" t="n">
        <v>1294.79</v>
      </c>
      <c r="R199" s="3" t="n">
        <v>0.2349</v>
      </c>
      <c r="S199" s="3" t="n">
        <v>0.0957</v>
      </c>
      <c r="T199" s="3" t="n">
        <v>0.0155</v>
      </c>
    </row>
    <row r="200" customFormat="false" ht="15" hidden="false" customHeight="true" outlineLevel="0" collapsed="false">
      <c r="A200" s="3" t="s">
        <v>462</v>
      </c>
      <c r="B200" s="3" t="s">
        <v>463</v>
      </c>
      <c r="C200" s="3" t="s">
        <v>120</v>
      </c>
      <c r="D200" s="3" t="s">
        <v>38</v>
      </c>
      <c r="E200" s="3" t="s">
        <v>39</v>
      </c>
      <c r="F200" s="3" t="s">
        <v>40</v>
      </c>
      <c r="G200" s="3" t="s">
        <v>26</v>
      </c>
      <c r="H200" s="3" t="s">
        <v>64</v>
      </c>
      <c r="I200" s="3" t="s">
        <v>145</v>
      </c>
      <c r="J200" s="3" t="n">
        <v>23</v>
      </c>
      <c r="K200" s="3" t="n">
        <v>5873.85</v>
      </c>
      <c r="L200" s="3" t="n">
        <v>135098.55</v>
      </c>
      <c r="M200" s="3" t="n">
        <v>0.0788</v>
      </c>
      <c r="N200" s="3" t="n">
        <v>10645.77</v>
      </c>
      <c r="O200" s="3" t="n">
        <v>124452.78</v>
      </c>
      <c r="P200" s="3" t="n">
        <v>78357.16</v>
      </c>
      <c r="Q200" s="3" t="n">
        <v>46095.62</v>
      </c>
      <c r="R200" s="3" t="n">
        <v>0.3704</v>
      </c>
      <c r="S200" s="3" t="n">
        <v>0.081</v>
      </c>
      <c r="T200" s="3" t="n">
        <v>-0.0022</v>
      </c>
    </row>
    <row r="201" customFormat="false" ht="15" hidden="false" customHeight="true" outlineLevel="0" collapsed="false">
      <c r="A201" s="3" t="s">
        <v>464</v>
      </c>
      <c r="B201" s="3" t="s">
        <v>465</v>
      </c>
      <c r="C201" s="3" t="s">
        <v>53</v>
      </c>
      <c r="D201" s="3" t="s">
        <v>107</v>
      </c>
      <c r="E201" s="3" t="s">
        <v>33</v>
      </c>
      <c r="F201" s="3" t="s">
        <v>70</v>
      </c>
      <c r="G201" s="3" t="s">
        <v>49</v>
      </c>
      <c r="H201" s="3" t="s">
        <v>56</v>
      </c>
      <c r="I201" s="3" t="s">
        <v>188</v>
      </c>
      <c r="J201" s="3" t="n">
        <v>8</v>
      </c>
      <c r="K201" s="3" t="n">
        <v>5867.81</v>
      </c>
      <c r="L201" s="3" t="n">
        <v>46942.48</v>
      </c>
      <c r="M201" s="3" t="n">
        <v>0.0434</v>
      </c>
      <c r="N201" s="3" t="n">
        <v>2037.3</v>
      </c>
      <c r="O201" s="3" t="n">
        <v>44905.18</v>
      </c>
      <c r="P201" s="3" t="n">
        <v>28165.49</v>
      </c>
      <c r="Q201" s="3" t="n">
        <v>16739.69</v>
      </c>
      <c r="R201" s="3" t="n">
        <v>0.3728</v>
      </c>
      <c r="S201" s="3" t="n">
        <v>0.0365</v>
      </c>
      <c r="T201" s="3" t="n">
        <v>0.0069</v>
      </c>
    </row>
    <row r="202" customFormat="false" ht="15" hidden="false" customHeight="true" outlineLevel="0" collapsed="false">
      <c r="A202" s="3" t="s">
        <v>466</v>
      </c>
      <c r="B202" s="3" t="s">
        <v>467</v>
      </c>
      <c r="C202" s="3" t="s">
        <v>37</v>
      </c>
      <c r="D202" s="3" t="s">
        <v>32</v>
      </c>
      <c r="E202" s="3" t="s">
        <v>33</v>
      </c>
      <c r="F202" s="3" t="s">
        <v>25</v>
      </c>
      <c r="G202" s="3" t="s">
        <v>55</v>
      </c>
      <c r="H202" s="3" t="s">
        <v>42</v>
      </c>
      <c r="I202" s="3" t="s">
        <v>134</v>
      </c>
      <c r="J202" s="3" t="n">
        <v>11</v>
      </c>
      <c r="K202" s="3" t="n">
        <v>1963.47</v>
      </c>
      <c r="L202" s="3" t="n">
        <v>21598.17</v>
      </c>
      <c r="M202" s="3" t="n">
        <v>0.1854</v>
      </c>
      <c r="N202" s="3" t="n">
        <v>4004.3</v>
      </c>
      <c r="O202" s="3" t="n">
        <v>17593.87</v>
      </c>
      <c r="P202" s="3" t="n">
        <v>11878.99</v>
      </c>
      <c r="Q202" s="3" t="n">
        <v>5714.88</v>
      </c>
      <c r="R202" s="3" t="n">
        <v>0.3248</v>
      </c>
      <c r="S202" s="3" t="n">
        <v>0.1589</v>
      </c>
      <c r="T202" s="3" t="n">
        <v>0.0265</v>
      </c>
    </row>
    <row r="203" customFormat="false" ht="15" hidden="false" customHeight="true" outlineLevel="0" collapsed="false">
      <c r="A203" s="3" t="s">
        <v>468</v>
      </c>
      <c r="B203" s="3" t="s">
        <v>469</v>
      </c>
      <c r="C203" s="3" t="s">
        <v>46</v>
      </c>
      <c r="D203" s="3" t="s">
        <v>75</v>
      </c>
      <c r="E203" s="3" t="s">
        <v>39</v>
      </c>
      <c r="F203" s="3" t="s">
        <v>25</v>
      </c>
      <c r="G203" s="3" t="s">
        <v>84</v>
      </c>
      <c r="H203" s="3" t="s">
        <v>77</v>
      </c>
      <c r="I203" s="3" t="s">
        <v>85</v>
      </c>
      <c r="J203" s="3" t="n">
        <v>20</v>
      </c>
      <c r="K203" s="3" t="n">
        <v>3594.05</v>
      </c>
      <c r="L203" s="3" t="n">
        <v>71881</v>
      </c>
      <c r="M203" s="3" t="n">
        <v>0.1021</v>
      </c>
      <c r="N203" s="3" t="n">
        <v>7339.05</v>
      </c>
      <c r="O203" s="3" t="n">
        <v>64541.95</v>
      </c>
      <c r="P203" s="3" t="n">
        <v>48879.08</v>
      </c>
      <c r="Q203" s="3" t="n">
        <v>15662.87</v>
      </c>
      <c r="R203" s="3" t="n">
        <v>0.2427</v>
      </c>
      <c r="S203" s="3" t="n">
        <v>0.0971</v>
      </c>
      <c r="T203" s="3" t="n">
        <v>0.005</v>
      </c>
    </row>
    <row r="204" customFormat="false" ht="15" hidden="false" customHeight="true" outlineLevel="0" collapsed="false">
      <c r="A204" s="3" t="s">
        <v>470</v>
      </c>
      <c r="B204" s="3" t="s">
        <v>471</v>
      </c>
      <c r="C204" s="3" t="s">
        <v>93</v>
      </c>
      <c r="D204" s="3" t="s">
        <v>69</v>
      </c>
      <c r="E204" s="3" t="s">
        <v>39</v>
      </c>
      <c r="F204" s="3" t="s">
        <v>70</v>
      </c>
      <c r="G204" s="3" t="s">
        <v>104</v>
      </c>
      <c r="H204" s="3" t="s">
        <v>64</v>
      </c>
      <c r="I204" s="3" t="s">
        <v>145</v>
      </c>
      <c r="J204" s="3" t="n">
        <v>32</v>
      </c>
      <c r="K204" s="3" t="n">
        <v>3454.86</v>
      </c>
      <c r="L204" s="3" t="n">
        <v>110555.52</v>
      </c>
      <c r="M204" s="3" t="n">
        <v>0.1136</v>
      </c>
      <c r="N204" s="3" t="n">
        <v>12559.11</v>
      </c>
      <c r="O204" s="3" t="n">
        <v>97996.41</v>
      </c>
      <c r="P204" s="3" t="n">
        <v>64122.2</v>
      </c>
      <c r="Q204" s="3" t="n">
        <v>33874.21</v>
      </c>
      <c r="R204" s="3" t="n">
        <v>0.3457</v>
      </c>
      <c r="S204" s="3" t="n">
        <v>0.1006</v>
      </c>
      <c r="T204" s="3" t="n">
        <v>0.013</v>
      </c>
    </row>
    <row r="205" customFormat="false" ht="15" hidden="false" customHeight="true" outlineLevel="0" collapsed="false">
      <c r="A205" s="3" t="s">
        <v>472</v>
      </c>
      <c r="B205" s="3" t="s">
        <v>473</v>
      </c>
      <c r="C205" s="3" t="s">
        <v>22</v>
      </c>
      <c r="D205" s="3" t="s">
        <v>32</v>
      </c>
      <c r="E205" s="3" t="s">
        <v>33</v>
      </c>
      <c r="F205" s="3" t="s">
        <v>25</v>
      </c>
      <c r="G205" s="3" t="s">
        <v>41</v>
      </c>
      <c r="H205" s="3" t="s">
        <v>27</v>
      </c>
      <c r="I205" s="3" t="s">
        <v>173</v>
      </c>
      <c r="J205" s="3" t="n">
        <v>47</v>
      </c>
      <c r="K205" s="3" t="n">
        <v>36238.58</v>
      </c>
      <c r="L205" s="3" t="n">
        <v>1703213.26</v>
      </c>
      <c r="M205" s="3" t="n">
        <v>0.1424</v>
      </c>
      <c r="N205" s="3" t="n">
        <v>242537.57</v>
      </c>
      <c r="O205" s="3" t="n">
        <v>1460675.69</v>
      </c>
      <c r="P205" s="3" t="n">
        <v>1055992.22</v>
      </c>
      <c r="Q205" s="3" t="n">
        <v>404683.47</v>
      </c>
      <c r="R205" s="3" t="n">
        <v>0.2771</v>
      </c>
      <c r="S205" s="3" t="n">
        <v>0.1382</v>
      </c>
      <c r="T205" s="3" t="n">
        <v>0.0042</v>
      </c>
    </row>
    <row r="206" customFormat="false" ht="15" hidden="false" customHeight="true" outlineLevel="0" collapsed="false">
      <c r="A206" s="3" t="s">
        <v>474</v>
      </c>
      <c r="B206" s="3" t="s">
        <v>475</v>
      </c>
      <c r="C206" s="3" t="s">
        <v>126</v>
      </c>
      <c r="D206" s="3" t="s">
        <v>69</v>
      </c>
      <c r="E206" s="3" t="s">
        <v>39</v>
      </c>
      <c r="F206" s="3" t="s">
        <v>70</v>
      </c>
      <c r="G206" s="3" t="s">
        <v>76</v>
      </c>
      <c r="H206" s="3" t="s">
        <v>42</v>
      </c>
      <c r="I206" s="3" t="s">
        <v>72</v>
      </c>
      <c r="J206" s="3" t="n">
        <v>33</v>
      </c>
      <c r="K206" s="3" t="n">
        <v>757.36</v>
      </c>
      <c r="L206" s="3" t="n">
        <v>24992.88</v>
      </c>
      <c r="M206" s="3" t="n">
        <v>0.0525</v>
      </c>
      <c r="N206" s="3" t="n">
        <v>1312.13</v>
      </c>
      <c r="O206" s="3" t="n">
        <v>23680.75</v>
      </c>
      <c r="P206" s="3" t="n">
        <v>13746.08</v>
      </c>
      <c r="Q206" s="3" t="n">
        <v>9934.67</v>
      </c>
      <c r="R206" s="3" t="n">
        <v>0.4195</v>
      </c>
      <c r="S206" s="3" t="n">
        <v>0.055</v>
      </c>
      <c r="T206" s="3" t="n">
        <v>-0.0025</v>
      </c>
    </row>
    <row r="207" customFormat="false" ht="15" hidden="false" customHeight="true" outlineLevel="0" collapsed="false">
      <c r="A207" s="3" t="s">
        <v>476</v>
      </c>
      <c r="B207" s="3" t="s">
        <v>477</v>
      </c>
      <c r="C207" s="3" t="s">
        <v>46</v>
      </c>
      <c r="D207" s="3" t="s">
        <v>38</v>
      </c>
      <c r="E207" s="3" t="s">
        <v>39</v>
      </c>
      <c r="F207" s="3" t="s">
        <v>40</v>
      </c>
      <c r="G207" s="3" t="s">
        <v>41</v>
      </c>
      <c r="H207" s="3" t="s">
        <v>56</v>
      </c>
      <c r="I207" s="3" t="s">
        <v>188</v>
      </c>
      <c r="J207" s="3" t="n">
        <v>26</v>
      </c>
      <c r="K207" s="3" t="n">
        <v>17601.33</v>
      </c>
      <c r="L207" s="3" t="n">
        <v>457634.58</v>
      </c>
      <c r="M207" s="3" t="n">
        <v>0.1081</v>
      </c>
      <c r="N207" s="3" t="n">
        <v>49470.3</v>
      </c>
      <c r="O207" s="3" t="n">
        <v>408164.28</v>
      </c>
      <c r="P207" s="3" t="n">
        <v>274580.75</v>
      </c>
      <c r="Q207" s="3" t="n">
        <v>133583.53</v>
      </c>
      <c r="R207" s="3" t="n">
        <v>0.3273</v>
      </c>
      <c r="S207" s="3" t="n">
        <v>0.111</v>
      </c>
      <c r="T207" s="3" t="n">
        <v>-0.0029</v>
      </c>
    </row>
    <row r="208" customFormat="false" ht="15" hidden="false" customHeight="true" outlineLevel="0" collapsed="false">
      <c r="A208" s="3" t="s">
        <v>478</v>
      </c>
      <c r="B208" s="3" t="s">
        <v>479</v>
      </c>
      <c r="C208" s="3" t="s">
        <v>37</v>
      </c>
      <c r="D208" s="3" t="s">
        <v>69</v>
      </c>
      <c r="E208" s="3" t="s">
        <v>39</v>
      </c>
      <c r="F208" s="3" t="s">
        <v>70</v>
      </c>
      <c r="G208" s="3" t="s">
        <v>63</v>
      </c>
      <c r="H208" s="3" t="s">
        <v>56</v>
      </c>
      <c r="I208" s="3" t="s">
        <v>121</v>
      </c>
      <c r="J208" s="3" t="n">
        <v>3</v>
      </c>
      <c r="K208" s="3" t="n">
        <v>10001.25</v>
      </c>
      <c r="L208" s="3" t="n">
        <v>30003.75</v>
      </c>
      <c r="M208" s="3" t="n">
        <v>0.0319</v>
      </c>
      <c r="N208" s="3" t="n">
        <v>957.12</v>
      </c>
      <c r="O208" s="3" t="n">
        <v>29046.63</v>
      </c>
      <c r="P208" s="3" t="n">
        <v>18002.25</v>
      </c>
      <c r="Q208" s="3" t="n">
        <v>11044.38</v>
      </c>
      <c r="R208" s="3" t="n">
        <v>0.3802</v>
      </c>
      <c r="S208" s="3" t="n">
        <v>0.0333</v>
      </c>
      <c r="T208" s="3" t="n">
        <v>-0.0014</v>
      </c>
    </row>
    <row r="209" customFormat="false" ht="15" hidden="false" customHeight="true" outlineLevel="0" collapsed="false">
      <c r="A209" s="3" t="s">
        <v>480</v>
      </c>
      <c r="B209" s="3" t="s">
        <v>481</v>
      </c>
      <c r="C209" s="3" t="s">
        <v>37</v>
      </c>
      <c r="D209" s="3" t="s">
        <v>107</v>
      </c>
      <c r="E209" s="3" t="s">
        <v>33</v>
      </c>
      <c r="F209" s="3" t="s">
        <v>70</v>
      </c>
      <c r="G209" s="3" t="s">
        <v>55</v>
      </c>
      <c r="H209" s="3" t="s">
        <v>77</v>
      </c>
      <c r="I209" s="3" t="s">
        <v>131</v>
      </c>
      <c r="J209" s="3" t="n">
        <v>9</v>
      </c>
      <c r="K209" s="3" t="n">
        <v>5487.03</v>
      </c>
      <c r="L209" s="3" t="n">
        <v>49383.27</v>
      </c>
      <c r="M209" s="3" t="n">
        <v>0.0464</v>
      </c>
      <c r="N209" s="3" t="n">
        <v>2291.38</v>
      </c>
      <c r="O209" s="3" t="n">
        <v>47091.89</v>
      </c>
      <c r="P209" s="3" t="n">
        <v>33580.62</v>
      </c>
      <c r="Q209" s="3" t="n">
        <v>13511.27</v>
      </c>
      <c r="R209" s="3" t="n">
        <v>0.2869</v>
      </c>
      <c r="S209" s="3" t="n">
        <v>0.0394</v>
      </c>
      <c r="T209" s="3" t="n">
        <v>0.007</v>
      </c>
    </row>
    <row r="210" customFormat="false" ht="15" hidden="false" customHeight="true" outlineLevel="0" collapsed="false">
      <c r="A210" s="3" t="s">
        <v>482</v>
      </c>
      <c r="B210" s="3" t="s">
        <v>149</v>
      </c>
      <c r="C210" s="3" t="s">
        <v>126</v>
      </c>
      <c r="D210" s="3" t="s">
        <v>38</v>
      </c>
      <c r="E210" s="3" t="s">
        <v>39</v>
      </c>
      <c r="F210" s="3" t="s">
        <v>40</v>
      </c>
      <c r="G210" s="3" t="s">
        <v>49</v>
      </c>
      <c r="H210" s="3" t="s">
        <v>42</v>
      </c>
      <c r="I210" s="3" t="s">
        <v>72</v>
      </c>
      <c r="J210" s="3" t="n">
        <v>33</v>
      </c>
      <c r="K210" s="3" t="n">
        <v>2275.6</v>
      </c>
      <c r="L210" s="3" t="n">
        <v>75094.8</v>
      </c>
      <c r="M210" s="3" t="n">
        <v>0.0566</v>
      </c>
      <c r="N210" s="3" t="n">
        <v>4250.37</v>
      </c>
      <c r="O210" s="3" t="n">
        <v>70844.43</v>
      </c>
      <c r="P210" s="3" t="n">
        <v>41302.14</v>
      </c>
      <c r="Q210" s="3" t="n">
        <v>29542.29</v>
      </c>
      <c r="R210" s="3" t="n">
        <v>0.417</v>
      </c>
      <c r="S210" s="3" t="n">
        <v>0.0534</v>
      </c>
      <c r="T210" s="3" t="n">
        <v>0.0032</v>
      </c>
    </row>
    <row r="211" customFormat="false" ht="15" hidden="false" customHeight="true" outlineLevel="0" collapsed="false">
      <c r="A211" s="3" t="s">
        <v>483</v>
      </c>
      <c r="B211" s="3" t="s">
        <v>484</v>
      </c>
      <c r="C211" s="3" t="s">
        <v>156</v>
      </c>
      <c r="D211" s="3" t="s">
        <v>32</v>
      </c>
      <c r="E211" s="3" t="s">
        <v>33</v>
      </c>
      <c r="F211" s="3" t="s">
        <v>25</v>
      </c>
      <c r="G211" s="3" t="s">
        <v>71</v>
      </c>
      <c r="H211" s="3" t="s">
        <v>42</v>
      </c>
      <c r="I211" s="3" t="s">
        <v>134</v>
      </c>
      <c r="J211" s="3" t="n">
        <v>27</v>
      </c>
      <c r="K211" s="3" t="n">
        <v>883.62</v>
      </c>
      <c r="L211" s="3" t="n">
        <v>23857.74</v>
      </c>
      <c r="M211" s="3" t="n">
        <v>0.1629</v>
      </c>
      <c r="N211" s="3" t="n">
        <v>3886.43</v>
      </c>
      <c r="O211" s="3" t="n">
        <v>19971.31</v>
      </c>
      <c r="P211" s="3" t="n">
        <v>13121.76</v>
      </c>
      <c r="Q211" s="3" t="n">
        <v>6849.55</v>
      </c>
      <c r="R211" s="3" t="n">
        <v>0.343</v>
      </c>
      <c r="S211" s="3" t="n">
        <v>0.1595</v>
      </c>
      <c r="T211" s="3" t="n">
        <v>0.0034</v>
      </c>
    </row>
    <row r="212" customFormat="false" ht="15" hidden="false" customHeight="true" outlineLevel="0" collapsed="false">
      <c r="A212" s="3" t="s">
        <v>485</v>
      </c>
      <c r="B212" s="3" t="s">
        <v>486</v>
      </c>
      <c r="C212" s="3" t="s">
        <v>46</v>
      </c>
      <c r="D212" s="3" t="s">
        <v>54</v>
      </c>
      <c r="E212" s="3" t="s">
        <v>24</v>
      </c>
      <c r="F212" s="3" t="s">
        <v>40</v>
      </c>
      <c r="G212" s="3" t="s">
        <v>34</v>
      </c>
      <c r="H212" s="3" t="s">
        <v>56</v>
      </c>
      <c r="I212" s="3" t="s">
        <v>121</v>
      </c>
      <c r="J212" s="3" t="n">
        <v>38</v>
      </c>
      <c r="K212" s="3" t="n">
        <v>13542.4</v>
      </c>
      <c r="L212" s="3" t="n">
        <v>514611.2</v>
      </c>
      <c r="M212" s="3" t="n">
        <v>0.095</v>
      </c>
      <c r="N212" s="3" t="n">
        <v>48888.06</v>
      </c>
      <c r="O212" s="3" t="n">
        <v>465723.14</v>
      </c>
      <c r="P212" s="3" t="n">
        <v>308766.72</v>
      </c>
      <c r="Q212" s="3" t="n">
        <v>156956.42</v>
      </c>
      <c r="R212" s="3" t="n">
        <v>0.337</v>
      </c>
      <c r="S212" s="3" t="n">
        <v>0.0802</v>
      </c>
      <c r="T212" s="3" t="n">
        <v>0.0148</v>
      </c>
    </row>
    <row r="213" customFormat="false" ht="15" hidden="false" customHeight="true" outlineLevel="0" collapsed="false">
      <c r="A213" s="3" t="s">
        <v>487</v>
      </c>
      <c r="B213" s="3" t="s">
        <v>488</v>
      </c>
      <c r="C213" s="3" t="s">
        <v>31</v>
      </c>
      <c r="D213" s="3" t="s">
        <v>23</v>
      </c>
      <c r="E213" s="3" t="s">
        <v>24</v>
      </c>
      <c r="F213" s="3" t="s">
        <v>25</v>
      </c>
      <c r="G213" s="3" t="s">
        <v>55</v>
      </c>
      <c r="H213" s="3" t="s">
        <v>64</v>
      </c>
      <c r="I213" s="3" t="s">
        <v>65</v>
      </c>
      <c r="J213" s="3" t="n">
        <v>8</v>
      </c>
      <c r="K213" s="3" t="n">
        <v>11533.85</v>
      </c>
      <c r="L213" s="3" t="n">
        <v>92270.8</v>
      </c>
      <c r="M213" s="3" t="n">
        <v>0.1148</v>
      </c>
      <c r="N213" s="3" t="n">
        <v>10592.69</v>
      </c>
      <c r="O213" s="3" t="n">
        <v>81678.11</v>
      </c>
      <c r="P213" s="3" t="n">
        <v>53517.06</v>
      </c>
      <c r="Q213" s="3" t="n">
        <v>28161.05</v>
      </c>
      <c r="R213" s="3" t="n">
        <v>0.3448</v>
      </c>
      <c r="S213" s="3" t="n">
        <v>0.0971</v>
      </c>
      <c r="T213" s="3" t="n">
        <v>0.0177</v>
      </c>
    </row>
    <row r="214" customFormat="false" ht="15" hidden="false" customHeight="true" outlineLevel="0" collapsed="false">
      <c r="A214" s="3" t="s">
        <v>489</v>
      </c>
      <c r="B214" s="3" t="s">
        <v>490</v>
      </c>
      <c r="C214" s="3" t="s">
        <v>22</v>
      </c>
      <c r="D214" s="3" t="s">
        <v>97</v>
      </c>
      <c r="E214" s="3" t="s">
        <v>48</v>
      </c>
      <c r="F214" s="3" t="s">
        <v>40</v>
      </c>
      <c r="G214" s="3" t="s">
        <v>100</v>
      </c>
      <c r="H214" s="3" t="s">
        <v>64</v>
      </c>
      <c r="I214" s="3" t="s">
        <v>90</v>
      </c>
      <c r="J214" s="3" t="n">
        <v>31</v>
      </c>
      <c r="K214" s="3" t="n">
        <v>9974.75</v>
      </c>
      <c r="L214" s="3" t="n">
        <v>309217.25</v>
      </c>
      <c r="M214" s="3" t="n">
        <v>0.0736</v>
      </c>
      <c r="N214" s="3" t="n">
        <v>22758.39</v>
      </c>
      <c r="O214" s="3" t="n">
        <v>286458.86</v>
      </c>
      <c r="P214" s="3" t="n">
        <v>179346</v>
      </c>
      <c r="Q214" s="3" t="n">
        <v>107112.86</v>
      </c>
      <c r="R214" s="3" t="n">
        <v>0.3739</v>
      </c>
      <c r="S214" s="3" t="n">
        <v>0.0745</v>
      </c>
      <c r="T214" s="3" t="n">
        <v>-0.0009</v>
      </c>
    </row>
    <row r="215" customFormat="false" ht="15" hidden="false" customHeight="true" outlineLevel="0" collapsed="false">
      <c r="A215" s="3" t="s">
        <v>491</v>
      </c>
      <c r="B215" s="3" t="s">
        <v>492</v>
      </c>
      <c r="C215" s="3" t="s">
        <v>60</v>
      </c>
      <c r="D215" s="3" t="s">
        <v>107</v>
      </c>
      <c r="E215" s="3" t="s">
        <v>33</v>
      </c>
      <c r="F215" s="3" t="s">
        <v>70</v>
      </c>
      <c r="G215" s="3" t="s">
        <v>71</v>
      </c>
      <c r="H215" s="3" t="s">
        <v>64</v>
      </c>
      <c r="I215" s="3" t="s">
        <v>145</v>
      </c>
      <c r="J215" s="3" t="n">
        <v>25</v>
      </c>
      <c r="K215" s="3" t="n">
        <v>7305.34</v>
      </c>
      <c r="L215" s="3" t="n">
        <v>182633.5</v>
      </c>
      <c r="M215" s="3" t="n">
        <v>0.0457</v>
      </c>
      <c r="N215" s="3" t="n">
        <v>8346.35</v>
      </c>
      <c r="O215" s="3" t="n">
        <v>174287.15</v>
      </c>
      <c r="P215" s="3" t="n">
        <v>105927.43</v>
      </c>
      <c r="Q215" s="3" t="n">
        <v>68359.72</v>
      </c>
      <c r="R215" s="3" t="n">
        <v>0.3922</v>
      </c>
      <c r="S215" s="3" t="n">
        <v>0.0429</v>
      </c>
      <c r="T215" s="3" t="n">
        <v>0.0028</v>
      </c>
    </row>
    <row r="216" customFormat="false" ht="15" hidden="false" customHeight="true" outlineLevel="0" collapsed="false">
      <c r="A216" s="3" t="s">
        <v>493</v>
      </c>
      <c r="B216" s="3" t="s">
        <v>494</v>
      </c>
      <c r="C216" s="3" t="s">
        <v>53</v>
      </c>
      <c r="D216" s="3" t="s">
        <v>107</v>
      </c>
      <c r="E216" s="3" t="s">
        <v>33</v>
      </c>
      <c r="F216" s="3" t="s">
        <v>70</v>
      </c>
      <c r="G216" s="3" t="s">
        <v>49</v>
      </c>
      <c r="H216" s="3" t="s">
        <v>42</v>
      </c>
      <c r="I216" s="3" t="s">
        <v>72</v>
      </c>
      <c r="J216" s="3" t="n">
        <v>47</v>
      </c>
      <c r="K216" s="3" t="n">
        <v>2865.54</v>
      </c>
      <c r="L216" s="3" t="n">
        <v>134680.38</v>
      </c>
      <c r="M216" s="3" t="n">
        <v>0.064</v>
      </c>
      <c r="N216" s="3" t="n">
        <v>8619.54</v>
      </c>
      <c r="O216" s="3" t="n">
        <v>126060.84</v>
      </c>
      <c r="P216" s="3" t="n">
        <v>74074.21</v>
      </c>
      <c r="Q216" s="3" t="n">
        <v>51986.63</v>
      </c>
      <c r="R216" s="3" t="n">
        <v>0.4124</v>
      </c>
      <c r="S216" s="3" t="n">
        <v>0.063</v>
      </c>
      <c r="T216" s="3" t="n">
        <v>0.001</v>
      </c>
    </row>
    <row r="217" customFormat="false" ht="15" hidden="false" customHeight="true" outlineLevel="0" collapsed="false">
      <c r="A217" s="3" t="s">
        <v>495</v>
      </c>
      <c r="B217" s="3" t="s">
        <v>496</v>
      </c>
      <c r="C217" s="3" t="s">
        <v>113</v>
      </c>
      <c r="D217" s="3" t="s">
        <v>69</v>
      </c>
      <c r="E217" s="3" t="s">
        <v>39</v>
      </c>
      <c r="F217" s="3" t="s">
        <v>70</v>
      </c>
      <c r="G217" s="3" t="s">
        <v>100</v>
      </c>
      <c r="H217" s="3" t="s">
        <v>64</v>
      </c>
      <c r="I217" s="3" t="s">
        <v>145</v>
      </c>
      <c r="J217" s="3" t="n">
        <v>20</v>
      </c>
      <c r="K217" s="3" t="n">
        <v>5686.49</v>
      </c>
      <c r="L217" s="3" t="n">
        <v>113729.8</v>
      </c>
      <c r="M217" s="3" t="n">
        <v>0.0686</v>
      </c>
      <c r="N217" s="3" t="n">
        <v>7801.86</v>
      </c>
      <c r="O217" s="3" t="n">
        <v>105927.94</v>
      </c>
      <c r="P217" s="3" t="n">
        <v>65963.28</v>
      </c>
      <c r="Q217" s="3" t="n">
        <v>39964.66</v>
      </c>
      <c r="R217" s="3" t="n">
        <v>0.3773</v>
      </c>
      <c r="S217" s="3" t="n">
        <v>0.069</v>
      </c>
      <c r="T217" s="3" t="n">
        <v>-0.0004</v>
      </c>
    </row>
    <row r="218" customFormat="false" ht="15" hidden="false" customHeight="true" outlineLevel="0" collapsed="false">
      <c r="A218" s="3" t="s">
        <v>497</v>
      </c>
      <c r="B218" s="3" t="s">
        <v>498</v>
      </c>
      <c r="C218" s="3" t="s">
        <v>120</v>
      </c>
      <c r="D218" s="3" t="s">
        <v>83</v>
      </c>
      <c r="E218" s="3" t="s">
        <v>48</v>
      </c>
      <c r="F218" s="3" t="s">
        <v>62</v>
      </c>
      <c r="G218" s="3" t="s">
        <v>49</v>
      </c>
      <c r="H218" s="3" t="s">
        <v>42</v>
      </c>
      <c r="I218" s="3" t="s">
        <v>134</v>
      </c>
      <c r="J218" s="3" t="n">
        <v>47</v>
      </c>
      <c r="K218" s="3" t="n">
        <v>2461.71</v>
      </c>
      <c r="L218" s="3" t="n">
        <v>115700.37</v>
      </c>
      <c r="M218" s="3" t="n">
        <v>0.0437</v>
      </c>
      <c r="N218" s="3" t="n">
        <v>5056.11</v>
      </c>
      <c r="O218" s="3" t="n">
        <v>110644.26</v>
      </c>
      <c r="P218" s="3" t="n">
        <v>63635.2</v>
      </c>
      <c r="Q218" s="3" t="n">
        <v>47009.06</v>
      </c>
      <c r="R218" s="3" t="n">
        <v>0.4249</v>
      </c>
      <c r="S218" s="3" t="n">
        <v>0.0425</v>
      </c>
      <c r="T218" s="3" t="n">
        <v>0.0012</v>
      </c>
    </row>
    <row r="219" customFormat="false" ht="15" hidden="false" customHeight="true" outlineLevel="0" collapsed="false">
      <c r="A219" s="3" t="s">
        <v>499</v>
      </c>
      <c r="B219" s="3" t="s">
        <v>500</v>
      </c>
      <c r="C219" s="3" t="s">
        <v>126</v>
      </c>
      <c r="D219" s="3" t="s">
        <v>107</v>
      </c>
      <c r="E219" s="3" t="s">
        <v>33</v>
      </c>
      <c r="F219" s="3" t="s">
        <v>70</v>
      </c>
      <c r="G219" s="3" t="s">
        <v>49</v>
      </c>
      <c r="H219" s="3" t="s">
        <v>77</v>
      </c>
      <c r="I219" s="3" t="s">
        <v>78</v>
      </c>
      <c r="J219" s="3" t="n">
        <v>10</v>
      </c>
      <c r="K219" s="3" t="n">
        <v>5782.12</v>
      </c>
      <c r="L219" s="3" t="n">
        <v>57821.2</v>
      </c>
      <c r="M219" s="3" t="n">
        <v>0.0445</v>
      </c>
      <c r="N219" s="3" t="n">
        <v>2573.04</v>
      </c>
      <c r="O219" s="3" t="n">
        <v>55248.16</v>
      </c>
      <c r="P219" s="3" t="n">
        <v>39318.42</v>
      </c>
      <c r="Q219" s="3" t="n">
        <v>15929.74</v>
      </c>
      <c r="R219" s="3" t="n">
        <v>0.2883</v>
      </c>
      <c r="S219" s="3" t="n">
        <v>0.0484</v>
      </c>
      <c r="T219" s="3" t="n">
        <v>-0.0039</v>
      </c>
    </row>
    <row r="220" customFormat="false" ht="15" hidden="false" customHeight="true" outlineLevel="0" collapsed="false">
      <c r="A220" s="3" t="s">
        <v>501</v>
      </c>
      <c r="B220" s="3" t="s">
        <v>502</v>
      </c>
      <c r="C220" s="3" t="s">
        <v>126</v>
      </c>
      <c r="D220" s="3" t="s">
        <v>61</v>
      </c>
      <c r="E220" s="3" t="s">
        <v>33</v>
      </c>
      <c r="F220" s="3" t="s">
        <v>62</v>
      </c>
      <c r="G220" s="3" t="s">
        <v>71</v>
      </c>
      <c r="H220" s="3" t="s">
        <v>42</v>
      </c>
      <c r="I220" s="3" t="s">
        <v>134</v>
      </c>
      <c r="J220" s="3" t="n">
        <v>31</v>
      </c>
      <c r="K220" s="3" t="n">
        <v>1397.55</v>
      </c>
      <c r="L220" s="3" t="n">
        <v>43324.05</v>
      </c>
      <c r="M220" s="3" t="n">
        <v>0.0407</v>
      </c>
      <c r="N220" s="3" t="n">
        <v>1763.29</v>
      </c>
      <c r="O220" s="3" t="n">
        <v>41560.76</v>
      </c>
      <c r="P220" s="3" t="n">
        <v>23828.23</v>
      </c>
      <c r="Q220" s="3" t="n">
        <v>17732.53</v>
      </c>
      <c r="R220" s="3" t="n">
        <v>0.4267</v>
      </c>
      <c r="S220" s="3" t="n">
        <v>0.044</v>
      </c>
      <c r="T220" s="3" t="n">
        <v>-0.0033</v>
      </c>
    </row>
    <row r="221" customFormat="false" ht="15" hidden="false" customHeight="true" outlineLevel="0" collapsed="false">
      <c r="A221" s="3" t="s">
        <v>503</v>
      </c>
      <c r="B221" s="3" t="s">
        <v>504</v>
      </c>
      <c r="C221" s="3" t="s">
        <v>68</v>
      </c>
      <c r="D221" s="3" t="s">
        <v>97</v>
      </c>
      <c r="E221" s="3" t="s">
        <v>48</v>
      </c>
      <c r="F221" s="3" t="s">
        <v>40</v>
      </c>
      <c r="G221" s="3" t="s">
        <v>116</v>
      </c>
      <c r="H221" s="3" t="s">
        <v>42</v>
      </c>
      <c r="I221" s="3" t="s">
        <v>43</v>
      </c>
      <c r="J221" s="3" t="n">
        <v>38</v>
      </c>
      <c r="K221" s="3" t="n">
        <v>2654.87</v>
      </c>
      <c r="L221" s="3" t="n">
        <v>100885.06</v>
      </c>
      <c r="M221" s="3" t="n">
        <v>0.064</v>
      </c>
      <c r="N221" s="3" t="n">
        <v>6456.64</v>
      </c>
      <c r="O221" s="3" t="n">
        <v>94428.42</v>
      </c>
      <c r="P221" s="3" t="n">
        <v>55486.78</v>
      </c>
      <c r="Q221" s="3" t="n">
        <v>38941.64</v>
      </c>
      <c r="R221" s="3" t="n">
        <v>0.4124</v>
      </c>
      <c r="S221" s="3" t="n">
        <v>0.0555</v>
      </c>
      <c r="T221" s="3" t="n">
        <v>0.0085</v>
      </c>
    </row>
    <row r="222" customFormat="false" ht="15" hidden="false" customHeight="true" outlineLevel="0" collapsed="false">
      <c r="A222" s="3" t="s">
        <v>505</v>
      </c>
      <c r="B222" s="3" t="s">
        <v>506</v>
      </c>
      <c r="C222" s="3" t="s">
        <v>60</v>
      </c>
      <c r="D222" s="3" t="s">
        <v>69</v>
      </c>
      <c r="E222" s="3" t="s">
        <v>39</v>
      </c>
      <c r="F222" s="3" t="s">
        <v>70</v>
      </c>
      <c r="G222" s="3" t="s">
        <v>63</v>
      </c>
      <c r="H222" s="3" t="s">
        <v>27</v>
      </c>
      <c r="I222" s="3" t="s">
        <v>28</v>
      </c>
      <c r="J222" s="3" t="n">
        <v>31</v>
      </c>
      <c r="K222" s="3" t="n">
        <v>18569.4</v>
      </c>
      <c r="L222" s="3" t="n">
        <v>575651.4</v>
      </c>
      <c r="M222" s="3" t="n">
        <v>0.035</v>
      </c>
      <c r="N222" s="3" t="n">
        <v>20147.8</v>
      </c>
      <c r="O222" s="3" t="n">
        <v>555503.6</v>
      </c>
      <c r="P222" s="3" t="n">
        <v>356903.87</v>
      </c>
      <c r="Q222" s="3" t="n">
        <v>198599.73</v>
      </c>
      <c r="R222" s="3" t="n">
        <v>0.3575</v>
      </c>
      <c r="S222" s="3" t="n">
        <v>0.0281</v>
      </c>
      <c r="T222" s="3" t="n">
        <v>0.0069</v>
      </c>
    </row>
    <row r="223" customFormat="false" ht="15" hidden="false" customHeight="true" outlineLevel="0" collapsed="false">
      <c r="A223" s="3" t="s">
        <v>507</v>
      </c>
      <c r="B223" s="3" t="s">
        <v>164</v>
      </c>
      <c r="C223" s="3" t="s">
        <v>113</v>
      </c>
      <c r="D223" s="3" t="s">
        <v>107</v>
      </c>
      <c r="E223" s="3" t="s">
        <v>33</v>
      </c>
      <c r="F223" s="3" t="s">
        <v>70</v>
      </c>
      <c r="G223" s="3" t="s">
        <v>71</v>
      </c>
      <c r="H223" s="3" t="s">
        <v>64</v>
      </c>
      <c r="I223" s="3" t="s">
        <v>90</v>
      </c>
      <c r="J223" s="3" t="n">
        <v>31</v>
      </c>
      <c r="K223" s="3" t="n">
        <v>11415.29</v>
      </c>
      <c r="L223" s="3" t="n">
        <v>353873.99</v>
      </c>
      <c r="M223" s="3" t="n">
        <v>0.0539</v>
      </c>
      <c r="N223" s="3" t="n">
        <v>19073.81</v>
      </c>
      <c r="O223" s="3" t="n">
        <v>334800.18</v>
      </c>
      <c r="P223" s="3" t="n">
        <v>205246.91</v>
      </c>
      <c r="Q223" s="3" t="n">
        <v>129553.27</v>
      </c>
      <c r="R223" s="3" t="n">
        <v>0.387</v>
      </c>
      <c r="S223" s="3" t="n">
        <v>0.0553</v>
      </c>
      <c r="T223" s="3" t="n">
        <v>-0.0014</v>
      </c>
    </row>
    <row r="224" customFormat="false" ht="15" hidden="false" customHeight="true" outlineLevel="0" collapsed="false">
      <c r="A224" s="3" t="s">
        <v>508</v>
      </c>
      <c r="B224" s="3" t="s">
        <v>509</v>
      </c>
      <c r="C224" s="3" t="s">
        <v>53</v>
      </c>
      <c r="D224" s="3" t="s">
        <v>54</v>
      </c>
      <c r="E224" s="3" t="s">
        <v>24</v>
      </c>
      <c r="F224" s="3" t="s">
        <v>40</v>
      </c>
      <c r="G224" s="3" t="s">
        <v>71</v>
      </c>
      <c r="H224" s="3" t="s">
        <v>42</v>
      </c>
      <c r="I224" s="3" t="s">
        <v>134</v>
      </c>
      <c r="J224" s="3" t="n">
        <v>50</v>
      </c>
      <c r="K224" s="3" t="n">
        <v>707.07</v>
      </c>
      <c r="L224" s="3" t="n">
        <v>35353.5</v>
      </c>
      <c r="M224" s="3" t="n">
        <v>0.0345</v>
      </c>
      <c r="N224" s="3" t="n">
        <v>1219.7</v>
      </c>
      <c r="O224" s="3" t="n">
        <v>34133.8</v>
      </c>
      <c r="P224" s="3" t="n">
        <v>19444.43</v>
      </c>
      <c r="Q224" s="3" t="n">
        <v>14689.37</v>
      </c>
      <c r="R224" s="3" t="n">
        <v>0.4303</v>
      </c>
      <c r="S224" s="3" t="n">
        <v>0.0331</v>
      </c>
      <c r="T224" s="3" t="n">
        <v>0.0014</v>
      </c>
    </row>
    <row r="225" customFormat="false" ht="15" hidden="false" customHeight="true" outlineLevel="0" collapsed="false">
      <c r="A225" s="3" t="s">
        <v>510</v>
      </c>
      <c r="B225" s="3" t="s">
        <v>511</v>
      </c>
      <c r="C225" s="3" t="s">
        <v>156</v>
      </c>
      <c r="D225" s="3" t="s">
        <v>97</v>
      </c>
      <c r="E225" s="3" t="s">
        <v>48</v>
      </c>
      <c r="F225" s="3" t="s">
        <v>40</v>
      </c>
      <c r="G225" s="3" t="s">
        <v>63</v>
      </c>
      <c r="H225" s="3" t="s">
        <v>27</v>
      </c>
      <c r="I225" s="3" t="s">
        <v>117</v>
      </c>
      <c r="J225" s="3" t="n">
        <v>12</v>
      </c>
      <c r="K225" s="3" t="n">
        <v>36231.84</v>
      </c>
      <c r="L225" s="3" t="n">
        <v>434782.08</v>
      </c>
      <c r="M225" s="3" t="n">
        <v>0.0767</v>
      </c>
      <c r="N225" s="3" t="n">
        <v>33347.79</v>
      </c>
      <c r="O225" s="3" t="n">
        <v>401434.29</v>
      </c>
      <c r="P225" s="3" t="n">
        <v>269564.89</v>
      </c>
      <c r="Q225" s="3" t="n">
        <v>131869.4</v>
      </c>
      <c r="R225" s="3" t="n">
        <v>0.3285</v>
      </c>
      <c r="S225" s="3" t="n">
        <v>0.0843</v>
      </c>
      <c r="T225" s="3" t="n">
        <v>-0.0076</v>
      </c>
    </row>
    <row r="226" customFormat="false" ht="15" hidden="false" customHeight="true" outlineLevel="0" collapsed="false">
      <c r="A226" s="3" t="s">
        <v>512</v>
      </c>
      <c r="B226" s="3" t="s">
        <v>513</v>
      </c>
      <c r="C226" s="3" t="s">
        <v>120</v>
      </c>
      <c r="D226" s="3" t="s">
        <v>47</v>
      </c>
      <c r="E226" s="3" t="s">
        <v>48</v>
      </c>
      <c r="F226" s="3" t="s">
        <v>25</v>
      </c>
      <c r="G226" s="3" t="s">
        <v>26</v>
      </c>
      <c r="H226" s="3" t="s">
        <v>77</v>
      </c>
      <c r="I226" s="3" t="s">
        <v>131</v>
      </c>
      <c r="J226" s="3" t="n">
        <v>19</v>
      </c>
      <c r="K226" s="3" t="n">
        <v>5818.23</v>
      </c>
      <c r="L226" s="3" t="n">
        <v>110546.37</v>
      </c>
      <c r="M226" s="3" t="n">
        <v>0.1146</v>
      </c>
      <c r="N226" s="3" t="n">
        <v>12668.61</v>
      </c>
      <c r="O226" s="3" t="n">
        <v>97877.76</v>
      </c>
      <c r="P226" s="3" t="n">
        <v>75171.53</v>
      </c>
      <c r="Q226" s="3" t="n">
        <v>22706.23</v>
      </c>
      <c r="R226" s="3" t="n">
        <v>0.232</v>
      </c>
      <c r="S226" s="3" t="n">
        <v>0.1236</v>
      </c>
      <c r="T226" s="3" t="n">
        <v>-0.009</v>
      </c>
    </row>
    <row r="227" customFormat="false" ht="15" hidden="false" customHeight="true" outlineLevel="0" collapsed="false">
      <c r="A227" s="3" t="s">
        <v>514</v>
      </c>
      <c r="B227" s="3" t="s">
        <v>515</v>
      </c>
      <c r="C227" s="3" t="s">
        <v>60</v>
      </c>
      <c r="D227" s="3" t="s">
        <v>103</v>
      </c>
      <c r="E227" s="3" t="s">
        <v>24</v>
      </c>
      <c r="F227" s="3" t="s">
        <v>62</v>
      </c>
      <c r="G227" s="3" t="s">
        <v>71</v>
      </c>
      <c r="H227" s="3" t="s">
        <v>42</v>
      </c>
      <c r="I227" s="3" t="s">
        <v>134</v>
      </c>
      <c r="J227" s="3" t="n">
        <v>32</v>
      </c>
      <c r="K227" s="3" t="n">
        <v>2401.55</v>
      </c>
      <c r="L227" s="3" t="n">
        <v>76849.6</v>
      </c>
      <c r="M227" s="3" t="n">
        <v>0.0745</v>
      </c>
      <c r="N227" s="3" t="n">
        <v>5725.3</v>
      </c>
      <c r="O227" s="3" t="n">
        <v>71124.3</v>
      </c>
      <c r="P227" s="3" t="n">
        <v>42267.28</v>
      </c>
      <c r="Q227" s="3" t="n">
        <v>28857.02</v>
      </c>
      <c r="R227" s="3" t="n">
        <v>0.4057</v>
      </c>
      <c r="S227" s="3" t="n">
        <v>0.0786</v>
      </c>
      <c r="T227" s="3" t="n">
        <v>-0.0041</v>
      </c>
    </row>
    <row r="228" customFormat="false" ht="15" hidden="false" customHeight="true" outlineLevel="0" collapsed="false">
      <c r="A228" s="3" t="s">
        <v>516</v>
      </c>
      <c r="B228" s="3" t="s">
        <v>517</v>
      </c>
      <c r="C228" s="3" t="s">
        <v>113</v>
      </c>
      <c r="D228" s="3" t="s">
        <v>83</v>
      </c>
      <c r="E228" s="3" t="s">
        <v>48</v>
      </c>
      <c r="F228" s="3" t="s">
        <v>62</v>
      </c>
      <c r="G228" s="3" t="s">
        <v>116</v>
      </c>
      <c r="H228" s="3" t="s">
        <v>42</v>
      </c>
      <c r="I228" s="3" t="s">
        <v>43</v>
      </c>
      <c r="J228" s="3" t="n">
        <v>47</v>
      </c>
      <c r="K228" s="3" t="n">
        <v>1657.39</v>
      </c>
      <c r="L228" s="3" t="n">
        <v>77897.33</v>
      </c>
      <c r="M228" s="3" t="n">
        <v>0.0832</v>
      </c>
      <c r="N228" s="3" t="n">
        <v>6481.06</v>
      </c>
      <c r="O228" s="3" t="n">
        <v>71416.27</v>
      </c>
      <c r="P228" s="3" t="n">
        <v>42843.53</v>
      </c>
      <c r="Q228" s="3" t="n">
        <v>28572.74</v>
      </c>
      <c r="R228" s="3" t="n">
        <v>0.4001</v>
      </c>
      <c r="S228" s="3" t="n">
        <v>0.0669</v>
      </c>
      <c r="T228" s="3" t="n">
        <v>0.0163</v>
      </c>
    </row>
    <row r="229" customFormat="false" ht="15" hidden="false" customHeight="true" outlineLevel="0" collapsed="false">
      <c r="A229" s="3" t="s">
        <v>518</v>
      </c>
      <c r="B229" s="3" t="s">
        <v>519</v>
      </c>
      <c r="C229" s="3" t="s">
        <v>31</v>
      </c>
      <c r="D229" s="3" t="s">
        <v>103</v>
      </c>
      <c r="E229" s="3" t="s">
        <v>24</v>
      </c>
      <c r="F229" s="3" t="s">
        <v>62</v>
      </c>
      <c r="G229" s="3" t="s">
        <v>71</v>
      </c>
      <c r="H229" s="3" t="s">
        <v>42</v>
      </c>
      <c r="I229" s="3" t="s">
        <v>72</v>
      </c>
      <c r="J229" s="3" t="n">
        <v>12</v>
      </c>
      <c r="K229" s="3" t="n">
        <v>3150.49</v>
      </c>
      <c r="L229" s="3" t="n">
        <v>37805.88</v>
      </c>
      <c r="M229" s="3" t="n">
        <v>0.0605</v>
      </c>
      <c r="N229" s="3" t="n">
        <v>2287.26</v>
      </c>
      <c r="O229" s="3" t="n">
        <v>35518.62</v>
      </c>
      <c r="P229" s="3" t="n">
        <v>20793.23</v>
      </c>
      <c r="Q229" s="3" t="n">
        <v>14725.39</v>
      </c>
      <c r="R229" s="3" t="n">
        <v>0.4146</v>
      </c>
      <c r="S229" s="3" t="n">
        <v>0.0635</v>
      </c>
      <c r="T229" s="3" t="n">
        <v>-0.003</v>
      </c>
    </row>
    <row r="230" customFormat="false" ht="15" hidden="false" customHeight="true" outlineLevel="0" collapsed="false">
      <c r="A230" s="3" t="s">
        <v>520</v>
      </c>
      <c r="B230" s="3" t="s">
        <v>521</v>
      </c>
      <c r="C230" s="3" t="s">
        <v>93</v>
      </c>
      <c r="D230" s="3" t="s">
        <v>107</v>
      </c>
      <c r="E230" s="3" t="s">
        <v>33</v>
      </c>
      <c r="F230" s="3" t="s">
        <v>70</v>
      </c>
      <c r="G230" s="3" t="s">
        <v>63</v>
      </c>
      <c r="H230" s="3" t="s">
        <v>42</v>
      </c>
      <c r="I230" s="3" t="s">
        <v>43</v>
      </c>
      <c r="J230" s="3" t="n">
        <v>12</v>
      </c>
      <c r="K230" s="3" t="n">
        <v>2842.4</v>
      </c>
      <c r="L230" s="3" t="n">
        <v>34108.8</v>
      </c>
      <c r="M230" s="3" t="n">
        <v>0.0791</v>
      </c>
      <c r="N230" s="3" t="n">
        <v>2698.01</v>
      </c>
      <c r="O230" s="3" t="n">
        <v>31410.79</v>
      </c>
      <c r="P230" s="3" t="n">
        <v>18759.84</v>
      </c>
      <c r="Q230" s="3" t="n">
        <v>12650.95</v>
      </c>
      <c r="R230" s="3" t="n">
        <v>0.4028</v>
      </c>
      <c r="S230" s="3" t="n">
        <v>0.0709</v>
      </c>
      <c r="T230" s="3" t="n">
        <v>0.0082</v>
      </c>
    </row>
    <row r="231" customFormat="false" ht="15" hidden="false" customHeight="true" outlineLevel="0" collapsed="false">
      <c r="A231" s="3" t="s">
        <v>522</v>
      </c>
      <c r="B231" s="3" t="s">
        <v>523</v>
      </c>
      <c r="C231" s="3" t="s">
        <v>37</v>
      </c>
      <c r="D231" s="3" t="s">
        <v>69</v>
      </c>
      <c r="E231" s="3" t="s">
        <v>39</v>
      </c>
      <c r="F231" s="3" t="s">
        <v>70</v>
      </c>
      <c r="G231" s="3" t="s">
        <v>63</v>
      </c>
      <c r="H231" s="3" t="s">
        <v>27</v>
      </c>
      <c r="I231" s="3" t="s">
        <v>50</v>
      </c>
      <c r="J231" s="3" t="n">
        <v>49</v>
      </c>
      <c r="K231" s="3" t="n">
        <v>15536.68</v>
      </c>
      <c r="L231" s="3" t="n">
        <v>761297.32</v>
      </c>
      <c r="M231" s="3" t="n">
        <v>0.0433</v>
      </c>
      <c r="N231" s="3" t="n">
        <v>32964.17</v>
      </c>
      <c r="O231" s="3" t="n">
        <v>728333.15</v>
      </c>
      <c r="P231" s="3" t="n">
        <v>472004.34</v>
      </c>
      <c r="Q231" s="3" t="n">
        <v>256328.81</v>
      </c>
      <c r="R231" s="3" t="n">
        <v>0.3519</v>
      </c>
      <c r="S231" s="3" t="n">
        <v>0.0386</v>
      </c>
      <c r="T231" s="3" t="n">
        <v>0.0047</v>
      </c>
    </row>
    <row r="232" customFormat="false" ht="15" hidden="false" customHeight="true" outlineLevel="0" collapsed="false">
      <c r="A232" s="3" t="s">
        <v>524</v>
      </c>
      <c r="B232" s="3" t="s">
        <v>525</v>
      </c>
      <c r="C232" s="3" t="s">
        <v>120</v>
      </c>
      <c r="D232" s="3" t="s">
        <v>97</v>
      </c>
      <c r="E232" s="3" t="s">
        <v>48</v>
      </c>
      <c r="F232" s="3" t="s">
        <v>40</v>
      </c>
      <c r="G232" s="3" t="s">
        <v>76</v>
      </c>
      <c r="H232" s="3" t="s">
        <v>56</v>
      </c>
      <c r="I232" s="3" t="s">
        <v>188</v>
      </c>
      <c r="J232" s="3" t="n">
        <v>45</v>
      </c>
      <c r="K232" s="3" t="n">
        <v>12458.93</v>
      </c>
      <c r="L232" s="3" t="n">
        <v>560651.85</v>
      </c>
      <c r="M232" s="3" t="n">
        <v>0.0418</v>
      </c>
      <c r="N232" s="3" t="n">
        <v>23435.25</v>
      </c>
      <c r="O232" s="3" t="n">
        <v>537216.6</v>
      </c>
      <c r="P232" s="3" t="n">
        <v>336391.11</v>
      </c>
      <c r="Q232" s="3" t="n">
        <v>200825.49</v>
      </c>
      <c r="R232" s="3" t="n">
        <v>0.3738</v>
      </c>
      <c r="S232" s="3" t="n">
        <v>0.0393</v>
      </c>
      <c r="T232" s="3" t="n">
        <v>0.0025</v>
      </c>
    </row>
    <row r="233" customFormat="false" ht="15" hidden="false" customHeight="true" outlineLevel="0" collapsed="false">
      <c r="A233" s="3" t="s">
        <v>526</v>
      </c>
      <c r="B233" s="3" t="s">
        <v>308</v>
      </c>
      <c r="C233" s="3" t="s">
        <v>126</v>
      </c>
      <c r="D233" s="3" t="s">
        <v>75</v>
      </c>
      <c r="E233" s="3" t="s">
        <v>39</v>
      </c>
      <c r="F233" s="3" t="s">
        <v>25</v>
      </c>
      <c r="G233" s="3" t="s">
        <v>100</v>
      </c>
      <c r="H233" s="3" t="s">
        <v>77</v>
      </c>
      <c r="I233" s="3" t="s">
        <v>85</v>
      </c>
      <c r="J233" s="3" t="n">
        <v>46</v>
      </c>
      <c r="K233" s="3" t="n">
        <v>5630.91</v>
      </c>
      <c r="L233" s="3" t="n">
        <v>259021.86</v>
      </c>
      <c r="M233" s="3" t="n">
        <v>0.1637</v>
      </c>
      <c r="N233" s="3" t="n">
        <v>42401.88</v>
      </c>
      <c r="O233" s="3" t="n">
        <v>216619.98</v>
      </c>
      <c r="P233" s="3" t="n">
        <v>176134.86</v>
      </c>
      <c r="Q233" s="3" t="n">
        <v>40485.12</v>
      </c>
      <c r="R233" s="3" t="n">
        <v>0.1869</v>
      </c>
      <c r="S233" s="3" t="n">
        <v>0.149</v>
      </c>
      <c r="T233" s="3" t="n">
        <v>0.0147</v>
      </c>
    </row>
    <row r="234" customFormat="false" ht="15" hidden="false" customHeight="true" outlineLevel="0" collapsed="false">
      <c r="A234" s="3" t="s">
        <v>527</v>
      </c>
      <c r="B234" s="3" t="s">
        <v>406</v>
      </c>
      <c r="C234" s="3" t="s">
        <v>46</v>
      </c>
      <c r="D234" s="3" t="s">
        <v>69</v>
      </c>
      <c r="E234" s="3" t="s">
        <v>39</v>
      </c>
      <c r="F234" s="3" t="s">
        <v>70</v>
      </c>
      <c r="G234" s="3" t="s">
        <v>84</v>
      </c>
      <c r="H234" s="3" t="s">
        <v>64</v>
      </c>
      <c r="I234" s="3" t="s">
        <v>108</v>
      </c>
      <c r="J234" s="3" t="n">
        <v>48</v>
      </c>
      <c r="K234" s="3" t="n">
        <v>4378.67</v>
      </c>
      <c r="L234" s="3" t="n">
        <v>210176.16</v>
      </c>
      <c r="M234" s="3" t="n">
        <v>0.0794</v>
      </c>
      <c r="N234" s="3" t="n">
        <v>16687.99</v>
      </c>
      <c r="O234" s="3" t="n">
        <v>193488.17</v>
      </c>
      <c r="P234" s="3" t="n">
        <v>121902.17</v>
      </c>
      <c r="Q234" s="3" t="n">
        <v>71586</v>
      </c>
      <c r="R234" s="3" t="n">
        <v>0.37</v>
      </c>
      <c r="S234" s="3" t="n">
        <v>0.0735</v>
      </c>
      <c r="T234" s="3" t="n">
        <v>0.0059</v>
      </c>
    </row>
    <row r="235" customFormat="false" ht="15" hidden="false" customHeight="true" outlineLevel="0" collapsed="false">
      <c r="A235" s="3" t="s">
        <v>528</v>
      </c>
      <c r="B235" s="3" t="s">
        <v>140</v>
      </c>
      <c r="C235" s="3" t="s">
        <v>22</v>
      </c>
      <c r="D235" s="3" t="s">
        <v>107</v>
      </c>
      <c r="E235" s="3" t="s">
        <v>33</v>
      </c>
      <c r="F235" s="3" t="s">
        <v>70</v>
      </c>
      <c r="G235" s="3" t="s">
        <v>71</v>
      </c>
      <c r="H235" s="3" t="s">
        <v>77</v>
      </c>
      <c r="I235" s="3" t="s">
        <v>85</v>
      </c>
      <c r="J235" s="3" t="n">
        <v>49</v>
      </c>
      <c r="K235" s="3" t="n">
        <v>5162.9</v>
      </c>
      <c r="L235" s="3" t="n">
        <v>252982.1</v>
      </c>
      <c r="M235" s="3" t="n">
        <v>0.0424</v>
      </c>
      <c r="N235" s="3" t="n">
        <v>10726.44</v>
      </c>
      <c r="O235" s="3" t="n">
        <v>242255.66</v>
      </c>
      <c r="P235" s="3" t="n">
        <v>172027.83</v>
      </c>
      <c r="Q235" s="3" t="n">
        <v>70227.83</v>
      </c>
      <c r="R235" s="3" t="n">
        <v>0.2899</v>
      </c>
      <c r="S235" s="3" t="n">
        <v>0.0406</v>
      </c>
      <c r="T235" s="3" t="n">
        <v>0.0018</v>
      </c>
    </row>
    <row r="236" customFormat="false" ht="15" hidden="false" customHeight="true" outlineLevel="0" collapsed="false">
      <c r="A236" s="3" t="s">
        <v>529</v>
      </c>
      <c r="B236" s="3" t="s">
        <v>530</v>
      </c>
      <c r="C236" s="3" t="s">
        <v>113</v>
      </c>
      <c r="D236" s="3" t="s">
        <v>107</v>
      </c>
      <c r="E236" s="3" t="s">
        <v>33</v>
      </c>
      <c r="F236" s="3" t="s">
        <v>70</v>
      </c>
      <c r="G236" s="3" t="s">
        <v>55</v>
      </c>
      <c r="H236" s="3" t="s">
        <v>42</v>
      </c>
      <c r="I236" s="3" t="s">
        <v>43</v>
      </c>
      <c r="J236" s="3" t="n">
        <v>36</v>
      </c>
      <c r="K236" s="3" t="n">
        <v>892.73</v>
      </c>
      <c r="L236" s="3" t="n">
        <v>32138.28</v>
      </c>
      <c r="M236" s="3" t="n">
        <v>0.0751</v>
      </c>
      <c r="N236" s="3" t="n">
        <v>2413.58</v>
      </c>
      <c r="O236" s="3" t="n">
        <v>29724.7</v>
      </c>
      <c r="P236" s="3" t="n">
        <v>17676.05</v>
      </c>
      <c r="Q236" s="3" t="n">
        <v>12048.65</v>
      </c>
      <c r="R236" s="3" t="n">
        <v>0.4053</v>
      </c>
      <c r="S236" s="3" t="n">
        <v>0.073</v>
      </c>
      <c r="T236" s="3" t="n">
        <v>0.0021</v>
      </c>
    </row>
    <row r="237" customFormat="false" ht="15" hidden="false" customHeight="true" outlineLevel="0" collapsed="false">
      <c r="A237" s="3" t="s">
        <v>531</v>
      </c>
      <c r="B237" s="3" t="s">
        <v>532</v>
      </c>
      <c r="C237" s="3" t="s">
        <v>120</v>
      </c>
      <c r="D237" s="3" t="s">
        <v>75</v>
      </c>
      <c r="E237" s="3" t="s">
        <v>39</v>
      </c>
      <c r="F237" s="3" t="s">
        <v>25</v>
      </c>
      <c r="G237" s="3" t="s">
        <v>100</v>
      </c>
      <c r="H237" s="3" t="s">
        <v>64</v>
      </c>
      <c r="I237" s="3" t="s">
        <v>145</v>
      </c>
      <c r="J237" s="3" t="n">
        <v>44</v>
      </c>
      <c r="K237" s="3" t="n">
        <v>6976.56</v>
      </c>
      <c r="L237" s="3" t="n">
        <v>306968.64</v>
      </c>
      <c r="M237" s="3" t="n">
        <v>0.1269</v>
      </c>
      <c r="N237" s="3" t="n">
        <v>38954.32</v>
      </c>
      <c r="O237" s="3" t="n">
        <v>268014.32</v>
      </c>
      <c r="P237" s="3" t="n">
        <v>178041.81</v>
      </c>
      <c r="Q237" s="3" t="n">
        <v>89972.51</v>
      </c>
      <c r="R237" s="3" t="n">
        <v>0.3357</v>
      </c>
      <c r="S237" s="3" t="n">
        <v>0.1358</v>
      </c>
      <c r="T237" s="3" t="n">
        <v>-0.0089</v>
      </c>
    </row>
    <row r="238" customFormat="false" ht="15" hidden="false" customHeight="true" outlineLevel="0" collapsed="false">
      <c r="A238" s="3" t="s">
        <v>533</v>
      </c>
      <c r="B238" s="3" t="s">
        <v>358</v>
      </c>
      <c r="C238" s="3" t="s">
        <v>126</v>
      </c>
      <c r="D238" s="3" t="s">
        <v>83</v>
      </c>
      <c r="E238" s="3" t="s">
        <v>48</v>
      </c>
      <c r="F238" s="3" t="s">
        <v>62</v>
      </c>
      <c r="G238" s="3" t="s">
        <v>41</v>
      </c>
      <c r="H238" s="3" t="s">
        <v>27</v>
      </c>
      <c r="I238" s="3" t="s">
        <v>173</v>
      </c>
      <c r="J238" s="3" t="n">
        <v>30</v>
      </c>
      <c r="K238" s="3" t="n">
        <v>24423.93</v>
      </c>
      <c r="L238" s="3" t="n">
        <v>732717.9</v>
      </c>
      <c r="M238" s="3" t="n">
        <v>0.1005</v>
      </c>
      <c r="N238" s="3" t="n">
        <v>73638.15</v>
      </c>
      <c r="O238" s="3" t="n">
        <v>659079.75</v>
      </c>
      <c r="P238" s="3" t="n">
        <v>454285.1</v>
      </c>
      <c r="Q238" s="3" t="n">
        <v>204794.65</v>
      </c>
      <c r="R238" s="3" t="n">
        <v>0.3107</v>
      </c>
      <c r="S238" s="3" t="n">
        <v>0.1023</v>
      </c>
      <c r="T238" s="3" t="n">
        <v>-0.0018</v>
      </c>
    </row>
    <row r="239" customFormat="false" ht="15" hidden="false" customHeight="true" outlineLevel="0" collapsed="false">
      <c r="A239" s="3" t="s">
        <v>534</v>
      </c>
      <c r="B239" s="3" t="s">
        <v>535</v>
      </c>
      <c r="C239" s="3" t="s">
        <v>22</v>
      </c>
      <c r="D239" s="3" t="s">
        <v>47</v>
      </c>
      <c r="E239" s="3" t="s">
        <v>48</v>
      </c>
      <c r="F239" s="3" t="s">
        <v>25</v>
      </c>
      <c r="G239" s="3" t="s">
        <v>26</v>
      </c>
      <c r="H239" s="3" t="s">
        <v>42</v>
      </c>
      <c r="I239" s="3" t="s">
        <v>43</v>
      </c>
      <c r="J239" s="3" t="n">
        <v>5</v>
      </c>
      <c r="K239" s="3" t="n">
        <v>1262.65</v>
      </c>
      <c r="L239" s="3" t="n">
        <v>6313.25</v>
      </c>
      <c r="M239" s="3" t="n">
        <v>0.0998</v>
      </c>
      <c r="N239" s="3" t="n">
        <v>630.06</v>
      </c>
      <c r="O239" s="3" t="n">
        <v>5683.19</v>
      </c>
      <c r="P239" s="3" t="n">
        <v>3472.29</v>
      </c>
      <c r="Q239" s="3" t="n">
        <v>2210.9</v>
      </c>
      <c r="R239" s="3" t="n">
        <v>0.389</v>
      </c>
      <c r="S239" s="3" t="n">
        <v>0.0961</v>
      </c>
      <c r="T239" s="3" t="n">
        <v>0.0037</v>
      </c>
    </row>
    <row r="240" customFormat="false" ht="15" hidden="false" customHeight="true" outlineLevel="0" collapsed="false">
      <c r="A240" s="3" t="s">
        <v>536</v>
      </c>
      <c r="B240" s="3" t="s">
        <v>537</v>
      </c>
      <c r="C240" s="3" t="s">
        <v>31</v>
      </c>
      <c r="D240" s="3" t="s">
        <v>32</v>
      </c>
      <c r="E240" s="3" t="s">
        <v>33</v>
      </c>
      <c r="F240" s="3" t="s">
        <v>25</v>
      </c>
      <c r="G240" s="3" t="s">
        <v>104</v>
      </c>
      <c r="H240" s="3" t="s">
        <v>27</v>
      </c>
      <c r="I240" s="3" t="s">
        <v>173</v>
      </c>
      <c r="J240" s="3" t="n">
        <v>12</v>
      </c>
      <c r="K240" s="3" t="n">
        <v>17186.9</v>
      </c>
      <c r="L240" s="3" t="n">
        <v>206242.8</v>
      </c>
      <c r="M240" s="3" t="n">
        <v>0.2288</v>
      </c>
      <c r="N240" s="3" t="n">
        <v>47188.35</v>
      </c>
      <c r="O240" s="3" t="n">
        <v>159054.45</v>
      </c>
      <c r="P240" s="3" t="n">
        <v>127870.54</v>
      </c>
      <c r="Q240" s="3" t="n">
        <v>31183.91</v>
      </c>
      <c r="R240" s="3" t="n">
        <v>0.1961</v>
      </c>
      <c r="S240" s="3" t="n">
        <v>0.2088</v>
      </c>
      <c r="T240" s="3" t="n">
        <v>0.02</v>
      </c>
    </row>
    <row r="241" customFormat="false" ht="15" hidden="false" customHeight="true" outlineLevel="0" collapsed="false">
      <c r="A241" s="3" t="s">
        <v>538</v>
      </c>
      <c r="B241" s="3" t="s">
        <v>539</v>
      </c>
      <c r="C241" s="3" t="s">
        <v>37</v>
      </c>
      <c r="D241" s="3" t="s">
        <v>47</v>
      </c>
      <c r="E241" s="3" t="s">
        <v>48</v>
      </c>
      <c r="F241" s="3" t="s">
        <v>25</v>
      </c>
      <c r="G241" s="3" t="s">
        <v>63</v>
      </c>
      <c r="H241" s="3" t="s">
        <v>77</v>
      </c>
      <c r="I241" s="3" t="s">
        <v>78</v>
      </c>
      <c r="J241" s="3" t="n">
        <v>43</v>
      </c>
      <c r="K241" s="3" t="n">
        <v>1585.2</v>
      </c>
      <c r="L241" s="3" t="n">
        <v>68163.6</v>
      </c>
      <c r="M241" s="3" t="n">
        <v>0.1244</v>
      </c>
      <c r="N241" s="3" t="n">
        <v>8479.55</v>
      </c>
      <c r="O241" s="3" t="n">
        <v>59684.05</v>
      </c>
      <c r="P241" s="3" t="n">
        <v>46351.25</v>
      </c>
      <c r="Q241" s="3" t="n">
        <v>13332.8</v>
      </c>
      <c r="R241" s="3" t="n">
        <v>0.2234</v>
      </c>
      <c r="S241" s="3" t="n">
        <v>0.1039</v>
      </c>
      <c r="T241" s="3" t="n">
        <v>0.0205</v>
      </c>
    </row>
    <row r="242" customFormat="false" ht="15" hidden="false" customHeight="true" outlineLevel="0" collapsed="false">
      <c r="A242" s="3" t="s">
        <v>540</v>
      </c>
      <c r="B242" s="3" t="s">
        <v>541</v>
      </c>
      <c r="C242" s="3" t="s">
        <v>126</v>
      </c>
      <c r="D242" s="3" t="s">
        <v>107</v>
      </c>
      <c r="E242" s="3" t="s">
        <v>33</v>
      </c>
      <c r="F242" s="3" t="s">
        <v>70</v>
      </c>
      <c r="G242" s="3" t="s">
        <v>41</v>
      </c>
      <c r="H242" s="3" t="s">
        <v>77</v>
      </c>
      <c r="I242" s="3" t="s">
        <v>85</v>
      </c>
      <c r="J242" s="3" t="n">
        <v>15</v>
      </c>
      <c r="K242" s="3" t="n">
        <v>4693.72</v>
      </c>
      <c r="L242" s="3" t="n">
        <v>70405.8</v>
      </c>
      <c r="M242" s="3" t="n">
        <v>0.122</v>
      </c>
      <c r="N242" s="3" t="n">
        <v>8589.51</v>
      </c>
      <c r="O242" s="3" t="n">
        <v>61816.29</v>
      </c>
      <c r="P242" s="3" t="n">
        <v>47875.94</v>
      </c>
      <c r="Q242" s="3" t="n">
        <v>13940.35</v>
      </c>
      <c r="R242" s="3" t="n">
        <v>0.2255</v>
      </c>
      <c r="S242" s="3" t="n">
        <v>0.1145</v>
      </c>
      <c r="T242" s="3" t="n">
        <v>0.0075</v>
      </c>
    </row>
    <row r="243" customFormat="false" ht="15" hidden="false" customHeight="true" outlineLevel="0" collapsed="false">
      <c r="A243" s="3" t="s">
        <v>542</v>
      </c>
      <c r="B243" s="3" t="s">
        <v>543</v>
      </c>
      <c r="C243" s="3" t="s">
        <v>37</v>
      </c>
      <c r="D243" s="3" t="s">
        <v>97</v>
      </c>
      <c r="E243" s="3" t="s">
        <v>48</v>
      </c>
      <c r="F243" s="3" t="s">
        <v>40</v>
      </c>
      <c r="G243" s="3" t="s">
        <v>100</v>
      </c>
      <c r="H243" s="3" t="s">
        <v>56</v>
      </c>
      <c r="I243" s="3" t="s">
        <v>57</v>
      </c>
      <c r="J243" s="3" t="n">
        <v>15</v>
      </c>
      <c r="K243" s="3" t="n">
        <v>8068.42</v>
      </c>
      <c r="L243" s="3" t="n">
        <v>121026.3</v>
      </c>
      <c r="M243" s="3" t="n">
        <v>0.0424</v>
      </c>
      <c r="N243" s="3" t="n">
        <v>5131.52</v>
      </c>
      <c r="O243" s="3" t="n">
        <v>115894.78</v>
      </c>
      <c r="P243" s="3" t="n">
        <v>72615.78</v>
      </c>
      <c r="Q243" s="3" t="n">
        <v>43279</v>
      </c>
      <c r="R243" s="3" t="n">
        <v>0.3734</v>
      </c>
      <c r="S243" s="3" t="n">
        <v>0.0359</v>
      </c>
      <c r="T243" s="3" t="n">
        <v>0.0065</v>
      </c>
    </row>
    <row r="244" customFormat="false" ht="15" hidden="false" customHeight="true" outlineLevel="0" collapsed="false">
      <c r="A244" s="3" t="s">
        <v>544</v>
      </c>
      <c r="B244" s="3" t="s">
        <v>545</v>
      </c>
      <c r="C244" s="3" t="s">
        <v>156</v>
      </c>
      <c r="D244" s="3" t="s">
        <v>69</v>
      </c>
      <c r="E244" s="3" t="s">
        <v>39</v>
      </c>
      <c r="F244" s="3" t="s">
        <v>70</v>
      </c>
      <c r="G244" s="3" t="s">
        <v>71</v>
      </c>
      <c r="H244" s="3" t="s">
        <v>27</v>
      </c>
      <c r="I244" s="3" t="s">
        <v>28</v>
      </c>
      <c r="J244" s="3" t="n">
        <v>50</v>
      </c>
      <c r="K244" s="3" t="n">
        <v>21415.7</v>
      </c>
      <c r="L244" s="3" t="n">
        <v>1070785</v>
      </c>
      <c r="M244" s="3" t="n">
        <v>0.0768</v>
      </c>
      <c r="N244" s="3" t="n">
        <v>82236.29</v>
      </c>
      <c r="O244" s="3" t="n">
        <v>988548.71</v>
      </c>
      <c r="P244" s="3" t="n">
        <v>663886.7</v>
      </c>
      <c r="Q244" s="3" t="n">
        <v>324662.01</v>
      </c>
      <c r="R244" s="3" t="n">
        <v>0.3284</v>
      </c>
      <c r="S244" s="3" t="n">
        <v>0.067</v>
      </c>
      <c r="T244" s="3" t="n">
        <v>0.0098</v>
      </c>
    </row>
    <row r="245" customFormat="false" ht="15" hidden="false" customHeight="true" outlineLevel="0" collapsed="false">
      <c r="A245" s="3" t="s">
        <v>546</v>
      </c>
      <c r="B245" s="3" t="s">
        <v>547</v>
      </c>
      <c r="C245" s="3" t="s">
        <v>22</v>
      </c>
      <c r="D245" s="3" t="s">
        <v>61</v>
      </c>
      <c r="E245" s="3" t="s">
        <v>33</v>
      </c>
      <c r="F245" s="3" t="s">
        <v>62</v>
      </c>
      <c r="G245" s="3" t="s">
        <v>104</v>
      </c>
      <c r="H245" s="3" t="s">
        <v>27</v>
      </c>
      <c r="I245" s="3" t="s">
        <v>94</v>
      </c>
      <c r="J245" s="3" t="n">
        <v>44</v>
      </c>
      <c r="K245" s="3" t="n">
        <v>22286.11</v>
      </c>
      <c r="L245" s="3" t="n">
        <v>980588.84</v>
      </c>
      <c r="M245" s="3" t="n">
        <v>0.0871</v>
      </c>
      <c r="N245" s="3" t="n">
        <v>85409.29</v>
      </c>
      <c r="O245" s="3" t="n">
        <v>895179.55</v>
      </c>
      <c r="P245" s="3" t="n">
        <v>607965.08</v>
      </c>
      <c r="Q245" s="3" t="n">
        <v>287214.47</v>
      </c>
      <c r="R245" s="3" t="n">
        <v>0.3208</v>
      </c>
      <c r="S245" s="3" t="n">
        <v>0.0802</v>
      </c>
      <c r="T245" s="3" t="n">
        <v>0.0069</v>
      </c>
    </row>
    <row r="246" customFormat="false" ht="15" hidden="false" customHeight="true" outlineLevel="0" collapsed="false">
      <c r="A246" s="3" t="s">
        <v>548</v>
      </c>
      <c r="B246" s="3" t="s">
        <v>549</v>
      </c>
      <c r="C246" s="3" t="s">
        <v>37</v>
      </c>
      <c r="D246" s="3" t="s">
        <v>69</v>
      </c>
      <c r="E246" s="3" t="s">
        <v>39</v>
      </c>
      <c r="F246" s="3" t="s">
        <v>70</v>
      </c>
      <c r="G246" s="3" t="s">
        <v>104</v>
      </c>
      <c r="H246" s="3" t="s">
        <v>56</v>
      </c>
      <c r="I246" s="3" t="s">
        <v>188</v>
      </c>
      <c r="J246" s="3" t="n">
        <v>19</v>
      </c>
      <c r="K246" s="3" t="n">
        <v>4242.17</v>
      </c>
      <c r="L246" s="3" t="n">
        <v>80601.23</v>
      </c>
      <c r="M246" s="3" t="n">
        <v>0.0984</v>
      </c>
      <c r="N246" s="3" t="n">
        <v>7931.16</v>
      </c>
      <c r="O246" s="3" t="n">
        <v>72670.07</v>
      </c>
      <c r="P246" s="3" t="n">
        <v>48360.74</v>
      </c>
      <c r="Q246" s="3" t="n">
        <v>24309.33</v>
      </c>
      <c r="R246" s="3" t="n">
        <v>0.3345</v>
      </c>
      <c r="S246" s="3" t="n">
        <v>0.0957</v>
      </c>
      <c r="T246" s="3" t="n">
        <v>0.0027</v>
      </c>
    </row>
    <row r="247" customFormat="false" ht="15" hidden="false" customHeight="true" outlineLevel="0" collapsed="false">
      <c r="A247" s="3" t="s">
        <v>550</v>
      </c>
      <c r="B247" s="3" t="s">
        <v>551</v>
      </c>
      <c r="C247" s="3" t="s">
        <v>126</v>
      </c>
      <c r="D247" s="3" t="s">
        <v>23</v>
      </c>
      <c r="E247" s="3" t="s">
        <v>24</v>
      </c>
      <c r="F247" s="3" t="s">
        <v>25</v>
      </c>
      <c r="G247" s="3" t="s">
        <v>76</v>
      </c>
      <c r="H247" s="3" t="s">
        <v>42</v>
      </c>
      <c r="I247" s="3" t="s">
        <v>43</v>
      </c>
      <c r="J247" s="3" t="n">
        <v>43</v>
      </c>
      <c r="K247" s="3" t="n">
        <v>3566.9</v>
      </c>
      <c r="L247" s="3" t="n">
        <v>153376.7</v>
      </c>
      <c r="M247" s="3" t="n">
        <v>0.1291</v>
      </c>
      <c r="N247" s="3" t="n">
        <v>19800.93</v>
      </c>
      <c r="O247" s="3" t="n">
        <v>133575.77</v>
      </c>
      <c r="P247" s="3" t="n">
        <v>84357.19</v>
      </c>
      <c r="Q247" s="3" t="n">
        <v>49218.58</v>
      </c>
      <c r="R247" s="3" t="n">
        <v>0.3685</v>
      </c>
      <c r="S247" s="3" t="n">
        <v>0.1057</v>
      </c>
      <c r="T247" s="3" t="n">
        <v>0.0234</v>
      </c>
    </row>
    <row r="248" customFormat="false" ht="15" hidden="false" customHeight="true" outlineLevel="0" collapsed="false">
      <c r="A248" s="3" t="s">
        <v>552</v>
      </c>
      <c r="B248" s="3" t="s">
        <v>285</v>
      </c>
      <c r="C248" s="3" t="s">
        <v>46</v>
      </c>
      <c r="D248" s="3" t="s">
        <v>38</v>
      </c>
      <c r="E248" s="3" t="s">
        <v>39</v>
      </c>
      <c r="F248" s="3" t="s">
        <v>40</v>
      </c>
      <c r="G248" s="3" t="s">
        <v>100</v>
      </c>
      <c r="H248" s="3" t="s">
        <v>64</v>
      </c>
      <c r="I248" s="3" t="s">
        <v>90</v>
      </c>
      <c r="J248" s="3" t="n">
        <v>23</v>
      </c>
      <c r="K248" s="3" t="n">
        <v>7460.59</v>
      </c>
      <c r="L248" s="3" t="n">
        <v>171593.57</v>
      </c>
      <c r="M248" s="3" t="n">
        <v>0.0771</v>
      </c>
      <c r="N248" s="3" t="n">
        <v>13229.86</v>
      </c>
      <c r="O248" s="3" t="n">
        <v>158363.71</v>
      </c>
      <c r="P248" s="3" t="n">
        <v>99524.27</v>
      </c>
      <c r="Q248" s="3" t="n">
        <v>58839.44</v>
      </c>
      <c r="R248" s="3" t="n">
        <v>0.3715</v>
      </c>
      <c r="S248" s="3" t="n">
        <v>0.0798</v>
      </c>
      <c r="T248" s="3" t="n">
        <v>-0.0027</v>
      </c>
    </row>
    <row r="249" customFormat="false" ht="15" hidden="false" customHeight="true" outlineLevel="0" collapsed="false">
      <c r="A249" s="3" t="s">
        <v>553</v>
      </c>
      <c r="B249" s="3" t="s">
        <v>554</v>
      </c>
      <c r="C249" s="3" t="s">
        <v>53</v>
      </c>
      <c r="D249" s="3" t="s">
        <v>103</v>
      </c>
      <c r="E249" s="3" t="s">
        <v>24</v>
      </c>
      <c r="F249" s="3" t="s">
        <v>62</v>
      </c>
      <c r="G249" s="3" t="s">
        <v>41</v>
      </c>
      <c r="H249" s="3" t="s">
        <v>77</v>
      </c>
      <c r="I249" s="3" t="s">
        <v>78</v>
      </c>
      <c r="J249" s="3" t="n">
        <v>12</v>
      </c>
      <c r="K249" s="3" t="n">
        <v>2639.46</v>
      </c>
      <c r="L249" s="3" t="n">
        <v>31673.52</v>
      </c>
      <c r="M249" s="3" t="n">
        <v>0.1067</v>
      </c>
      <c r="N249" s="3" t="n">
        <v>3379.56</v>
      </c>
      <c r="O249" s="3" t="n">
        <v>28293.96</v>
      </c>
      <c r="P249" s="3" t="n">
        <v>21537.99</v>
      </c>
      <c r="Q249" s="3" t="n">
        <v>6755.97</v>
      </c>
      <c r="R249" s="3" t="n">
        <v>0.2388</v>
      </c>
      <c r="S249" s="3" t="n">
        <v>0.095</v>
      </c>
      <c r="T249" s="3" t="n">
        <v>0.0117</v>
      </c>
    </row>
    <row r="250" customFormat="false" ht="15" hidden="false" customHeight="true" outlineLevel="0" collapsed="false">
      <c r="A250" s="3" t="s">
        <v>555</v>
      </c>
      <c r="B250" s="3" t="s">
        <v>556</v>
      </c>
      <c r="C250" s="3" t="s">
        <v>53</v>
      </c>
      <c r="D250" s="3" t="s">
        <v>97</v>
      </c>
      <c r="E250" s="3" t="s">
        <v>48</v>
      </c>
      <c r="F250" s="3" t="s">
        <v>40</v>
      </c>
      <c r="G250" s="3" t="s">
        <v>104</v>
      </c>
      <c r="H250" s="3" t="s">
        <v>64</v>
      </c>
      <c r="I250" s="3" t="s">
        <v>90</v>
      </c>
      <c r="J250" s="3" t="n">
        <v>27</v>
      </c>
      <c r="K250" s="3" t="n">
        <v>8061.47</v>
      </c>
      <c r="L250" s="3" t="n">
        <v>217659.69</v>
      </c>
      <c r="M250" s="3" t="n">
        <v>0.0832</v>
      </c>
      <c r="N250" s="3" t="n">
        <v>18109.29</v>
      </c>
      <c r="O250" s="3" t="n">
        <v>199550.4</v>
      </c>
      <c r="P250" s="3" t="n">
        <v>126242.62</v>
      </c>
      <c r="Q250" s="3" t="n">
        <v>73307.78</v>
      </c>
      <c r="R250" s="3" t="n">
        <v>0.3674</v>
      </c>
      <c r="S250" s="3" t="n">
        <v>0.0729</v>
      </c>
      <c r="T250" s="3" t="n">
        <v>0.0103</v>
      </c>
    </row>
    <row r="251" customFormat="false" ht="15" hidden="false" customHeight="true" outlineLevel="0" collapsed="false">
      <c r="A251" s="3" t="s">
        <v>557</v>
      </c>
      <c r="B251" s="3" t="s">
        <v>272</v>
      </c>
      <c r="C251" s="3" t="s">
        <v>22</v>
      </c>
      <c r="D251" s="3" t="s">
        <v>103</v>
      </c>
      <c r="E251" s="3" t="s">
        <v>24</v>
      </c>
      <c r="F251" s="3" t="s">
        <v>62</v>
      </c>
      <c r="G251" s="3" t="s">
        <v>49</v>
      </c>
      <c r="H251" s="3" t="s">
        <v>27</v>
      </c>
      <c r="I251" s="3" t="s">
        <v>173</v>
      </c>
      <c r="J251" s="3" t="n">
        <v>47</v>
      </c>
      <c r="K251" s="3" t="n">
        <v>10958.85</v>
      </c>
      <c r="L251" s="3" t="n">
        <v>515065.95</v>
      </c>
      <c r="M251" s="3" t="n">
        <v>0.0715</v>
      </c>
      <c r="N251" s="3" t="n">
        <v>36827.22</v>
      </c>
      <c r="O251" s="3" t="n">
        <v>478238.73</v>
      </c>
      <c r="P251" s="3" t="n">
        <v>319340.89</v>
      </c>
      <c r="Q251" s="3" t="n">
        <v>158897.84</v>
      </c>
      <c r="R251" s="3" t="n">
        <v>0.3323</v>
      </c>
      <c r="S251" s="3" t="n">
        <v>0.0629</v>
      </c>
      <c r="T251" s="3" t="n">
        <v>0.0086</v>
      </c>
    </row>
    <row r="252" customFormat="false" ht="15" hidden="false" customHeight="true" outlineLevel="0" collapsed="false">
      <c r="A252" s="3" t="s">
        <v>558</v>
      </c>
      <c r="B252" s="3" t="s">
        <v>559</v>
      </c>
      <c r="C252" s="3" t="s">
        <v>113</v>
      </c>
      <c r="D252" s="3" t="s">
        <v>23</v>
      </c>
      <c r="E252" s="3" t="s">
        <v>24</v>
      </c>
      <c r="F252" s="3" t="s">
        <v>25</v>
      </c>
      <c r="G252" s="3" t="s">
        <v>104</v>
      </c>
      <c r="H252" s="3" t="s">
        <v>56</v>
      </c>
      <c r="I252" s="3" t="s">
        <v>121</v>
      </c>
      <c r="J252" s="3" t="n">
        <v>13</v>
      </c>
      <c r="K252" s="3" t="n">
        <v>15977.93</v>
      </c>
      <c r="L252" s="3" t="n">
        <v>207713.09</v>
      </c>
      <c r="M252" s="3" t="n">
        <v>0.2041</v>
      </c>
      <c r="N252" s="3" t="n">
        <v>42394.24</v>
      </c>
      <c r="O252" s="3" t="n">
        <v>165318.85</v>
      </c>
      <c r="P252" s="3" t="n">
        <v>124627.85</v>
      </c>
      <c r="Q252" s="3" t="n">
        <v>40691</v>
      </c>
      <c r="R252" s="3" t="n">
        <v>0.2461</v>
      </c>
      <c r="S252" s="3" t="n">
        <v>0.1926</v>
      </c>
      <c r="T252" s="3" t="n">
        <v>0.0115</v>
      </c>
    </row>
    <row r="253" customFormat="false" ht="15" hidden="false" customHeight="true" outlineLevel="0" collapsed="false">
      <c r="A253" s="3" t="s">
        <v>560</v>
      </c>
      <c r="B253" s="3" t="s">
        <v>561</v>
      </c>
      <c r="C253" s="3" t="s">
        <v>93</v>
      </c>
      <c r="D253" s="3" t="s">
        <v>103</v>
      </c>
      <c r="E253" s="3" t="s">
        <v>24</v>
      </c>
      <c r="F253" s="3" t="s">
        <v>62</v>
      </c>
      <c r="G253" s="3" t="s">
        <v>34</v>
      </c>
      <c r="H253" s="3" t="s">
        <v>42</v>
      </c>
      <c r="I253" s="3" t="s">
        <v>43</v>
      </c>
      <c r="J253" s="3" t="n">
        <v>48</v>
      </c>
      <c r="K253" s="3" t="n">
        <v>3780.06</v>
      </c>
      <c r="L253" s="3" t="n">
        <v>181442.88</v>
      </c>
      <c r="M253" s="3" t="n">
        <v>0.0958</v>
      </c>
      <c r="N253" s="3" t="n">
        <v>17382.23</v>
      </c>
      <c r="O253" s="3" t="n">
        <v>164060.65</v>
      </c>
      <c r="P253" s="3" t="n">
        <v>99793.58</v>
      </c>
      <c r="Q253" s="3" t="n">
        <v>64267.07</v>
      </c>
      <c r="R253" s="3" t="n">
        <v>0.3917</v>
      </c>
      <c r="S253" s="3" t="n">
        <v>0.103</v>
      </c>
      <c r="T253" s="3" t="n">
        <v>-0.0072</v>
      </c>
    </row>
    <row r="254" customFormat="false" ht="15" hidden="false" customHeight="true" outlineLevel="0" collapsed="false">
      <c r="A254" s="3" t="s">
        <v>562</v>
      </c>
      <c r="B254" s="3" t="s">
        <v>563</v>
      </c>
      <c r="C254" s="3" t="s">
        <v>46</v>
      </c>
      <c r="D254" s="3" t="s">
        <v>97</v>
      </c>
      <c r="E254" s="3" t="s">
        <v>48</v>
      </c>
      <c r="F254" s="3" t="s">
        <v>40</v>
      </c>
      <c r="G254" s="3" t="s">
        <v>34</v>
      </c>
      <c r="H254" s="3" t="s">
        <v>56</v>
      </c>
      <c r="I254" s="3" t="s">
        <v>121</v>
      </c>
      <c r="J254" s="3" t="n">
        <v>16</v>
      </c>
      <c r="K254" s="3" t="n">
        <v>8346.11</v>
      </c>
      <c r="L254" s="3" t="n">
        <v>133537.76</v>
      </c>
      <c r="M254" s="3" t="n">
        <v>0.1086</v>
      </c>
      <c r="N254" s="3" t="n">
        <v>14502.2</v>
      </c>
      <c r="O254" s="3" t="n">
        <v>119035.56</v>
      </c>
      <c r="P254" s="3" t="n">
        <v>80122.66</v>
      </c>
      <c r="Q254" s="3" t="n">
        <v>38912.9</v>
      </c>
      <c r="R254" s="3" t="n">
        <v>0.3269</v>
      </c>
      <c r="S254" s="3" t="n">
        <v>0.1021</v>
      </c>
      <c r="T254" s="3" t="n">
        <v>0.0065</v>
      </c>
    </row>
    <row r="255" customFormat="false" ht="15" hidden="false" customHeight="true" outlineLevel="0" collapsed="false">
      <c r="A255" s="3" t="s">
        <v>564</v>
      </c>
      <c r="B255" s="3" t="s">
        <v>565</v>
      </c>
      <c r="C255" s="3" t="s">
        <v>93</v>
      </c>
      <c r="D255" s="3" t="s">
        <v>23</v>
      </c>
      <c r="E255" s="3" t="s">
        <v>24</v>
      </c>
      <c r="F255" s="3" t="s">
        <v>25</v>
      </c>
      <c r="G255" s="3" t="s">
        <v>76</v>
      </c>
      <c r="H255" s="3" t="s">
        <v>42</v>
      </c>
      <c r="I255" s="3" t="s">
        <v>134</v>
      </c>
      <c r="J255" s="3" t="n">
        <v>32</v>
      </c>
      <c r="K255" s="3" t="n">
        <v>1758.76</v>
      </c>
      <c r="L255" s="3" t="n">
        <v>56280.32</v>
      </c>
      <c r="M255" s="3" t="n">
        <v>0.1575</v>
      </c>
      <c r="N255" s="3" t="n">
        <v>8864.15</v>
      </c>
      <c r="O255" s="3" t="n">
        <v>47416.17</v>
      </c>
      <c r="P255" s="3" t="n">
        <v>30954.18</v>
      </c>
      <c r="Q255" s="3" t="n">
        <v>16461.99</v>
      </c>
      <c r="R255" s="3" t="n">
        <v>0.3472</v>
      </c>
      <c r="S255" s="3" t="n">
        <v>0.162</v>
      </c>
      <c r="T255" s="3" t="n">
        <v>-0.0045</v>
      </c>
    </row>
    <row r="256" customFormat="false" ht="15" hidden="false" customHeight="true" outlineLevel="0" collapsed="false">
      <c r="A256" s="3" t="s">
        <v>566</v>
      </c>
      <c r="B256" s="3" t="s">
        <v>567</v>
      </c>
      <c r="C256" s="3" t="s">
        <v>60</v>
      </c>
      <c r="D256" s="3" t="s">
        <v>103</v>
      </c>
      <c r="E256" s="3" t="s">
        <v>24</v>
      </c>
      <c r="F256" s="3" t="s">
        <v>62</v>
      </c>
      <c r="G256" s="3" t="s">
        <v>49</v>
      </c>
      <c r="H256" s="3" t="s">
        <v>64</v>
      </c>
      <c r="I256" s="3" t="s">
        <v>145</v>
      </c>
      <c r="J256" s="3" t="n">
        <v>37</v>
      </c>
      <c r="K256" s="3" t="n">
        <v>6725.37</v>
      </c>
      <c r="L256" s="3" t="n">
        <v>248838.69</v>
      </c>
      <c r="M256" s="3" t="n">
        <v>0.0732</v>
      </c>
      <c r="N256" s="3" t="n">
        <v>18214.99</v>
      </c>
      <c r="O256" s="3" t="n">
        <v>230623.7</v>
      </c>
      <c r="P256" s="3" t="n">
        <v>144326.44</v>
      </c>
      <c r="Q256" s="3" t="n">
        <v>86297.26</v>
      </c>
      <c r="R256" s="3" t="n">
        <v>0.3742</v>
      </c>
      <c r="S256" s="3" t="n">
        <v>0.0589</v>
      </c>
      <c r="T256" s="3" t="n">
        <v>0.0143</v>
      </c>
    </row>
    <row r="257" customFormat="false" ht="15" hidden="false" customHeight="true" outlineLevel="0" collapsed="false">
      <c r="A257" s="3" t="s">
        <v>568</v>
      </c>
      <c r="B257" s="3" t="s">
        <v>304</v>
      </c>
      <c r="C257" s="3" t="s">
        <v>53</v>
      </c>
      <c r="D257" s="3" t="s">
        <v>107</v>
      </c>
      <c r="E257" s="3" t="s">
        <v>33</v>
      </c>
      <c r="F257" s="3" t="s">
        <v>70</v>
      </c>
      <c r="G257" s="3" t="s">
        <v>26</v>
      </c>
      <c r="H257" s="3" t="s">
        <v>56</v>
      </c>
      <c r="I257" s="3" t="s">
        <v>121</v>
      </c>
      <c r="J257" s="3" t="n">
        <v>10</v>
      </c>
      <c r="K257" s="3" t="n">
        <v>8681.25</v>
      </c>
      <c r="L257" s="3" t="n">
        <v>86812.5</v>
      </c>
      <c r="M257" s="3" t="n">
        <v>0.0398</v>
      </c>
      <c r="N257" s="3" t="n">
        <v>3455.14</v>
      </c>
      <c r="O257" s="3" t="n">
        <v>83357.36</v>
      </c>
      <c r="P257" s="3" t="n">
        <v>52087.5</v>
      </c>
      <c r="Q257" s="3" t="n">
        <v>31269.86</v>
      </c>
      <c r="R257" s="3" t="n">
        <v>0.3751</v>
      </c>
      <c r="S257" s="3" t="n">
        <v>0.0364</v>
      </c>
      <c r="T257" s="3" t="n">
        <v>0.0034</v>
      </c>
    </row>
    <row r="258" customFormat="false" ht="15" hidden="false" customHeight="true" outlineLevel="0" collapsed="false">
      <c r="A258" s="3" t="s">
        <v>569</v>
      </c>
      <c r="B258" s="3" t="s">
        <v>99</v>
      </c>
      <c r="C258" s="3" t="s">
        <v>93</v>
      </c>
      <c r="D258" s="3" t="s">
        <v>69</v>
      </c>
      <c r="E258" s="3" t="s">
        <v>39</v>
      </c>
      <c r="F258" s="3" t="s">
        <v>70</v>
      </c>
      <c r="G258" s="3" t="s">
        <v>71</v>
      </c>
      <c r="H258" s="3" t="s">
        <v>77</v>
      </c>
      <c r="I258" s="3" t="s">
        <v>85</v>
      </c>
      <c r="J258" s="3" t="n">
        <v>22</v>
      </c>
      <c r="K258" s="3" t="n">
        <v>5728.63</v>
      </c>
      <c r="L258" s="3" t="n">
        <v>126029.86</v>
      </c>
      <c r="M258" s="3" t="n">
        <v>0.0429</v>
      </c>
      <c r="N258" s="3" t="n">
        <v>5406.68</v>
      </c>
      <c r="O258" s="3" t="n">
        <v>120623.18</v>
      </c>
      <c r="P258" s="3" t="n">
        <v>85700.3</v>
      </c>
      <c r="Q258" s="3" t="n">
        <v>34922.88</v>
      </c>
      <c r="R258" s="3" t="n">
        <v>0.2895</v>
      </c>
      <c r="S258" s="3" t="n">
        <v>0.0467</v>
      </c>
      <c r="T258" s="3" t="n">
        <v>-0.0038</v>
      </c>
    </row>
    <row r="259" customFormat="false" ht="15" hidden="false" customHeight="true" outlineLevel="0" collapsed="false">
      <c r="A259" s="3" t="s">
        <v>570</v>
      </c>
      <c r="B259" s="3" t="s">
        <v>571</v>
      </c>
      <c r="C259" s="3" t="s">
        <v>22</v>
      </c>
      <c r="D259" s="3" t="s">
        <v>23</v>
      </c>
      <c r="E259" s="3" t="s">
        <v>24</v>
      </c>
      <c r="F259" s="3" t="s">
        <v>25</v>
      </c>
      <c r="G259" s="3" t="s">
        <v>41</v>
      </c>
      <c r="H259" s="3" t="s">
        <v>77</v>
      </c>
      <c r="I259" s="3" t="s">
        <v>78</v>
      </c>
      <c r="J259" s="3" t="n">
        <v>23</v>
      </c>
      <c r="K259" s="3" t="n">
        <v>4717.31</v>
      </c>
      <c r="L259" s="3" t="n">
        <v>108498.13</v>
      </c>
      <c r="M259" s="3" t="n">
        <v>0.1756</v>
      </c>
      <c r="N259" s="3" t="n">
        <v>19052.27</v>
      </c>
      <c r="O259" s="3" t="n">
        <v>89445.86</v>
      </c>
      <c r="P259" s="3" t="n">
        <v>73778.73</v>
      </c>
      <c r="Q259" s="3" t="n">
        <v>15667.13</v>
      </c>
      <c r="R259" s="3" t="n">
        <v>0.1752</v>
      </c>
      <c r="S259" s="3" t="n">
        <v>0.1681</v>
      </c>
      <c r="T259" s="3" t="n">
        <v>0.0075</v>
      </c>
    </row>
    <row r="260" customFormat="false" ht="15" hidden="false" customHeight="true" outlineLevel="0" collapsed="false">
      <c r="A260" s="3" t="s">
        <v>572</v>
      </c>
      <c r="B260" s="3" t="s">
        <v>573</v>
      </c>
      <c r="C260" s="3" t="s">
        <v>60</v>
      </c>
      <c r="D260" s="3" t="s">
        <v>61</v>
      </c>
      <c r="E260" s="3" t="s">
        <v>33</v>
      </c>
      <c r="F260" s="3" t="s">
        <v>62</v>
      </c>
      <c r="G260" s="3" t="s">
        <v>63</v>
      </c>
      <c r="H260" s="3" t="s">
        <v>27</v>
      </c>
      <c r="I260" s="3" t="s">
        <v>28</v>
      </c>
      <c r="J260" s="3" t="n">
        <v>41</v>
      </c>
      <c r="K260" s="3" t="n">
        <v>12399.73</v>
      </c>
      <c r="L260" s="3" t="n">
        <v>508388.93</v>
      </c>
      <c r="M260" s="3" t="n">
        <v>0.0416</v>
      </c>
      <c r="N260" s="3" t="n">
        <v>21148.98</v>
      </c>
      <c r="O260" s="3" t="n">
        <v>487239.95</v>
      </c>
      <c r="P260" s="3" t="n">
        <v>315201.14</v>
      </c>
      <c r="Q260" s="3" t="n">
        <v>172038.81</v>
      </c>
      <c r="R260" s="3" t="n">
        <v>0.3531</v>
      </c>
      <c r="S260" s="3" t="n">
        <v>0.0334</v>
      </c>
      <c r="T260" s="3" t="n">
        <v>0.0082</v>
      </c>
    </row>
    <row r="261" customFormat="false" ht="15" hidden="false" customHeight="true" outlineLevel="0" collapsed="false">
      <c r="A261" s="3" t="s">
        <v>574</v>
      </c>
      <c r="B261" s="3" t="s">
        <v>575</v>
      </c>
      <c r="C261" s="3" t="s">
        <v>93</v>
      </c>
      <c r="D261" s="3" t="s">
        <v>107</v>
      </c>
      <c r="E261" s="3" t="s">
        <v>33</v>
      </c>
      <c r="F261" s="3" t="s">
        <v>70</v>
      </c>
      <c r="G261" s="3" t="s">
        <v>104</v>
      </c>
      <c r="H261" s="3" t="s">
        <v>77</v>
      </c>
      <c r="I261" s="3" t="s">
        <v>78</v>
      </c>
      <c r="J261" s="3" t="n">
        <v>43</v>
      </c>
      <c r="K261" s="3" t="n">
        <v>4165.61</v>
      </c>
      <c r="L261" s="3" t="n">
        <v>179121.23</v>
      </c>
      <c r="M261" s="3" t="n">
        <v>0.1332</v>
      </c>
      <c r="N261" s="3" t="n">
        <v>23858.95</v>
      </c>
      <c r="O261" s="3" t="n">
        <v>155262.28</v>
      </c>
      <c r="P261" s="3" t="n">
        <v>121802.44</v>
      </c>
      <c r="Q261" s="3" t="n">
        <v>33459.84</v>
      </c>
      <c r="R261" s="3" t="n">
        <v>0.2155</v>
      </c>
      <c r="S261" s="3" t="n">
        <v>0.1072</v>
      </c>
      <c r="T261" s="3" t="n">
        <v>0.026</v>
      </c>
    </row>
    <row r="262" customFormat="false" ht="15" hidden="false" customHeight="true" outlineLevel="0" collapsed="false">
      <c r="A262" s="3" t="s">
        <v>576</v>
      </c>
      <c r="B262" s="3" t="s">
        <v>577</v>
      </c>
      <c r="C262" s="3" t="s">
        <v>156</v>
      </c>
      <c r="D262" s="3" t="s">
        <v>107</v>
      </c>
      <c r="E262" s="3" t="s">
        <v>33</v>
      </c>
      <c r="F262" s="3" t="s">
        <v>70</v>
      </c>
      <c r="G262" s="3" t="s">
        <v>104</v>
      </c>
      <c r="H262" s="3" t="s">
        <v>56</v>
      </c>
      <c r="I262" s="3" t="s">
        <v>57</v>
      </c>
      <c r="J262" s="3" t="n">
        <v>47</v>
      </c>
      <c r="K262" s="3" t="n">
        <v>2267.62</v>
      </c>
      <c r="L262" s="3" t="n">
        <v>106578.14</v>
      </c>
      <c r="M262" s="3" t="n">
        <v>0.1028</v>
      </c>
      <c r="N262" s="3" t="n">
        <v>10956.23</v>
      </c>
      <c r="O262" s="3" t="n">
        <v>95621.91</v>
      </c>
      <c r="P262" s="3" t="n">
        <v>63946.88</v>
      </c>
      <c r="Q262" s="3" t="n">
        <v>31675.03</v>
      </c>
      <c r="R262" s="3" t="n">
        <v>0.3313</v>
      </c>
      <c r="S262" s="3" t="n">
        <v>0.0978</v>
      </c>
      <c r="T262" s="3" t="n">
        <v>0.005</v>
      </c>
    </row>
    <row r="263" customFormat="false" ht="15" hidden="false" customHeight="true" outlineLevel="0" collapsed="false">
      <c r="A263" s="3" t="s">
        <v>578</v>
      </c>
      <c r="B263" s="3" t="s">
        <v>392</v>
      </c>
      <c r="C263" s="3" t="s">
        <v>68</v>
      </c>
      <c r="D263" s="3" t="s">
        <v>97</v>
      </c>
      <c r="E263" s="3" t="s">
        <v>48</v>
      </c>
      <c r="F263" s="3" t="s">
        <v>40</v>
      </c>
      <c r="G263" s="3" t="s">
        <v>116</v>
      </c>
      <c r="H263" s="3" t="s">
        <v>77</v>
      </c>
      <c r="I263" s="3" t="s">
        <v>131</v>
      </c>
      <c r="J263" s="3" t="n">
        <v>34</v>
      </c>
      <c r="K263" s="3" t="n">
        <v>5606.63</v>
      </c>
      <c r="L263" s="3" t="n">
        <v>190625.42</v>
      </c>
      <c r="M263" s="3" t="n">
        <v>0.0651</v>
      </c>
      <c r="N263" s="3" t="n">
        <v>12409.71</v>
      </c>
      <c r="O263" s="3" t="n">
        <v>178215.71</v>
      </c>
      <c r="P263" s="3" t="n">
        <v>129625.29</v>
      </c>
      <c r="Q263" s="3" t="n">
        <v>48590.42</v>
      </c>
      <c r="R263" s="3" t="n">
        <v>0.2726</v>
      </c>
      <c r="S263" s="3" t="n">
        <v>0.057</v>
      </c>
      <c r="T263" s="3" t="n">
        <v>0.0081</v>
      </c>
    </row>
    <row r="264" customFormat="false" ht="15" hidden="false" customHeight="true" outlineLevel="0" collapsed="false">
      <c r="A264" s="3" t="s">
        <v>579</v>
      </c>
      <c r="B264" s="3" t="s">
        <v>580</v>
      </c>
      <c r="C264" s="3" t="s">
        <v>53</v>
      </c>
      <c r="D264" s="3" t="s">
        <v>103</v>
      </c>
      <c r="E264" s="3" t="s">
        <v>24</v>
      </c>
      <c r="F264" s="3" t="s">
        <v>62</v>
      </c>
      <c r="G264" s="3" t="s">
        <v>116</v>
      </c>
      <c r="H264" s="3" t="s">
        <v>42</v>
      </c>
      <c r="I264" s="3" t="s">
        <v>134</v>
      </c>
      <c r="J264" s="3" t="n">
        <v>26</v>
      </c>
      <c r="K264" s="3" t="n">
        <v>1805.68</v>
      </c>
      <c r="L264" s="3" t="n">
        <v>46947.68</v>
      </c>
      <c r="M264" s="3" t="n">
        <v>0.0827</v>
      </c>
      <c r="N264" s="3" t="n">
        <v>3882.57</v>
      </c>
      <c r="O264" s="3" t="n">
        <v>43065.11</v>
      </c>
      <c r="P264" s="3" t="n">
        <v>25821.22</v>
      </c>
      <c r="Q264" s="3" t="n">
        <v>17243.89</v>
      </c>
      <c r="R264" s="3" t="n">
        <v>0.4004</v>
      </c>
      <c r="S264" s="3" t="n">
        <v>0.0736</v>
      </c>
      <c r="T264" s="3" t="n">
        <v>0.0091</v>
      </c>
    </row>
    <row r="265" customFormat="false" ht="15" hidden="false" customHeight="true" outlineLevel="0" collapsed="false">
      <c r="A265" s="3" t="s">
        <v>581</v>
      </c>
      <c r="B265" s="3" t="s">
        <v>155</v>
      </c>
      <c r="C265" s="3" t="s">
        <v>156</v>
      </c>
      <c r="D265" s="3" t="s">
        <v>61</v>
      </c>
      <c r="E265" s="3" t="s">
        <v>33</v>
      </c>
      <c r="F265" s="3" t="s">
        <v>62</v>
      </c>
      <c r="G265" s="3" t="s">
        <v>63</v>
      </c>
      <c r="H265" s="3" t="s">
        <v>27</v>
      </c>
      <c r="I265" s="3" t="s">
        <v>28</v>
      </c>
      <c r="J265" s="3" t="n">
        <v>36</v>
      </c>
      <c r="K265" s="3" t="n">
        <v>20136.45</v>
      </c>
      <c r="L265" s="3" t="n">
        <v>724912.2</v>
      </c>
      <c r="M265" s="3" t="n">
        <v>0.0538</v>
      </c>
      <c r="N265" s="3" t="n">
        <v>39000.28</v>
      </c>
      <c r="O265" s="3" t="n">
        <v>685911.92</v>
      </c>
      <c r="P265" s="3" t="n">
        <v>449445.56</v>
      </c>
      <c r="Q265" s="3" t="n">
        <v>236466.36</v>
      </c>
      <c r="R265" s="3" t="n">
        <v>0.3447</v>
      </c>
      <c r="S265" s="3" t="n">
        <v>0.0544</v>
      </c>
      <c r="T265" s="3" t="n">
        <v>-0.0006</v>
      </c>
    </row>
    <row r="266" customFormat="false" ht="15" hidden="false" customHeight="true" outlineLevel="0" collapsed="false">
      <c r="A266" s="3" t="s">
        <v>582</v>
      </c>
      <c r="B266" s="3" t="s">
        <v>583</v>
      </c>
      <c r="C266" s="3" t="s">
        <v>120</v>
      </c>
      <c r="D266" s="3" t="s">
        <v>61</v>
      </c>
      <c r="E266" s="3" t="s">
        <v>33</v>
      </c>
      <c r="F266" s="3" t="s">
        <v>62</v>
      </c>
      <c r="G266" s="3" t="s">
        <v>71</v>
      </c>
      <c r="H266" s="3" t="s">
        <v>77</v>
      </c>
      <c r="I266" s="3" t="s">
        <v>78</v>
      </c>
      <c r="J266" s="3" t="n">
        <v>37</v>
      </c>
      <c r="K266" s="3" t="n">
        <v>4965.01</v>
      </c>
      <c r="L266" s="3" t="n">
        <v>183705.37</v>
      </c>
      <c r="M266" s="3" t="n">
        <v>0.0789</v>
      </c>
      <c r="N266" s="3" t="n">
        <v>14494.35</v>
      </c>
      <c r="O266" s="3" t="n">
        <v>169211.02</v>
      </c>
      <c r="P266" s="3" t="n">
        <v>124919.65</v>
      </c>
      <c r="Q266" s="3" t="n">
        <v>44291.37</v>
      </c>
      <c r="R266" s="3" t="n">
        <v>0.2618</v>
      </c>
      <c r="S266" s="3" t="n">
        <v>0.0843</v>
      </c>
      <c r="T266" s="3" t="n">
        <v>-0.0054</v>
      </c>
    </row>
    <row r="267" customFormat="false" ht="15" hidden="false" customHeight="true" outlineLevel="0" collapsed="false">
      <c r="A267" s="3" t="s">
        <v>584</v>
      </c>
      <c r="B267" s="3" t="s">
        <v>585</v>
      </c>
      <c r="C267" s="3" t="s">
        <v>126</v>
      </c>
      <c r="D267" s="3" t="s">
        <v>32</v>
      </c>
      <c r="E267" s="3" t="s">
        <v>33</v>
      </c>
      <c r="F267" s="3" t="s">
        <v>25</v>
      </c>
      <c r="G267" s="3" t="s">
        <v>26</v>
      </c>
      <c r="H267" s="3" t="s">
        <v>64</v>
      </c>
      <c r="I267" s="3" t="s">
        <v>108</v>
      </c>
      <c r="J267" s="3" t="n">
        <v>31</v>
      </c>
      <c r="K267" s="3" t="n">
        <v>10987.99</v>
      </c>
      <c r="L267" s="3" t="n">
        <v>340627.69</v>
      </c>
      <c r="M267" s="3" t="n">
        <v>0.1575</v>
      </c>
      <c r="N267" s="3" t="n">
        <v>53648.86</v>
      </c>
      <c r="O267" s="3" t="n">
        <v>286978.83</v>
      </c>
      <c r="P267" s="3" t="n">
        <v>197564.06</v>
      </c>
      <c r="Q267" s="3" t="n">
        <v>89414.77</v>
      </c>
      <c r="R267" s="3" t="n">
        <v>0.3116</v>
      </c>
      <c r="S267" s="3" t="n">
        <v>0.1685</v>
      </c>
      <c r="T267" s="3" t="n">
        <v>-0.011</v>
      </c>
    </row>
    <row r="268" customFormat="false" ht="15" hidden="false" customHeight="true" outlineLevel="0" collapsed="false">
      <c r="A268" s="3" t="s">
        <v>586</v>
      </c>
      <c r="B268" s="3" t="s">
        <v>587</v>
      </c>
      <c r="C268" s="3" t="s">
        <v>46</v>
      </c>
      <c r="D268" s="3" t="s">
        <v>38</v>
      </c>
      <c r="E268" s="3" t="s">
        <v>39</v>
      </c>
      <c r="F268" s="3" t="s">
        <v>40</v>
      </c>
      <c r="G268" s="3" t="s">
        <v>49</v>
      </c>
      <c r="H268" s="3" t="s">
        <v>27</v>
      </c>
      <c r="I268" s="3" t="s">
        <v>117</v>
      </c>
      <c r="J268" s="3" t="n">
        <v>14</v>
      </c>
      <c r="K268" s="3" t="n">
        <v>8501.06</v>
      </c>
      <c r="L268" s="3" t="n">
        <v>119014.84</v>
      </c>
      <c r="M268" s="3" t="n">
        <v>0.0594</v>
      </c>
      <c r="N268" s="3" t="n">
        <v>7069.48</v>
      </c>
      <c r="O268" s="3" t="n">
        <v>111945.36</v>
      </c>
      <c r="P268" s="3" t="n">
        <v>73789.2</v>
      </c>
      <c r="Q268" s="3" t="n">
        <v>38156.16</v>
      </c>
      <c r="R268" s="3" t="n">
        <v>0.3408</v>
      </c>
      <c r="S268" s="3" t="n">
        <v>0.064</v>
      </c>
      <c r="T268" s="3" t="n">
        <v>-0.0046</v>
      </c>
    </row>
    <row r="269" customFormat="false" ht="15" hidden="false" customHeight="true" outlineLevel="0" collapsed="false">
      <c r="A269" s="3" t="s">
        <v>588</v>
      </c>
      <c r="B269" s="3" t="s">
        <v>589</v>
      </c>
      <c r="C269" s="3" t="s">
        <v>37</v>
      </c>
      <c r="D269" s="3" t="s">
        <v>54</v>
      </c>
      <c r="E269" s="3" t="s">
        <v>24</v>
      </c>
      <c r="F269" s="3" t="s">
        <v>40</v>
      </c>
      <c r="G269" s="3" t="s">
        <v>55</v>
      </c>
      <c r="H269" s="3" t="s">
        <v>64</v>
      </c>
      <c r="I269" s="3" t="s">
        <v>108</v>
      </c>
      <c r="J269" s="3" t="n">
        <v>25</v>
      </c>
      <c r="K269" s="3" t="n">
        <v>10511.86</v>
      </c>
      <c r="L269" s="3" t="n">
        <v>262796.5</v>
      </c>
      <c r="M269" s="3" t="n">
        <v>0.0639</v>
      </c>
      <c r="N269" s="3" t="n">
        <v>16792.7</v>
      </c>
      <c r="O269" s="3" t="n">
        <v>246003.8</v>
      </c>
      <c r="P269" s="3" t="n">
        <v>152421.97</v>
      </c>
      <c r="Q269" s="3" t="n">
        <v>93581.83</v>
      </c>
      <c r="R269" s="3" t="n">
        <v>0.3804</v>
      </c>
      <c r="S269" s="3" t="n">
        <v>0.0584</v>
      </c>
      <c r="T269" s="3" t="n">
        <v>0.0055</v>
      </c>
    </row>
    <row r="270" customFormat="false" ht="15" hidden="false" customHeight="true" outlineLevel="0" collapsed="false">
      <c r="A270" s="3" t="s">
        <v>590</v>
      </c>
      <c r="B270" s="3" t="s">
        <v>591</v>
      </c>
      <c r="C270" s="3" t="s">
        <v>31</v>
      </c>
      <c r="D270" s="3" t="s">
        <v>97</v>
      </c>
      <c r="E270" s="3" t="s">
        <v>48</v>
      </c>
      <c r="F270" s="3" t="s">
        <v>40</v>
      </c>
      <c r="G270" s="3" t="s">
        <v>100</v>
      </c>
      <c r="H270" s="3" t="s">
        <v>64</v>
      </c>
      <c r="I270" s="3" t="s">
        <v>65</v>
      </c>
      <c r="J270" s="3" t="n">
        <v>23</v>
      </c>
      <c r="K270" s="3" t="n">
        <v>9709.11</v>
      </c>
      <c r="L270" s="3" t="n">
        <v>223309.53</v>
      </c>
      <c r="M270" s="3" t="n">
        <v>0.0327</v>
      </c>
      <c r="N270" s="3" t="n">
        <v>7302.22</v>
      </c>
      <c r="O270" s="3" t="n">
        <v>216007.31</v>
      </c>
      <c r="P270" s="3" t="n">
        <v>129519.53</v>
      </c>
      <c r="Q270" s="3" t="n">
        <v>86487.78</v>
      </c>
      <c r="R270" s="3" t="n">
        <v>0.4004</v>
      </c>
      <c r="S270" s="3" t="n">
        <v>0.0284</v>
      </c>
      <c r="T270" s="3" t="n">
        <v>0.0043</v>
      </c>
    </row>
    <row r="271" customFormat="false" ht="15" hidden="false" customHeight="true" outlineLevel="0" collapsed="false">
      <c r="A271" s="3" t="s">
        <v>592</v>
      </c>
      <c r="B271" s="3" t="s">
        <v>593</v>
      </c>
      <c r="C271" s="3" t="s">
        <v>37</v>
      </c>
      <c r="D271" s="3" t="s">
        <v>61</v>
      </c>
      <c r="E271" s="3" t="s">
        <v>33</v>
      </c>
      <c r="F271" s="3" t="s">
        <v>62</v>
      </c>
      <c r="G271" s="3" t="s">
        <v>55</v>
      </c>
      <c r="H271" s="3" t="s">
        <v>42</v>
      </c>
      <c r="I271" s="3" t="s">
        <v>72</v>
      </c>
      <c r="J271" s="3" t="n">
        <v>26</v>
      </c>
      <c r="K271" s="3" t="n">
        <v>3842</v>
      </c>
      <c r="L271" s="3" t="n">
        <v>99892</v>
      </c>
      <c r="M271" s="3" t="n">
        <v>0.0784</v>
      </c>
      <c r="N271" s="3" t="n">
        <v>7831.53</v>
      </c>
      <c r="O271" s="3" t="n">
        <v>92060.47</v>
      </c>
      <c r="P271" s="3" t="n">
        <v>54940.6</v>
      </c>
      <c r="Q271" s="3" t="n">
        <v>37119.87</v>
      </c>
      <c r="R271" s="3" t="n">
        <v>0.4032</v>
      </c>
      <c r="S271" s="3" t="n">
        <v>0.0635</v>
      </c>
      <c r="T271" s="3" t="n">
        <v>0.0149</v>
      </c>
    </row>
    <row r="272" customFormat="false" ht="15" hidden="false" customHeight="true" outlineLevel="0" collapsed="false">
      <c r="A272" s="3" t="s">
        <v>594</v>
      </c>
      <c r="B272" s="3" t="s">
        <v>486</v>
      </c>
      <c r="C272" s="3" t="s">
        <v>46</v>
      </c>
      <c r="D272" s="3" t="s">
        <v>54</v>
      </c>
      <c r="E272" s="3" t="s">
        <v>24</v>
      </c>
      <c r="F272" s="3" t="s">
        <v>40</v>
      </c>
      <c r="G272" s="3" t="s">
        <v>34</v>
      </c>
      <c r="H272" s="3" t="s">
        <v>77</v>
      </c>
      <c r="I272" s="3" t="s">
        <v>78</v>
      </c>
      <c r="J272" s="3" t="n">
        <v>25</v>
      </c>
      <c r="K272" s="3" t="n">
        <v>2907.89</v>
      </c>
      <c r="L272" s="3" t="n">
        <v>72697.25</v>
      </c>
      <c r="M272" s="3" t="n">
        <v>0.0988</v>
      </c>
      <c r="N272" s="3" t="n">
        <v>7182.49</v>
      </c>
      <c r="O272" s="3" t="n">
        <v>65514.76</v>
      </c>
      <c r="P272" s="3" t="n">
        <v>49434.13</v>
      </c>
      <c r="Q272" s="3" t="n">
        <v>16080.63</v>
      </c>
      <c r="R272" s="3" t="n">
        <v>0.2455</v>
      </c>
      <c r="S272" s="3" t="n">
        <v>0.0816</v>
      </c>
      <c r="T272" s="3" t="n">
        <v>0.0172</v>
      </c>
    </row>
    <row r="273" customFormat="false" ht="15" hidden="false" customHeight="true" outlineLevel="0" collapsed="false">
      <c r="A273" s="3" t="s">
        <v>595</v>
      </c>
      <c r="B273" s="3" t="s">
        <v>596</v>
      </c>
      <c r="C273" s="3" t="s">
        <v>60</v>
      </c>
      <c r="D273" s="3" t="s">
        <v>38</v>
      </c>
      <c r="E273" s="3" t="s">
        <v>39</v>
      </c>
      <c r="F273" s="3" t="s">
        <v>40</v>
      </c>
      <c r="G273" s="3" t="s">
        <v>26</v>
      </c>
      <c r="H273" s="3" t="s">
        <v>42</v>
      </c>
      <c r="I273" s="3" t="s">
        <v>43</v>
      </c>
      <c r="J273" s="3" t="n">
        <v>18</v>
      </c>
      <c r="K273" s="3" t="n">
        <v>757.27</v>
      </c>
      <c r="L273" s="3" t="n">
        <v>13630.86</v>
      </c>
      <c r="M273" s="3" t="n">
        <v>0.0377</v>
      </c>
      <c r="N273" s="3" t="n">
        <v>513.88</v>
      </c>
      <c r="O273" s="3" t="n">
        <v>13116.98</v>
      </c>
      <c r="P273" s="3" t="n">
        <v>7496.97</v>
      </c>
      <c r="Q273" s="3" t="n">
        <v>5620.01</v>
      </c>
      <c r="R273" s="3" t="n">
        <v>0.4285</v>
      </c>
      <c r="S273" s="3" t="n">
        <v>0.0385</v>
      </c>
      <c r="T273" s="3" t="n">
        <v>-0.0008</v>
      </c>
    </row>
    <row r="274" customFormat="false" ht="15" hidden="false" customHeight="true" outlineLevel="0" collapsed="false">
      <c r="A274" s="3" t="s">
        <v>597</v>
      </c>
      <c r="B274" s="3" t="s">
        <v>598</v>
      </c>
      <c r="C274" s="3" t="s">
        <v>120</v>
      </c>
      <c r="D274" s="3" t="s">
        <v>103</v>
      </c>
      <c r="E274" s="3" t="s">
        <v>24</v>
      </c>
      <c r="F274" s="3" t="s">
        <v>62</v>
      </c>
      <c r="G274" s="3" t="s">
        <v>116</v>
      </c>
      <c r="H274" s="3" t="s">
        <v>42</v>
      </c>
      <c r="I274" s="3" t="s">
        <v>43</v>
      </c>
      <c r="J274" s="3" t="n">
        <v>20</v>
      </c>
      <c r="K274" s="3" t="n">
        <v>518.18</v>
      </c>
      <c r="L274" s="3" t="n">
        <v>10363.6</v>
      </c>
      <c r="M274" s="3" t="n">
        <v>0.1027</v>
      </c>
      <c r="N274" s="3" t="n">
        <v>1064.34</v>
      </c>
      <c r="O274" s="3" t="n">
        <v>9299.26</v>
      </c>
      <c r="P274" s="3" t="n">
        <v>5699.98</v>
      </c>
      <c r="Q274" s="3" t="n">
        <v>3599.28</v>
      </c>
      <c r="R274" s="3" t="n">
        <v>0.3871</v>
      </c>
      <c r="S274" s="3" t="n">
        <v>0.0862</v>
      </c>
      <c r="T274" s="3" t="n">
        <v>0.0165</v>
      </c>
    </row>
    <row r="275" customFormat="false" ht="15" hidden="false" customHeight="true" outlineLevel="0" collapsed="false">
      <c r="A275" s="3" t="s">
        <v>599</v>
      </c>
      <c r="B275" s="3" t="s">
        <v>341</v>
      </c>
      <c r="C275" s="3" t="s">
        <v>120</v>
      </c>
      <c r="D275" s="3" t="s">
        <v>75</v>
      </c>
      <c r="E275" s="3" t="s">
        <v>39</v>
      </c>
      <c r="F275" s="3" t="s">
        <v>25</v>
      </c>
      <c r="G275" s="3" t="s">
        <v>100</v>
      </c>
      <c r="H275" s="3" t="s">
        <v>77</v>
      </c>
      <c r="I275" s="3" t="s">
        <v>78</v>
      </c>
      <c r="J275" s="3" t="n">
        <v>27</v>
      </c>
      <c r="K275" s="3" t="n">
        <v>3862.75</v>
      </c>
      <c r="L275" s="3" t="n">
        <v>104294.25</v>
      </c>
      <c r="M275" s="3" t="n">
        <v>0.0823</v>
      </c>
      <c r="N275" s="3" t="n">
        <v>8583.42</v>
      </c>
      <c r="O275" s="3" t="n">
        <v>95710.83</v>
      </c>
      <c r="P275" s="3" t="n">
        <v>70920.09</v>
      </c>
      <c r="Q275" s="3" t="n">
        <v>24790.74</v>
      </c>
      <c r="R275" s="3" t="n">
        <v>0.259</v>
      </c>
      <c r="S275" s="3" t="n">
        <v>0.0806</v>
      </c>
      <c r="T275" s="3" t="n">
        <v>0.0017</v>
      </c>
    </row>
    <row r="276" customFormat="false" ht="15" hidden="false" customHeight="true" outlineLevel="0" collapsed="false">
      <c r="A276" s="3" t="s">
        <v>600</v>
      </c>
      <c r="B276" s="3" t="s">
        <v>556</v>
      </c>
      <c r="C276" s="3" t="s">
        <v>53</v>
      </c>
      <c r="D276" s="3" t="s">
        <v>103</v>
      </c>
      <c r="E276" s="3" t="s">
        <v>24</v>
      </c>
      <c r="F276" s="3" t="s">
        <v>62</v>
      </c>
      <c r="G276" s="3" t="s">
        <v>76</v>
      </c>
      <c r="H276" s="3" t="s">
        <v>77</v>
      </c>
      <c r="I276" s="3" t="s">
        <v>131</v>
      </c>
      <c r="J276" s="3" t="n">
        <v>50</v>
      </c>
      <c r="K276" s="3" t="n">
        <v>3186.29</v>
      </c>
      <c r="L276" s="3" t="n">
        <v>159314.5</v>
      </c>
      <c r="M276" s="3" t="n">
        <v>0.0342</v>
      </c>
      <c r="N276" s="3" t="n">
        <v>5448.56</v>
      </c>
      <c r="O276" s="3" t="n">
        <v>153865.94</v>
      </c>
      <c r="P276" s="3" t="n">
        <v>108333.86</v>
      </c>
      <c r="Q276" s="3" t="n">
        <v>45532.08</v>
      </c>
      <c r="R276" s="3" t="n">
        <v>0.2959</v>
      </c>
      <c r="S276" s="3" t="n">
        <v>0.0333</v>
      </c>
      <c r="T276" s="3" t="n">
        <v>0.0009</v>
      </c>
    </row>
    <row r="277" customFormat="false" ht="15" hidden="false" customHeight="true" outlineLevel="0" collapsed="false">
      <c r="A277" s="3" t="s">
        <v>601</v>
      </c>
      <c r="B277" s="3" t="s">
        <v>602</v>
      </c>
      <c r="C277" s="3" t="s">
        <v>31</v>
      </c>
      <c r="D277" s="3" t="s">
        <v>75</v>
      </c>
      <c r="E277" s="3" t="s">
        <v>39</v>
      </c>
      <c r="F277" s="3" t="s">
        <v>25</v>
      </c>
      <c r="G277" s="3" t="s">
        <v>41</v>
      </c>
      <c r="H277" s="3" t="s">
        <v>77</v>
      </c>
      <c r="I277" s="3" t="s">
        <v>131</v>
      </c>
      <c r="J277" s="3" t="n">
        <v>18</v>
      </c>
      <c r="K277" s="3" t="n">
        <v>2490.81</v>
      </c>
      <c r="L277" s="3" t="n">
        <v>44834.58</v>
      </c>
      <c r="M277" s="3" t="n">
        <v>0.1371</v>
      </c>
      <c r="N277" s="3" t="n">
        <v>6146.82</v>
      </c>
      <c r="O277" s="3" t="n">
        <v>38687.76</v>
      </c>
      <c r="P277" s="3" t="n">
        <v>30487.51</v>
      </c>
      <c r="Q277" s="3" t="n">
        <v>8200.25</v>
      </c>
      <c r="R277" s="3" t="n">
        <v>0.212</v>
      </c>
      <c r="S277" s="3" t="n">
        <v>0.122</v>
      </c>
      <c r="T277" s="3" t="n">
        <v>0.0151</v>
      </c>
    </row>
    <row r="278" customFormat="false" ht="15" hidden="false" customHeight="true" outlineLevel="0" collapsed="false">
      <c r="A278" s="3" t="s">
        <v>603</v>
      </c>
      <c r="B278" s="3" t="s">
        <v>513</v>
      </c>
      <c r="C278" s="3" t="s">
        <v>120</v>
      </c>
      <c r="D278" s="3" t="s">
        <v>61</v>
      </c>
      <c r="E278" s="3" t="s">
        <v>33</v>
      </c>
      <c r="F278" s="3" t="s">
        <v>62</v>
      </c>
      <c r="G278" s="3" t="s">
        <v>34</v>
      </c>
      <c r="H278" s="3" t="s">
        <v>42</v>
      </c>
      <c r="I278" s="3" t="s">
        <v>134</v>
      </c>
      <c r="J278" s="3" t="n">
        <v>32</v>
      </c>
      <c r="K278" s="3" t="n">
        <v>3023.15</v>
      </c>
      <c r="L278" s="3" t="n">
        <v>96740.8</v>
      </c>
      <c r="M278" s="3" t="n">
        <v>0.0875</v>
      </c>
      <c r="N278" s="3" t="n">
        <v>8464.82</v>
      </c>
      <c r="O278" s="3" t="n">
        <v>88275.98</v>
      </c>
      <c r="P278" s="3" t="n">
        <v>53207.44</v>
      </c>
      <c r="Q278" s="3" t="n">
        <v>35068.54</v>
      </c>
      <c r="R278" s="3" t="n">
        <v>0.3973</v>
      </c>
      <c r="S278" s="3" t="n">
        <v>0.0736</v>
      </c>
      <c r="T278" s="3" t="n">
        <v>0.0139</v>
      </c>
    </row>
    <row r="279" customFormat="false" ht="15" hidden="false" customHeight="true" outlineLevel="0" collapsed="false">
      <c r="A279" s="3" t="s">
        <v>604</v>
      </c>
      <c r="B279" s="3" t="s">
        <v>605</v>
      </c>
      <c r="C279" s="3" t="s">
        <v>60</v>
      </c>
      <c r="D279" s="3" t="s">
        <v>32</v>
      </c>
      <c r="E279" s="3" t="s">
        <v>33</v>
      </c>
      <c r="F279" s="3" t="s">
        <v>25</v>
      </c>
      <c r="G279" s="3" t="s">
        <v>55</v>
      </c>
      <c r="H279" s="3" t="s">
        <v>77</v>
      </c>
      <c r="I279" s="3" t="s">
        <v>78</v>
      </c>
      <c r="J279" s="3" t="n">
        <v>22</v>
      </c>
      <c r="K279" s="3" t="n">
        <v>3023.47</v>
      </c>
      <c r="L279" s="3" t="n">
        <v>66516.34</v>
      </c>
      <c r="M279" s="3" t="n">
        <v>0.1265</v>
      </c>
      <c r="N279" s="3" t="n">
        <v>8414.32</v>
      </c>
      <c r="O279" s="3" t="n">
        <v>58102.02</v>
      </c>
      <c r="P279" s="3" t="n">
        <v>45231.11</v>
      </c>
      <c r="Q279" s="3" t="n">
        <v>12870.91</v>
      </c>
      <c r="R279" s="3" t="n">
        <v>0.2215</v>
      </c>
      <c r="S279" s="3" t="n">
        <v>0.1126</v>
      </c>
      <c r="T279" s="3" t="n">
        <v>0.0139</v>
      </c>
    </row>
    <row r="280" customFormat="false" ht="15" hidden="false" customHeight="true" outlineLevel="0" collapsed="false">
      <c r="A280" s="3" t="s">
        <v>606</v>
      </c>
      <c r="B280" s="3" t="s">
        <v>607</v>
      </c>
      <c r="C280" s="3" t="s">
        <v>126</v>
      </c>
      <c r="D280" s="3" t="s">
        <v>38</v>
      </c>
      <c r="E280" s="3" t="s">
        <v>39</v>
      </c>
      <c r="F280" s="3" t="s">
        <v>40</v>
      </c>
      <c r="G280" s="3" t="s">
        <v>49</v>
      </c>
      <c r="H280" s="3" t="s">
        <v>64</v>
      </c>
      <c r="I280" s="3" t="s">
        <v>90</v>
      </c>
      <c r="J280" s="3" t="n">
        <v>26</v>
      </c>
      <c r="K280" s="3" t="n">
        <v>4598.74</v>
      </c>
      <c r="L280" s="3" t="n">
        <v>119567.24</v>
      </c>
      <c r="M280" s="3" t="n">
        <v>0.0784</v>
      </c>
      <c r="N280" s="3" t="n">
        <v>9374.07</v>
      </c>
      <c r="O280" s="3" t="n">
        <v>110193.17</v>
      </c>
      <c r="P280" s="3" t="n">
        <v>69349</v>
      </c>
      <c r="Q280" s="3" t="n">
        <v>40844.17</v>
      </c>
      <c r="R280" s="3" t="n">
        <v>0.3707</v>
      </c>
      <c r="S280" s="3" t="n">
        <v>0.08</v>
      </c>
      <c r="T280" s="3" t="n">
        <v>-0.0016</v>
      </c>
    </row>
    <row r="281" customFormat="false" ht="15" hidden="false" customHeight="true" outlineLevel="0" collapsed="false">
      <c r="A281" s="3" t="s">
        <v>608</v>
      </c>
      <c r="B281" s="3" t="s">
        <v>609</v>
      </c>
      <c r="C281" s="3" t="s">
        <v>113</v>
      </c>
      <c r="D281" s="3" t="s">
        <v>23</v>
      </c>
      <c r="E281" s="3" t="s">
        <v>24</v>
      </c>
      <c r="F281" s="3" t="s">
        <v>25</v>
      </c>
      <c r="G281" s="3" t="s">
        <v>34</v>
      </c>
      <c r="H281" s="3" t="s">
        <v>77</v>
      </c>
      <c r="I281" s="3" t="s">
        <v>85</v>
      </c>
      <c r="J281" s="3" t="n">
        <v>18</v>
      </c>
      <c r="K281" s="3" t="n">
        <v>2764.25</v>
      </c>
      <c r="L281" s="3" t="n">
        <v>49756.5</v>
      </c>
      <c r="M281" s="3" t="n">
        <v>0.1668</v>
      </c>
      <c r="N281" s="3" t="n">
        <v>8299.38</v>
      </c>
      <c r="O281" s="3" t="n">
        <v>41457.12</v>
      </c>
      <c r="P281" s="3" t="n">
        <v>33834.42</v>
      </c>
      <c r="Q281" s="3" t="n">
        <v>7622.7</v>
      </c>
      <c r="R281" s="3" t="n">
        <v>0.1839</v>
      </c>
      <c r="S281" s="3" t="n">
        <v>0.1631</v>
      </c>
      <c r="T281" s="3" t="n">
        <v>0.0037</v>
      </c>
    </row>
    <row r="282" customFormat="false" ht="15" hidden="false" customHeight="true" outlineLevel="0" collapsed="false">
      <c r="A282" s="3" t="s">
        <v>610</v>
      </c>
      <c r="B282" s="3" t="s">
        <v>607</v>
      </c>
      <c r="C282" s="3" t="s">
        <v>126</v>
      </c>
      <c r="D282" s="3" t="s">
        <v>107</v>
      </c>
      <c r="E282" s="3" t="s">
        <v>33</v>
      </c>
      <c r="F282" s="3" t="s">
        <v>70</v>
      </c>
      <c r="G282" s="3" t="s">
        <v>26</v>
      </c>
      <c r="H282" s="3" t="s">
        <v>64</v>
      </c>
      <c r="I282" s="3" t="s">
        <v>65</v>
      </c>
      <c r="J282" s="3" t="n">
        <v>46</v>
      </c>
      <c r="K282" s="3" t="n">
        <v>7154.6</v>
      </c>
      <c r="L282" s="3" t="n">
        <v>329111.6</v>
      </c>
      <c r="M282" s="3" t="n">
        <v>0.0405</v>
      </c>
      <c r="N282" s="3" t="n">
        <v>13329.02</v>
      </c>
      <c r="O282" s="3" t="n">
        <v>315782.58</v>
      </c>
      <c r="P282" s="3" t="n">
        <v>190884.73</v>
      </c>
      <c r="Q282" s="3" t="n">
        <v>124897.85</v>
      </c>
      <c r="R282" s="3" t="n">
        <v>0.3955</v>
      </c>
      <c r="S282" s="3" t="n">
        <v>0.0425</v>
      </c>
      <c r="T282" s="3" t="n">
        <v>-0.002</v>
      </c>
    </row>
    <row r="283" customFormat="false" ht="15" hidden="false" customHeight="true" outlineLevel="0" collapsed="false">
      <c r="A283" s="3" t="s">
        <v>611</v>
      </c>
      <c r="B283" s="3" t="s">
        <v>596</v>
      </c>
      <c r="C283" s="3" t="s">
        <v>60</v>
      </c>
      <c r="D283" s="3" t="s">
        <v>61</v>
      </c>
      <c r="E283" s="3" t="s">
        <v>33</v>
      </c>
      <c r="F283" s="3" t="s">
        <v>62</v>
      </c>
      <c r="G283" s="3" t="s">
        <v>84</v>
      </c>
      <c r="H283" s="3" t="s">
        <v>77</v>
      </c>
      <c r="I283" s="3" t="s">
        <v>85</v>
      </c>
      <c r="J283" s="3" t="n">
        <v>20</v>
      </c>
      <c r="K283" s="3" t="n">
        <v>1868.06</v>
      </c>
      <c r="L283" s="3" t="n">
        <v>37361.2</v>
      </c>
      <c r="M283" s="3" t="n">
        <v>0.0421</v>
      </c>
      <c r="N283" s="3" t="n">
        <v>1572.91</v>
      </c>
      <c r="O283" s="3" t="n">
        <v>35788.29</v>
      </c>
      <c r="P283" s="3" t="n">
        <v>25405.62</v>
      </c>
      <c r="Q283" s="3" t="n">
        <v>10382.67</v>
      </c>
      <c r="R283" s="3" t="n">
        <v>0.2901</v>
      </c>
      <c r="S283" s="3" t="n">
        <v>0.0427</v>
      </c>
      <c r="T283" s="3" t="n">
        <v>-0.0006</v>
      </c>
    </row>
    <row r="284" customFormat="false" ht="15" hidden="false" customHeight="true" outlineLevel="0" collapsed="false">
      <c r="A284" s="3" t="s">
        <v>612</v>
      </c>
      <c r="B284" s="3" t="s">
        <v>613</v>
      </c>
      <c r="C284" s="3" t="s">
        <v>31</v>
      </c>
      <c r="D284" s="3" t="s">
        <v>47</v>
      </c>
      <c r="E284" s="3" t="s">
        <v>48</v>
      </c>
      <c r="F284" s="3" t="s">
        <v>25</v>
      </c>
      <c r="G284" s="3" t="s">
        <v>55</v>
      </c>
      <c r="H284" s="3" t="s">
        <v>27</v>
      </c>
      <c r="I284" s="3" t="s">
        <v>173</v>
      </c>
      <c r="J284" s="3" t="n">
        <v>26</v>
      </c>
      <c r="K284" s="3" t="n">
        <v>23335.51</v>
      </c>
      <c r="L284" s="3" t="n">
        <v>606723.26</v>
      </c>
      <c r="M284" s="3" t="n">
        <v>0.1706</v>
      </c>
      <c r="N284" s="3" t="n">
        <v>103506.99</v>
      </c>
      <c r="O284" s="3" t="n">
        <v>503216.27</v>
      </c>
      <c r="P284" s="3" t="n">
        <v>376168.42</v>
      </c>
      <c r="Q284" s="3" t="n">
        <v>127047.85</v>
      </c>
      <c r="R284" s="3" t="n">
        <v>0.2525</v>
      </c>
      <c r="S284" s="3" t="n">
        <v>0.1643</v>
      </c>
      <c r="T284" s="3" t="n">
        <v>0.0063</v>
      </c>
    </row>
    <row r="285" customFormat="false" ht="15" hidden="false" customHeight="true" outlineLevel="0" collapsed="false">
      <c r="A285" s="3" t="s">
        <v>614</v>
      </c>
      <c r="B285" s="3" t="s">
        <v>615</v>
      </c>
      <c r="C285" s="3" t="s">
        <v>37</v>
      </c>
      <c r="D285" s="3" t="s">
        <v>103</v>
      </c>
      <c r="E285" s="3" t="s">
        <v>24</v>
      </c>
      <c r="F285" s="3" t="s">
        <v>62</v>
      </c>
      <c r="G285" s="3" t="s">
        <v>71</v>
      </c>
      <c r="H285" s="3" t="s">
        <v>56</v>
      </c>
      <c r="I285" s="3" t="s">
        <v>121</v>
      </c>
      <c r="J285" s="3" t="n">
        <v>7</v>
      </c>
      <c r="K285" s="3" t="n">
        <v>16630.42</v>
      </c>
      <c r="L285" s="3" t="n">
        <v>116412.94</v>
      </c>
      <c r="M285" s="3" t="n">
        <v>0.0684</v>
      </c>
      <c r="N285" s="3" t="n">
        <v>7962.65</v>
      </c>
      <c r="O285" s="3" t="n">
        <v>108450.29</v>
      </c>
      <c r="P285" s="3" t="n">
        <v>69847.76</v>
      </c>
      <c r="Q285" s="3" t="n">
        <v>38602.53</v>
      </c>
      <c r="R285" s="3" t="n">
        <v>0.3559</v>
      </c>
      <c r="S285" s="3" t="n">
        <v>0.0582</v>
      </c>
      <c r="T285" s="3" t="n">
        <v>0.0102</v>
      </c>
    </row>
    <row r="286" customFormat="false" ht="15" hidden="false" customHeight="true" outlineLevel="0" collapsed="false">
      <c r="A286" s="3" t="s">
        <v>616</v>
      </c>
      <c r="B286" s="3" t="s">
        <v>589</v>
      </c>
      <c r="C286" s="3" t="s">
        <v>37</v>
      </c>
      <c r="D286" s="3" t="s">
        <v>38</v>
      </c>
      <c r="E286" s="3" t="s">
        <v>39</v>
      </c>
      <c r="F286" s="3" t="s">
        <v>40</v>
      </c>
      <c r="G286" s="3" t="s">
        <v>71</v>
      </c>
      <c r="H286" s="3" t="s">
        <v>27</v>
      </c>
      <c r="I286" s="3" t="s">
        <v>94</v>
      </c>
      <c r="J286" s="3" t="n">
        <v>26</v>
      </c>
      <c r="K286" s="3" t="n">
        <v>29679.1</v>
      </c>
      <c r="L286" s="3" t="n">
        <v>771656.6</v>
      </c>
      <c r="M286" s="3" t="n">
        <v>0.0783</v>
      </c>
      <c r="N286" s="3" t="n">
        <v>60420.71</v>
      </c>
      <c r="O286" s="3" t="n">
        <v>711235.89</v>
      </c>
      <c r="P286" s="3" t="n">
        <v>478427.09</v>
      </c>
      <c r="Q286" s="3" t="n">
        <v>232808.8</v>
      </c>
      <c r="R286" s="3" t="n">
        <v>0.3273</v>
      </c>
      <c r="S286" s="3" t="n">
        <v>0.0854</v>
      </c>
      <c r="T286" s="3" t="n">
        <v>-0.0071</v>
      </c>
    </row>
    <row r="287" customFormat="false" ht="15" hidden="false" customHeight="true" outlineLevel="0" collapsed="false">
      <c r="A287" s="3" t="s">
        <v>617</v>
      </c>
      <c r="B287" s="3" t="s">
        <v>618</v>
      </c>
      <c r="C287" s="3" t="s">
        <v>113</v>
      </c>
      <c r="D287" s="3" t="s">
        <v>47</v>
      </c>
      <c r="E287" s="3" t="s">
        <v>48</v>
      </c>
      <c r="F287" s="3" t="s">
        <v>25</v>
      </c>
      <c r="G287" s="3" t="s">
        <v>116</v>
      </c>
      <c r="H287" s="3" t="s">
        <v>27</v>
      </c>
      <c r="I287" s="3" t="s">
        <v>28</v>
      </c>
      <c r="J287" s="3" t="n">
        <v>33</v>
      </c>
      <c r="K287" s="3" t="n">
        <v>16279.63</v>
      </c>
      <c r="L287" s="3" t="n">
        <v>537227.79</v>
      </c>
      <c r="M287" s="3" t="n">
        <v>0.1995</v>
      </c>
      <c r="N287" s="3" t="n">
        <v>107176.94</v>
      </c>
      <c r="O287" s="3" t="n">
        <v>430050.85</v>
      </c>
      <c r="P287" s="3" t="n">
        <v>333081.23</v>
      </c>
      <c r="Q287" s="3" t="n">
        <v>96969.62</v>
      </c>
      <c r="R287" s="3" t="n">
        <v>0.2255</v>
      </c>
      <c r="S287" s="3" t="n">
        <v>0.1863</v>
      </c>
      <c r="T287" s="3" t="n">
        <v>0.0132</v>
      </c>
    </row>
    <row r="288" customFormat="false" ht="15" hidden="false" customHeight="true" outlineLevel="0" collapsed="false">
      <c r="A288" s="3" t="s">
        <v>619</v>
      </c>
      <c r="B288" s="3" t="s">
        <v>620</v>
      </c>
      <c r="C288" s="3" t="s">
        <v>120</v>
      </c>
      <c r="D288" s="3" t="s">
        <v>47</v>
      </c>
      <c r="E288" s="3" t="s">
        <v>48</v>
      </c>
      <c r="F288" s="3" t="s">
        <v>25</v>
      </c>
      <c r="G288" s="3" t="s">
        <v>55</v>
      </c>
      <c r="H288" s="3" t="s">
        <v>77</v>
      </c>
      <c r="I288" s="3" t="s">
        <v>85</v>
      </c>
      <c r="J288" s="3" t="n">
        <v>10</v>
      </c>
      <c r="K288" s="3" t="n">
        <v>4514.1</v>
      </c>
      <c r="L288" s="3" t="n">
        <v>45141</v>
      </c>
      <c r="M288" s="3" t="n">
        <v>0.0892</v>
      </c>
      <c r="N288" s="3" t="n">
        <v>4026.58</v>
      </c>
      <c r="O288" s="3" t="n">
        <v>41114.42</v>
      </c>
      <c r="P288" s="3" t="n">
        <v>30695.88</v>
      </c>
      <c r="Q288" s="3" t="n">
        <v>10418.54</v>
      </c>
      <c r="R288" s="3" t="n">
        <v>0.2534</v>
      </c>
      <c r="S288" s="3" t="n">
        <v>0.0793</v>
      </c>
      <c r="T288" s="3" t="n">
        <v>0.0099</v>
      </c>
    </row>
    <row r="289" customFormat="false" ht="15" hidden="false" customHeight="true" outlineLevel="0" collapsed="false">
      <c r="A289" s="3" t="s">
        <v>621</v>
      </c>
      <c r="B289" s="3" t="s">
        <v>333</v>
      </c>
      <c r="C289" s="3" t="s">
        <v>68</v>
      </c>
      <c r="D289" s="3" t="s">
        <v>61</v>
      </c>
      <c r="E289" s="3" t="s">
        <v>33</v>
      </c>
      <c r="F289" s="3" t="s">
        <v>62</v>
      </c>
      <c r="G289" s="3" t="s">
        <v>49</v>
      </c>
      <c r="H289" s="3" t="s">
        <v>27</v>
      </c>
      <c r="I289" s="3" t="s">
        <v>117</v>
      </c>
      <c r="J289" s="3" t="n">
        <v>30</v>
      </c>
      <c r="K289" s="3" t="n">
        <v>17980.49</v>
      </c>
      <c r="L289" s="3" t="n">
        <v>539414.7</v>
      </c>
      <c r="M289" s="3" t="n">
        <v>0.0692</v>
      </c>
      <c r="N289" s="3" t="n">
        <v>37327.5</v>
      </c>
      <c r="O289" s="3" t="n">
        <v>502087.2</v>
      </c>
      <c r="P289" s="3" t="n">
        <v>334437.11</v>
      </c>
      <c r="Q289" s="3" t="n">
        <v>167650.09</v>
      </c>
      <c r="R289" s="3" t="n">
        <v>0.3339</v>
      </c>
      <c r="S289" s="3" t="n">
        <v>0.0654</v>
      </c>
      <c r="T289" s="3" t="n">
        <v>0.0038</v>
      </c>
    </row>
    <row r="290" customFormat="false" ht="15" hidden="false" customHeight="true" outlineLevel="0" collapsed="false">
      <c r="A290" s="3" t="s">
        <v>622</v>
      </c>
      <c r="B290" s="3" t="s">
        <v>623</v>
      </c>
      <c r="C290" s="3" t="s">
        <v>22</v>
      </c>
      <c r="D290" s="3" t="s">
        <v>83</v>
      </c>
      <c r="E290" s="3" t="s">
        <v>48</v>
      </c>
      <c r="F290" s="3" t="s">
        <v>62</v>
      </c>
      <c r="G290" s="3" t="s">
        <v>26</v>
      </c>
      <c r="H290" s="3" t="s">
        <v>27</v>
      </c>
      <c r="I290" s="3" t="s">
        <v>173</v>
      </c>
      <c r="J290" s="3" t="n">
        <v>21</v>
      </c>
      <c r="K290" s="3" t="n">
        <v>30296.42</v>
      </c>
      <c r="L290" s="3" t="n">
        <v>636224.82</v>
      </c>
      <c r="M290" s="3" t="n">
        <v>0.0334</v>
      </c>
      <c r="N290" s="3" t="n">
        <v>21249.91</v>
      </c>
      <c r="O290" s="3" t="n">
        <v>614974.91</v>
      </c>
      <c r="P290" s="3" t="n">
        <v>394459.39</v>
      </c>
      <c r="Q290" s="3" t="n">
        <v>220515.52</v>
      </c>
      <c r="R290" s="3" t="n">
        <v>0.3586</v>
      </c>
      <c r="S290" s="3" t="n">
        <v>0.0348</v>
      </c>
      <c r="T290" s="3" t="n">
        <v>-0.0014</v>
      </c>
    </row>
    <row r="291" customFormat="false" ht="15" hidden="false" customHeight="true" outlineLevel="0" collapsed="false">
      <c r="A291" s="3" t="s">
        <v>624</v>
      </c>
      <c r="B291" s="3" t="s">
        <v>625</v>
      </c>
      <c r="C291" s="3" t="s">
        <v>53</v>
      </c>
      <c r="D291" s="3" t="s">
        <v>61</v>
      </c>
      <c r="E291" s="3" t="s">
        <v>33</v>
      </c>
      <c r="F291" s="3" t="s">
        <v>62</v>
      </c>
      <c r="G291" s="3" t="s">
        <v>71</v>
      </c>
      <c r="H291" s="3" t="s">
        <v>27</v>
      </c>
      <c r="I291" s="3" t="s">
        <v>50</v>
      </c>
      <c r="J291" s="3" t="n">
        <v>11</v>
      </c>
      <c r="K291" s="3" t="n">
        <v>11499.61</v>
      </c>
      <c r="L291" s="3" t="n">
        <v>126495.71</v>
      </c>
      <c r="M291" s="3" t="n">
        <v>0.0765</v>
      </c>
      <c r="N291" s="3" t="n">
        <v>9676.92</v>
      </c>
      <c r="O291" s="3" t="n">
        <v>116818.79</v>
      </c>
      <c r="P291" s="3" t="n">
        <v>78427.34</v>
      </c>
      <c r="Q291" s="3" t="n">
        <v>38391.45</v>
      </c>
      <c r="R291" s="3" t="n">
        <v>0.3286</v>
      </c>
      <c r="S291" s="3" t="n">
        <v>0.073</v>
      </c>
      <c r="T291" s="3" t="n">
        <v>0.0035</v>
      </c>
    </row>
    <row r="292" customFormat="false" ht="15" hidden="false" customHeight="true" outlineLevel="0" collapsed="false">
      <c r="A292" s="3" t="s">
        <v>626</v>
      </c>
      <c r="B292" s="3" t="s">
        <v>627</v>
      </c>
      <c r="C292" s="3" t="s">
        <v>31</v>
      </c>
      <c r="D292" s="3" t="s">
        <v>107</v>
      </c>
      <c r="E292" s="3" t="s">
        <v>33</v>
      </c>
      <c r="F292" s="3" t="s">
        <v>70</v>
      </c>
      <c r="G292" s="3" t="s">
        <v>100</v>
      </c>
      <c r="H292" s="3" t="s">
        <v>64</v>
      </c>
      <c r="I292" s="3" t="s">
        <v>145</v>
      </c>
      <c r="J292" s="3" t="n">
        <v>30</v>
      </c>
      <c r="K292" s="3" t="n">
        <v>6837.32</v>
      </c>
      <c r="L292" s="3" t="n">
        <v>205119.6</v>
      </c>
      <c r="M292" s="3" t="n">
        <v>0.0416</v>
      </c>
      <c r="N292" s="3" t="n">
        <v>8532.98</v>
      </c>
      <c r="O292" s="3" t="n">
        <v>196586.62</v>
      </c>
      <c r="P292" s="3" t="n">
        <v>118969.37</v>
      </c>
      <c r="Q292" s="3" t="n">
        <v>77617.25</v>
      </c>
      <c r="R292" s="3" t="n">
        <v>0.3948</v>
      </c>
      <c r="S292" s="3" t="n">
        <v>0.0411</v>
      </c>
      <c r="T292" s="3" t="n">
        <v>0.0005</v>
      </c>
    </row>
    <row r="293" customFormat="false" ht="15" hidden="false" customHeight="true" outlineLevel="0" collapsed="false">
      <c r="A293" s="3" t="s">
        <v>628</v>
      </c>
      <c r="B293" s="3" t="s">
        <v>629</v>
      </c>
      <c r="C293" s="3" t="s">
        <v>113</v>
      </c>
      <c r="D293" s="3" t="s">
        <v>75</v>
      </c>
      <c r="E293" s="3" t="s">
        <v>39</v>
      </c>
      <c r="F293" s="3" t="s">
        <v>25</v>
      </c>
      <c r="G293" s="3" t="s">
        <v>104</v>
      </c>
      <c r="H293" s="3" t="s">
        <v>77</v>
      </c>
      <c r="I293" s="3" t="s">
        <v>78</v>
      </c>
      <c r="J293" s="3" t="n">
        <v>13</v>
      </c>
      <c r="K293" s="3" t="n">
        <v>4739.46</v>
      </c>
      <c r="L293" s="3" t="n">
        <v>61612.98</v>
      </c>
      <c r="M293" s="3" t="n">
        <v>0.147</v>
      </c>
      <c r="N293" s="3" t="n">
        <v>9057.11</v>
      </c>
      <c r="O293" s="3" t="n">
        <v>52555.87</v>
      </c>
      <c r="P293" s="3" t="n">
        <v>41896.83</v>
      </c>
      <c r="Q293" s="3" t="n">
        <v>10659.04</v>
      </c>
      <c r="R293" s="3" t="n">
        <v>0.2028</v>
      </c>
      <c r="S293" s="3" t="n">
        <v>0.1267</v>
      </c>
      <c r="T293" s="3" t="n">
        <v>0.0203</v>
      </c>
    </row>
    <row r="294" customFormat="false" ht="15" hidden="false" customHeight="true" outlineLevel="0" collapsed="false">
      <c r="A294" s="3" t="s">
        <v>630</v>
      </c>
      <c r="B294" s="3" t="s">
        <v>422</v>
      </c>
      <c r="C294" s="3" t="s">
        <v>93</v>
      </c>
      <c r="D294" s="3" t="s">
        <v>97</v>
      </c>
      <c r="E294" s="3" t="s">
        <v>48</v>
      </c>
      <c r="F294" s="3" t="s">
        <v>40</v>
      </c>
      <c r="G294" s="3" t="s">
        <v>116</v>
      </c>
      <c r="H294" s="3" t="s">
        <v>27</v>
      </c>
      <c r="I294" s="3" t="s">
        <v>94</v>
      </c>
      <c r="J294" s="3" t="n">
        <v>35</v>
      </c>
      <c r="K294" s="3" t="n">
        <v>33584.08</v>
      </c>
      <c r="L294" s="3" t="n">
        <v>1175442.8</v>
      </c>
      <c r="M294" s="3" t="n">
        <v>0.0724</v>
      </c>
      <c r="N294" s="3" t="n">
        <v>85102.06</v>
      </c>
      <c r="O294" s="3" t="n">
        <v>1090340.74</v>
      </c>
      <c r="P294" s="3" t="n">
        <v>728774.54</v>
      </c>
      <c r="Q294" s="3" t="n">
        <v>361566.2</v>
      </c>
      <c r="R294" s="3" t="n">
        <v>0.3316</v>
      </c>
      <c r="S294" s="3" t="n">
        <v>0.0604</v>
      </c>
      <c r="T294" s="3" t="n">
        <v>0.012</v>
      </c>
    </row>
    <row r="295" customFormat="false" ht="15" hidden="false" customHeight="true" outlineLevel="0" collapsed="false">
      <c r="A295" s="3" t="s">
        <v>631</v>
      </c>
      <c r="B295" s="3" t="s">
        <v>539</v>
      </c>
      <c r="C295" s="3" t="s">
        <v>37</v>
      </c>
      <c r="D295" s="3" t="s">
        <v>23</v>
      </c>
      <c r="E295" s="3" t="s">
        <v>24</v>
      </c>
      <c r="F295" s="3" t="s">
        <v>25</v>
      </c>
      <c r="G295" s="3" t="s">
        <v>71</v>
      </c>
      <c r="H295" s="3" t="s">
        <v>77</v>
      </c>
      <c r="I295" s="3" t="s">
        <v>85</v>
      </c>
      <c r="J295" s="3" t="n">
        <v>25</v>
      </c>
      <c r="K295" s="3" t="n">
        <v>2704.34</v>
      </c>
      <c r="L295" s="3" t="n">
        <v>67608.5</v>
      </c>
      <c r="M295" s="3" t="n">
        <v>0.1475</v>
      </c>
      <c r="N295" s="3" t="n">
        <v>9972.25</v>
      </c>
      <c r="O295" s="3" t="n">
        <v>57636.25</v>
      </c>
      <c r="P295" s="3" t="n">
        <v>45973.78</v>
      </c>
      <c r="Q295" s="3" t="n">
        <v>11662.47</v>
      </c>
      <c r="R295" s="3" t="n">
        <v>0.2023</v>
      </c>
      <c r="S295" s="3" t="n">
        <v>0.1336</v>
      </c>
      <c r="T295" s="3" t="n">
        <v>0.0139</v>
      </c>
    </row>
    <row r="296" customFormat="false" ht="15" hidden="false" customHeight="true" outlineLevel="0" collapsed="false">
      <c r="A296" s="3" t="s">
        <v>632</v>
      </c>
      <c r="B296" s="3" t="s">
        <v>633</v>
      </c>
      <c r="C296" s="3" t="s">
        <v>22</v>
      </c>
      <c r="D296" s="3" t="s">
        <v>83</v>
      </c>
      <c r="E296" s="3" t="s">
        <v>48</v>
      </c>
      <c r="F296" s="3" t="s">
        <v>62</v>
      </c>
      <c r="G296" s="3" t="s">
        <v>71</v>
      </c>
      <c r="H296" s="3" t="s">
        <v>56</v>
      </c>
      <c r="I296" s="3" t="s">
        <v>188</v>
      </c>
      <c r="J296" s="3" t="n">
        <v>20</v>
      </c>
      <c r="K296" s="3" t="n">
        <v>13295.81</v>
      </c>
      <c r="L296" s="3" t="n">
        <v>265916.2</v>
      </c>
      <c r="M296" s="3" t="n">
        <v>0.0759</v>
      </c>
      <c r="N296" s="3" t="n">
        <v>20183.04</v>
      </c>
      <c r="O296" s="3" t="n">
        <v>245733.16</v>
      </c>
      <c r="P296" s="3" t="n">
        <v>159549.72</v>
      </c>
      <c r="Q296" s="3" t="n">
        <v>86183.44</v>
      </c>
      <c r="R296" s="3" t="n">
        <v>0.3507</v>
      </c>
      <c r="S296" s="3" t="n">
        <v>0.0761</v>
      </c>
      <c r="T296" s="3" t="n">
        <v>-0.0002</v>
      </c>
    </row>
    <row r="297" customFormat="false" ht="15" hidden="false" customHeight="true" outlineLevel="0" collapsed="false">
      <c r="A297" s="3" t="s">
        <v>634</v>
      </c>
      <c r="B297" s="3" t="s">
        <v>635</v>
      </c>
      <c r="C297" s="3" t="s">
        <v>68</v>
      </c>
      <c r="D297" s="3" t="s">
        <v>103</v>
      </c>
      <c r="E297" s="3" t="s">
        <v>24</v>
      </c>
      <c r="F297" s="3" t="s">
        <v>62</v>
      </c>
      <c r="G297" s="3" t="s">
        <v>76</v>
      </c>
      <c r="H297" s="3" t="s">
        <v>27</v>
      </c>
      <c r="I297" s="3" t="s">
        <v>117</v>
      </c>
      <c r="J297" s="3" t="n">
        <v>24</v>
      </c>
      <c r="K297" s="3" t="n">
        <v>11742.36</v>
      </c>
      <c r="L297" s="3" t="n">
        <v>281816.64</v>
      </c>
      <c r="M297" s="3" t="n">
        <v>0.0647</v>
      </c>
      <c r="N297" s="3" t="n">
        <v>18233.54</v>
      </c>
      <c r="O297" s="3" t="n">
        <v>263583.1</v>
      </c>
      <c r="P297" s="3" t="n">
        <v>174726.32</v>
      </c>
      <c r="Q297" s="3" t="n">
        <v>88856.78</v>
      </c>
      <c r="R297" s="3" t="n">
        <v>0.3371</v>
      </c>
      <c r="S297" s="3" t="n">
        <v>0.0593</v>
      </c>
      <c r="T297" s="3" t="n">
        <v>0.0054</v>
      </c>
    </row>
    <row r="298" customFormat="false" ht="15" hidden="false" customHeight="true" outlineLevel="0" collapsed="false">
      <c r="A298" s="3" t="s">
        <v>636</v>
      </c>
      <c r="B298" s="3" t="s">
        <v>492</v>
      </c>
      <c r="C298" s="3" t="s">
        <v>60</v>
      </c>
      <c r="D298" s="3" t="s">
        <v>38</v>
      </c>
      <c r="E298" s="3" t="s">
        <v>39</v>
      </c>
      <c r="F298" s="3" t="s">
        <v>40</v>
      </c>
      <c r="G298" s="3" t="s">
        <v>63</v>
      </c>
      <c r="H298" s="3" t="s">
        <v>64</v>
      </c>
      <c r="I298" s="3" t="s">
        <v>90</v>
      </c>
      <c r="J298" s="3" t="n">
        <v>41</v>
      </c>
      <c r="K298" s="3" t="n">
        <v>4671.78</v>
      </c>
      <c r="L298" s="3" t="n">
        <v>191542.98</v>
      </c>
      <c r="M298" s="3" t="n">
        <v>0.0569</v>
      </c>
      <c r="N298" s="3" t="n">
        <v>10898.8</v>
      </c>
      <c r="O298" s="3" t="n">
        <v>180644.18</v>
      </c>
      <c r="P298" s="3" t="n">
        <v>111094.93</v>
      </c>
      <c r="Q298" s="3" t="n">
        <v>69549.25</v>
      </c>
      <c r="R298" s="3" t="n">
        <v>0.385</v>
      </c>
      <c r="S298" s="3" t="n">
        <v>0.055</v>
      </c>
      <c r="T298" s="3" t="n">
        <v>0.0019</v>
      </c>
    </row>
    <row r="299" customFormat="false" ht="15" hidden="false" customHeight="true" outlineLevel="0" collapsed="false">
      <c r="A299" s="3" t="s">
        <v>637</v>
      </c>
      <c r="B299" s="3" t="s">
        <v>155</v>
      </c>
      <c r="C299" s="3" t="s">
        <v>156</v>
      </c>
      <c r="D299" s="3" t="s">
        <v>83</v>
      </c>
      <c r="E299" s="3" t="s">
        <v>48</v>
      </c>
      <c r="F299" s="3" t="s">
        <v>62</v>
      </c>
      <c r="G299" s="3" t="s">
        <v>41</v>
      </c>
      <c r="H299" s="3" t="s">
        <v>42</v>
      </c>
      <c r="I299" s="3" t="s">
        <v>43</v>
      </c>
      <c r="J299" s="3" t="n">
        <v>29</v>
      </c>
      <c r="K299" s="3" t="n">
        <v>1601.03</v>
      </c>
      <c r="L299" s="3" t="n">
        <v>46429.87</v>
      </c>
      <c r="M299" s="3" t="n">
        <v>0.1156</v>
      </c>
      <c r="N299" s="3" t="n">
        <v>5367.29</v>
      </c>
      <c r="O299" s="3" t="n">
        <v>41062.58</v>
      </c>
      <c r="P299" s="3" t="n">
        <v>25536.43</v>
      </c>
      <c r="Q299" s="3" t="n">
        <v>15526.15</v>
      </c>
      <c r="R299" s="3" t="n">
        <v>0.3781</v>
      </c>
      <c r="S299" s="3" t="n">
        <v>0.1093</v>
      </c>
      <c r="T299" s="3" t="n">
        <v>0.0063</v>
      </c>
    </row>
    <row r="300" customFormat="false" ht="15" hidden="false" customHeight="true" outlineLevel="0" collapsed="false">
      <c r="A300" s="3" t="s">
        <v>638</v>
      </c>
      <c r="B300" s="3" t="s">
        <v>639</v>
      </c>
      <c r="C300" s="3" t="s">
        <v>31</v>
      </c>
      <c r="D300" s="3" t="s">
        <v>69</v>
      </c>
      <c r="E300" s="3" t="s">
        <v>39</v>
      </c>
      <c r="F300" s="3" t="s">
        <v>70</v>
      </c>
      <c r="G300" s="3" t="s">
        <v>100</v>
      </c>
      <c r="H300" s="3" t="s">
        <v>77</v>
      </c>
      <c r="I300" s="3" t="s">
        <v>85</v>
      </c>
      <c r="J300" s="3" t="n">
        <v>27</v>
      </c>
      <c r="K300" s="3" t="n">
        <v>4334.73</v>
      </c>
      <c r="L300" s="3" t="n">
        <v>117037.71</v>
      </c>
      <c r="M300" s="3" t="n">
        <v>0.0642</v>
      </c>
      <c r="N300" s="3" t="n">
        <v>7513.82</v>
      </c>
      <c r="O300" s="3" t="n">
        <v>109523.89</v>
      </c>
      <c r="P300" s="3" t="n">
        <v>79585.64</v>
      </c>
      <c r="Q300" s="3" t="n">
        <v>29938.25</v>
      </c>
      <c r="R300" s="3" t="n">
        <v>0.2733</v>
      </c>
      <c r="S300" s="3" t="n">
        <v>0.0651</v>
      </c>
      <c r="T300" s="3" t="n">
        <v>-0.0009</v>
      </c>
    </row>
    <row r="301" customFormat="false" ht="15" hidden="false" customHeight="true" outlineLevel="0" collapsed="false">
      <c r="A301" s="3" t="s">
        <v>640</v>
      </c>
      <c r="B301" s="3" t="s">
        <v>256</v>
      </c>
      <c r="C301" s="3" t="s">
        <v>53</v>
      </c>
      <c r="D301" s="3" t="s">
        <v>83</v>
      </c>
      <c r="E301" s="3" t="s">
        <v>48</v>
      </c>
      <c r="F301" s="3" t="s">
        <v>62</v>
      </c>
      <c r="G301" s="3" t="s">
        <v>116</v>
      </c>
      <c r="H301" s="3" t="s">
        <v>77</v>
      </c>
      <c r="I301" s="3" t="s">
        <v>131</v>
      </c>
      <c r="J301" s="3" t="n">
        <v>49</v>
      </c>
      <c r="K301" s="3" t="n">
        <v>3913.91</v>
      </c>
      <c r="L301" s="3" t="n">
        <v>191781.59</v>
      </c>
      <c r="M301" s="3" t="n">
        <v>0.0623</v>
      </c>
      <c r="N301" s="3" t="n">
        <v>11947.99</v>
      </c>
      <c r="O301" s="3" t="n">
        <v>179833.6</v>
      </c>
      <c r="P301" s="3" t="n">
        <v>130411.48</v>
      </c>
      <c r="Q301" s="3" t="n">
        <v>49422.12</v>
      </c>
      <c r="R301" s="3" t="n">
        <v>0.2748</v>
      </c>
      <c r="S301" s="3" t="n">
        <v>0.0599</v>
      </c>
      <c r="T301" s="3" t="n">
        <v>0.0024</v>
      </c>
    </row>
    <row r="302" customFormat="false" ht="15" hidden="false" customHeight="true" outlineLevel="0" collapsed="false">
      <c r="A302" s="3" t="s">
        <v>641</v>
      </c>
      <c r="B302" s="3" t="s">
        <v>642</v>
      </c>
      <c r="C302" s="3" t="s">
        <v>120</v>
      </c>
      <c r="D302" s="3" t="s">
        <v>75</v>
      </c>
      <c r="E302" s="3" t="s">
        <v>39</v>
      </c>
      <c r="F302" s="3" t="s">
        <v>25</v>
      </c>
      <c r="G302" s="3" t="s">
        <v>26</v>
      </c>
      <c r="H302" s="3" t="s">
        <v>77</v>
      </c>
      <c r="I302" s="3" t="s">
        <v>85</v>
      </c>
      <c r="J302" s="3" t="n">
        <v>32</v>
      </c>
      <c r="K302" s="3" t="n">
        <v>4908.23</v>
      </c>
      <c r="L302" s="3" t="n">
        <v>157063.36</v>
      </c>
      <c r="M302" s="3" t="n">
        <v>0.1065</v>
      </c>
      <c r="N302" s="3" t="n">
        <v>16727.25</v>
      </c>
      <c r="O302" s="3" t="n">
        <v>140336.11</v>
      </c>
      <c r="P302" s="3" t="n">
        <v>106803.08</v>
      </c>
      <c r="Q302" s="3" t="n">
        <v>33533.03</v>
      </c>
      <c r="R302" s="3" t="n">
        <v>0.2389</v>
      </c>
      <c r="S302" s="3" t="n">
        <v>0.0938</v>
      </c>
      <c r="T302" s="3" t="n">
        <v>0.0127</v>
      </c>
    </row>
    <row r="303" customFormat="false" ht="15" hidden="false" customHeight="true" outlineLevel="0" collapsed="false">
      <c r="A303" s="3" t="s">
        <v>643</v>
      </c>
      <c r="B303" s="3" t="s">
        <v>598</v>
      </c>
      <c r="C303" s="3" t="s">
        <v>120</v>
      </c>
      <c r="D303" s="3" t="s">
        <v>107</v>
      </c>
      <c r="E303" s="3" t="s">
        <v>33</v>
      </c>
      <c r="F303" s="3" t="s">
        <v>70</v>
      </c>
      <c r="G303" s="3" t="s">
        <v>104</v>
      </c>
      <c r="H303" s="3" t="s">
        <v>42</v>
      </c>
      <c r="I303" s="3" t="s">
        <v>72</v>
      </c>
      <c r="J303" s="3" t="n">
        <v>29</v>
      </c>
      <c r="K303" s="3" t="n">
        <v>3160.01</v>
      </c>
      <c r="L303" s="3" t="n">
        <v>91640.29</v>
      </c>
      <c r="M303" s="3" t="n">
        <v>0.1169</v>
      </c>
      <c r="N303" s="3" t="n">
        <v>10712.75</v>
      </c>
      <c r="O303" s="3" t="n">
        <v>80927.54</v>
      </c>
      <c r="P303" s="3" t="n">
        <v>50402.16</v>
      </c>
      <c r="Q303" s="3" t="n">
        <v>30525.38</v>
      </c>
      <c r="R303" s="3" t="n">
        <v>0.3772</v>
      </c>
      <c r="S303" s="3" t="n">
        <v>0.1193</v>
      </c>
      <c r="T303" s="3" t="n">
        <v>-0.0024</v>
      </c>
    </row>
    <row r="304" customFormat="false" ht="15" hidden="false" customHeight="true" outlineLevel="0" collapsed="false">
      <c r="A304" s="3" t="s">
        <v>644</v>
      </c>
      <c r="B304" s="3" t="s">
        <v>645</v>
      </c>
      <c r="C304" s="3" t="s">
        <v>120</v>
      </c>
      <c r="D304" s="3" t="s">
        <v>23</v>
      </c>
      <c r="E304" s="3" t="s">
        <v>24</v>
      </c>
      <c r="F304" s="3" t="s">
        <v>25</v>
      </c>
      <c r="G304" s="3" t="s">
        <v>104</v>
      </c>
      <c r="H304" s="3" t="s">
        <v>64</v>
      </c>
      <c r="I304" s="3" t="s">
        <v>145</v>
      </c>
      <c r="J304" s="3" t="n">
        <v>23</v>
      </c>
      <c r="K304" s="3" t="n">
        <v>7047.59</v>
      </c>
      <c r="L304" s="3" t="n">
        <v>162094.57</v>
      </c>
      <c r="M304" s="3" t="n">
        <v>0.1747</v>
      </c>
      <c r="N304" s="3" t="n">
        <v>28317.92</v>
      </c>
      <c r="O304" s="3" t="n">
        <v>133776.65</v>
      </c>
      <c r="P304" s="3" t="n">
        <v>94014.85</v>
      </c>
      <c r="Q304" s="3" t="n">
        <v>39761.8</v>
      </c>
      <c r="R304" s="3" t="n">
        <v>0.2972</v>
      </c>
      <c r="S304" s="3" t="n">
        <v>0.1804</v>
      </c>
      <c r="T304" s="3" t="n">
        <v>-0.0057</v>
      </c>
    </row>
    <row r="305" customFormat="false" ht="15" hidden="false" customHeight="true" outlineLevel="0" collapsed="false">
      <c r="A305" s="3" t="s">
        <v>646</v>
      </c>
      <c r="B305" s="3" t="s">
        <v>647</v>
      </c>
      <c r="C305" s="3" t="s">
        <v>60</v>
      </c>
      <c r="D305" s="3" t="s">
        <v>69</v>
      </c>
      <c r="E305" s="3" t="s">
        <v>39</v>
      </c>
      <c r="F305" s="3" t="s">
        <v>70</v>
      </c>
      <c r="G305" s="3" t="s">
        <v>26</v>
      </c>
      <c r="H305" s="3" t="s">
        <v>64</v>
      </c>
      <c r="I305" s="3" t="s">
        <v>145</v>
      </c>
      <c r="J305" s="3" t="n">
        <v>28</v>
      </c>
      <c r="K305" s="3" t="n">
        <v>8492.36</v>
      </c>
      <c r="L305" s="3" t="n">
        <v>237786.08</v>
      </c>
      <c r="M305" s="3" t="n">
        <v>0.0383</v>
      </c>
      <c r="N305" s="3" t="n">
        <v>9107.21</v>
      </c>
      <c r="O305" s="3" t="n">
        <v>228678.87</v>
      </c>
      <c r="P305" s="3" t="n">
        <v>137915.93</v>
      </c>
      <c r="Q305" s="3" t="n">
        <v>90762.94</v>
      </c>
      <c r="R305" s="3" t="n">
        <v>0.3969</v>
      </c>
      <c r="S305" s="3" t="n">
        <v>0.0397</v>
      </c>
      <c r="T305" s="3" t="n">
        <v>-0.0014</v>
      </c>
    </row>
    <row r="306" customFormat="false" ht="15" hidden="false" customHeight="true" outlineLevel="0" collapsed="false">
      <c r="A306" s="3" t="s">
        <v>648</v>
      </c>
      <c r="B306" s="3" t="s">
        <v>649</v>
      </c>
      <c r="C306" s="3" t="s">
        <v>37</v>
      </c>
      <c r="D306" s="3" t="s">
        <v>69</v>
      </c>
      <c r="E306" s="3" t="s">
        <v>39</v>
      </c>
      <c r="F306" s="3" t="s">
        <v>70</v>
      </c>
      <c r="G306" s="3" t="s">
        <v>49</v>
      </c>
      <c r="H306" s="3" t="s">
        <v>27</v>
      </c>
      <c r="I306" s="3" t="s">
        <v>94</v>
      </c>
      <c r="J306" s="3" t="n">
        <v>39</v>
      </c>
      <c r="K306" s="3" t="n">
        <v>25032.99</v>
      </c>
      <c r="L306" s="3" t="n">
        <v>976286.61</v>
      </c>
      <c r="M306" s="3" t="n">
        <v>0.0569</v>
      </c>
      <c r="N306" s="3" t="n">
        <v>55550.71</v>
      </c>
      <c r="O306" s="3" t="n">
        <v>920735.9</v>
      </c>
      <c r="P306" s="3" t="n">
        <v>605297.7</v>
      </c>
      <c r="Q306" s="3" t="n">
        <v>315438.2</v>
      </c>
      <c r="R306" s="3" t="n">
        <v>0.3426</v>
      </c>
      <c r="S306" s="3" t="n">
        <v>0.0623</v>
      </c>
      <c r="T306" s="3" t="n">
        <v>-0.0054</v>
      </c>
    </row>
    <row r="307" customFormat="false" ht="15" hidden="false" customHeight="true" outlineLevel="0" collapsed="false">
      <c r="A307" s="3" t="s">
        <v>650</v>
      </c>
      <c r="B307" s="3" t="s">
        <v>583</v>
      </c>
      <c r="C307" s="3" t="s">
        <v>120</v>
      </c>
      <c r="D307" s="3" t="s">
        <v>54</v>
      </c>
      <c r="E307" s="3" t="s">
        <v>24</v>
      </c>
      <c r="F307" s="3" t="s">
        <v>40</v>
      </c>
      <c r="G307" s="3" t="s">
        <v>76</v>
      </c>
      <c r="H307" s="3" t="s">
        <v>42</v>
      </c>
      <c r="I307" s="3" t="s">
        <v>72</v>
      </c>
      <c r="J307" s="3" t="n">
        <v>33</v>
      </c>
      <c r="K307" s="3" t="n">
        <v>3833.39</v>
      </c>
      <c r="L307" s="3" t="n">
        <v>126501.87</v>
      </c>
      <c r="M307" s="3" t="n">
        <v>0.0793</v>
      </c>
      <c r="N307" s="3" t="n">
        <v>10031.6</v>
      </c>
      <c r="O307" s="3" t="n">
        <v>116470.27</v>
      </c>
      <c r="P307" s="3" t="n">
        <v>69576.03</v>
      </c>
      <c r="Q307" s="3" t="n">
        <v>46894.24</v>
      </c>
      <c r="R307" s="3" t="n">
        <v>0.4026</v>
      </c>
      <c r="S307" s="3" t="n">
        <v>0.0666</v>
      </c>
      <c r="T307" s="3" t="n">
        <v>0.0127</v>
      </c>
    </row>
    <row r="308" customFormat="false" ht="15" hidden="false" customHeight="true" outlineLevel="0" collapsed="false">
      <c r="A308" s="3" t="s">
        <v>651</v>
      </c>
      <c r="B308" s="3" t="s">
        <v>652</v>
      </c>
      <c r="C308" s="3" t="s">
        <v>53</v>
      </c>
      <c r="D308" s="3" t="s">
        <v>47</v>
      </c>
      <c r="E308" s="3" t="s">
        <v>48</v>
      </c>
      <c r="F308" s="3" t="s">
        <v>25</v>
      </c>
      <c r="G308" s="3" t="s">
        <v>71</v>
      </c>
      <c r="H308" s="3" t="s">
        <v>27</v>
      </c>
      <c r="I308" s="3" t="s">
        <v>50</v>
      </c>
      <c r="J308" s="3" t="n">
        <v>9</v>
      </c>
      <c r="K308" s="3" t="n">
        <v>12060.42</v>
      </c>
      <c r="L308" s="3" t="n">
        <v>108543.78</v>
      </c>
      <c r="M308" s="3" t="n">
        <v>0.1394</v>
      </c>
      <c r="N308" s="3" t="n">
        <v>15131</v>
      </c>
      <c r="O308" s="3" t="n">
        <v>93412.78</v>
      </c>
      <c r="P308" s="3" t="n">
        <v>67297.14</v>
      </c>
      <c r="Q308" s="3" t="n">
        <v>26115.64</v>
      </c>
      <c r="R308" s="3" t="n">
        <v>0.2796</v>
      </c>
      <c r="S308" s="3" t="n">
        <v>0.1434</v>
      </c>
      <c r="T308" s="3" t="n">
        <v>-0.004</v>
      </c>
    </row>
    <row r="309" customFormat="false" ht="15" hidden="false" customHeight="true" outlineLevel="0" collapsed="false">
      <c r="A309" s="3" t="s">
        <v>653</v>
      </c>
      <c r="B309" s="3" t="s">
        <v>341</v>
      </c>
      <c r="C309" s="3" t="s">
        <v>120</v>
      </c>
      <c r="D309" s="3" t="s">
        <v>23</v>
      </c>
      <c r="E309" s="3" t="s">
        <v>24</v>
      </c>
      <c r="F309" s="3" t="s">
        <v>25</v>
      </c>
      <c r="G309" s="3" t="s">
        <v>41</v>
      </c>
      <c r="H309" s="3" t="s">
        <v>77</v>
      </c>
      <c r="I309" s="3" t="s">
        <v>78</v>
      </c>
      <c r="J309" s="3" t="n">
        <v>18</v>
      </c>
      <c r="K309" s="3" t="n">
        <v>3971.64</v>
      </c>
      <c r="L309" s="3" t="n">
        <v>71489.52</v>
      </c>
      <c r="M309" s="3" t="n">
        <v>0.1544</v>
      </c>
      <c r="N309" s="3" t="n">
        <v>11037.98</v>
      </c>
      <c r="O309" s="3" t="n">
        <v>60451.54</v>
      </c>
      <c r="P309" s="3" t="n">
        <v>48612.87</v>
      </c>
      <c r="Q309" s="3" t="n">
        <v>11838.67</v>
      </c>
      <c r="R309" s="3" t="n">
        <v>0.1958</v>
      </c>
      <c r="S309" s="3" t="n">
        <v>0.1422</v>
      </c>
      <c r="T309" s="3" t="n">
        <v>0.0122</v>
      </c>
    </row>
    <row r="310" customFormat="false" ht="15" hidden="false" customHeight="true" outlineLevel="0" collapsed="false">
      <c r="A310" s="3" t="s">
        <v>654</v>
      </c>
      <c r="B310" s="3" t="s">
        <v>655</v>
      </c>
      <c r="C310" s="3" t="s">
        <v>156</v>
      </c>
      <c r="D310" s="3" t="s">
        <v>97</v>
      </c>
      <c r="E310" s="3" t="s">
        <v>48</v>
      </c>
      <c r="F310" s="3" t="s">
        <v>40</v>
      </c>
      <c r="G310" s="3" t="s">
        <v>49</v>
      </c>
      <c r="H310" s="3" t="s">
        <v>42</v>
      </c>
      <c r="I310" s="3" t="s">
        <v>72</v>
      </c>
      <c r="J310" s="3" t="n">
        <v>32</v>
      </c>
      <c r="K310" s="3" t="n">
        <v>2091.43</v>
      </c>
      <c r="L310" s="3" t="n">
        <v>66925.76</v>
      </c>
      <c r="M310" s="3" t="n">
        <v>0.0464</v>
      </c>
      <c r="N310" s="3" t="n">
        <v>3105.36</v>
      </c>
      <c r="O310" s="3" t="n">
        <v>63820.4</v>
      </c>
      <c r="P310" s="3" t="n">
        <v>36809.17</v>
      </c>
      <c r="Q310" s="3" t="n">
        <v>27011.23</v>
      </c>
      <c r="R310" s="3" t="n">
        <v>0.4232</v>
      </c>
      <c r="S310" s="3" t="n">
        <v>0.0492</v>
      </c>
      <c r="T310" s="3" t="n">
        <v>-0.0028</v>
      </c>
    </row>
    <row r="311" customFormat="false" ht="15" hidden="false" customHeight="true" outlineLevel="0" collapsed="false">
      <c r="A311" s="3" t="s">
        <v>656</v>
      </c>
      <c r="B311" s="3" t="s">
        <v>657</v>
      </c>
      <c r="C311" s="3" t="s">
        <v>68</v>
      </c>
      <c r="D311" s="3" t="s">
        <v>97</v>
      </c>
      <c r="E311" s="3" t="s">
        <v>48</v>
      </c>
      <c r="F311" s="3" t="s">
        <v>40</v>
      </c>
      <c r="G311" s="3" t="s">
        <v>71</v>
      </c>
      <c r="H311" s="3" t="s">
        <v>27</v>
      </c>
      <c r="I311" s="3" t="s">
        <v>173</v>
      </c>
      <c r="J311" s="3" t="n">
        <v>23</v>
      </c>
      <c r="K311" s="3" t="n">
        <v>29252.6</v>
      </c>
      <c r="L311" s="3" t="n">
        <v>672809.8</v>
      </c>
      <c r="M311" s="3" t="n">
        <v>0.0725</v>
      </c>
      <c r="N311" s="3" t="n">
        <v>48778.71</v>
      </c>
      <c r="O311" s="3" t="n">
        <v>624031.09</v>
      </c>
      <c r="P311" s="3" t="n">
        <v>417142.08</v>
      </c>
      <c r="Q311" s="3" t="n">
        <v>206889.01</v>
      </c>
      <c r="R311" s="3" t="n">
        <v>0.3315</v>
      </c>
      <c r="S311" s="3" t="n">
        <v>0.0667</v>
      </c>
      <c r="T311" s="3" t="n">
        <v>0.0058</v>
      </c>
    </row>
    <row r="312" customFormat="false" ht="15" hidden="false" customHeight="true" outlineLevel="0" collapsed="false">
      <c r="A312" s="3" t="s">
        <v>658</v>
      </c>
      <c r="B312" s="3" t="s">
        <v>659</v>
      </c>
      <c r="C312" s="3" t="s">
        <v>93</v>
      </c>
      <c r="D312" s="3" t="s">
        <v>47</v>
      </c>
      <c r="E312" s="3" t="s">
        <v>48</v>
      </c>
      <c r="F312" s="3" t="s">
        <v>25</v>
      </c>
      <c r="G312" s="3" t="s">
        <v>76</v>
      </c>
      <c r="H312" s="3" t="s">
        <v>64</v>
      </c>
      <c r="I312" s="3" t="s">
        <v>90</v>
      </c>
      <c r="J312" s="3" t="n">
        <v>19</v>
      </c>
      <c r="K312" s="3" t="n">
        <v>5905.79</v>
      </c>
      <c r="L312" s="3" t="n">
        <v>112210.01</v>
      </c>
      <c r="M312" s="3" t="n">
        <v>0.1331</v>
      </c>
      <c r="N312" s="3" t="n">
        <v>14935.15</v>
      </c>
      <c r="O312" s="3" t="n">
        <v>97274.86</v>
      </c>
      <c r="P312" s="3" t="n">
        <v>65081.81</v>
      </c>
      <c r="Q312" s="3" t="n">
        <v>32193.05</v>
      </c>
      <c r="R312" s="3" t="n">
        <v>0.3309</v>
      </c>
      <c r="S312" s="3" t="n">
        <v>0.138</v>
      </c>
      <c r="T312" s="3" t="n">
        <v>-0.0049</v>
      </c>
    </row>
    <row r="313" customFormat="false" ht="15" hidden="false" customHeight="true" outlineLevel="0" collapsed="false">
      <c r="A313" s="3" t="s">
        <v>660</v>
      </c>
      <c r="B313" s="3" t="s">
        <v>661</v>
      </c>
      <c r="C313" s="3" t="s">
        <v>93</v>
      </c>
      <c r="D313" s="3" t="s">
        <v>23</v>
      </c>
      <c r="E313" s="3" t="s">
        <v>24</v>
      </c>
      <c r="F313" s="3" t="s">
        <v>25</v>
      </c>
      <c r="G313" s="3" t="s">
        <v>116</v>
      </c>
      <c r="H313" s="3" t="s">
        <v>27</v>
      </c>
      <c r="I313" s="3" t="s">
        <v>28</v>
      </c>
      <c r="J313" s="3" t="n">
        <v>30</v>
      </c>
      <c r="K313" s="3" t="n">
        <v>28037.74</v>
      </c>
      <c r="L313" s="3" t="n">
        <v>841132.2</v>
      </c>
      <c r="M313" s="3" t="n">
        <v>0.1715</v>
      </c>
      <c r="N313" s="3" t="n">
        <v>144254.17</v>
      </c>
      <c r="O313" s="3" t="n">
        <v>696878.03</v>
      </c>
      <c r="P313" s="3" t="n">
        <v>521501.96</v>
      </c>
      <c r="Q313" s="3" t="n">
        <v>175376.07</v>
      </c>
      <c r="R313" s="3" t="n">
        <v>0.2517</v>
      </c>
      <c r="S313" s="3" t="n">
        <v>0.1372</v>
      </c>
      <c r="T313" s="3" t="n">
        <v>0.0343</v>
      </c>
    </row>
    <row r="314" customFormat="false" ht="15" hidden="false" customHeight="true" outlineLevel="0" collapsed="false">
      <c r="A314" s="3" t="s">
        <v>662</v>
      </c>
      <c r="B314" s="3" t="s">
        <v>663</v>
      </c>
      <c r="C314" s="3" t="s">
        <v>22</v>
      </c>
      <c r="D314" s="3" t="s">
        <v>47</v>
      </c>
      <c r="E314" s="3" t="s">
        <v>48</v>
      </c>
      <c r="F314" s="3" t="s">
        <v>25</v>
      </c>
      <c r="G314" s="3" t="s">
        <v>71</v>
      </c>
      <c r="H314" s="3" t="s">
        <v>64</v>
      </c>
      <c r="I314" s="3" t="s">
        <v>108</v>
      </c>
      <c r="J314" s="3" t="n">
        <v>18</v>
      </c>
      <c r="K314" s="3" t="n">
        <v>5716.79</v>
      </c>
      <c r="L314" s="3" t="n">
        <v>102902.22</v>
      </c>
      <c r="M314" s="3" t="n">
        <v>0.1035</v>
      </c>
      <c r="N314" s="3" t="n">
        <v>10650.38</v>
      </c>
      <c r="O314" s="3" t="n">
        <v>92251.84</v>
      </c>
      <c r="P314" s="3" t="n">
        <v>59683.29</v>
      </c>
      <c r="Q314" s="3" t="n">
        <v>32568.55</v>
      </c>
      <c r="R314" s="3" t="n">
        <v>0.353</v>
      </c>
      <c r="S314" s="3" t="n">
        <v>0.0943</v>
      </c>
      <c r="T314" s="3" t="n">
        <v>0.0092</v>
      </c>
    </row>
    <row r="315" customFormat="false" ht="15" hidden="false" customHeight="true" outlineLevel="0" collapsed="false">
      <c r="A315" s="3" t="s">
        <v>664</v>
      </c>
      <c r="B315" s="3" t="s">
        <v>532</v>
      </c>
      <c r="C315" s="3" t="s">
        <v>120</v>
      </c>
      <c r="D315" s="3" t="s">
        <v>23</v>
      </c>
      <c r="E315" s="3" t="s">
        <v>24</v>
      </c>
      <c r="F315" s="3" t="s">
        <v>25</v>
      </c>
      <c r="G315" s="3" t="s">
        <v>63</v>
      </c>
      <c r="H315" s="3" t="s">
        <v>64</v>
      </c>
      <c r="I315" s="3" t="s">
        <v>65</v>
      </c>
      <c r="J315" s="3" t="n">
        <v>47</v>
      </c>
      <c r="K315" s="3" t="n">
        <v>8630.44</v>
      </c>
      <c r="L315" s="3" t="n">
        <v>405630.68</v>
      </c>
      <c r="M315" s="3" t="n">
        <v>0.1237</v>
      </c>
      <c r="N315" s="3" t="n">
        <v>50176.52</v>
      </c>
      <c r="O315" s="3" t="n">
        <v>355454.16</v>
      </c>
      <c r="P315" s="3" t="n">
        <v>235265.79</v>
      </c>
      <c r="Q315" s="3" t="n">
        <v>120188.37</v>
      </c>
      <c r="R315" s="3" t="n">
        <v>0.3381</v>
      </c>
      <c r="S315" s="3" t="n">
        <v>0.1251</v>
      </c>
      <c r="T315" s="3" t="n">
        <v>-0.0014</v>
      </c>
    </row>
    <row r="316" customFormat="false" ht="15" hidden="false" customHeight="true" outlineLevel="0" collapsed="false">
      <c r="A316" s="3" t="s">
        <v>665</v>
      </c>
      <c r="B316" s="3" t="s">
        <v>666</v>
      </c>
      <c r="C316" s="3" t="s">
        <v>37</v>
      </c>
      <c r="D316" s="3" t="s">
        <v>32</v>
      </c>
      <c r="E316" s="3" t="s">
        <v>33</v>
      </c>
      <c r="F316" s="3" t="s">
        <v>25</v>
      </c>
      <c r="G316" s="3" t="s">
        <v>116</v>
      </c>
      <c r="H316" s="3" t="s">
        <v>64</v>
      </c>
      <c r="I316" s="3" t="s">
        <v>90</v>
      </c>
      <c r="J316" s="3" t="n">
        <v>15</v>
      </c>
      <c r="K316" s="3" t="n">
        <v>4194.3</v>
      </c>
      <c r="L316" s="3" t="n">
        <v>62914.5</v>
      </c>
      <c r="M316" s="3" t="n">
        <v>0.1519</v>
      </c>
      <c r="N316" s="3" t="n">
        <v>9556.71</v>
      </c>
      <c r="O316" s="3" t="n">
        <v>53357.79</v>
      </c>
      <c r="P316" s="3" t="n">
        <v>36490.41</v>
      </c>
      <c r="Q316" s="3" t="n">
        <v>16867.38</v>
      </c>
      <c r="R316" s="3" t="n">
        <v>0.3161</v>
      </c>
      <c r="S316" s="3" t="n">
        <v>0.1588</v>
      </c>
      <c r="T316" s="3" t="n">
        <v>-0.0069</v>
      </c>
    </row>
    <row r="317" customFormat="false" ht="15" hidden="false" customHeight="true" outlineLevel="0" collapsed="false">
      <c r="A317" s="3" t="s">
        <v>667</v>
      </c>
      <c r="B317" s="3" t="s">
        <v>668</v>
      </c>
      <c r="C317" s="3" t="s">
        <v>126</v>
      </c>
      <c r="D317" s="3" t="s">
        <v>47</v>
      </c>
      <c r="E317" s="3" t="s">
        <v>48</v>
      </c>
      <c r="F317" s="3" t="s">
        <v>25</v>
      </c>
      <c r="G317" s="3" t="s">
        <v>116</v>
      </c>
      <c r="H317" s="3" t="s">
        <v>64</v>
      </c>
      <c r="I317" s="3" t="s">
        <v>90</v>
      </c>
      <c r="J317" s="3" t="n">
        <v>6</v>
      </c>
      <c r="K317" s="3" t="n">
        <v>5060.52</v>
      </c>
      <c r="L317" s="3" t="n">
        <v>30363.12</v>
      </c>
      <c r="M317" s="3" t="n">
        <v>0.1473</v>
      </c>
      <c r="N317" s="3" t="n">
        <v>4472.49</v>
      </c>
      <c r="O317" s="3" t="n">
        <v>25890.63</v>
      </c>
      <c r="P317" s="3" t="n">
        <v>17610.61</v>
      </c>
      <c r="Q317" s="3" t="n">
        <v>8280.02</v>
      </c>
      <c r="R317" s="3" t="n">
        <v>0.3198</v>
      </c>
      <c r="S317" s="3" t="n">
        <v>0.1239</v>
      </c>
      <c r="T317" s="3" t="n">
        <v>0.0234</v>
      </c>
    </row>
    <row r="318" customFormat="false" ht="15" hidden="false" customHeight="true" outlineLevel="0" collapsed="false">
      <c r="A318" s="3" t="s">
        <v>669</v>
      </c>
      <c r="B318" s="3" t="s">
        <v>670</v>
      </c>
      <c r="C318" s="3" t="s">
        <v>113</v>
      </c>
      <c r="D318" s="3" t="s">
        <v>75</v>
      </c>
      <c r="E318" s="3" t="s">
        <v>39</v>
      </c>
      <c r="F318" s="3" t="s">
        <v>25</v>
      </c>
      <c r="G318" s="3" t="s">
        <v>100</v>
      </c>
      <c r="H318" s="3" t="s">
        <v>64</v>
      </c>
      <c r="I318" s="3" t="s">
        <v>65</v>
      </c>
      <c r="J318" s="3" t="n">
        <v>40</v>
      </c>
      <c r="K318" s="3" t="n">
        <v>8069.62</v>
      </c>
      <c r="L318" s="3" t="n">
        <v>322784.8</v>
      </c>
      <c r="M318" s="3" t="n">
        <v>0.1377</v>
      </c>
      <c r="N318" s="3" t="n">
        <v>44447.47</v>
      </c>
      <c r="O318" s="3" t="n">
        <v>278337.33</v>
      </c>
      <c r="P318" s="3" t="n">
        <v>187215.18</v>
      </c>
      <c r="Q318" s="3" t="n">
        <v>91122.15</v>
      </c>
      <c r="R318" s="3" t="n">
        <v>0.3274</v>
      </c>
      <c r="S318" s="3" t="n">
        <v>0.1361</v>
      </c>
      <c r="T318" s="3" t="n">
        <v>0.0016</v>
      </c>
    </row>
    <row r="319" customFormat="false" ht="15" hidden="false" customHeight="true" outlineLevel="0" collapsed="false">
      <c r="A319" s="3" t="s">
        <v>671</v>
      </c>
      <c r="B319" s="3" t="s">
        <v>672</v>
      </c>
      <c r="C319" s="3" t="s">
        <v>120</v>
      </c>
      <c r="D319" s="3" t="s">
        <v>75</v>
      </c>
      <c r="E319" s="3" t="s">
        <v>39</v>
      </c>
      <c r="F319" s="3" t="s">
        <v>25</v>
      </c>
      <c r="G319" s="3" t="s">
        <v>71</v>
      </c>
      <c r="H319" s="3" t="s">
        <v>77</v>
      </c>
      <c r="I319" s="3" t="s">
        <v>85</v>
      </c>
      <c r="J319" s="3" t="n">
        <v>14</v>
      </c>
      <c r="K319" s="3" t="n">
        <v>3323.44</v>
      </c>
      <c r="L319" s="3" t="n">
        <v>46528.16</v>
      </c>
      <c r="M319" s="3" t="n">
        <v>0.0824</v>
      </c>
      <c r="N319" s="3" t="n">
        <v>3833.92</v>
      </c>
      <c r="O319" s="3" t="n">
        <v>42694.24</v>
      </c>
      <c r="P319" s="3" t="n">
        <v>31639.15</v>
      </c>
      <c r="Q319" s="3" t="n">
        <v>11055.09</v>
      </c>
      <c r="R319" s="3" t="n">
        <v>0.2589</v>
      </c>
      <c r="S319" s="3" t="n">
        <v>0.0805</v>
      </c>
      <c r="T319" s="3" t="n">
        <v>0.0019</v>
      </c>
    </row>
    <row r="320" customFormat="false" ht="15" hidden="false" customHeight="true" outlineLevel="0" collapsed="false">
      <c r="A320" s="3" t="s">
        <v>673</v>
      </c>
      <c r="B320" s="3" t="s">
        <v>674</v>
      </c>
      <c r="C320" s="3" t="s">
        <v>126</v>
      </c>
      <c r="D320" s="3" t="s">
        <v>47</v>
      </c>
      <c r="E320" s="3" t="s">
        <v>48</v>
      </c>
      <c r="F320" s="3" t="s">
        <v>25</v>
      </c>
      <c r="G320" s="3" t="s">
        <v>49</v>
      </c>
      <c r="H320" s="3" t="s">
        <v>42</v>
      </c>
      <c r="I320" s="3" t="s">
        <v>134</v>
      </c>
      <c r="J320" s="3" t="n">
        <v>16</v>
      </c>
      <c r="K320" s="3" t="n">
        <v>3268.77</v>
      </c>
      <c r="L320" s="3" t="n">
        <v>52300.32</v>
      </c>
      <c r="M320" s="3" t="n">
        <v>0.0906</v>
      </c>
      <c r="N320" s="3" t="n">
        <v>4738.41</v>
      </c>
      <c r="O320" s="3" t="n">
        <v>47561.91</v>
      </c>
      <c r="P320" s="3" t="n">
        <v>28765.18</v>
      </c>
      <c r="Q320" s="3" t="n">
        <v>18796.73</v>
      </c>
      <c r="R320" s="3" t="n">
        <v>0.3952</v>
      </c>
      <c r="S320" s="3" t="n">
        <v>0.0936</v>
      </c>
      <c r="T320" s="3" t="n">
        <v>-0.003</v>
      </c>
    </row>
    <row r="321" customFormat="false" ht="15" hidden="false" customHeight="true" outlineLevel="0" collapsed="false">
      <c r="A321" s="3" t="s">
        <v>675</v>
      </c>
      <c r="B321" s="3" t="s">
        <v>676</v>
      </c>
      <c r="C321" s="3" t="s">
        <v>22</v>
      </c>
      <c r="D321" s="3" t="s">
        <v>97</v>
      </c>
      <c r="E321" s="3" t="s">
        <v>48</v>
      </c>
      <c r="F321" s="3" t="s">
        <v>40</v>
      </c>
      <c r="G321" s="3" t="s">
        <v>34</v>
      </c>
      <c r="H321" s="3" t="s">
        <v>27</v>
      </c>
      <c r="I321" s="3" t="s">
        <v>50</v>
      </c>
      <c r="J321" s="3" t="n">
        <v>33</v>
      </c>
      <c r="K321" s="3" t="n">
        <v>24567.97</v>
      </c>
      <c r="L321" s="3" t="n">
        <v>810743.01</v>
      </c>
      <c r="M321" s="3" t="n">
        <v>0.0751</v>
      </c>
      <c r="N321" s="3" t="n">
        <v>60886.8</v>
      </c>
      <c r="O321" s="3" t="n">
        <v>749856.21</v>
      </c>
      <c r="P321" s="3" t="n">
        <v>502660.67</v>
      </c>
      <c r="Q321" s="3" t="n">
        <v>247195.54</v>
      </c>
      <c r="R321" s="3" t="n">
        <v>0.3297</v>
      </c>
      <c r="S321" s="3" t="n">
        <v>0.0777</v>
      </c>
      <c r="T321" s="3" t="n">
        <v>-0.0026</v>
      </c>
    </row>
    <row r="322" customFormat="false" ht="15" hidden="false" customHeight="true" outlineLevel="0" collapsed="false">
      <c r="A322" s="3" t="s">
        <v>677</v>
      </c>
      <c r="B322" s="3" t="s">
        <v>678</v>
      </c>
      <c r="C322" s="3" t="s">
        <v>156</v>
      </c>
      <c r="D322" s="3" t="s">
        <v>69</v>
      </c>
      <c r="E322" s="3" t="s">
        <v>39</v>
      </c>
      <c r="F322" s="3" t="s">
        <v>70</v>
      </c>
      <c r="G322" s="3" t="s">
        <v>116</v>
      </c>
      <c r="H322" s="3" t="s">
        <v>77</v>
      </c>
      <c r="I322" s="3" t="s">
        <v>78</v>
      </c>
      <c r="J322" s="3" t="n">
        <v>41</v>
      </c>
      <c r="K322" s="3" t="n">
        <v>2357.19</v>
      </c>
      <c r="L322" s="3" t="n">
        <v>96644.79</v>
      </c>
      <c r="M322" s="3" t="n">
        <v>0.1008</v>
      </c>
      <c r="N322" s="3" t="n">
        <v>9741.79</v>
      </c>
      <c r="O322" s="3" t="n">
        <v>86903</v>
      </c>
      <c r="P322" s="3" t="n">
        <v>65718.46</v>
      </c>
      <c r="Q322" s="3" t="n">
        <v>21184.54</v>
      </c>
      <c r="R322" s="3" t="n">
        <v>0.2438</v>
      </c>
      <c r="S322" s="3" t="n">
        <v>0.1105</v>
      </c>
      <c r="T322" s="3" t="n">
        <v>-0.0097</v>
      </c>
    </row>
    <row r="323" customFormat="false" ht="15" hidden="false" customHeight="true" outlineLevel="0" collapsed="false">
      <c r="A323" s="3" t="s">
        <v>679</v>
      </c>
      <c r="B323" s="3" t="s">
        <v>680</v>
      </c>
      <c r="C323" s="3" t="s">
        <v>93</v>
      </c>
      <c r="D323" s="3" t="s">
        <v>103</v>
      </c>
      <c r="E323" s="3" t="s">
        <v>24</v>
      </c>
      <c r="F323" s="3" t="s">
        <v>62</v>
      </c>
      <c r="G323" s="3" t="s">
        <v>55</v>
      </c>
      <c r="H323" s="3" t="s">
        <v>64</v>
      </c>
      <c r="I323" s="3" t="s">
        <v>90</v>
      </c>
      <c r="J323" s="3" t="n">
        <v>35</v>
      </c>
      <c r="K323" s="3" t="n">
        <v>6787.77</v>
      </c>
      <c r="L323" s="3" t="n">
        <v>237571.95</v>
      </c>
      <c r="M323" s="3" t="n">
        <v>0.0641</v>
      </c>
      <c r="N323" s="3" t="n">
        <v>15228.36</v>
      </c>
      <c r="O323" s="3" t="n">
        <v>222343.59</v>
      </c>
      <c r="P323" s="3" t="n">
        <v>137791.73</v>
      </c>
      <c r="Q323" s="3" t="n">
        <v>84551.86</v>
      </c>
      <c r="R323" s="3" t="n">
        <v>0.3803</v>
      </c>
      <c r="S323" s="3" t="n">
        <v>0.0697</v>
      </c>
      <c r="T323" s="3" t="n">
        <v>-0.0056</v>
      </c>
    </row>
    <row r="324" customFormat="false" ht="15" hidden="false" customHeight="true" outlineLevel="0" collapsed="false">
      <c r="A324" s="3" t="s">
        <v>681</v>
      </c>
      <c r="B324" s="3" t="s">
        <v>587</v>
      </c>
      <c r="C324" s="3" t="s">
        <v>46</v>
      </c>
      <c r="D324" s="3" t="s">
        <v>61</v>
      </c>
      <c r="E324" s="3" t="s">
        <v>33</v>
      </c>
      <c r="F324" s="3" t="s">
        <v>62</v>
      </c>
      <c r="G324" s="3" t="s">
        <v>116</v>
      </c>
      <c r="H324" s="3" t="s">
        <v>27</v>
      </c>
      <c r="I324" s="3" t="s">
        <v>94</v>
      </c>
      <c r="J324" s="3" t="n">
        <v>14</v>
      </c>
      <c r="K324" s="3" t="n">
        <v>8441.39</v>
      </c>
      <c r="L324" s="3" t="n">
        <v>118179.46</v>
      </c>
      <c r="M324" s="3" t="n">
        <v>0.0544</v>
      </c>
      <c r="N324" s="3" t="n">
        <v>6428.96</v>
      </c>
      <c r="O324" s="3" t="n">
        <v>111750.5</v>
      </c>
      <c r="P324" s="3" t="n">
        <v>73271.27</v>
      </c>
      <c r="Q324" s="3" t="n">
        <v>38479.23</v>
      </c>
      <c r="R324" s="3" t="n">
        <v>0.3443</v>
      </c>
      <c r="S324" s="3" t="n">
        <v>0.0518</v>
      </c>
      <c r="T324" s="3" t="n">
        <v>0.0026</v>
      </c>
    </row>
    <row r="325" customFormat="false" ht="15" hidden="false" customHeight="true" outlineLevel="0" collapsed="false">
      <c r="A325" s="3" t="s">
        <v>682</v>
      </c>
      <c r="B325" s="3" t="s">
        <v>683</v>
      </c>
      <c r="C325" s="3" t="s">
        <v>60</v>
      </c>
      <c r="D325" s="3" t="s">
        <v>23</v>
      </c>
      <c r="E325" s="3" t="s">
        <v>24</v>
      </c>
      <c r="F325" s="3" t="s">
        <v>25</v>
      </c>
      <c r="G325" s="3" t="s">
        <v>63</v>
      </c>
      <c r="H325" s="3" t="s">
        <v>56</v>
      </c>
      <c r="I325" s="3" t="s">
        <v>57</v>
      </c>
      <c r="J325" s="3" t="n">
        <v>6</v>
      </c>
      <c r="K325" s="3" t="n">
        <v>13228.97</v>
      </c>
      <c r="L325" s="3" t="n">
        <v>79373.82</v>
      </c>
      <c r="M325" s="3" t="n">
        <v>0.145</v>
      </c>
      <c r="N325" s="3" t="n">
        <v>11509.2</v>
      </c>
      <c r="O325" s="3" t="n">
        <v>67864.62</v>
      </c>
      <c r="P325" s="3" t="n">
        <v>47624.29</v>
      </c>
      <c r="Q325" s="3" t="n">
        <v>20240.33</v>
      </c>
      <c r="R325" s="3" t="n">
        <v>0.2982</v>
      </c>
      <c r="S325" s="3" t="n">
        <v>0.1281</v>
      </c>
      <c r="T325" s="3" t="n">
        <v>0.0169</v>
      </c>
    </row>
    <row r="326" customFormat="false" ht="15" hidden="false" customHeight="true" outlineLevel="0" collapsed="false">
      <c r="A326" s="3" t="s">
        <v>684</v>
      </c>
      <c r="B326" s="3" t="s">
        <v>685</v>
      </c>
      <c r="C326" s="3" t="s">
        <v>22</v>
      </c>
      <c r="D326" s="3" t="s">
        <v>54</v>
      </c>
      <c r="E326" s="3" t="s">
        <v>24</v>
      </c>
      <c r="F326" s="3" t="s">
        <v>40</v>
      </c>
      <c r="G326" s="3" t="s">
        <v>34</v>
      </c>
      <c r="H326" s="3" t="s">
        <v>27</v>
      </c>
      <c r="I326" s="3" t="s">
        <v>94</v>
      </c>
      <c r="J326" s="3" t="n">
        <v>10</v>
      </c>
      <c r="K326" s="3" t="n">
        <v>39178.03</v>
      </c>
      <c r="L326" s="3" t="n">
        <v>391780.3</v>
      </c>
      <c r="M326" s="3" t="n">
        <v>0.0924</v>
      </c>
      <c r="N326" s="3" t="n">
        <v>36200.5</v>
      </c>
      <c r="O326" s="3" t="n">
        <v>355579.8</v>
      </c>
      <c r="P326" s="3" t="n">
        <v>242903.79</v>
      </c>
      <c r="Q326" s="3" t="n">
        <v>112676.01</v>
      </c>
      <c r="R326" s="3" t="n">
        <v>0.3169</v>
      </c>
      <c r="S326" s="3" t="n">
        <v>0.0826</v>
      </c>
      <c r="T326" s="3" t="n">
        <v>0.0098</v>
      </c>
    </row>
    <row r="327" customFormat="false" ht="15" hidden="false" customHeight="true" outlineLevel="0" collapsed="false">
      <c r="A327" s="3" t="s">
        <v>686</v>
      </c>
      <c r="B327" s="3" t="s">
        <v>687</v>
      </c>
      <c r="C327" s="3" t="s">
        <v>60</v>
      </c>
      <c r="D327" s="3" t="s">
        <v>47</v>
      </c>
      <c r="E327" s="3" t="s">
        <v>48</v>
      </c>
      <c r="F327" s="3" t="s">
        <v>25</v>
      </c>
      <c r="G327" s="3" t="s">
        <v>34</v>
      </c>
      <c r="H327" s="3" t="s">
        <v>64</v>
      </c>
      <c r="I327" s="3" t="s">
        <v>65</v>
      </c>
      <c r="J327" s="3" t="n">
        <v>28</v>
      </c>
      <c r="K327" s="3" t="n">
        <v>3775.92</v>
      </c>
      <c r="L327" s="3" t="n">
        <v>105725.76</v>
      </c>
      <c r="M327" s="3" t="n">
        <v>0.147</v>
      </c>
      <c r="N327" s="3" t="n">
        <v>15541.69</v>
      </c>
      <c r="O327" s="3" t="n">
        <v>90184.07</v>
      </c>
      <c r="P327" s="3" t="n">
        <v>61320.94</v>
      </c>
      <c r="Q327" s="3" t="n">
        <v>28863.13</v>
      </c>
      <c r="R327" s="3" t="n">
        <v>0.32</v>
      </c>
      <c r="S327" s="3" t="n">
        <v>0.1229</v>
      </c>
      <c r="T327" s="3" t="n">
        <v>0.0241</v>
      </c>
    </row>
    <row r="328" customFormat="false" ht="15" hidden="false" customHeight="true" outlineLevel="0" collapsed="false">
      <c r="A328" s="3" t="s">
        <v>688</v>
      </c>
      <c r="B328" s="3" t="s">
        <v>689</v>
      </c>
      <c r="C328" s="3" t="s">
        <v>53</v>
      </c>
      <c r="D328" s="3" t="s">
        <v>97</v>
      </c>
      <c r="E328" s="3" t="s">
        <v>48</v>
      </c>
      <c r="F328" s="3" t="s">
        <v>40</v>
      </c>
      <c r="G328" s="3" t="s">
        <v>41</v>
      </c>
      <c r="H328" s="3" t="s">
        <v>64</v>
      </c>
      <c r="I328" s="3" t="s">
        <v>65</v>
      </c>
      <c r="J328" s="3" t="n">
        <v>23</v>
      </c>
      <c r="K328" s="3" t="n">
        <v>7467.72</v>
      </c>
      <c r="L328" s="3" t="n">
        <v>171757.56</v>
      </c>
      <c r="M328" s="3" t="n">
        <v>0.1075</v>
      </c>
      <c r="N328" s="3" t="n">
        <v>18463.94</v>
      </c>
      <c r="O328" s="3" t="n">
        <v>153293.62</v>
      </c>
      <c r="P328" s="3" t="n">
        <v>99619.38</v>
      </c>
      <c r="Q328" s="3" t="n">
        <v>53674.24</v>
      </c>
      <c r="R328" s="3" t="n">
        <v>0.3501</v>
      </c>
      <c r="S328" s="3" t="n">
        <v>0.0914</v>
      </c>
      <c r="T328" s="3" t="n">
        <v>0.0161</v>
      </c>
    </row>
    <row r="329" customFormat="false" ht="15" hidden="false" customHeight="true" outlineLevel="0" collapsed="false">
      <c r="A329" s="3" t="s">
        <v>690</v>
      </c>
      <c r="B329" s="3" t="s">
        <v>82</v>
      </c>
      <c r="C329" s="3" t="s">
        <v>53</v>
      </c>
      <c r="D329" s="3" t="s">
        <v>75</v>
      </c>
      <c r="E329" s="3" t="s">
        <v>39</v>
      </c>
      <c r="F329" s="3" t="s">
        <v>25</v>
      </c>
      <c r="G329" s="3" t="s">
        <v>116</v>
      </c>
      <c r="H329" s="3" t="s">
        <v>42</v>
      </c>
      <c r="I329" s="3" t="s">
        <v>72</v>
      </c>
      <c r="J329" s="3" t="n">
        <v>2</v>
      </c>
      <c r="K329" s="3" t="n">
        <v>3200.01</v>
      </c>
      <c r="L329" s="3" t="n">
        <v>6400.02</v>
      </c>
      <c r="M329" s="3" t="n">
        <v>0.1621</v>
      </c>
      <c r="N329" s="3" t="n">
        <v>1037.44</v>
      </c>
      <c r="O329" s="3" t="n">
        <v>5362.58</v>
      </c>
      <c r="P329" s="3" t="n">
        <v>3520.01</v>
      </c>
      <c r="Q329" s="3" t="n">
        <v>1842.57</v>
      </c>
      <c r="R329" s="3" t="n">
        <v>0.3436</v>
      </c>
      <c r="S329" s="3" t="n">
        <v>0.1643</v>
      </c>
      <c r="T329" s="3" t="n">
        <v>-0.0022</v>
      </c>
    </row>
    <row r="330" customFormat="false" ht="15" hidden="false" customHeight="true" outlineLevel="0" collapsed="false">
      <c r="A330" s="3" t="s">
        <v>691</v>
      </c>
      <c r="B330" s="3" t="s">
        <v>692</v>
      </c>
      <c r="C330" s="3" t="s">
        <v>60</v>
      </c>
      <c r="D330" s="3" t="s">
        <v>38</v>
      </c>
      <c r="E330" s="3" t="s">
        <v>39</v>
      </c>
      <c r="F330" s="3" t="s">
        <v>40</v>
      </c>
      <c r="G330" s="3" t="s">
        <v>84</v>
      </c>
      <c r="H330" s="3" t="s">
        <v>27</v>
      </c>
      <c r="I330" s="3" t="s">
        <v>173</v>
      </c>
      <c r="J330" s="3" t="n">
        <v>4</v>
      </c>
      <c r="K330" s="3" t="n">
        <v>24345.02</v>
      </c>
      <c r="L330" s="3" t="n">
        <v>97380.08</v>
      </c>
      <c r="M330" s="3" t="n">
        <v>0.055</v>
      </c>
      <c r="N330" s="3" t="n">
        <v>5355.9</v>
      </c>
      <c r="O330" s="3" t="n">
        <v>92024.18</v>
      </c>
      <c r="P330" s="3" t="n">
        <v>60375.65</v>
      </c>
      <c r="Q330" s="3" t="n">
        <v>31648.53</v>
      </c>
      <c r="R330" s="3" t="n">
        <v>0.3439</v>
      </c>
      <c r="S330" s="3" t="n">
        <v>0.05</v>
      </c>
      <c r="T330" s="3" t="n">
        <v>0.005</v>
      </c>
    </row>
    <row r="331" customFormat="false" ht="15" hidden="false" customHeight="true" outlineLevel="0" collapsed="false">
      <c r="A331" s="3" t="s">
        <v>693</v>
      </c>
      <c r="B331" s="3" t="s">
        <v>655</v>
      </c>
      <c r="C331" s="3" t="s">
        <v>156</v>
      </c>
      <c r="D331" s="3" t="s">
        <v>54</v>
      </c>
      <c r="E331" s="3" t="s">
        <v>24</v>
      </c>
      <c r="F331" s="3" t="s">
        <v>40</v>
      </c>
      <c r="G331" s="3" t="s">
        <v>71</v>
      </c>
      <c r="H331" s="3" t="s">
        <v>27</v>
      </c>
      <c r="I331" s="3" t="s">
        <v>94</v>
      </c>
      <c r="J331" s="3" t="n">
        <v>15</v>
      </c>
      <c r="K331" s="3" t="n">
        <v>31128.91</v>
      </c>
      <c r="L331" s="3" t="n">
        <v>466933.65</v>
      </c>
      <c r="M331" s="3" t="n">
        <v>0.067</v>
      </c>
      <c r="N331" s="3" t="n">
        <v>31284.55</v>
      </c>
      <c r="O331" s="3" t="n">
        <v>435649.1</v>
      </c>
      <c r="P331" s="3" t="n">
        <v>289498.86</v>
      </c>
      <c r="Q331" s="3" t="n">
        <v>146150.24</v>
      </c>
      <c r="R331" s="3" t="n">
        <v>0.3355</v>
      </c>
      <c r="S331" s="3" t="n">
        <v>0.0545</v>
      </c>
      <c r="T331" s="3" t="n">
        <v>0.0125</v>
      </c>
    </row>
    <row r="332" customFormat="false" ht="15" hidden="false" customHeight="true" outlineLevel="0" collapsed="false">
      <c r="A332" s="3" t="s">
        <v>694</v>
      </c>
      <c r="B332" s="3" t="s">
        <v>695</v>
      </c>
      <c r="C332" s="3" t="s">
        <v>156</v>
      </c>
      <c r="D332" s="3" t="s">
        <v>32</v>
      </c>
      <c r="E332" s="3" t="s">
        <v>33</v>
      </c>
      <c r="F332" s="3" t="s">
        <v>25</v>
      </c>
      <c r="G332" s="3" t="s">
        <v>84</v>
      </c>
      <c r="H332" s="3" t="s">
        <v>64</v>
      </c>
      <c r="I332" s="3" t="s">
        <v>65</v>
      </c>
      <c r="J332" s="3" t="n">
        <v>10</v>
      </c>
      <c r="K332" s="3" t="n">
        <v>6275.79</v>
      </c>
      <c r="L332" s="3" t="n">
        <v>62757.9</v>
      </c>
      <c r="M332" s="3" t="n">
        <v>0.1558</v>
      </c>
      <c r="N332" s="3" t="n">
        <v>9777.68</v>
      </c>
      <c r="O332" s="3" t="n">
        <v>52980.22</v>
      </c>
      <c r="P332" s="3" t="n">
        <v>36399.58</v>
      </c>
      <c r="Q332" s="3" t="n">
        <v>16580.64</v>
      </c>
      <c r="R332" s="3" t="n">
        <v>0.313</v>
      </c>
      <c r="S332" s="3" t="n">
        <v>0.1505</v>
      </c>
      <c r="T332" s="3" t="n">
        <v>0.0053</v>
      </c>
    </row>
    <row r="333" customFormat="false" ht="15" hidden="false" customHeight="true" outlineLevel="0" collapsed="false">
      <c r="A333" s="3" t="s">
        <v>696</v>
      </c>
      <c r="B333" s="3" t="s">
        <v>697</v>
      </c>
      <c r="C333" s="3" t="s">
        <v>22</v>
      </c>
      <c r="D333" s="3" t="s">
        <v>97</v>
      </c>
      <c r="E333" s="3" t="s">
        <v>48</v>
      </c>
      <c r="F333" s="3" t="s">
        <v>40</v>
      </c>
      <c r="G333" s="3" t="s">
        <v>49</v>
      </c>
      <c r="H333" s="3" t="s">
        <v>77</v>
      </c>
      <c r="I333" s="3" t="s">
        <v>131</v>
      </c>
      <c r="J333" s="3" t="n">
        <v>47</v>
      </c>
      <c r="K333" s="3" t="n">
        <v>2391.66</v>
      </c>
      <c r="L333" s="3" t="n">
        <v>112408.02</v>
      </c>
      <c r="M333" s="3" t="n">
        <v>0.046</v>
      </c>
      <c r="N333" s="3" t="n">
        <v>5170.77</v>
      </c>
      <c r="O333" s="3" t="n">
        <v>107237.25</v>
      </c>
      <c r="P333" s="3" t="n">
        <v>76437.45</v>
      </c>
      <c r="Q333" s="3" t="n">
        <v>30799.8</v>
      </c>
      <c r="R333" s="3" t="n">
        <v>0.2872</v>
      </c>
      <c r="S333" s="3" t="n">
        <v>0.0447</v>
      </c>
      <c r="T333" s="3" t="n">
        <v>0.0013</v>
      </c>
    </row>
    <row r="334" customFormat="false" ht="15" hidden="false" customHeight="true" outlineLevel="0" collapsed="false">
      <c r="A334" s="3" t="s">
        <v>698</v>
      </c>
      <c r="B334" s="3" t="s">
        <v>699</v>
      </c>
      <c r="C334" s="3" t="s">
        <v>22</v>
      </c>
      <c r="D334" s="3" t="s">
        <v>61</v>
      </c>
      <c r="E334" s="3" t="s">
        <v>33</v>
      </c>
      <c r="F334" s="3" t="s">
        <v>62</v>
      </c>
      <c r="G334" s="3" t="s">
        <v>104</v>
      </c>
      <c r="H334" s="3" t="s">
        <v>56</v>
      </c>
      <c r="I334" s="3" t="s">
        <v>121</v>
      </c>
      <c r="J334" s="3" t="n">
        <v>34</v>
      </c>
      <c r="K334" s="3" t="n">
        <v>4869.51</v>
      </c>
      <c r="L334" s="3" t="n">
        <v>165563.34</v>
      </c>
      <c r="M334" s="3" t="n">
        <v>0.1372</v>
      </c>
      <c r="N334" s="3" t="n">
        <v>22715.29</v>
      </c>
      <c r="O334" s="3" t="n">
        <v>142848.05</v>
      </c>
      <c r="P334" s="3" t="n">
        <v>99338</v>
      </c>
      <c r="Q334" s="3" t="n">
        <v>43510.05</v>
      </c>
      <c r="R334" s="3" t="n">
        <v>0.3046</v>
      </c>
      <c r="S334" s="3" t="n">
        <v>0.1459</v>
      </c>
      <c r="T334" s="3" t="n">
        <v>-0.0087</v>
      </c>
    </row>
    <row r="335" customFormat="false" ht="15" hidden="false" customHeight="true" outlineLevel="0" collapsed="false">
      <c r="A335" s="3" t="s">
        <v>700</v>
      </c>
      <c r="B335" s="3" t="s">
        <v>247</v>
      </c>
      <c r="C335" s="3" t="s">
        <v>126</v>
      </c>
      <c r="D335" s="3" t="s">
        <v>54</v>
      </c>
      <c r="E335" s="3" t="s">
        <v>24</v>
      </c>
      <c r="F335" s="3" t="s">
        <v>40</v>
      </c>
      <c r="G335" s="3" t="s">
        <v>116</v>
      </c>
      <c r="H335" s="3" t="s">
        <v>42</v>
      </c>
      <c r="I335" s="3" t="s">
        <v>134</v>
      </c>
      <c r="J335" s="3" t="n">
        <v>1</v>
      </c>
      <c r="K335" s="3" t="n">
        <v>2435.82</v>
      </c>
      <c r="L335" s="3" t="n">
        <v>2435.82</v>
      </c>
      <c r="M335" s="3" t="n">
        <v>0.0801</v>
      </c>
      <c r="N335" s="3" t="n">
        <v>195.11</v>
      </c>
      <c r="O335" s="3" t="n">
        <v>2240.71</v>
      </c>
      <c r="P335" s="3" t="n">
        <v>1339.7</v>
      </c>
      <c r="Q335" s="3" t="n">
        <v>901.01</v>
      </c>
      <c r="R335" s="3" t="n">
        <v>0.4021</v>
      </c>
      <c r="S335" s="3" t="n">
        <v>0.0819</v>
      </c>
      <c r="T335" s="3" t="n">
        <v>-0.0018</v>
      </c>
    </row>
    <row r="336" customFormat="false" ht="15" hidden="false" customHeight="true" outlineLevel="0" collapsed="false">
      <c r="A336" s="3" t="s">
        <v>701</v>
      </c>
      <c r="B336" s="3" t="s">
        <v>702</v>
      </c>
      <c r="C336" s="3" t="s">
        <v>53</v>
      </c>
      <c r="D336" s="3" t="s">
        <v>69</v>
      </c>
      <c r="E336" s="3" t="s">
        <v>39</v>
      </c>
      <c r="F336" s="3" t="s">
        <v>70</v>
      </c>
      <c r="G336" s="3" t="s">
        <v>55</v>
      </c>
      <c r="H336" s="3" t="s">
        <v>77</v>
      </c>
      <c r="I336" s="3" t="s">
        <v>78</v>
      </c>
      <c r="J336" s="3" t="n">
        <v>50</v>
      </c>
      <c r="K336" s="3" t="n">
        <v>5864.92</v>
      </c>
      <c r="L336" s="3" t="n">
        <v>293246</v>
      </c>
      <c r="M336" s="3" t="n">
        <v>0.0688</v>
      </c>
      <c r="N336" s="3" t="n">
        <v>20175.32</v>
      </c>
      <c r="O336" s="3" t="n">
        <v>273070.68</v>
      </c>
      <c r="P336" s="3" t="n">
        <v>199407.28</v>
      </c>
      <c r="Q336" s="3" t="n">
        <v>73663.4</v>
      </c>
      <c r="R336" s="3" t="n">
        <v>0.2698</v>
      </c>
      <c r="S336" s="3" t="n">
        <v>0.0581</v>
      </c>
      <c r="T336" s="3" t="n">
        <v>0.0107</v>
      </c>
    </row>
    <row r="337" customFormat="false" ht="15" hidden="false" customHeight="true" outlineLevel="0" collapsed="false">
      <c r="A337" s="3" t="s">
        <v>703</v>
      </c>
      <c r="B337" s="3" t="s">
        <v>704</v>
      </c>
      <c r="C337" s="3" t="s">
        <v>156</v>
      </c>
      <c r="D337" s="3" t="s">
        <v>47</v>
      </c>
      <c r="E337" s="3" t="s">
        <v>48</v>
      </c>
      <c r="F337" s="3" t="s">
        <v>25</v>
      </c>
      <c r="G337" s="3" t="s">
        <v>100</v>
      </c>
      <c r="H337" s="3" t="s">
        <v>27</v>
      </c>
      <c r="I337" s="3" t="s">
        <v>117</v>
      </c>
      <c r="J337" s="3" t="n">
        <v>45</v>
      </c>
      <c r="K337" s="3" t="n">
        <v>19085.56</v>
      </c>
      <c r="L337" s="3" t="n">
        <v>858850.2</v>
      </c>
      <c r="M337" s="3" t="n">
        <v>0.1899</v>
      </c>
      <c r="N337" s="3" t="n">
        <v>163095.65</v>
      </c>
      <c r="O337" s="3" t="n">
        <v>695754.55</v>
      </c>
      <c r="P337" s="3" t="n">
        <v>532487.12</v>
      </c>
      <c r="Q337" s="3" t="n">
        <v>163267.43</v>
      </c>
      <c r="R337" s="3" t="n">
        <v>0.2347</v>
      </c>
      <c r="S337" s="3" t="n">
        <v>0.1952</v>
      </c>
      <c r="T337" s="3" t="n">
        <v>-0.0053</v>
      </c>
    </row>
    <row r="338" customFormat="false" ht="15" hidden="false" customHeight="true" outlineLevel="0" collapsed="false">
      <c r="A338" s="3" t="s">
        <v>705</v>
      </c>
      <c r="B338" s="3" t="s">
        <v>706</v>
      </c>
      <c r="C338" s="3" t="s">
        <v>60</v>
      </c>
      <c r="D338" s="3" t="s">
        <v>47</v>
      </c>
      <c r="E338" s="3" t="s">
        <v>48</v>
      </c>
      <c r="F338" s="3" t="s">
        <v>25</v>
      </c>
      <c r="G338" s="3" t="s">
        <v>34</v>
      </c>
      <c r="H338" s="3" t="s">
        <v>42</v>
      </c>
      <c r="I338" s="3" t="s">
        <v>43</v>
      </c>
      <c r="J338" s="3" t="n">
        <v>16</v>
      </c>
      <c r="K338" s="3" t="n">
        <v>2354.35</v>
      </c>
      <c r="L338" s="3" t="n">
        <v>37669.6</v>
      </c>
      <c r="M338" s="3" t="n">
        <v>0.2268</v>
      </c>
      <c r="N338" s="3" t="n">
        <v>8543.47</v>
      </c>
      <c r="O338" s="3" t="n">
        <v>29126.13</v>
      </c>
      <c r="P338" s="3" t="n">
        <v>20718.28</v>
      </c>
      <c r="Q338" s="3" t="n">
        <v>8407.85</v>
      </c>
      <c r="R338" s="3" t="n">
        <v>0.2887</v>
      </c>
      <c r="S338" s="3" t="n">
        <v>0.2298</v>
      </c>
      <c r="T338" s="3" t="n">
        <v>-0.003</v>
      </c>
    </row>
    <row r="339" customFormat="false" ht="15" hidden="false" customHeight="true" outlineLevel="0" collapsed="false">
      <c r="A339" s="3" t="s">
        <v>707</v>
      </c>
      <c r="B339" s="3" t="s">
        <v>633</v>
      </c>
      <c r="C339" s="3" t="s">
        <v>22</v>
      </c>
      <c r="D339" s="3" t="s">
        <v>61</v>
      </c>
      <c r="E339" s="3" t="s">
        <v>33</v>
      </c>
      <c r="F339" s="3" t="s">
        <v>62</v>
      </c>
      <c r="G339" s="3" t="s">
        <v>100</v>
      </c>
      <c r="H339" s="3" t="s">
        <v>27</v>
      </c>
      <c r="I339" s="3" t="s">
        <v>117</v>
      </c>
      <c r="J339" s="3" t="n">
        <v>24</v>
      </c>
      <c r="K339" s="3" t="n">
        <v>21217.82</v>
      </c>
      <c r="L339" s="3" t="n">
        <v>509227.68</v>
      </c>
      <c r="M339" s="3" t="n">
        <v>0.0529</v>
      </c>
      <c r="N339" s="3" t="n">
        <v>26938.14</v>
      </c>
      <c r="O339" s="3" t="n">
        <v>482289.54</v>
      </c>
      <c r="P339" s="3" t="n">
        <v>315721.16</v>
      </c>
      <c r="Q339" s="3" t="n">
        <v>166568.38</v>
      </c>
      <c r="R339" s="3" t="n">
        <v>0.3454</v>
      </c>
      <c r="S339" s="3" t="n">
        <v>0.0516</v>
      </c>
      <c r="T339" s="3" t="n">
        <v>0.0013</v>
      </c>
    </row>
    <row r="340" customFormat="false" ht="15" hidden="false" customHeight="true" outlineLevel="0" collapsed="false">
      <c r="A340" s="3" t="s">
        <v>708</v>
      </c>
      <c r="B340" s="3" t="s">
        <v>128</v>
      </c>
      <c r="C340" s="3" t="s">
        <v>53</v>
      </c>
      <c r="D340" s="3" t="s">
        <v>107</v>
      </c>
      <c r="E340" s="3" t="s">
        <v>33</v>
      </c>
      <c r="F340" s="3" t="s">
        <v>70</v>
      </c>
      <c r="G340" s="3" t="s">
        <v>116</v>
      </c>
      <c r="H340" s="3" t="s">
        <v>64</v>
      </c>
      <c r="I340" s="3" t="s">
        <v>90</v>
      </c>
      <c r="J340" s="3" t="n">
        <v>4</v>
      </c>
      <c r="K340" s="3" t="n">
        <v>8327.06</v>
      </c>
      <c r="L340" s="3" t="n">
        <v>33308.24</v>
      </c>
      <c r="M340" s="3" t="n">
        <v>0.1103</v>
      </c>
      <c r="N340" s="3" t="n">
        <v>3673.9</v>
      </c>
      <c r="O340" s="3" t="n">
        <v>29634.34</v>
      </c>
      <c r="P340" s="3" t="n">
        <v>19318.78</v>
      </c>
      <c r="Q340" s="3" t="n">
        <v>10315.56</v>
      </c>
      <c r="R340" s="3" t="n">
        <v>0.3481</v>
      </c>
      <c r="S340" s="3" t="n">
        <v>0.0979</v>
      </c>
      <c r="T340" s="3" t="n">
        <v>0.0124</v>
      </c>
    </row>
    <row r="341" customFormat="false" ht="15" hidden="false" customHeight="true" outlineLevel="0" collapsed="false">
      <c r="A341" s="3" t="s">
        <v>709</v>
      </c>
      <c r="B341" s="3" t="s">
        <v>710</v>
      </c>
      <c r="C341" s="3" t="s">
        <v>22</v>
      </c>
      <c r="D341" s="3" t="s">
        <v>103</v>
      </c>
      <c r="E341" s="3" t="s">
        <v>24</v>
      </c>
      <c r="F341" s="3" t="s">
        <v>62</v>
      </c>
      <c r="G341" s="3" t="s">
        <v>26</v>
      </c>
      <c r="H341" s="3" t="s">
        <v>77</v>
      </c>
      <c r="I341" s="3" t="s">
        <v>85</v>
      </c>
      <c r="J341" s="3" t="n">
        <v>29</v>
      </c>
      <c r="K341" s="3" t="n">
        <v>2766.01</v>
      </c>
      <c r="L341" s="3" t="n">
        <v>80214.29</v>
      </c>
      <c r="M341" s="3" t="n">
        <v>0.0436</v>
      </c>
      <c r="N341" s="3" t="n">
        <v>3497.34</v>
      </c>
      <c r="O341" s="3" t="n">
        <v>76716.95</v>
      </c>
      <c r="P341" s="3" t="n">
        <v>54545.72</v>
      </c>
      <c r="Q341" s="3" t="n">
        <v>22171.23</v>
      </c>
      <c r="R341" s="3" t="n">
        <v>0.289</v>
      </c>
      <c r="S341" s="3" t="n">
        <v>0.0472</v>
      </c>
      <c r="T341" s="3" t="n">
        <v>-0.0036</v>
      </c>
    </row>
    <row r="342" customFormat="false" ht="15" hidden="false" customHeight="true" outlineLevel="0" collapsed="false">
      <c r="A342" s="3" t="s">
        <v>711</v>
      </c>
      <c r="B342" s="3" t="s">
        <v>712</v>
      </c>
      <c r="C342" s="3" t="s">
        <v>113</v>
      </c>
      <c r="D342" s="3" t="s">
        <v>75</v>
      </c>
      <c r="E342" s="3" t="s">
        <v>39</v>
      </c>
      <c r="F342" s="3" t="s">
        <v>25</v>
      </c>
      <c r="G342" s="3" t="s">
        <v>41</v>
      </c>
      <c r="H342" s="3" t="s">
        <v>56</v>
      </c>
      <c r="I342" s="3" t="s">
        <v>188</v>
      </c>
      <c r="J342" s="3" t="n">
        <v>29</v>
      </c>
      <c r="K342" s="3" t="n">
        <v>3690.52</v>
      </c>
      <c r="L342" s="3" t="n">
        <v>107025.08</v>
      </c>
      <c r="M342" s="3" t="n">
        <v>0.1673</v>
      </c>
      <c r="N342" s="3" t="n">
        <v>17905.3</v>
      </c>
      <c r="O342" s="3" t="n">
        <v>89119.78</v>
      </c>
      <c r="P342" s="3" t="n">
        <v>64215.05</v>
      </c>
      <c r="Q342" s="3" t="n">
        <v>24904.73</v>
      </c>
      <c r="R342" s="3" t="n">
        <v>0.2795</v>
      </c>
      <c r="S342" s="3" t="n">
        <v>0.1565</v>
      </c>
      <c r="T342" s="3" t="n">
        <v>0.0108</v>
      </c>
    </row>
    <row r="343" customFormat="false" ht="15" hidden="false" customHeight="true" outlineLevel="0" collapsed="false">
      <c r="A343" s="3" t="s">
        <v>713</v>
      </c>
      <c r="B343" s="3" t="s">
        <v>714</v>
      </c>
      <c r="C343" s="3" t="s">
        <v>156</v>
      </c>
      <c r="D343" s="3" t="s">
        <v>83</v>
      </c>
      <c r="E343" s="3" t="s">
        <v>48</v>
      </c>
      <c r="F343" s="3" t="s">
        <v>62</v>
      </c>
      <c r="G343" s="3" t="s">
        <v>116</v>
      </c>
      <c r="H343" s="3" t="s">
        <v>42</v>
      </c>
      <c r="I343" s="3" t="s">
        <v>43</v>
      </c>
      <c r="J343" s="3" t="n">
        <v>44</v>
      </c>
      <c r="K343" s="3" t="n">
        <v>1051.65</v>
      </c>
      <c r="L343" s="3" t="n">
        <v>46272.6</v>
      </c>
      <c r="M343" s="3" t="n">
        <v>0.0934</v>
      </c>
      <c r="N343" s="3" t="n">
        <v>4321.86</v>
      </c>
      <c r="O343" s="3" t="n">
        <v>41950.74</v>
      </c>
      <c r="P343" s="3" t="n">
        <v>25449.93</v>
      </c>
      <c r="Q343" s="3" t="n">
        <v>16500.81</v>
      </c>
      <c r="R343" s="3" t="n">
        <v>0.3933</v>
      </c>
      <c r="S343" s="3" t="n">
        <v>0.0807</v>
      </c>
      <c r="T343" s="3" t="n">
        <v>0.0127</v>
      </c>
    </row>
    <row r="344" customFormat="false" ht="15" hidden="false" customHeight="true" outlineLevel="0" collapsed="false">
      <c r="A344" s="3" t="s">
        <v>715</v>
      </c>
      <c r="B344" s="3" t="s">
        <v>716</v>
      </c>
      <c r="C344" s="3" t="s">
        <v>22</v>
      </c>
      <c r="D344" s="3" t="s">
        <v>103</v>
      </c>
      <c r="E344" s="3" t="s">
        <v>24</v>
      </c>
      <c r="F344" s="3" t="s">
        <v>62</v>
      </c>
      <c r="G344" s="3" t="s">
        <v>26</v>
      </c>
      <c r="H344" s="3" t="s">
        <v>64</v>
      </c>
      <c r="I344" s="3" t="s">
        <v>65</v>
      </c>
      <c r="J344" s="3" t="n">
        <v>23</v>
      </c>
      <c r="K344" s="3" t="n">
        <v>5233.97</v>
      </c>
      <c r="L344" s="3" t="n">
        <v>120381.31</v>
      </c>
      <c r="M344" s="3" t="n">
        <v>0.0498</v>
      </c>
      <c r="N344" s="3" t="n">
        <v>5994.99</v>
      </c>
      <c r="O344" s="3" t="n">
        <v>114386.32</v>
      </c>
      <c r="P344" s="3" t="n">
        <v>69821.16</v>
      </c>
      <c r="Q344" s="3" t="n">
        <v>44565.16</v>
      </c>
      <c r="R344" s="3" t="n">
        <v>0.3896</v>
      </c>
      <c r="S344" s="3" t="n">
        <v>0.05</v>
      </c>
      <c r="T344" s="3" t="n">
        <v>-0.0002</v>
      </c>
    </row>
    <row r="345" customFormat="false" ht="15" hidden="false" customHeight="true" outlineLevel="0" collapsed="false">
      <c r="A345" s="3" t="s">
        <v>717</v>
      </c>
      <c r="B345" s="3" t="s">
        <v>718</v>
      </c>
      <c r="C345" s="3" t="s">
        <v>53</v>
      </c>
      <c r="D345" s="3" t="s">
        <v>54</v>
      </c>
      <c r="E345" s="3" t="s">
        <v>24</v>
      </c>
      <c r="F345" s="3" t="s">
        <v>40</v>
      </c>
      <c r="G345" s="3" t="s">
        <v>63</v>
      </c>
      <c r="H345" s="3" t="s">
        <v>64</v>
      </c>
      <c r="I345" s="3" t="s">
        <v>65</v>
      </c>
      <c r="J345" s="3" t="n">
        <v>36</v>
      </c>
      <c r="K345" s="3" t="n">
        <v>10691.41</v>
      </c>
      <c r="L345" s="3" t="n">
        <v>384890.76</v>
      </c>
      <c r="M345" s="3" t="n">
        <v>0.0674</v>
      </c>
      <c r="N345" s="3" t="n">
        <v>25941.64</v>
      </c>
      <c r="O345" s="3" t="n">
        <v>358949.12</v>
      </c>
      <c r="P345" s="3" t="n">
        <v>223236.64</v>
      </c>
      <c r="Q345" s="3" t="n">
        <v>135712.48</v>
      </c>
      <c r="R345" s="3" t="n">
        <v>0.3781</v>
      </c>
      <c r="S345" s="3" t="n">
        <v>0.0558</v>
      </c>
      <c r="T345" s="3" t="n">
        <v>0.0116</v>
      </c>
    </row>
    <row r="346" customFormat="false" ht="15" hidden="false" customHeight="true" outlineLevel="0" collapsed="false">
      <c r="A346" s="3" t="s">
        <v>719</v>
      </c>
      <c r="B346" s="3" t="s">
        <v>351</v>
      </c>
      <c r="C346" s="3" t="s">
        <v>46</v>
      </c>
      <c r="D346" s="3" t="s">
        <v>61</v>
      </c>
      <c r="E346" s="3" t="s">
        <v>33</v>
      </c>
      <c r="F346" s="3" t="s">
        <v>62</v>
      </c>
      <c r="G346" s="3" t="s">
        <v>104</v>
      </c>
      <c r="H346" s="3" t="s">
        <v>64</v>
      </c>
      <c r="I346" s="3" t="s">
        <v>65</v>
      </c>
      <c r="J346" s="3" t="n">
        <v>50</v>
      </c>
      <c r="K346" s="3" t="n">
        <v>3555.02</v>
      </c>
      <c r="L346" s="3" t="n">
        <v>177751</v>
      </c>
      <c r="M346" s="3" t="n">
        <v>0.1044</v>
      </c>
      <c r="N346" s="3" t="n">
        <v>18557.2</v>
      </c>
      <c r="O346" s="3" t="n">
        <v>159193.8</v>
      </c>
      <c r="P346" s="3" t="n">
        <v>103095.58</v>
      </c>
      <c r="Q346" s="3" t="n">
        <v>56098.22</v>
      </c>
      <c r="R346" s="3" t="n">
        <v>0.3524</v>
      </c>
      <c r="S346" s="3" t="n">
        <v>0.0951</v>
      </c>
      <c r="T346" s="3" t="n">
        <v>0.0093</v>
      </c>
    </row>
    <row r="347" customFormat="false" ht="15" hidden="false" customHeight="true" outlineLevel="0" collapsed="false">
      <c r="A347" s="3" t="s">
        <v>720</v>
      </c>
      <c r="B347" s="3" t="s">
        <v>335</v>
      </c>
      <c r="C347" s="3" t="s">
        <v>31</v>
      </c>
      <c r="D347" s="3" t="s">
        <v>23</v>
      </c>
      <c r="E347" s="3" t="s">
        <v>24</v>
      </c>
      <c r="F347" s="3" t="s">
        <v>25</v>
      </c>
      <c r="G347" s="3" t="s">
        <v>55</v>
      </c>
      <c r="H347" s="3" t="s">
        <v>27</v>
      </c>
      <c r="I347" s="3" t="s">
        <v>94</v>
      </c>
      <c r="J347" s="3" t="n">
        <v>5</v>
      </c>
      <c r="K347" s="3" t="n">
        <v>16282.26</v>
      </c>
      <c r="L347" s="3" t="n">
        <v>81411.3</v>
      </c>
      <c r="M347" s="3" t="n">
        <v>0.0762</v>
      </c>
      <c r="N347" s="3" t="n">
        <v>6203.54</v>
      </c>
      <c r="O347" s="3" t="n">
        <v>75207.76</v>
      </c>
      <c r="P347" s="3" t="n">
        <v>50475.01</v>
      </c>
      <c r="Q347" s="3" t="n">
        <v>24732.75</v>
      </c>
      <c r="R347" s="3" t="n">
        <v>0.3289</v>
      </c>
      <c r="S347" s="3" t="n">
        <v>0.0795</v>
      </c>
      <c r="T347" s="3" t="n">
        <v>-0.0033</v>
      </c>
    </row>
    <row r="348" customFormat="false" ht="15" hidden="false" customHeight="true" outlineLevel="0" collapsed="false">
      <c r="A348" s="3" t="s">
        <v>721</v>
      </c>
      <c r="B348" s="3" t="s">
        <v>722</v>
      </c>
      <c r="C348" s="3" t="s">
        <v>46</v>
      </c>
      <c r="D348" s="3" t="s">
        <v>61</v>
      </c>
      <c r="E348" s="3" t="s">
        <v>33</v>
      </c>
      <c r="F348" s="3" t="s">
        <v>62</v>
      </c>
      <c r="G348" s="3" t="s">
        <v>104</v>
      </c>
      <c r="H348" s="3" t="s">
        <v>42</v>
      </c>
      <c r="I348" s="3" t="s">
        <v>43</v>
      </c>
      <c r="J348" s="3" t="n">
        <v>4</v>
      </c>
      <c r="K348" s="3" t="n">
        <v>3797.98</v>
      </c>
      <c r="L348" s="3" t="n">
        <v>15191.92</v>
      </c>
      <c r="M348" s="3" t="n">
        <v>0.0814</v>
      </c>
      <c r="N348" s="3" t="n">
        <v>1236.62</v>
      </c>
      <c r="O348" s="3" t="n">
        <v>13955.3</v>
      </c>
      <c r="P348" s="3" t="n">
        <v>8355.56</v>
      </c>
      <c r="Q348" s="3" t="n">
        <v>5599.74</v>
      </c>
      <c r="R348" s="3" t="n">
        <v>0.4013</v>
      </c>
      <c r="S348" s="3" t="n">
        <v>0.0772</v>
      </c>
      <c r="T348" s="3" t="n">
        <v>0.0042</v>
      </c>
    </row>
    <row r="349" customFormat="false" ht="15" hidden="false" customHeight="true" outlineLevel="0" collapsed="false">
      <c r="A349" s="3" t="s">
        <v>723</v>
      </c>
      <c r="B349" s="3" t="s">
        <v>724</v>
      </c>
      <c r="C349" s="3" t="s">
        <v>60</v>
      </c>
      <c r="D349" s="3" t="s">
        <v>47</v>
      </c>
      <c r="E349" s="3" t="s">
        <v>48</v>
      </c>
      <c r="F349" s="3" t="s">
        <v>25</v>
      </c>
      <c r="G349" s="3" t="s">
        <v>49</v>
      </c>
      <c r="H349" s="3" t="s">
        <v>77</v>
      </c>
      <c r="I349" s="3" t="s">
        <v>131</v>
      </c>
      <c r="J349" s="3" t="n">
        <v>12</v>
      </c>
      <c r="K349" s="3" t="n">
        <v>2230.64</v>
      </c>
      <c r="L349" s="3" t="n">
        <v>26767.68</v>
      </c>
      <c r="M349" s="3" t="n">
        <v>0.1194</v>
      </c>
      <c r="N349" s="3" t="n">
        <v>3196.06</v>
      </c>
      <c r="O349" s="3" t="n">
        <v>23571.62</v>
      </c>
      <c r="P349" s="3" t="n">
        <v>18202.02</v>
      </c>
      <c r="Q349" s="3" t="n">
        <v>5369.6</v>
      </c>
      <c r="R349" s="3" t="n">
        <v>0.2278</v>
      </c>
      <c r="S349" s="3" t="n">
        <v>0.0968</v>
      </c>
      <c r="T349" s="3" t="n">
        <v>0.0226</v>
      </c>
    </row>
    <row r="350" customFormat="false" ht="15" hidden="false" customHeight="true" outlineLevel="0" collapsed="false">
      <c r="A350" s="3" t="s">
        <v>725</v>
      </c>
      <c r="B350" s="3" t="s">
        <v>726</v>
      </c>
      <c r="C350" s="3" t="s">
        <v>93</v>
      </c>
      <c r="D350" s="3" t="s">
        <v>38</v>
      </c>
      <c r="E350" s="3" t="s">
        <v>39</v>
      </c>
      <c r="F350" s="3" t="s">
        <v>40</v>
      </c>
      <c r="G350" s="3" t="s">
        <v>71</v>
      </c>
      <c r="H350" s="3" t="s">
        <v>56</v>
      </c>
      <c r="I350" s="3" t="s">
        <v>188</v>
      </c>
      <c r="J350" s="3" t="n">
        <v>27</v>
      </c>
      <c r="K350" s="3" t="n">
        <v>6721.68</v>
      </c>
      <c r="L350" s="3" t="n">
        <v>181485.36</v>
      </c>
      <c r="M350" s="3" t="n">
        <v>0.0741</v>
      </c>
      <c r="N350" s="3" t="n">
        <v>13448.07</v>
      </c>
      <c r="O350" s="3" t="n">
        <v>168037.29</v>
      </c>
      <c r="P350" s="3" t="n">
        <v>108891.22</v>
      </c>
      <c r="Q350" s="3" t="n">
        <v>59146.07</v>
      </c>
      <c r="R350" s="3" t="n">
        <v>0.352</v>
      </c>
      <c r="S350" s="3" t="n">
        <v>0.0607</v>
      </c>
      <c r="T350" s="3" t="n">
        <v>0.0134</v>
      </c>
    </row>
    <row r="351" customFormat="false" ht="15" hidden="false" customHeight="true" outlineLevel="0" collapsed="false">
      <c r="A351" s="3" t="s">
        <v>727</v>
      </c>
      <c r="B351" s="3" t="s">
        <v>728</v>
      </c>
      <c r="C351" s="3" t="s">
        <v>156</v>
      </c>
      <c r="D351" s="3" t="s">
        <v>54</v>
      </c>
      <c r="E351" s="3" t="s">
        <v>24</v>
      </c>
      <c r="F351" s="3" t="s">
        <v>40</v>
      </c>
      <c r="G351" s="3" t="s">
        <v>63</v>
      </c>
      <c r="H351" s="3" t="s">
        <v>77</v>
      </c>
      <c r="I351" s="3" t="s">
        <v>131</v>
      </c>
      <c r="J351" s="3" t="n">
        <v>34</v>
      </c>
      <c r="K351" s="3" t="n">
        <v>2157.4</v>
      </c>
      <c r="L351" s="3" t="n">
        <v>73351.6</v>
      </c>
      <c r="M351" s="3" t="n">
        <v>0.0425</v>
      </c>
      <c r="N351" s="3" t="n">
        <v>3117.44</v>
      </c>
      <c r="O351" s="3" t="n">
        <v>70234.16</v>
      </c>
      <c r="P351" s="3" t="n">
        <v>49879.09</v>
      </c>
      <c r="Q351" s="3" t="n">
        <v>20355.07</v>
      </c>
      <c r="R351" s="3" t="n">
        <v>0.2898</v>
      </c>
      <c r="S351" s="3" t="n">
        <v>0.0466</v>
      </c>
      <c r="T351" s="3" t="n">
        <v>-0.0041</v>
      </c>
    </row>
    <row r="352" customFormat="false" ht="15" hidden="false" customHeight="true" outlineLevel="0" collapsed="false">
      <c r="A352" s="3" t="s">
        <v>729</v>
      </c>
      <c r="B352" s="3" t="s">
        <v>730</v>
      </c>
      <c r="C352" s="3" t="s">
        <v>68</v>
      </c>
      <c r="D352" s="3" t="s">
        <v>97</v>
      </c>
      <c r="E352" s="3" t="s">
        <v>48</v>
      </c>
      <c r="F352" s="3" t="s">
        <v>40</v>
      </c>
      <c r="G352" s="3" t="s">
        <v>100</v>
      </c>
      <c r="H352" s="3" t="s">
        <v>42</v>
      </c>
      <c r="I352" s="3" t="s">
        <v>134</v>
      </c>
      <c r="J352" s="3" t="n">
        <v>23</v>
      </c>
      <c r="K352" s="3" t="n">
        <v>3235.02</v>
      </c>
      <c r="L352" s="3" t="n">
        <v>74405.46</v>
      </c>
      <c r="M352" s="3" t="n">
        <v>0.0756</v>
      </c>
      <c r="N352" s="3" t="n">
        <v>5625.05</v>
      </c>
      <c r="O352" s="3" t="n">
        <v>68780.41</v>
      </c>
      <c r="P352" s="3" t="n">
        <v>40923</v>
      </c>
      <c r="Q352" s="3" t="n">
        <v>27857.41</v>
      </c>
      <c r="R352" s="3" t="n">
        <v>0.405</v>
      </c>
      <c r="S352" s="3" t="n">
        <v>0.0678</v>
      </c>
      <c r="T352" s="3" t="n">
        <v>0.0078</v>
      </c>
    </row>
    <row r="353" customFormat="false" ht="15" hidden="false" customHeight="true" outlineLevel="0" collapsed="false">
      <c r="A353" s="3" t="s">
        <v>731</v>
      </c>
      <c r="B353" s="3" t="s">
        <v>732</v>
      </c>
      <c r="C353" s="3" t="s">
        <v>126</v>
      </c>
      <c r="D353" s="3" t="s">
        <v>54</v>
      </c>
      <c r="E353" s="3" t="s">
        <v>24</v>
      </c>
      <c r="F353" s="3" t="s">
        <v>40</v>
      </c>
      <c r="G353" s="3" t="s">
        <v>49</v>
      </c>
      <c r="H353" s="3" t="s">
        <v>64</v>
      </c>
      <c r="I353" s="3" t="s">
        <v>65</v>
      </c>
      <c r="J353" s="3" t="n">
        <v>2</v>
      </c>
      <c r="K353" s="3" t="n">
        <v>8374.05</v>
      </c>
      <c r="L353" s="3" t="n">
        <v>16748.1</v>
      </c>
      <c r="M353" s="3" t="n">
        <v>0.0748</v>
      </c>
      <c r="N353" s="3" t="n">
        <v>1252.76</v>
      </c>
      <c r="O353" s="3" t="n">
        <v>15495.34</v>
      </c>
      <c r="P353" s="3" t="n">
        <v>9713.9</v>
      </c>
      <c r="Q353" s="3" t="n">
        <v>5781.44</v>
      </c>
      <c r="R353" s="3" t="n">
        <v>0.3731</v>
      </c>
      <c r="S353" s="3" t="n">
        <v>0.0611</v>
      </c>
      <c r="T353" s="3" t="n">
        <v>0.0137</v>
      </c>
    </row>
    <row r="354" customFormat="false" ht="15" hidden="false" customHeight="true" outlineLevel="0" collapsed="false">
      <c r="A354" s="3" t="s">
        <v>733</v>
      </c>
      <c r="B354" s="3" t="s">
        <v>734</v>
      </c>
      <c r="C354" s="3" t="s">
        <v>53</v>
      </c>
      <c r="D354" s="3" t="s">
        <v>83</v>
      </c>
      <c r="E354" s="3" t="s">
        <v>48</v>
      </c>
      <c r="F354" s="3" t="s">
        <v>62</v>
      </c>
      <c r="G354" s="3" t="s">
        <v>55</v>
      </c>
      <c r="H354" s="3" t="s">
        <v>56</v>
      </c>
      <c r="I354" s="3" t="s">
        <v>57</v>
      </c>
      <c r="J354" s="3" t="n">
        <v>11</v>
      </c>
      <c r="K354" s="3" t="n">
        <v>17993.69</v>
      </c>
      <c r="L354" s="3" t="n">
        <v>197930.59</v>
      </c>
      <c r="M354" s="3" t="n">
        <v>0.035</v>
      </c>
      <c r="N354" s="3" t="n">
        <v>6927.57</v>
      </c>
      <c r="O354" s="3" t="n">
        <v>191003.02</v>
      </c>
      <c r="P354" s="3" t="n">
        <v>118758.35</v>
      </c>
      <c r="Q354" s="3" t="n">
        <v>72244.67</v>
      </c>
      <c r="R354" s="3" t="n">
        <v>0.3782</v>
      </c>
      <c r="S354" s="3" t="n">
        <v>0.0308</v>
      </c>
      <c r="T354" s="3" t="n">
        <v>0.0042</v>
      </c>
    </row>
    <row r="355" customFormat="false" ht="15" hidden="false" customHeight="true" outlineLevel="0" collapsed="false">
      <c r="A355" s="3" t="s">
        <v>735</v>
      </c>
      <c r="B355" s="3" t="s">
        <v>736</v>
      </c>
      <c r="C355" s="3" t="s">
        <v>60</v>
      </c>
      <c r="D355" s="3" t="s">
        <v>97</v>
      </c>
      <c r="E355" s="3" t="s">
        <v>48</v>
      </c>
      <c r="F355" s="3" t="s">
        <v>40</v>
      </c>
      <c r="G355" s="3" t="s">
        <v>55</v>
      </c>
      <c r="H355" s="3" t="s">
        <v>27</v>
      </c>
      <c r="I355" s="3" t="s">
        <v>117</v>
      </c>
      <c r="J355" s="3" t="n">
        <v>25</v>
      </c>
      <c r="K355" s="3" t="n">
        <v>35088.16</v>
      </c>
      <c r="L355" s="3" t="n">
        <v>877204</v>
      </c>
      <c r="M355" s="3" t="n">
        <v>0.0477</v>
      </c>
      <c r="N355" s="3" t="n">
        <v>41842.63</v>
      </c>
      <c r="O355" s="3" t="n">
        <v>835361.37</v>
      </c>
      <c r="P355" s="3" t="n">
        <v>543866.48</v>
      </c>
      <c r="Q355" s="3" t="n">
        <v>291494.89</v>
      </c>
      <c r="R355" s="3" t="n">
        <v>0.3489</v>
      </c>
      <c r="S355" s="3" t="n">
        <v>0.0407</v>
      </c>
      <c r="T355" s="3" t="n">
        <v>0.007</v>
      </c>
    </row>
    <row r="356" customFormat="false" ht="15" hidden="false" customHeight="true" outlineLevel="0" collapsed="false">
      <c r="A356" s="3" t="s">
        <v>737</v>
      </c>
      <c r="B356" s="3" t="s">
        <v>738</v>
      </c>
      <c r="C356" s="3" t="s">
        <v>37</v>
      </c>
      <c r="D356" s="3" t="s">
        <v>38</v>
      </c>
      <c r="E356" s="3" t="s">
        <v>39</v>
      </c>
      <c r="F356" s="3" t="s">
        <v>40</v>
      </c>
      <c r="G356" s="3" t="s">
        <v>26</v>
      </c>
      <c r="H356" s="3" t="s">
        <v>42</v>
      </c>
      <c r="I356" s="3" t="s">
        <v>72</v>
      </c>
      <c r="J356" s="3" t="n">
        <v>38</v>
      </c>
      <c r="K356" s="3" t="n">
        <v>1755.74</v>
      </c>
      <c r="L356" s="3" t="n">
        <v>66718.12</v>
      </c>
      <c r="M356" s="3" t="n">
        <v>0.0314</v>
      </c>
      <c r="N356" s="3" t="n">
        <v>2094.95</v>
      </c>
      <c r="O356" s="3" t="n">
        <v>64623.17</v>
      </c>
      <c r="P356" s="3" t="n">
        <v>36694.97</v>
      </c>
      <c r="Q356" s="3" t="n">
        <v>27928.2</v>
      </c>
      <c r="R356" s="3" t="n">
        <v>0.4322</v>
      </c>
      <c r="S356" s="3" t="n">
        <v>0.0341</v>
      </c>
      <c r="T356" s="3" t="n">
        <v>-0.0027</v>
      </c>
    </row>
    <row r="357" customFormat="false" ht="15" hidden="false" customHeight="true" outlineLevel="0" collapsed="false">
      <c r="A357" s="3" t="s">
        <v>739</v>
      </c>
      <c r="B357" s="3" t="s">
        <v>740</v>
      </c>
      <c r="C357" s="3" t="s">
        <v>120</v>
      </c>
      <c r="D357" s="3" t="s">
        <v>38</v>
      </c>
      <c r="E357" s="3" t="s">
        <v>39</v>
      </c>
      <c r="F357" s="3" t="s">
        <v>40</v>
      </c>
      <c r="G357" s="3" t="s">
        <v>84</v>
      </c>
      <c r="H357" s="3" t="s">
        <v>64</v>
      </c>
      <c r="I357" s="3" t="s">
        <v>108</v>
      </c>
      <c r="J357" s="3" t="n">
        <v>12</v>
      </c>
      <c r="K357" s="3" t="n">
        <v>7879.12</v>
      </c>
      <c r="L357" s="3" t="n">
        <v>94549.44</v>
      </c>
      <c r="M357" s="3" t="n">
        <v>0.0545</v>
      </c>
      <c r="N357" s="3" t="n">
        <v>5152.94</v>
      </c>
      <c r="O357" s="3" t="n">
        <v>89396.5</v>
      </c>
      <c r="P357" s="3" t="n">
        <v>54838.68</v>
      </c>
      <c r="Q357" s="3" t="n">
        <v>34557.82</v>
      </c>
      <c r="R357" s="3" t="n">
        <v>0.3866</v>
      </c>
      <c r="S357" s="3" t="n">
        <v>0.0445</v>
      </c>
      <c r="T357" s="3" t="n">
        <v>0.01</v>
      </c>
    </row>
    <row r="358" customFormat="false" ht="15" hidden="false" customHeight="true" outlineLevel="0" collapsed="false">
      <c r="A358" s="3" t="s">
        <v>741</v>
      </c>
      <c r="B358" s="3" t="s">
        <v>742</v>
      </c>
      <c r="C358" s="3" t="s">
        <v>113</v>
      </c>
      <c r="D358" s="3" t="s">
        <v>38</v>
      </c>
      <c r="E358" s="3" t="s">
        <v>39</v>
      </c>
      <c r="F358" s="3" t="s">
        <v>40</v>
      </c>
      <c r="G358" s="3" t="s">
        <v>100</v>
      </c>
      <c r="H358" s="3" t="s">
        <v>64</v>
      </c>
      <c r="I358" s="3" t="s">
        <v>65</v>
      </c>
      <c r="J358" s="3" t="n">
        <v>22</v>
      </c>
      <c r="K358" s="3" t="n">
        <v>7301.9</v>
      </c>
      <c r="L358" s="3" t="n">
        <v>160641.8</v>
      </c>
      <c r="M358" s="3" t="n">
        <v>0.0759</v>
      </c>
      <c r="N358" s="3" t="n">
        <v>12192.71</v>
      </c>
      <c r="O358" s="3" t="n">
        <v>148449.09</v>
      </c>
      <c r="P358" s="3" t="n">
        <v>93172.24</v>
      </c>
      <c r="Q358" s="3" t="n">
        <v>55276.85</v>
      </c>
      <c r="R358" s="3" t="n">
        <v>0.3724</v>
      </c>
      <c r="S358" s="3" t="n">
        <v>0.0791</v>
      </c>
      <c r="T358" s="3" t="n">
        <v>-0.0032</v>
      </c>
    </row>
    <row r="359" customFormat="false" ht="15" hidden="false" customHeight="true" outlineLevel="0" collapsed="false">
      <c r="A359" s="3" t="s">
        <v>743</v>
      </c>
      <c r="B359" s="3" t="s">
        <v>744</v>
      </c>
      <c r="C359" s="3" t="s">
        <v>120</v>
      </c>
      <c r="D359" s="3" t="s">
        <v>103</v>
      </c>
      <c r="E359" s="3" t="s">
        <v>24</v>
      </c>
      <c r="F359" s="3" t="s">
        <v>62</v>
      </c>
      <c r="G359" s="3" t="s">
        <v>104</v>
      </c>
      <c r="H359" s="3" t="s">
        <v>64</v>
      </c>
      <c r="I359" s="3" t="s">
        <v>145</v>
      </c>
      <c r="J359" s="3" t="n">
        <v>38</v>
      </c>
      <c r="K359" s="3" t="n">
        <v>3197.22</v>
      </c>
      <c r="L359" s="3" t="n">
        <v>121494.36</v>
      </c>
      <c r="M359" s="3" t="n">
        <v>0.0909</v>
      </c>
      <c r="N359" s="3" t="n">
        <v>11043.84</v>
      </c>
      <c r="O359" s="3" t="n">
        <v>110450.52</v>
      </c>
      <c r="P359" s="3" t="n">
        <v>70466.73</v>
      </c>
      <c r="Q359" s="3" t="n">
        <v>39983.79</v>
      </c>
      <c r="R359" s="3" t="n">
        <v>0.362</v>
      </c>
      <c r="S359" s="3" t="n">
        <v>0.0958</v>
      </c>
      <c r="T359" s="3" t="n">
        <v>-0.0049</v>
      </c>
    </row>
    <row r="360" customFormat="false" ht="15" hidden="false" customHeight="true" outlineLevel="0" collapsed="false">
      <c r="A360" s="3" t="s">
        <v>745</v>
      </c>
      <c r="B360" s="3" t="s">
        <v>36</v>
      </c>
      <c r="C360" s="3" t="s">
        <v>37</v>
      </c>
      <c r="D360" s="3" t="s">
        <v>103</v>
      </c>
      <c r="E360" s="3" t="s">
        <v>24</v>
      </c>
      <c r="F360" s="3" t="s">
        <v>62</v>
      </c>
      <c r="G360" s="3" t="s">
        <v>26</v>
      </c>
      <c r="H360" s="3" t="s">
        <v>27</v>
      </c>
      <c r="I360" s="3" t="s">
        <v>50</v>
      </c>
      <c r="J360" s="3" t="n">
        <v>26</v>
      </c>
      <c r="K360" s="3" t="n">
        <v>38141.54</v>
      </c>
      <c r="L360" s="3" t="n">
        <v>991680.04</v>
      </c>
      <c r="M360" s="3" t="n">
        <v>0.0593</v>
      </c>
      <c r="N360" s="3" t="n">
        <v>58806.63</v>
      </c>
      <c r="O360" s="3" t="n">
        <v>932873.41</v>
      </c>
      <c r="P360" s="3" t="n">
        <v>614841.62</v>
      </c>
      <c r="Q360" s="3" t="n">
        <v>318031.79</v>
      </c>
      <c r="R360" s="3" t="n">
        <v>0.3409</v>
      </c>
      <c r="S360" s="3" t="n">
        <v>0.0528</v>
      </c>
      <c r="T360" s="3" t="n">
        <v>0.0065</v>
      </c>
    </row>
    <row r="361" customFormat="false" ht="15" hidden="false" customHeight="true" outlineLevel="0" collapsed="false">
      <c r="A361" s="3" t="s">
        <v>746</v>
      </c>
      <c r="B361" s="3" t="s">
        <v>747</v>
      </c>
      <c r="C361" s="3" t="s">
        <v>37</v>
      </c>
      <c r="D361" s="3" t="s">
        <v>75</v>
      </c>
      <c r="E361" s="3" t="s">
        <v>39</v>
      </c>
      <c r="F361" s="3" t="s">
        <v>25</v>
      </c>
      <c r="G361" s="3" t="s">
        <v>71</v>
      </c>
      <c r="H361" s="3" t="s">
        <v>64</v>
      </c>
      <c r="I361" s="3" t="s">
        <v>90</v>
      </c>
      <c r="J361" s="3" t="n">
        <v>42</v>
      </c>
      <c r="K361" s="3" t="n">
        <v>11645.96</v>
      </c>
      <c r="L361" s="3" t="n">
        <v>489130.32</v>
      </c>
      <c r="M361" s="3" t="n">
        <v>0.1424</v>
      </c>
      <c r="N361" s="3" t="n">
        <v>69652.16</v>
      </c>
      <c r="O361" s="3" t="n">
        <v>419478.16</v>
      </c>
      <c r="P361" s="3" t="n">
        <v>283695.59</v>
      </c>
      <c r="Q361" s="3" t="n">
        <v>135782.57</v>
      </c>
      <c r="R361" s="3" t="n">
        <v>0.3237</v>
      </c>
      <c r="S361" s="3" t="n">
        <v>0.1235</v>
      </c>
      <c r="T361" s="3" t="n">
        <v>0.0189</v>
      </c>
    </row>
    <row r="362" customFormat="false" ht="15" hidden="false" customHeight="true" outlineLevel="0" collapsed="false">
      <c r="A362" s="3" t="s">
        <v>748</v>
      </c>
      <c r="B362" s="3" t="s">
        <v>172</v>
      </c>
      <c r="C362" s="3" t="s">
        <v>156</v>
      </c>
      <c r="D362" s="3" t="s">
        <v>38</v>
      </c>
      <c r="E362" s="3" t="s">
        <v>39</v>
      </c>
      <c r="F362" s="3" t="s">
        <v>40</v>
      </c>
      <c r="G362" s="3" t="s">
        <v>76</v>
      </c>
      <c r="H362" s="3" t="s">
        <v>64</v>
      </c>
      <c r="I362" s="3" t="s">
        <v>90</v>
      </c>
      <c r="J362" s="3" t="n">
        <v>19</v>
      </c>
      <c r="K362" s="3" t="n">
        <v>9605.95</v>
      </c>
      <c r="L362" s="3" t="n">
        <v>182513.05</v>
      </c>
      <c r="M362" s="3" t="n">
        <v>0.0364</v>
      </c>
      <c r="N362" s="3" t="n">
        <v>6643.48</v>
      </c>
      <c r="O362" s="3" t="n">
        <v>175869.57</v>
      </c>
      <c r="P362" s="3" t="n">
        <v>105857.57</v>
      </c>
      <c r="Q362" s="3" t="n">
        <v>70012</v>
      </c>
      <c r="R362" s="3" t="n">
        <v>0.3981</v>
      </c>
      <c r="S362" s="3" t="n">
        <v>0.0394</v>
      </c>
      <c r="T362" s="3" t="n">
        <v>-0.003</v>
      </c>
    </row>
    <row r="363" customFormat="false" ht="15" hidden="false" customHeight="true" outlineLevel="0" collapsed="false">
      <c r="A363" s="3" t="s">
        <v>749</v>
      </c>
      <c r="B363" s="3" t="s">
        <v>618</v>
      </c>
      <c r="C363" s="3" t="s">
        <v>113</v>
      </c>
      <c r="D363" s="3" t="s">
        <v>38</v>
      </c>
      <c r="E363" s="3" t="s">
        <v>39</v>
      </c>
      <c r="F363" s="3" t="s">
        <v>40</v>
      </c>
      <c r="G363" s="3" t="s">
        <v>104</v>
      </c>
      <c r="H363" s="3" t="s">
        <v>77</v>
      </c>
      <c r="I363" s="3" t="s">
        <v>85</v>
      </c>
      <c r="J363" s="3" t="n">
        <v>21</v>
      </c>
      <c r="K363" s="3" t="n">
        <v>2073.99</v>
      </c>
      <c r="L363" s="3" t="n">
        <v>43553.79</v>
      </c>
      <c r="M363" s="3" t="n">
        <v>0.1348</v>
      </c>
      <c r="N363" s="3" t="n">
        <v>5871.05</v>
      </c>
      <c r="O363" s="3" t="n">
        <v>37682.74</v>
      </c>
      <c r="P363" s="3" t="n">
        <v>29616.58</v>
      </c>
      <c r="Q363" s="3" t="n">
        <v>8066.16</v>
      </c>
      <c r="R363" s="3" t="n">
        <v>0.2141</v>
      </c>
      <c r="S363" s="3" t="n">
        <v>0.1337</v>
      </c>
      <c r="T363" s="3" t="n">
        <v>0.0011</v>
      </c>
    </row>
    <row r="364" customFormat="false" ht="15" hidden="false" customHeight="true" outlineLevel="0" collapsed="false">
      <c r="A364" s="3" t="s">
        <v>750</v>
      </c>
      <c r="B364" s="3" t="s">
        <v>751</v>
      </c>
      <c r="C364" s="3" t="s">
        <v>37</v>
      </c>
      <c r="D364" s="3" t="s">
        <v>61</v>
      </c>
      <c r="E364" s="3" t="s">
        <v>33</v>
      </c>
      <c r="F364" s="3" t="s">
        <v>62</v>
      </c>
      <c r="G364" s="3" t="s">
        <v>49</v>
      </c>
      <c r="H364" s="3" t="s">
        <v>77</v>
      </c>
      <c r="I364" s="3" t="s">
        <v>131</v>
      </c>
      <c r="J364" s="3" t="n">
        <v>16</v>
      </c>
      <c r="K364" s="3" t="n">
        <v>4777.65</v>
      </c>
      <c r="L364" s="3" t="n">
        <v>76442.4</v>
      </c>
      <c r="M364" s="3" t="n">
        <v>0.0473</v>
      </c>
      <c r="N364" s="3" t="n">
        <v>3615.73</v>
      </c>
      <c r="O364" s="3" t="n">
        <v>72826.67</v>
      </c>
      <c r="P364" s="3" t="n">
        <v>51980.83</v>
      </c>
      <c r="Q364" s="3" t="n">
        <v>20845.84</v>
      </c>
      <c r="R364" s="3" t="n">
        <v>0.2862</v>
      </c>
      <c r="S364" s="3" t="n">
        <v>0.0403</v>
      </c>
      <c r="T364" s="3" t="n">
        <v>0.007</v>
      </c>
    </row>
    <row r="365" customFormat="false" ht="15" hidden="false" customHeight="true" outlineLevel="0" collapsed="false">
      <c r="A365" s="3" t="s">
        <v>752</v>
      </c>
      <c r="B365" s="3" t="s">
        <v>753</v>
      </c>
      <c r="C365" s="3" t="s">
        <v>120</v>
      </c>
      <c r="D365" s="3" t="s">
        <v>61</v>
      </c>
      <c r="E365" s="3" t="s">
        <v>33</v>
      </c>
      <c r="F365" s="3" t="s">
        <v>62</v>
      </c>
      <c r="G365" s="3" t="s">
        <v>104</v>
      </c>
      <c r="H365" s="3" t="s">
        <v>42</v>
      </c>
      <c r="I365" s="3" t="s">
        <v>134</v>
      </c>
      <c r="J365" s="3" t="n">
        <v>16</v>
      </c>
      <c r="K365" s="3" t="n">
        <v>1428.24</v>
      </c>
      <c r="L365" s="3" t="n">
        <v>22851.84</v>
      </c>
      <c r="M365" s="3" t="n">
        <v>0.0987</v>
      </c>
      <c r="N365" s="3" t="n">
        <v>2255.48</v>
      </c>
      <c r="O365" s="3" t="n">
        <v>20596.36</v>
      </c>
      <c r="P365" s="3" t="n">
        <v>12568.51</v>
      </c>
      <c r="Q365" s="3" t="n">
        <v>8027.85</v>
      </c>
      <c r="R365" s="3" t="n">
        <v>0.3898</v>
      </c>
      <c r="S365" s="3" t="n">
        <v>0.1003</v>
      </c>
      <c r="T365" s="3" t="n">
        <v>-0.0016</v>
      </c>
    </row>
    <row r="366" customFormat="false" ht="15" hidden="false" customHeight="true" outlineLevel="0" collapsed="false">
      <c r="A366" s="3" t="s">
        <v>754</v>
      </c>
      <c r="B366" s="3" t="s">
        <v>45</v>
      </c>
      <c r="C366" s="3" t="s">
        <v>46</v>
      </c>
      <c r="D366" s="3" t="s">
        <v>32</v>
      </c>
      <c r="E366" s="3" t="s">
        <v>33</v>
      </c>
      <c r="F366" s="3" t="s">
        <v>25</v>
      </c>
      <c r="G366" s="3" t="s">
        <v>26</v>
      </c>
      <c r="H366" s="3" t="s">
        <v>77</v>
      </c>
      <c r="I366" s="3" t="s">
        <v>78</v>
      </c>
      <c r="J366" s="3" t="n">
        <v>11</v>
      </c>
      <c r="K366" s="3" t="n">
        <v>3214.34</v>
      </c>
      <c r="L366" s="3" t="n">
        <v>35357.74</v>
      </c>
      <c r="M366" s="3" t="n">
        <v>0.1537</v>
      </c>
      <c r="N366" s="3" t="n">
        <v>5434.48</v>
      </c>
      <c r="O366" s="3" t="n">
        <v>29923.26</v>
      </c>
      <c r="P366" s="3" t="n">
        <v>24043.26</v>
      </c>
      <c r="Q366" s="3" t="n">
        <v>5880</v>
      </c>
      <c r="R366" s="3" t="n">
        <v>0.1965</v>
      </c>
      <c r="S366" s="3" t="n">
        <v>0.1391</v>
      </c>
      <c r="T366" s="3" t="n">
        <v>0.0146</v>
      </c>
    </row>
    <row r="367" customFormat="false" ht="15" hidden="false" customHeight="true" outlineLevel="0" collapsed="false">
      <c r="A367" s="3" t="s">
        <v>755</v>
      </c>
      <c r="B367" s="3" t="s">
        <v>756</v>
      </c>
      <c r="C367" s="3" t="s">
        <v>156</v>
      </c>
      <c r="D367" s="3" t="s">
        <v>47</v>
      </c>
      <c r="E367" s="3" t="s">
        <v>48</v>
      </c>
      <c r="F367" s="3" t="s">
        <v>25</v>
      </c>
      <c r="G367" s="3" t="s">
        <v>55</v>
      </c>
      <c r="H367" s="3" t="s">
        <v>27</v>
      </c>
      <c r="I367" s="3" t="s">
        <v>173</v>
      </c>
      <c r="J367" s="3" t="n">
        <v>44</v>
      </c>
      <c r="K367" s="3" t="n">
        <v>28831.03</v>
      </c>
      <c r="L367" s="3" t="n">
        <v>1268565.32</v>
      </c>
      <c r="M367" s="3" t="n">
        <v>0.1174</v>
      </c>
      <c r="N367" s="3" t="n">
        <v>148929.57</v>
      </c>
      <c r="O367" s="3" t="n">
        <v>1119635.75</v>
      </c>
      <c r="P367" s="3" t="n">
        <v>786510.5</v>
      </c>
      <c r="Q367" s="3" t="n">
        <v>333125.25</v>
      </c>
      <c r="R367" s="3" t="n">
        <v>0.2975</v>
      </c>
      <c r="S367" s="3" t="n">
        <v>0.1043</v>
      </c>
      <c r="T367" s="3" t="n">
        <v>0.0131</v>
      </c>
    </row>
    <row r="368" customFormat="false" ht="15" hidden="false" customHeight="true" outlineLevel="0" collapsed="false">
      <c r="A368" s="3" t="s">
        <v>757</v>
      </c>
      <c r="B368" s="3" t="s">
        <v>341</v>
      </c>
      <c r="C368" s="3" t="s">
        <v>120</v>
      </c>
      <c r="D368" s="3" t="s">
        <v>103</v>
      </c>
      <c r="E368" s="3" t="s">
        <v>24</v>
      </c>
      <c r="F368" s="3" t="s">
        <v>62</v>
      </c>
      <c r="G368" s="3" t="s">
        <v>116</v>
      </c>
      <c r="H368" s="3" t="s">
        <v>42</v>
      </c>
      <c r="I368" s="3" t="s">
        <v>43</v>
      </c>
      <c r="J368" s="3" t="n">
        <v>25</v>
      </c>
      <c r="K368" s="3" t="n">
        <v>1696.33</v>
      </c>
      <c r="L368" s="3" t="n">
        <v>42408.25</v>
      </c>
      <c r="M368" s="3" t="n">
        <v>0.061</v>
      </c>
      <c r="N368" s="3" t="n">
        <v>2586.9</v>
      </c>
      <c r="O368" s="3" t="n">
        <v>39821.35</v>
      </c>
      <c r="P368" s="3" t="n">
        <v>23324.54</v>
      </c>
      <c r="Q368" s="3" t="n">
        <v>16496.81</v>
      </c>
      <c r="R368" s="3" t="n">
        <v>0.4143</v>
      </c>
      <c r="S368" s="3" t="n">
        <v>0.055</v>
      </c>
      <c r="T368" s="3" t="n">
        <v>0.006</v>
      </c>
    </row>
    <row r="369" customFormat="false" ht="15" hidden="false" customHeight="true" outlineLevel="0" collapsed="false">
      <c r="A369" s="3" t="s">
        <v>758</v>
      </c>
      <c r="B369" s="3" t="s">
        <v>759</v>
      </c>
      <c r="C369" s="3" t="s">
        <v>60</v>
      </c>
      <c r="D369" s="3" t="s">
        <v>38</v>
      </c>
      <c r="E369" s="3" t="s">
        <v>39</v>
      </c>
      <c r="F369" s="3" t="s">
        <v>40</v>
      </c>
      <c r="G369" s="3" t="s">
        <v>104</v>
      </c>
      <c r="H369" s="3" t="s">
        <v>77</v>
      </c>
      <c r="I369" s="3" t="s">
        <v>85</v>
      </c>
      <c r="J369" s="3" t="n">
        <v>42</v>
      </c>
      <c r="K369" s="3" t="n">
        <v>3270.35</v>
      </c>
      <c r="L369" s="3" t="n">
        <v>137354.7</v>
      </c>
      <c r="M369" s="3" t="n">
        <v>0.0938</v>
      </c>
      <c r="N369" s="3" t="n">
        <v>12883.87</v>
      </c>
      <c r="O369" s="3" t="n">
        <v>124470.83</v>
      </c>
      <c r="P369" s="3" t="n">
        <v>93401.2</v>
      </c>
      <c r="Q369" s="3" t="n">
        <v>31069.63</v>
      </c>
      <c r="R369" s="3" t="n">
        <v>0.2496</v>
      </c>
      <c r="S369" s="3" t="n">
        <v>0.0766</v>
      </c>
      <c r="T369" s="3" t="n">
        <v>0.0172</v>
      </c>
    </row>
    <row r="370" customFormat="false" ht="15" hidden="false" customHeight="true" outlineLevel="0" collapsed="false">
      <c r="A370" s="3" t="s">
        <v>760</v>
      </c>
      <c r="B370" s="3" t="s">
        <v>761</v>
      </c>
      <c r="C370" s="3" t="s">
        <v>53</v>
      </c>
      <c r="D370" s="3" t="s">
        <v>103</v>
      </c>
      <c r="E370" s="3" t="s">
        <v>24</v>
      </c>
      <c r="F370" s="3" t="s">
        <v>62</v>
      </c>
      <c r="G370" s="3" t="s">
        <v>63</v>
      </c>
      <c r="H370" s="3" t="s">
        <v>64</v>
      </c>
      <c r="I370" s="3" t="s">
        <v>108</v>
      </c>
      <c r="J370" s="3" t="n">
        <v>47</v>
      </c>
      <c r="K370" s="3" t="n">
        <v>9274.77</v>
      </c>
      <c r="L370" s="3" t="n">
        <v>435914.19</v>
      </c>
      <c r="M370" s="3" t="n">
        <v>0.0763</v>
      </c>
      <c r="N370" s="3" t="n">
        <v>33260.25</v>
      </c>
      <c r="O370" s="3" t="n">
        <v>402653.94</v>
      </c>
      <c r="P370" s="3" t="n">
        <v>252830.23</v>
      </c>
      <c r="Q370" s="3" t="n">
        <v>149823.71</v>
      </c>
      <c r="R370" s="3" t="n">
        <v>0.3721</v>
      </c>
      <c r="S370" s="3" t="n">
        <v>0.0761</v>
      </c>
      <c r="T370" s="3" t="n">
        <v>0.0002</v>
      </c>
    </row>
    <row r="371" customFormat="false" ht="15" hidden="false" customHeight="true" outlineLevel="0" collapsed="false">
      <c r="A371" s="3" t="s">
        <v>762</v>
      </c>
      <c r="B371" s="3" t="s">
        <v>763</v>
      </c>
      <c r="C371" s="3" t="s">
        <v>46</v>
      </c>
      <c r="D371" s="3" t="s">
        <v>54</v>
      </c>
      <c r="E371" s="3" t="s">
        <v>24</v>
      </c>
      <c r="F371" s="3" t="s">
        <v>40</v>
      </c>
      <c r="G371" s="3" t="s">
        <v>104</v>
      </c>
      <c r="H371" s="3" t="s">
        <v>64</v>
      </c>
      <c r="I371" s="3" t="s">
        <v>65</v>
      </c>
      <c r="J371" s="3" t="n">
        <v>36</v>
      </c>
      <c r="K371" s="3" t="n">
        <v>6536.12</v>
      </c>
      <c r="L371" s="3" t="n">
        <v>235300.32</v>
      </c>
      <c r="M371" s="3" t="n">
        <v>0.0981</v>
      </c>
      <c r="N371" s="3" t="n">
        <v>23082.96</v>
      </c>
      <c r="O371" s="3" t="n">
        <v>212217.36</v>
      </c>
      <c r="P371" s="3" t="n">
        <v>136474.19</v>
      </c>
      <c r="Q371" s="3" t="n">
        <v>75743.17</v>
      </c>
      <c r="R371" s="3" t="n">
        <v>0.3569</v>
      </c>
      <c r="S371" s="3" t="n">
        <v>0.0786</v>
      </c>
      <c r="T371" s="3" t="n">
        <v>0.0195</v>
      </c>
    </row>
    <row r="372" customFormat="false" ht="15" hidden="false" customHeight="true" outlineLevel="0" collapsed="false">
      <c r="A372" s="3" t="s">
        <v>764</v>
      </c>
      <c r="B372" s="3" t="s">
        <v>765</v>
      </c>
      <c r="C372" s="3" t="s">
        <v>113</v>
      </c>
      <c r="D372" s="3" t="s">
        <v>61</v>
      </c>
      <c r="E372" s="3" t="s">
        <v>33</v>
      </c>
      <c r="F372" s="3" t="s">
        <v>62</v>
      </c>
      <c r="G372" s="3" t="s">
        <v>71</v>
      </c>
      <c r="H372" s="3" t="s">
        <v>42</v>
      </c>
      <c r="I372" s="3" t="s">
        <v>72</v>
      </c>
      <c r="J372" s="3" t="n">
        <v>13</v>
      </c>
      <c r="K372" s="3" t="n">
        <v>2600.75</v>
      </c>
      <c r="L372" s="3" t="n">
        <v>33809.75</v>
      </c>
      <c r="M372" s="3" t="n">
        <v>0.0348</v>
      </c>
      <c r="N372" s="3" t="n">
        <v>1176.58</v>
      </c>
      <c r="O372" s="3" t="n">
        <v>32633.17</v>
      </c>
      <c r="P372" s="3" t="n">
        <v>18595.36</v>
      </c>
      <c r="Q372" s="3" t="n">
        <v>14037.81</v>
      </c>
      <c r="R372" s="3" t="n">
        <v>0.4302</v>
      </c>
      <c r="S372" s="3" t="n">
        <v>0.0297</v>
      </c>
      <c r="T372" s="3" t="n">
        <v>0.0051</v>
      </c>
    </row>
    <row r="373" customFormat="false" ht="15" hidden="false" customHeight="true" outlineLevel="0" collapsed="false">
      <c r="A373" s="3" t="s">
        <v>766</v>
      </c>
      <c r="B373" s="3" t="s">
        <v>288</v>
      </c>
      <c r="C373" s="3" t="s">
        <v>53</v>
      </c>
      <c r="D373" s="3" t="s">
        <v>54</v>
      </c>
      <c r="E373" s="3" t="s">
        <v>24</v>
      </c>
      <c r="F373" s="3" t="s">
        <v>40</v>
      </c>
      <c r="G373" s="3" t="s">
        <v>116</v>
      </c>
      <c r="H373" s="3" t="s">
        <v>27</v>
      </c>
      <c r="I373" s="3" t="s">
        <v>173</v>
      </c>
      <c r="J373" s="3" t="n">
        <v>26</v>
      </c>
      <c r="K373" s="3" t="n">
        <v>17867.31</v>
      </c>
      <c r="L373" s="3" t="n">
        <v>464550.06</v>
      </c>
      <c r="M373" s="3" t="n">
        <v>0.1093</v>
      </c>
      <c r="N373" s="3" t="n">
        <v>50775.32</v>
      </c>
      <c r="O373" s="3" t="n">
        <v>413774.74</v>
      </c>
      <c r="P373" s="3" t="n">
        <v>288021.04</v>
      </c>
      <c r="Q373" s="3" t="n">
        <v>125753.7</v>
      </c>
      <c r="R373" s="3" t="n">
        <v>0.3039</v>
      </c>
      <c r="S373" s="3" t="n">
        <v>0.0905</v>
      </c>
      <c r="T373" s="3" t="n">
        <v>0.0188</v>
      </c>
    </row>
    <row r="374" customFormat="false" ht="15" hidden="false" customHeight="true" outlineLevel="0" collapsed="false">
      <c r="A374" s="3" t="s">
        <v>767</v>
      </c>
      <c r="B374" s="3" t="s">
        <v>623</v>
      </c>
      <c r="C374" s="3" t="s">
        <v>22</v>
      </c>
      <c r="D374" s="3" t="s">
        <v>107</v>
      </c>
      <c r="E374" s="3" t="s">
        <v>33</v>
      </c>
      <c r="F374" s="3" t="s">
        <v>70</v>
      </c>
      <c r="G374" s="3" t="s">
        <v>49</v>
      </c>
      <c r="H374" s="3" t="s">
        <v>77</v>
      </c>
      <c r="I374" s="3" t="s">
        <v>131</v>
      </c>
      <c r="J374" s="3" t="n">
        <v>24</v>
      </c>
      <c r="K374" s="3" t="n">
        <v>5450.36</v>
      </c>
      <c r="L374" s="3" t="n">
        <v>130808.64</v>
      </c>
      <c r="M374" s="3" t="n">
        <v>0.0393</v>
      </c>
      <c r="N374" s="3" t="n">
        <v>5140.78</v>
      </c>
      <c r="O374" s="3" t="n">
        <v>125667.86</v>
      </c>
      <c r="P374" s="3" t="n">
        <v>88949.88</v>
      </c>
      <c r="Q374" s="3" t="n">
        <v>36717.98</v>
      </c>
      <c r="R374" s="3" t="n">
        <v>0.2922</v>
      </c>
      <c r="S374" s="3" t="n">
        <v>0.0346</v>
      </c>
      <c r="T374" s="3" t="n">
        <v>0.0047</v>
      </c>
    </row>
    <row r="375" customFormat="false" ht="15" hidden="false" customHeight="true" outlineLevel="0" collapsed="false">
      <c r="A375" s="3" t="s">
        <v>768</v>
      </c>
      <c r="B375" s="3" t="s">
        <v>119</v>
      </c>
      <c r="C375" s="3" t="s">
        <v>120</v>
      </c>
      <c r="D375" s="3" t="s">
        <v>83</v>
      </c>
      <c r="E375" s="3" t="s">
        <v>48</v>
      </c>
      <c r="F375" s="3" t="s">
        <v>62</v>
      </c>
      <c r="G375" s="3" t="s">
        <v>76</v>
      </c>
      <c r="H375" s="3" t="s">
        <v>42</v>
      </c>
      <c r="I375" s="3" t="s">
        <v>43</v>
      </c>
      <c r="J375" s="3" t="n">
        <v>10</v>
      </c>
      <c r="K375" s="3" t="n">
        <v>2474.86</v>
      </c>
      <c r="L375" s="3" t="n">
        <v>24748.6</v>
      </c>
      <c r="M375" s="3" t="n">
        <v>0.0676</v>
      </c>
      <c r="N375" s="3" t="n">
        <v>1673.01</v>
      </c>
      <c r="O375" s="3" t="n">
        <v>23075.59</v>
      </c>
      <c r="P375" s="3" t="n">
        <v>13611.73</v>
      </c>
      <c r="Q375" s="3" t="n">
        <v>9463.86</v>
      </c>
      <c r="R375" s="3" t="n">
        <v>0.4101</v>
      </c>
      <c r="S375" s="3" t="n">
        <v>0.0558</v>
      </c>
      <c r="T375" s="3" t="n">
        <v>0.0118</v>
      </c>
    </row>
    <row r="376" customFormat="false" ht="15" hidden="false" customHeight="true" outlineLevel="0" collapsed="false">
      <c r="A376" s="3" t="s">
        <v>769</v>
      </c>
      <c r="B376" s="3" t="s">
        <v>249</v>
      </c>
      <c r="C376" s="3" t="s">
        <v>68</v>
      </c>
      <c r="D376" s="3" t="s">
        <v>103</v>
      </c>
      <c r="E376" s="3" t="s">
        <v>24</v>
      </c>
      <c r="F376" s="3" t="s">
        <v>62</v>
      </c>
      <c r="G376" s="3" t="s">
        <v>55</v>
      </c>
      <c r="H376" s="3" t="s">
        <v>56</v>
      </c>
      <c r="I376" s="3" t="s">
        <v>57</v>
      </c>
      <c r="J376" s="3" t="n">
        <v>4</v>
      </c>
      <c r="K376" s="3" t="n">
        <v>5640.2</v>
      </c>
      <c r="L376" s="3" t="n">
        <v>22560.8</v>
      </c>
      <c r="M376" s="3" t="n">
        <v>0.072</v>
      </c>
      <c r="N376" s="3" t="n">
        <v>1624.38</v>
      </c>
      <c r="O376" s="3" t="n">
        <v>20936.42</v>
      </c>
      <c r="P376" s="3" t="n">
        <v>13536.48</v>
      </c>
      <c r="Q376" s="3" t="n">
        <v>7399.94</v>
      </c>
      <c r="R376" s="3" t="n">
        <v>0.3534</v>
      </c>
      <c r="S376" s="3" t="n">
        <v>0.0667</v>
      </c>
      <c r="T376" s="3" t="n">
        <v>0.0053</v>
      </c>
    </row>
    <row r="377" customFormat="false" ht="15" hidden="false" customHeight="true" outlineLevel="0" collapsed="false">
      <c r="A377" s="3" t="s">
        <v>770</v>
      </c>
      <c r="B377" s="3" t="s">
        <v>771</v>
      </c>
      <c r="C377" s="3" t="s">
        <v>156</v>
      </c>
      <c r="D377" s="3" t="s">
        <v>107</v>
      </c>
      <c r="E377" s="3" t="s">
        <v>33</v>
      </c>
      <c r="F377" s="3" t="s">
        <v>70</v>
      </c>
      <c r="G377" s="3" t="s">
        <v>34</v>
      </c>
      <c r="H377" s="3" t="s">
        <v>77</v>
      </c>
      <c r="I377" s="3" t="s">
        <v>85</v>
      </c>
      <c r="J377" s="3" t="n">
        <v>6</v>
      </c>
      <c r="K377" s="3" t="n">
        <v>3486.06</v>
      </c>
      <c r="L377" s="3" t="n">
        <v>20916.36</v>
      </c>
      <c r="M377" s="3" t="n">
        <v>0.1039</v>
      </c>
      <c r="N377" s="3" t="n">
        <v>2173.21</v>
      </c>
      <c r="O377" s="3" t="n">
        <v>18743.15</v>
      </c>
      <c r="P377" s="3" t="n">
        <v>14223.12</v>
      </c>
      <c r="Q377" s="3" t="n">
        <v>4520.03</v>
      </c>
      <c r="R377" s="3" t="n">
        <v>0.2412</v>
      </c>
      <c r="S377" s="3" t="n">
        <v>0.0988</v>
      </c>
      <c r="T377" s="3" t="n">
        <v>0.0051</v>
      </c>
    </row>
    <row r="378" customFormat="false" ht="15" hidden="false" customHeight="true" outlineLevel="0" collapsed="false">
      <c r="A378" s="3" t="s">
        <v>772</v>
      </c>
      <c r="B378" s="3" t="s">
        <v>773</v>
      </c>
      <c r="C378" s="3" t="s">
        <v>60</v>
      </c>
      <c r="D378" s="3" t="s">
        <v>107</v>
      </c>
      <c r="E378" s="3" t="s">
        <v>33</v>
      </c>
      <c r="F378" s="3" t="s">
        <v>70</v>
      </c>
      <c r="G378" s="3" t="s">
        <v>55</v>
      </c>
      <c r="H378" s="3" t="s">
        <v>56</v>
      </c>
      <c r="I378" s="3" t="s">
        <v>121</v>
      </c>
      <c r="J378" s="3" t="n">
        <v>49</v>
      </c>
      <c r="K378" s="3" t="n">
        <v>4359.16</v>
      </c>
      <c r="L378" s="3" t="n">
        <v>213598.84</v>
      </c>
      <c r="M378" s="3" t="n">
        <v>0.0525</v>
      </c>
      <c r="N378" s="3" t="n">
        <v>11213.94</v>
      </c>
      <c r="O378" s="3" t="n">
        <v>202384.9</v>
      </c>
      <c r="P378" s="3" t="n">
        <v>128159.3</v>
      </c>
      <c r="Q378" s="3" t="n">
        <v>74225.6</v>
      </c>
      <c r="R378" s="3" t="n">
        <v>0.3668</v>
      </c>
      <c r="S378" s="3" t="n">
        <v>0.0573</v>
      </c>
      <c r="T378" s="3" t="n">
        <v>-0.0048</v>
      </c>
    </row>
    <row r="379" customFormat="false" ht="15" hidden="false" customHeight="true" outlineLevel="0" collapsed="false">
      <c r="A379" s="3" t="s">
        <v>774</v>
      </c>
      <c r="B379" s="3" t="s">
        <v>775</v>
      </c>
      <c r="C379" s="3" t="s">
        <v>60</v>
      </c>
      <c r="D379" s="3" t="s">
        <v>69</v>
      </c>
      <c r="E379" s="3" t="s">
        <v>39</v>
      </c>
      <c r="F379" s="3" t="s">
        <v>70</v>
      </c>
      <c r="G379" s="3" t="s">
        <v>63</v>
      </c>
      <c r="H379" s="3" t="s">
        <v>64</v>
      </c>
      <c r="I379" s="3" t="s">
        <v>65</v>
      </c>
      <c r="J379" s="3" t="n">
        <v>44</v>
      </c>
      <c r="K379" s="3" t="n">
        <v>3705.32</v>
      </c>
      <c r="L379" s="3" t="n">
        <v>163034.08</v>
      </c>
      <c r="M379" s="3" t="n">
        <v>0.0518</v>
      </c>
      <c r="N379" s="3" t="n">
        <v>8445.17</v>
      </c>
      <c r="O379" s="3" t="n">
        <v>154588.91</v>
      </c>
      <c r="P379" s="3" t="n">
        <v>94559.77</v>
      </c>
      <c r="Q379" s="3" t="n">
        <v>60029.14</v>
      </c>
      <c r="R379" s="3" t="n">
        <v>0.3883</v>
      </c>
      <c r="S379" s="3" t="n">
        <v>0.0544</v>
      </c>
      <c r="T379" s="3" t="n">
        <v>-0.0026</v>
      </c>
    </row>
    <row r="380" customFormat="false" ht="15" hidden="false" customHeight="true" outlineLevel="0" collapsed="false">
      <c r="A380" s="3" t="s">
        <v>776</v>
      </c>
      <c r="B380" s="3" t="s">
        <v>229</v>
      </c>
      <c r="C380" s="3" t="s">
        <v>126</v>
      </c>
      <c r="D380" s="3" t="s">
        <v>54</v>
      </c>
      <c r="E380" s="3" t="s">
        <v>24</v>
      </c>
      <c r="F380" s="3" t="s">
        <v>40</v>
      </c>
      <c r="G380" s="3" t="s">
        <v>116</v>
      </c>
      <c r="H380" s="3" t="s">
        <v>42</v>
      </c>
      <c r="I380" s="3" t="s">
        <v>72</v>
      </c>
      <c r="J380" s="3" t="n">
        <v>36</v>
      </c>
      <c r="K380" s="3" t="n">
        <v>804.6</v>
      </c>
      <c r="L380" s="3" t="n">
        <v>28965.6</v>
      </c>
      <c r="M380" s="3" t="n">
        <v>0.0829</v>
      </c>
      <c r="N380" s="3" t="n">
        <v>2401.25</v>
      </c>
      <c r="O380" s="3" t="n">
        <v>26564.35</v>
      </c>
      <c r="P380" s="3" t="n">
        <v>15931.08</v>
      </c>
      <c r="Q380" s="3" t="n">
        <v>10633.27</v>
      </c>
      <c r="R380" s="3" t="n">
        <v>0.4003</v>
      </c>
      <c r="S380" s="3" t="n">
        <v>0.0793</v>
      </c>
      <c r="T380" s="3" t="n">
        <v>0.0036</v>
      </c>
    </row>
    <row r="381" customFormat="false" ht="15" hidden="false" customHeight="true" outlineLevel="0" collapsed="false">
      <c r="A381" s="3" t="s">
        <v>777</v>
      </c>
      <c r="B381" s="3" t="s">
        <v>778</v>
      </c>
      <c r="C381" s="3" t="s">
        <v>120</v>
      </c>
      <c r="D381" s="3" t="s">
        <v>32</v>
      </c>
      <c r="E381" s="3" t="s">
        <v>33</v>
      </c>
      <c r="F381" s="3" t="s">
        <v>25</v>
      </c>
      <c r="G381" s="3" t="s">
        <v>100</v>
      </c>
      <c r="H381" s="3" t="s">
        <v>56</v>
      </c>
      <c r="I381" s="3" t="s">
        <v>121</v>
      </c>
      <c r="J381" s="3" t="n">
        <v>8</v>
      </c>
      <c r="K381" s="3" t="n">
        <v>14506.97</v>
      </c>
      <c r="L381" s="3" t="n">
        <v>116055.76</v>
      </c>
      <c r="M381" s="3" t="n">
        <v>0.1026</v>
      </c>
      <c r="N381" s="3" t="n">
        <v>11907.32</v>
      </c>
      <c r="O381" s="3" t="n">
        <v>104148.44</v>
      </c>
      <c r="P381" s="3" t="n">
        <v>69633.46</v>
      </c>
      <c r="Q381" s="3" t="n">
        <v>34514.98</v>
      </c>
      <c r="R381" s="3" t="n">
        <v>0.3314</v>
      </c>
      <c r="S381" s="3" t="n">
        <v>0.1105</v>
      </c>
      <c r="T381" s="3" t="n">
        <v>-0.0079</v>
      </c>
    </row>
    <row r="382" customFormat="false" ht="15" hidden="false" customHeight="true" outlineLevel="0" collapsed="false">
      <c r="A382" s="3" t="s">
        <v>779</v>
      </c>
      <c r="B382" s="3" t="s">
        <v>115</v>
      </c>
      <c r="C382" s="3" t="s">
        <v>93</v>
      </c>
      <c r="D382" s="3" t="s">
        <v>38</v>
      </c>
      <c r="E382" s="3" t="s">
        <v>39</v>
      </c>
      <c r="F382" s="3" t="s">
        <v>40</v>
      </c>
      <c r="G382" s="3" t="s">
        <v>100</v>
      </c>
      <c r="H382" s="3" t="s">
        <v>27</v>
      </c>
      <c r="I382" s="3" t="s">
        <v>50</v>
      </c>
      <c r="J382" s="3" t="n">
        <v>27</v>
      </c>
      <c r="K382" s="3" t="n">
        <v>36164.35</v>
      </c>
      <c r="L382" s="3" t="n">
        <v>976437.45</v>
      </c>
      <c r="M382" s="3" t="n">
        <v>0.0432</v>
      </c>
      <c r="N382" s="3" t="n">
        <v>42182.1</v>
      </c>
      <c r="O382" s="3" t="n">
        <v>934255.35</v>
      </c>
      <c r="P382" s="3" t="n">
        <v>605391.22</v>
      </c>
      <c r="Q382" s="3" t="n">
        <v>328864.13</v>
      </c>
      <c r="R382" s="3" t="n">
        <v>0.352</v>
      </c>
      <c r="S382" s="3" t="n">
        <v>0.042</v>
      </c>
      <c r="T382" s="3" t="n">
        <v>0.0012</v>
      </c>
    </row>
    <row r="383" customFormat="false" ht="15" hidden="false" customHeight="true" outlineLevel="0" collapsed="false">
      <c r="A383" s="3" t="s">
        <v>780</v>
      </c>
      <c r="B383" s="3" t="s">
        <v>781</v>
      </c>
      <c r="C383" s="3" t="s">
        <v>31</v>
      </c>
      <c r="D383" s="3" t="s">
        <v>83</v>
      </c>
      <c r="E383" s="3" t="s">
        <v>48</v>
      </c>
      <c r="F383" s="3" t="s">
        <v>62</v>
      </c>
      <c r="G383" s="3" t="s">
        <v>76</v>
      </c>
      <c r="H383" s="3" t="s">
        <v>27</v>
      </c>
      <c r="I383" s="3" t="s">
        <v>117</v>
      </c>
      <c r="J383" s="3" t="n">
        <v>40</v>
      </c>
      <c r="K383" s="3" t="n">
        <v>20895.17</v>
      </c>
      <c r="L383" s="3" t="n">
        <v>835806.8</v>
      </c>
      <c r="M383" s="3" t="n">
        <v>0.0604</v>
      </c>
      <c r="N383" s="3" t="n">
        <v>50482.73</v>
      </c>
      <c r="O383" s="3" t="n">
        <v>785324.07</v>
      </c>
      <c r="P383" s="3" t="n">
        <v>518200.22</v>
      </c>
      <c r="Q383" s="3" t="n">
        <v>267123.85</v>
      </c>
      <c r="R383" s="3" t="n">
        <v>0.3401</v>
      </c>
      <c r="S383" s="3" t="n">
        <v>0.049</v>
      </c>
      <c r="T383" s="3" t="n">
        <v>0.0114</v>
      </c>
    </row>
    <row r="384" customFormat="false" ht="15" hidden="false" customHeight="true" outlineLevel="0" collapsed="false">
      <c r="A384" s="3" t="s">
        <v>782</v>
      </c>
      <c r="B384" s="3" t="s">
        <v>783</v>
      </c>
      <c r="C384" s="3" t="s">
        <v>156</v>
      </c>
      <c r="D384" s="3" t="s">
        <v>103</v>
      </c>
      <c r="E384" s="3" t="s">
        <v>24</v>
      </c>
      <c r="F384" s="3" t="s">
        <v>62</v>
      </c>
      <c r="G384" s="3" t="s">
        <v>26</v>
      </c>
      <c r="H384" s="3" t="s">
        <v>64</v>
      </c>
      <c r="I384" s="3" t="s">
        <v>65</v>
      </c>
      <c r="J384" s="3" t="n">
        <v>18</v>
      </c>
      <c r="K384" s="3" t="n">
        <v>7276.96</v>
      </c>
      <c r="L384" s="3" t="n">
        <v>130985.28</v>
      </c>
      <c r="M384" s="3" t="n">
        <v>0.0749</v>
      </c>
      <c r="N384" s="3" t="n">
        <v>9810.8</v>
      </c>
      <c r="O384" s="3" t="n">
        <v>121174.48</v>
      </c>
      <c r="P384" s="3" t="n">
        <v>75971.46</v>
      </c>
      <c r="Q384" s="3" t="n">
        <v>45203.02</v>
      </c>
      <c r="R384" s="3" t="n">
        <v>0.373</v>
      </c>
      <c r="S384" s="3" t="n">
        <v>0.0675</v>
      </c>
      <c r="T384" s="3" t="n">
        <v>0.0074</v>
      </c>
    </row>
    <row r="385" customFormat="false" ht="15" hidden="false" customHeight="true" outlineLevel="0" collapsed="false">
      <c r="A385" s="3" t="s">
        <v>784</v>
      </c>
      <c r="B385" s="3" t="s">
        <v>52</v>
      </c>
      <c r="C385" s="3" t="s">
        <v>53</v>
      </c>
      <c r="D385" s="3" t="s">
        <v>54</v>
      </c>
      <c r="E385" s="3" t="s">
        <v>24</v>
      </c>
      <c r="F385" s="3" t="s">
        <v>40</v>
      </c>
      <c r="G385" s="3" t="s">
        <v>84</v>
      </c>
      <c r="H385" s="3" t="s">
        <v>42</v>
      </c>
      <c r="I385" s="3" t="s">
        <v>134</v>
      </c>
      <c r="J385" s="3" t="n">
        <v>44</v>
      </c>
      <c r="K385" s="3" t="n">
        <v>3503.82</v>
      </c>
      <c r="L385" s="3" t="n">
        <v>154168.08</v>
      </c>
      <c r="M385" s="3" t="n">
        <v>0.0349</v>
      </c>
      <c r="N385" s="3" t="n">
        <v>5380.47</v>
      </c>
      <c r="O385" s="3" t="n">
        <v>148787.61</v>
      </c>
      <c r="P385" s="3" t="n">
        <v>84792.44</v>
      </c>
      <c r="Q385" s="3" t="n">
        <v>63995.17</v>
      </c>
      <c r="R385" s="3" t="n">
        <v>0.4301</v>
      </c>
      <c r="S385" s="3" t="n">
        <v>0.0293</v>
      </c>
      <c r="T385" s="3" t="n">
        <v>0.0056</v>
      </c>
    </row>
    <row r="386" customFormat="false" ht="15" hidden="false" customHeight="true" outlineLevel="0" collapsed="false">
      <c r="A386" s="3" t="s">
        <v>785</v>
      </c>
      <c r="B386" s="3" t="s">
        <v>786</v>
      </c>
      <c r="C386" s="3" t="s">
        <v>113</v>
      </c>
      <c r="D386" s="3" t="s">
        <v>97</v>
      </c>
      <c r="E386" s="3" t="s">
        <v>48</v>
      </c>
      <c r="F386" s="3" t="s">
        <v>40</v>
      </c>
      <c r="G386" s="3" t="s">
        <v>76</v>
      </c>
      <c r="H386" s="3" t="s">
        <v>77</v>
      </c>
      <c r="I386" s="3" t="s">
        <v>78</v>
      </c>
      <c r="J386" s="3" t="n">
        <v>39</v>
      </c>
      <c r="K386" s="3" t="n">
        <v>4698.24</v>
      </c>
      <c r="L386" s="3" t="n">
        <v>183231.36</v>
      </c>
      <c r="M386" s="3" t="n">
        <v>0.0623</v>
      </c>
      <c r="N386" s="3" t="n">
        <v>11415.31</v>
      </c>
      <c r="O386" s="3" t="n">
        <v>171816.05</v>
      </c>
      <c r="P386" s="3" t="n">
        <v>124597.32</v>
      </c>
      <c r="Q386" s="3" t="n">
        <v>47218.73</v>
      </c>
      <c r="R386" s="3" t="n">
        <v>0.2748</v>
      </c>
      <c r="S386" s="3" t="n">
        <v>0.0581</v>
      </c>
      <c r="T386" s="3" t="n">
        <v>0.0042</v>
      </c>
    </row>
    <row r="387" customFormat="false" ht="15" hidden="false" customHeight="true" outlineLevel="0" collapsed="false">
      <c r="A387" s="3" t="s">
        <v>787</v>
      </c>
      <c r="B387" s="3" t="s">
        <v>788</v>
      </c>
      <c r="C387" s="3" t="s">
        <v>68</v>
      </c>
      <c r="D387" s="3" t="s">
        <v>47</v>
      </c>
      <c r="E387" s="3" t="s">
        <v>48</v>
      </c>
      <c r="F387" s="3" t="s">
        <v>25</v>
      </c>
      <c r="G387" s="3" t="s">
        <v>49</v>
      </c>
      <c r="H387" s="3" t="s">
        <v>77</v>
      </c>
      <c r="I387" s="3" t="s">
        <v>85</v>
      </c>
      <c r="J387" s="3" t="n">
        <v>33</v>
      </c>
      <c r="K387" s="3" t="n">
        <v>5140.88</v>
      </c>
      <c r="L387" s="3" t="n">
        <v>169649.04</v>
      </c>
      <c r="M387" s="3" t="n">
        <v>0.1148</v>
      </c>
      <c r="N387" s="3" t="n">
        <v>19475.71</v>
      </c>
      <c r="O387" s="3" t="n">
        <v>150173.33</v>
      </c>
      <c r="P387" s="3" t="n">
        <v>115361.35</v>
      </c>
      <c r="Q387" s="3" t="n">
        <v>34811.98</v>
      </c>
      <c r="R387" s="3" t="n">
        <v>0.2318</v>
      </c>
      <c r="S387" s="3" t="n">
        <v>0.1058</v>
      </c>
      <c r="T387" s="3" t="n">
        <v>0.009</v>
      </c>
    </row>
    <row r="388" customFormat="false" ht="15" hidden="false" customHeight="true" outlineLevel="0" collapsed="false">
      <c r="A388" s="3" t="s">
        <v>789</v>
      </c>
      <c r="B388" s="3" t="s">
        <v>661</v>
      </c>
      <c r="C388" s="3" t="s">
        <v>93</v>
      </c>
      <c r="D388" s="3" t="s">
        <v>107</v>
      </c>
      <c r="E388" s="3" t="s">
        <v>33</v>
      </c>
      <c r="F388" s="3" t="s">
        <v>70</v>
      </c>
      <c r="G388" s="3" t="s">
        <v>41</v>
      </c>
      <c r="H388" s="3" t="s">
        <v>56</v>
      </c>
      <c r="I388" s="3" t="s">
        <v>188</v>
      </c>
      <c r="J388" s="3" t="n">
        <v>13</v>
      </c>
      <c r="K388" s="3" t="n">
        <v>5084.22</v>
      </c>
      <c r="L388" s="3" t="n">
        <v>66094.86</v>
      </c>
      <c r="M388" s="3" t="n">
        <v>0.1018</v>
      </c>
      <c r="N388" s="3" t="n">
        <v>6728.46</v>
      </c>
      <c r="O388" s="3" t="n">
        <v>59366.4</v>
      </c>
      <c r="P388" s="3" t="n">
        <v>39656.92</v>
      </c>
      <c r="Q388" s="3" t="n">
        <v>19709.48</v>
      </c>
      <c r="R388" s="3" t="n">
        <v>0.332</v>
      </c>
      <c r="S388" s="3" t="n">
        <v>0.083</v>
      </c>
      <c r="T388" s="3" t="n">
        <v>0.0188</v>
      </c>
    </row>
    <row r="389" customFormat="false" ht="15" hidden="false" customHeight="true" outlineLevel="0" collapsed="false">
      <c r="A389" s="3" t="s">
        <v>790</v>
      </c>
      <c r="B389" s="3" t="s">
        <v>314</v>
      </c>
      <c r="C389" s="3" t="s">
        <v>120</v>
      </c>
      <c r="D389" s="3" t="s">
        <v>103</v>
      </c>
      <c r="E389" s="3" t="s">
        <v>24</v>
      </c>
      <c r="F389" s="3" t="s">
        <v>62</v>
      </c>
      <c r="G389" s="3" t="s">
        <v>49</v>
      </c>
      <c r="H389" s="3" t="s">
        <v>64</v>
      </c>
      <c r="I389" s="3" t="s">
        <v>145</v>
      </c>
      <c r="J389" s="3" t="n">
        <v>33</v>
      </c>
      <c r="K389" s="3" t="n">
        <v>10411.56</v>
      </c>
      <c r="L389" s="3" t="n">
        <v>343581.48</v>
      </c>
      <c r="M389" s="3" t="n">
        <v>0.0498</v>
      </c>
      <c r="N389" s="3" t="n">
        <v>17110.36</v>
      </c>
      <c r="O389" s="3" t="n">
        <v>326471.12</v>
      </c>
      <c r="P389" s="3" t="n">
        <v>199277.26</v>
      </c>
      <c r="Q389" s="3" t="n">
        <v>127193.86</v>
      </c>
      <c r="R389" s="3" t="n">
        <v>0.3896</v>
      </c>
      <c r="S389" s="3" t="n">
        <v>0.0501</v>
      </c>
      <c r="T389" s="3" t="n">
        <v>-0.0003</v>
      </c>
    </row>
    <row r="390" customFormat="false" ht="15" hidden="false" customHeight="true" outlineLevel="0" collapsed="false">
      <c r="A390" s="3" t="s">
        <v>791</v>
      </c>
      <c r="B390" s="3" t="s">
        <v>792</v>
      </c>
      <c r="C390" s="3" t="s">
        <v>37</v>
      </c>
      <c r="D390" s="3" t="s">
        <v>69</v>
      </c>
      <c r="E390" s="3" t="s">
        <v>39</v>
      </c>
      <c r="F390" s="3" t="s">
        <v>70</v>
      </c>
      <c r="G390" s="3" t="s">
        <v>55</v>
      </c>
      <c r="H390" s="3" t="s">
        <v>42</v>
      </c>
      <c r="I390" s="3" t="s">
        <v>134</v>
      </c>
      <c r="J390" s="3" t="n">
        <v>31</v>
      </c>
      <c r="K390" s="3" t="n">
        <v>2061.36</v>
      </c>
      <c r="L390" s="3" t="n">
        <v>63902.16</v>
      </c>
      <c r="M390" s="3" t="n">
        <v>0.0593</v>
      </c>
      <c r="N390" s="3" t="n">
        <v>3789.4</v>
      </c>
      <c r="O390" s="3" t="n">
        <v>60112.76</v>
      </c>
      <c r="P390" s="3" t="n">
        <v>35146.19</v>
      </c>
      <c r="Q390" s="3" t="n">
        <v>24966.57</v>
      </c>
      <c r="R390" s="3" t="n">
        <v>0.4153</v>
      </c>
      <c r="S390" s="3" t="n">
        <v>0.0536</v>
      </c>
      <c r="T390" s="3" t="n">
        <v>0.0057</v>
      </c>
    </row>
    <row r="391" customFormat="false" ht="15" hidden="false" customHeight="true" outlineLevel="0" collapsed="false">
      <c r="A391" s="3" t="s">
        <v>793</v>
      </c>
      <c r="B391" s="3" t="s">
        <v>198</v>
      </c>
      <c r="C391" s="3" t="s">
        <v>113</v>
      </c>
      <c r="D391" s="3" t="s">
        <v>54</v>
      </c>
      <c r="E391" s="3" t="s">
        <v>24</v>
      </c>
      <c r="F391" s="3" t="s">
        <v>40</v>
      </c>
      <c r="G391" s="3" t="s">
        <v>104</v>
      </c>
      <c r="H391" s="3" t="s">
        <v>27</v>
      </c>
      <c r="I391" s="3" t="s">
        <v>50</v>
      </c>
      <c r="J391" s="3" t="n">
        <v>11</v>
      </c>
      <c r="K391" s="3" t="n">
        <v>20370.1</v>
      </c>
      <c r="L391" s="3" t="n">
        <v>224071.1</v>
      </c>
      <c r="M391" s="3" t="n">
        <v>0.1239</v>
      </c>
      <c r="N391" s="3" t="n">
        <v>27762.41</v>
      </c>
      <c r="O391" s="3" t="n">
        <v>196308.69</v>
      </c>
      <c r="P391" s="3" t="n">
        <v>138924.08</v>
      </c>
      <c r="Q391" s="3" t="n">
        <v>57384.61</v>
      </c>
      <c r="R391" s="3" t="n">
        <v>0.2923</v>
      </c>
      <c r="S391" s="3" t="n">
        <v>0.131</v>
      </c>
      <c r="T391" s="3" t="n">
        <v>-0.0071</v>
      </c>
    </row>
    <row r="392" customFormat="false" ht="15" hidden="false" customHeight="true" outlineLevel="0" collapsed="false">
      <c r="A392" s="3" t="s">
        <v>794</v>
      </c>
      <c r="B392" s="3" t="s">
        <v>795</v>
      </c>
      <c r="C392" s="3" t="s">
        <v>156</v>
      </c>
      <c r="D392" s="3" t="s">
        <v>23</v>
      </c>
      <c r="E392" s="3" t="s">
        <v>24</v>
      </c>
      <c r="F392" s="3" t="s">
        <v>25</v>
      </c>
      <c r="G392" s="3" t="s">
        <v>76</v>
      </c>
      <c r="H392" s="3" t="s">
        <v>64</v>
      </c>
      <c r="I392" s="3" t="s">
        <v>108</v>
      </c>
      <c r="J392" s="3" t="n">
        <v>33</v>
      </c>
      <c r="K392" s="3" t="n">
        <v>8864.29</v>
      </c>
      <c r="L392" s="3" t="n">
        <v>292521.57</v>
      </c>
      <c r="M392" s="3" t="n">
        <v>0.1334</v>
      </c>
      <c r="N392" s="3" t="n">
        <v>39022.38</v>
      </c>
      <c r="O392" s="3" t="n">
        <v>253499.19</v>
      </c>
      <c r="P392" s="3" t="n">
        <v>169662.51</v>
      </c>
      <c r="Q392" s="3" t="n">
        <v>83836.68</v>
      </c>
      <c r="R392" s="3" t="n">
        <v>0.3307</v>
      </c>
      <c r="S392" s="3" t="n">
        <v>0.1257</v>
      </c>
      <c r="T392" s="3" t="n">
        <v>0.0077</v>
      </c>
    </row>
    <row r="393" customFormat="false" ht="15" hidden="false" customHeight="true" outlineLevel="0" collapsed="false">
      <c r="A393" s="3" t="s">
        <v>796</v>
      </c>
      <c r="B393" s="3" t="s">
        <v>797</v>
      </c>
      <c r="C393" s="3" t="s">
        <v>46</v>
      </c>
      <c r="D393" s="3" t="s">
        <v>75</v>
      </c>
      <c r="E393" s="3" t="s">
        <v>39</v>
      </c>
      <c r="F393" s="3" t="s">
        <v>25</v>
      </c>
      <c r="G393" s="3" t="s">
        <v>34</v>
      </c>
      <c r="H393" s="3" t="s">
        <v>64</v>
      </c>
      <c r="I393" s="3" t="s">
        <v>65</v>
      </c>
      <c r="J393" s="3" t="n">
        <v>20</v>
      </c>
      <c r="K393" s="3" t="n">
        <v>5271.51</v>
      </c>
      <c r="L393" s="3" t="n">
        <v>105430.2</v>
      </c>
      <c r="M393" s="3" t="n">
        <v>0.1934</v>
      </c>
      <c r="N393" s="3" t="n">
        <v>20390.2</v>
      </c>
      <c r="O393" s="3" t="n">
        <v>85040</v>
      </c>
      <c r="P393" s="3" t="n">
        <v>61149.52</v>
      </c>
      <c r="Q393" s="3" t="n">
        <v>23890.48</v>
      </c>
      <c r="R393" s="3" t="n">
        <v>0.2809</v>
      </c>
      <c r="S393" s="3" t="n">
        <v>0.2041</v>
      </c>
      <c r="T393" s="3" t="n">
        <v>-0.0107</v>
      </c>
    </row>
    <row r="394" customFormat="false" ht="15" hidden="false" customHeight="true" outlineLevel="0" collapsed="false">
      <c r="A394" s="3" t="s">
        <v>798</v>
      </c>
      <c r="B394" s="3" t="s">
        <v>799</v>
      </c>
      <c r="C394" s="3" t="s">
        <v>46</v>
      </c>
      <c r="D394" s="3" t="s">
        <v>83</v>
      </c>
      <c r="E394" s="3" t="s">
        <v>48</v>
      </c>
      <c r="F394" s="3" t="s">
        <v>62</v>
      </c>
      <c r="G394" s="3" t="s">
        <v>84</v>
      </c>
      <c r="H394" s="3" t="s">
        <v>42</v>
      </c>
      <c r="I394" s="3" t="s">
        <v>43</v>
      </c>
      <c r="J394" s="3" t="n">
        <v>34</v>
      </c>
      <c r="K394" s="3" t="n">
        <v>1557.51</v>
      </c>
      <c r="L394" s="3" t="n">
        <v>52955.34</v>
      </c>
      <c r="M394" s="3" t="n">
        <v>0.0712</v>
      </c>
      <c r="N394" s="3" t="n">
        <v>3770.42</v>
      </c>
      <c r="O394" s="3" t="n">
        <v>49184.92</v>
      </c>
      <c r="P394" s="3" t="n">
        <v>29125.44</v>
      </c>
      <c r="Q394" s="3" t="n">
        <v>20059.48</v>
      </c>
      <c r="R394" s="3" t="n">
        <v>0.4078</v>
      </c>
      <c r="S394" s="3" t="n">
        <v>0.0695</v>
      </c>
      <c r="T394" s="3" t="n">
        <v>0.0017</v>
      </c>
    </row>
    <row r="395" customFormat="false" ht="15" hidden="false" customHeight="true" outlineLevel="0" collapsed="false">
      <c r="A395" s="3" t="s">
        <v>800</v>
      </c>
      <c r="B395" s="3" t="s">
        <v>753</v>
      </c>
      <c r="C395" s="3" t="s">
        <v>120</v>
      </c>
      <c r="D395" s="3" t="s">
        <v>32</v>
      </c>
      <c r="E395" s="3" t="s">
        <v>33</v>
      </c>
      <c r="F395" s="3" t="s">
        <v>25</v>
      </c>
      <c r="G395" s="3" t="s">
        <v>49</v>
      </c>
      <c r="H395" s="3" t="s">
        <v>56</v>
      </c>
      <c r="I395" s="3" t="s">
        <v>121</v>
      </c>
      <c r="J395" s="3" t="n">
        <v>39</v>
      </c>
      <c r="K395" s="3" t="n">
        <v>10983.31</v>
      </c>
      <c r="L395" s="3" t="n">
        <v>428349.09</v>
      </c>
      <c r="M395" s="3" t="n">
        <v>0.1243</v>
      </c>
      <c r="N395" s="3" t="n">
        <v>53243.79</v>
      </c>
      <c r="O395" s="3" t="n">
        <v>375105.3</v>
      </c>
      <c r="P395" s="3" t="n">
        <v>257009.45</v>
      </c>
      <c r="Q395" s="3" t="n">
        <v>118095.85</v>
      </c>
      <c r="R395" s="3" t="n">
        <v>0.3148</v>
      </c>
      <c r="S395" s="3" t="n">
        <v>0.1174</v>
      </c>
      <c r="T395" s="3" t="n">
        <v>0.0069</v>
      </c>
    </row>
    <row r="396" customFormat="false" ht="15" hidden="false" customHeight="true" outlineLevel="0" collapsed="false">
      <c r="A396" s="3" t="s">
        <v>801</v>
      </c>
      <c r="B396" s="3" t="s">
        <v>541</v>
      </c>
      <c r="C396" s="3" t="s">
        <v>126</v>
      </c>
      <c r="D396" s="3" t="s">
        <v>103</v>
      </c>
      <c r="E396" s="3" t="s">
        <v>24</v>
      </c>
      <c r="F396" s="3" t="s">
        <v>62</v>
      </c>
      <c r="G396" s="3" t="s">
        <v>49</v>
      </c>
      <c r="H396" s="3" t="s">
        <v>42</v>
      </c>
      <c r="I396" s="3" t="s">
        <v>72</v>
      </c>
      <c r="J396" s="3" t="n">
        <v>17</v>
      </c>
      <c r="K396" s="3" t="n">
        <v>3515.22</v>
      </c>
      <c r="L396" s="3" t="n">
        <v>59758.74</v>
      </c>
      <c r="M396" s="3" t="n">
        <v>0.0628</v>
      </c>
      <c r="N396" s="3" t="n">
        <v>3752.85</v>
      </c>
      <c r="O396" s="3" t="n">
        <v>56005.89</v>
      </c>
      <c r="P396" s="3" t="n">
        <v>32867.31</v>
      </c>
      <c r="Q396" s="3" t="n">
        <v>23138.58</v>
      </c>
      <c r="R396" s="3" t="n">
        <v>0.4131</v>
      </c>
      <c r="S396" s="3" t="n">
        <v>0.0538</v>
      </c>
      <c r="T396" s="3" t="n">
        <v>0.009</v>
      </c>
    </row>
    <row r="397" customFormat="false" ht="15" hidden="false" customHeight="true" outlineLevel="0" collapsed="false">
      <c r="A397" s="3" t="s">
        <v>802</v>
      </c>
      <c r="B397" s="3" t="s">
        <v>803</v>
      </c>
      <c r="C397" s="3" t="s">
        <v>156</v>
      </c>
      <c r="D397" s="3" t="s">
        <v>107</v>
      </c>
      <c r="E397" s="3" t="s">
        <v>33</v>
      </c>
      <c r="F397" s="3" t="s">
        <v>70</v>
      </c>
      <c r="G397" s="3" t="s">
        <v>55</v>
      </c>
      <c r="H397" s="3" t="s">
        <v>64</v>
      </c>
      <c r="I397" s="3" t="s">
        <v>65</v>
      </c>
      <c r="J397" s="3" t="n">
        <v>21</v>
      </c>
      <c r="K397" s="3" t="n">
        <v>6636.89</v>
      </c>
      <c r="L397" s="3" t="n">
        <v>139374.69</v>
      </c>
      <c r="M397" s="3" t="n">
        <v>0.064</v>
      </c>
      <c r="N397" s="3" t="n">
        <v>8919.98</v>
      </c>
      <c r="O397" s="3" t="n">
        <v>130454.71</v>
      </c>
      <c r="P397" s="3" t="n">
        <v>80837.32</v>
      </c>
      <c r="Q397" s="3" t="n">
        <v>49617.39</v>
      </c>
      <c r="R397" s="3" t="n">
        <v>0.3803</v>
      </c>
      <c r="S397" s="3" t="n">
        <v>0.0638</v>
      </c>
      <c r="T397" s="3" t="n">
        <v>0.0002</v>
      </c>
    </row>
    <row r="398" customFormat="false" ht="15" hidden="false" customHeight="true" outlineLevel="0" collapsed="false">
      <c r="A398" s="3" t="s">
        <v>804</v>
      </c>
      <c r="B398" s="3" t="s">
        <v>805</v>
      </c>
      <c r="C398" s="3" t="s">
        <v>113</v>
      </c>
      <c r="D398" s="3" t="s">
        <v>54</v>
      </c>
      <c r="E398" s="3" t="s">
        <v>24</v>
      </c>
      <c r="F398" s="3" t="s">
        <v>40</v>
      </c>
      <c r="G398" s="3" t="s">
        <v>63</v>
      </c>
      <c r="H398" s="3" t="s">
        <v>42</v>
      </c>
      <c r="I398" s="3" t="s">
        <v>134</v>
      </c>
      <c r="J398" s="3" t="n">
        <v>3</v>
      </c>
      <c r="K398" s="3" t="n">
        <v>1858.96</v>
      </c>
      <c r="L398" s="3" t="n">
        <v>5576.88</v>
      </c>
      <c r="M398" s="3" t="n">
        <v>0.0592</v>
      </c>
      <c r="N398" s="3" t="n">
        <v>330.15</v>
      </c>
      <c r="O398" s="3" t="n">
        <v>5246.73</v>
      </c>
      <c r="P398" s="3" t="n">
        <v>3067.28</v>
      </c>
      <c r="Q398" s="3" t="n">
        <v>2179.45</v>
      </c>
      <c r="R398" s="3" t="n">
        <v>0.4154</v>
      </c>
      <c r="S398" s="3" t="n">
        <v>0.0534</v>
      </c>
      <c r="T398" s="3" t="n">
        <v>0.0058</v>
      </c>
    </row>
    <row r="399" customFormat="false" ht="15" hidden="false" customHeight="true" outlineLevel="0" collapsed="false">
      <c r="A399" s="3" t="s">
        <v>806</v>
      </c>
      <c r="B399" s="3" t="s">
        <v>807</v>
      </c>
      <c r="C399" s="3" t="s">
        <v>113</v>
      </c>
      <c r="D399" s="3" t="s">
        <v>97</v>
      </c>
      <c r="E399" s="3" t="s">
        <v>48</v>
      </c>
      <c r="F399" s="3" t="s">
        <v>40</v>
      </c>
      <c r="G399" s="3" t="s">
        <v>71</v>
      </c>
      <c r="H399" s="3" t="s">
        <v>64</v>
      </c>
      <c r="I399" s="3" t="s">
        <v>90</v>
      </c>
      <c r="J399" s="3" t="n">
        <v>20</v>
      </c>
      <c r="K399" s="3" t="n">
        <v>6226.47</v>
      </c>
      <c r="L399" s="3" t="n">
        <v>124529.4</v>
      </c>
      <c r="M399" s="3" t="n">
        <v>0.0723</v>
      </c>
      <c r="N399" s="3" t="n">
        <v>9003.48</v>
      </c>
      <c r="O399" s="3" t="n">
        <v>115525.92</v>
      </c>
      <c r="P399" s="3" t="n">
        <v>72227.05</v>
      </c>
      <c r="Q399" s="3" t="n">
        <v>43298.87</v>
      </c>
      <c r="R399" s="3" t="n">
        <v>0.3748</v>
      </c>
      <c r="S399" s="3" t="n">
        <v>0.0642</v>
      </c>
      <c r="T399" s="3" t="n">
        <v>0.0081</v>
      </c>
    </row>
    <row r="400" customFormat="false" ht="15" hidden="false" customHeight="true" outlineLevel="0" collapsed="false">
      <c r="A400" s="3" t="s">
        <v>808</v>
      </c>
      <c r="B400" s="3" t="s">
        <v>809</v>
      </c>
      <c r="C400" s="3" t="s">
        <v>37</v>
      </c>
      <c r="D400" s="3" t="s">
        <v>83</v>
      </c>
      <c r="E400" s="3" t="s">
        <v>48</v>
      </c>
      <c r="F400" s="3" t="s">
        <v>62</v>
      </c>
      <c r="G400" s="3" t="s">
        <v>26</v>
      </c>
      <c r="H400" s="3" t="s">
        <v>64</v>
      </c>
      <c r="I400" s="3" t="s">
        <v>145</v>
      </c>
      <c r="J400" s="3" t="n">
        <v>49</v>
      </c>
      <c r="K400" s="3" t="n">
        <v>10275.09</v>
      </c>
      <c r="L400" s="3" t="n">
        <v>503479.41</v>
      </c>
      <c r="M400" s="3" t="n">
        <v>0.0756</v>
      </c>
      <c r="N400" s="3" t="n">
        <v>38063.04</v>
      </c>
      <c r="O400" s="3" t="n">
        <v>465416.37</v>
      </c>
      <c r="P400" s="3" t="n">
        <v>292018.06</v>
      </c>
      <c r="Q400" s="3" t="n">
        <v>173398.31</v>
      </c>
      <c r="R400" s="3" t="n">
        <v>0.3726</v>
      </c>
      <c r="S400" s="3" t="n">
        <v>0.0754</v>
      </c>
      <c r="T400" s="3" t="n">
        <v>0.0002</v>
      </c>
    </row>
    <row r="401" customFormat="false" ht="15" hidden="false" customHeight="true" outlineLevel="0" collapsed="false">
      <c r="A401" s="3" t="s">
        <v>810</v>
      </c>
      <c r="B401" s="3" t="s">
        <v>811</v>
      </c>
      <c r="C401" s="3" t="s">
        <v>37</v>
      </c>
      <c r="D401" s="3" t="s">
        <v>69</v>
      </c>
      <c r="E401" s="3" t="s">
        <v>39</v>
      </c>
      <c r="F401" s="3" t="s">
        <v>70</v>
      </c>
      <c r="G401" s="3" t="s">
        <v>26</v>
      </c>
      <c r="H401" s="3" t="s">
        <v>42</v>
      </c>
      <c r="I401" s="3" t="s">
        <v>43</v>
      </c>
      <c r="J401" s="3" t="n">
        <v>27</v>
      </c>
      <c r="K401" s="3" t="n">
        <v>3550.01</v>
      </c>
      <c r="L401" s="3" t="n">
        <v>95850.27</v>
      </c>
      <c r="M401" s="3" t="n">
        <v>0.0694</v>
      </c>
      <c r="N401" s="3" t="n">
        <v>6652.01</v>
      </c>
      <c r="O401" s="3" t="n">
        <v>89198.26</v>
      </c>
      <c r="P401" s="3" t="n">
        <v>52717.65</v>
      </c>
      <c r="Q401" s="3" t="n">
        <v>36480.61</v>
      </c>
      <c r="R401" s="3" t="n">
        <v>0.409</v>
      </c>
      <c r="S401" s="3" t="n">
        <v>0.0633</v>
      </c>
      <c r="T401" s="3" t="n">
        <v>0.0061</v>
      </c>
    </row>
    <row r="402" customFormat="false" ht="15" hidden="false" customHeight="true" outlineLevel="0" collapsed="false">
      <c r="A402" s="3" t="s">
        <v>812</v>
      </c>
      <c r="B402" s="3" t="s">
        <v>813</v>
      </c>
      <c r="C402" s="3" t="s">
        <v>22</v>
      </c>
      <c r="D402" s="3" t="s">
        <v>38</v>
      </c>
      <c r="E402" s="3" t="s">
        <v>39</v>
      </c>
      <c r="F402" s="3" t="s">
        <v>40</v>
      </c>
      <c r="G402" s="3" t="s">
        <v>116</v>
      </c>
      <c r="H402" s="3" t="s">
        <v>42</v>
      </c>
      <c r="I402" s="3" t="s">
        <v>134</v>
      </c>
      <c r="J402" s="3" t="n">
        <v>41</v>
      </c>
      <c r="K402" s="3" t="n">
        <v>2146.88</v>
      </c>
      <c r="L402" s="3" t="n">
        <v>88022.08</v>
      </c>
      <c r="M402" s="3" t="n">
        <v>0.117</v>
      </c>
      <c r="N402" s="3" t="n">
        <v>10298.58</v>
      </c>
      <c r="O402" s="3" t="n">
        <v>77723.5</v>
      </c>
      <c r="P402" s="3" t="n">
        <v>48412.14</v>
      </c>
      <c r="Q402" s="3" t="n">
        <v>29311.36</v>
      </c>
      <c r="R402" s="3" t="n">
        <v>0.3771</v>
      </c>
      <c r="S402" s="3" t="n">
        <v>0.1101</v>
      </c>
      <c r="T402" s="3" t="n">
        <v>0.0069</v>
      </c>
    </row>
    <row r="403" customFormat="false" ht="15" hidden="false" customHeight="true" outlineLevel="0" collapsed="false">
      <c r="A403" s="3" t="s">
        <v>814</v>
      </c>
      <c r="B403" s="3" t="s">
        <v>815</v>
      </c>
      <c r="C403" s="3" t="s">
        <v>60</v>
      </c>
      <c r="D403" s="3" t="s">
        <v>69</v>
      </c>
      <c r="E403" s="3" t="s">
        <v>39</v>
      </c>
      <c r="F403" s="3" t="s">
        <v>70</v>
      </c>
      <c r="G403" s="3" t="s">
        <v>71</v>
      </c>
      <c r="H403" s="3" t="s">
        <v>56</v>
      </c>
      <c r="I403" s="3" t="s">
        <v>188</v>
      </c>
      <c r="J403" s="3" t="n">
        <v>20</v>
      </c>
      <c r="K403" s="3" t="n">
        <v>8106.71</v>
      </c>
      <c r="L403" s="3" t="n">
        <v>162134.2</v>
      </c>
      <c r="M403" s="3" t="n">
        <v>0.0507</v>
      </c>
      <c r="N403" s="3" t="n">
        <v>8220.2</v>
      </c>
      <c r="O403" s="3" t="n">
        <v>153914</v>
      </c>
      <c r="P403" s="3" t="n">
        <v>97280.52</v>
      </c>
      <c r="Q403" s="3" t="n">
        <v>56633.48</v>
      </c>
      <c r="R403" s="3" t="n">
        <v>0.368</v>
      </c>
      <c r="S403" s="3" t="n">
        <v>0.0426</v>
      </c>
      <c r="T403" s="3" t="n">
        <v>0.0081</v>
      </c>
    </row>
    <row r="404" customFormat="false" ht="15" hidden="false" customHeight="true" outlineLevel="0" collapsed="false">
      <c r="A404" s="3" t="s">
        <v>816</v>
      </c>
      <c r="B404" s="3" t="s">
        <v>430</v>
      </c>
      <c r="C404" s="3" t="s">
        <v>113</v>
      </c>
      <c r="D404" s="3" t="s">
        <v>69</v>
      </c>
      <c r="E404" s="3" t="s">
        <v>39</v>
      </c>
      <c r="F404" s="3" t="s">
        <v>70</v>
      </c>
      <c r="G404" s="3" t="s">
        <v>55</v>
      </c>
      <c r="H404" s="3" t="s">
        <v>42</v>
      </c>
      <c r="I404" s="3" t="s">
        <v>134</v>
      </c>
      <c r="J404" s="3" t="n">
        <v>30</v>
      </c>
      <c r="K404" s="3" t="n">
        <v>3624.96</v>
      </c>
      <c r="L404" s="3" t="n">
        <v>108748.8</v>
      </c>
      <c r="M404" s="3" t="n">
        <v>0.0372</v>
      </c>
      <c r="N404" s="3" t="n">
        <v>4045.46</v>
      </c>
      <c r="O404" s="3" t="n">
        <v>104703.34</v>
      </c>
      <c r="P404" s="3" t="n">
        <v>59811.84</v>
      </c>
      <c r="Q404" s="3" t="n">
        <v>44891.5</v>
      </c>
      <c r="R404" s="3" t="n">
        <v>0.4287</v>
      </c>
      <c r="S404" s="3" t="n">
        <v>0.0384</v>
      </c>
      <c r="T404" s="3" t="n">
        <v>-0.0012</v>
      </c>
    </row>
    <row r="405" customFormat="false" ht="15" hidden="false" customHeight="true" outlineLevel="0" collapsed="false">
      <c r="A405" s="3" t="s">
        <v>817</v>
      </c>
      <c r="B405" s="3" t="s">
        <v>818</v>
      </c>
      <c r="C405" s="3" t="s">
        <v>60</v>
      </c>
      <c r="D405" s="3" t="s">
        <v>83</v>
      </c>
      <c r="E405" s="3" t="s">
        <v>48</v>
      </c>
      <c r="F405" s="3" t="s">
        <v>62</v>
      </c>
      <c r="G405" s="3" t="s">
        <v>41</v>
      </c>
      <c r="H405" s="3" t="s">
        <v>42</v>
      </c>
      <c r="I405" s="3" t="s">
        <v>72</v>
      </c>
      <c r="J405" s="3" t="n">
        <v>4</v>
      </c>
      <c r="K405" s="3" t="n">
        <v>1596.95</v>
      </c>
      <c r="L405" s="3" t="n">
        <v>6387.8</v>
      </c>
      <c r="M405" s="3" t="n">
        <v>0.0612</v>
      </c>
      <c r="N405" s="3" t="n">
        <v>390.93</v>
      </c>
      <c r="O405" s="3" t="n">
        <v>5996.87</v>
      </c>
      <c r="P405" s="3" t="n">
        <v>3513.29</v>
      </c>
      <c r="Q405" s="3" t="n">
        <v>2483.58</v>
      </c>
      <c r="R405" s="3" t="n">
        <v>0.4141</v>
      </c>
      <c r="S405" s="3" t="n">
        <v>0.0595</v>
      </c>
      <c r="T405" s="3" t="n">
        <v>0.0017</v>
      </c>
    </row>
    <row r="406" customFormat="false" ht="15" hidden="false" customHeight="true" outlineLevel="0" collapsed="false">
      <c r="A406" s="3" t="s">
        <v>819</v>
      </c>
      <c r="B406" s="3" t="s">
        <v>820</v>
      </c>
      <c r="C406" s="3" t="s">
        <v>156</v>
      </c>
      <c r="D406" s="3" t="s">
        <v>75</v>
      </c>
      <c r="E406" s="3" t="s">
        <v>39</v>
      </c>
      <c r="F406" s="3" t="s">
        <v>25</v>
      </c>
      <c r="G406" s="3" t="s">
        <v>41</v>
      </c>
      <c r="H406" s="3" t="s">
        <v>77</v>
      </c>
      <c r="I406" s="3" t="s">
        <v>131</v>
      </c>
      <c r="J406" s="3" t="n">
        <v>41</v>
      </c>
      <c r="K406" s="3" t="n">
        <v>4149.5</v>
      </c>
      <c r="L406" s="3" t="n">
        <v>170129.5</v>
      </c>
      <c r="M406" s="3" t="n">
        <v>0.1649</v>
      </c>
      <c r="N406" s="3" t="n">
        <v>28054.35</v>
      </c>
      <c r="O406" s="3" t="n">
        <v>142075.15</v>
      </c>
      <c r="P406" s="3" t="n">
        <v>115688.06</v>
      </c>
      <c r="Q406" s="3" t="n">
        <v>26387.09</v>
      </c>
      <c r="R406" s="3" t="n">
        <v>0.1857</v>
      </c>
      <c r="S406" s="3" t="n">
        <v>0.1338</v>
      </c>
      <c r="T406" s="3" t="n">
        <v>0.0311</v>
      </c>
    </row>
    <row r="407" customFormat="false" ht="15" hidden="false" customHeight="true" outlineLevel="0" collapsed="false">
      <c r="A407" s="3" t="s">
        <v>821</v>
      </c>
      <c r="B407" s="3" t="s">
        <v>822</v>
      </c>
      <c r="C407" s="3" t="s">
        <v>156</v>
      </c>
      <c r="D407" s="3" t="s">
        <v>69</v>
      </c>
      <c r="E407" s="3" t="s">
        <v>39</v>
      </c>
      <c r="F407" s="3" t="s">
        <v>70</v>
      </c>
      <c r="G407" s="3" t="s">
        <v>49</v>
      </c>
      <c r="H407" s="3" t="s">
        <v>42</v>
      </c>
      <c r="I407" s="3" t="s">
        <v>43</v>
      </c>
      <c r="J407" s="3" t="n">
        <v>34</v>
      </c>
      <c r="K407" s="3" t="n">
        <v>3148.97</v>
      </c>
      <c r="L407" s="3" t="n">
        <v>107064.98</v>
      </c>
      <c r="M407" s="3" t="n">
        <v>0.0395</v>
      </c>
      <c r="N407" s="3" t="n">
        <v>4229.07</v>
      </c>
      <c r="O407" s="3" t="n">
        <v>102835.91</v>
      </c>
      <c r="P407" s="3" t="n">
        <v>58885.74</v>
      </c>
      <c r="Q407" s="3" t="n">
        <v>43950.17</v>
      </c>
      <c r="R407" s="3" t="n">
        <v>0.4274</v>
      </c>
      <c r="S407" s="3" t="n">
        <v>0.0391</v>
      </c>
      <c r="T407" s="3" t="n">
        <v>0.0004</v>
      </c>
    </row>
    <row r="408" customFormat="false" ht="15" hidden="false" customHeight="true" outlineLevel="0" collapsed="false">
      <c r="A408" s="3" t="s">
        <v>823</v>
      </c>
      <c r="B408" s="3" t="s">
        <v>824</v>
      </c>
      <c r="C408" s="3" t="s">
        <v>126</v>
      </c>
      <c r="D408" s="3" t="s">
        <v>69</v>
      </c>
      <c r="E408" s="3" t="s">
        <v>39</v>
      </c>
      <c r="F408" s="3" t="s">
        <v>70</v>
      </c>
      <c r="G408" s="3" t="s">
        <v>76</v>
      </c>
      <c r="H408" s="3" t="s">
        <v>64</v>
      </c>
      <c r="I408" s="3" t="s">
        <v>145</v>
      </c>
      <c r="J408" s="3" t="n">
        <v>25</v>
      </c>
      <c r="K408" s="3" t="n">
        <v>4160.38</v>
      </c>
      <c r="L408" s="3" t="n">
        <v>104009.5</v>
      </c>
      <c r="M408" s="3" t="n">
        <v>0.0552</v>
      </c>
      <c r="N408" s="3" t="n">
        <v>5741.32</v>
      </c>
      <c r="O408" s="3" t="n">
        <v>98268.18</v>
      </c>
      <c r="P408" s="3" t="n">
        <v>60325.51</v>
      </c>
      <c r="Q408" s="3" t="n">
        <v>37942.67</v>
      </c>
      <c r="R408" s="3" t="n">
        <v>0.3861</v>
      </c>
      <c r="S408" s="3" t="n">
        <v>0.0469</v>
      </c>
      <c r="T408" s="3" t="n">
        <v>0.0083</v>
      </c>
    </row>
    <row r="409" customFormat="false" ht="15" hidden="false" customHeight="true" outlineLevel="0" collapsed="false">
      <c r="A409" s="3" t="s">
        <v>825</v>
      </c>
      <c r="B409" s="3" t="s">
        <v>515</v>
      </c>
      <c r="C409" s="3" t="s">
        <v>60</v>
      </c>
      <c r="D409" s="3" t="s">
        <v>32</v>
      </c>
      <c r="E409" s="3" t="s">
        <v>33</v>
      </c>
      <c r="F409" s="3" t="s">
        <v>25</v>
      </c>
      <c r="G409" s="3" t="s">
        <v>84</v>
      </c>
      <c r="H409" s="3" t="s">
        <v>42</v>
      </c>
      <c r="I409" s="3" t="s">
        <v>134</v>
      </c>
      <c r="J409" s="3" t="n">
        <v>39</v>
      </c>
      <c r="K409" s="3" t="n">
        <v>3047.41</v>
      </c>
      <c r="L409" s="3" t="n">
        <v>118848.99</v>
      </c>
      <c r="M409" s="3" t="n">
        <v>0.1309</v>
      </c>
      <c r="N409" s="3" t="n">
        <v>15557.33</v>
      </c>
      <c r="O409" s="3" t="n">
        <v>103291.66</v>
      </c>
      <c r="P409" s="3" t="n">
        <v>65366.94</v>
      </c>
      <c r="Q409" s="3" t="n">
        <v>37924.72</v>
      </c>
      <c r="R409" s="3" t="n">
        <v>0.3672</v>
      </c>
      <c r="S409" s="3" t="n">
        <v>0.1182</v>
      </c>
      <c r="T409" s="3" t="n">
        <v>0.0127</v>
      </c>
    </row>
    <row r="410" customFormat="false" ht="15" hidden="false" customHeight="true" outlineLevel="0" collapsed="false">
      <c r="A410" s="3" t="s">
        <v>826</v>
      </c>
      <c r="B410" s="3" t="s">
        <v>827</v>
      </c>
      <c r="C410" s="3" t="s">
        <v>120</v>
      </c>
      <c r="D410" s="3" t="s">
        <v>83</v>
      </c>
      <c r="E410" s="3" t="s">
        <v>48</v>
      </c>
      <c r="F410" s="3" t="s">
        <v>62</v>
      </c>
      <c r="G410" s="3" t="s">
        <v>41</v>
      </c>
      <c r="H410" s="3" t="s">
        <v>42</v>
      </c>
      <c r="I410" s="3" t="s">
        <v>43</v>
      </c>
      <c r="J410" s="3" t="n">
        <v>26</v>
      </c>
      <c r="K410" s="3" t="n">
        <v>3818.3</v>
      </c>
      <c r="L410" s="3" t="n">
        <v>99275.8</v>
      </c>
      <c r="M410" s="3" t="n">
        <v>0.0599</v>
      </c>
      <c r="N410" s="3" t="n">
        <v>5946.62</v>
      </c>
      <c r="O410" s="3" t="n">
        <v>93329.18</v>
      </c>
      <c r="P410" s="3" t="n">
        <v>54601.69</v>
      </c>
      <c r="Q410" s="3" t="n">
        <v>38727.49</v>
      </c>
      <c r="R410" s="3" t="n">
        <v>0.415</v>
      </c>
      <c r="S410" s="3" t="n">
        <v>0.0517</v>
      </c>
      <c r="T410" s="3" t="n">
        <v>0.0082</v>
      </c>
    </row>
    <row r="411" customFormat="false" ht="15" hidden="false" customHeight="true" outlineLevel="0" collapsed="false">
      <c r="A411" s="3" t="s">
        <v>828</v>
      </c>
      <c r="B411" s="3" t="s">
        <v>829</v>
      </c>
      <c r="C411" s="3" t="s">
        <v>53</v>
      </c>
      <c r="D411" s="3" t="s">
        <v>32</v>
      </c>
      <c r="E411" s="3" t="s">
        <v>33</v>
      </c>
      <c r="F411" s="3" t="s">
        <v>25</v>
      </c>
      <c r="G411" s="3" t="s">
        <v>41</v>
      </c>
      <c r="H411" s="3" t="s">
        <v>56</v>
      </c>
      <c r="I411" s="3" t="s">
        <v>121</v>
      </c>
      <c r="J411" s="3" t="n">
        <v>46</v>
      </c>
      <c r="K411" s="3" t="n">
        <v>3970.59</v>
      </c>
      <c r="L411" s="3" t="n">
        <v>182647.14</v>
      </c>
      <c r="M411" s="3" t="n">
        <v>0.1606</v>
      </c>
      <c r="N411" s="3" t="n">
        <v>29333.13</v>
      </c>
      <c r="O411" s="3" t="n">
        <v>153314.01</v>
      </c>
      <c r="P411" s="3" t="n">
        <v>109588.28</v>
      </c>
      <c r="Q411" s="3" t="n">
        <v>43725.73</v>
      </c>
      <c r="R411" s="3" t="n">
        <v>0.2852</v>
      </c>
      <c r="S411" s="3" t="n">
        <v>0.1656</v>
      </c>
      <c r="T411" s="3" t="n">
        <v>-0.005</v>
      </c>
    </row>
    <row r="412" customFormat="false" ht="15" hidden="false" customHeight="true" outlineLevel="0" collapsed="false">
      <c r="A412" s="3" t="s">
        <v>830</v>
      </c>
      <c r="B412" s="3" t="s">
        <v>831</v>
      </c>
      <c r="C412" s="3" t="s">
        <v>120</v>
      </c>
      <c r="D412" s="3" t="s">
        <v>38</v>
      </c>
      <c r="E412" s="3" t="s">
        <v>39</v>
      </c>
      <c r="F412" s="3" t="s">
        <v>40</v>
      </c>
      <c r="G412" s="3" t="s">
        <v>104</v>
      </c>
      <c r="H412" s="3" t="s">
        <v>27</v>
      </c>
      <c r="I412" s="3" t="s">
        <v>94</v>
      </c>
      <c r="J412" s="3" t="n">
        <v>42</v>
      </c>
      <c r="K412" s="3" t="n">
        <v>29183.04</v>
      </c>
      <c r="L412" s="3" t="n">
        <v>1225687.68</v>
      </c>
      <c r="M412" s="3" t="n">
        <v>0.0937</v>
      </c>
      <c r="N412" s="3" t="n">
        <v>114846.94</v>
      </c>
      <c r="O412" s="3" t="n">
        <v>1110840.74</v>
      </c>
      <c r="P412" s="3" t="n">
        <v>759926.36</v>
      </c>
      <c r="Q412" s="3" t="n">
        <v>350914.38</v>
      </c>
      <c r="R412" s="3" t="n">
        <v>0.3159</v>
      </c>
      <c r="S412" s="3" t="n">
        <v>0.0867</v>
      </c>
      <c r="T412" s="3" t="n">
        <v>0.007</v>
      </c>
    </row>
    <row r="413" customFormat="false" ht="15" hidden="false" customHeight="true" outlineLevel="0" collapsed="false">
      <c r="A413" s="3" t="s">
        <v>832</v>
      </c>
      <c r="B413" s="3" t="s">
        <v>155</v>
      </c>
      <c r="C413" s="3" t="s">
        <v>156</v>
      </c>
      <c r="D413" s="3" t="s">
        <v>47</v>
      </c>
      <c r="E413" s="3" t="s">
        <v>48</v>
      </c>
      <c r="F413" s="3" t="s">
        <v>25</v>
      </c>
      <c r="G413" s="3" t="s">
        <v>76</v>
      </c>
      <c r="H413" s="3" t="s">
        <v>27</v>
      </c>
      <c r="I413" s="3" t="s">
        <v>94</v>
      </c>
      <c r="J413" s="3" t="n">
        <v>10</v>
      </c>
      <c r="K413" s="3" t="n">
        <v>23180.68</v>
      </c>
      <c r="L413" s="3" t="n">
        <v>231806.8</v>
      </c>
      <c r="M413" s="3" t="n">
        <v>0.1351</v>
      </c>
      <c r="N413" s="3" t="n">
        <v>31317.1</v>
      </c>
      <c r="O413" s="3" t="n">
        <v>200489.7</v>
      </c>
      <c r="P413" s="3" t="n">
        <v>143720.22</v>
      </c>
      <c r="Q413" s="3" t="n">
        <v>56769.48</v>
      </c>
      <c r="R413" s="3" t="n">
        <v>0.2832</v>
      </c>
      <c r="S413" s="3" t="n">
        <v>0.1203</v>
      </c>
      <c r="T413" s="3" t="n">
        <v>0.0148</v>
      </c>
    </row>
    <row r="414" customFormat="false" ht="15" hidden="false" customHeight="true" outlineLevel="0" collapsed="false">
      <c r="A414" s="3" t="s">
        <v>833</v>
      </c>
      <c r="B414" s="3" t="s">
        <v>620</v>
      </c>
      <c r="C414" s="3" t="s">
        <v>120</v>
      </c>
      <c r="D414" s="3" t="s">
        <v>23</v>
      </c>
      <c r="E414" s="3" t="s">
        <v>24</v>
      </c>
      <c r="F414" s="3" t="s">
        <v>25</v>
      </c>
      <c r="G414" s="3" t="s">
        <v>76</v>
      </c>
      <c r="H414" s="3" t="s">
        <v>27</v>
      </c>
      <c r="I414" s="3" t="s">
        <v>94</v>
      </c>
      <c r="J414" s="3" t="n">
        <v>45</v>
      </c>
      <c r="K414" s="3" t="n">
        <v>27929.53</v>
      </c>
      <c r="L414" s="3" t="n">
        <v>1256828.85</v>
      </c>
      <c r="M414" s="3" t="n">
        <v>0.1433</v>
      </c>
      <c r="N414" s="3" t="n">
        <v>180103.57</v>
      </c>
      <c r="O414" s="3" t="n">
        <v>1076725.28</v>
      </c>
      <c r="P414" s="3" t="n">
        <v>779233.89</v>
      </c>
      <c r="Q414" s="3" t="n">
        <v>297491.39</v>
      </c>
      <c r="R414" s="3" t="n">
        <v>0.2763</v>
      </c>
      <c r="S414" s="3" t="n">
        <v>0.1366</v>
      </c>
      <c r="T414" s="3" t="n">
        <v>0.0067</v>
      </c>
    </row>
    <row r="415" customFormat="false" ht="15" hidden="false" customHeight="true" outlineLevel="0" collapsed="false">
      <c r="A415" s="3" t="s">
        <v>834</v>
      </c>
      <c r="B415" s="3" t="s">
        <v>82</v>
      </c>
      <c r="C415" s="3" t="s">
        <v>53</v>
      </c>
      <c r="D415" s="3" t="s">
        <v>38</v>
      </c>
      <c r="E415" s="3" t="s">
        <v>39</v>
      </c>
      <c r="F415" s="3" t="s">
        <v>40</v>
      </c>
      <c r="G415" s="3" t="s">
        <v>116</v>
      </c>
      <c r="H415" s="3" t="s">
        <v>27</v>
      </c>
      <c r="I415" s="3" t="s">
        <v>50</v>
      </c>
      <c r="J415" s="3" t="n">
        <v>32</v>
      </c>
      <c r="K415" s="3" t="n">
        <v>33112.32</v>
      </c>
      <c r="L415" s="3" t="n">
        <v>1059594.24</v>
      </c>
      <c r="M415" s="3" t="n">
        <v>0.0679</v>
      </c>
      <c r="N415" s="3" t="n">
        <v>71946.45</v>
      </c>
      <c r="O415" s="3" t="n">
        <v>987647.79</v>
      </c>
      <c r="P415" s="3" t="n">
        <v>656948.43</v>
      </c>
      <c r="Q415" s="3" t="n">
        <v>330699.36</v>
      </c>
      <c r="R415" s="3" t="n">
        <v>0.3348</v>
      </c>
      <c r="S415" s="3" t="n">
        <v>0.0713</v>
      </c>
      <c r="T415" s="3" t="n">
        <v>-0.0034</v>
      </c>
    </row>
    <row r="416" customFormat="false" ht="15" hidden="false" customHeight="true" outlineLevel="0" collapsed="false">
      <c r="A416" s="3" t="s">
        <v>835</v>
      </c>
      <c r="B416" s="3" t="s">
        <v>712</v>
      </c>
      <c r="C416" s="3" t="s">
        <v>113</v>
      </c>
      <c r="D416" s="3" t="s">
        <v>69</v>
      </c>
      <c r="E416" s="3" t="s">
        <v>39</v>
      </c>
      <c r="F416" s="3" t="s">
        <v>70</v>
      </c>
      <c r="G416" s="3" t="s">
        <v>63</v>
      </c>
      <c r="H416" s="3" t="s">
        <v>42</v>
      </c>
      <c r="I416" s="3" t="s">
        <v>72</v>
      </c>
      <c r="J416" s="3" t="n">
        <v>3</v>
      </c>
      <c r="K416" s="3" t="n">
        <v>1533.73</v>
      </c>
      <c r="L416" s="3" t="n">
        <v>4601.19</v>
      </c>
      <c r="M416" s="3" t="n">
        <v>0.0574</v>
      </c>
      <c r="N416" s="3" t="n">
        <v>264.11</v>
      </c>
      <c r="O416" s="3" t="n">
        <v>4337.08</v>
      </c>
      <c r="P416" s="3" t="n">
        <v>2530.65</v>
      </c>
      <c r="Q416" s="3" t="n">
        <v>1806.43</v>
      </c>
      <c r="R416" s="3" t="n">
        <v>0.4165</v>
      </c>
      <c r="S416" s="3" t="n">
        <v>0.0578</v>
      </c>
      <c r="T416" s="3" t="n">
        <v>-0.0004</v>
      </c>
    </row>
    <row r="417" customFormat="false" ht="15" hidden="false" customHeight="true" outlineLevel="0" collapsed="false">
      <c r="A417" s="3" t="s">
        <v>836</v>
      </c>
      <c r="B417" s="3" t="s">
        <v>445</v>
      </c>
      <c r="C417" s="3" t="s">
        <v>68</v>
      </c>
      <c r="D417" s="3" t="s">
        <v>83</v>
      </c>
      <c r="E417" s="3" t="s">
        <v>48</v>
      </c>
      <c r="F417" s="3" t="s">
        <v>62</v>
      </c>
      <c r="G417" s="3" t="s">
        <v>104</v>
      </c>
      <c r="H417" s="3" t="s">
        <v>42</v>
      </c>
      <c r="I417" s="3" t="s">
        <v>43</v>
      </c>
      <c r="J417" s="3" t="n">
        <v>6</v>
      </c>
      <c r="K417" s="3" t="n">
        <v>544.62</v>
      </c>
      <c r="L417" s="3" t="n">
        <v>3267.72</v>
      </c>
      <c r="M417" s="3" t="n">
        <v>0.1288</v>
      </c>
      <c r="N417" s="3" t="n">
        <v>420.88</v>
      </c>
      <c r="O417" s="3" t="n">
        <v>2846.84</v>
      </c>
      <c r="P417" s="3" t="n">
        <v>1797.25</v>
      </c>
      <c r="Q417" s="3" t="n">
        <v>1049.59</v>
      </c>
      <c r="R417" s="3" t="n">
        <v>0.3687</v>
      </c>
      <c r="S417" s="3" t="n">
        <v>0.1088</v>
      </c>
      <c r="T417" s="3" t="n">
        <v>0.02</v>
      </c>
    </row>
    <row r="418" customFormat="false" ht="15" hidden="false" customHeight="true" outlineLevel="0" collapsed="false">
      <c r="A418" s="3" t="s">
        <v>837</v>
      </c>
      <c r="B418" s="3" t="s">
        <v>838</v>
      </c>
      <c r="C418" s="3" t="s">
        <v>93</v>
      </c>
      <c r="D418" s="3" t="s">
        <v>61</v>
      </c>
      <c r="E418" s="3" t="s">
        <v>33</v>
      </c>
      <c r="F418" s="3" t="s">
        <v>62</v>
      </c>
      <c r="G418" s="3" t="s">
        <v>26</v>
      </c>
      <c r="H418" s="3" t="s">
        <v>56</v>
      </c>
      <c r="I418" s="3" t="s">
        <v>188</v>
      </c>
      <c r="J418" s="3" t="n">
        <v>17</v>
      </c>
      <c r="K418" s="3" t="n">
        <v>13577.22</v>
      </c>
      <c r="L418" s="3" t="n">
        <v>230812.74</v>
      </c>
      <c r="M418" s="3" t="n">
        <v>0.0622</v>
      </c>
      <c r="N418" s="3" t="n">
        <v>14356.55</v>
      </c>
      <c r="O418" s="3" t="n">
        <v>216456.19</v>
      </c>
      <c r="P418" s="3" t="n">
        <v>138487.64</v>
      </c>
      <c r="Q418" s="3" t="n">
        <v>77968.55</v>
      </c>
      <c r="R418" s="3" t="n">
        <v>0.3602</v>
      </c>
      <c r="S418" s="3" t="n">
        <v>0.0682</v>
      </c>
      <c r="T418" s="3" t="n">
        <v>-0.006</v>
      </c>
    </row>
    <row r="419" customFormat="false" ht="15" hidden="false" customHeight="true" outlineLevel="0" collapsed="false">
      <c r="A419" s="3" t="s">
        <v>839</v>
      </c>
      <c r="B419" s="3" t="s">
        <v>840</v>
      </c>
      <c r="C419" s="3" t="s">
        <v>46</v>
      </c>
      <c r="D419" s="3" t="s">
        <v>54</v>
      </c>
      <c r="E419" s="3" t="s">
        <v>24</v>
      </c>
      <c r="F419" s="3" t="s">
        <v>40</v>
      </c>
      <c r="G419" s="3" t="s">
        <v>104</v>
      </c>
      <c r="H419" s="3" t="s">
        <v>42</v>
      </c>
      <c r="I419" s="3" t="s">
        <v>134</v>
      </c>
      <c r="J419" s="3" t="n">
        <v>12</v>
      </c>
      <c r="K419" s="3" t="n">
        <v>849.33</v>
      </c>
      <c r="L419" s="3" t="n">
        <v>10191.96</v>
      </c>
      <c r="M419" s="3" t="n">
        <v>0.1278</v>
      </c>
      <c r="N419" s="3" t="n">
        <v>1302.53</v>
      </c>
      <c r="O419" s="3" t="n">
        <v>8889.43</v>
      </c>
      <c r="P419" s="3" t="n">
        <v>5605.58</v>
      </c>
      <c r="Q419" s="3" t="n">
        <v>3283.85</v>
      </c>
      <c r="R419" s="3" t="n">
        <v>0.3694</v>
      </c>
      <c r="S419" s="3" t="n">
        <v>0.133</v>
      </c>
      <c r="T419" s="3" t="n">
        <v>-0.0052</v>
      </c>
    </row>
    <row r="420" customFormat="false" ht="15" hidden="false" customHeight="true" outlineLevel="0" collapsed="false">
      <c r="A420" s="3" t="s">
        <v>841</v>
      </c>
      <c r="B420" s="3" t="s">
        <v>842</v>
      </c>
      <c r="C420" s="3" t="s">
        <v>60</v>
      </c>
      <c r="D420" s="3" t="s">
        <v>103</v>
      </c>
      <c r="E420" s="3" t="s">
        <v>24</v>
      </c>
      <c r="F420" s="3" t="s">
        <v>62</v>
      </c>
      <c r="G420" s="3" t="s">
        <v>116</v>
      </c>
      <c r="H420" s="3" t="s">
        <v>77</v>
      </c>
      <c r="I420" s="3" t="s">
        <v>85</v>
      </c>
      <c r="J420" s="3" t="n">
        <v>49</v>
      </c>
      <c r="K420" s="3" t="n">
        <v>1655.99</v>
      </c>
      <c r="L420" s="3" t="n">
        <v>81143.51</v>
      </c>
      <c r="M420" s="3" t="n">
        <v>0.0949</v>
      </c>
      <c r="N420" s="3" t="n">
        <v>7700.52</v>
      </c>
      <c r="O420" s="3" t="n">
        <v>73442.99</v>
      </c>
      <c r="P420" s="3" t="n">
        <v>55177.59</v>
      </c>
      <c r="Q420" s="3" t="n">
        <v>18265.4</v>
      </c>
      <c r="R420" s="3" t="n">
        <v>0.2487</v>
      </c>
      <c r="S420" s="3" t="n">
        <v>0.0948</v>
      </c>
      <c r="T420" s="3" t="n">
        <v>0.0001</v>
      </c>
    </row>
    <row r="421" customFormat="false" ht="15" hidden="false" customHeight="true" outlineLevel="0" collapsed="false">
      <c r="A421" s="3" t="s">
        <v>843</v>
      </c>
      <c r="B421" s="3" t="s">
        <v>844</v>
      </c>
      <c r="C421" s="3" t="s">
        <v>37</v>
      </c>
      <c r="D421" s="3" t="s">
        <v>75</v>
      </c>
      <c r="E421" s="3" t="s">
        <v>39</v>
      </c>
      <c r="F421" s="3" t="s">
        <v>25</v>
      </c>
      <c r="G421" s="3" t="s">
        <v>84</v>
      </c>
      <c r="H421" s="3" t="s">
        <v>42</v>
      </c>
      <c r="I421" s="3" t="s">
        <v>134</v>
      </c>
      <c r="J421" s="3" t="n">
        <v>18</v>
      </c>
      <c r="K421" s="3" t="n">
        <v>3842.81</v>
      </c>
      <c r="L421" s="3" t="n">
        <v>69170.58</v>
      </c>
      <c r="M421" s="3" t="n">
        <v>0.1214</v>
      </c>
      <c r="N421" s="3" t="n">
        <v>8397.31</v>
      </c>
      <c r="O421" s="3" t="n">
        <v>60773.27</v>
      </c>
      <c r="P421" s="3" t="n">
        <v>38043.82</v>
      </c>
      <c r="Q421" s="3" t="n">
        <v>22729.45</v>
      </c>
      <c r="R421" s="3" t="n">
        <v>0.374</v>
      </c>
      <c r="S421" s="3" t="n">
        <v>0.1037</v>
      </c>
      <c r="T421" s="3" t="n">
        <v>0.0177</v>
      </c>
    </row>
    <row r="422" customFormat="false" ht="15" hidden="false" customHeight="true" outlineLevel="0" collapsed="false">
      <c r="A422" s="3" t="s">
        <v>845</v>
      </c>
      <c r="B422" s="3" t="s">
        <v>692</v>
      </c>
      <c r="C422" s="3" t="s">
        <v>60</v>
      </c>
      <c r="D422" s="3" t="s">
        <v>47</v>
      </c>
      <c r="E422" s="3" t="s">
        <v>48</v>
      </c>
      <c r="F422" s="3" t="s">
        <v>25</v>
      </c>
      <c r="G422" s="3" t="s">
        <v>76</v>
      </c>
      <c r="H422" s="3" t="s">
        <v>77</v>
      </c>
      <c r="I422" s="3" t="s">
        <v>78</v>
      </c>
      <c r="J422" s="3" t="n">
        <v>45</v>
      </c>
      <c r="K422" s="3" t="n">
        <v>5211.4</v>
      </c>
      <c r="L422" s="3" t="n">
        <v>234513</v>
      </c>
      <c r="M422" s="3" t="n">
        <v>0.1765</v>
      </c>
      <c r="N422" s="3" t="n">
        <v>41391.54</v>
      </c>
      <c r="O422" s="3" t="n">
        <v>193121.46</v>
      </c>
      <c r="P422" s="3" t="n">
        <v>159468.84</v>
      </c>
      <c r="Q422" s="3" t="n">
        <v>33652.62</v>
      </c>
      <c r="R422" s="3" t="n">
        <v>0.1743</v>
      </c>
      <c r="S422" s="3" t="n">
        <v>0.1472</v>
      </c>
      <c r="T422" s="3" t="n">
        <v>0.0293</v>
      </c>
    </row>
    <row r="423" customFormat="false" ht="15" hidden="false" customHeight="true" outlineLevel="0" collapsed="false">
      <c r="A423" s="3" t="s">
        <v>846</v>
      </c>
      <c r="B423" s="3" t="s">
        <v>435</v>
      </c>
      <c r="C423" s="3" t="s">
        <v>31</v>
      </c>
      <c r="D423" s="3" t="s">
        <v>97</v>
      </c>
      <c r="E423" s="3" t="s">
        <v>48</v>
      </c>
      <c r="F423" s="3" t="s">
        <v>40</v>
      </c>
      <c r="G423" s="3" t="s">
        <v>116</v>
      </c>
      <c r="H423" s="3" t="s">
        <v>27</v>
      </c>
      <c r="I423" s="3" t="s">
        <v>117</v>
      </c>
      <c r="J423" s="3" t="n">
        <v>38</v>
      </c>
      <c r="K423" s="3" t="n">
        <v>21312.89</v>
      </c>
      <c r="L423" s="3" t="n">
        <v>809889.82</v>
      </c>
      <c r="M423" s="3" t="n">
        <v>0.0969</v>
      </c>
      <c r="N423" s="3" t="n">
        <v>78478.32</v>
      </c>
      <c r="O423" s="3" t="n">
        <v>731411.5</v>
      </c>
      <c r="P423" s="3" t="n">
        <v>502131.69</v>
      </c>
      <c r="Q423" s="3" t="n">
        <v>229279.81</v>
      </c>
      <c r="R423" s="3" t="n">
        <v>0.3135</v>
      </c>
      <c r="S423" s="3" t="n">
        <v>0.0828</v>
      </c>
      <c r="T423" s="3" t="n">
        <v>0.0141</v>
      </c>
    </row>
    <row r="424" customFormat="false" ht="15" hidden="false" customHeight="true" outlineLevel="0" collapsed="false">
      <c r="A424" s="3" t="s">
        <v>847</v>
      </c>
      <c r="B424" s="3" t="s">
        <v>848</v>
      </c>
      <c r="C424" s="3" t="s">
        <v>120</v>
      </c>
      <c r="D424" s="3" t="s">
        <v>47</v>
      </c>
      <c r="E424" s="3" t="s">
        <v>48</v>
      </c>
      <c r="F424" s="3" t="s">
        <v>25</v>
      </c>
      <c r="G424" s="3" t="s">
        <v>104</v>
      </c>
      <c r="H424" s="3" t="s">
        <v>42</v>
      </c>
      <c r="I424" s="3" t="s">
        <v>72</v>
      </c>
      <c r="J424" s="3" t="n">
        <v>47</v>
      </c>
      <c r="K424" s="3" t="n">
        <v>3519.02</v>
      </c>
      <c r="L424" s="3" t="n">
        <v>165393.94</v>
      </c>
      <c r="M424" s="3" t="n">
        <v>0.1859</v>
      </c>
      <c r="N424" s="3" t="n">
        <v>30746.73</v>
      </c>
      <c r="O424" s="3" t="n">
        <v>134647.21</v>
      </c>
      <c r="P424" s="3" t="n">
        <v>90966.67</v>
      </c>
      <c r="Q424" s="3" t="n">
        <v>43680.54</v>
      </c>
      <c r="R424" s="3" t="n">
        <v>0.3244</v>
      </c>
      <c r="S424" s="3" t="n">
        <v>0.1983</v>
      </c>
      <c r="T424" s="3" t="n">
        <v>-0.0124</v>
      </c>
    </row>
    <row r="425" customFormat="false" ht="15" hidden="false" customHeight="true" outlineLevel="0" collapsed="false">
      <c r="A425" s="3" t="s">
        <v>849</v>
      </c>
      <c r="B425" s="3" t="s">
        <v>850</v>
      </c>
      <c r="C425" s="3" t="s">
        <v>68</v>
      </c>
      <c r="D425" s="3" t="s">
        <v>83</v>
      </c>
      <c r="E425" s="3" t="s">
        <v>48</v>
      </c>
      <c r="F425" s="3" t="s">
        <v>62</v>
      </c>
      <c r="G425" s="3" t="s">
        <v>76</v>
      </c>
      <c r="H425" s="3" t="s">
        <v>27</v>
      </c>
      <c r="I425" s="3" t="s">
        <v>28</v>
      </c>
      <c r="J425" s="3" t="n">
        <v>1</v>
      </c>
      <c r="K425" s="3" t="n">
        <v>28959.15</v>
      </c>
      <c r="L425" s="3" t="n">
        <v>28959.15</v>
      </c>
      <c r="M425" s="3" t="n">
        <v>0.0652</v>
      </c>
      <c r="N425" s="3" t="n">
        <v>1888.14</v>
      </c>
      <c r="O425" s="3" t="n">
        <v>27071.01</v>
      </c>
      <c r="P425" s="3" t="n">
        <v>17954.67</v>
      </c>
      <c r="Q425" s="3" t="n">
        <v>9116.34</v>
      </c>
      <c r="R425" s="3" t="n">
        <v>0.3368</v>
      </c>
      <c r="S425" s="3" t="n">
        <v>0.0672</v>
      </c>
      <c r="T425" s="3" t="n">
        <v>-0.002</v>
      </c>
    </row>
    <row r="426" customFormat="false" ht="15" hidden="false" customHeight="true" outlineLevel="0" collapsed="false">
      <c r="A426" s="3" t="s">
        <v>851</v>
      </c>
      <c r="B426" s="3" t="s">
        <v>583</v>
      </c>
      <c r="C426" s="3" t="s">
        <v>120</v>
      </c>
      <c r="D426" s="3" t="s">
        <v>38</v>
      </c>
      <c r="E426" s="3" t="s">
        <v>39</v>
      </c>
      <c r="F426" s="3" t="s">
        <v>40</v>
      </c>
      <c r="G426" s="3" t="s">
        <v>71</v>
      </c>
      <c r="H426" s="3" t="s">
        <v>56</v>
      </c>
      <c r="I426" s="3" t="s">
        <v>188</v>
      </c>
      <c r="J426" s="3" t="n">
        <v>34</v>
      </c>
      <c r="K426" s="3" t="n">
        <v>15970.3</v>
      </c>
      <c r="L426" s="3" t="n">
        <v>542990.2</v>
      </c>
      <c r="M426" s="3" t="n">
        <v>0.0562</v>
      </c>
      <c r="N426" s="3" t="n">
        <v>30516.05</v>
      </c>
      <c r="O426" s="3" t="n">
        <v>512474.15</v>
      </c>
      <c r="P426" s="3" t="n">
        <v>325794.12</v>
      </c>
      <c r="Q426" s="3" t="n">
        <v>186680.03</v>
      </c>
      <c r="R426" s="3" t="n">
        <v>0.3643</v>
      </c>
      <c r="S426" s="3" t="n">
        <v>0.0522</v>
      </c>
      <c r="T426" s="3" t="n">
        <v>0.004</v>
      </c>
    </row>
    <row r="427" customFormat="false" ht="15" hidden="false" customHeight="true" outlineLevel="0" collapsed="false">
      <c r="A427" s="3" t="s">
        <v>852</v>
      </c>
      <c r="B427" s="3" t="s">
        <v>676</v>
      </c>
      <c r="C427" s="3" t="s">
        <v>22</v>
      </c>
      <c r="D427" s="3" t="s">
        <v>97</v>
      </c>
      <c r="E427" s="3" t="s">
        <v>48</v>
      </c>
      <c r="F427" s="3" t="s">
        <v>40</v>
      </c>
      <c r="G427" s="3" t="s">
        <v>49</v>
      </c>
      <c r="H427" s="3" t="s">
        <v>64</v>
      </c>
      <c r="I427" s="3" t="s">
        <v>90</v>
      </c>
      <c r="J427" s="3" t="n">
        <v>42</v>
      </c>
      <c r="K427" s="3" t="n">
        <v>8973.4</v>
      </c>
      <c r="L427" s="3" t="n">
        <v>376882.8</v>
      </c>
      <c r="M427" s="3" t="n">
        <v>0.0492</v>
      </c>
      <c r="N427" s="3" t="n">
        <v>18542.63</v>
      </c>
      <c r="O427" s="3" t="n">
        <v>358340.17</v>
      </c>
      <c r="P427" s="3" t="n">
        <v>218592.02</v>
      </c>
      <c r="Q427" s="3" t="n">
        <v>139748.15</v>
      </c>
      <c r="R427" s="3" t="n">
        <v>0.39</v>
      </c>
      <c r="S427" s="3" t="n">
        <v>0.0396</v>
      </c>
      <c r="T427" s="3" t="n">
        <v>0.0096</v>
      </c>
    </row>
    <row r="428" customFormat="false" ht="15" hidden="false" customHeight="true" outlineLevel="0" collapsed="false">
      <c r="A428" s="3" t="s">
        <v>853</v>
      </c>
      <c r="B428" s="3" t="s">
        <v>854</v>
      </c>
      <c r="C428" s="3" t="s">
        <v>37</v>
      </c>
      <c r="D428" s="3" t="s">
        <v>75</v>
      </c>
      <c r="E428" s="3" t="s">
        <v>39</v>
      </c>
      <c r="F428" s="3" t="s">
        <v>25</v>
      </c>
      <c r="G428" s="3" t="s">
        <v>84</v>
      </c>
      <c r="H428" s="3" t="s">
        <v>56</v>
      </c>
      <c r="I428" s="3" t="s">
        <v>57</v>
      </c>
      <c r="J428" s="3" t="n">
        <v>5</v>
      </c>
      <c r="K428" s="3" t="n">
        <v>15910.65</v>
      </c>
      <c r="L428" s="3" t="n">
        <v>79553.25</v>
      </c>
      <c r="M428" s="3" t="n">
        <v>0.1332</v>
      </c>
      <c r="N428" s="3" t="n">
        <v>10596.49</v>
      </c>
      <c r="O428" s="3" t="n">
        <v>68956.76</v>
      </c>
      <c r="P428" s="3" t="n">
        <v>47731.95</v>
      </c>
      <c r="Q428" s="3" t="n">
        <v>21224.81</v>
      </c>
      <c r="R428" s="3" t="n">
        <v>0.3078</v>
      </c>
      <c r="S428" s="3" t="n">
        <v>0.1454</v>
      </c>
      <c r="T428" s="3" t="n">
        <v>-0.0122</v>
      </c>
    </row>
    <row r="429" customFormat="false" ht="15" hidden="false" customHeight="true" outlineLevel="0" collapsed="false">
      <c r="A429" s="3" t="s">
        <v>855</v>
      </c>
      <c r="B429" s="3" t="s">
        <v>856</v>
      </c>
      <c r="C429" s="3" t="s">
        <v>31</v>
      </c>
      <c r="D429" s="3" t="s">
        <v>32</v>
      </c>
      <c r="E429" s="3" t="s">
        <v>33</v>
      </c>
      <c r="F429" s="3" t="s">
        <v>25</v>
      </c>
      <c r="G429" s="3" t="s">
        <v>100</v>
      </c>
      <c r="H429" s="3" t="s">
        <v>56</v>
      </c>
      <c r="I429" s="3" t="s">
        <v>188</v>
      </c>
      <c r="J429" s="3" t="n">
        <v>26</v>
      </c>
      <c r="K429" s="3" t="n">
        <v>12293.08</v>
      </c>
      <c r="L429" s="3" t="n">
        <v>319620.08</v>
      </c>
      <c r="M429" s="3" t="n">
        <v>0.1172</v>
      </c>
      <c r="N429" s="3" t="n">
        <v>37459.47</v>
      </c>
      <c r="O429" s="3" t="n">
        <v>282160.61</v>
      </c>
      <c r="P429" s="3" t="n">
        <v>191772.05</v>
      </c>
      <c r="Q429" s="3" t="n">
        <v>90388.56</v>
      </c>
      <c r="R429" s="3" t="n">
        <v>0.3203</v>
      </c>
      <c r="S429" s="3" t="n">
        <v>0.1219</v>
      </c>
      <c r="T429" s="3" t="n">
        <v>-0.0047</v>
      </c>
    </row>
    <row r="430" customFormat="false" ht="15" hidden="false" customHeight="true" outlineLevel="0" collapsed="false">
      <c r="A430" s="3" t="s">
        <v>857</v>
      </c>
      <c r="B430" s="3" t="s">
        <v>858</v>
      </c>
      <c r="C430" s="3" t="s">
        <v>156</v>
      </c>
      <c r="D430" s="3" t="s">
        <v>83</v>
      </c>
      <c r="E430" s="3" t="s">
        <v>48</v>
      </c>
      <c r="F430" s="3" t="s">
        <v>62</v>
      </c>
      <c r="G430" s="3" t="s">
        <v>84</v>
      </c>
      <c r="H430" s="3" t="s">
        <v>27</v>
      </c>
      <c r="I430" s="3" t="s">
        <v>173</v>
      </c>
      <c r="J430" s="3" t="n">
        <v>32</v>
      </c>
      <c r="K430" s="3" t="n">
        <v>18113.97</v>
      </c>
      <c r="L430" s="3" t="n">
        <v>579647.04</v>
      </c>
      <c r="M430" s="3" t="n">
        <v>0.0673</v>
      </c>
      <c r="N430" s="3" t="n">
        <v>39010.25</v>
      </c>
      <c r="O430" s="3" t="n">
        <v>540636.79</v>
      </c>
      <c r="P430" s="3" t="n">
        <v>359381.16</v>
      </c>
      <c r="Q430" s="3" t="n">
        <v>181255.63</v>
      </c>
      <c r="R430" s="3" t="n">
        <v>0.3353</v>
      </c>
      <c r="S430" s="3" t="n">
        <v>0.0559</v>
      </c>
      <c r="T430" s="3" t="n">
        <v>0.0114</v>
      </c>
    </row>
    <row r="431" customFormat="false" ht="15" hidden="false" customHeight="true" outlineLevel="0" collapsed="false">
      <c r="A431" s="3" t="s">
        <v>859</v>
      </c>
      <c r="B431" s="3" t="s">
        <v>860</v>
      </c>
      <c r="C431" s="3" t="s">
        <v>126</v>
      </c>
      <c r="D431" s="3" t="s">
        <v>47</v>
      </c>
      <c r="E431" s="3" t="s">
        <v>48</v>
      </c>
      <c r="F431" s="3" t="s">
        <v>25</v>
      </c>
      <c r="G431" s="3" t="s">
        <v>100</v>
      </c>
      <c r="H431" s="3" t="s">
        <v>27</v>
      </c>
      <c r="I431" s="3" t="s">
        <v>94</v>
      </c>
      <c r="J431" s="3" t="n">
        <v>6</v>
      </c>
      <c r="K431" s="3" t="n">
        <v>8005.43</v>
      </c>
      <c r="L431" s="3" t="n">
        <v>48032.58</v>
      </c>
      <c r="M431" s="3" t="n">
        <v>0.1866</v>
      </c>
      <c r="N431" s="3" t="n">
        <v>8962.88</v>
      </c>
      <c r="O431" s="3" t="n">
        <v>39069.7</v>
      </c>
      <c r="P431" s="3" t="n">
        <v>29780.2</v>
      </c>
      <c r="Q431" s="3" t="n">
        <v>9289.5</v>
      </c>
      <c r="R431" s="3" t="n">
        <v>0.2378</v>
      </c>
      <c r="S431" s="3" t="n">
        <v>0.1992</v>
      </c>
      <c r="T431" s="3" t="n">
        <v>-0.0126</v>
      </c>
    </row>
    <row r="432" customFormat="false" ht="15" hidden="false" customHeight="true" outlineLevel="0" collapsed="false">
      <c r="A432" s="3" t="s">
        <v>861</v>
      </c>
      <c r="B432" s="3" t="s">
        <v>862</v>
      </c>
      <c r="C432" s="3" t="s">
        <v>93</v>
      </c>
      <c r="D432" s="3" t="s">
        <v>107</v>
      </c>
      <c r="E432" s="3" t="s">
        <v>33</v>
      </c>
      <c r="F432" s="3" t="s">
        <v>70</v>
      </c>
      <c r="G432" s="3" t="s">
        <v>49</v>
      </c>
      <c r="H432" s="3" t="s">
        <v>64</v>
      </c>
      <c r="I432" s="3" t="s">
        <v>90</v>
      </c>
      <c r="J432" s="3" t="n">
        <v>4</v>
      </c>
      <c r="K432" s="3" t="n">
        <v>6270.08</v>
      </c>
      <c r="L432" s="3" t="n">
        <v>25080.32</v>
      </c>
      <c r="M432" s="3" t="n">
        <v>0.0708</v>
      </c>
      <c r="N432" s="3" t="n">
        <v>1775.69</v>
      </c>
      <c r="O432" s="3" t="n">
        <v>23304.63</v>
      </c>
      <c r="P432" s="3" t="n">
        <v>14546.59</v>
      </c>
      <c r="Q432" s="3" t="n">
        <v>8758.04</v>
      </c>
      <c r="R432" s="3" t="n">
        <v>0.3758</v>
      </c>
      <c r="S432" s="3" t="n">
        <v>0.0637</v>
      </c>
      <c r="T432" s="3" t="n">
        <v>0.0071</v>
      </c>
    </row>
    <row r="433" customFormat="false" ht="15" hidden="false" customHeight="true" outlineLevel="0" collapsed="false">
      <c r="A433" s="3" t="s">
        <v>863</v>
      </c>
      <c r="B433" s="3" t="s">
        <v>864</v>
      </c>
      <c r="C433" s="3" t="s">
        <v>120</v>
      </c>
      <c r="D433" s="3" t="s">
        <v>38</v>
      </c>
      <c r="E433" s="3" t="s">
        <v>39</v>
      </c>
      <c r="F433" s="3" t="s">
        <v>40</v>
      </c>
      <c r="G433" s="3" t="s">
        <v>26</v>
      </c>
      <c r="H433" s="3" t="s">
        <v>56</v>
      </c>
      <c r="I433" s="3" t="s">
        <v>57</v>
      </c>
      <c r="J433" s="3" t="n">
        <v>46</v>
      </c>
      <c r="K433" s="3" t="n">
        <v>12514.68</v>
      </c>
      <c r="L433" s="3" t="n">
        <v>575675.28</v>
      </c>
      <c r="M433" s="3" t="n">
        <v>0.0526</v>
      </c>
      <c r="N433" s="3" t="n">
        <v>30280.52</v>
      </c>
      <c r="O433" s="3" t="n">
        <v>545394.76</v>
      </c>
      <c r="P433" s="3" t="n">
        <v>345405.17</v>
      </c>
      <c r="Q433" s="3" t="n">
        <v>199989.59</v>
      </c>
      <c r="R433" s="3" t="n">
        <v>0.3667</v>
      </c>
      <c r="S433" s="3" t="n">
        <v>0.0541</v>
      </c>
      <c r="T433" s="3" t="n">
        <v>-0.0015</v>
      </c>
    </row>
    <row r="434" customFormat="false" ht="15" hidden="false" customHeight="true" outlineLevel="0" collapsed="false">
      <c r="A434" s="3" t="s">
        <v>865</v>
      </c>
      <c r="B434" s="3" t="s">
        <v>406</v>
      </c>
      <c r="C434" s="3" t="s">
        <v>46</v>
      </c>
      <c r="D434" s="3" t="s">
        <v>69</v>
      </c>
      <c r="E434" s="3" t="s">
        <v>39</v>
      </c>
      <c r="F434" s="3" t="s">
        <v>70</v>
      </c>
      <c r="G434" s="3" t="s">
        <v>49</v>
      </c>
      <c r="H434" s="3" t="s">
        <v>27</v>
      </c>
      <c r="I434" s="3" t="s">
        <v>50</v>
      </c>
      <c r="J434" s="3" t="n">
        <v>19</v>
      </c>
      <c r="K434" s="3" t="n">
        <v>34556.28</v>
      </c>
      <c r="L434" s="3" t="n">
        <v>656569.32</v>
      </c>
      <c r="M434" s="3" t="n">
        <v>0.0574</v>
      </c>
      <c r="N434" s="3" t="n">
        <v>37687.08</v>
      </c>
      <c r="O434" s="3" t="n">
        <v>618882.24</v>
      </c>
      <c r="P434" s="3" t="n">
        <v>407072.98</v>
      </c>
      <c r="Q434" s="3" t="n">
        <v>211809.26</v>
      </c>
      <c r="R434" s="3" t="n">
        <v>0.3422</v>
      </c>
      <c r="S434" s="3" t="n">
        <v>0.058</v>
      </c>
      <c r="T434" s="3" t="n">
        <v>-0.0006</v>
      </c>
    </row>
    <row r="435" customFormat="false" ht="15" hidden="false" customHeight="true" outlineLevel="0" collapsed="false">
      <c r="A435" s="3" t="s">
        <v>866</v>
      </c>
      <c r="B435" s="3" t="s">
        <v>786</v>
      </c>
      <c r="C435" s="3" t="s">
        <v>113</v>
      </c>
      <c r="D435" s="3" t="s">
        <v>32</v>
      </c>
      <c r="E435" s="3" t="s">
        <v>33</v>
      </c>
      <c r="F435" s="3" t="s">
        <v>25</v>
      </c>
      <c r="G435" s="3" t="s">
        <v>41</v>
      </c>
      <c r="H435" s="3" t="s">
        <v>64</v>
      </c>
      <c r="I435" s="3" t="s">
        <v>90</v>
      </c>
      <c r="J435" s="3" t="n">
        <v>48</v>
      </c>
      <c r="K435" s="3" t="n">
        <v>10396.55</v>
      </c>
      <c r="L435" s="3" t="n">
        <v>499034.4</v>
      </c>
      <c r="M435" s="3" t="n">
        <v>0.1591</v>
      </c>
      <c r="N435" s="3" t="n">
        <v>79396.37</v>
      </c>
      <c r="O435" s="3" t="n">
        <v>419638.03</v>
      </c>
      <c r="P435" s="3" t="n">
        <v>289439.95</v>
      </c>
      <c r="Q435" s="3" t="n">
        <v>130198.08</v>
      </c>
      <c r="R435" s="3" t="n">
        <v>0.3103</v>
      </c>
      <c r="S435" s="3" t="n">
        <v>0.133</v>
      </c>
      <c r="T435" s="3" t="n">
        <v>0.0261</v>
      </c>
    </row>
    <row r="436" customFormat="false" ht="15" hidden="false" customHeight="true" outlineLevel="0" collapsed="false">
      <c r="A436" s="3" t="s">
        <v>867</v>
      </c>
      <c r="B436" s="3" t="s">
        <v>672</v>
      </c>
      <c r="C436" s="3" t="s">
        <v>120</v>
      </c>
      <c r="D436" s="3" t="s">
        <v>47</v>
      </c>
      <c r="E436" s="3" t="s">
        <v>48</v>
      </c>
      <c r="F436" s="3" t="s">
        <v>25</v>
      </c>
      <c r="G436" s="3" t="s">
        <v>34</v>
      </c>
      <c r="H436" s="3" t="s">
        <v>64</v>
      </c>
      <c r="I436" s="3" t="s">
        <v>90</v>
      </c>
      <c r="J436" s="3" t="n">
        <v>7</v>
      </c>
      <c r="K436" s="3" t="n">
        <v>9451.09</v>
      </c>
      <c r="L436" s="3" t="n">
        <v>66157.63</v>
      </c>
      <c r="M436" s="3" t="n">
        <v>0.1569</v>
      </c>
      <c r="N436" s="3" t="n">
        <v>10380.13</v>
      </c>
      <c r="O436" s="3" t="n">
        <v>55777.5</v>
      </c>
      <c r="P436" s="3" t="n">
        <v>38371.43</v>
      </c>
      <c r="Q436" s="3" t="n">
        <v>17406.07</v>
      </c>
      <c r="R436" s="3" t="n">
        <v>0.3121</v>
      </c>
      <c r="S436" s="3" t="n">
        <v>0.1619</v>
      </c>
      <c r="T436" s="3" t="n">
        <v>-0.005</v>
      </c>
    </row>
    <row r="437" customFormat="false" ht="15" hidden="false" customHeight="true" outlineLevel="0" collapsed="false">
      <c r="A437" s="3" t="s">
        <v>868</v>
      </c>
      <c r="B437" s="3" t="s">
        <v>822</v>
      </c>
      <c r="C437" s="3" t="s">
        <v>156</v>
      </c>
      <c r="D437" s="3" t="s">
        <v>83</v>
      </c>
      <c r="E437" s="3" t="s">
        <v>48</v>
      </c>
      <c r="F437" s="3" t="s">
        <v>62</v>
      </c>
      <c r="G437" s="3" t="s">
        <v>55</v>
      </c>
      <c r="H437" s="3" t="s">
        <v>77</v>
      </c>
      <c r="I437" s="3" t="s">
        <v>85</v>
      </c>
      <c r="J437" s="3" t="n">
        <v>9</v>
      </c>
      <c r="K437" s="3" t="n">
        <v>5789.71</v>
      </c>
      <c r="L437" s="3" t="n">
        <v>52107.39</v>
      </c>
      <c r="M437" s="3" t="n">
        <v>0.0782</v>
      </c>
      <c r="N437" s="3" t="n">
        <v>4074.8</v>
      </c>
      <c r="O437" s="3" t="n">
        <v>48032.59</v>
      </c>
      <c r="P437" s="3" t="n">
        <v>35433.03</v>
      </c>
      <c r="Q437" s="3" t="n">
        <v>12599.56</v>
      </c>
      <c r="R437" s="3" t="n">
        <v>0.2623</v>
      </c>
      <c r="S437" s="3" t="n">
        <v>0.075</v>
      </c>
      <c r="T437" s="3" t="n">
        <v>0.0032</v>
      </c>
    </row>
    <row r="438" customFormat="false" ht="15" hidden="false" customHeight="true" outlineLevel="0" collapsed="false">
      <c r="A438" s="3" t="s">
        <v>869</v>
      </c>
      <c r="B438" s="3" t="s">
        <v>736</v>
      </c>
      <c r="C438" s="3" t="s">
        <v>60</v>
      </c>
      <c r="D438" s="3" t="s">
        <v>32</v>
      </c>
      <c r="E438" s="3" t="s">
        <v>33</v>
      </c>
      <c r="F438" s="3" t="s">
        <v>25</v>
      </c>
      <c r="G438" s="3" t="s">
        <v>55</v>
      </c>
      <c r="H438" s="3" t="s">
        <v>56</v>
      </c>
      <c r="I438" s="3" t="s">
        <v>57</v>
      </c>
      <c r="J438" s="3" t="n">
        <v>33</v>
      </c>
      <c r="K438" s="3" t="n">
        <v>9726.91</v>
      </c>
      <c r="L438" s="3" t="n">
        <v>320988.03</v>
      </c>
      <c r="M438" s="3" t="n">
        <v>0.1819</v>
      </c>
      <c r="N438" s="3" t="n">
        <v>58387.72</v>
      </c>
      <c r="O438" s="3" t="n">
        <v>262600.31</v>
      </c>
      <c r="P438" s="3" t="n">
        <v>192592.82</v>
      </c>
      <c r="Q438" s="3" t="n">
        <v>70007.49</v>
      </c>
      <c r="R438" s="3" t="n">
        <v>0.2666</v>
      </c>
      <c r="S438" s="3" t="n">
        <v>0.1854</v>
      </c>
      <c r="T438" s="3" t="n">
        <v>-0.0035</v>
      </c>
    </row>
    <row r="439" customFormat="false" ht="15" hidden="false" customHeight="true" outlineLevel="0" collapsed="false">
      <c r="A439" s="3" t="s">
        <v>870</v>
      </c>
      <c r="B439" s="3" t="s">
        <v>871</v>
      </c>
      <c r="C439" s="3" t="s">
        <v>53</v>
      </c>
      <c r="D439" s="3" t="s">
        <v>75</v>
      </c>
      <c r="E439" s="3" t="s">
        <v>39</v>
      </c>
      <c r="F439" s="3" t="s">
        <v>25</v>
      </c>
      <c r="G439" s="3" t="s">
        <v>71</v>
      </c>
      <c r="H439" s="3" t="s">
        <v>27</v>
      </c>
      <c r="I439" s="3" t="s">
        <v>173</v>
      </c>
      <c r="J439" s="3" t="n">
        <v>21</v>
      </c>
      <c r="K439" s="3" t="n">
        <v>27217.47</v>
      </c>
      <c r="L439" s="3" t="n">
        <v>571566.87</v>
      </c>
      <c r="M439" s="3" t="n">
        <v>0.126</v>
      </c>
      <c r="N439" s="3" t="n">
        <v>72017.43</v>
      </c>
      <c r="O439" s="3" t="n">
        <v>499549.44</v>
      </c>
      <c r="P439" s="3" t="n">
        <v>354371.46</v>
      </c>
      <c r="Q439" s="3" t="n">
        <v>145177.98</v>
      </c>
      <c r="R439" s="3" t="n">
        <v>0.2906</v>
      </c>
      <c r="S439" s="3" t="n">
        <v>0.1111</v>
      </c>
      <c r="T439" s="3" t="n">
        <v>0.0149</v>
      </c>
    </row>
    <row r="440" customFormat="false" ht="15" hidden="false" customHeight="true" outlineLevel="0" collapsed="false">
      <c r="A440" s="3" t="s">
        <v>872</v>
      </c>
      <c r="B440" s="3" t="s">
        <v>668</v>
      </c>
      <c r="C440" s="3" t="s">
        <v>126</v>
      </c>
      <c r="D440" s="3" t="s">
        <v>103</v>
      </c>
      <c r="E440" s="3" t="s">
        <v>24</v>
      </c>
      <c r="F440" s="3" t="s">
        <v>62</v>
      </c>
      <c r="G440" s="3" t="s">
        <v>41</v>
      </c>
      <c r="H440" s="3" t="s">
        <v>42</v>
      </c>
      <c r="I440" s="3" t="s">
        <v>134</v>
      </c>
      <c r="J440" s="3" t="n">
        <v>39</v>
      </c>
      <c r="K440" s="3" t="n">
        <v>983.63</v>
      </c>
      <c r="L440" s="3" t="n">
        <v>38361.57</v>
      </c>
      <c r="M440" s="3" t="n">
        <v>0.1149</v>
      </c>
      <c r="N440" s="3" t="n">
        <v>4407.74</v>
      </c>
      <c r="O440" s="3" t="n">
        <v>33953.83</v>
      </c>
      <c r="P440" s="3" t="n">
        <v>21098.86</v>
      </c>
      <c r="Q440" s="3" t="n">
        <v>12854.97</v>
      </c>
      <c r="R440" s="3" t="n">
        <v>0.3786</v>
      </c>
      <c r="S440" s="3" t="n">
        <v>0.121</v>
      </c>
      <c r="T440" s="3" t="n">
        <v>-0.0061</v>
      </c>
    </row>
    <row r="441" customFormat="false" ht="15" hidden="false" customHeight="true" outlineLevel="0" collapsed="false">
      <c r="A441" s="3" t="s">
        <v>873</v>
      </c>
      <c r="B441" s="3" t="s">
        <v>874</v>
      </c>
      <c r="C441" s="3" t="s">
        <v>113</v>
      </c>
      <c r="D441" s="3" t="s">
        <v>107</v>
      </c>
      <c r="E441" s="3" t="s">
        <v>33</v>
      </c>
      <c r="F441" s="3" t="s">
        <v>70</v>
      </c>
      <c r="G441" s="3" t="s">
        <v>26</v>
      </c>
      <c r="H441" s="3" t="s">
        <v>42</v>
      </c>
      <c r="I441" s="3" t="s">
        <v>72</v>
      </c>
      <c r="J441" s="3" t="n">
        <v>41</v>
      </c>
      <c r="K441" s="3" t="n">
        <v>3774.29</v>
      </c>
      <c r="L441" s="3" t="n">
        <v>154745.89</v>
      </c>
      <c r="M441" s="3" t="n">
        <v>0.0409</v>
      </c>
      <c r="N441" s="3" t="n">
        <v>6329.11</v>
      </c>
      <c r="O441" s="3" t="n">
        <v>148416.78</v>
      </c>
      <c r="P441" s="3" t="n">
        <v>85110.24</v>
      </c>
      <c r="Q441" s="3" t="n">
        <v>63306.54</v>
      </c>
      <c r="R441" s="3" t="n">
        <v>0.4265</v>
      </c>
      <c r="S441" s="3" t="n">
        <v>0.0403</v>
      </c>
      <c r="T441" s="3" t="n">
        <v>0.0006</v>
      </c>
    </row>
    <row r="442" customFormat="false" ht="15" hidden="false" customHeight="true" outlineLevel="0" collapsed="false">
      <c r="A442" s="3" t="s">
        <v>875</v>
      </c>
      <c r="B442" s="3" t="s">
        <v>876</v>
      </c>
      <c r="C442" s="3" t="s">
        <v>37</v>
      </c>
      <c r="D442" s="3" t="s">
        <v>54</v>
      </c>
      <c r="E442" s="3" t="s">
        <v>24</v>
      </c>
      <c r="F442" s="3" t="s">
        <v>40</v>
      </c>
      <c r="G442" s="3" t="s">
        <v>41</v>
      </c>
      <c r="H442" s="3" t="s">
        <v>42</v>
      </c>
      <c r="I442" s="3" t="s">
        <v>72</v>
      </c>
      <c r="J442" s="3" t="n">
        <v>42</v>
      </c>
      <c r="K442" s="3" t="n">
        <v>3934.67</v>
      </c>
      <c r="L442" s="3" t="n">
        <v>165256.14</v>
      </c>
      <c r="M442" s="3" t="n">
        <v>0.1059</v>
      </c>
      <c r="N442" s="3" t="n">
        <v>17500.63</v>
      </c>
      <c r="O442" s="3" t="n">
        <v>147755.51</v>
      </c>
      <c r="P442" s="3" t="n">
        <v>90890.88</v>
      </c>
      <c r="Q442" s="3" t="n">
        <v>56864.63</v>
      </c>
      <c r="R442" s="3" t="n">
        <v>0.3849</v>
      </c>
      <c r="S442" s="3" t="n">
        <v>0.1073</v>
      </c>
      <c r="T442" s="3" t="n">
        <v>-0.0014</v>
      </c>
    </row>
    <row r="443" customFormat="false" ht="15" hidden="false" customHeight="true" outlineLevel="0" collapsed="false">
      <c r="A443" s="3" t="s">
        <v>877</v>
      </c>
      <c r="B443" s="3" t="s">
        <v>67</v>
      </c>
      <c r="C443" s="3" t="s">
        <v>68</v>
      </c>
      <c r="D443" s="3" t="s">
        <v>103</v>
      </c>
      <c r="E443" s="3" t="s">
        <v>24</v>
      </c>
      <c r="F443" s="3" t="s">
        <v>62</v>
      </c>
      <c r="G443" s="3" t="s">
        <v>55</v>
      </c>
      <c r="H443" s="3" t="s">
        <v>56</v>
      </c>
      <c r="I443" s="3" t="s">
        <v>57</v>
      </c>
      <c r="J443" s="3" t="n">
        <v>43</v>
      </c>
      <c r="K443" s="3" t="n">
        <v>11130.21</v>
      </c>
      <c r="L443" s="3" t="n">
        <v>478599.03</v>
      </c>
      <c r="M443" s="3" t="n">
        <v>0.0655</v>
      </c>
      <c r="N443" s="3" t="n">
        <v>31348.24</v>
      </c>
      <c r="O443" s="3" t="n">
        <v>447250.79</v>
      </c>
      <c r="P443" s="3" t="n">
        <v>287159.42</v>
      </c>
      <c r="Q443" s="3" t="n">
        <v>160091.37</v>
      </c>
      <c r="R443" s="3" t="n">
        <v>0.3579</v>
      </c>
      <c r="S443" s="3" t="n">
        <v>0.058</v>
      </c>
      <c r="T443" s="3" t="n">
        <v>0.0075</v>
      </c>
    </row>
    <row r="444" customFormat="false" ht="15" hidden="false" customHeight="true" outlineLevel="0" collapsed="false">
      <c r="A444" s="3" t="s">
        <v>878</v>
      </c>
      <c r="B444" s="3" t="s">
        <v>266</v>
      </c>
      <c r="C444" s="3" t="s">
        <v>60</v>
      </c>
      <c r="D444" s="3" t="s">
        <v>47</v>
      </c>
      <c r="E444" s="3" t="s">
        <v>48</v>
      </c>
      <c r="F444" s="3" t="s">
        <v>25</v>
      </c>
      <c r="G444" s="3" t="s">
        <v>116</v>
      </c>
      <c r="H444" s="3" t="s">
        <v>27</v>
      </c>
      <c r="I444" s="3" t="s">
        <v>94</v>
      </c>
      <c r="J444" s="3" t="n">
        <v>10</v>
      </c>
      <c r="K444" s="3" t="n">
        <v>8808.71</v>
      </c>
      <c r="L444" s="3" t="n">
        <v>88087.1</v>
      </c>
      <c r="M444" s="3" t="n">
        <v>0.1079</v>
      </c>
      <c r="N444" s="3" t="n">
        <v>9504.6</v>
      </c>
      <c r="O444" s="3" t="n">
        <v>78582.5</v>
      </c>
      <c r="P444" s="3" t="n">
        <v>54614</v>
      </c>
      <c r="Q444" s="3" t="n">
        <v>23968.5</v>
      </c>
      <c r="R444" s="3" t="n">
        <v>0.305</v>
      </c>
      <c r="S444" s="3" t="n">
        <v>0.1181</v>
      </c>
      <c r="T444" s="3" t="n">
        <v>-0.0102</v>
      </c>
    </row>
    <row r="445" customFormat="false" ht="15" hidden="false" customHeight="true" outlineLevel="0" collapsed="false">
      <c r="A445" s="3" t="s">
        <v>879</v>
      </c>
      <c r="B445" s="3" t="s">
        <v>880</v>
      </c>
      <c r="C445" s="3" t="s">
        <v>93</v>
      </c>
      <c r="D445" s="3" t="s">
        <v>23</v>
      </c>
      <c r="E445" s="3" t="s">
        <v>24</v>
      </c>
      <c r="F445" s="3" t="s">
        <v>25</v>
      </c>
      <c r="G445" s="3" t="s">
        <v>104</v>
      </c>
      <c r="H445" s="3" t="s">
        <v>42</v>
      </c>
      <c r="I445" s="3" t="s">
        <v>43</v>
      </c>
      <c r="J445" s="3" t="n">
        <v>19</v>
      </c>
      <c r="K445" s="3" t="n">
        <v>2917.08</v>
      </c>
      <c r="L445" s="3" t="n">
        <v>55424.52</v>
      </c>
      <c r="M445" s="3" t="n">
        <v>0.1578</v>
      </c>
      <c r="N445" s="3" t="n">
        <v>8745.99</v>
      </c>
      <c r="O445" s="3" t="n">
        <v>46678.53</v>
      </c>
      <c r="P445" s="3" t="n">
        <v>30483.49</v>
      </c>
      <c r="Q445" s="3" t="n">
        <v>16195.04</v>
      </c>
      <c r="R445" s="3" t="n">
        <v>0.3469</v>
      </c>
      <c r="S445" s="3" t="n">
        <v>0.1311</v>
      </c>
      <c r="T445" s="3" t="n">
        <v>0.0267</v>
      </c>
    </row>
    <row r="446" customFormat="false" ht="15" hidden="false" customHeight="true" outlineLevel="0" collapsed="false">
      <c r="A446" s="3" t="s">
        <v>881</v>
      </c>
      <c r="B446" s="3" t="s">
        <v>500</v>
      </c>
      <c r="C446" s="3" t="s">
        <v>126</v>
      </c>
      <c r="D446" s="3" t="s">
        <v>23</v>
      </c>
      <c r="E446" s="3" t="s">
        <v>24</v>
      </c>
      <c r="F446" s="3" t="s">
        <v>25</v>
      </c>
      <c r="G446" s="3" t="s">
        <v>26</v>
      </c>
      <c r="H446" s="3" t="s">
        <v>56</v>
      </c>
      <c r="I446" s="3" t="s">
        <v>188</v>
      </c>
      <c r="J446" s="3" t="n">
        <v>25</v>
      </c>
      <c r="K446" s="3" t="n">
        <v>12353.91</v>
      </c>
      <c r="L446" s="3" t="n">
        <v>308847.75</v>
      </c>
      <c r="M446" s="3" t="n">
        <v>0.1446</v>
      </c>
      <c r="N446" s="3" t="n">
        <v>44659.38</v>
      </c>
      <c r="O446" s="3" t="n">
        <v>264188.37</v>
      </c>
      <c r="P446" s="3" t="n">
        <v>185308.65</v>
      </c>
      <c r="Q446" s="3" t="n">
        <v>78879.72</v>
      </c>
      <c r="R446" s="3" t="n">
        <v>0.2986</v>
      </c>
      <c r="S446" s="3" t="n">
        <v>0.1458</v>
      </c>
      <c r="T446" s="3" t="n">
        <v>-0.0012</v>
      </c>
    </row>
    <row r="447" customFormat="false" ht="15" hidden="false" customHeight="true" outlineLevel="0" collapsed="false">
      <c r="A447" s="3" t="s">
        <v>882</v>
      </c>
      <c r="B447" s="3" t="s">
        <v>883</v>
      </c>
      <c r="C447" s="3" t="s">
        <v>156</v>
      </c>
      <c r="D447" s="3" t="s">
        <v>32</v>
      </c>
      <c r="E447" s="3" t="s">
        <v>33</v>
      </c>
      <c r="F447" s="3" t="s">
        <v>25</v>
      </c>
      <c r="G447" s="3" t="s">
        <v>63</v>
      </c>
      <c r="H447" s="3" t="s">
        <v>77</v>
      </c>
      <c r="I447" s="3" t="s">
        <v>78</v>
      </c>
      <c r="J447" s="3" t="n">
        <v>44</v>
      </c>
      <c r="K447" s="3" t="n">
        <v>5792.17</v>
      </c>
      <c r="L447" s="3" t="n">
        <v>254855.48</v>
      </c>
      <c r="M447" s="3" t="n">
        <v>0.1298</v>
      </c>
      <c r="N447" s="3" t="n">
        <v>33080.24</v>
      </c>
      <c r="O447" s="3" t="n">
        <v>221775.24</v>
      </c>
      <c r="P447" s="3" t="n">
        <v>173301.73</v>
      </c>
      <c r="Q447" s="3" t="n">
        <v>48473.51</v>
      </c>
      <c r="R447" s="3" t="n">
        <v>0.2186</v>
      </c>
      <c r="S447" s="3" t="n">
        <v>0.1328</v>
      </c>
      <c r="T447" s="3" t="n">
        <v>-0.003</v>
      </c>
    </row>
    <row r="448" customFormat="false" ht="15" hidden="false" customHeight="true" outlineLevel="0" collapsed="false">
      <c r="A448" s="3" t="s">
        <v>884</v>
      </c>
      <c r="B448" s="3" t="s">
        <v>885</v>
      </c>
      <c r="C448" s="3" t="s">
        <v>113</v>
      </c>
      <c r="D448" s="3" t="s">
        <v>69</v>
      </c>
      <c r="E448" s="3" t="s">
        <v>39</v>
      </c>
      <c r="F448" s="3" t="s">
        <v>70</v>
      </c>
      <c r="G448" s="3" t="s">
        <v>34</v>
      </c>
      <c r="H448" s="3" t="s">
        <v>56</v>
      </c>
      <c r="I448" s="3" t="s">
        <v>57</v>
      </c>
      <c r="J448" s="3" t="n">
        <v>46</v>
      </c>
      <c r="K448" s="3" t="n">
        <v>16583.78</v>
      </c>
      <c r="L448" s="3" t="n">
        <v>762853.88</v>
      </c>
      <c r="M448" s="3" t="n">
        <v>0.1002</v>
      </c>
      <c r="N448" s="3" t="n">
        <v>76437.96</v>
      </c>
      <c r="O448" s="3" t="n">
        <v>686415.92</v>
      </c>
      <c r="P448" s="3" t="n">
        <v>457712.33</v>
      </c>
      <c r="Q448" s="3" t="n">
        <v>228703.59</v>
      </c>
      <c r="R448" s="3" t="n">
        <v>0.3332</v>
      </c>
      <c r="S448" s="3" t="n">
        <v>0.1035</v>
      </c>
      <c r="T448" s="3" t="n">
        <v>-0.0033</v>
      </c>
    </row>
    <row r="449" customFormat="false" ht="15" hidden="false" customHeight="true" outlineLevel="0" collapsed="false">
      <c r="A449" s="3" t="s">
        <v>886</v>
      </c>
      <c r="B449" s="3" t="s">
        <v>887</v>
      </c>
      <c r="C449" s="3" t="s">
        <v>68</v>
      </c>
      <c r="D449" s="3" t="s">
        <v>69</v>
      </c>
      <c r="E449" s="3" t="s">
        <v>39</v>
      </c>
      <c r="F449" s="3" t="s">
        <v>70</v>
      </c>
      <c r="G449" s="3" t="s">
        <v>41</v>
      </c>
      <c r="H449" s="3" t="s">
        <v>42</v>
      </c>
      <c r="I449" s="3" t="s">
        <v>134</v>
      </c>
      <c r="J449" s="3" t="n">
        <v>5</v>
      </c>
      <c r="K449" s="3" t="n">
        <v>3942.09</v>
      </c>
      <c r="L449" s="3" t="n">
        <v>19710.45</v>
      </c>
      <c r="M449" s="3" t="n">
        <v>0.0663</v>
      </c>
      <c r="N449" s="3" t="n">
        <v>1306.8</v>
      </c>
      <c r="O449" s="3" t="n">
        <v>18403.65</v>
      </c>
      <c r="P449" s="3" t="n">
        <v>10840.75</v>
      </c>
      <c r="Q449" s="3" t="n">
        <v>7562.9</v>
      </c>
      <c r="R449" s="3" t="n">
        <v>0.4109</v>
      </c>
      <c r="S449" s="3" t="n">
        <v>0.0554</v>
      </c>
      <c r="T449" s="3" t="n">
        <v>0.0109</v>
      </c>
    </row>
    <row r="450" customFormat="false" ht="15" hidden="false" customHeight="true" outlineLevel="0" collapsed="false">
      <c r="A450" s="3" t="s">
        <v>888</v>
      </c>
      <c r="B450" s="3" t="s">
        <v>889</v>
      </c>
      <c r="C450" s="3" t="s">
        <v>37</v>
      </c>
      <c r="D450" s="3" t="s">
        <v>32</v>
      </c>
      <c r="E450" s="3" t="s">
        <v>33</v>
      </c>
      <c r="F450" s="3" t="s">
        <v>25</v>
      </c>
      <c r="G450" s="3" t="s">
        <v>100</v>
      </c>
      <c r="H450" s="3" t="s">
        <v>77</v>
      </c>
      <c r="I450" s="3" t="s">
        <v>78</v>
      </c>
      <c r="J450" s="3" t="n">
        <v>11</v>
      </c>
      <c r="K450" s="3" t="n">
        <v>2468.35</v>
      </c>
      <c r="L450" s="3" t="n">
        <v>27151.85</v>
      </c>
      <c r="M450" s="3" t="n">
        <v>0.1196</v>
      </c>
      <c r="N450" s="3" t="n">
        <v>3247.36</v>
      </c>
      <c r="O450" s="3" t="n">
        <v>23904.49</v>
      </c>
      <c r="P450" s="3" t="n">
        <v>18463.26</v>
      </c>
      <c r="Q450" s="3" t="n">
        <v>5441.23</v>
      </c>
      <c r="R450" s="3" t="n">
        <v>0.2276</v>
      </c>
      <c r="S450" s="3" t="n">
        <v>0.1124</v>
      </c>
      <c r="T450" s="3" t="n">
        <v>0.0072</v>
      </c>
    </row>
    <row r="451" customFormat="false" ht="15" hidden="false" customHeight="true" outlineLevel="0" collapsed="false">
      <c r="A451" s="3" t="s">
        <v>890</v>
      </c>
      <c r="B451" s="3" t="s">
        <v>179</v>
      </c>
      <c r="C451" s="3" t="s">
        <v>126</v>
      </c>
      <c r="D451" s="3" t="s">
        <v>75</v>
      </c>
      <c r="E451" s="3" t="s">
        <v>39</v>
      </c>
      <c r="F451" s="3" t="s">
        <v>25</v>
      </c>
      <c r="G451" s="3" t="s">
        <v>49</v>
      </c>
      <c r="H451" s="3" t="s">
        <v>27</v>
      </c>
      <c r="I451" s="3" t="s">
        <v>117</v>
      </c>
      <c r="J451" s="3" t="n">
        <v>50</v>
      </c>
      <c r="K451" s="3" t="n">
        <v>27100.17</v>
      </c>
      <c r="L451" s="3" t="n">
        <v>1355008.5</v>
      </c>
      <c r="M451" s="3" t="n">
        <v>0.1659</v>
      </c>
      <c r="N451" s="3" t="n">
        <v>224795.91</v>
      </c>
      <c r="O451" s="3" t="n">
        <v>1130212.59</v>
      </c>
      <c r="P451" s="3" t="n">
        <v>840105.27</v>
      </c>
      <c r="Q451" s="3" t="n">
        <v>290107.32</v>
      </c>
      <c r="R451" s="3" t="n">
        <v>0.2567</v>
      </c>
      <c r="S451" s="3" t="n">
        <v>0.1571</v>
      </c>
      <c r="T451" s="3" t="n">
        <v>0.0088</v>
      </c>
    </row>
    <row r="452" customFormat="false" ht="15" hidden="false" customHeight="true" outlineLevel="0" collapsed="false">
      <c r="A452" s="3" t="s">
        <v>891</v>
      </c>
      <c r="B452" s="3" t="s">
        <v>892</v>
      </c>
      <c r="C452" s="3" t="s">
        <v>68</v>
      </c>
      <c r="D452" s="3" t="s">
        <v>38</v>
      </c>
      <c r="E452" s="3" t="s">
        <v>39</v>
      </c>
      <c r="F452" s="3" t="s">
        <v>40</v>
      </c>
      <c r="G452" s="3" t="s">
        <v>116</v>
      </c>
      <c r="H452" s="3" t="s">
        <v>56</v>
      </c>
      <c r="I452" s="3" t="s">
        <v>57</v>
      </c>
      <c r="J452" s="3" t="n">
        <v>21</v>
      </c>
      <c r="K452" s="3" t="n">
        <v>14544.5</v>
      </c>
      <c r="L452" s="3" t="n">
        <v>305434.5</v>
      </c>
      <c r="M452" s="3" t="n">
        <v>0.1145</v>
      </c>
      <c r="N452" s="3" t="n">
        <v>34972.25</v>
      </c>
      <c r="O452" s="3" t="n">
        <v>270462.25</v>
      </c>
      <c r="P452" s="3" t="n">
        <v>183260.7</v>
      </c>
      <c r="Q452" s="3" t="n">
        <v>87201.55</v>
      </c>
      <c r="R452" s="3" t="n">
        <v>0.3224</v>
      </c>
      <c r="S452" s="3" t="n">
        <v>0.094</v>
      </c>
      <c r="T452" s="3" t="n">
        <v>0.0205</v>
      </c>
    </row>
    <row r="453" customFormat="false" ht="15" hidden="false" customHeight="true" outlineLevel="0" collapsed="false">
      <c r="A453" s="3" t="s">
        <v>893</v>
      </c>
      <c r="B453" s="3" t="s">
        <v>670</v>
      </c>
      <c r="C453" s="3" t="s">
        <v>113</v>
      </c>
      <c r="D453" s="3" t="s">
        <v>107</v>
      </c>
      <c r="E453" s="3" t="s">
        <v>33</v>
      </c>
      <c r="F453" s="3" t="s">
        <v>70</v>
      </c>
      <c r="G453" s="3" t="s">
        <v>100</v>
      </c>
      <c r="H453" s="3" t="s">
        <v>64</v>
      </c>
      <c r="I453" s="3" t="s">
        <v>90</v>
      </c>
      <c r="J453" s="3" t="n">
        <v>6</v>
      </c>
      <c r="K453" s="3" t="n">
        <v>7833.32</v>
      </c>
      <c r="L453" s="3" t="n">
        <v>46999.92</v>
      </c>
      <c r="M453" s="3" t="n">
        <v>0.0475</v>
      </c>
      <c r="N453" s="3" t="n">
        <v>2232.5</v>
      </c>
      <c r="O453" s="3" t="n">
        <v>44767.42</v>
      </c>
      <c r="P453" s="3" t="n">
        <v>27259.95</v>
      </c>
      <c r="Q453" s="3" t="n">
        <v>17507.47</v>
      </c>
      <c r="R453" s="3" t="n">
        <v>0.3911</v>
      </c>
      <c r="S453" s="3" t="n">
        <v>0.0474</v>
      </c>
      <c r="T453" s="3" t="n">
        <v>0.0001</v>
      </c>
    </row>
    <row r="454" customFormat="false" ht="15" hidden="false" customHeight="true" outlineLevel="0" collapsed="false">
      <c r="A454" s="3" t="s">
        <v>894</v>
      </c>
      <c r="B454" s="3" t="s">
        <v>795</v>
      </c>
      <c r="C454" s="3" t="s">
        <v>156</v>
      </c>
      <c r="D454" s="3" t="s">
        <v>103</v>
      </c>
      <c r="E454" s="3" t="s">
        <v>24</v>
      </c>
      <c r="F454" s="3" t="s">
        <v>62</v>
      </c>
      <c r="G454" s="3" t="s">
        <v>34</v>
      </c>
      <c r="H454" s="3" t="s">
        <v>42</v>
      </c>
      <c r="I454" s="3" t="s">
        <v>134</v>
      </c>
      <c r="J454" s="3" t="n">
        <v>40</v>
      </c>
      <c r="K454" s="3" t="n">
        <v>3826.08</v>
      </c>
      <c r="L454" s="3" t="n">
        <v>153043.2</v>
      </c>
      <c r="M454" s="3" t="n">
        <v>0.1164</v>
      </c>
      <c r="N454" s="3" t="n">
        <v>17814.23</v>
      </c>
      <c r="O454" s="3" t="n">
        <v>135228.97</v>
      </c>
      <c r="P454" s="3" t="n">
        <v>84173.76</v>
      </c>
      <c r="Q454" s="3" t="n">
        <v>51055.21</v>
      </c>
      <c r="R454" s="3" t="n">
        <v>0.3775</v>
      </c>
      <c r="S454" s="3" t="n">
        <v>0.0971</v>
      </c>
      <c r="T454" s="3" t="n">
        <v>0.0193</v>
      </c>
    </row>
    <row r="455" customFormat="false" ht="15" hidden="false" customHeight="true" outlineLevel="0" collapsed="false">
      <c r="A455" s="3" t="s">
        <v>895</v>
      </c>
      <c r="B455" s="3" t="s">
        <v>896</v>
      </c>
      <c r="C455" s="3" t="s">
        <v>156</v>
      </c>
      <c r="D455" s="3" t="s">
        <v>103</v>
      </c>
      <c r="E455" s="3" t="s">
        <v>24</v>
      </c>
      <c r="F455" s="3" t="s">
        <v>62</v>
      </c>
      <c r="G455" s="3" t="s">
        <v>71</v>
      </c>
      <c r="H455" s="3" t="s">
        <v>77</v>
      </c>
      <c r="I455" s="3" t="s">
        <v>131</v>
      </c>
      <c r="J455" s="3" t="n">
        <v>40</v>
      </c>
      <c r="K455" s="3" t="n">
        <v>4145.77</v>
      </c>
      <c r="L455" s="3" t="n">
        <v>165830.8</v>
      </c>
      <c r="M455" s="3" t="n">
        <v>0.0422</v>
      </c>
      <c r="N455" s="3" t="n">
        <v>6998.06</v>
      </c>
      <c r="O455" s="3" t="n">
        <v>158832.74</v>
      </c>
      <c r="P455" s="3" t="n">
        <v>112764.94</v>
      </c>
      <c r="Q455" s="3" t="n">
        <v>46067.8</v>
      </c>
      <c r="R455" s="3" t="n">
        <v>0.29</v>
      </c>
      <c r="S455" s="3" t="n">
        <v>0.0424</v>
      </c>
      <c r="T455" s="3" t="n">
        <v>-0.0002</v>
      </c>
    </row>
    <row r="456" customFormat="false" ht="15" hidden="false" customHeight="true" outlineLevel="0" collapsed="false">
      <c r="A456" s="3" t="s">
        <v>897</v>
      </c>
      <c r="B456" s="3" t="s">
        <v>898</v>
      </c>
      <c r="C456" s="3" t="s">
        <v>68</v>
      </c>
      <c r="D456" s="3" t="s">
        <v>103</v>
      </c>
      <c r="E456" s="3" t="s">
        <v>24</v>
      </c>
      <c r="F456" s="3" t="s">
        <v>62</v>
      </c>
      <c r="G456" s="3" t="s">
        <v>63</v>
      </c>
      <c r="H456" s="3" t="s">
        <v>77</v>
      </c>
      <c r="I456" s="3" t="s">
        <v>131</v>
      </c>
      <c r="J456" s="3" t="n">
        <v>47</v>
      </c>
      <c r="K456" s="3" t="n">
        <v>2431.63</v>
      </c>
      <c r="L456" s="3" t="n">
        <v>114286.61</v>
      </c>
      <c r="M456" s="3" t="n">
        <v>0.0441</v>
      </c>
      <c r="N456" s="3" t="n">
        <v>5040.04</v>
      </c>
      <c r="O456" s="3" t="n">
        <v>109246.57</v>
      </c>
      <c r="P456" s="3" t="n">
        <v>77714.89</v>
      </c>
      <c r="Q456" s="3" t="n">
        <v>31531.68</v>
      </c>
      <c r="R456" s="3" t="n">
        <v>0.2886</v>
      </c>
      <c r="S456" s="3" t="n">
        <v>0.0462</v>
      </c>
      <c r="T456" s="3" t="n">
        <v>-0.0021</v>
      </c>
    </row>
    <row r="457" customFormat="false" ht="15" hidden="false" customHeight="true" outlineLevel="0" collapsed="false">
      <c r="A457" s="3" t="s">
        <v>899</v>
      </c>
      <c r="B457" s="3" t="s">
        <v>900</v>
      </c>
      <c r="C457" s="3" t="s">
        <v>113</v>
      </c>
      <c r="D457" s="3" t="s">
        <v>103</v>
      </c>
      <c r="E457" s="3" t="s">
        <v>24</v>
      </c>
      <c r="F457" s="3" t="s">
        <v>62</v>
      </c>
      <c r="G457" s="3" t="s">
        <v>84</v>
      </c>
      <c r="H457" s="3" t="s">
        <v>56</v>
      </c>
      <c r="I457" s="3" t="s">
        <v>121</v>
      </c>
      <c r="J457" s="3" t="n">
        <v>19</v>
      </c>
      <c r="K457" s="3" t="n">
        <v>9788.88</v>
      </c>
      <c r="L457" s="3" t="n">
        <v>185988.72</v>
      </c>
      <c r="M457" s="3" t="n">
        <v>0.0749</v>
      </c>
      <c r="N457" s="3" t="n">
        <v>13930.56</v>
      </c>
      <c r="O457" s="3" t="n">
        <v>172058.16</v>
      </c>
      <c r="P457" s="3" t="n">
        <v>111593.23</v>
      </c>
      <c r="Q457" s="3" t="n">
        <v>60464.93</v>
      </c>
      <c r="R457" s="3" t="n">
        <v>0.3514</v>
      </c>
      <c r="S457" s="3" t="n">
        <v>0.0671</v>
      </c>
      <c r="T457" s="3" t="n">
        <v>0.0078</v>
      </c>
    </row>
    <row r="458" customFormat="false" ht="15" hidden="false" customHeight="true" outlineLevel="0" collapsed="false">
      <c r="A458" s="3" t="s">
        <v>901</v>
      </c>
      <c r="B458" s="3" t="s">
        <v>670</v>
      </c>
      <c r="C458" s="3" t="s">
        <v>113</v>
      </c>
      <c r="D458" s="3" t="s">
        <v>61</v>
      </c>
      <c r="E458" s="3" t="s">
        <v>33</v>
      </c>
      <c r="F458" s="3" t="s">
        <v>62</v>
      </c>
      <c r="G458" s="3" t="s">
        <v>100</v>
      </c>
      <c r="H458" s="3" t="s">
        <v>27</v>
      </c>
      <c r="I458" s="3" t="s">
        <v>117</v>
      </c>
      <c r="J458" s="3" t="n">
        <v>41</v>
      </c>
      <c r="K458" s="3" t="n">
        <v>25062.59</v>
      </c>
      <c r="L458" s="3" t="n">
        <v>1027566.19</v>
      </c>
      <c r="M458" s="3" t="n">
        <v>0.0333</v>
      </c>
      <c r="N458" s="3" t="n">
        <v>34217.95</v>
      </c>
      <c r="O458" s="3" t="n">
        <v>993348.24</v>
      </c>
      <c r="P458" s="3" t="n">
        <v>637091.04</v>
      </c>
      <c r="Q458" s="3" t="n">
        <v>356257.2</v>
      </c>
      <c r="R458" s="3" t="n">
        <v>0.3586</v>
      </c>
      <c r="S458" s="3" t="n">
        <v>0.0353</v>
      </c>
      <c r="T458" s="3" t="n">
        <v>-0.002</v>
      </c>
    </row>
    <row r="459" customFormat="false" ht="15" hidden="false" customHeight="true" outlineLevel="0" collapsed="false">
      <c r="A459" s="3" t="s">
        <v>902</v>
      </c>
      <c r="B459" s="3" t="s">
        <v>903</v>
      </c>
      <c r="C459" s="3" t="s">
        <v>22</v>
      </c>
      <c r="D459" s="3" t="s">
        <v>47</v>
      </c>
      <c r="E459" s="3" t="s">
        <v>48</v>
      </c>
      <c r="F459" s="3" t="s">
        <v>25</v>
      </c>
      <c r="G459" s="3" t="s">
        <v>100</v>
      </c>
      <c r="H459" s="3" t="s">
        <v>27</v>
      </c>
      <c r="I459" s="3" t="s">
        <v>117</v>
      </c>
      <c r="J459" s="3" t="n">
        <v>48</v>
      </c>
      <c r="K459" s="3" t="n">
        <v>34519.96</v>
      </c>
      <c r="L459" s="3" t="n">
        <v>1656958.08</v>
      </c>
      <c r="M459" s="3" t="n">
        <v>0.1605</v>
      </c>
      <c r="N459" s="3" t="n">
        <v>265941.77</v>
      </c>
      <c r="O459" s="3" t="n">
        <v>1391016.31</v>
      </c>
      <c r="P459" s="3" t="n">
        <v>1027314.01</v>
      </c>
      <c r="Q459" s="3" t="n">
        <v>363702.3</v>
      </c>
      <c r="R459" s="3" t="n">
        <v>0.2615</v>
      </c>
      <c r="S459" s="3" t="n">
        <v>0.1643</v>
      </c>
      <c r="T459" s="3" t="n">
        <v>-0.0038</v>
      </c>
    </row>
    <row r="460" customFormat="false" ht="15" hidden="false" customHeight="true" outlineLevel="0" collapsed="false">
      <c r="A460" s="3" t="s">
        <v>904</v>
      </c>
      <c r="B460" s="3" t="s">
        <v>905</v>
      </c>
      <c r="C460" s="3" t="s">
        <v>53</v>
      </c>
      <c r="D460" s="3" t="s">
        <v>75</v>
      </c>
      <c r="E460" s="3" t="s">
        <v>39</v>
      </c>
      <c r="F460" s="3" t="s">
        <v>25</v>
      </c>
      <c r="G460" s="3" t="s">
        <v>26</v>
      </c>
      <c r="H460" s="3" t="s">
        <v>27</v>
      </c>
      <c r="I460" s="3" t="s">
        <v>173</v>
      </c>
      <c r="J460" s="3" t="n">
        <v>6</v>
      </c>
      <c r="K460" s="3" t="n">
        <v>18614.89</v>
      </c>
      <c r="L460" s="3" t="n">
        <v>111689.34</v>
      </c>
      <c r="M460" s="3" t="n">
        <v>0.0879</v>
      </c>
      <c r="N460" s="3" t="n">
        <v>9817.49</v>
      </c>
      <c r="O460" s="3" t="n">
        <v>101871.85</v>
      </c>
      <c r="P460" s="3" t="n">
        <v>69247.39</v>
      </c>
      <c r="Q460" s="3" t="n">
        <v>32624.46</v>
      </c>
      <c r="R460" s="3" t="n">
        <v>0.3203</v>
      </c>
      <c r="S460" s="3" t="n">
        <v>0.085</v>
      </c>
      <c r="T460" s="3" t="n">
        <v>0.0029</v>
      </c>
    </row>
    <row r="461" customFormat="false" ht="15" hidden="false" customHeight="true" outlineLevel="0" collapsed="false">
      <c r="A461" s="3" t="s">
        <v>906</v>
      </c>
      <c r="B461" s="3" t="s">
        <v>907</v>
      </c>
      <c r="C461" s="3" t="s">
        <v>37</v>
      </c>
      <c r="D461" s="3" t="s">
        <v>38</v>
      </c>
      <c r="E461" s="3" t="s">
        <v>39</v>
      </c>
      <c r="F461" s="3" t="s">
        <v>40</v>
      </c>
      <c r="G461" s="3" t="s">
        <v>63</v>
      </c>
      <c r="H461" s="3" t="s">
        <v>64</v>
      </c>
      <c r="I461" s="3" t="s">
        <v>145</v>
      </c>
      <c r="J461" s="3" t="n">
        <v>41</v>
      </c>
      <c r="K461" s="3" t="n">
        <v>6492.29</v>
      </c>
      <c r="L461" s="3" t="n">
        <v>266183.89</v>
      </c>
      <c r="M461" s="3" t="n">
        <v>0.0502</v>
      </c>
      <c r="N461" s="3" t="n">
        <v>13362.43</v>
      </c>
      <c r="O461" s="3" t="n">
        <v>252821.46</v>
      </c>
      <c r="P461" s="3" t="n">
        <v>154386.66</v>
      </c>
      <c r="Q461" s="3" t="n">
        <v>98434.8</v>
      </c>
      <c r="R461" s="3" t="n">
        <v>0.3893</v>
      </c>
      <c r="S461" s="3" t="n">
        <v>0.0404</v>
      </c>
      <c r="T461" s="3" t="n">
        <v>0.0098</v>
      </c>
    </row>
    <row r="462" customFormat="false" ht="15" hidden="false" customHeight="true" outlineLevel="0" collapsed="false">
      <c r="A462" s="3" t="s">
        <v>908</v>
      </c>
      <c r="B462" s="3" t="s">
        <v>909</v>
      </c>
      <c r="C462" s="3" t="s">
        <v>22</v>
      </c>
      <c r="D462" s="3" t="s">
        <v>23</v>
      </c>
      <c r="E462" s="3" t="s">
        <v>24</v>
      </c>
      <c r="F462" s="3" t="s">
        <v>25</v>
      </c>
      <c r="G462" s="3" t="s">
        <v>104</v>
      </c>
      <c r="H462" s="3" t="s">
        <v>27</v>
      </c>
      <c r="I462" s="3" t="s">
        <v>94</v>
      </c>
      <c r="J462" s="3" t="n">
        <v>40</v>
      </c>
      <c r="K462" s="3" t="n">
        <v>28525.53</v>
      </c>
      <c r="L462" s="3" t="n">
        <v>1141021.2</v>
      </c>
      <c r="M462" s="3" t="n">
        <v>0.1547</v>
      </c>
      <c r="N462" s="3" t="n">
        <v>176515.98</v>
      </c>
      <c r="O462" s="3" t="n">
        <v>964505.22</v>
      </c>
      <c r="P462" s="3" t="n">
        <v>707433.14</v>
      </c>
      <c r="Q462" s="3" t="n">
        <v>257072.08</v>
      </c>
      <c r="R462" s="3" t="n">
        <v>0.2665</v>
      </c>
      <c r="S462" s="3" t="n">
        <v>0.1403</v>
      </c>
      <c r="T462" s="3" t="n">
        <v>0.0144</v>
      </c>
    </row>
    <row r="463" customFormat="false" ht="15" hidden="false" customHeight="true" outlineLevel="0" collapsed="false">
      <c r="A463" s="3" t="s">
        <v>910</v>
      </c>
      <c r="B463" s="3" t="s">
        <v>260</v>
      </c>
      <c r="C463" s="3" t="s">
        <v>31</v>
      </c>
      <c r="D463" s="3" t="s">
        <v>107</v>
      </c>
      <c r="E463" s="3" t="s">
        <v>33</v>
      </c>
      <c r="F463" s="3" t="s">
        <v>70</v>
      </c>
      <c r="G463" s="3" t="s">
        <v>71</v>
      </c>
      <c r="H463" s="3" t="s">
        <v>27</v>
      </c>
      <c r="I463" s="3" t="s">
        <v>50</v>
      </c>
      <c r="J463" s="3" t="n">
        <v>6</v>
      </c>
      <c r="K463" s="3" t="n">
        <v>17643.22</v>
      </c>
      <c r="L463" s="3" t="n">
        <v>105859.32</v>
      </c>
      <c r="M463" s="3" t="n">
        <v>0.0441</v>
      </c>
      <c r="N463" s="3" t="n">
        <v>4668.4</v>
      </c>
      <c r="O463" s="3" t="n">
        <v>101190.92</v>
      </c>
      <c r="P463" s="3" t="n">
        <v>65632.78</v>
      </c>
      <c r="Q463" s="3" t="n">
        <v>35558.14</v>
      </c>
      <c r="R463" s="3" t="n">
        <v>0.3514</v>
      </c>
      <c r="S463" s="3" t="n">
        <v>0.0403</v>
      </c>
      <c r="T463" s="3" t="n">
        <v>0.0038</v>
      </c>
    </row>
    <row r="464" customFormat="false" ht="15" hidden="false" customHeight="true" outlineLevel="0" collapsed="false">
      <c r="A464" s="3" t="s">
        <v>911</v>
      </c>
      <c r="B464" s="3" t="s">
        <v>308</v>
      </c>
      <c r="C464" s="3" t="s">
        <v>126</v>
      </c>
      <c r="D464" s="3" t="s">
        <v>23</v>
      </c>
      <c r="E464" s="3" t="s">
        <v>24</v>
      </c>
      <c r="F464" s="3" t="s">
        <v>25</v>
      </c>
      <c r="G464" s="3" t="s">
        <v>41</v>
      </c>
      <c r="H464" s="3" t="s">
        <v>27</v>
      </c>
      <c r="I464" s="3" t="s">
        <v>173</v>
      </c>
      <c r="J464" s="3" t="n">
        <v>9</v>
      </c>
      <c r="K464" s="3" t="n">
        <v>25070.97</v>
      </c>
      <c r="L464" s="3" t="n">
        <v>225638.73</v>
      </c>
      <c r="M464" s="3" t="n">
        <v>0.2251</v>
      </c>
      <c r="N464" s="3" t="n">
        <v>50791.28</v>
      </c>
      <c r="O464" s="3" t="n">
        <v>174847.45</v>
      </c>
      <c r="P464" s="3" t="n">
        <v>139896.01</v>
      </c>
      <c r="Q464" s="3" t="n">
        <v>34951.44</v>
      </c>
      <c r="R464" s="3" t="n">
        <v>0.1999</v>
      </c>
      <c r="S464" s="3" t="n">
        <v>0.2449</v>
      </c>
      <c r="T464" s="3" t="n">
        <v>-0.0198</v>
      </c>
    </row>
    <row r="465" customFormat="false" ht="15" hidden="false" customHeight="true" outlineLevel="0" collapsed="false">
      <c r="A465" s="3" t="s">
        <v>912</v>
      </c>
      <c r="B465" s="3" t="s">
        <v>672</v>
      </c>
      <c r="C465" s="3" t="s">
        <v>120</v>
      </c>
      <c r="D465" s="3" t="s">
        <v>75</v>
      </c>
      <c r="E465" s="3" t="s">
        <v>39</v>
      </c>
      <c r="F465" s="3" t="s">
        <v>25</v>
      </c>
      <c r="G465" s="3" t="s">
        <v>26</v>
      </c>
      <c r="H465" s="3" t="s">
        <v>42</v>
      </c>
      <c r="I465" s="3" t="s">
        <v>72</v>
      </c>
      <c r="J465" s="3" t="n">
        <v>1</v>
      </c>
      <c r="K465" s="3" t="n">
        <v>2767.79</v>
      </c>
      <c r="L465" s="3" t="n">
        <v>2767.79</v>
      </c>
      <c r="M465" s="3" t="n">
        <v>0.1421</v>
      </c>
      <c r="N465" s="3" t="n">
        <v>393.3</v>
      </c>
      <c r="O465" s="3" t="n">
        <v>2374.49</v>
      </c>
      <c r="P465" s="3" t="n">
        <v>1522.28</v>
      </c>
      <c r="Q465" s="3" t="n">
        <v>852.21</v>
      </c>
      <c r="R465" s="3" t="n">
        <v>0.3589</v>
      </c>
      <c r="S465" s="3" t="n">
        <v>0.1154</v>
      </c>
      <c r="T465" s="3" t="n">
        <v>0.0267</v>
      </c>
    </row>
    <row r="466" customFormat="false" ht="15" hidden="false" customHeight="true" outlineLevel="0" collapsed="false">
      <c r="A466" s="3" t="s">
        <v>913</v>
      </c>
      <c r="B466" s="3" t="s">
        <v>914</v>
      </c>
      <c r="C466" s="3" t="s">
        <v>37</v>
      </c>
      <c r="D466" s="3" t="s">
        <v>38</v>
      </c>
      <c r="E466" s="3" t="s">
        <v>39</v>
      </c>
      <c r="F466" s="3" t="s">
        <v>40</v>
      </c>
      <c r="G466" s="3" t="s">
        <v>100</v>
      </c>
      <c r="H466" s="3" t="s">
        <v>56</v>
      </c>
      <c r="I466" s="3" t="s">
        <v>57</v>
      </c>
      <c r="J466" s="3" t="n">
        <v>6</v>
      </c>
      <c r="K466" s="3" t="n">
        <v>10760.41</v>
      </c>
      <c r="L466" s="3" t="n">
        <v>64562.46</v>
      </c>
      <c r="M466" s="3" t="n">
        <v>0.0452</v>
      </c>
      <c r="N466" s="3" t="n">
        <v>2918.22</v>
      </c>
      <c r="O466" s="3" t="n">
        <v>61644.24</v>
      </c>
      <c r="P466" s="3" t="n">
        <v>38737.48</v>
      </c>
      <c r="Q466" s="3" t="n">
        <v>22906.76</v>
      </c>
      <c r="R466" s="3" t="n">
        <v>0.3716</v>
      </c>
      <c r="S466" s="3" t="n">
        <v>0.0391</v>
      </c>
      <c r="T466" s="3" t="n">
        <v>0.0061</v>
      </c>
    </row>
    <row r="467" customFormat="false" ht="15" hidden="false" customHeight="true" outlineLevel="0" collapsed="false">
      <c r="A467" s="3" t="s">
        <v>915</v>
      </c>
      <c r="B467" s="3" t="s">
        <v>676</v>
      </c>
      <c r="C467" s="3" t="s">
        <v>22</v>
      </c>
      <c r="D467" s="3" t="s">
        <v>23</v>
      </c>
      <c r="E467" s="3" t="s">
        <v>24</v>
      </c>
      <c r="F467" s="3" t="s">
        <v>25</v>
      </c>
      <c r="G467" s="3" t="s">
        <v>41</v>
      </c>
      <c r="H467" s="3" t="s">
        <v>56</v>
      </c>
      <c r="I467" s="3" t="s">
        <v>188</v>
      </c>
      <c r="J467" s="3" t="n">
        <v>40</v>
      </c>
      <c r="K467" s="3" t="n">
        <v>4943.88</v>
      </c>
      <c r="L467" s="3" t="n">
        <v>197755.2</v>
      </c>
      <c r="M467" s="3" t="n">
        <v>0.1545</v>
      </c>
      <c r="N467" s="3" t="n">
        <v>30553.18</v>
      </c>
      <c r="O467" s="3" t="n">
        <v>167202.02</v>
      </c>
      <c r="P467" s="3" t="n">
        <v>118653.12</v>
      </c>
      <c r="Q467" s="3" t="n">
        <v>48548.9</v>
      </c>
      <c r="R467" s="3" t="n">
        <v>0.2904</v>
      </c>
      <c r="S467" s="3" t="n">
        <v>0.1631</v>
      </c>
      <c r="T467" s="3" t="n">
        <v>-0.0086</v>
      </c>
    </row>
    <row r="468" customFormat="false" ht="15" hidden="false" customHeight="true" outlineLevel="0" collapsed="false">
      <c r="A468" s="3" t="s">
        <v>916</v>
      </c>
      <c r="B468" s="3" t="s">
        <v>123</v>
      </c>
      <c r="C468" s="3" t="s">
        <v>120</v>
      </c>
      <c r="D468" s="3" t="s">
        <v>107</v>
      </c>
      <c r="E468" s="3" t="s">
        <v>33</v>
      </c>
      <c r="F468" s="3" t="s">
        <v>70</v>
      </c>
      <c r="G468" s="3" t="s">
        <v>100</v>
      </c>
      <c r="H468" s="3" t="s">
        <v>77</v>
      </c>
      <c r="I468" s="3" t="s">
        <v>85</v>
      </c>
      <c r="J468" s="3" t="n">
        <v>43</v>
      </c>
      <c r="K468" s="3" t="n">
        <v>1551.09</v>
      </c>
      <c r="L468" s="3" t="n">
        <v>66696.87</v>
      </c>
      <c r="M468" s="3" t="n">
        <v>0.0334</v>
      </c>
      <c r="N468" s="3" t="n">
        <v>2227.68</v>
      </c>
      <c r="O468" s="3" t="n">
        <v>64469.19</v>
      </c>
      <c r="P468" s="3" t="n">
        <v>45353.87</v>
      </c>
      <c r="Q468" s="3" t="n">
        <v>19115.32</v>
      </c>
      <c r="R468" s="3" t="n">
        <v>0.2965</v>
      </c>
      <c r="S468" s="3" t="n">
        <v>0.0287</v>
      </c>
      <c r="T468" s="3" t="n">
        <v>0.0047</v>
      </c>
    </row>
    <row r="469" customFormat="false" ht="15" hidden="false" customHeight="true" outlineLevel="0" collapsed="false">
      <c r="A469" s="3" t="s">
        <v>917</v>
      </c>
      <c r="B469" s="3" t="s">
        <v>674</v>
      </c>
      <c r="C469" s="3" t="s">
        <v>126</v>
      </c>
      <c r="D469" s="3" t="s">
        <v>38</v>
      </c>
      <c r="E469" s="3" t="s">
        <v>39</v>
      </c>
      <c r="F469" s="3" t="s">
        <v>40</v>
      </c>
      <c r="G469" s="3" t="s">
        <v>49</v>
      </c>
      <c r="H469" s="3" t="s">
        <v>77</v>
      </c>
      <c r="I469" s="3" t="s">
        <v>78</v>
      </c>
      <c r="J469" s="3" t="n">
        <v>42</v>
      </c>
      <c r="K469" s="3" t="n">
        <v>1815.43</v>
      </c>
      <c r="L469" s="3" t="n">
        <v>76248.06</v>
      </c>
      <c r="M469" s="3" t="n">
        <v>0.0417</v>
      </c>
      <c r="N469" s="3" t="n">
        <v>3179.54</v>
      </c>
      <c r="O469" s="3" t="n">
        <v>73068.52</v>
      </c>
      <c r="P469" s="3" t="n">
        <v>51848.68</v>
      </c>
      <c r="Q469" s="3" t="n">
        <v>21219.84</v>
      </c>
      <c r="R469" s="3" t="n">
        <v>0.2904</v>
      </c>
      <c r="S469" s="3" t="n">
        <v>0.0411</v>
      </c>
      <c r="T469" s="3" t="n">
        <v>0.0006</v>
      </c>
    </row>
    <row r="470" customFormat="false" ht="15" hidden="false" customHeight="true" outlineLevel="0" collapsed="false">
      <c r="A470" s="3" t="s">
        <v>918</v>
      </c>
      <c r="B470" s="3" t="s">
        <v>683</v>
      </c>
      <c r="C470" s="3" t="s">
        <v>60</v>
      </c>
      <c r="D470" s="3" t="s">
        <v>69</v>
      </c>
      <c r="E470" s="3" t="s">
        <v>39</v>
      </c>
      <c r="F470" s="3" t="s">
        <v>70</v>
      </c>
      <c r="G470" s="3" t="s">
        <v>84</v>
      </c>
      <c r="H470" s="3" t="s">
        <v>42</v>
      </c>
      <c r="I470" s="3" t="s">
        <v>134</v>
      </c>
      <c r="J470" s="3" t="n">
        <v>43</v>
      </c>
      <c r="K470" s="3" t="n">
        <v>1649.21</v>
      </c>
      <c r="L470" s="3" t="n">
        <v>70916.03</v>
      </c>
      <c r="M470" s="3" t="n">
        <v>0.0453</v>
      </c>
      <c r="N470" s="3" t="n">
        <v>3212.5</v>
      </c>
      <c r="O470" s="3" t="n">
        <v>67703.53</v>
      </c>
      <c r="P470" s="3" t="n">
        <v>39003.82</v>
      </c>
      <c r="Q470" s="3" t="n">
        <v>28699.71</v>
      </c>
      <c r="R470" s="3" t="n">
        <v>0.4239</v>
      </c>
      <c r="S470" s="3" t="n">
        <v>0.0439</v>
      </c>
      <c r="T470" s="3" t="n">
        <v>0.0014</v>
      </c>
    </row>
    <row r="471" customFormat="false" ht="15" hidden="false" customHeight="true" outlineLevel="0" collapsed="false">
      <c r="A471" s="3" t="s">
        <v>919</v>
      </c>
      <c r="B471" s="3" t="s">
        <v>170</v>
      </c>
      <c r="C471" s="3" t="s">
        <v>31</v>
      </c>
      <c r="D471" s="3" t="s">
        <v>103</v>
      </c>
      <c r="E471" s="3" t="s">
        <v>24</v>
      </c>
      <c r="F471" s="3" t="s">
        <v>62</v>
      </c>
      <c r="G471" s="3" t="s">
        <v>41</v>
      </c>
      <c r="H471" s="3" t="s">
        <v>42</v>
      </c>
      <c r="I471" s="3" t="s">
        <v>134</v>
      </c>
      <c r="J471" s="3" t="n">
        <v>16</v>
      </c>
      <c r="K471" s="3" t="n">
        <v>516.91</v>
      </c>
      <c r="L471" s="3" t="n">
        <v>8270.56</v>
      </c>
      <c r="M471" s="3" t="n">
        <v>0.1178</v>
      </c>
      <c r="N471" s="3" t="n">
        <v>974.27</v>
      </c>
      <c r="O471" s="3" t="n">
        <v>7296.29</v>
      </c>
      <c r="P471" s="3" t="n">
        <v>4548.81</v>
      </c>
      <c r="Q471" s="3" t="n">
        <v>2747.48</v>
      </c>
      <c r="R471" s="3" t="n">
        <v>0.3766</v>
      </c>
      <c r="S471" s="3" t="n">
        <v>0.104</v>
      </c>
      <c r="T471" s="3" t="n">
        <v>0.0138</v>
      </c>
    </row>
    <row r="472" customFormat="false" ht="15" hidden="false" customHeight="true" outlineLevel="0" collapsed="false">
      <c r="A472" s="3" t="s">
        <v>920</v>
      </c>
      <c r="B472" s="3" t="s">
        <v>921</v>
      </c>
      <c r="C472" s="3" t="s">
        <v>93</v>
      </c>
      <c r="D472" s="3" t="s">
        <v>103</v>
      </c>
      <c r="E472" s="3" t="s">
        <v>24</v>
      </c>
      <c r="F472" s="3" t="s">
        <v>62</v>
      </c>
      <c r="G472" s="3" t="s">
        <v>84</v>
      </c>
      <c r="H472" s="3" t="s">
        <v>64</v>
      </c>
      <c r="I472" s="3" t="s">
        <v>145</v>
      </c>
      <c r="J472" s="3" t="n">
        <v>23</v>
      </c>
      <c r="K472" s="3" t="n">
        <v>7165.64</v>
      </c>
      <c r="L472" s="3" t="n">
        <v>164809.72</v>
      </c>
      <c r="M472" s="3" t="n">
        <v>0.0687</v>
      </c>
      <c r="N472" s="3" t="n">
        <v>11322.43</v>
      </c>
      <c r="O472" s="3" t="n">
        <v>153487.29</v>
      </c>
      <c r="P472" s="3" t="n">
        <v>95589.64</v>
      </c>
      <c r="Q472" s="3" t="n">
        <v>57897.65</v>
      </c>
      <c r="R472" s="3" t="n">
        <v>0.3772</v>
      </c>
      <c r="S472" s="3" t="n">
        <v>0.0664</v>
      </c>
      <c r="T472" s="3" t="n">
        <v>0.0023</v>
      </c>
    </row>
    <row r="473" customFormat="false" ht="15" hidden="false" customHeight="true" outlineLevel="0" collapsed="false">
      <c r="A473" s="3" t="s">
        <v>922</v>
      </c>
      <c r="B473" s="3" t="s">
        <v>923</v>
      </c>
      <c r="C473" s="3" t="s">
        <v>22</v>
      </c>
      <c r="D473" s="3" t="s">
        <v>75</v>
      </c>
      <c r="E473" s="3" t="s">
        <v>39</v>
      </c>
      <c r="F473" s="3" t="s">
        <v>25</v>
      </c>
      <c r="G473" s="3" t="s">
        <v>76</v>
      </c>
      <c r="H473" s="3" t="s">
        <v>56</v>
      </c>
      <c r="I473" s="3" t="s">
        <v>188</v>
      </c>
      <c r="J473" s="3" t="n">
        <v>9</v>
      </c>
      <c r="K473" s="3" t="n">
        <v>15739.42</v>
      </c>
      <c r="L473" s="3" t="n">
        <v>141654.78</v>
      </c>
      <c r="M473" s="3" t="n">
        <v>0.1303</v>
      </c>
      <c r="N473" s="3" t="n">
        <v>18457.62</v>
      </c>
      <c r="O473" s="3" t="n">
        <v>123197.16</v>
      </c>
      <c r="P473" s="3" t="n">
        <v>84992.87</v>
      </c>
      <c r="Q473" s="3" t="n">
        <v>38204.29</v>
      </c>
      <c r="R473" s="3" t="n">
        <v>0.3101</v>
      </c>
      <c r="S473" s="3" t="n">
        <v>0.1327</v>
      </c>
      <c r="T473" s="3" t="n">
        <v>-0.0024</v>
      </c>
    </row>
    <row r="474" customFormat="false" ht="15" hidden="false" customHeight="true" outlineLevel="0" collapsed="false">
      <c r="A474" s="3" t="s">
        <v>924</v>
      </c>
      <c r="B474" s="3" t="s">
        <v>440</v>
      </c>
      <c r="C474" s="3" t="s">
        <v>53</v>
      </c>
      <c r="D474" s="3" t="s">
        <v>32</v>
      </c>
      <c r="E474" s="3" t="s">
        <v>33</v>
      </c>
      <c r="F474" s="3" t="s">
        <v>25</v>
      </c>
      <c r="G474" s="3" t="s">
        <v>104</v>
      </c>
      <c r="H474" s="3" t="s">
        <v>56</v>
      </c>
      <c r="I474" s="3" t="s">
        <v>121</v>
      </c>
      <c r="J474" s="3" t="n">
        <v>38</v>
      </c>
      <c r="K474" s="3" t="n">
        <v>15002.28</v>
      </c>
      <c r="L474" s="3" t="n">
        <v>570086.64</v>
      </c>
      <c r="M474" s="3" t="n">
        <v>0.1937</v>
      </c>
      <c r="N474" s="3" t="n">
        <v>110425.78</v>
      </c>
      <c r="O474" s="3" t="n">
        <v>459660.86</v>
      </c>
      <c r="P474" s="3" t="n">
        <v>342051.98</v>
      </c>
      <c r="Q474" s="3" t="n">
        <v>117608.88</v>
      </c>
      <c r="R474" s="3" t="n">
        <v>0.2559</v>
      </c>
      <c r="S474" s="3" t="n">
        <v>0.1866</v>
      </c>
      <c r="T474" s="3" t="n">
        <v>0.0071</v>
      </c>
    </row>
    <row r="475" customFormat="false" ht="15" hidden="false" customHeight="true" outlineLevel="0" collapsed="false">
      <c r="A475" s="3" t="s">
        <v>925</v>
      </c>
      <c r="B475" s="3" t="s">
        <v>926</v>
      </c>
      <c r="C475" s="3" t="s">
        <v>126</v>
      </c>
      <c r="D475" s="3" t="s">
        <v>107</v>
      </c>
      <c r="E475" s="3" t="s">
        <v>33</v>
      </c>
      <c r="F475" s="3" t="s">
        <v>70</v>
      </c>
      <c r="G475" s="3" t="s">
        <v>41</v>
      </c>
      <c r="H475" s="3" t="s">
        <v>77</v>
      </c>
      <c r="I475" s="3" t="s">
        <v>85</v>
      </c>
      <c r="J475" s="3" t="n">
        <v>15</v>
      </c>
      <c r="K475" s="3" t="n">
        <v>2955.93</v>
      </c>
      <c r="L475" s="3" t="n">
        <v>44338.95</v>
      </c>
      <c r="M475" s="3" t="n">
        <v>0.1182</v>
      </c>
      <c r="N475" s="3" t="n">
        <v>5240.86</v>
      </c>
      <c r="O475" s="3" t="n">
        <v>39098.09</v>
      </c>
      <c r="P475" s="3" t="n">
        <v>30150.49</v>
      </c>
      <c r="Q475" s="3" t="n">
        <v>8947.6</v>
      </c>
      <c r="R475" s="3" t="n">
        <v>0.2289</v>
      </c>
      <c r="S475" s="3" t="n">
        <v>0.0993</v>
      </c>
      <c r="T475" s="3" t="n">
        <v>0.0189</v>
      </c>
    </row>
    <row r="476" customFormat="false" ht="15" hidden="false" customHeight="true" outlineLevel="0" collapsed="false">
      <c r="A476" s="3" t="s">
        <v>927</v>
      </c>
      <c r="B476" s="3" t="s">
        <v>396</v>
      </c>
      <c r="C476" s="3" t="s">
        <v>60</v>
      </c>
      <c r="D476" s="3" t="s">
        <v>107</v>
      </c>
      <c r="E476" s="3" t="s">
        <v>33</v>
      </c>
      <c r="F476" s="3" t="s">
        <v>70</v>
      </c>
      <c r="G476" s="3" t="s">
        <v>63</v>
      </c>
      <c r="H476" s="3" t="s">
        <v>56</v>
      </c>
      <c r="I476" s="3" t="s">
        <v>188</v>
      </c>
      <c r="J476" s="3" t="n">
        <v>1</v>
      </c>
      <c r="K476" s="3" t="n">
        <v>7821.85</v>
      </c>
      <c r="L476" s="3" t="n">
        <v>7821.85</v>
      </c>
      <c r="M476" s="3" t="n">
        <v>0.0631</v>
      </c>
      <c r="N476" s="3" t="n">
        <v>493.56</v>
      </c>
      <c r="O476" s="3" t="n">
        <v>7328.29</v>
      </c>
      <c r="P476" s="3" t="n">
        <v>4693.11</v>
      </c>
      <c r="Q476" s="3" t="n">
        <v>2635.18</v>
      </c>
      <c r="R476" s="3" t="n">
        <v>0.3596</v>
      </c>
      <c r="S476" s="3" t="n">
        <v>0.0648</v>
      </c>
      <c r="T476" s="3" t="n">
        <v>-0.0017</v>
      </c>
    </row>
    <row r="477" customFormat="false" ht="15" hidden="false" customHeight="true" outlineLevel="0" collapsed="false">
      <c r="A477" s="3" t="s">
        <v>928</v>
      </c>
      <c r="B477" s="3" t="s">
        <v>929</v>
      </c>
      <c r="C477" s="3" t="s">
        <v>93</v>
      </c>
      <c r="D477" s="3" t="s">
        <v>75</v>
      </c>
      <c r="E477" s="3" t="s">
        <v>39</v>
      </c>
      <c r="F477" s="3" t="s">
        <v>25</v>
      </c>
      <c r="G477" s="3" t="s">
        <v>41</v>
      </c>
      <c r="H477" s="3" t="s">
        <v>77</v>
      </c>
      <c r="I477" s="3" t="s">
        <v>131</v>
      </c>
      <c r="J477" s="3" t="n">
        <v>37</v>
      </c>
      <c r="K477" s="3" t="n">
        <v>3918.51</v>
      </c>
      <c r="L477" s="3" t="n">
        <v>144984.87</v>
      </c>
      <c r="M477" s="3" t="n">
        <v>0.2298</v>
      </c>
      <c r="N477" s="3" t="n">
        <v>33317.52</v>
      </c>
      <c r="O477" s="3" t="n">
        <v>111667.35</v>
      </c>
      <c r="P477" s="3" t="n">
        <v>98589.71</v>
      </c>
      <c r="Q477" s="3" t="n">
        <v>13077.64</v>
      </c>
      <c r="R477" s="3" t="n">
        <v>0.1171</v>
      </c>
      <c r="S477" s="3" t="n">
        <v>0.2486</v>
      </c>
      <c r="T477" s="3" t="n">
        <v>-0.0188</v>
      </c>
    </row>
    <row r="478" customFormat="false" ht="15" hidden="false" customHeight="true" outlineLevel="0" collapsed="false">
      <c r="A478" s="3" t="s">
        <v>930</v>
      </c>
      <c r="B478" s="3" t="s">
        <v>931</v>
      </c>
      <c r="C478" s="3" t="s">
        <v>46</v>
      </c>
      <c r="D478" s="3" t="s">
        <v>32</v>
      </c>
      <c r="E478" s="3" t="s">
        <v>33</v>
      </c>
      <c r="F478" s="3" t="s">
        <v>25</v>
      </c>
      <c r="G478" s="3" t="s">
        <v>34</v>
      </c>
      <c r="H478" s="3" t="s">
        <v>64</v>
      </c>
      <c r="I478" s="3" t="s">
        <v>90</v>
      </c>
      <c r="J478" s="3" t="n">
        <v>24</v>
      </c>
      <c r="K478" s="3" t="n">
        <v>3565.75</v>
      </c>
      <c r="L478" s="3" t="n">
        <v>85578</v>
      </c>
      <c r="M478" s="3" t="n">
        <v>0.1759</v>
      </c>
      <c r="N478" s="3" t="n">
        <v>15053.17</v>
      </c>
      <c r="O478" s="3" t="n">
        <v>70524.83</v>
      </c>
      <c r="P478" s="3" t="n">
        <v>49635.24</v>
      </c>
      <c r="Q478" s="3" t="n">
        <v>20889.59</v>
      </c>
      <c r="R478" s="3" t="n">
        <v>0.2962</v>
      </c>
      <c r="S478" s="3" t="n">
        <v>0.1612</v>
      </c>
      <c r="T478" s="3" t="n">
        <v>0.0147</v>
      </c>
    </row>
    <row r="479" customFormat="false" ht="15" hidden="false" customHeight="true" outlineLevel="0" collapsed="false">
      <c r="A479" s="3" t="s">
        <v>932</v>
      </c>
      <c r="B479" s="3" t="s">
        <v>933</v>
      </c>
      <c r="C479" s="3" t="s">
        <v>126</v>
      </c>
      <c r="D479" s="3" t="s">
        <v>83</v>
      </c>
      <c r="E479" s="3" t="s">
        <v>48</v>
      </c>
      <c r="F479" s="3" t="s">
        <v>62</v>
      </c>
      <c r="G479" s="3" t="s">
        <v>71</v>
      </c>
      <c r="H479" s="3" t="s">
        <v>27</v>
      </c>
      <c r="I479" s="3" t="s">
        <v>28</v>
      </c>
      <c r="J479" s="3" t="n">
        <v>46</v>
      </c>
      <c r="K479" s="3" t="n">
        <v>18370.28</v>
      </c>
      <c r="L479" s="3" t="n">
        <v>845032.88</v>
      </c>
      <c r="M479" s="3" t="n">
        <v>0.0784</v>
      </c>
      <c r="N479" s="3" t="n">
        <v>66250.58</v>
      </c>
      <c r="O479" s="3" t="n">
        <v>778782.3</v>
      </c>
      <c r="P479" s="3" t="n">
        <v>523920.39</v>
      </c>
      <c r="Q479" s="3" t="n">
        <v>254861.91</v>
      </c>
      <c r="R479" s="3" t="n">
        <v>0.3273</v>
      </c>
      <c r="S479" s="3" t="n">
        <v>0.0824</v>
      </c>
      <c r="T479" s="3" t="n">
        <v>-0.004</v>
      </c>
    </row>
    <row r="480" customFormat="false" ht="15" hidden="false" customHeight="true" outlineLevel="0" collapsed="false">
      <c r="A480" s="3" t="s">
        <v>934</v>
      </c>
      <c r="B480" s="3" t="s">
        <v>697</v>
      </c>
      <c r="C480" s="3" t="s">
        <v>22</v>
      </c>
      <c r="D480" s="3" t="s">
        <v>54</v>
      </c>
      <c r="E480" s="3" t="s">
        <v>24</v>
      </c>
      <c r="F480" s="3" t="s">
        <v>40</v>
      </c>
      <c r="G480" s="3" t="s">
        <v>55</v>
      </c>
      <c r="H480" s="3" t="s">
        <v>56</v>
      </c>
      <c r="I480" s="3" t="s">
        <v>121</v>
      </c>
      <c r="J480" s="3" t="n">
        <v>42</v>
      </c>
      <c r="K480" s="3" t="n">
        <v>4781.6</v>
      </c>
      <c r="L480" s="3" t="n">
        <v>200827.2</v>
      </c>
      <c r="M480" s="3" t="n">
        <v>0.0489</v>
      </c>
      <c r="N480" s="3" t="n">
        <v>9820.45</v>
      </c>
      <c r="O480" s="3" t="n">
        <v>191006.75</v>
      </c>
      <c r="P480" s="3" t="n">
        <v>120496.32</v>
      </c>
      <c r="Q480" s="3" t="n">
        <v>70510.43</v>
      </c>
      <c r="R480" s="3" t="n">
        <v>0.3692</v>
      </c>
      <c r="S480" s="3" t="n">
        <v>0.0467</v>
      </c>
      <c r="T480" s="3" t="n">
        <v>0.0022</v>
      </c>
    </row>
    <row r="481" customFormat="false" ht="15" hidden="false" customHeight="true" outlineLevel="0" collapsed="false">
      <c r="A481" s="3" t="s">
        <v>935</v>
      </c>
      <c r="B481" s="3" t="s">
        <v>936</v>
      </c>
      <c r="C481" s="3" t="s">
        <v>156</v>
      </c>
      <c r="D481" s="3" t="s">
        <v>47</v>
      </c>
      <c r="E481" s="3" t="s">
        <v>48</v>
      </c>
      <c r="F481" s="3" t="s">
        <v>25</v>
      </c>
      <c r="G481" s="3" t="s">
        <v>49</v>
      </c>
      <c r="H481" s="3" t="s">
        <v>64</v>
      </c>
      <c r="I481" s="3" t="s">
        <v>90</v>
      </c>
      <c r="J481" s="3" t="n">
        <v>23</v>
      </c>
      <c r="K481" s="3" t="n">
        <v>10355.13</v>
      </c>
      <c r="L481" s="3" t="n">
        <v>238167.99</v>
      </c>
      <c r="M481" s="3" t="n">
        <v>0.1329</v>
      </c>
      <c r="N481" s="3" t="n">
        <v>31652.53</v>
      </c>
      <c r="O481" s="3" t="n">
        <v>206515.46</v>
      </c>
      <c r="P481" s="3" t="n">
        <v>138137.43</v>
      </c>
      <c r="Q481" s="3" t="n">
        <v>68378.03</v>
      </c>
      <c r="R481" s="3" t="n">
        <v>0.3311</v>
      </c>
      <c r="S481" s="3" t="n">
        <v>0.1263</v>
      </c>
      <c r="T481" s="3" t="n">
        <v>0.0066</v>
      </c>
    </row>
    <row r="482" customFormat="false" ht="15" hidden="false" customHeight="true" outlineLevel="0" collapsed="false">
      <c r="A482" s="3" t="s">
        <v>937</v>
      </c>
      <c r="B482" s="3" t="s">
        <v>525</v>
      </c>
      <c r="C482" s="3" t="s">
        <v>120</v>
      </c>
      <c r="D482" s="3" t="s">
        <v>75</v>
      </c>
      <c r="E482" s="3" t="s">
        <v>39</v>
      </c>
      <c r="F482" s="3" t="s">
        <v>25</v>
      </c>
      <c r="G482" s="3" t="s">
        <v>34</v>
      </c>
      <c r="H482" s="3" t="s">
        <v>77</v>
      </c>
      <c r="I482" s="3" t="s">
        <v>131</v>
      </c>
      <c r="J482" s="3" t="n">
        <v>42</v>
      </c>
      <c r="K482" s="3" t="n">
        <v>1570.02</v>
      </c>
      <c r="L482" s="3" t="n">
        <v>65940.84</v>
      </c>
      <c r="M482" s="3" t="n">
        <v>0.1224</v>
      </c>
      <c r="N482" s="3" t="n">
        <v>8071.16</v>
      </c>
      <c r="O482" s="3" t="n">
        <v>57869.68</v>
      </c>
      <c r="P482" s="3" t="n">
        <v>44839.77</v>
      </c>
      <c r="Q482" s="3" t="n">
        <v>13029.91</v>
      </c>
      <c r="R482" s="3" t="n">
        <v>0.2252</v>
      </c>
      <c r="S482" s="3" t="n">
        <v>0.1222</v>
      </c>
      <c r="T482" s="3" t="n">
        <v>0.0002</v>
      </c>
    </row>
    <row r="483" customFormat="false" ht="15" hidden="false" customHeight="true" outlineLevel="0" collapsed="false">
      <c r="A483" s="3" t="s">
        <v>938</v>
      </c>
      <c r="B483" s="3" t="s">
        <v>939</v>
      </c>
      <c r="C483" s="3" t="s">
        <v>31</v>
      </c>
      <c r="D483" s="3" t="s">
        <v>47</v>
      </c>
      <c r="E483" s="3" t="s">
        <v>48</v>
      </c>
      <c r="F483" s="3" t="s">
        <v>25</v>
      </c>
      <c r="G483" s="3" t="s">
        <v>116</v>
      </c>
      <c r="H483" s="3" t="s">
        <v>42</v>
      </c>
      <c r="I483" s="3" t="s">
        <v>72</v>
      </c>
      <c r="J483" s="3" t="n">
        <v>31</v>
      </c>
      <c r="K483" s="3" t="n">
        <v>2185.31</v>
      </c>
      <c r="L483" s="3" t="n">
        <v>67744.61</v>
      </c>
      <c r="M483" s="3" t="n">
        <v>0.1871</v>
      </c>
      <c r="N483" s="3" t="n">
        <v>12675.02</v>
      </c>
      <c r="O483" s="3" t="n">
        <v>55069.59</v>
      </c>
      <c r="P483" s="3" t="n">
        <v>37259.54</v>
      </c>
      <c r="Q483" s="3" t="n">
        <v>17810.05</v>
      </c>
      <c r="R483" s="3" t="n">
        <v>0.3234</v>
      </c>
      <c r="S483" s="3" t="n">
        <v>0.1509</v>
      </c>
      <c r="T483" s="3" t="n">
        <v>0.0362</v>
      </c>
    </row>
    <row r="484" customFormat="false" ht="15" hidden="false" customHeight="true" outlineLevel="0" collapsed="false">
      <c r="A484" s="3" t="s">
        <v>940</v>
      </c>
      <c r="B484" s="3" t="s">
        <v>295</v>
      </c>
      <c r="C484" s="3" t="s">
        <v>113</v>
      </c>
      <c r="D484" s="3" t="s">
        <v>32</v>
      </c>
      <c r="E484" s="3" t="s">
        <v>33</v>
      </c>
      <c r="F484" s="3" t="s">
        <v>25</v>
      </c>
      <c r="G484" s="3" t="s">
        <v>41</v>
      </c>
      <c r="H484" s="3" t="s">
        <v>64</v>
      </c>
      <c r="I484" s="3" t="s">
        <v>108</v>
      </c>
      <c r="J484" s="3" t="n">
        <v>3</v>
      </c>
      <c r="K484" s="3" t="n">
        <v>8665.86</v>
      </c>
      <c r="L484" s="3" t="n">
        <v>25997.58</v>
      </c>
      <c r="M484" s="3" t="n">
        <v>0.1529</v>
      </c>
      <c r="N484" s="3" t="n">
        <v>3975.03</v>
      </c>
      <c r="O484" s="3" t="n">
        <v>22022.55</v>
      </c>
      <c r="P484" s="3" t="n">
        <v>15078.6</v>
      </c>
      <c r="Q484" s="3" t="n">
        <v>6943.95</v>
      </c>
      <c r="R484" s="3" t="n">
        <v>0.3153</v>
      </c>
      <c r="S484" s="3" t="n">
        <v>0.1461</v>
      </c>
      <c r="T484" s="3" t="n">
        <v>0.0068</v>
      </c>
    </row>
    <row r="485" customFormat="false" ht="15" hidden="false" customHeight="true" outlineLevel="0" collapsed="false">
      <c r="A485" s="3" t="s">
        <v>941</v>
      </c>
      <c r="B485" s="3" t="s">
        <v>942</v>
      </c>
      <c r="C485" s="3" t="s">
        <v>22</v>
      </c>
      <c r="D485" s="3" t="s">
        <v>47</v>
      </c>
      <c r="E485" s="3" t="s">
        <v>48</v>
      </c>
      <c r="F485" s="3" t="s">
        <v>25</v>
      </c>
      <c r="G485" s="3" t="s">
        <v>71</v>
      </c>
      <c r="H485" s="3" t="s">
        <v>56</v>
      </c>
      <c r="I485" s="3" t="s">
        <v>121</v>
      </c>
      <c r="J485" s="3" t="n">
        <v>47</v>
      </c>
      <c r="K485" s="3" t="n">
        <v>2297.92</v>
      </c>
      <c r="L485" s="3" t="n">
        <v>108002.24</v>
      </c>
      <c r="M485" s="3" t="n">
        <v>0.1721</v>
      </c>
      <c r="N485" s="3" t="n">
        <v>18587.19</v>
      </c>
      <c r="O485" s="3" t="n">
        <v>89415.05</v>
      </c>
      <c r="P485" s="3" t="n">
        <v>64801.34</v>
      </c>
      <c r="Q485" s="3" t="n">
        <v>24613.71</v>
      </c>
      <c r="R485" s="3" t="n">
        <v>0.2753</v>
      </c>
      <c r="S485" s="3" t="n">
        <v>0.1489</v>
      </c>
      <c r="T485" s="3" t="n">
        <v>0.0232</v>
      </c>
    </row>
    <row r="486" customFormat="false" ht="15" hidden="false" customHeight="true" outlineLevel="0" collapsed="false">
      <c r="A486" s="3" t="s">
        <v>943</v>
      </c>
      <c r="B486" s="3" t="s">
        <v>944</v>
      </c>
      <c r="C486" s="3" t="s">
        <v>113</v>
      </c>
      <c r="D486" s="3" t="s">
        <v>38</v>
      </c>
      <c r="E486" s="3" t="s">
        <v>39</v>
      </c>
      <c r="F486" s="3" t="s">
        <v>40</v>
      </c>
      <c r="G486" s="3" t="s">
        <v>41</v>
      </c>
      <c r="H486" s="3" t="s">
        <v>77</v>
      </c>
      <c r="I486" s="3" t="s">
        <v>78</v>
      </c>
      <c r="J486" s="3" t="n">
        <v>27</v>
      </c>
      <c r="K486" s="3" t="n">
        <v>2252.95</v>
      </c>
      <c r="L486" s="3" t="n">
        <v>60829.65</v>
      </c>
      <c r="M486" s="3" t="n">
        <v>0.1118</v>
      </c>
      <c r="N486" s="3" t="n">
        <v>6800.75</v>
      </c>
      <c r="O486" s="3" t="n">
        <v>54028.9</v>
      </c>
      <c r="P486" s="3" t="n">
        <v>41364.16</v>
      </c>
      <c r="Q486" s="3" t="n">
        <v>12664.74</v>
      </c>
      <c r="R486" s="3" t="n">
        <v>0.2344</v>
      </c>
      <c r="S486" s="3" t="n">
        <v>0.1104</v>
      </c>
      <c r="T486" s="3" t="n">
        <v>0.0014</v>
      </c>
    </row>
    <row r="487" customFormat="false" ht="15" hidden="false" customHeight="true" outlineLevel="0" collapsed="false">
      <c r="A487" s="3" t="s">
        <v>945</v>
      </c>
      <c r="B487" s="3" t="s">
        <v>946</v>
      </c>
      <c r="C487" s="3" t="s">
        <v>22</v>
      </c>
      <c r="D487" s="3" t="s">
        <v>107</v>
      </c>
      <c r="E487" s="3" t="s">
        <v>33</v>
      </c>
      <c r="F487" s="3" t="s">
        <v>70</v>
      </c>
      <c r="G487" s="3" t="s">
        <v>26</v>
      </c>
      <c r="H487" s="3" t="s">
        <v>42</v>
      </c>
      <c r="I487" s="3" t="s">
        <v>43</v>
      </c>
      <c r="J487" s="3" t="n">
        <v>30</v>
      </c>
      <c r="K487" s="3" t="n">
        <v>2899.57</v>
      </c>
      <c r="L487" s="3" t="n">
        <v>86987.1</v>
      </c>
      <c r="M487" s="3" t="n">
        <v>0.0598</v>
      </c>
      <c r="N487" s="3" t="n">
        <v>5201.83</v>
      </c>
      <c r="O487" s="3" t="n">
        <v>81785.27</v>
      </c>
      <c r="P487" s="3" t="n">
        <v>47842.91</v>
      </c>
      <c r="Q487" s="3" t="n">
        <v>33942.36</v>
      </c>
      <c r="R487" s="3" t="n">
        <v>0.415</v>
      </c>
      <c r="S487" s="3" t="n">
        <v>0.052</v>
      </c>
      <c r="T487" s="3" t="n">
        <v>0.0078</v>
      </c>
    </row>
    <row r="488" customFormat="false" ht="15" hidden="false" customHeight="true" outlineLevel="0" collapsed="false">
      <c r="A488" s="3" t="s">
        <v>947</v>
      </c>
      <c r="B488" s="3" t="s">
        <v>948</v>
      </c>
      <c r="C488" s="3" t="s">
        <v>60</v>
      </c>
      <c r="D488" s="3" t="s">
        <v>47</v>
      </c>
      <c r="E488" s="3" t="s">
        <v>48</v>
      </c>
      <c r="F488" s="3" t="s">
        <v>25</v>
      </c>
      <c r="G488" s="3" t="s">
        <v>104</v>
      </c>
      <c r="H488" s="3" t="s">
        <v>64</v>
      </c>
      <c r="I488" s="3" t="s">
        <v>65</v>
      </c>
      <c r="J488" s="3" t="n">
        <v>33</v>
      </c>
      <c r="K488" s="3" t="n">
        <v>4821.14</v>
      </c>
      <c r="L488" s="3" t="n">
        <v>159097.62</v>
      </c>
      <c r="M488" s="3" t="n">
        <v>0.2146</v>
      </c>
      <c r="N488" s="3" t="n">
        <v>34142.35</v>
      </c>
      <c r="O488" s="3" t="n">
        <v>124955.27</v>
      </c>
      <c r="P488" s="3" t="n">
        <v>92276.62</v>
      </c>
      <c r="Q488" s="3" t="n">
        <v>32678.65</v>
      </c>
      <c r="R488" s="3" t="n">
        <v>0.2615</v>
      </c>
      <c r="S488" s="3" t="n">
        <v>0.2023</v>
      </c>
      <c r="T488" s="3" t="n">
        <v>0.0123</v>
      </c>
    </row>
    <row r="489" customFormat="false" ht="15" hidden="false" customHeight="true" outlineLevel="0" collapsed="false">
      <c r="A489" s="3" t="s">
        <v>949</v>
      </c>
      <c r="B489" s="3" t="s">
        <v>950</v>
      </c>
      <c r="C489" s="3" t="s">
        <v>120</v>
      </c>
      <c r="D489" s="3" t="s">
        <v>38</v>
      </c>
      <c r="E489" s="3" t="s">
        <v>39</v>
      </c>
      <c r="F489" s="3" t="s">
        <v>40</v>
      </c>
      <c r="G489" s="3" t="s">
        <v>100</v>
      </c>
      <c r="H489" s="3" t="s">
        <v>56</v>
      </c>
      <c r="I489" s="3" t="s">
        <v>188</v>
      </c>
      <c r="J489" s="3" t="n">
        <v>8</v>
      </c>
      <c r="K489" s="3" t="n">
        <v>10053.27</v>
      </c>
      <c r="L489" s="3" t="n">
        <v>80426.16</v>
      </c>
      <c r="M489" s="3" t="n">
        <v>0.0347</v>
      </c>
      <c r="N489" s="3" t="n">
        <v>2790.79</v>
      </c>
      <c r="O489" s="3" t="n">
        <v>77635.37</v>
      </c>
      <c r="P489" s="3" t="n">
        <v>48255.7</v>
      </c>
      <c r="Q489" s="3" t="n">
        <v>29379.67</v>
      </c>
      <c r="R489" s="3" t="n">
        <v>0.3784</v>
      </c>
      <c r="S489" s="3" t="n">
        <v>0.0371</v>
      </c>
      <c r="T489" s="3" t="n">
        <v>-0.0024</v>
      </c>
    </row>
    <row r="490" customFormat="false" ht="15" hidden="false" customHeight="true" outlineLevel="0" collapsed="false">
      <c r="A490" s="3" t="s">
        <v>951</v>
      </c>
      <c r="B490" s="3" t="s">
        <v>952</v>
      </c>
      <c r="C490" s="3" t="s">
        <v>31</v>
      </c>
      <c r="D490" s="3" t="s">
        <v>107</v>
      </c>
      <c r="E490" s="3" t="s">
        <v>33</v>
      </c>
      <c r="F490" s="3" t="s">
        <v>70</v>
      </c>
      <c r="G490" s="3" t="s">
        <v>100</v>
      </c>
      <c r="H490" s="3" t="s">
        <v>27</v>
      </c>
      <c r="I490" s="3" t="s">
        <v>173</v>
      </c>
      <c r="J490" s="3" t="n">
        <v>3</v>
      </c>
      <c r="K490" s="3" t="n">
        <v>21461.89</v>
      </c>
      <c r="L490" s="3" t="n">
        <v>64385.67</v>
      </c>
      <c r="M490" s="3" t="n">
        <v>0.0649</v>
      </c>
      <c r="N490" s="3" t="n">
        <v>4178.63</v>
      </c>
      <c r="O490" s="3" t="n">
        <v>60207.04</v>
      </c>
      <c r="P490" s="3" t="n">
        <v>39919.12</v>
      </c>
      <c r="Q490" s="3" t="n">
        <v>20287.92</v>
      </c>
      <c r="R490" s="3" t="n">
        <v>0.337</v>
      </c>
      <c r="S490" s="3" t="n">
        <v>0.0564</v>
      </c>
      <c r="T490" s="3" t="n">
        <v>0.0085</v>
      </c>
    </row>
    <row r="491" customFormat="false" ht="15" hidden="false" customHeight="true" outlineLevel="0" collapsed="false">
      <c r="A491" s="3" t="s">
        <v>953</v>
      </c>
      <c r="B491" s="3" t="s">
        <v>954</v>
      </c>
      <c r="C491" s="3" t="s">
        <v>120</v>
      </c>
      <c r="D491" s="3" t="s">
        <v>83</v>
      </c>
      <c r="E491" s="3" t="s">
        <v>48</v>
      </c>
      <c r="F491" s="3" t="s">
        <v>62</v>
      </c>
      <c r="G491" s="3" t="s">
        <v>55</v>
      </c>
      <c r="H491" s="3" t="s">
        <v>77</v>
      </c>
      <c r="I491" s="3" t="s">
        <v>78</v>
      </c>
      <c r="J491" s="3" t="n">
        <v>49</v>
      </c>
      <c r="K491" s="3" t="n">
        <v>5062.18</v>
      </c>
      <c r="L491" s="3" t="n">
        <v>248046.82</v>
      </c>
      <c r="M491" s="3" t="n">
        <v>0.0719</v>
      </c>
      <c r="N491" s="3" t="n">
        <v>17834.57</v>
      </c>
      <c r="O491" s="3" t="n">
        <v>230212.25</v>
      </c>
      <c r="P491" s="3" t="n">
        <v>168671.84</v>
      </c>
      <c r="Q491" s="3" t="n">
        <v>61540.41</v>
      </c>
      <c r="R491" s="3" t="n">
        <v>0.2673</v>
      </c>
      <c r="S491" s="3" t="n">
        <v>0.0667</v>
      </c>
      <c r="T491" s="3" t="n">
        <v>0.0052</v>
      </c>
    </row>
    <row r="492" customFormat="false" ht="15" hidden="false" customHeight="true" outlineLevel="0" collapsed="false">
      <c r="A492" s="3" t="s">
        <v>955</v>
      </c>
      <c r="B492" s="3" t="s">
        <v>956</v>
      </c>
      <c r="C492" s="3" t="s">
        <v>156</v>
      </c>
      <c r="D492" s="3" t="s">
        <v>54</v>
      </c>
      <c r="E492" s="3" t="s">
        <v>24</v>
      </c>
      <c r="F492" s="3" t="s">
        <v>40</v>
      </c>
      <c r="G492" s="3" t="s">
        <v>116</v>
      </c>
      <c r="H492" s="3" t="s">
        <v>77</v>
      </c>
      <c r="I492" s="3" t="s">
        <v>131</v>
      </c>
      <c r="J492" s="3" t="n">
        <v>35</v>
      </c>
      <c r="K492" s="3" t="n">
        <v>2559.68</v>
      </c>
      <c r="L492" s="3" t="n">
        <v>89588.8</v>
      </c>
      <c r="M492" s="3" t="n">
        <v>0.078</v>
      </c>
      <c r="N492" s="3" t="n">
        <v>6987.93</v>
      </c>
      <c r="O492" s="3" t="n">
        <v>82600.87</v>
      </c>
      <c r="P492" s="3" t="n">
        <v>60920.38</v>
      </c>
      <c r="Q492" s="3" t="n">
        <v>21680.49</v>
      </c>
      <c r="R492" s="3" t="n">
        <v>0.2625</v>
      </c>
      <c r="S492" s="3" t="n">
        <v>0.0759</v>
      </c>
      <c r="T492" s="3" t="n">
        <v>0.0021</v>
      </c>
    </row>
    <row r="493" customFormat="false" ht="15" hidden="false" customHeight="true" outlineLevel="0" collapsed="false">
      <c r="A493" s="3" t="s">
        <v>957</v>
      </c>
      <c r="B493" s="3" t="s">
        <v>958</v>
      </c>
      <c r="C493" s="3" t="s">
        <v>31</v>
      </c>
      <c r="D493" s="3" t="s">
        <v>61</v>
      </c>
      <c r="E493" s="3" t="s">
        <v>33</v>
      </c>
      <c r="F493" s="3" t="s">
        <v>62</v>
      </c>
      <c r="G493" s="3" t="s">
        <v>63</v>
      </c>
      <c r="H493" s="3" t="s">
        <v>56</v>
      </c>
      <c r="I493" s="3" t="s">
        <v>188</v>
      </c>
      <c r="J493" s="3" t="n">
        <v>45</v>
      </c>
      <c r="K493" s="3" t="n">
        <v>12472.74</v>
      </c>
      <c r="L493" s="3" t="n">
        <v>561273.3</v>
      </c>
      <c r="M493" s="3" t="n">
        <v>0.0702</v>
      </c>
      <c r="N493" s="3" t="n">
        <v>39401.39</v>
      </c>
      <c r="O493" s="3" t="n">
        <v>521871.91</v>
      </c>
      <c r="P493" s="3" t="n">
        <v>336763.98</v>
      </c>
      <c r="Q493" s="3" t="n">
        <v>185107.93</v>
      </c>
      <c r="R493" s="3" t="n">
        <v>0.3547</v>
      </c>
      <c r="S493" s="3" t="n">
        <v>0.0638</v>
      </c>
      <c r="T493" s="3" t="n">
        <v>0.0064</v>
      </c>
    </row>
    <row r="494" customFormat="false" ht="15" hidden="false" customHeight="true" outlineLevel="0" collapsed="false">
      <c r="A494" s="3" t="s">
        <v>959</v>
      </c>
      <c r="B494" s="3" t="s">
        <v>960</v>
      </c>
      <c r="C494" s="3" t="s">
        <v>126</v>
      </c>
      <c r="D494" s="3" t="s">
        <v>75</v>
      </c>
      <c r="E494" s="3" t="s">
        <v>39</v>
      </c>
      <c r="F494" s="3" t="s">
        <v>25</v>
      </c>
      <c r="G494" s="3" t="s">
        <v>55</v>
      </c>
      <c r="H494" s="3" t="s">
        <v>77</v>
      </c>
      <c r="I494" s="3" t="s">
        <v>85</v>
      </c>
      <c r="J494" s="3" t="n">
        <v>35</v>
      </c>
      <c r="K494" s="3" t="n">
        <v>2417.44</v>
      </c>
      <c r="L494" s="3" t="n">
        <v>84610.4</v>
      </c>
      <c r="M494" s="3" t="n">
        <v>0.1204</v>
      </c>
      <c r="N494" s="3" t="n">
        <v>10187.09</v>
      </c>
      <c r="O494" s="3" t="n">
        <v>74423.31</v>
      </c>
      <c r="P494" s="3" t="n">
        <v>57535.07</v>
      </c>
      <c r="Q494" s="3" t="n">
        <v>16888.24</v>
      </c>
      <c r="R494" s="3" t="n">
        <v>0.2269</v>
      </c>
      <c r="S494" s="3" t="n">
        <v>0.1322</v>
      </c>
      <c r="T494" s="3" t="n">
        <v>-0.0118</v>
      </c>
    </row>
    <row r="495" customFormat="false" ht="15" hidden="false" customHeight="true" outlineLevel="0" collapsed="false">
      <c r="A495" s="3" t="s">
        <v>961</v>
      </c>
      <c r="B495" s="3" t="s">
        <v>929</v>
      </c>
      <c r="C495" s="3" t="s">
        <v>93</v>
      </c>
      <c r="D495" s="3" t="s">
        <v>47</v>
      </c>
      <c r="E495" s="3" t="s">
        <v>48</v>
      </c>
      <c r="F495" s="3" t="s">
        <v>25</v>
      </c>
      <c r="G495" s="3" t="s">
        <v>100</v>
      </c>
      <c r="H495" s="3" t="s">
        <v>64</v>
      </c>
      <c r="I495" s="3" t="s">
        <v>90</v>
      </c>
      <c r="J495" s="3" t="n">
        <v>31</v>
      </c>
      <c r="K495" s="3" t="n">
        <v>10054.1</v>
      </c>
      <c r="L495" s="3" t="n">
        <v>311677.1</v>
      </c>
      <c r="M495" s="3" t="n">
        <v>0.1237</v>
      </c>
      <c r="N495" s="3" t="n">
        <v>38554.46</v>
      </c>
      <c r="O495" s="3" t="n">
        <v>273122.64</v>
      </c>
      <c r="P495" s="3" t="n">
        <v>180772.72</v>
      </c>
      <c r="Q495" s="3" t="n">
        <v>92349.92</v>
      </c>
      <c r="R495" s="3" t="n">
        <v>0.3381</v>
      </c>
      <c r="S495" s="3" t="n">
        <v>0.1083</v>
      </c>
      <c r="T495" s="3" t="n">
        <v>0.0154</v>
      </c>
    </row>
    <row r="496" customFormat="false" ht="15" hidden="false" customHeight="true" outlineLevel="0" collapsed="false">
      <c r="A496" s="3" t="s">
        <v>962</v>
      </c>
      <c r="B496" s="3" t="s">
        <v>963</v>
      </c>
      <c r="C496" s="3" t="s">
        <v>120</v>
      </c>
      <c r="D496" s="3" t="s">
        <v>54</v>
      </c>
      <c r="E496" s="3" t="s">
        <v>24</v>
      </c>
      <c r="F496" s="3" t="s">
        <v>40</v>
      </c>
      <c r="G496" s="3" t="s">
        <v>26</v>
      </c>
      <c r="H496" s="3" t="s">
        <v>56</v>
      </c>
      <c r="I496" s="3" t="s">
        <v>57</v>
      </c>
      <c r="J496" s="3" t="n">
        <v>9</v>
      </c>
      <c r="K496" s="3" t="n">
        <v>8370.08</v>
      </c>
      <c r="L496" s="3" t="n">
        <v>75330.72</v>
      </c>
      <c r="M496" s="3" t="n">
        <v>0.0727</v>
      </c>
      <c r="N496" s="3" t="n">
        <v>5476.54</v>
      </c>
      <c r="O496" s="3" t="n">
        <v>69854.18</v>
      </c>
      <c r="P496" s="3" t="n">
        <v>45198.43</v>
      </c>
      <c r="Q496" s="3" t="n">
        <v>24655.75</v>
      </c>
      <c r="R496" s="3" t="n">
        <v>0.353</v>
      </c>
      <c r="S496" s="3" t="n">
        <v>0.0745</v>
      </c>
      <c r="T496" s="3" t="n">
        <v>-0.0018</v>
      </c>
    </row>
    <row r="497" customFormat="false" ht="15" hidden="false" customHeight="true" outlineLevel="0" collapsed="false">
      <c r="A497" s="3" t="s">
        <v>964</v>
      </c>
      <c r="B497" s="3" t="s">
        <v>965</v>
      </c>
      <c r="C497" s="3" t="s">
        <v>22</v>
      </c>
      <c r="D497" s="3" t="s">
        <v>83</v>
      </c>
      <c r="E497" s="3" t="s">
        <v>48</v>
      </c>
      <c r="F497" s="3" t="s">
        <v>62</v>
      </c>
      <c r="G497" s="3" t="s">
        <v>34</v>
      </c>
      <c r="H497" s="3" t="s">
        <v>64</v>
      </c>
      <c r="I497" s="3" t="s">
        <v>65</v>
      </c>
      <c r="J497" s="3" t="n">
        <v>22</v>
      </c>
      <c r="K497" s="3" t="n">
        <v>7575.09</v>
      </c>
      <c r="L497" s="3" t="n">
        <v>166651.98</v>
      </c>
      <c r="M497" s="3" t="n">
        <v>0.1146</v>
      </c>
      <c r="N497" s="3" t="n">
        <v>19098.32</v>
      </c>
      <c r="O497" s="3" t="n">
        <v>147553.66</v>
      </c>
      <c r="P497" s="3" t="n">
        <v>96658.15</v>
      </c>
      <c r="Q497" s="3" t="n">
        <v>50895.51</v>
      </c>
      <c r="R497" s="3" t="n">
        <v>0.3449</v>
      </c>
      <c r="S497" s="3" t="n">
        <v>0.0972</v>
      </c>
      <c r="T497" s="3" t="n">
        <v>0.0174</v>
      </c>
    </row>
    <row r="498" customFormat="false" ht="15" hidden="false" customHeight="true" outlineLevel="0" collapsed="false">
      <c r="A498" s="3" t="s">
        <v>966</v>
      </c>
      <c r="B498" s="3" t="s">
        <v>967</v>
      </c>
      <c r="C498" s="3" t="s">
        <v>22</v>
      </c>
      <c r="D498" s="3" t="s">
        <v>23</v>
      </c>
      <c r="E498" s="3" t="s">
        <v>24</v>
      </c>
      <c r="F498" s="3" t="s">
        <v>25</v>
      </c>
      <c r="G498" s="3" t="s">
        <v>41</v>
      </c>
      <c r="H498" s="3" t="s">
        <v>27</v>
      </c>
      <c r="I498" s="3" t="s">
        <v>28</v>
      </c>
      <c r="J498" s="3" t="n">
        <v>39</v>
      </c>
      <c r="K498" s="3" t="n">
        <v>23093.4</v>
      </c>
      <c r="L498" s="3" t="n">
        <v>900642.6</v>
      </c>
      <c r="M498" s="3" t="n">
        <v>0.1258</v>
      </c>
      <c r="N498" s="3" t="n">
        <v>113300.84</v>
      </c>
      <c r="O498" s="3" t="n">
        <v>787341.76</v>
      </c>
      <c r="P498" s="3" t="n">
        <v>558398.41</v>
      </c>
      <c r="Q498" s="3" t="n">
        <v>228943.35</v>
      </c>
      <c r="R498" s="3" t="n">
        <v>0.2908</v>
      </c>
      <c r="S498" s="3" t="n">
        <v>0.1236</v>
      </c>
      <c r="T498" s="3" t="n">
        <v>0.0022</v>
      </c>
    </row>
    <row r="499" customFormat="false" ht="15" hidden="false" customHeight="true" outlineLevel="0" collapsed="false">
      <c r="A499" s="3" t="s">
        <v>968</v>
      </c>
      <c r="B499" s="3" t="s">
        <v>136</v>
      </c>
      <c r="C499" s="3" t="s">
        <v>22</v>
      </c>
      <c r="D499" s="3" t="s">
        <v>97</v>
      </c>
      <c r="E499" s="3" t="s">
        <v>48</v>
      </c>
      <c r="F499" s="3" t="s">
        <v>40</v>
      </c>
      <c r="G499" s="3" t="s">
        <v>55</v>
      </c>
      <c r="H499" s="3" t="s">
        <v>77</v>
      </c>
      <c r="I499" s="3" t="s">
        <v>78</v>
      </c>
      <c r="J499" s="3" t="n">
        <v>19</v>
      </c>
      <c r="K499" s="3" t="n">
        <v>4349.64</v>
      </c>
      <c r="L499" s="3" t="n">
        <v>82643.16</v>
      </c>
      <c r="M499" s="3" t="n">
        <v>0.0656</v>
      </c>
      <c r="N499" s="3" t="n">
        <v>5421.39</v>
      </c>
      <c r="O499" s="3" t="n">
        <v>77221.77</v>
      </c>
      <c r="P499" s="3" t="n">
        <v>56197.35</v>
      </c>
      <c r="Q499" s="3" t="n">
        <v>21024.42</v>
      </c>
      <c r="R499" s="3" t="n">
        <v>0.2723</v>
      </c>
      <c r="S499" s="3" t="n">
        <v>0.0711</v>
      </c>
      <c r="T499" s="3" t="n">
        <v>-0.0055</v>
      </c>
    </row>
    <row r="500" customFormat="false" ht="15" hidden="false" customHeight="true" outlineLevel="0" collapsed="false">
      <c r="A500" s="3" t="s">
        <v>969</v>
      </c>
      <c r="B500" s="3" t="s">
        <v>970</v>
      </c>
      <c r="C500" s="3" t="s">
        <v>68</v>
      </c>
      <c r="D500" s="3" t="s">
        <v>75</v>
      </c>
      <c r="E500" s="3" t="s">
        <v>39</v>
      </c>
      <c r="F500" s="3" t="s">
        <v>25</v>
      </c>
      <c r="G500" s="3" t="s">
        <v>104</v>
      </c>
      <c r="H500" s="3" t="s">
        <v>77</v>
      </c>
      <c r="I500" s="3" t="s">
        <v>78</v>
      </c>
      <c r="J500" s="3" t="n">
        <v>43</v>
      </c>
      <c r="K500" s="3" t="n">
        <v>2168.19</v>
      </c>
      <c r="L500" s="3" t="n">
        <v>93232.17</v>
      </c>
      <c r="M500" s="3" t="n">
        <v>0.1858</v>
      </c>
      <c r="N500" s="3" t="n">
        <v>17322.54</v>
      </c>
      <c r="O500" s="3" t="n">
        <v>75909.63</v>
      </c>
      <c r="P500" s="3" t="n">
        <v>63397.88</v>
      </c>
      <c r="Q500" s="3" t="n">
        <v>12511.75</v>
      </c>
      <c r="R500" s="3" t="n">
        <v>0.1648</v>
      </c>
      <c r="S500" s="3" t="n">
        <v>0.1774</v>
      </c>
      <c r="T500" s="3" t="n">
        <v>0.0084</v>
      </c>
    </row>
    <row r="501" customFormat="false" ht="15" hidden="false" customHeight="true" outlineLevel="0" collapsed="false">
      <c r="A501" s="3" t="s">
        <v>971</v>
      </c>
      <c r="B501" s="3" t="s">
        <v>972</v>
      </c>
      <c r="C501" s="3" t="s">
        <v>60</v>
      </c>
      <c r="D501" s="3" t="s">
        <v>69</v>
      </c>
      <c r="E501" s="3" t="s">
        <v>39</v>
      </c>
      <c r="F501" s="3" t="s">
        <v>70</v>
      </c>
      <c r="G501" s="3" t="s">
        <v>71</v>
      </c>
      <c r="H501" s="3" t="s">
        <v>56</v>
      </c>
      <c r="I501" s="3" t="s">
        <v>188</v>
      </c>
      <c r="J501" s="3" t="n">
        <v>16</v>
      </c>
      <c r="K501" s="3" t="n">
        <v>2576.98</v>
      </c>
      <c r="L501" s="3" t="n">
        <v>41231.68</v>
      </c>
      <c r="M501" s="3" t="n">
        <v>0.0628</v>
      </c>
      <c r="N501" s="3" t="n">
        <v>2589.35</v>
      </c>
      <c r="O501" s="3" t="n">
        <v>38642.33</v>
      </c>
      <c r="P501" s="3" t="n">
        <v>24739.01</v>
      </c>
      <c r="Q501" s="3" t="n">
        <v>13903.32</v>
      </c>
      <c r="R501" s="3" t="n">
        <v>0.3598</v>
      </c>
      <c r="S501" s="3" t="n">
        <v>0.0518</v>
      </c>
      <c r="T501" s="3" t="n">
        <v>0.011</v>
      </c>
    </row>
    <row r="502" customFormat="false" ht="15" hidden="false" customHeight="true" outlineLevel="0" collapsed="false">
      <c r="A502" s="3" t="s">
        <v>973</v>
      </c>
      <c r="B502" s="3" t="s">
        <v>974</v>
      </c>
      <c r="C502" s="3" t="s">
        <v>156</v>
      </c>
      <c r="D502" s="3" t="s">
        <v>54</v>
      </c>
      <c r="E502" s="3" t="s">
        <v>24</v>
      </c>
      <c r="F502" s="3" t="s">
        <v>40</v>
      </c>
      <c r="G502" s="3" t="s">
        <v>71</v>
      </c>
      <c r="H502" s="3" t="s">
        <v>77</v>
      </c>
      <c r="I502" s="3" t="s">
        <v>78</v>
      </c>
      <c r="J502" s="3" t="n">
        <v>38</v>
      </c>
      <c r="K502" s="3" t="n">
        <v>3096.69</v>
      </c>
      <c r="L502" s="3" t="n">
        <v>117674.22</v>
      </c>
      <c r="M502" s="3" t="n">
        <v>0.04</v>
      </c>
      <c r="N502" s="3" t="n">
        <v>4706.97</v>
      </c>
      <c r="O502" s="3" t="n">
        <v>112967.25</v>
      </c>
      <c r="P502" s="3" t="n">
        <v>80018.47</v>
      </c>
      <c r="Q502" s="3" t="n">
        <v>32948.78</v>
      </c>
      <c r="R502" s="3" t="n">
        <v>0.2917</v>
      </c>
      <c r="S502" s="3" t="n">
        <v>0.0409</v>
      </c>
      <c r="T502" s="3" t="n">
        <v>-0.0009</v>
      </c>
    </row>
    <row r="503" customFormat="false" ht="15" hidden="false" customHeight="true" outlineLevel="0" collapsed="false">
      <c r="A503" s="3" t="s">
        <v>975</v>
      </c>
      <c r="B503" s="3" t="s">
        <v>539</v>
      </c>
      <c r="C503" s="3" t="s">
        <v>37</v>
      </c>
      <c r="D503" s="3" t="s">
        <v>61</v>
      </c>
      <c r="E503" s="3" t="s">
        <v>33</v>
      </c>
      <c r="F503" s="3" t="s">
        <v>62</v>
      </c>
      <c r="G503" s="3" t="s">
        <v>76</v>
      </c>
      <c r="H503" s="3" t="s">
        <v>27</v>
      </c>
      <c r="I503" s="3" t="s">
        <v>94</v>
      </c>
      <c r="J503" s="3" t="n">
        <v>36</v>
      </c>
      <c r="K503" s="3" t="n">
        <v>31236.44</v>
      </c>
      <c r="L503" s="3" t="n">
        <v>1124511.84</v>
      </c>
      <c r="M503" s="3" t="n">
        <v>0.0758</v>
      </c>
      <c r="N503" s="3" t="n">
        <v>85238</v>
      </c>
      <c r="O503" s="3" t="n">
        <v>1039273.84</v>
      </c>
      <c r="P503" s="3" t="n">
        <v>697197.34</v>
      </c>
      <c r="Q503" s="3" t="n">
        <v>342076.5</v>
      </c>
      <c r="R503" s="3" t="n">
        <v>0.3291</v>
      </c>
      <c r="S503" s="3" t="n">
        <v>0.0685</v>
      </c>
      <c r="T503" s="3" t="n">
        <v>0.0073</v>
      </c>
    </row>
    <row r="504" customFormat="false" ht="15" hidden="false" customHeight="true" outlineLevel="0" collapsed="false">
      <c r="A504" s="3" t="s">
        <v>976</v>
      </c>
      <c r="B504" s="3" t="s">
        <v>977</v>
      </c>
      <c r="C504" s="3" t="s">
        <v>60</v>
      </c>
      <c r="D504" s="3" t="s">
        <v>54</v>
      </c>
      <c r="E504" s="3" t="s">
        <v>24</v>
      </c>
      <c r="F504" s="3" t="s">
        <v>40</v>
      </c>
      <c r="G504" s="3" t="s">
        <v>84</v>
      </c>
      <c r="H504" s="3" t="s">
        <v>64</v>
      </c>
      <c r="I504" s="3" t="s">
        <v>108</v>
      </c>
      <c r="J504" s="3" t="n">
        <v>37</v>
      </c>
      <c r="K504" s="3" t="n">
        <v>11367.42</v>
      </c>
      <c r="L504" s="3" t="n">
        <v>420594.54</v>
      </c>
      <c r="M504" s="3" t="n">
        <v>0.0302</v>
      </c>
      <c r="N504" s="3" t="n">
        <v>12701.96</v>
      </c>
      <c r="O504" s="3" t="n">
        <v>407892.58</v>
      </c>
      <c r="P504" s="3" t="n">
        <v>243944.83</v>
      </c>
      <c r="Q504" s="3" t="n">
        <v>163947.75</v>
      </c>
      <c r="R504" s="3" t="n">
        <v>0.4019</v>
      </c>
      <c r="S504" s="3" t="n">
        <v>0.0279</v>
      </c>
      <c r="T504" s="3" t="n">
        <v>0.0023</v>
      </c>
    </row>
    <row r="505" customFormat="false" ht="15" hidden="false" customHeight="true" outlineLevel="0" collapsed="false">
      <c r="A505" s="3" t="s">
        <v>978</v>
      </c>
      <c r="B505" s="3" t="s">
        <v>979</v>
      </c>
      <c r="C505" s="3" t="s">
        <v>53</v>
      </c>
      <c r="D505" s="3" t="s">
        <v>61</v>
      </c>
      <c r="E505" s="3" t="s">
        <v>33</v>
      </c>
      <c r="F505" s="3" t="s">
        <v>62</v>
      </c>
      <c r="G505" s="3" t="s">
        <v>100</v>
      </c>
      <c r="H505" s="3" t="s">
        <v>56</v>
      </c>
      <c r="I505" s="3" t="s">
        <v>188</v>
      </c>
      <c r="J505" s="3" t="n">
        <v>8</v>
      </c>
      <c r="K505" s="3" t="n">
        <v>6708.03</v>
      </c>
      <c r="L505" s="3" t="n">
        <v>53664.24</v>
      </c>
      <c r="M505" s="3" t="n">
        <v>0.0701</v>
      </c>
      <c r="N505" s="3" t="n">
        <v>3761.86</v>
      </c>
      <c r="O505" s="3" t="n">
        <v>49902.38</v>
      </c>
      <c r="P505" s="3" t="n">
        <v>32198.54</v>
      </c>
      <c r="Q505" s="3" t="n">
        <v>17703.84</v>
      </c>
      <c r="R505" s="3" t="n">
        <v>0.3548</v>
      </c>
      <c r="S505" s="3" t="n">
        <v>0.0746</v>
      </c>
      <c r="T505" s="3" t="n">
        <v>-0.0045</v>
      </c>
    </row>
    <row r="506" customFormat="false" ht="15" hidden="false" customHeight="true" outlineLevel="0" collapsed="false">
      <c r="A506" s="3" t="s">
        <v>980</v>
      </c>
      <c r="B506" s="3" t="s">
        <v>981</v>
      </c>
      <c r="C506" s="3" t="s">
        <v>53</v>
      </c>
      <c r="D506" s="3" t="s">
        <v>38</v>
      </c>
      <c r="E506" s="3" t="s">
        <v>39</v>
      </c>
      <c r="F506" s="3" t="s">
        <v>40</v>
      </c>
      <c r="G506" s="3" t="s">
        <v>84</v>
      </c>
      <c r="H506" s="3" t="s">
        <v>42</v>
      </c>
      <c r="I506" s="3" t="s">
        <v>72</v>
      </c>
      <c r="J506" s="3" t="n">
        <v>37</v>
      </c>
      <c r="K506" s="3" t="n">
        <v>3881.19</v>
      </c>
      <c r="L506" s="3" t="n">
        <v>143604.03</v>
      </c>
      <c r="M506" s="3" t="n">
        <v>0.0542</v>
      </c>
      <c r="N506" s="3" t="n">
        <v>7783.34</v>
      </c>
      <c r="O506" s="3" t="n">
        <v>135820.69</v>
      </c>
      <c r="P506" s="3" t="n">
        <v>78982.22</v>
      </c>
      <c r="Q506" s="3" t="n">
        <v>56838.47</v>
      </c>
      <c r="R506" s="3" t="n">
        <v>0.4185</v>
      </c>
      <c r="S506" s="3" t="n">
        <v>0.0557</v>
      </c>
      <c r="T506" s="3" t="n">
        <v>-0.0015</v>
      </c>
    </row>
    <row r="507" customFormat="false" ht="15" hidden="false" customHeight="true" outlineLevel="0" collapsed="false">
      <c r="A507" s="3" t="s">
        <v>982</v>
      </c>
      <c r="B507" s="3" t="s">
        <v>112</v>
      </c>
      <c r="C507" s="3" t="s">
        <v>113</v>
      </c>
      <c r="D507" s="3" t="s">
        <v>83</v>
      </c>
      <c r="E507" s="3" t="s">
        <v>48</v>
      </c>
      <c r="F507" s="3" t="s">
        <v>62</v>
      </c>
      <c r="G507" s="3" t="s">
        <v>104</v>
      </c>
      <c r="H507" s="3" t="s">
        <v>77</v>
      </c>
      <c r="I507" s="3" t="s">
        <v>85</v>
      </c>
      <c r="J507" s="3" t="n">
        <v>17</v>
      </c>
      <c r="K507" s="3" t="n">
        <v>3513.46</v>
      </c>
      <c r="L507" s="3" t="n">
        <v>59728.82</v>
      </c>
      <c r="M507" s="3" t="n">
        <v>0.0787</v>
      </c>
      <c r="N507" s="3" t="n">
        <v>4700.66</v>
      </c>
      <c r="O507" s="3" t="n">
        <v>55028.16</v>
      </c>
      <c r="P507" s="3" t="n">
        <v>40615.6</v>
      </c>
      <c r="Q507" s="3" t="n">
        <v>14412.56</v>
      </c>
      <c r="R507" s="3" t="n">
        <v>0.2619</v>
      </c>
      <c r="S507" s="3" t="n">
        <v>0.079</v>
      </c>
      <c r="T507" s="3" t="n">
        <v>-0.0003</v>
      </c>
    </row>
    <row r="508" customFormat="false" ht="15" hidden="false" customHeight="true" outlineLevel="0" collapsed="false">
      <c r="A508" s="3" t="s">
        <v>983</v>
      </c>
      <c r="B508" s="3" t="s">
        <v>984</v>
      </c>
      <c r="C508" s="3" t="s">
        <v>53</v>
      </c>
      <c r="D508" s="3" t="s">
        <v>69</v>
      </c>
      <c r="E508" s="3" t="s">
        <v>39</v>
      </c>
      <c r="F508" s="3" t="s">
        <v>70</v>
      </c>
      <c r="G508" s="3" t="s">
        <v>49</v>
      </c>
      <c r="H508" s="3" t="s">
        <v>42</v>
      </c>
      <c r="I508" s="3" t="s">
        <v>134</v>
      </c>
      <c r="J508" s="3" t="n">
        <v>1</v>
      </c>
      <c r="K508" s="3" t="n">
        <v>2307.76</v>
      </c>
      <c r="L508" s="3" t="n">
        <v>2307.76</v>
      </c>
      <c r="M508" s="3" t="n">
        <v>0.065</v>
      </c>
      <c r="N508" s="3" t="n">
        <v>150</v>
      </c>
      <c r="O508" s="3" t="n">
        <v>2157.76</v>
      </c>
      <c r="P508" s="3" t="n">
        <v>1269.27</v>
      </c>
      <c r="Q508" s="3" t="n">
        <v>888.49</v>
      </c>
      <c r="R508" s="3" t="n">
        <v>0.4118</v>
      </c>
      <c r="S508" s="3" t="n">
        <v>0.0569</v>
      </c>
      <c r="T508" s="3" t="n">
        <v>0.0081</v>
      </c>
    </row>
    <row r="509" customFormat="false" ht="15" hidden="false" customHeight="true" outlineLevel="0" collapsed="false">
      <c r="A509" s="3" t="s">
        <v>985</v>
      </c>
      <c r="B509" s="3" t="s">
        <v>986</v>
      </c>
      <c r="C509" s="3" t="s">
        <v>113</v>
      </c>
      <c r="D509" s="3" t="s">
        <v>61</v>
      </c>
      <c r="E509" s="3" t="s">
        <v>33</v>
      </c>
      <c r="F509" s="3" t="s">
        <v>62</v>
      </c>
      <c r="G509" s="3" t="s">
        <v>26</v>
      </c>
      <c r="H509" s="3" t="s">
        <v>77</v>
      </c>
      <c r="I509" s="3" t="s">
        <v>85</v>
      </c>
      <c r="J509" s="3" t="n">
        <v>5</v>
      </c>
      <c r="K509" s="3" t="n">
        <v>5141.16</v>
      </c>
      <c r="L509" s="3" t="n">
        <v>25705.8</v>
      </c>
      <c r="M509" s="3" t="n">
        <v>0.0577</v>
      </c>
      <c r="N509" s="3" t="n">
        <v>1483.22</v>
      </c>
      <c r="O509" s="3" t="n">
        <v>24222.58</v>
      </c>
      <c r="P509" s="3" t="n">
        <v>17479.94</v>
      </c>
      <c r="Q509" s="3" t="n">
        <v>6742.64</v>
      </c>
      <c r="R509" s="3" t="n">
        <v>0.2784</v>
      </c>
      <c r="S509" s="3" t="n">
        <v>0.0544</v>
      </c>
      <c r="T509" s="3" t="n">
        <v>0.0033</v>
      </c>
    </row>
    <row r="510" customFormat="false" ht="15" hidden="false" customHeight="true" outlineLevel="0" collapsed="false">
      <c r="A510" s="3" t="s">
        <v>987</v>
      </c>
      <c r="B510" s="3" t="s">
        <v>164</v>
      </c>
      <c r="C510" s="3" t="s">
        <v>113</v>
      </c>
      <c r="D510" s="3" t="s">
        <v>103</v>
      </c>
      <c r="E510" s="3" t="s">
        <v>24</v>
      </c>
      <c r="F510" s="3" t="s">
        <v>62</v>
      </c>
      <c r="G510" s="3" t="s">
        <v>41</v>
      </c>
      <c r="H510" s="3" t="s">
        <v>64</v>
      </c>
      <c r="I510" s="3" t="s">
        <v>145</v>
      </c>
      <c r="J510" s="3" t="n">
        <v>44</v>
      </c>
      <c r="K510" s="3" t="n">
        <v>11524.06</v>
      </c>
      <c r="L510" s="3" t="n">
        <v>507058.64</v>
      </c>
      <c r="M510" s="3" t="n">
        <v>0.1041</v>
      </c>
      <c r="N510" s="3" t="n">
        <v>52784.8</v>
      </c>
      <c r="O510" s="3" t="n">
        <v>454273.84</v>
      </c>
      <c r="P510" s="3" t="n">
        <v>294094.01</v>
      </c>
      <c r="Q510" s="3" t="n">
        <v>160179.83</v>
      </c>
      <c r="R510" s="3" t="n">
        <v>0.3526</v>
      </c>
      <c r="S510" s="3" t="n">
        <v>0.0906</v>
      </c>
      <c r="T510" s="3" t="n">
        <v>0.0135</v>
      </c>
    </row>
    <row r="511" customFormat="false" ht="15" hidden="false" customHeight="true" outlineLevel="0" collapsed="false">
      <c r="A511" s="3" t="s">
        <v>988</v>
      </c>
      <c r="B511" s="3" t="s">
        <v>989</v>
      </c>
      <c r="C511" s="3" t="s">
        <v>120</v>
      </c>
      <c r="D511" s="3" t="s">
        <v>69</v>
      </c>
      <c r="E511" s="3" t="s">
        <v>39</v>
      </c>
      <c r="F511" s="3" t="s">
        <v>70</v>
      </c>
      <c r="G511" s="3" t="s">
        <v>34</v>
      </c>
      <c r="H511" s="3" t="s">
        <v>42</v>
      </c>
      <c r="I511" s="3" t="s">
        <v>43</v>
      </c>
      <c r="J511" s="3" t="n">
        <v>16</v>
      </c>
      <c r="K511" s="3" t="n">
        <v>1209.68</v>
      </c>
      <c r="L511" s="3" t="n">
        <v>19354.88</v>
      </c>
      <c r="M511" s="3" t="n">
        <v>0.1061</v>
      </c>
      <c r="N511" s="3" t="n">
        <v>2053.55</v>
      </c>
      <c r="O511" s="3" t="n">
        <v>17301.33</v>
      </c>
      <c r="P511" s="3" t="n">
        <v>10645.18</v>
      </c>
      <c r="Q511" s="3" t="n">
        <v>6656.15</v>
      </c>
      <c r="R511" s="3" t="n">
        <v>0.3847</v>
      </c>
      <c r="S511" s="3" t="n">
        <v>0.0887</v>
      </c>
      <c r="T511" s="3" t="n">
        <v>0.0174</v>
      </c>
    </row>
    <row r="512" customFormat="false" ht="15" hidden="false" customHeight="true" outlineLevel="0" collapsed="false">
      <c r="A512" s="3" t="s">
        <v>990</v>
      </c>
      <c r="B512" s="3" t="s">
        <v>991</v>
      </c>
      <c r="C512" s="3" t="s">
        <v>46</v>
      </c>
      <c r="D512" s="3" t="s">
        <v>61</v>
      </c>
      <c r="E512" s="3" t="s">
        <v>33</v>
      </c>
      <c r="F512" s="3" t="s">
        <v>62</v>
      </c>
      <c r="G512" s="3" t="s">
        <v>104</v>
      </c>
      <c r="H512" s="3" t="s">
        <v>77</v>
      </c>
      <c r="I512" s="3" t="s">
        <v>85</v>
      </c>
      <c r="J512" s="3" t="n">
        <v>35</v>
      </c>
      <c r="K512" s="3" t="n">
        <v>4868.37</v>
      </c>
      <c r="L512" s="3" t="n">
        <v>170392.95</v>
      </c>
      <c r="M512" s="3" t="n">
        <v>0.1318</v>
      </c>
      <c r="N512" s="3" t="n">
        <v>22457.79</v>
      </c>
      <c r="O512" s="3" t="n">
        <v>147935.16</v>
      </c>
      <c r="P512" s="3" t="n">
        <v>115867.21</v>
      </c>
      <c r="Q512" s="3" t="n">
        <v>32067.95</v>
      </c>
      <c r="R512" s="3" t="n">
        <v>0.2168</v>
      </c>
      <c r="S512" s="3" t="n">
        <v>0.13</v>
      </c>
      <c r="T512" s="3" t="n">
        <v>0.0018</v>
      </c>
    </row>
    <row r="513" customFormat="false" ht="15" hidden="false" customHeight="true" outlineLevel="0" collapsed="false">
      <c r="A513" s="3" t="s">
        <v>992</v>
      </c>
      <c r="B513" s="3" t="s">
        <v>993</v>
      </c>
      <c r="C513" s="3" t="s">
        <v>126</v>
      </c>
      <c r="D513" s="3" t="s">
        <v>83</v>
      </c>
      <c r="E513" s="3" t="s">
        <v>48</v>
      </c>
      <c r="F513" s="3" t="s">
        <v>62</v>
      </c>
      <c r="G513" s="3" t="s">
        <v>84</v>
      </c>
      <c r="H513" s="3" t="s">
        <v>56</v>
      </c>
      <c r="I513" s="3" t="s">
        <v>57</v>
      </c>
      <c r="J513" s="3" t="n">
        <v>49</v>
      </c>
      <c r="K513" s="3" t="n">
        <v>4925.95</v>
      </c>
      <c r="L513" s="3" t="n">
        <v>241371.55</v>
      </c>
      <c r="M513" s="3" t="n">
        <v>0.0758</v>
      </c>
      <c r="N513" s="3" t="n">
        <v>18295.96</v>
      </c>
      <c r="O513" s="3" t="n">
        <v>223075.59</v>
      </c>
      <c r="P513" s="3" t="n">
        <v>144822.93</v>
      </c>
      <c r="Q513" s="3" t="n">
        <v>78252.66</v>
      </c>
      <c r="R513" s="3" t="n">
        <v>0.3508</v>
      </c>
      <c r="S513" s="3" t="n">
        <v>0.0697</v>
      </c>
      <c r="T513" s="3" t="n">
        <v>0.0061</v>
      </c>
    </row>
    <row r="514" customFormat="false" ht="15" hidden="false" customHeight="true" outlineLevel="0" collapsed="false">
      <c r="A514" s="3" t="s">
        <v>994</v>
      </c>
      <c r="B514" s="3" t="s">
        <v>995</v>
      </c>
      <c r="C514" s="3" t="s">
        <v>156</v>
      </c>
      <c r="D514" s="3" t="s">
        <v>38</v>
      </c>
      <c r="E514" s="3" t="s">
        <v>39</v>
      </c>
      <c r="F514" s="3" t="s">
        <v>40</v>
      </c>
      <c r="G514" s="3" t="s">
        <v>100</v>
      </c>
      <c r="H514" s="3" t="s">
        <v>64</v>
      </c>
      <c r="I514" s="3" t="s">
        <v>65</v>
      </c>
      <c r="J514" s="3" t="n">
        <v>31</v>
      </c>
      <c r="K514" s="3" t="n">
        <v>10193.43</v>
      </c>
      <c r="L514" s="3" t="n">
        <v>315996.33</v>
      </c>
      <c r="M514" s="3" t="n">
        <v>0.077</v>
      </c>
      <c r="N514" s="3" t="n">
        <v>24331.72</v>
      </c>
      <c r="O514" s="3" t="n">
        <v>291664.61</v>
      </c>
      <c r="P514" s="3" t="n">
        <v>183277.87</v>
      </c>
      <c r="Q514" s="3" t="n">
        <v>108386.74</v>
      </c>
      <c r="R514" s="3" t="n">
        <v>0.3716</v>
      </c>
      <c r="S514" s="3" t="n">
        <v>0.0732</v>
      </c>
      <c r="T514" s="3" t="n">
        <v>0.0038</v>
      </c>
    </row>
    <row r="515" customFormat="false" ht="15" hidden="false" customHeight="true" outlineLevel="0" collapsed="false">
      <c r="A515" s="3" t="s">
        <v>996</v>
      </c>
      <c r="B515" s="3" t="s">
        <v>997</v>
      </c>
      <c r="C515" s="3" t="s">
        <v>46</v>
      </c>
      <c r="D515" s="3" t="s">
        <v>47</v>
      </c>
      <c r="E515" s="3" t="s">
        <v>48</v>
      </c>
      <c r="F515" s="3" t="s">
        <v>25</v>
      </c>
      <c r="G515" s="3" t="s">
        <v>116</v>
      </c>
      <c r="H515" s="3" t="s">
        <v>64</v>
      </c>
      <c r="I515" s="3" t="s">
        <v>90</v>
      </c>
      <c r="J515" s="3" t="n">
        <v>30</v>
      </c>
      <c r="K515" s="3" t="n">
        <v>9284.2</v>
      </c>
      <c r="L515" s="3" t="n">
        <v>278526</v>
      </c>
      <c r="M515" s="3" t="n">
        <v>0.1334</v>
      </c>
      <c r="N515" s="3" t="n">
        <v>37155.37</v>
      </c>
      <c r="O515" s="3" t="n">
        <v>241370.63</v>
      </c>
      <c r="P515" s="3" t="n">
        <v>161545.08</v>
      </c>
      <c r="Q515" s="3" t="n">
        <v>79825.55</v>
      </c>
      <c r="R515" s="3" t="n">
        <v>0.3307</v>
      </c>
      <c r="S515" s="3" t="n">
        <v>0.13</v>
      </c>
      <c r="T515" s="3" t="n">
        <v>0.0034</v>
      </c>
    </row>
    <row r="516" customFormat="false" ht="15" hidden="false" customHeight="true" outlineLevel="0" collapsed="false">
      <c r="A516" s="3" t="s">
        <v>998</v>
      </c>
      <c r="B516" s="3" t="s">
        <v>999</v>
      </c>
      <c r="C516" s="3" t="s">
        <v>93</v>
      </c>
      <c r="D516" s="3" t="s">
        <v>103</v>
      </c>
      <c r="E516" s="3" t="s">
        <v>24</v>
      </c>
      <c r="F516" s="3" t="s">
        <v>62</v>
      </c>
      <c r="G516" s="3" t="s">
        <v>76</v>
      </c>
      <c r="H516" s="3" t="s">
        <v>42</v>
      </c>
      <c r="I516" s="3" t="s">
        <v>72</v>
      </c>
      <c r="J516" s="3" t="n">
        <v>17</v>
      </c>
      <c r="K516" s="3" t="n">
        <v>1155.03</v>
      </c>
      <c r="L516" s="3" t="n">
        <v>19635.51</v>
      </c>
      <c r="M516" s="3" t="n">
        <v>0.0419</v>
      </c>
      <c r="N516" s="3" t="n">
        <v>822.73</v>
      </c>
      <c r="O516" s="3" t="n">
        <v>18812.78</v>
      </c>
      <c r="P516" s="3" t="n">
        <v>10799.53</v>
      </c>
      <c r="Q516" s="3" t="n">
        <v>8013.25</v>
      </c>
      <c r="R516" s="3" t="n">
        <v>0.4259</v>
      </c>
      <c r="S516" s="3" t="n">
        <v>0.0455</v>
      </c>
      <c r="T516" s="3" t="n">
        <v>-0.0036</v>
      </c>
    </row>
    <row r="517" customFormat="false" ht="15" hidden="false" customHeight="true" outlineLevel="0" collapsed="false">
      <c r="A517" s="3" t="s">
        <v>1000</v>
      </c>
      <c r="B517" s="3" t="s">
        <v>1001</v>
      </c>
      <c r="C517" s="3" t="s">
        <v>46</v>
      </c>
      <c r="D517" s="3" t="s">
        <v>103</v>
      </c>
      <c r="E517" s="3" t="s">
        <v>24</v>
      </c>
      <c r="F517" s="3" t="s">
        <v>62</v>
      </c>
      <c r="G517" s="3" t="s">
        <v>84</v>
      </c>
      <c r="H517" s="3" t="s">
        <v>42</v>
      </c>
      <c r="I517" s="3" t="s">
        <v>43</v>
      </c>
      <c r="J517" s="3" t="n">
        <v>27</v>
      </c>
      <c r="K517" s="3" t="n">
        <v>1983.8</v>
      </c>
      <c r="L517" s="3" t="n">
        <v>53562.6</v>
      </c>
      <c r="M517" s="3" t="n">
        <v>0.065</v>
      </c>
      <c r="N517" s="3" t="n">
        <v>3481.57</v>
      </c>
      <c r="O517" s="3" t="n">
        <v>50081.03</v>
      </c>
      <c r="P517" s="3" t="n">
        <v>29459.43</v>
      </c>
      <c r="Q517" s="3" t="n">
        <v>20621.6</v>
      </c>
      <c r="R517" s="3" t="n">
        <v>0.4118</v>
      </c>
      <c r="S517" s="3" t="n">
        <v>0.0592</v>
      </c>
      <c r="T517" s="3" t="n">
        <v>0.0058</v>
      </c>
    </row>
    <row r="518" customFormat="false" ht="15" hidden="false" customHeight="true" outlineLevel="0" collapsed="false">
      <c r="A518" s="3" t="s">
        <v>1002</v>
      </c>
      <c r="B518" s="3" t="s">
        <v>1003</v>
      </c>
      <c r="C518" s="3" t="s">
        <v>53</v>
      </c>
      <c r="D518" s="3" t="s">
        <v>47</v>
      </c>
      <c r="E518" s="3" t="s">
        <v>48</v>
      </c>
      <c r="F518" s="3" t="s">
        <v>25</v>
      </c>
      <c r="G518" s="3" t="s">
        <v>41</v>
      </c>
      <c r="H518" s="3" t="s">
        <v>42</v>
      </c>
      <c r="I518" s="3" t="s">
        <v>134</v>
      </c>
      <c r="J518" s="3" t="n">
        <v>37</v>
      </c>
      <c r="K518" s="3" t="n">
        <v>2499.93</v>
      </c>
      <c r="L518" s="3" t="n">
        <v>92497.41</v>
      </c>
      <c r="M518" s="3" t="n">
        <v>0.2183</v>
      </c>
      <c r="N518" s="3" t="n">
        <v>20192.18</v>
      </c>
      <c r="O518" s="3" t="n">
        <v>72305.23</v>
      </c>
      <c r="P518" s="3" t="n">
        <v>50873.58</v>
      </c>
      <c r="Q518" s="3" t="n">
        <v>21431.65</v>
      </c>
      <c r="R518" s="3" t="n">
        <v>0.2964</v>
      </c>
      <c r="S518" s="3" t="n">
        <v>0.211</v>
      </c>
      <c r="T518" s="3" t="n">
        <v>0.0073</v>
      </c>
    </row>
    <row r="519" customFormat="false" ht="15" hidden="false" customHeight="true" outlineLevel="0" collapsed="false">
      <c r="A519" s="3" t="s">
        <v>1004</v>
      </c>
      <c r="B519" s="3" t="s">
        <v>898</v>
      </c>
      <c r="C519" s="3" t="s">
        <v>68</v>
      </c>
      <c r="D519" s="3" t="s">
        <v>47</v>
      </c>
      <c r="E519" s="3" t="s">
        <v>48</v>
      </c>
      <c r="F519" s="3" t="s">
        <v>25</v>
      </c>
      <c r="G519" s="3" t="s">
        <v>26</v>
      </c>
      <c r="H519" s="3" t="s">
        <v>64</v>
      </c>
      <c r="I519" s="3" t="s">
        <v>108</v>
      </c>
      <c r="J519" s="3" t="n">
        <v>1</v>
      </c>
      <c r="K519" s="3" t="n">
        <v>4345.93</v>
      </c>
      <c r="L519" s="3" t="n">
        <v>4345.93</v>
      </c>
      <c r="M519" s="3" t="n">
        <v>0.1188</v>
      </c>
      <c r="N519" s="3" t="n">
        <v>516.3</v>
      </c>
      <c r="O519" s="3" t="n">
        <v>3829.63</v>
      </c>
      <c r="P519" s="3" t="n">
        <v>2520.64</v>
      </c>
      <c r="Q519" s="3" t="n">
        <v>1308.99</v>
      </c>
      <c r="R519" s="3" t="n">
        <v>0.3418</v>
      </c>
      <c r="S519" s="3" t="n">
        <v>0.1141</v>
      </c>
      <c r="T519" s="3" t="n">
        <v>0.0047</v>
      </c>
    </row>
    <row r="520" customFormat="false" ht="15" hidden="false" customHeight="true" outlineLevel="0" collapsed="false">
      <c r="A520" s="3" t="s">
        <v>1005</v>
      </c>
      <c r="B520" s="3" t="s">
        <v>321</v>
      </c>
      <c r="C520" s="3" t="s">
        <v>120</v>
      </c>
      <c r="D520" s="3" t="s">
        <v>103</v>
      </c>
      <c r="E520" s="3" t="s">
        <v>24</v>
      </c>
      <c r="F520" s="3" t="s">
        <v>62</v>
      </c>
      <c r="G520" s="3" t="s">
        <v>76</v>
      </c>
      <c r="H520" s="3" t="s">
        <v>77</v>
      </c>
      <c r="I520" s="3" t="s">
        <v>78</v>
      </c>
      <c r="J520" s="3" t="n">
        <v>37</v>
      </c>
      <c r="K520" s="3" t="n">
        <v>3898.26</v>
      </c>
      <c r="L520" s="3" t="n">
        <v>144235.62</v>
      </c>
      <c r="M520" s="3" t="n">
        <v>0.0324</v>
      </c>
      <c r="N520" s="3" t="n">
        <v>4673.23</v>
      </c>
      <c r="O520" s="3" t="n">
        <v>139562.39</v>
      </c>
      <c r="P520" s="3" t="n">
        <v>98080.22</v>
      </c>
      <c r="Q520" s="3" t="n">
        <v>41482.17</v>
      </c>
      <c r="R520" s="3" t="n">
        <v>0.2972</v>
      </c>
      <c r="S520" s="3" t="n">
        <v>0.0326</v>
      </c>
      <c r="T520" s="3" t="n">
        <v>-0.0002</v>
      </c>
    </row>
    <row r="521" customFormat="false" ht="15" hidden="false" customHeight="true" outlineLevel="0" collapsed="false">
      <c r="A521" s="3" t="s">
        <v>1006</v>
      </c>
      <c r="B521" s="3" t="s">
        <v>931</v>
      </c>
      <c r="C521" s="3" t="s">
        <v>46</v>
      </c>
      <c r="D521" s="3" t="s">
        <v>32</v>
      </c>
      <c r="E521" s="3" t="s">
        <v>33</v>
      </c>
      <c r="F521" s="3" t="s">
        <v>25</v>
      </c>
      <c r="G521" s="3" t="s">
        <v>84</v>
      </c>
      <c r="H521" s="3" t="s">
        <v>64</v>
      </c>
      <c r="I521" s="3" t="s">
        <v>145</v>
      </c>
      <c r="J521" s="3" t="n">
        <v>7</v>
      </c>
      <c r="K521" s="3" t="n">
        <v>10550.75</v>
      </c>
      <c r="L521" s="3" t="n">
        <v>73855.25</v>
      </c>
      <c r="M521" s="3" t="n">
        <v>0.1193</v>
      </c>
      <c r="N521" s="3" t="n">
        <v>8810.93</v>
      </c>
      <c r="O521" s="3" t="n">
        <v>65044.32</v>
      </c>
      <c r="P521" s="3" t="n">
        <v>42836.04</v>
      </c>
      <c r="Q521" s="3" t="n">
        <v>22208.28</v>
      </c>
      <c r="R521" s="3" t="n">
        <v>0.3414</v>
      </c>
      <c r="S521" s="3" t="n">
        <v>0.1083</v>
      </c>
      <c r="T521" s="3" t="n">
        <v>0.011</v>
      </c>
    </row>
    <row r="522" customFormat="false" ht="15" hidden="false" customHeight="true" outlineLevel="0" collapsed="false">
      <c r="A522" s="3" t="s">
        <v>1007</v>
      </c>
      <c r="B522" s="3" t="s">
        <v>1008</v>
      </c>
      <c r="C522" s="3" t="s">
        <v>113</v>
      </c>
      <c r="D522" s="3" t="s">
        <v>107</v>
      </c>
      <c r="E522" s="3" t="s">
        <v>33</v>
      </c>
      <c r="F522" s="3" t="s">
        <v>70</v>
      </c>
      <c r="G522" s="3" t="s">
        <v>104</v>
      </c>
      <c r="H522" s="3" t="s">
        <v>42</v>
      </c>
      <c r="I522" s="3" t="s">
        <v>134</v>
      </c>
      <c r="J522" s="3" t="n">
        <v>23</v>
      </c>
      <c r="K522" s="3" t="n">
        <v>1941.16</v>
      </c>
      <c r="L522" s="3" t="n">
        <v>44646.68</v>
      </c>
      <c r="M522" s="3" t="n">
        <v>0.1319</v>
      </c>
      <c r="N522" s="3" t="n">
        <v>5888.9</v>
      </c>
      <c r="O522" s="3" t="n">
        <v>38757.78</v>
      </c>
      <c r="P522" s="3" t="n">
        <v>24555.67</v>
      </c>
      <c r="Q522" s="3" t="n">
        <v>14202.11</v>
      </c>
      <c r="R522" s="3" t="n">
        <v>0.3664</v>
      </c>
      <c r="S522" s="3" t="n">
        <v>0.1283</v>
      </c>
      <c r="T522" s="3" t="n">
        <v>0.0036</v>
      </c>
    </row>
    <row r="523" customFormat="false" ht="15" hidden="false" customHeight="true" outlineLevel="0" collapsed="false">
      <c r="A523" s="3" t="s">
        <v>1009</v>
      </c>
      <c r="B523" s="3" t="s">
        <v>1010</v>
      </c>
      <c r="C523" s="3" t="s">
        <v>93</v>
      </c>
      <c r="D523" s="3" t="s">
        <v>23</v>
      </c>
      <c r="E523" s="3" t="s">
        <v>24</v>
      </c>
      <c r="F523" s="3" t="s">
        <v>25</v>
      </c>
      <c r="G523" s="3" t="s">
        <v>76</v>
      </c>
      <c r="H523" s="3" t="s">
        <v>56</v>
      </c>
      <c r="I523" s="3" t="s">
        <v>188</v>
      </c>
      <c r="J523" s="3" t="n">
        <v>44</v>
      </c>
      <c r="K523" s="3" t="n">
        <v>7681.74</v>
      </c>
      <c r="L523" s="3" t="n">
        <v>337996.56</v>
      </c>
      <c r="M523" s="3" t="n">
        <v>0.1575</v>
      </c>
      <c r="N523" s="3" t="n">
        <v>53234.46</v>
      </c>
      <c r="O523" s="3" t="n">
        <v>284762.1</v>
      </c>
      <c r="P523" s="3" t="n">
        <v>202797.94</v>
      </c>
      <c r="Q523" s="3" t="n">
        <v>81964.16</v>
      </c>
      <c r="R523" s="3" t="n">
        <v>0.2878</v>
      </c>
      <c r="S523" s="3" t="n">
        <v>0.168</v>
      </c>
      <c r="T523" s="3" t="n">
        <v>-0.0105</v>
      </c>
    </row>
    <row r="524" customFormat="false" ht="15" hidden="false" customHeight="true" outlineLevel="0" collapsed="false">
      <c r="A524" s="3" t="s">
        <v>1011</v>
      </c>
      <c r="B524" s="3" t="s">
        <v>1012</v>
      </c>
      <c r="C524" s="3" t="s">
        <v>37</v>
      </c>
      <c r="D524" s="3" t="s">
        <v>47</v>
      </c>
      <c r="E524" s="3" t="s">
        <v>48</v>
      </c>
      <c r="F524" s="3" t="s">
        <v>25</v>
      </c>
      <c r="G524" s="3" t="s">
        <v>84</v>
      </c>
      <c r="H524" s="3" t="s">
        <v>56</v>
      </c>
      <c r="I524" s="3" t="s">
        <v>57</v>
      </c>
      <c r="J524" s="3" t="n">
        <v>10</v>
      </c>
      <c r="K524" s="3" t="n">
        <v>12107.4</v>
      </c>
      <c r="L524" s="3" t="n">
        <v>121074</v>
      </c>
      <c r="M524" s="3" t="n">
        <v>0.1647</v>
      </c>
      <c r="N524" s="3" t="n">
        <v>19940.89</v>
      </c>
      <c r="O524" s="3" t="n">
        <v>101133.11</v>
      </c>
      <c r="P524" s="3" t="n">
        <v>72644.4</v>
      </c>
      <c r="Q524" s="3" t="n">
        <v>28488.71</v>
      </c>
      <c r="R524" s="3" t="n">
        <v>0.2817</v>
      </c>
      <c r="S524" s="3" t="n">
        <v>0.1526</v>
      </c>
      <c r="T524" s="3" t="n">
        <v>0.0121</v>
      </c>
    </row>
    <row r="525" customFormat="false" ht="15" hidden="false" customHeight="true" outlineLevel="0" collapsed="false">
      <c r="A525" s="3" t="s">
        <v>1013</v>
      </c>
      <c r="B525" s="3" t="s">
        <v>607</v>
      </c>
      <c r="C525" s="3" t="s">
        <v>126</v>
      </c>
      <c r="D525" s="3" t="s">
        <v>38</v>
      </c>
      <c r="E525" s="3" t="s">
        <v>39</v>
      </c>
      <c r="F525" s="3" t="s">
        <v>40</v>
      </c>
      <c r="G525" s="3" t="s">
        <v>116</v>
      </c>
      <c r="H525" s="3" t="s">
        <v>56</v>
      </c>
      <c r="I525" s="3" t="s">
        <v>57</v>
      </c>
      <c r="J525" s="3" t="n">
        <v>22</v>
      </c>
      <c r="K525" s="3" t="n">
        <v>3265.79</v>
      </c>
      <c r="L525" s="3" t="n">
        <v>71847.38</v>
      </c>
      <c r="M525" s="3" t="n">
        <v>0.0741</v>
      </c>
      <c r="N525" s="3" t="n">
        <v>5323.89</v>
      </c>
      <c r="O525" s="3" t="n">
        <v>66523.49</v>
      </c>
      <c r="P525" s="3" t="n">
        <v>43108.43</v>
      </c>
      <c r="Q525" s="3" t="n">
        <v>23415.06</v>
      </c>
      <c r="R525" s="3" t="n">
        <v>0.352</v>
      </c>
      <c r="S525" s="3" t="n">
        <v>0.0751</v>
      </c>
      <c r="T525" s="3" t="n">
        <v>-0.001</v>
      </c>
    </row>
    <row r="526" customFormat="false" ht="15" hidden="false" customHeight="true" outlineLevel="0" collapsed="false">
      <c r="A526" s="3" t="s">
        <v>1014</v>
      </c>
      <c r="B526" s="3" t="s">
        <v>892</v>
      </c>
      <c r="C526" s="3" t="s">
        <v>68</v>
      </c>
      <c r="D526" s="3" t="s">
        <v>38</v>
      </c>
      <c r="E526" s="3" t="s">
        <v>39</v>
      </c>
      <c r="F526" s="3" t="s">
        <v>40</v>
      </c>
      <c r="G526" s="3" t="s">
        <v>84</v>
      </c>
      <c r="H526" s="3" t="s">
        <v>77</v>
      </c>
      <c r="I526" s="3" t="s">
        <v>78</v>
      </c>
      <c r="J526" s="3" t="n">
        <v>24</v>
      </c>
      <c r="K526" s="3" t="n">
        <v>4948.68</v>
      </c>
      <c r="L526" s="3" t="n">
        <v>118768.32</v>
      </c>
      <c r="M526" s="3" t="n">
        <v>0.0674</v>
      </c>
      <c r="N526" s="3" t="n">
        <v>8004.98</v>
      </c>
      <c r="O526" s="3" t="n">
        <v>110763.34</v>
      </c>
      <c r="P526" s="3" t="n">
        <v>80762.46</v>
      </c>
      <c r="Q526" s="3" t="n">
        <v>30000.88</v>
      </c>
      <c r="R526" s="3" t="n">
        <v>0.2709</v>
      </c>
      <c r="S526" s="3" t="n">
        <v>0.0734</v>
      </c>
      <c r="T526" s="3" t="n">
        <v>-0.006</v>
      </c>
    </row>
    <row r="527" customFormat="false" ht="15" hidden="false" customHeight="true" outlineLevel="0" collapsed="false">
      <c r="A527" s="3" t="s">
        <v>1015</v>
      </c>
      <c r="B527" s="3" t="s">
        <v>967</v>
      </c>
      <c r="C527" s="3" t="s">
        <v>22</v>
      </c>
      <c r="D527" s="3" t="s">
        <v>47</v>
      </c>
      <c r="E527" s="3" t="s">
        <v>48</v>
      </c>
      <c r="F527" s="3" t="s">
        <v>25</v>
      </c>
      <c r="G527" s="3" t="s">
        <v>104</v>
      </c>
      <c r="H527" s="3" t="s">
        <v>64</v>
      </c>
      <c r="I527" s="3" t="s">
        <v>108</v>
      </c>
      <c r="J527" s="3" t="n">
        <v>16</v>
      </c>
      <c r="K527" s="3" t="n">
        <v>4125.36</v>
      </c>
      <c r="L527" s="3" t="n">
        <v>66005.76</v>
      </c>
      <c r="M527" s="3" t="n">
        <v>0.2264</v>
      </c>
      <c r="N527" s="3" t="n">
        <v>14943.7</v>
      </c>
      <c r="O527" s="3" t="n">
        <v>51062.06</v>
      </c>
      <c r="P527" s="3" t="n">
        <v>38283.34</v>
      </c>
      <c r="Q527" s="3" t="n">
        <v>12778.72</v>
      </c>
      <c r="R527" s="3" t="n">
        <v>0.2503</v>
      </c>
      <c r="S527" s="3" t="n">
        <v>0.1954</v>
      </c>
      <c r="T527" s="3" t="n">
        <v>0.031</v>
      </c>
    </row>
    <row r="528" customFormat="false" ht="15" hidden="false" customHeight="true" outlineLevel="0" collapsed="false">
      <c r="A528" s="3" t="s">
        <v>1016</v>
      </c>
      <c r="B528" s="3" t="s">
        <v>1017</v>
      </c>
      <c r="C528" s="3" t="s">
        <v>22</v>
      </c>
      <c r="D528" s="3" t="s">
        <v>47</v>
      </c>
      <c r="E528" s="3" t="s">
        <v>48</v>
      </c>
      <c r="F528" s="3" t="s">
        <v>25</v>
      </c>
      <c r="G528" s="3" t="s">
        <v>116</v>
      </c>
      <c r="H528" s="3" t="s">
        <v>27</v>
      </c>
      <c r="I528" s="3" t="s">
        <v>28</v>
      </c>
      <c r="J528" s="3" t="n">
        <v>31</v>
      </c>
      <c r="K528" s="3" t="n">
        <v>37977.4</v>
      </c>
      <c r="L528" s="3" t="n">
        <v>1177299.4</v>
      </c>
      <c r="M528" s="3" t="n">
        <v>0.1354</v>
      </c>
      <c r="N528" s="3" t="n">
        <v>159406.34</v>
      </c>
      <c r="O528" s="3" t="n">
        <v>1017893.06</v>
      </c>
      <c r="P528" s="3" t="n">
        <v>729925.63</v>
      </c>
      <c r="Q528" s="3" t="n">
        <v>287967.43</v>
      </c>
      <c r="R528" s="3" t="n">
        <v>0.2829</v>
      </c>
      <c r="S528" s="3" t="n">
        <v>0.1126</v>
      </c>
      <c r="T528" s="3" t="n">
        <v>0.0228</v>
      </c>
    </row>
    <row r="529" customFormat="false" ht="15" hidden="false" customHeight="true" outlineLevel="0" collapsed="false">
      <c r="A529" s="3" t="s">
        <v>1018</v>
      </c>
      <c r="B529" s="3" t="s">
        <v>652</v>
      </c>
      <c r="C529" s="3" t="s">
        <v>53</v>
      </c>
      <c r="D529" s="3" t="s">
        <v>38</v>
      </c>
      <c r="E529" s="3" t="s">
        <v>39</v>
      </c>
      <c r="F529" s="3" t="s">
        <v>40</v>
      </c>
      <c r="G529" s="3" t="s">
        <v>71</v>
      </c>
      <c r="H529" s="3" t="s">
        <v>64</v>
      </c>
      <c r="I529" s="3" t="s">
        <v>65</v>
      </c>
      <c r="J529" s="3" t="n">
        <v>25</v>
      </c>
      <c r="K529" s="3" t="n">
        <v>11384.31</v>
      </c>
      <c r="L529" s="3" t="n">
        <v>284607.75</v>
      </c>
      <c r="M529" s="3" t="n">
        <v>0.0455</v>
      </c>
      <c r="N529" s="3" t="n">
        <v>12949.65</v>
      </c>
      <c r="O529" s="3" t="n">
        <v>271658.1</v>
      </c>
      <c r="P529" s="3" t="n">
        <v>165072.49</v>
      </c>
      <c r="Q529" s="3" t="n">
        <v>106585.61</v>
      </c>
      <c r="R529" s="3" t="n">
        <v>0.3924</v>
      </c>
      <c r="S529" s="3" t="n">
        <v>0.0464</v>
      </c>
      <c r="T529" s="3" t="n">
        <v>-0.0009</v>
      </c>
    </row>
    <row r="530" customFormat="false" ht="15" hidden="false" customHeight="true" outlineLevel="0" collapsed="false">
      <c r="A530" s="3" t="s">
        <v>1019</v>
      </c>
      <c r="B530" s="3" t="s">
        <v>747</v>
      </c>
      <c r="C530" s="3" t="s">
        <v>37</v>
      </c>
      <c r="D530" s="3" t="s">
        <v>83</v>
      </c>
      <c r="E530" s="3" t="s">
        <v>48</v>
      </c>
      <c r="F530" s="3" t="s">
        <v>62</v>
      </c>
      <c r="G530" s="3" t="s">
        <v>100</v>
      </c>
      <c r="H530" s="3" t="s">
        <v>64</v>
      </c>
      <c r="I530" s="3" t="s">
        <v>108</v>
      </c>
      <c r="J530" s="3" t="n">
        <v>2</v>
      </c>
      <c r="K530" s="3" t="n">
        <v>10546.66</v>
      </c>
      <c r="L530" s="3" t="n">
        <v>21093.32</v>
      </c>
      <c r="M530" s="3" t="n">
        <v>0.0318</v>
      </c>
      <c r="N530" s="3" t="n">
        <v>670.77</v>
      </c>
      <c r="O530" s="3" t="n">
        <v>20422.55</v>
      </c>
      <c r="P530" s="3" t="n">
        <v>12234.13</v>
      </c>
      <c r="Q530" s="3" t="n">
        <v>8188.42</v>
      </c>
      <c r="R530" s="3" t="n">
        <v>0.4009</v>
      </c>
      <c r="S530" s="3" t="n">
        <v>0.0336</v>
      </c>
      <c r="T530" s="3" t="n">
        <v>-0.0018</v>
      </c>
    </row>
    <row r="531" customFormat="false" ht="15" hidden="false" customHeight="true" outlineLevel="0" collapsed="false">
      <c r="A531" s="3" t="s">
        <v>1020</v>
      </c>
      <c r="B531" s="3" t="s">
        <v>1021</v>
      </c>
      <c r="C531" s="3" t="s">
        <v>60</v>
      </c>
      <c r="D531" s="3" t="s">
        <v>103</v>
      </c>
      <c r="E531" s="3" t="s">
        <v>24</v>
      </c>
      <c r="F531" s="3" t="s">
        <v>62</v>
      </c>
      <c r="G531" s="3" t="s">
        <v>100</v>
      </c>
      <c r="H531" s="3" t="s">
        <v>77</v>
      </c>
      <c r="I531" s="3" t="s">
        <v>78</v>
      </c>
      <c r="J531" s="3" t="n">
        <v>36</v>
      </c>
      <c r="K531" s="3" t="n">
        <v>5687.32</v>
      </c>
      <c r="L531" s="3" t="n">
        <v>204743.52</v>
      </c>
      <c r="M531" s="3" t="n">
        <v>0.0522</v>
      </c>
      <c r="N531" s="3" t="n">
        <v>10687.61</v>
      </c>
      <c r="O531" s="3" t="n">
        <v>194055.91</v>
      </c>
      <c r="P531" s="3" t="n">
        <v>139225.59</v>
      </c>
      <c r="Q531" s="3" t="n">
        <v>54830.32</v>
      </c>
      <c r="R531" s="3" t="n">
        <v>0.2825</v>
      </c>
      <c r="S531" s="3" t="n">
        <v>0.0511</v>
      </c>
      <c r="T531" s="3" t="n">
        <v>0.0011</v>
      </c>
    </row>
    <row r="532" customFormat="false" ht="15" hidden="false" customHeight="true" outlineLevel="0" collapsed="false">
      <c r="A532" s="3" t="s">
        <v>1022</v>
      </c>
      <c r="B532" s="3" t="s">
        <v>1023</v>
      </c>
      <c r="C532" s="3" t="s">
        <v>37</v>
      </c>
      <c r="D532" s="3" t="s">
        <v>83</v>
      </c>
      <c r="E532" s="3" t="s">
        <v>48</v>
      </c>
      <c r="F532" s="3" t="s">
        <v>62</v>
      </c>
      <c r="G532" s="3" t="s">
        <v>100</v>
      </c>
      <c r="H532" s="3" t="s">
        <v>56</v>
      </c>
      <c r="I532" s="3" t="s">
        <v>57</v>
      </c>
      <c r="J532" s="3" t="n">
        <v>35</v>
      </c>
      <c r="K532" s="3" t="n">
        <v>12236.58</v>
      </c>
      <c r="L532" s="3" t="n">
        <v>428280.3</v>
      </c>
      <c r="M532" s="3" t="n">
        <v>0.0455</v>
      </c>
      <c r="N532" s="3" t="n">
        <v>19486.75</v>
      </c>
      <c r="O532" s="3" t="n">
        <v>408793.55</v>
      </c>
      <c r="P532" s="3" t="n">
        <v>256968.18</v>
      </c>
      <c r="Q532" s="3" t="n">
        <v>151825.37</v>
      </c>
      <c r="R532" s="3" t="n">
        <v>0.3714</v>
      </c>
      <c r="S532" s="3" t="n">
        <v>0.043</v>
      </c>
      <c r="T532" s="3" t="n">
        <v>0.0025</v>
      </c>
    </row>
    <row r="533" customFormat="false" ht="15" hidden="false" customHeight="true" outlineLevel="0" collapsed="false">
      <c r="A533" s="3" t="s">
        <v>1024</v>
      </c>
      <c r="B533" s="3" t="s">
        <v>1025</v>
      </c>
      <c r="C533" s="3" t="s">
        <v>156</v>
      </c>
      <c r="D533" s="3" t="s">
        <v>69</v>
      </c>
      <c r="E533" s="3" t="s">
        <v>39</v>
      </c>
      <c r="F533" s="3" t="s">
        <v>70</v>
      </c>
      <c r="G533" s="3" t="s">
        <v>76</v>
      </c>
      <c r="H533" s="3" t="s">
        <v>27</v>
      </c>
      <c r="I533" s="3" t="s">
        <v>173</v>
      </c>
      <c r="J533" s="3" t="n">
        <v>17</v>
      </c>
      <c r="K533" s="3" t="n">
        <v>19705.07</v>
      </c>
      <c r="L533" s="3" t="n">
        <v>334986.19</v>
      </c>
      <c r="M533" s="3" t="n">
        <v>0.0378</v>
      </c>
      <c r="N533" s="3" t="n">
        <v>12662.48</v>
      </c>
      <c r="O533" s="3" t="n">
        <v>322323.71</v>
      </c>
      <c r="P533" s="3" t="n">
        <v>207691.44</v>
      </c>
      <c r="Q533" s="3" t="n">
        <v>114632.27</v>
      </c>
      <c r="R533" s="3" t="n">
        <v>0.3556</v>
      </c>
      <c r="S533" s="3" t="n">
        <v>0.0302</v>
      </c>
      <c r="T533" s="3" t="n">
        <v>0.0076</v>
      </c>
    </row>
    <row r="534" customFormat="false" ht="15" hidden="false" customHeight="true" outlineLevel="0" collapsed="false">
      <c r="A534" s="3" t="s">
        <v>1026</v>
      </c>
      <c r="B534" s="3" t="s">
        <v>521</v>
      </c>
      <c r="C534" s="3" t="s">
        <v>93</v>
      </c>
      <c r="D534" s="3" t="s">
        <v>75</v>
      </c>
      <c r="E534" s="3" t="s">
        <v>39</v>
      </c>
      <c r="F534" s="3" t="s">
        <v>25</v>
      </c>
      <c r="G534" s="3" t="s">
        <v>84</v>
      </c>
      <c r="H534" s="3" t="s">
        <v>42</v>
      </c>
      <c r="I534" s="3" t="s">
        <v>134</v>
      </c>
      <c r="J534" s="3" t="n">
        <v>45</v>
      </c>
      <c r="K534" s="3" t="n">
        <v>2372.85</v>
      </c>
      <c r="L534" s="3" t="n">
        <v>106778.25</v>
      </c>
      <c r="M534" s="3" t="n">
        <v>0.1919</v>
      </c>
      <c r="N534" s="3" t="n">
        <v>20490.75</v>
      </c>
      <c r="O534" s="3" t="n">
        <v>86287.5</v>
      </c>
      <c r="P534" s="3" t="n">
        <v>58728.04</v>
      </c>
      <c r="Q534" s="3" t="n">
        <v>27559.46</v>
      </c>
      <c r="R534" s="3" t="n">
        <v>0.3194</v>
      </c>
      <c r="S534" s="3" t="n">
        <v>0.1707</v>
      </c>
      <c r="T534" s="3" t="n">
        <v>0.0212</v>
      </c>
    </row>
    <row r="535" customFormat="false" ht="15" hidden="false" customHeight="true" outlineLevel="0" collapsed="false">
      <c r="A535" s="3" t="s">
        <v>1027</v>
      </c>
      <c r="B535" s="3" t="s">
        <v>722</v>
      </c>
      <c r="C535" s="3" t="s">
        <v>46</v>
      </c>
      <c r="D535" s="3" t="s">
        <v>47</v>
      </c>
      <c r="E535" s="3" t="s">
        <v>48</v>
      </c>
      <c r="F535" s="3" t="s">
        <v>25</v>
      </c>
      <c r="G535" s="3" t="s">
        <v>34</v>
      </c>
      <c r="H535" s="3" t="s">
        <v>42</v>
      </c>
      <c r="I535" s="3" t="s">
        <v>72</v>
      </c>
      <c r="J535" s="3" t="n">
        <v>36</v>
      </c>
      <c r="K535" s="3" t="n">
        <v>3288.69</v>
      </c>
      <c r="L535" s="3" t="n">
        <v>118392.84</v>
      </c>
      <c r="M535" s="3" t="n">
        <v>0.164</v>
      </c>
      <c r="N535" s="3" t="n">
        <v>19416.43</v>
      </c>
      <c r="O535" s="3" t="n">
        <v>98976.41</v>
      </c>
      <c r="P535" s="3" t="n">
        <v>65116.06</v>
      </c>
      <c r="Q535" s="3" t="n">
        <v>33860.35</v>
      </c>
      <c r="R535" s="3" t="n">
        <v>0.3421</v>
      </c>
      <c r="S535" s="3" t="n">
        <v>0.1435</v>
      </c>
      <c r="T535" s="3" t="n">
        <v>0.0205</v>
      </c>
    </row>
    <row r="536" customFormat="false" ht="15" hidden="false" customHeight="true" outlineLevel="0" collapsed="false">
      <c r="A536" s="3" t="s">
        <v>1028</v>
      </c>
      <c r="B536" s="3" t="s">
        <v>1029</v>
      </c>
      <c r="C536" s="3" t="s">
        <v>126</v>
      </c>
      <c r="D536" s="3" t="s">
        <v>97</v>
      </c>
      <c r="E536" s="3" t="s">
        <v>48</v>
      </c>
      <c r="F536" s="3" t="s">
        <v>40</v>
      </c>
      <c r="G536" s="3" t="s">
        <v>34</v>
      </c>
      <c r="H536" s="3" t="s">
        <v>77</v>
      </c>
      <c r="I536" s="3" t="s">
        <v>78</v>
      </c>
      <c r="J536" s="3" t="n">
        <v>28</v>
      </c>
      <c r="K536" s="3" t="n">
        <v>2462.31</v>
      </c>
      <c r="L536" s="3" t="n">
        <v>68944.68</v>
      </c>
      <c r="M536" s="3" t="n">
        <v>0.1019</v>
      </c>
      <c r="N536" s="3" t="n">
        <v>7025.46</v>
      </c>
      <c r="O536" s="3" t="n">
        <v>61919.22</v>
      </c>
      <c r="P536" s="3" t="n">
        <v>46882.38</v>
      </c>
      <c r="Q536" s="3" t="n">
        <v>15036.84</v>
      </c>
      <c r="R536" s="3" t="n">
        <v>0.2428</v>
      </c>
      <c r="S536" s="3" t="n">
        <v>0.0902</v>
      </c>
      <c r="T536" s="3" t="n">
        <v>0.0117</v>
      </c>
    </row>
    <row r="537" customFormat="false" ht="15" hidden="false" customHeight="true" outlineLevel="0" collapsed="false">
      <c r="A537" s="3" t="s">
        <v>1030</v>
      </c>
      <c r="B537" s="3" t="s">
        <v>1031</v>
      </c>
      <c r="C537" s="3" t="s">
        <v>126</v>
      </c>
      <c r="D537" s="3" t="s">
        <v>97</v>
      </c>
      <c r="E537" s="3" t="s">
        <v>48</v>
      </c>
      <c r="F537" s="3" t="s">
        <v>40</v>
      </c>
      <c r="G537" s="3" t="s">
        <v>63</v>
      </c>
      <c r="H537" s="3" t="s">
        <v>56</v>
      </c>
      <c r="I537" s="3" t="s">
        <v>57</v>
      </c>
      <c r="J537" s="3" t="n">
        <v>5</v>
      </c>
      <c r="K537" s="3" t="n">
        <v>5008.01</v>
      </c>
      <c r="L537" s="3" t="n">
        <v>25040.05</v>
      </c>
      <c r="M537" s="3" t="n">
        <v>0.0391</v>
      </c>
      <c r="N537" s="3" t="n">
        <v>979.07</v>
      </c>
      <c r="O537" s="3" t="n">
        <v>24060.98</v>
      </c>
      <c r="P537" s="3" t="n">
        <v>15024.03</v>
      </c>
      <c r="Q537" s="3" t="n">
        <v>9036.95</v>
      </c>
      <c r="R537" s="3" t="n">
        <v>0.3756</v>
      </c>
      <c r="S537" s="3" t="n">
        <v>0.0326</v>
      </c>
      <c r="T537" s="3" t="n">
        <v>0.0065</v>
      </c>
    </row>
    <row r="538" customFormat="false" ht="15" hidden="false" customHeight="true" outlineLevel="0" collapsed="false">
      <c r="A538" s="3" t="s">
        <v>1032</v>
      </c>
      <c r="B538" s="3" t="s">
        <v>728</v>
      </c>
      <c r="C538" s="3" t="s">
        <v>156</v>
      </c>
      <c r="D538" s="3" t="s">
        <v>83</v>
      </c>
      <c r="E538" s="3" t="s">
        <v>48</v>
      </c>
      <c r="F538" s="3" t="s">
        <v>62</v>
      </c>
      <c r="G538" s="3" t="s">
        <v>76</v>
      </c>
      <c r="H538" s="3" t="s">
        <v>56</v>
      </c>
      <c r="I538" s="3" t="s">
        <v>57</v>
      </c>
      <c r="J538" s="3" t="n">
        <v>32</v>
      </c>
      <c r="K538" s="3" t="n">
        <v>13207.56</v>
      </c>
      <c r="L538" s="3" t="n">
        <v>422641.92</v>
      </c>
      <c r="M538" s="3" t="n">
        <v>0.0394</v>
      </c>
      <c r="N538" s="3" t="n">
        <v>16652.09</v>
      </c>
      <c r="O538" s="3" t="n">
        <v>405989.83</v>
      </c>
      <c r="P538" s="3" t="n">
        <v>253585.15</v>
      </c>
      <c r="Q538" s="3" t="n">
        <v>152404.68</v>
      </c>
      <c r="R538" s="3" t="n">
        <v>0.3754</v>
      </c>
      <c r="S538" s="3" t="n">
        <v>0.0333</v>
      </c>
      <c r="T538" s="3" t="n">
        <v>0.0061</v>
      </c>
    </row>
    <row r="539" customFormat="false" ht="15" hidden="false" customHeight="true" outlineLevel="0" collapsed="false">
      <c r="A539" s="3" t="s">
        <v>1033</v>
      </c>
      <c r="B539" s="3" t="s">
        <v>1034</v>
      </c>
      <c r="C539" s="3" t="s">
        <v>53</v>
      </c>
      <c r="D539" s="3" t="s">
        <v>107</v>
      </c>
      <c r="E539" s="3" t="s">
        <v>33</v>
      </c>
      <c r="F539" s="3" t="s">
        <v>70</v>
      </c>
      <c r="G539" s="3" t="s">
        <v>116</v>
      </c>
      <c r="H539" s="3" t="s">
        <v>27</v>
      </c>
      <c r="I539" s="3" t="s">
        <v>117</v>
      </c>
      <c r="J539" s="3" t="n">
        <v>9</v>
      </c>
      <c r="K539" s="3" t="n">
        <v>17027.67</v>
      </c>
      <c r="L539" s="3" t="n">
        <v>153249.03</v>
      </c>
      <c r="M539" s="3" t="n">
        <v>0.1148</v>
      </c>
      <c r="N539" s="3" t="n">
        <v>17592.99</v>
      </c>
      <c r="O539" s="3" t="n">
        <v>135656.04</v>
      </c>
      <c r="P539" s="3" t="n">
        <v>95014.4</v>
      </c>
      <c r="Q539" s="3" t="n">
        <v>40641.64</v>
      </c>
      <c r="R539" s="3" t="n">
        <v>0.2996</v>
      </c>
      <c r="S539" s="3" t="n">
        <v>0.095</v>
      </c>
      <c r="T539" s="3" t="n">
        <v>0.0198</v>
      </c>
    </row>
    <row r="540" customFormat="false" ht="15" hidden="false" customHeight="true" outlineLevel="0" collapsed="false">
      <c r="A540" s="3" t="s">
        <v>1035</v>
      </c>
      <c r="B540" s="3" t="s">
        <v>1036</v>
      </c>
      <c r="C540" s="3" t="s">
        <v>156</v>
      </c>
      <c r="D540" s="3" t="s">
        <v>32</v>
      </c>
      <c r="E540" s="3" t="s">
        <v>33</v>
      </c>
      <c r="F540" s="3" t="s">
        <v>25</v>
      </c>
      <c r="G540" s="3" t="s">
        <v>49</v>
      </c>
      <c r="H540" s="3" t="s">
        <v>77</v>
      </c>
      <c r="I540" s="3" t="s">
        <v>131</v>
      </c>
      <c r="J540" s="3" t="n">
        <v>32</v>
      </c>
      <c r="K540" s="3" t="n">
        <v>3217.17</v>
      </c>
      <c r="L540" s="3" t="n">
        <v>102949.44</v>
      </c>
      <c r="M540" s="3" t="n">
        <v>0.157</v>
      </c>
      <c r="N540" s="3" t="n">
        <v>16163.06</v>
      </c>
      <c r="O540" s="3" t="n">
        <v>86786.38</v>
      </c>
      <c r="P540" s="3" t="n">
        <v>70005.62</v>
      </c>
      <c r="Q540" s="3" t="n">
        <v>16780.76</v>
      </c>
      <c r="R540" s="3" t="n">
        <v>0.1934</v>
      </c>
      <c r="S540" s="3" t="n">
        <v>0.1411</v>
      </c>
      <c r="T540" s="3" t="n">
        <v>0.0159</v>
      </c>
    </row>
    <row r="541" customFormat="false" ht="15" hidden="false" customHeight="true" outlineLevel="0" collapsed="false">
      <c r="A541" s="3" t="s">
        <v>1037</v>
      </c>
      <c r="B541" s="3" t="s">
        <v>1038</v>
      </c>
      <c r="C541" s="3" t="s">
        <v>53</v>
      </c>
      <c r="D541" s="3" t="s">
        <v>75</v>
      </c>
      <c r="E541" s="3" t="s">
        <v>39</v>
      </c>
      <c r="F541" s="3" t="s">
        <v>25</v>
      </c>
      <c r="G541" s="3" t="s">
        <v>63</v>
      </c>
      <c r="H541" s="3" t="s">
        <v>27</v>
      </c>
      <c r="I541" s="3" t="s">
        <v>50</v>
      </c>
      <c r="J541" s="3" t="n">
        <v>31</v>
      </c>
      <c r="K541" s="3" t="n">
        <v>10284.31</v>
      </c>
      <c r="L541" s="3" t="n">
        <v>318813.61</v>
      </c>
      <c r="M541" s="3" t="n">
        <v>0.1507</v>
      </c>
      <c r="N541" s="3" t="n">
        <v>48045.21</v>
      </c>
      <c r="O541" s="3" t="n">
        <v>270768.4</v>
      </c>
      <c r="P541" s="3" t="n">
        <v>197664.44</v>
      </c>
      <c r="Q541" s="3" t="n">
        <v>73103.96</v>
      </c>
      <c r="R541" s="3" t="n">
        <v>0.27</v>
      </c>
      <c r="S541" s="3" t="n">
        <v>0.1575</v>
      </c>
      <c r="T541" s="3" t="n">
        <v>-0.0068</v>
      </c>
    </row>
    <row r="542" customFormat="false" ht="15" hidden="false" customHeight="true" outlineLevel="0" collapsed="false">
      <c r="A542" s="3" t="s">
        <v>1039</v>
      </c>
      <c r="B542" s="3" t="s">
        <v>1008</v>
      </c>
      <c r="C542" s="3" t="s">
        <v>113</v>
      </c>
      <c r="D542" s="3" t="s">
        <v>32</v>
      </c>
      <c r="E542" s="3" t="s">
        <v>33</v>
      </c>
      <c r="F542" s="3" t="s">
        <v>25</v>
      </c>
      <c r="G542" s="3" t="s">
        <v>63</v>
      </c>
      <c r="H542" s="3" t="s">
        <v>27</v>
      </c>
      <c r="I542" s="3" t="s">
        <v>117</v>
      </c>
      <c r="J542" s="3" t="n">
        <v>29</v>
      </c>
      <c r="K542" s="3" t="n">
        <v>32679.21</v>
      </c>
      <c r="L542" s="3" t="n">
        <v>947697.09</v>
      </c>
      <c r="M542" s="3" t="n">
        <v>0.1619</v>
      </c>
      <c r="N542" s="3" t="n">
        <v>153432.16</v>
      </c>
      <c r="O542" s="3" t="n">
        <v>794264.93</v>
      </c>
      <c r="P542" s="3" t="n">
        <v>587572.2</v>
      </c>
      <c r="Q542" s="3" t="n">
        <v>206692.73</v>
      </c>
      <c r="R542" s="3" t="n">
        <v>0.2602</v>
      </c>
      <c r="S542" s="3" t="n">
        <v>0.1519</v>
      </c>
      <c r="T542" s="3" t="n">
        <v>0.01</v>
      </c>
    </row>
    <row r="543" customFormat="false" ht="15" hidden="false" customHeight="true" outlineLevel="0" collapsed="false">
      <c r="A543" s="3" t="s">
        <v>1040</v>
      </c>
      <c r="B543" s="3" t="s">
        <v>1041</v>
      </c>
      <c r="C543" s="3" t="s">
        <v>60</v>
      </c>
      <c r="D543" s="3" t="s">
        <v>61</v>
      </c>
      <c r="E543" s="3" t="s">
        <v>33</v>
      </c>
      <c r="F543" s="3" t="s">
        <v>62</v>
      </c>
      <c r="G543" s="3" t="s">
        <v>34</v>
      </c>
      <c r="H543" s="3" t="s">
        <v>56</v>
      </c>
      <c r="I543" s="3" t="s">
        <v>121</v>
      </c>
      <c r="J543" s="3" t="n">
        <v>44</v>
      </c>
      <c r="K543" s="3" t="n">
        <v>9565.21</v>
      </c>
      <c r="L543" s="3" t="n">
        <v>420869.24</v>
      </c>
      <c r="M543" s="3" t="n">
        <v>0.1355</v>
      </c>
      <c r="N543" s="3" t="n">
        <v>57027.78</v>
      </c>
      <c r="O543" s="3" t="n">
        <v>363841.46</v>
      </c>
      <c r="P543" s="3" t="n">
        <v>252521.54</v>
      </c>
      <c r="Q543" s="3" t="n">
        <v>111319.92</v>
      </c>
      <c r="R543" s="3" t="n">
        <v>0.306</v>
      </c>
      <c r="S543" s="3" t="n">
        <v>0.134</v>
      </c>
      <c r="T543" s="3" t="n">
        <v>0.0015</v>
      </c>
    </row>
    <row r="544" customFormat="false" ht="15" hidden="false" customHeight="true" outlineLevel="0" collapsed="false">
      <c r="A544" s="3" t="s">
        <v>1042</v>
      </c>
      <c r="B544" s="3" t="s">
        <v>1043</v>
      </c>
      <c r="C544" s="3" t="s">
        <v>113</v>
      </c>
      <c r="D544" s="3" t="s">
        <v>32</v>
      </c>
      <c r="E544" s="3" t="s">
        <v>33</v>
      </c>
      <c r="F544" s="3" t="s">
        <v>25</v>
      </c>
      <c r="G544" s="3" t="s">
        <v>116</v>
      </c>
      <c r="H544" s="3" t="s">
        <v>56</v>
      </c>
      <c r="I544" s="3" t="s">
        <v>121</v>
      </c>
      <c r="J544" s="3" t="n">
        <v>41</v>
      </c>
      <c r="K544" s="3" t="n">
        <v>6053</v>
      </c>
      <c r="L544" s="3" t="n">
        <v>248173</v>
      </c>
      <c r="M544" s="3" t="n">
        <v>0.1359</v>
      </c>
      <c r="N544" s="3" t="n">
        <v>33726.71</v>
      </c>
      <c r="O544" s="3" t="n">
        <v>214446.29</v>
      </c>
      <c r="P544" s="3" t="n">
        <v>148903.8</v>
      </c>
      <c r="Q544" s="3" t="n">
        <v>65542.49</v>
      </c>
      <c r="R544" s="3" t="n">
        <v>0.3056</v>
      </c>
      <c r="S544" s="3" t="n">
        <v>0.1484</v>
      </c>
      <c r="T544" s="3" t="n">
        <v>-0.0125</v>
      </c>
    </row>
    <row r="545" customFormat="false" ht="15" hidden="false" customHeight="true" outlineLevel="0" collapsed="false">
      <c r="A545" s="3" t="s">
        <v>1044</v>
      </c>
      <c r="B545" s="3" t="s">
        <v>556</v>
      </c>
      <c r="C545" s="3" t="s">
        <v>53</v>
      </c>
      <c r="D545" s="3" t="s">
        <v>69</v>
      </c>
      <c r="E545" s="3" t="s">
        <v>39</v>
      </c>
      <c r="F545" s="3" t="s">
        <v>70</v>
      </c>
      <c r="G545" s="3" t="s">
        <v>104</v>
      </c>
      <c r="H545" s="3" t="s">
        <v>77</v>
      </c>
      <c r="I545" s="3" t="s">
        <v>78</v>
      </c>
      <c r="J545" s="3" t="n">
        <v>18</v>
      </c>
      <c r="K545" s="3" t="n">
        <v>2003.33</v>
      </c>
      <c r="L545" s="3" t="n">
        <v>36059.94</v>
      </c>
      <c r="M545" s="3" t="n">
        <v>0.0951</v>
      </c>
      <c r="N545" s="3" t="n">
        <v>3429.3</v>
      </c>
      <c r="O545" s="3" t="n">
        <v>32630.64</v>
      </c>
      <c r="P545" s="3" t="n">
        <v>24520.76</v>
      </c>
      <c r="Q545" s="3" t="n">
        <v>8109.88</v>
      </c>
      <c r="R545" s="3" t="n">
        <v>0.2485</v>
      </c>
      <c r="S545" s="3" t="n">
        <v>0.0763</v>
      </c>
      <c r="T545" s="3" t="n">
        <v>0.0188</v>
      </c>
    </row>
    <row r="546" customFormat="false" ht="15" hidden="false" customHeight="true" outlineLevel="0" collapsed="false">
      <c r="A546" s="3" t="s">
        <v>1045</v>
      </c>
      <c r="B546" s="3" t="s">
        <v>972</v>
      </c>
      <c r="C546" s="3" t="s">
        <v>60</v>
      </c>
      <c r="D546" s="3" t="s">
        <v>32</v>
      </c>
      <c r="E546" s="3" t="s">
        <v>33</v>
      </c>
      <c r="F546" s="3" t="s">
        <v>25</v>
      </c>
      <c r="G546" s="3" t="s">
        <v>84</v>
      </c>
      <c r="H546" s="3" t="s">
        <v>56</v>
      </c>
      <c r="I546" s="3" t="s">
        <v>121</v>
      </c>
      <c r="J546" s="3" t="n">
        <v>10</v>
      </c>
      <c r="K546" s="3" t="n">
        <v>13014.5</v>
      </c>
      <c r="L546" s="3" t="n">
        <v>130145</v>
      </c>
      <c r="M546" s="3" t="n">
        <v>0.0957</v>
      </c>
      <c r="N546" s="3" t="n">
        <v>12454.88</v>
      </c>
      <c r="O546" s="3" t="n">
        <v>117690.12</v>
      </c>
      <c r="P546" s="3" t="n">
        <v>78087</v>
      </c>
      <c r="Q546" s="3" t="n">
        <v>39603.12</v>
      </c>
      <c r="R546" s="3" t="n">
        <v>0.3365</v>
      </c>
      <c r="S546" s="3" t="n">
        <v>0.0909</v>
      </c>
      <c r="T546" s="3" t="n">
        <v>0.0048</v>
      </c>
    </row>
    <row r="547" customFormat="false" ht="15" hidden="false" customHeight="true" outlineLevel="0" collapsed="false">
      <c r="A547" s="3" t="s">
        <v>1046</v>
      </c>
      <c r="B547" s="3" t="s">
        <v>513</v>
      </c>
      <c r="C547" s="3" t="s">
        <v>120</v>
      </c>
      <c r="D547" s="3" t="s">
        <v>23</v>
      </c>
      <c r="E547" s="3" t="s">
        <v>24</v>
      </c>
      <c r="F547" s="3" t="s">
        <v>25</v>
      </c>
      <c r="G547" s="3" t="s">
        <v>71</v>
      </c>
      <c r="H547" s="3" t="s">
        <v>56</v>
      </c>
      <c r="I547" s="3" t="s">
        <v>57</v>
      </c>
      <c r="J547" s="3" t="n">
        <v>23</v>
      </c>
      <c r="K547" s="3" t="n">
        <v>2960.84</v>
      </c>
      <c r="L547" s="3" t="n">
        <v>68099.32</v>
      </c>
      <c r="M547" s="3" t="n">
        <v>0.1583</v>
      </c>
      <c r="N547" s="3" t="n">
        <v>10780.12</v>
      </c>
      <c r="O547" s="3" t="n">
        <v>57319.2</v>
      </c>
      <c r="P547" s="3" t="n">
        <v>40859.59</v>
      </c>
      <c r="Q547" s="3" t="n">
        <v>16459.61</v>
      </c>
      <c r="R547" s="3" t="n">
        <v>0.2872</v>
      </c>
      <c r="S547" s="3" t="n">
        <v>0.1326</v>
      </c>
      <c r="T547" s="3" t="n">
        <v>0.0257</v>
      </c>
    </row>
    <row r="548" customFormat="false" ht="15" hidden="false" customHeight="true" outlineLevel="0" collapsed="false">
      <c r="A548" s="3" t="s">
        <v>1047</v>
      </c>
      <c r="B548" s="3" t="s">
        <v>1048</v>
      </c>
      <c r="C548" s="3" t="s">
        <v>156</v>
      </c>
      <c r="D548" s="3" t="s">
        <v>69</v>
      </c>
      <c r="E548" s="3" t="s">
        <v>39</v>
      </c>
      <c r="F548" s="3" t="s">
        <v>70</v>
      </c>
      <c r="G548" s="3" t="s">
        <v>71</v>
      </c>
      <c r="H548" s="3" t="s">
        <v>42</v>
      </c>
      <c r="I548" s="3" t="s">
        <v>72</v>
      </c>
      <c r="J548" s="3" t="n">
        <v>29</v>
      </c>
      <c r="K548" s="3" t="n">
        <v>3148.44</v>
      </c>
      <c r="L548" s="3" t="n">
        <v>91304.76</v>
      </c>
      <c r="M548" s="3" t="n">
        <v>0.0667</v>
      </c>
      <c r="N548" s="3" t="n">
        <v>6090.03</v>
      </c>
      <c r="O548" s="3" t="n">
        <v>85214.73</v>
      </c>
      <c r="P548" s="3" t="n">
        <v>50217.62</v>
      </c>
      <c r="Q548" s="3" t="n">
        <v>34997.11</v>
      </c>
      <c r="R548" s="3" t="n">
        <v>0.4107</v>
      </c>
      <c r="S548" s="3" t="n">
        <v>0.0671</v>
      </c>
      <c r="T548" s="3" t="n">
        <v>-0.0004</v>
      </c>
    </row>
    <row r="549" customFormat="false" ht="15" hidden="false" customHeight="true" outlineLevel="0" collapsed="false">
      <c r="A549" s="3" t="s">
        <v>1049</v>
      </c>
      <c r="B549" s="3" t="s">
        <v>1050</v>
      </c>
      <c r="C549" s="3" t="s">
        <v>93</v>
      </c>
      <c r="D549" s="3" t="s">
        <v>103</v>
      </c>
      <c r="E549" s="3" t="s">
        <v>24</v>
      </c>
      <c r="F549" s="3" t="s">
        <v>62</v>
      </c>
      <c r="G549" s="3" t="s">
        <v>104</v>
      </c>
      <c r="H549" s="3" t="s">
        <v>64</v>
      </c>
      <c r="I549" s="3" t="s">
        <v>145</v>
      </c>
      <c r="J549" s="3" t="n">
        <v>29</v>
      </c>
      <c r="K549" s="3" t="n">
        <v>7367.72</v>
      </c>
      <c r="L549" s="3" t="n">
        <v>213663.88</v>
      </c>
      <c r="M549" s="3" t="n">
        <v>0.0997</v>
      </c>
      <c r="N549" s="3" t="n">
        <v>21302.29</v>
      </c>
      <c r="O549" s="3" t="n">
        <v>192361.59</v>
      </c>
      <c r="P549" s="3" t="n">
        <v>123925.05</v>
      </c>
      <c r="Q549" s="3" t="n">
        <v>68436.54</v>
      </c>
      <c r="R549" s="3" t="n">
        <v>0.3558</v>
      </c>
      <c r="S549" s="3" t="n">
        <v>0.0854</v>
      </c>
      <c r="T549" s="3" t="n">
        <v>0.0143</v>
      </c>
    </row>
    <row r="550" customFormat="false" ht="15" hidden="false" customHeight="true" outlineLevel="0" collapsed="false">
      <c r="A550" s="3" t="s">
        <v>1051</v>
      </c>
      <c r="B550" s="3" t="s">
        <v>1052</v>
      </c>
      <c r="C550" s="3" t="s">
        <v>60</v>
      </c>
      <c r="D550" s="3" t="s">
        <v>75</v>
      </c>
      <c r="E550" s="3" t="s">
        <v>39</v>
      </c>
      <c r="F550" s="3" t="s">
        <v>25</v>
      </c>
      <c r="G550" s="3" t="s">
        <v>49</v>
      </c>
      <c r="H550" s="3" t="s">
        <v>56</v>
      </c>
      <c r="I550" s="3" t="s">
        <v>57</v>
      </c>
      <c r="J550" s="3" t="n">
        <v>18</v>
      </c>
      <c r="K550" s="3" t="n">
        <v>13718.44</v>
      </c>
      <c r="L550" s="3" t="n">
        <v>246931.92</v>
      </c>
      <c r="M550" s="3" t="n">
        <v>0.1613</v>
      </c>
      <c r="N550" s="3" t="n">
        <v>39830.12</v>
      </c>
      <c r="O550" s="3" t="n">
        <v>207101.8</v>
      </c>
      <c r="P550" s="3" t="n">
        <v>148159.15</v>
      </c>
      <c r="Q550" s="3" t="n">
        <v>58942.65</v>
      </c>
      <c r="R550" s="3" t="n">
        <v>0.2846</v>
      </c>
      <c r="S550" s="3" t="n">
        <v>0.1324</v>
      </c>
      <c r="T550" s="3" t="n">
        <v>0.0289</v>
      </c>
    </row>
    <row r="551" customFormat="false" ht="15" hidden="false" customHeight="true" outlineLevel="0" collapsed="false">
      <c r="A551" s="3" t="s">
        <v>1053</v>
      </c>
      <c r="B551" s="3" t="s">
        <v>208</v>
      </c>
      <c r="C551" s="3" t="s">
        <v>46</v>
      </c>
      <c r="D551" s="3" t="s">
        <v>75</v>
      </c>
      <c r="E551" s="3" t="s">
        <v>39</v>
      </c>
      <c r="F551" s="3" t="s">
        <v>25</v>
      </c>
      <c r="G551" s="3" t="s">
        <v>76</v>
      </c>
      <c r="H551" s="3" t="s">
        <v>77</v>
      </c>
      <c r="I551" s="3" t="s">
        <v>78</v>
      </c>
      <c r="J551" s="3" t="n">
        <v>30</v>
      </c>
      <c r="K551" s="3" t="n">
        <v>3799.71</v>
      </c>
      <c r="L551" s="3" t="n">
        <v>113991.3</v>
      </c>
      <c r="M551" s="3" t="n">
        <v>0.1211</v>
      </c>
      <c r="N551" s="3" t="n">
        <v>13804.35</v>
      </c>
      <c r="O551" s="3" t="n">
        <v>100186.95</v>
      </c>
      <c r="P551" s="3" t="n">
        <v>77514.08</v>
      </c>
      <c r="Q551" s="3" t="n">
        <v>22672.87</v>
      </c>
      <c r="R551" s="3" t="n">
        <v>0.2263</v>
      </c>
      <c r="S551" s="3" t="n">
        <v>0.1235</v>
      </c>
      <c r="T551" s="3" t="n">
        <v>-0.0024</v>
      </c>
    </row>
    <row r="552" customFormat="false" ht="15" hidden="false" customHeight="true" outlineLevel="0" collapsed="false">
      <c r="A552" s="3" t="s">
        <v>1054</v>
      </c>
      <c r="B552" s="3" t="s">
        <v>1055</v>
      </c>
      <c r="C552" s="3" t="s">
        <v>46</v>
      </c>
      <c r="D552" s="3" t="s">
        <v>32</v>
      </c>
      <c r="E552" s="3" t="s">
        <v>33</v>
      </c>
      <c r="F552" s="3" t="s">
        <v>25</v>
      </c>
      <c r="G552" s="3" t="s">
        <v>55</v>
      </c>
      <c r="H552" s="3" t="s">
        <v>56</v>
      </c>
      <c r="I552" s="3" t="s">
        <v>57</v>
      </c>
      <c r="J552" s="3" t="n">
        <v>47</v>
      </c>
      <c r="K552" s="3" t="n">
        <v>5820.58</v>
      </c>
      <c r="L552" s="3" t="n">
        <v>273567.26</v>
      </c>
      <c r="M552" s="3" t="n">
        <v>0.1505</v>
      </c>
      <c r="N552" s="3" t="n">
        <v>41171.87</v>
      </c>
      <c r="O552" s="3" t="n">
        <v>232395.39</v>
      </c>
      <c r="P552" s="3" t="n">
        <v>164140.36</v>
      </c>
      <c r="Q552" s="3" t="n">
        <v>68255.03</v>
      </c>
      <c r="R552" s="3" t="n">
        <v>0.2937</v>
      </c>
      <c r="S552" s="3" t="n">
        <v>0.129</v>
      </c>
      <c r="T552" s="3" t="n">
        <v>0.0215</v>
      </c>
    </row>
    <row r="553" customFormat="false" ht="15" hidden="false" customHeight="true" outlineLevel="0" collapsed="false">
      <c r="A553" s="3" t="s">
        <v>1056</v>
      </c>
      <c r="B553" s="3" t="s">
        <v>1057</v>
      </c>
      <c r="C553" s="3" t="s">
        <v>22</v>
      </c>
      <c r="D553" s="3" t="s">
        <v>23</v>
      </c>
      <c r="E553" s="3" t="s">
        <v>24</v>
      </c>
      <c r="F553" s="3" t="s">
        <v>25</v>
      </c>
      <c r="G553" s="3" t="s">
        <v>41</v>
      </c>
      <c r="H553" s="3" t="s">
        <v>77</v>
      </c>
      <c r="I553" s="3" t="s">
        <v>85</v>
      </c>
      <c r="J553" s="3" t="n">
        <v>21</v>
      </c>
      <c r="K553" s="3" t="n">
        <v>4142.59</v>
      </c>
      <c r="L553" s="3" t="n">
        <v>86994.39</v>
      </c>
      <c r="M553" s="3" t="n">
        <v>0.1401</v>
      </c>
      <c r="N553" s="3" t="n">
        <v>12187.91</v>
      </c>
      <c r="O553" s="3" t="n">
        <v>74806.48</v>
      </c>
      <c r="P553" s="3" t="n">
        <v>59156.19</v>
      </c>
      <c r="Q553" s="3" t="n">
        <v>15650.29</v>
      </c>
      <c r="R553" s="3" t="n">
        <v>0.2092</v>
      </c>
      <c r="S553" s="3" t="n">
        <v>0.1139</v>
      </c>
      <c r="T553" s="3" t="n">
        <v>0.0262</v>
      </c>
    </row>
    <row r="554" customFormat="false" ht="15" hidden="false" customHeight="true" outlineLevel="0" collapsed="false">
      <c r="A554" s="3" t="s">
        <v>1058</v>
      </c>
      <c r="B554" s="3" t="s">
        <v>1050</v>
      </c>
      <c r="C554" s="3" t="s">
        <v>93</v>
      </c>
      <c r="D554" s="3" t="s">
        <v>75</v>
      </c>
      <c r="E554" s="3" t="s">
        <v>39</v>
      </c>
      <c r="F554" s="3" t="s">
        <v>25</v>
      </c>
      <c r="G554" s="3" t="s">
        <v>34</v>
      </c>
      <c r="H554" s="3" t="s">
        <v>64</v>
      </c>
      <c r="I554" s="3" t="s">
        <v>65</v>
      </c>
      <c r="J554" s="3" t="n">
        <v>13</v>
      </c>
      <c r="K554" s="3" t="n">
        <v>3963.5</v>
      </c>
      <c r="L554" s="3" t="n">
        <v>51525.5</v>
      </c>
      <c r="M554" s="3" t="n">
        <v>0.1741</v>
      </c>
      <c r="N554" s="3" t="n">
        <v>8970.59</v>
      </c>
      <c r="O554" s="3" t="n">
        <v>42554.91</v>
      </c>
      <c r="P554" s="3" t="n">
        <v>29884.79</v>
      </c>
      <c r="Q554" s="3" t="n">
        <v>12670.12</v>
      </c>
      <c r="R554" s="3" t="n">
        <v>0.2977</v>
      </c>
      <c r="S554" s="3" t="n">
        <v>0.1667</v>
      </c>
      <c r="T554" s="3" t="n">
        <v>0.0074</v>
      </c>
    </row>
    <row r="555" customFormat="false" ht="15" hidden="false" customHeight="true" outlineLevel="0" collapsed="false">
      <c r="A555" s="3" t="s">
        <v>1059</v>
      </c>
      <c r="B555" s="3" t="s">
        <v>1060</v>
      </c>
      <c r="C555" s="3" t="s">
        <v>113</v>
      </c>
      <c r="D555" s="3" t="s">
        <v>97</v>
      </c>
      <c r="E555" s="3" t="s">
        <v>48</v>
      </c>
      <c r="F555" s="3" t="s">
        <v>40</v>
      </c>
      <c r="G555" s="3" t="s">
        <v>104</v>
      </c>
      <c r="H555" s="3" t="s">
        <v>56</v>
      </c>
      <c r="I555" s="3" t="s">
        <v>57</v>
      </c>
      <c r="J555" s="3" t="n">
        <v>39</v>
      </c>
      <c r="K555" s="3" t="n">
        <v>7861.66</v>
      </c>
      <c r="L555" s="3" t="n">
        <v>306604.74</v>
      </c>
      <c r="M555" s="3" t="n">
        <v>0.0864</v>
      </c>
      <c r="N555" s="3" t="n">
        <v>26490.65</v>
      </c>
      <c r="O555" s="3" t="n">
        <v>280114.09</v>
      </c>
      <c r="P555" s="3" t="n">
        <v>183962.84</v>
      </c>
      <c r="Q555" s="3" t="n">
        <v>96151.25</v>
      </c>
      <c r="R555" s="3" t="n">
        <v>0.3433</v>
      </c>
      <c r="S555" s="3" t="n">
        <v>0.0861</v>
      </c>
      <c r="T555" s="3" t="n">
        <v>0.0003</v>
      </c>
    </row>
    <row r="556" customFormat="false" ht="15" hidden="false" customHeight="true" outlineLevel="0" collapsed="false">
      <c r="A556" s="3" t="s">
        <v>1061</v>
      </c>
      <c r="B556" s="3" t="s">
        <v>233</v>
      </c>
      <c r="C556" s="3" t="s">
        <v>46</v>
      </c>
      <c r="D556" s="3" t="s">
        <v>61</v>
      </c>
      <c r="E556" s="3" t="s">
        <v>33</v>
      </c>
      <c r="F556" s="3" t="s">
        <v>62</v>
      </c>
      <c r="G556" s="3" t="s">
        <v>104</v>
      </c>
      <c r="H556" s="3" t="s">
        <v>77</v>
      </c>
      <c r="I556" s="3" t="s">
        <v>85</v>
      </c>
      <c r="J556" s="3" t="n">
        <v>48</v>
      </c>
      <c r="K556" s="3" t="n">
        <v>2932.45</v>
      </c>
      <c r="L556" s="3" t="n">
        <v>140757.6</v>
      </c>
      <c r="M556" s="3" t="n">
        <v>0.1136</v>
      </c>
      <c r="N556" s="3" t="n">
        <v>15990.06</v>
      </c>
      <c r="O556" s="3" t="n">
        <v>124767.54</v>
      </c>
      <c r="P556" s="3" t="n">
        <v>95715.17</v>
      </c>
      <c r="Q556" s="3" t="n">
        <v>29052.37</v>
      </c>
      <c r="R556" s="3" t="n">
        <v>0.2329</v>
      </c>
      <c r="S556" s="3" t="n">
        <v>0.1179</v>
      </c>
      <c r="T556" s="3" t="n">
        <v>-0.0043</v>
      </c>
    </row>
    <row r="557" customFormat="false" ht="15" hidden="false" customHeight="true" outlineLevel="0" collapsed="false">
      <c r="A557" s="3" t="s">
        <v>1062</v>
      </c>
      <c r="B557" s="3" t="s">
        <v>1063</v>
      </c>
      <c r="C557" s="3" t="s">
        <v>113</v>
      </c>
      <c r="D557" s="3" t="s">
        <v>32</v>
      </c>
      <c r="E557" s="3" t="s">
        <v>33</v>
      </c>
      <c r="F557" s="3" t="s">
        <v>25</v>
      </c>
      <c r="G557" s="3" t="s">
        <v>100</v>
      </c>
      <c r="H557" s="3" t="s">
        <v>56</v>
      </c>
      <c r="I557" s="3" t="s">
        <v>57</v>
      </c>
      <c r="J557" s="3" t="n">
        <v>5</v>
      </c>
      <c r="K557" s="3" t="n">
        <v>2650.45</v>
      </c>
      <c r="L557" s="3" t="n">
        <v>13252.25</v>
      </c>
      <c r="M557" s="3" t="n">
        <v>0.118</v>
      </c>
      <c r="N557" s="3" t="n">
        <v>1563.77</v>
      </c>
      <c r="O557" s="3" t="n">
        <v>11688.48</v>
      </c>
      <c r="P557" s="3" t="n">
        <v>7951.35</v>
      </c>
      <c r="Q557" s="3" t="n">
        <v>3737.13</v>
      </c>
      <c r="R557" s="3" t="n">
        <v>0.3197</v>
      </c>
      <c r="S557" s="3" t="n">
        <v>0.1284</v>
      </c>
      <c r="T557" s="3" t="n">
        <v>-0.0104</v>
      </c>
    </row>
    <row r="558" customFormat="false" ht="15" hidden="false" customHeight="true" outlineLevel="0" collapsed="false">
      <c r="A558" s="3" t="s">
        <v>1064</v>
      </c>
      <c r="B558" s="3" t="s">
        <v>1065</v>
      </c>
      <c r="C558" s="3" t="s">
        <v>53</v>
      </c>
      <c r="D558" s="3" t="s">
        <v>61</v>
      </c>
      <c r="E558" s="3" t="s">
        <v>33</v>
      </c>
      <c r="F558" s="3" t="s">
        <v>62</v>
      </c>
      <c r="G558" s="3" t="s">
        <v>100</v>
      </c>
      <c r="H558" s="3" t="s">
        <v>27</v>
      </c>
      <c r="I558" s="3" t="s">
        <v>117</v>
      </c>
      <c r="J558" s="3" t="n">
        <v>13</v>
      </c>
      <c r="K558" s="3" t="n">
        <v>20330.59</v>
      </c>
      <c r="L558" s="3" t="n">
        <v>264297.67</v>
      </c>
      <c r="M558" s="3" t="n">
        <v>0.0563</v>
      </c>
      <c r="N558" s="3" t="n">
        <v>14879.96</v>
      </c>
      <c r="O558" s="3" t="n">
        <v>249417.71</v>
      </c>
      <c r="P558" s="3" t="n">
        <v>163864.56</v>
      </c>
      <c r="Q558" s="3" t="n">
        <v>85553.15</v>
      </c>
      <c r="R558" s="3" t="n">
        <v>0.343</v>
      </c>
      <c r="S558" s="3" t="n">
        <v>0.0547</v>
      </c>
      <c r="T558" s="3" t="n">
        <v>0.0016</v>
      </c>
    </row>
    <row r="559" customFormat="false" ht="15" hidden="false" customHeight="true" outlineLevel="0" collapsed="false">
      <c r="A559" s="3" t="s">
        <v>1066</v>
      </c>
      <c r="B559" s="3" t="s">
        <v>1067</v>
      </c>
      <c r="C559" s="3" t="s">
        <v>93</v>
      </c>
      <c r="D559" s="3" t="s">
        <v>75</v>
      </c>
      <c r="E559" s="3" t="s">
        <v>39</v>
      </c>
      <c r="F559" s="3" t="s">
        <v>25</v>
      </c>
      <c r="G559" s="3" t="s">
        <v>100</v>
      </c>
      <c r="H559" s="3" t="s">
        <v>56</v>
      </c>
      <c r="I559" s="3" t="s">
        <v>121</v>
      </c>
      <c r="J559" s="3" t="n">
        <v>7</v>
      </c>
      <c r="K559" s="3" t="n">
        <v>8642.95</v>
      </c>
      <c r="L559" s="3" t="n">
        <v>60500.65</v>
      </c>
      <c r="M559" s="3" t="n">
        <v>0.1544</v>
      </c>
      <c r="N559" s="3" t="n">
        <v>9341.3</v>
      </c>
      <c r="O559" s="3" t="n">
        <v>51159.35</v>
      </c>
      <c r="P559" s="3" t="n">
        <v>36300.39</v>
      </c>
      <c r="Q559" s="3" t="n">
        <v>14858.96</v>
      </c>
      <c r="R559" s="3" t="n">
        <v>0.2904</v>
      </c>
      <c r="S559" s="3" t="n">
        <v>0.1561</v>
      </c>
      <c r="T559" s="3" t="n">
        <v>-0.0017</v>
      </c>
    </row>
    <row r="560" customFormat="false" ht="15" hidden="false" customHeight="true" outlineLevel="0" collapsed="false">
      <c r="A560" s="3" t="s">
        <v>1068</v>
      </c>
      <c r="B560" s="3" t="s">
        <v>1069</v>
      </c>
      <c r="C560" s="3" t="s">
        <v>31</v>
      </c>
      <c r="D560" s="3" t="s">
        <v>47</v>
      </c>
      <c r="E560" s="3" t="s">
        <v>48</v>
      </c>
      <c r="F560" s="3" t="s">
        <v>25</v>
      </c>
      <c r="G560" s="3" t="s">
        <v>41</v>
      </c>
      <c r="H560" s="3" t="s">
        <v>27</v>
      </c>
      <c r="I560" s="3" t="s">
        <v>117</v>
      </c>
      <c r="J560" s="3" t="n">
        <v>33</v>
      </c>
      <c r="K560" s="3" t="n">
        <v>25598.89</v>
      </c>
      <c r="L560" s="3" t="n">
        <v>844763.37</v>
      </c>
      <c r="M560" s="3" t="n">
        <v>0.1595</v>
      </c>
      <c r="N560" s="3" t="n">
        <v>134739.76</v>
      </c>
      <c r="O560" s="3" t="n">
        <v>710023.61</v>
      </c>
      <c r="P560" s="3" t="n">
        <v>523753.29</v>
      </c>
      <c r="Q560" s="3" t="n">
        <v>186270.32</v>
      </c>
      <c r="R560" s="3" t="n">
        <v>0.2623</v>
      </c>
      <c r="S560" s="3" t="n">
        <v>0.1722</v>
      </c>
      <c r="T560" s="3" t="n">
        <v>-0.0127</v>
      </c>
    </row>
    <row r="561" customFormat="false" ht="15" hidden="false" customHeight="true" outlineLevel="0" collapsed="false">
      <c r="A561" s="3" t="s">
        <v>1070</v>
      </c>
      <c r="B561" s="3" t="s">
        <v>649</v>
      </c>
      <c r="C561" s="3" t="s">
        <v>37</v>
      </c>
      <c r="D561" s="3" t="s">
        <v>103</v>
      </c>
      <c r="E561" s="3" t="s">
        <v>24</v>
      </c>
      <c r="F561" s="3" t="s">
        <v>62</v>
      </c>
      <c r="G561" s="3" t="s">
        <v>49</v>
      </c>
      <c r="H561" s="3" t="s">
        <v>56</v>
      </c>
      <c r="I561" s="3" t="s">
        <v>57</v>
      </c>
      <c r="J561" s="3" t="n">
        <v>41</v>
      </c>
      <c r="K561" s="3" t="n">
        <v>8597.49</v>
      </c>
      <c r="L561" s="3" t="n">
        <v>352497.09</v>
      </c>
      <c r="M561" s="3" t="n">
        <v>0.0515</v>
      </c>
      <c r="N561" s="3" t="n">
        <v>18153.6</v>
      </c>
      <c r="O561" s="3" t="n">
        <v>334343.49</v>
      </c>
      <c r="P561" s="3" t="n">
        <v>211498.25</v>
      </c>
      <c r="Q561" s="3" t="n">
        <v>122845.24</v>
      </c>
      <c r="R561" s="3" t="n">
        <v>0.3674</v>
      </c>
      <c r="S561" s="3" t="n">
        <v>0.0506</v>
      </c>
      <c r="T561" s="3" t="n">
        <v>0.0009</v>
      </c>
    </row>
    <row r="562" customFormat="false" ht="15" hidden="false" customHeight="true" outlineLevel="0" collapsed="false">
      <c r="A562" s="3" t="s">
        <v>1071</v>
      </c>
      <c r="B562" s="3" t="s">
        <v>880</v>
      </c>
      <c r="C562" s="3" t="s">
        <v>93</v>
      </c>
      <c r="D562" s="3" t="s">
        <v>38</v>
      </c>
      <c r="E562" s="3" t="s">
        <v>39</v>
      </c>
      <c r="F562" s="3" t="s">
        <v>40</v>
      </c>
      <c r="G562" s="3" t="s">
        <v>63</v>
      </c>
      <c r="H562" s="3" t="s">
        <v>56</v>
      </c>
      <c r="I562" s="3" t="s">
        <v>188</v>
      </c>
      <c r="J562" s="3" t="n">
        <v>48</v>
      </c>
      <c r="K562" s="3" t="n">
        <v>14251.33</v>
      </c>
      <c r="L562" s="3" t="n">
        <v>684063.84</v>
      </c>
      <c r="M562" s="3" t="n">
        <v>0.0427</v>
      </c>
      <c r="N562" s="3" t="n">
        <v>29209.53</v>
      </c>
      <c r="O562" s="3" t="n">
        <v>654854.31</v>
      </c>
      <c r="P562" s="3" t="n">
        <v>410438.3</v>
      </c>
      <c r="Q562" s="3" t="n">
        <v>244416.01</v>
      </c>
      <c r="R562" s="3" t="n">
        <v>0.3732</v>
      </c>
      <c r="S562" s="3" t="n">
        <v>0.0399</v>
      </c>
      <c r="T562" s="3" t="n">
        <v>0.0028</v>
      </c>
    </row>
    <row r="563" customFormat="false" ht="15" hidden="false" customHeight="true" outlineLevel="0" collapsed="false">
      <c r="A563" s="3" t="s">
        <v>1072</v>
      </c>
      <c r="B563" s="3" t="s">
        <v>936</v>
      </c>
      <c r="C563" s="3" t="s">
        <v>156</v>
      </c>
      <c r="D563" s="3" t="s">
        <v>47</v>
      </c>
      <c r="E563" s="3" t="s">
        <v>48</v>
      </c>
      <c r="F563" s="3" t="s">
        <v>25</v>
      </c>
      <c r="G563" s="3" t="s">
        <v>76</v>
      </c>
      <c r="H563" s="3" t="s">
        <v>27</v>
      </c>
      <c r="I563" s="3" t="s">
        <v>28</v>
      </c>
      <c r="J563" s="3" t="n">
        <v>34</v>
      </c>
      <c r="K563" s="3" t="n">
        <v>27064.41</v>
      </c>
      <c r="L563" s="3" t="n">
        <v>920189.94</v>
      </c>
      <c r="M563" s="3" t="n">
        <v>0.148</v>
      </c>
      <c r="N563" s="3" t="n">
        <v>136188.11</v>
      </c>
      <c r="O563" s="3" t="n">
        <v>784001.83</v>
      </c>
      <c r="P563" s="3" t="n">
        <v>570517.76</v>
      </c>
      <c r="Q563" s="3" t="n">
        <v>213484.07</v>
      </c>
      <c r="R563" s="3" t="n">
        <v>0.2723</v>
      </c>
      <c r="S563" s="3" t="n">
        <v>0.1317</v>
      </c>
      <c r="T563" s="3" t="n">
        <v>0.0163</v>
      </c>
    </row>
    <row r="564" customFormat="false" ht="15" hidden="false" customHeight="true" outlineLevel="0" collapsed="false">
      <c r="A564" s="3" t="s">
        <v>1073</v>
      </c>
      <c r="B564" s="3" t="s">
        <v>1074</v>
      </c>
      <c r="C564" s="3" t="s">
        <v>68</v>
      </c>
      <c r="D564" s="3" t="s">
        <v>69</v>
      </c>
      <c r="E564" s="3" t="s">
        <v>39</v>
      </c>
      <c r="F564" s="3" t="s">
        <v>70</v>
      </c>
      <c r="G564" s="3" t="s">
        <v>104</v>
      </c>
      <c r="H564" s="3" t="s">
        <v>64</v>
      </c>
      <c r="I564" s="3" t="s">
        <v>145</v>
      </c>
      <c r="J564" s="3" t="n">
        <v>45</v>
      </c>
      <c r="K564" s="3" t="n">
        <v>9943.71</v>
      </c>
      <c r="L564" s="3" t="n">
        <v>447466.95</v>
      </c>
      <c r="M564" s="3" t="n">
        <v>0.1279</v>
      </c>
      <c r="N564" s="3" t="n">
        <v>57231.02</v>
      </c>
      <c r="O564" s="3" t="n">
        <v>390235.93</v>
      </c>
      <c r="P564" s="3" t="n">
        <v>259530.83</v>
      </c>
      <c r="Q564" s="3" t="n">
        <v>130705.1</v>
      </c>
      <c r="R564" s="3" t="n">
        <v>0.3349</v>
      </c>
      <c r="S564" s="3" t="n">
        <v>0.1236</v>
      </c>
      <c r="T564" s="3" t="n">
        <v>0.0043</v>
      </c>
    </row>
    <row r="565" customFormat="false" ht="15" hidden="false" customHeight="true" outlineLevel="0" collapsed="false">
      <c r="A565" s="3" t="s">
        <v>1075</v>
      </c>
      <c r="B565" s="3" t="s">
        <v>718</v>
      </c>
      <c r="C565" s="3" t="s">
        <v>53</v>
      </c>
      <c r="D565" s="3" t="s">
        <v>38</v>
      </c>
      <c r="E565" s="3" t="s">
        <v>39</v>
      </c>
      <c r="F565" s="3" t="s">
        <v>40</v>
      </c>
      <c r="G565" s="3" t="s">
        <v>104</v>
      </c>
      <c r="H565" s="3" t="s">
        <v>64</v>
      </c>
      <c r="I565" s="3" t="s">
        <v>65</v>
      </c>
      <c r="J565" s="3" t="n">
        <v>10</v>
      </c>
      <c r="K565" s="3" t="n">
        <v>7143.33</v>
      </c>
      <c r="L565" s="3" t="n">
        <v>71433.3</v>
      </c>
      <c r="M565" s="3" t="n">
        <v>0.0716</v>
      </c>
      <c r="N565" s="3" t="n">
        <v>5114.62</v>
      </c>
      <c r="O565" s="3" t="n">
        <v>66318.68</v>
      </c>
      <c r="P565" s="3" t="n">
        <v>41431.31</v>
      </c>
      <c r="Q565" s="3" t="n">
        <v>24887.37</v>
      </c>
      <c r="R565" s="3" t="n">
        <v>0.3753</v>
      </c>
      <c r="S565" s="3" t="n">
        <v>0.0623</v>
      </c>
      <c r="T565" s="3" t="n">
        <v>0.0093</v>
      </c>
    </row>
    <row r="566" customFormat="false" ht="15" hidden="false" customHeight="true" outlineLevel="0" collapsed="false">
      <c r="A566" s="3" t="s">
        <v>1076</v>
      </c>
      <c r="B566" s="3" t="s">
        <v>74</v>
      </c>
      <c r="C566" s="3" t="s">
        <v>37</v>
      </c>
      <c r="D566" s="3" t="s">
        <v>54</v>
      </c>
      <c r="E566" s="3" t="s">
        <v>24</v>
      </c>
      <c r="F566" s="3" t="s">
        <v>40</v>
      </c>
      <c r="G566" s="3" t="s">
        <v>63</v>
      </c>
      <c r="H566" s="3" t="s">
        <v>27</v>
      </c>
      <c r="I566" s="3" t="s">
        <v>94</v>
      </c>
      <c r="J566" s="3" t="n">
        <v>14</v>
      </c>
      <c r="K566" s="3" t="n">
        <v>26210.08</v>
      </c>
      <c r="L566" s="3" t="n">
        <v>366941.12</v>
      </c>
      <c r="M566" s="3" t="n">
        <v>0.0667</v>
      </c>
      <c r="N566" s="3" t="n">
        <v>24474.97</v>
      </c>
      <c r="O566" s="3" t="n">
        <v>342466.15</v>
      </c>
      <c r="P566" s="3" t="n">
        <v>227503.49</v>
      </c>
      <c r="Q566" s="3" t="n">
        <v>114962.66</v>
      </c>
      <c r="R566" s="3" t="n">
        <v>0.3357</v>
      </c>
      <c r="S566" s="3" t="n">
        <v>0.0692</v>
      </c>
      <c r="T566" s="3" t="n">
        <v>-0.0025</v>
      </c>
    </row>
    <row r="567" customFormat="false" ht="15" hidden="false" customHeight="true" outlineLevel="0" collapsed="false">
      <c r="A567" s="3" t="s">
        <v>1077</v>
      </c>
      <c r="B567" s="3" t="s">
        <v>1078</v>
      </c>
      <c r="C567" s="3" t="s">
        <v>46</v>
      </c>
      <c r="D567" s="3" t="s">
        <v>75</v>
      </c>
      <c r="E567" s="3" t="s">
        <v>39</v>
      </c>
      <c r="F567" s="3" t="s">
        <v>25</v>
      </c>
      <c r="G567" s="3" t="s">
        <v>26</v>
      </c>
      <c r="H567" s="3" t="s">
        <v>77</v>
      </c>
      <c r="I567" s="3" t="s">
        <v>85</v>
      </c>
      <c r="J567" s="3" t="n">
        <v>7</v>
      </c>
      <c r="K567" s="3" t="n">
        <v>3965.92</v>
      </c>
      <c r="L567" s="3" t="n">
        <v>27761.44</v>
      </c>
      <c r="M567" s="3" t="n">
        <v>0.1238</v>
      </c>
      <c r="N567" s="3" t="n">
        <v>3436.87</v>
      </c>
      <c r="O567" s="3" t="n">
        <v>24324.57</v>
      </c>
      <c r="P567" s="3" t="n">
        <v>18877.78</v>
      </c>
      <c r="Q567" s="3" t="n">
        <v>5446.79</v>
      </c>
      <c r="R567" s="3" t="n">
        <v>0.2239</v>
      </c>
      <c r="S567" s="3" t="n">
        <v>0.1019</v>
      </c>
      <c r="T567" s="3" t="n">
        <v>0.0219</v>
      </c>
    </row>
    <row r="568" customFormat="false" ht="15" hidden="false" customHeight="true" outlineLevel="0" collapsed="false">
      <c r="A568" s="3" t="s">
        <v>1079</v>
      </c>
      <c r="B568" s="3" t="s">
        <v>1080</v>
      </c>
      <c r="C568" s="3" t="s">
        <v>156</v>
      </c>
      <c r="D568" s="3" t="s">
        <v>32</v>
      </c>
      <c r="E568" s="3" t="s">
        <v>33</v>
      </c>
      <c r="F568" s="3" t="s">
        <v>25</v>
      </c>
      <c r="G568" s="3" t="s">
        <v>63</v>
      </c>
      <c r="H568" s="3" t="s">
        <v>42</v>
      </c>
      <c r="I568" s="3" t="s">
        <v>134</v>
      </c>
      <c r="J568" s="3" t="n">
        <v>8</v>
      </c>
      <c r="K568" s="3" t="n">
        <v>1957.83</v>
      </c>
      <c r="L568" s="3" t="n">
        <v>15662.64</v>
      </c>
      <c r="M568" s="3" t="n">
        <v>0.1316</v>
      </c>
      <c r="N568" s="3" t="n">
        <v>2061.2</v>
      </c>
      <c r="O568" s="3" t="n">
        <v>13601.44</v>
      </c>
      <c r="P568" s="3" t="n">
        <v>8614.45</v>
      </c>
      <c r="Q568" s="3" t="n">
        <v>4986.99</v>
      </c>
      <c r="R568" s="3" t="n">
        <v>0.3667</v>
      </c>
      <c r="S568" s="3" t="n">
        <v>0.1303</v>
      </c>
      <c r="T568" s="3" t="n">
        <v>0.0013</v>
      </c>
    </row>
    <row r="569" customFormat="false" ht="15" hidden="false" customHeight="true" outlineLevel="0" collapsed="false">
      <c r="A569" s="3" t="s">
        <v>1081</v>
      </c>
      <c r="B569" s="3" t="s">
        <v>730</v>
      </c>
      <c r="C569" s="3" t="s">
        <v>68</v>
      </c>
      <c r="D569" s="3" t="s">
        <v>23</v>
      </c>
      <c r="E569" s="3" t="s">
        <v>24</v>
      </c>
      <c r="F569" s="3" t="s">
        <v>25</v>
      </c>
      <c r="G569" s="3" t="s">
        <v>76</v>
      </c>
      <c r="H569" s="3" t="s">
        <v>77</v>
      </c>
      <c r="I569" s="3" t="s">
        <v>131</v>
      </c>
      <c r="J569" s="3" t="n">
        <v>21</v>
      </c>
      <c r="K569" s="3" t="n">
        <v>3717.04</v>
      </c>
      <c r="L569" s="3" t="n">
        <v>78057.84</v>
      </c>
      <c r="M569" s="3" t="n">
        <v>0.109</v>
      </c>
      <c r="N569" s="3" t="n">
        <v>8508.3</v>
      </c>
      <c r="O569" s="3" t="n">
        <v>69549.54</v>
      </c>
      <c r="P569" s="3" t="n">
        <v>53079.33</v>
      </c>
      <c r="Q569" s="3" t="n">
        <v>16470.21</v>
      </c>
      <c r="R569" s="3" t="n">
        <v>0.2368</v>
      </c>
      <c r="S569" s="3" t="n">
        <v>0.11</v>
      </c>
      <c r="T569" s="3" t="n">
        <v>-0.001</v>
      </c>
    </row>
    <row r="570" customFormat="false" ht="15" hidden="false" customHeight="true" outlineLevel="0" collapsed="false">
      <c r="A570" s="3" t="s">
        <v>1082</v>
      </c>
      <c r="B570" s="3" t="s">
        <v>1031</v>
      </c>
      <c r="C570" s="3" t="s">
        <v>126</v>
      </c>
      <c r="D570" s="3" t="s">
        <v>75</v>
      </c>
      <c r="E570" s="3" t="s">
        <v>39</v>
      </c>
      <c r="F570" s="3" t="s">
        <v>25</v>
      </c>
      <c r="G570" s="3" t="s">
        <v>84</v>
      </c>
      <c r="H570" s="3" t="s">
        <v>27</v>
      </c>
      <c r="I570" s="3" t="s">
        <v>173</v>
      </c>
      <c r="J570" s="3" t="n">
        <v>37</v>
      </c>
      <c r="K570" s="3" t="n">
        <v>32090.89</v>
      </c>
      <c r="L570" s="3" t="n">
        <v>1187362.93</v>
      </c>
      <c r="M570" s="3" t="n">
        <v>0.113</v>
      </c>
      <c r="N570" s="3" t="n">
        <v>134172.01</v>
      </c>
      <c r="O570" s="3" t="n">
        <v>1053190.92</v>
      </c>
      <c r="P570" s="3" t="n">
        <v>736165.02</v>
      </c>
      <c r="Q570" s="3" t="n">
        <v>317025.9</v>
      </c>
      <c r="R570" s="3" t="n">
        <v>0.301</v>
      </c>
      <c r="S570" s="3" t="n">
        <v>0.1171</v>
      </c>
      <c r="T570" s="3" t="n">
        <v>-0.0041</v>
      </c>
    </row>
    <row r="571" customFormat="false" ht="15" hidden="false" customHeight="true" outlineLevel="0" collapsed="false">
      <c r="A571" s="3" t="s">
        <v>1083</v>
      </c>
      <c r="B571" s="3" t="s">
        <v>1084</v>
      </c>
      <c r="C571" s="3" t="s">
        <v>68</v>
      </c>
      <c r="D571" s="3" t="s">
        <v>75</v>
      </c>
      <c r="E571" s="3" t="s">
        <v>39</v>
      </c>
      <c r="F571" s="3" t="s">
        <v>25</v>
      </c>
      <c r="G571" s="3" t="s">
        <v>116</v>
      </c>
      <c r="H571" s="3" t="s">
        <v>64</v>
      </c>
      <c r="I571" s="3" t="s">
        <v>145</v>
      </c>
      <c r="J571" s="3" t="n">
        <v>48</v>
      </c>
      <c r="K571" s="3" t="n">
        <v>7282.69</v>
      </c>
      <c r="L571" s="3" t="n">
        <v>349569.12</v>
      </c>
      <c r="M571" s="3" t="n">
        <v>0.1278</v>
      </c>
      <c r="N571" s="3" t="n">
        <v>44674.93</v>
      </c>
      <c r="O571" s="3" t="n">
        <v>304894.19</v>
      </c>
      <c r="P571" s="3" t="n">
        <v>202750.09</v>
      </c>
      <c r="Q571" s="3" t="n">
        <v>102144.1</v>
      </c>
      <c r="R571" s="3" t="n">
        <v>0.335</v>
      </c>
      <c r="S571" s="3" t="n">
        <v>0.1189</v>
      </c>
      <c r="T571" s="3" t="n">
        <v>0.0089</v>
      </c>
    </row>
    <row r="572" customFormat="false" ht="15" hidden="false" customHeight="true" outlineLevel="0" collapsed="false">
      <c r="A572" s="3" t="s">
        <v>1085</v>
      </c>
      <c r="B572" s="3" t="s">
        <v>1086</v>
      </c>
      <c r="C572" s="3" t="s">
        <v>113</v>
      </c>
      <c r="D572" s="3" t="s">
        <v>97</v>
      </c>
      <c r="E572" s="3" t="s">
        <v>48</v>
      </c>
      <c r="F572" s="3" t="s">
        <v>40</v>
      </c>
      <c r="G572" s="3" t="s">
        <v>84</v>
      </c>
      <c r="H572" s="3" t="s">
        <v>64</v>
      </c>
      <c r="I572" s="3" t="s">
        <v>108</v>
      </c>
      <c r="J572" s="3" t="n">
        <v>32</v>
      </c>
      <c r="K572" s="3" t="n">
        <v>8033.67</v>
      </c>
      <c r="L572" s="3" t="n">
        <v>257077.44</v>
      </c>
      <c r="M572" s="3" t="n">
        <v>0.0498</v>
      </c>
      <c r="N572" s="3" t="n">
        <v>12802.46</v>
      </c>
      <c r="O572" s="3" t="n">
        <v>244274.98</v>
      </c>
      <c r="P572" s="3" t="n">
        <v>149104.92</v>
      </c>
      <c r="Q572" s="3" t="n">
        <v>95170.06</v>
      </c>
      <c r="R572" s="3" t="n">
        <v>0.3896</v>
      </c>
      <c r="S572" s="3" t="n">
        <v>0.0482</v>
      </c>
      <c r="T572" s="3" t="n">
        <v>0.0016</v>
      </c>
    </row>
    <row r="573" customFormat="false" ht="15" hidden="false" customHeight="true" outlineLevel="0" collapsed="false">
      <c r="A573" s="3" t="s">
        <v>1087</v>
      </c>
      <c r="B573" s="3" t="s">
        <v>1088</v>
      </c>
      <c r="C573" s="3" t="s">
        <v>120</v>
      </c>
      <c r="D573" s="3" t="s">
        <v>97</v>
      </c>
      <c r="E573" s="3" t="s">
        <v>48</v>
      </c>
      <c r="F573" s="3" t="s">
        <v>40</v>
      </c>
      <c r="G573" s="3" t="s">
        <v>34</v>
      </c>
      <c r="H573" s="3" t="s">
        <v>56</v>
      </c>
      <c r="I573" s="3" t="s">
        <v>188</v>
      </c>
      <c r="J573" s="3" t="n">
        <v>50</v>
      </c>
      <c r="K573" s="3" t="n">
        <v>3146.3</v>
      </c>
      <c r="L573" s="3" t="n">
        <v>157315</v>
      </c>
      <c r="M573" s="3" t="n">
        <v>0.0989</v>
      </c>
      <c r="N573" s="3" t="n">
        <v>15558.45</v>
      </c>
      <c r="O573" s="3" t="n">
        <v>141756.55</v>
      </c>
      <c r="P573" s="3" t="n">
        <v>94389</v>
      </c>
      <c r="Q573" s="3" t="n">
        <v>47367.55</v>
      </c>
      <c r="R573" s="3" t="n">
        <v>0.3341</v>
      </c>
      <c r="S573" s="3" t="n">
        <v>0.0825</v>
      </c>
      <c r="T573" s="3" t="n">
        <v>0.0164</v>
      </c>
    </row>
    <row r="574" customFormat="false" ht="15" hidden="false" customHeight="true" outlineLevel="0" collapsed="false">
      <c r="A574" s="3" t="s">
        <v>1089</v>
      </c>
      <c r="B574" s="3" t="s">
        <v>1090</v>
      </c>
      <c r="C574" s="3" t="s">
        <v>126</v>
      </c>
      <c r="D574" s="3" t="s">
        <v>47</v>
      </c>
      <c r="E574" s="3" t="s">
        <v>48</v>
      </c>
      <c r="F574" s="3" t="s">
        <v>25</v>
      </c>
      <c r="G574" s="3" t="s">
        <v>49</v>
      </c>
      <c r="H574" s="3" t="s">
        <v>77</v>
      </c>
      <c r="I574" s="3" t="s">
        <v>78</v>
      </c>
      <c r="J574" s="3" t="n">
        <v>23</v>
      </c>
      <c r="K574" s="3" t="n">
        <v>2114.35</v>
      </c>
      <c r="L574" s="3" t="n">
        <v>48630.05</v>
      </c>
      <c r="M574" s="3" t="n">
        <v>0.1016</v>
      </c>
      <c r="N574" s="3" t="n">
        <v>4940.81</v>
      </c>
      <c r="O574" s="3" t="n">
        <v>43689.24</v>
      </c>
      <c r="P574" s="3" t="n">
        <v>33068.43</v>
      </c>
      <c r="Q574" s="3" t="n">
        <v>10620.81</v>
      </c>
      <c r="R574" s="3" t="n">
        <v>0.2431</v>
      </c>
      <c r="S574" s="3" t="n">
        <v>0.0865</v>
      </c>
      <c r="T574" s="3" t="n">
        <v>0.0151</v>
      </c>
    </row>
    <row r="575" customFormat="false" ht="15" hidden="false" customHeight="true" outlineLevel="0" collapsed="false">
      <c r="A575" s="3" t="s">
        <v>1091</v>
      </c>
      <c r="B575" s="3" t="s">
        <v>1092</v>
      </c>
      <c r="C575" s="3" t="s">
        <v>53</v>
      </c>
      <c r="D575" s="3" t="s">
        <v>103</v>
      </c>
      <c r="E575" s="3" t="s">
        <v>24</v>
      </c>
      <c r="F575" s="3" t="s">
        <v>62</v>
      </c>
      <c r="G575" s="3" t="s">
        <v>55</v>
      </c>
      <c r="H575" s="3" t="s">
        <v>56</v>
      </c>
      <c r="I575" s="3" t="s">
        <v>57</v>
      </c>
      <c r="J575" s="3" t="n">
        <v>3</v>
      </c>
      <c r="K575" s="3" t="n">
        <v>4333.1</v>
      </c>
      <c r="L575" s="3" t="n">
        <v>12999.3</v>
      </c>
      <c r="M575" s="3" t="n">
        <v>0.0762</v>
      </c>
      <c r="N575" s="3" t="n">
        <v>990.55</v>
      </c>
      <c r="O575" s="3" t="n">
        <v>12008.75</v>
      </c>
      <c r="P575" s="3" t="n">
        <v>7799.58</v>
      </c>
      <c r="Q575" s="3" t="n">
        <v>4209.17</v>
      </c>
      <c r="R575" s="3" t="n">
        <v>0.3505</v>
      </c>
      <c r="S575" s="3" t="n">
        <v>0.0655</v>
      </c>
      <c r="T575" s="3" t="n">
        <v>0.0107</v>
      </c>
    </row>
    <row r="576" customFormat="false" ht="15" hidden="false" customHeight="true" outlineLevel="0" collapsed="false">
      <c r="A576" s="3" t="s">
        <v>1093</v>
      </c>
      <c r="B576" s="3" t="s">
        <v>500</v>
      </c>
      <c r="C576" s="3" t="s">
        <v>126</v>
      </c>
      <c r="D576" s="3" t="s">
        <v>103</v>
      </c>
      <c r="E576" s="3" t="s">
        <v>24</v>
      </c>
      <c r="F576" s="3" t="s">
        <v>62</v>
      </c>
      <c r="G576" s="3" t="s">
        <v>116</v>
      </c>
      <c r="H576" s="3" t="s">
        <v>64</v>
      </c>
      <c r="I576" s="3" t="s">
        <v>65</v>
      </c>
      <c r="J576" s="3" t="n">
        <v>16</v>
      </c>
      <c r="K576" s="3" t="n">
        <v>9656.23</v>
      </c>
      <c r="L576" s="3" t="n">
        <v>154499.68</v>
      </c>
      <c r="M576" s="3" t="n">
        <v>0.1345</v>
      </c>
      <c r="N576" s="3" t="n">
        <v>20780.21</v>
      </c>
      <c r="O576" s="3" t="n">
        <v>133719.47</v>
      </c>
      <c r="P576" s="3" t="n">
        <v>89609.81</v>
      </c>
      <c r="Q576" s="3" t="n">
        <v>44109.66</v>
      </c>
      <c r="R576" s="3" t="n">
        <v>0.3299</v>
      </c>
      <c r="S576" s="3" t="n">
        <v>0.1082</v>
      </c>
      <c r="T576" s="3" t="n">
        <v>0.0263</v>
      </c>
    </row>
    <row r="577" customFormat="false" ht="15" hidden="false" customHeight="true" outlineLevel="0" collapsed="false">
      <c r="A577" s="3" t="s">
        <v>1094</v>
      </c>
      <c r="B577" s="3" t="s">
        <v>1095</v>
      </c>
      <c r="C577" s="3" t="s">
        <v>113</v>
      </c>
      <c r="D577" s="3" t="s">
        <v>97</v>
      </c>
      <c r="E577" s="3" t="s">
        <v>48</v>
      </c>
      <c r="F577" s="3" t="s">
        <v>40</v>
      </c>
      <c r="G577" s="3" t="s">
        <v>84</v>
      </c>
      <c r="H577" s="3" t="s">
        <v>27</v>
      </c>
      <c r="I577" s="3" t="s">
        <v>50</v>
      </c>
      <c r="J577" s="3" t="n">
        <v>22</v>
      </c>
      <c r="K577" s="3" t="n">
        <v>23078.09</v>
      </c>
      <c r="L577" s="3" t="n">
        <v>507717.98</v>
      </c>
      <c r="M577" s="3" t="n">
        <v>0.0405</v>
      </c>
      <c r="N577" s="3" t="n">
        <v>20562.58</v>
      </c>
      <c r="O577" s="3" t="n">
        <v>487155.4</v>
      </c>
      <c r="P577" s="3" t="n">
        <v>314785.15</v>
      </c>
      <c r="Q577" s="3" t="n">
        <v>172370.25</v>
      </c>
      <c r="R577" s="3" t="n">
        <v>0.3538</v>
      </c>
      <c r="S577" s="3" t="n">
        <v>0.0348</v>
      </c>
      <c r="T577" s="3" t="n">
        <v>0.0057</v>
      </c>
    </row>
    <row r="578" customFormat="false" ht="15" hidden="false" customHeight="true" outlineLevel="0" collapsed="false">
      <c r="A578" s="3" t="s">
        <v>1096</v>
      </c>
      <c r="B578" s="3" t="s">
        <v>1097</v>
      </c>
      <c r="C578" s="3" t="s">
        <v>156</v>
      </c>
      <c r="D578" s="3" t="s">
        <v>107</v>
      </c>
      <c r="E578" s="3" t="s">
        <v>33</v>
      </c>
      <c r="F578" s="3" t="s">
        <v>70</v>
      </c>
      <c r="G578" s="3" t="s">
        <v>84</v>
      </c>
      <c r="H578" s="3" t="s">
        <v>42</v>
      </c>
      <c r="I578" s="3" t="s">
        <v>72</v>
      </c>
      <c r="J578" s="3" t="n">
        <v>10</v>
      </c>
      <c r="K578" s="3" t="n">
        <v>2680.65</v>
      </c>
      <c r="L578" s="3" t="n">
        <v>26806.5</v>
      </c>
      <c r="M578" s="3" t="n">
        <v>0.0648</v>
      </c>
      <c r="N578" s="3" t="n">
        <v>1737.06</v>
      </c>
      <c r="O578" s="3" t="n">
        <v>25069.44</v>
      </c>
      <c r="P578" s="3" t="n">
        <v>14743.58</v>
      </c>
      <c r="Q578" s="3" t="n">
        <v>10325.86</v>
      </c>
      <c r="R578" s="3" t="n">
        <v>0.4119</v>
      </c>
      <c r="S578" s="3" t="n">
        <v>0.0591</v>
      </c>
      <c r="T578" s="3" t="n">
        <v>0.0057</v>
      </c>
    </row>
    <row r="579" customFormat="false" ht="15" hidden="false" customHeight="true" outlineLevel="0" collapsed="false">
      <c r="A579" s="3" t="s">
        <v>1098</v>
      </c>
      <c r="B579" s="3" t="s">
        <v>502</v>
      </c>
      <c r="C579" s="3" t="s">
        <v>126</v>
      </c>
      <c r="D579" s="3" t="s">
        <v>23</v>
      </c>
      <c r="E579" s="3" t="s">
        <v>24</v>
      </c>
      <c r="F579" s="3" t="s">
        <v>25</v>
      </c>
      <c r="G579" s="3" t="s">
        <v>76</v>
      </c>
      <c r="H579" s="3" t="s">
        <v>56</v>
      </c>
      <c r="I579" s="3" t="s">
        <v>188</v>
      </c>
      <c r="J579" s="3" t="n">
        <v>19</v>
      </c>
      <c r="K579" s="3" t="n">
        <v>4725.11</v>
      </c>
      <c r="L579" s="3" t="n">
        <v>89777.09</v>
      </c>
      <c r="M579" s="3" t="n">
        <v>0.1358</v>
      </c>
      <c r="N579" s="3" t="n">
        <v>12191.73</v>
      </c>
      <c r="O579" s="3" t="n">
        <v>77585.36</v>
      </c>
      <c r="P579" s="3" t="n">
        <v>53866.25</v>
      </c>
      <c r="Q579" s="3" t="n">
        <v>23719.11</v>
      </c>
      <c r="R579" s="3" t="n">
        <v>0.3057</v>
      </c>
      <c r="S579" s="3" t="n">
        <v>0.1108</v>
      </c>
      <c r="T579" s="3" t="n">
        <v>0.025</v>
      </c>
    </row>
    <row r="580" customFormat="false" ht="15" hidden="false" customHeight="true" outlineLevel="0" collapsed="false">
      <c r="A580" s="3" t="s">
        <v>1099</v>
      </c>
      <c r="B580" s="3" t="s">
        <v>1100</v>
      </c>
      <c r="C580" s="3" t="s">
        <v>120</v>
      </c>
      <c r="D580" s="3" t="s">
        <v>23</v>
      </c>
      <c r="E580" s="3" t="s">
        <v>24</v>
      </c>
      <c r="F580" s="3" t="s">
        <v>25</v>
      </c>
      <c r="G580" s="3" t="s">
        <v>63</v>
      </c>
      <c r="H580" s="3" t="s">
        <v>27</v>
      </c>
      <c r="I580" s="3" t="s">
        <v>28</v>
      </c>
      <c r="J580" s="3" t="n">
        <v>43</v>
      </c>
      <c r="K580" s="3" t="n">
        <v>29131.93</v>
      </c>
      <c r="L580" s="3" t="n">
        <v>1252672.99</v>
      </c>
      <c r="M580" s="3" t="n">
        <v>0.1654</v>
      </c>
      <c r="N580" s="3" t="n">
        <v>207192.11</v>
      </c>
      <c r="O580" s="3" t="n">
        <v>1045480.88</v>
      </c>
      <c r="P580" s="3" t="n">
        <v>776657.25</v>
      </c>
      <c r="Q580" s="3" t="n">
        <v>268823.63</v>
      </c>
      <c r="R580" s="3" t="n">
        <v>0.2571</v>
      </c>
      <c r="S580" s="3" t="n">
        <v>0.1333</v>
      </c>
      <c r="T580" s="3" t="n">
        <v>0.0321</v>
      </c>
    </row>
    <row r="581" customFormat="false" ht="15" hidden="false" customHeight="true" outlineLevel="0" collapsed="false">
      <c r="A581" s="3" t="s">
        <v>1101</v>
      </c>
      <c r="B581" s="3" t="s">
        <v>1102</v>
      </c>
      <c r="C581" s="3" t="s">
        <v>68</v>
      </c>
      <c r="D581" s="3" t="s">
        <v>23</v>
      </c>
      <c r="E581" s="3" t="s">
        <v>24</v>
      </c>
      <c r="F581" s="3" t="s">
        <v>25</v>
      </c>
      <c r="G581" s="3" t="s">
        <v>63</v>
      </c>
      <c r="H581" s="3" t="s">
        <v>77</v>
      </c>
      <c r="I581" s="3" t="s">
        <v>131</v>
      </c>
      <c r="J581" s="3" t="n">
        <v>46</v>
      </c>
      <c r="K581" s="3" t="n">
        <v>3640.99</v>
      </c>
      <c r="L581" s="3" t="n">
        <v>167485.54</v>
      </c>
      <c r="M581" s="3" t="n">
        <v>0.1002</v>
      </c>
      <c r="N581" s="3" t="n">
        <v>16782.05</v>
      </c>
      <c r="O581" s="3" t="n">
        <v>150703.49</v>
      </c>
      <c r="P581" s="3" t="n">
        <v>113890.17</v>
      </c>
      <c r="Q581" s="3" t="n">
        <v>36813.32</v>
      </c>
      <c r="R581" s="3" t="n">
        <v>0.2443</v>
      </c>
      <c r="S581" s="3" t="n">
        <v>0.0828</v>
      </c>
      <c r="T581" s="3" t="n">
        <v>0.0174</v>
      </c>
    </row>
    <row r="582" customFormat="false" ht="15" hidden="false" customHeight="true" outlineLevel="0" collapsed="false">
      <c r="A582" s="3" t="s">
        <v>1103</v>
      </c>
      <c r="B582" s="3" t="s">
        <v>1104</v>
      </c>
      <c r="C582" s="3" t="s">
        <v>68</v>
      </c>
      <c r="D582" s="3" t="s">
        <v>69</v>
      </c>
      <c r="E582" s="3" t="s">
        <v>39</v>
      </c>
      <c r="F582" s="3" t="s">
        <v>70</v>
      </c>
      <c r="G582" s="3" t="s">
        <v>100</v>
      </c>
      <c r="H582" s="3" t="s">
        <v>56</v>
      </c>
      <c r="I582" s="3" t="s">
        <v>57</v>
      </c>
      <c r="J582" s="3" t="n">
        <v>2</v>
      </c>
      <c r="K582" s="3" t="n">
        <v>16821.6</v>
      </c>
      <c r="L582" s="3" t="n">
        <v>33643.2</v>
      </c>
      <c r="M582" s="3" t="n">
        <v>0.032</v>
      </c>
      <c r="N582" s="3" t="n">
        <v>1076.58</v>
      </c>
      <c r="O582" s="3" t="n">
        <v>32566.62</v>
      </c>
      <c r="P582" s="3" t="n">
        <v>20185.92</v>
      </c>
      <c r="Q582" s="3" t="n">
        <v>12380.7</v>
      </c>
      <c r="R582" s="3" t="n">
        <v>0.3802</v>
      </c>
      <c r="S582" s="3" t="n">
        <v>0.0285</v>
      </c>
      <c r="T582" s="3" t="n">
        <v>0.0035</v>
      </c>
    </row>
    <row r="583" customFormat="false" ht="15" hidden="false" customHeight="true" outlineLevel="0" collapsed="false">
      <c r="A583" s="3" t="s">
        <v>1105</v>
      </c>
      <c r="B583" s="3" t="s">
        <v>1106</v>
      </c>
      <c r="C583" s="3" t="s">
        <v>53</v>
      </c>
      <c r="D583" s="3" t="s">
        <v>83</v>
      </c>
      <c r="E583" s="3" t="s">
        <v>48</v>
      </c>
      <c r="F583" s="3" t="s">
        <v>62</v>
      </c>
      <c r="G583" s="3" t="s">
        <v>41</v>
      </c>
      <c r="H583" s="3" t="s">
        <v>77</v>
      </c>
      <c r="I583" s="3" t="s">
        <v>85</v>
      </c>
      <c r="J583" s="3" t="n">
        <v>44</v>
      </c>
      <c r="K583" s="3" t="n">
        <v>1288.19</v>
      </c>
      <c r="L583" s="3" t="n">
        <v>56680.36</v>
      </c>
      <c r="M583" s="3" t="n">
        <v>0.0926</v>
      </c>
      <c r="N583" s="3" t="n">
        <v>5248.6</v>
      </c>
      <c r="O583" s="3" t="n">
        <v>51431.76</v>
      </c>
      <c r="P583" s="3" t="n">
        <v>38542.64</v>
      </c>
      <c r="Q583" s="3" t="n">
        <v>12889.12</v>
      </c>
      <c r="R583" s="3" t="n">
        <v>0.2506</v>
      </c>
      <c r="S583" s="3" t="n">
        <v>0.1018</v>
      </c>
      <c r="T583" s="3" t="n">
        <v>-0.0092</v>
      </c>
    </row>
    <row r="584" customFormat="false" ht="15" hidden="false" customHeight="true" outlineLevel="0" collapsed="false">
      <c r="A584" s="3" t="s">
        <v>1107</v>
      </c>
      <c r="B584" s="3" t="s">
        <v>1108</v>
      </c>
      <c r="C584" s="3" t="s">
        <v>156</v>
      </c>
      <c r="D584" s="3" t="s">
        <v>107</v>
      </c>
      <c r="E584" s="3" t="s">
        <v>33</v>
      </c>
      <c r="F584" s="3" t="s">
        <v>70</v>
      </c>
      <c r="G584" s="3" t="s">
        <v>71</v>
      </c>
      <c r="H584" s="3" t="s">
        <v>42</v>
      </c>
      <c r="I584" s="3" t="s">
        <v>43</v>
      </c>
      <c r="J584" s="3" t="n">
        <v>25</v>
      </c>
      <c r="K584" s="3" t="n">
        <v>1401.88</v>
      </c>
      <c r="L584" s="3" t="n">
        <v>35047</v>
      </c>
      <c r="M584" s="3" t="n">
        <v>0.0745</v>
      </c>
      <c r="N584" s="3" t="n">
        <v>2611</v>
      </c>
      <c r="O584" s="3" t="n">
        <v>32436</v>
      </c>
      <c r="P584" s="3" t="n">
        <v>19275.85</v>
      </c>
      <c r="Q584" s="3" t="n">
        <v>13160.15</v>
      </c>
      <c r="R584" s="3" t="n">
        <v>0.4057</v>
      </c>
      <c r="S584" s="3" t="n">
        <v>0.0807</v>
      </c>
      <c r="T584" s="3" t="n">
        <v>-0.0062</v>
      </c>
    </row>
    <row r="585" customFormat="false" ht="15" hidden="false" customHeight="true" outlineLevel="0" collapsed="false">
      <c r="A585" s="3" t="s">
        <v>1109</v>
      </c>
      <c r="B585" s="3" t="s">
        <v>1110</v>
      </c>
      <c r="C585" s="3" t="s">
        <v>46</v>
      </c>
      <c r="D585" s="3" t="s">
        <v>54</v>
      </c>
      <c r="E585" s="3" t="s">
        <v>24</v>
      </c>
      <c r="F585" s="3" t="s">
        <v>40</v>
      </c>
      <c r="G585" s="3" t="s">
        <v>49</v>
      </c>
      <c r="H585" s="3" t="s">
        <v>64</v>
      </c>
      <c r="I585" s="3" t="s">
        <v>108</v>
      </c>
      <c r="J585" s="3" t="n">
        <v>43</v>
      </c>
      <c r="K585" s="3" t="n">
        <v>11074.58</v>
      </c>
      <c r="L585" s="3" t="n">
        <v>476206.94</v>
      </c>
      <c r="M585" s="3" t="n">
        <v>0.0369</v>
      </c>
      <c r="N585" s="3" t="n">
        <v>17572.04</v>
      </c>
      <c r="O585" s="3" t="n">
        <v>458634.9</v>
      </c>
      <c r="P585" s="3" t="n">
        <v>276200.03</v>
      </c>
      <c r="Q585" s="3" t="n">
        <v>182434.87</v>
      </c>
      <c r="R585" s="3" t="n">
        <v>0.3978</v>
      </c>
      <c r="S585" s="3" t="n">
        <v>0.0352</v>
      </c>
      <c r="T585" s="3" t="n">
        <v>0.0017</v>
      </c>
    </row>
    <row r="586" customFormat="false" ht="15" hidden="false" customHeight="true" outlineLevel="0" collapsed="false">
      <c r="A586" s="3" t="s">
        <v>1111</v>
      </c>
      <c r="B586" s="3" t="s">
        <v>1112</v>
      </c>
      <c r="C586" s="3" t="s">
        <v>37</v>
      </c>
      <c r="D586" s="3" t="s">
        <v>23</v>
      </c>
      <c r="E586" s="3" t="s">
        <v>24</v>
      </c>
      <c r="F586" s="3" t="s">
        <v>25</v>
      </c>
      <c r="G586" s="3" t="s">
        <v>71</v>
      </c>
      <c r="H586" s="3" t="s">
        <v>56</v>
      </c>
      <c r="I586" s="3" t="s">
        <v>121</v>
      </c>
      <c r="J586" s="3" t="n">
        <v>16</v>
      </c>
      <c r="K586" s="3" t="n">
        <v>5638.85</v>
      </c>
      <c r="L586" s="3" t="n">
        <v>90221.6</v>
      </c>
      <c r="M586" s="3" t="n">
        <v>0.1328</v>
      </c>
      <c r="N586" s="3" t="n">
        <v>11981.43</v>
      </c>
      <c r="O586" s="3" t="n">
        <v>78240.17</v>
      </c>
      <c r="P586" s="3" t="n">
        <v>54132.96</v>
      </c>
      <c r="Q586" s="3" t="n">
        <v>24107.21</v>
      </c>
      <c r="R586" s="3" t="n">
        <v>0.3081</v>
      </c>
      <c r="S586" s="3" t="n">
        <v>0.1424</v>
      </c>
      <c r="T586" s="3" t="n">
        <v>-0.0096</v>
      </c>
    </row>
    <row r="587" customFormat="false" ht="15" hidden="false" customHeight="true" outlineLevel="0" collapsed="false">
      <c r="A587" s="3" t="s">
        <v>1113</v>
      </c>
      <c r="B587" s="3" t="s">
        <v>530</v>
      </c>
      <c r="C587" s="3" t="s">
        <v>113</v>
      </c>
      <c r="D587" s="3" t="s">
        <v>103</v>
      </c>
      <c r="E587" s="3" t="s">
        <v>24</v>
      </c>
      <c r="F587" s="3" t="s">
        <v>62</v>
      </c>
      <c r="G587" s="3" t="s">
        <v>41</v>
      </c>
      <c r="H587" s="3" t="s">
        <v>77</v>
      </c>
      <c r="I587" s="3" t="s">
        <v>85</v>
      </c>
      <c r="J587" s="3" t="n">
        <v>9</v>
      </c>
      <c r="K587" s="3" t="n">
        <v>2192.43</v>
      </c>
      <c r="L587" s="3" t="n">
        <v>19731.87</v>
      </c>
      <c r="M587" s="3" t="n">
        <v>0.1064</v>
      </c>
      <c r="N587" s="3" t="n">
        <v>2099.47</v>
      </c>
      <c r="O587" s="3" t="n">
        <v>17632.4</v>
      </c>
      <c r="P587" s="3" t="n">
        <v>13417.67</v>
      </c>
      <c r="Q587" s="3" t="n">
        <v>4214.73</v>
      </c>
      <c r="R587" s="3" t="n">
        <v>0.239</v>
      </c>
      <c r="S587" s="3" t="n">
        <v>0.1127</v>
      </c>
      <c r="T587" s="3" t="n">
        <v>-0.0063</v>
      </c>
    </row>
    <row r="588" customFormat="false" ht="15" hidden="false" customHeight="true" outlineLevel="0" collapsed="false">
      <c r="A588" s="3" t="s">
        <v>1114</v>
      </c>
      <c r="B588" s="3" t="s">
        <v>147</v>
      </c>
      <c r="C588" s="3" t="s">
        <v>60</v>
      </c>
      <c r="D588" s="3" t="s">
        <v>54</v>
      </c>
      <c r="E588" s="3" t="s">
        <v>24</v>
      </c>
      <c r="F588" s="3" t="s">
        <v>40</v>
      </c>
      <c r="G588" s="3" t="s">
        <v>63</v>
      </c>
      <c r="H588" s="3" t="s">
        <v>56</v>
      </c>
      <c r="I588" s="3" t="s">
        <v>188</v>
      </c>
      <c r="J588" s="3" t="n">
        <v>50</v>
      </c>
      <c r="K588" s="3" t="n">
        <v>17930.97</v>
      </c>
      <c r="L588" s="3" t="n">
        <v>896548.5</v>
      </c>
      <c r="M588" s="3" t="n">
        <v>0.0373</v>
      </c>
      <c r="N588" s="3" t="n">
        <v>33441.26</v>
      </c>
      <c r="O588" s="3" t="n">
        <v>863107.24</v>
      </c>
      <c r="P588" s="3" t="n">
        <v>537929.1</v>
      </c>
      <c r="Q588" s="3" t="n">
        <v>325178.14</v>
      </c>
      <c r="R588" s="3" t="n">
        <v>0.3768</v>
      </c>
      <c r="S588" s="3" t="n">
        <v>0.0334</v>
      </c>
      <c r="T588" s="3" t="n">
        <v>0.0039</v>
      </c>
    </row>
    <row r="589" customFormat="false" ht="15" hidden="false" customHeight="true" outlineLevel="0" collapsed="false">
      <c r="A589" s="3" t="s">
        <v>1115</v>
      </c>
      <c r="B589" s="3" t="s">
        <v>1116</v>
      </c>
      <c r="C589" s="3" t="s">
        <v>31</v>
      </c>
      <c r="D589" s="3" t="s">
        <v>107</v>
      </c>
      <c r="E589" s="3" t="s">
        <v>33</v>
      </c>
      <c r="F589" s="3" t="s">
        <v>70</v>
      </c>
      <c r="G589" s="3" t="s">
        <v>116</v>
      </c>
      <c r="H589" s="3" t="s">
        <v>56</v>
      </c>
      <c r="I589" s="3" t="s">
        <v>121</v>
      </c>
      <c r="J589" s="3" t="n">
        <v>10</v>
      </c>
      <c r="K589" s="3" t="n">
        <v>4946.16</v>
      </c>
      <c r="L589" s="3" t="n">
        <v>49461.6</v>
      </c>
      <c r="M589" s="3" t="n">
        <v>0.117</v>
      </c>
      <c r="N589" s="3" t="n">
        <v>5787.01</v>
      </c>
      <c r="O589" s="3" t="n">
        <v>43674.59</v>
      </c>
      <c r="P589" s="3" t="n">
        <v>29676.96</v>
      </c>
      <c r="Q589" s="3" t="n">
        <v>13997.63</v>
      </c>
      <c r="R589" s="3" t="n">
        <v>0.3205</v>
      </c>
      <c r="S589" s="3" t="n">
        <v>0.1273</v>
      </c>
      <c r="T589" s="3" t="n">
        <v>-0.0103</v>
      </c>
    </row>
    <row r="590" customFormat="false" ht="15" hidden="false" customHeight="true" outlineLevel="0" collapsed="false">
      <c r="A590" s="3" t="s">
        <v>1117</v>
      </c>
      <c r="B590" s="3" t="s">
        <v>786</v>
      </c>
      <c r="C590" s="3" t="s">
        <v>113</v>
      </c>
      <c r="D590" s="3" t="s">
        <v>54</v>
      </c>
      <c r="E590" s="3" t="s">
        <v>24</v>
      </c>
      <c r="F590" s="3" t="s">
        <v>40</v>
      </c>
      <c r="G590" s="3" t="s">
        <v>71</v>
      </c>
      <c r="H590" s="3" t="s">
        <v>77</v>
      </c>
      <c r="I590" s="3" t="s">
        <v>85</v>
      </c>
      <c r="J590" s="3" t="n">
        <v>18</v>
      </c>
      <c r="K590" s="3" t="n">
        <v>5679.6</v>
      </c>
      <c r="L590" s="3" t="n">
        <v>102232.8</v>
      </c>
      <c r="M590" s="3" t="n">
        <v>0.0376</v>
      </c>
      <c r="N590" s="3" t="n">
        <v>3843.95</v>
      </c>
      <c r="O590" s="3" t="n">
        <v>98388.85</v>
      </c>
      <c r="P590" s="3" t="n">
        <v>69518.3</v>
      </c>
      <c r="Q590" s="3" t="n">
        <v>28870.55</v>
      </c>
      <c r="R590" s="3" t="n">
        <v>0.2934</v>
      </c>
      <c r="S590" s="3" t="n">
        <v>0.0313</v>
      </c>
      <c r="T590" s="3" t="n">
        <v>0.0063</v>
      </c>
    </row>
    <row r="591" customFormat="false" ht="15" hidden="false" customHeight="true" outlineLevel="0" collapsed="false">
      <c r="A591" s="3" t="s">
        <v>1118</v>
      </c>
      <c r="B591" s="3" t="s">
        <v>1119</v>
      </c>
      <c r="C591" s="3" t="s">
        <v>53</v>
      </c>
      <c r="D591" s="3" t="s">
        <v>75</v>
      </c>
      <c r="E591" s="3" t="s">
        <v>39</v>
      </c>
      <c r="F591" s="3" t="s">
        <v>25</v>
      </c>
      <c r="G591" s="3" t="s">
        <v>55</v>
      </c>
      <c r="H591" s="3" t="s">
        <v>27</v>
      </c>
      <c r="I591" s="3" t="s">
        <v>94</v>
      </c>
      <c r="J591" s="3" t="n">
        <v>37</v>
      </c>
      <c r="K591" s="3" t="n">
        <v>16539.6</v>
      </c>
      <c r="L591" s="3" t="n">
        <v>611965.2</v>
      </c>
      <c r="M591" s="3" t="n">
        <v>0.1483</v>
      </c>
      <c r="N591" s="3" t="n">
        <v>90754.44</v>
      </c>
      <c r="O591" s="3" t="n">
        <v>521210.76</v>
      </c>
      <c r="P591" s="3" t="n">
        <v>379418.42</v>
      </c>
      <c r="Q591" s="3" t="n">
        <v>141792.34</v>
      </c>
      <c r="R591" s="3" t="n">
        <v>0.272</v>
      </c>
      <c r="S591" s="3" t="n">
        <v>0.1492</v>
      </c>
      <c r="T591" s="3" t="n">
        <v>-0.0009</v>
      </c>
    </row>
    <row r="592" customFormat="false" ht="15" hidden="false" customHeight="true" outlineLevel="0" collapsed="false">
      <c r="A592" s="3" t="s">
        <v>1120</v>
      </c>
      <c r="B592" s="3" t="s">
        <v>1121</v>
      </c>
      <c r="C592" s="3" t="s">
        <v>113</v>
      </c>
      <c r="D592" s="3" t="s">
        <v>103</v>
      </c>
      <c r="E592" s="3" t="s">
        <v>24</v>
      </c>
      <c r="F592" s="3" t="s">
        <v>62</v>
      </c>
      <c r="G592" s="3" t="s">
        <v>41</v>
      </c>
      <c r="H592" s="3" t="s">
        <v>27</v>
      </c>
      <c r="I592" s="3" t="s">
        <v>173</v>
      </c>
      <c r="J592" s="3" t="n">
        <v>39</v>
      </c>
      <c r="K592" s="3" t="n">
        <v>24074.39</v>
      </c>
      <c r="L592" s="3" t="n">
        <v>938901.21</v>
      </c>
      <c r="M592" s="3" t="n">
        <v>0.0994</v>
      </c>
      <c r="N592" s="3" t="n">
        <v>93326.78</v>
      </c>
      <c r="O592" s="3" t="n">
        <v>845574.43</v>
      </c>
      <c r="P592" s="3" t="n">
        <v>582118.75</v>
      </c>
      <c r="Q592" s="3" t="n">
        <v>263455.68</v>
      </c>
      <c r="R592" s="3" t="n">
        <v>0.3116</v>
      </c>
      <c r="S592" s="3" t="n">
        <v>0.105</v>
      </c>
      <c r="T592" s="3" t="n">
        <v>-0.0056</v>
      </c>
    </row>
    <row r="593" customFormat="false" ht="15" hidden="false" customHeight="true" outlineLevel="0" collapsed="false">
      <c r="A593" s="3" t="s">
        <v>1122</v>
      </c>
      <c r="B593" s="3" t="s">
        <v>1123</v>
      </c>
      <c r="C593" s="3" t="s">
        <v>126</v>
      </c>
      <c r="D593" s="3" t="s">
        <v>83</v>
      </c>
      <c r="E593" s="3" t="s">
        <v>48</v>
      </c>
      <c r="F593" s="3" t="s">
        <v>62</v>
      </c>
      <c r="G593" s="3" t="s">
        <v>41</v>
      </c>
      <c r="H593" s="3" t="s">
        <v>77</v>
      </c>
      <c r="I593" s="3" t="s">
        <v>131</v>
      </c>
      <c r="J593" s="3" t="n">
        <v>3</v>
      </c>
      <c r="K593" s="3" t="n">
        <v>2127.65</v>
      </c>
      <c r="L593" s="3" t="n">
        <v>6382.95</v>
      </c>
      <c r="M593" s="3" t="n">
        <v>0.1092</v>
      </c>
      <c r="N593" s="3" t="n">
        <v>697.02</v>
      </c>
      <c r="O593" s="3" t="n">
        <v>5685.93</v>
      </c>
      <c r="P593" s="3" t="n">
        <v>4340.41</v>
      </c>
      <c r="Q593" s="3" t="n">
        <v>1345.52</v>
      </c>
      <c r="R593" s="3" t="n">
        <v>0.2366</v>
      </c>
      <c r="S593" s="3" t="n">
        <v>0.1185</v>
      </c>
      <c r="T593" s="3" t="n">
        <v>-0.0093</v>
      </c>
    </row>
    <row r="594" customFormat="false" ht="15" hidden="false" customHeight="true" outlineLevel="0" collapsed="false">
      <c r="A594" s="3" t="s">
        <v>1124</v>
      </c>
      <c r="B594" s="3" t="s">
        <v>227</v>
      </c>
      <c r="C594" s="3" t="s">
        <v>37</v>
      </c>
      <c r="D594" s="3" t="s">
        <v>69</v>
      </c>
      <c r="E594" s="3" t="s">
        <v>39</v>
      </c>
      <c r="F594" s="3" t="s">
        <v>70</v>
      </c>
      <c r="G594" s="3" t="s">
        <v>116</v>
      </c>
      <c r="H594" s="3" t="s">
        <v>64</v>
      </c>
      <c r="I594" s="3" t="s">
        <v>108</v>
      </c>
      <c r="J594" s="3" t="n">
        <v>29</v>
      </c>
      <c r="K594" s="3" t="n">
        <v>4593.7</v>
      </c>
      <c r="L594" s="3" t="n">
        <v>133217.3</v>
      </c>
      <c r="M594" s="3" t="n">
        <v>0.113</v>
      </c>
      <c r="N594" s="3" t="n">
        <v>15053.55</v>
      </c>
      <c r="O594" s="3" t="n">
        <v>118163.75</v>
      </c>
      <c r="P594" s="3" t="n">
        <v>77266.03</v>
      </c>
      <c r="Q594" s="3" t="n">
        <v>40897.72</v>
      </c>
      <c r="R594" s="3" t="n">
        <v>0.3461</v>
      </c>
      <c r="S594" s="3" t="n">
        <v>0.1197</v>
      </c>
      <c r="T594" s="3" t="n">
        <v>-0.0067</v>
      </c>
    </row>
    <row r="595" customFormat="false" ht="15" hidden="false" customHeight="true" outlineLevel="0" collapsed="false">
      <c r="A595" s="3" t="s">
        <v>1125</v>
      </c>
      <c r="B595" s="3" t="s">
        <v>1126</v>
      </c>
      <c r="C595" s="3" t="s">
        <v>68</v>
      </c>
      <c r="D595" s="3" t="s">
        <v>69</v>
      </c>
      <c r="E595" s="3" t="s">
        <v>39</v>
      </c>
      <c r="F595" s="3" t="s">
        <v>70</v>
      </c>
      <c r="G595" s="3" t="s">
        <v>104</v>
      </c>
      <c r="H595" s="3" t="s">
        <v>77</v>
      </c>
      <c r="I595" s="3" t="s">
        <v>78</v>
      </c>
      <c r="J595" s="3" t="n">
        <v>25</v>
      </c>
      <c r="K595" s="3" t="n">
        <v>4118.06</v>
      </c>
      <c r="L595" s="3" t="n">
        <v>102951.5</v>
      </c>
      <c r="M595" s="3" t="n">
        <v>0.1018</v>
      </c>
      <c r="N595" s="3" t="n">
        <v>10480.46</v>
      </c>
      <c r="O595" s="3" t="n">
        <v>92471.04</v>
      </c>
      <c r="P595" s="3" t="n">
        <v>70007.02</v>
      </c>
      <c r="Q595" s="3" t="n">
        <v>22464.02</v>
      </c>
      <c r="R595" s="3" t="n">
        <v>0.2429</v>
      </c>
      <c r="S595" s="3" t="n">
        <v>0.101</v>
      </c>
      <c r="T595" s="3" t="n">
        <v>0.0008</v>
      </c>
    </row>
    <row r="596" customFormat="false" ht="15" hidden="false" customHeight="true" outlineLevel="0" collapsed="false">
      <c r="A596" s="3" t="s">
        <v>1127</v>
      </c>
      <c r="B596" s="3" t="s">
        <v>302</v>
      </c>
      <c r="C596" s="3" t="s">
        <v>46</v>
      </c>
      <c r="D596" s="3" t="s">
        <v>97</v>
      </c>
      <c r="E596" s="3" t="s">
        <v>48</v>
      </c>
      <c r="F596" s="3" t="s">
        <v>40</v>
      </c>
      <c r="G596" s="3" t="s">
        <v>116</v>
      </c>
      <c r="H596" s="3" t="s">
        <v>27</v>
      </c>
      <c r="I596" s="3" t="s">
        <v>94</v>
      </c>
      <c r="J596" s="3" t="n">
        <v>3</v>
      </c>
      <c r="K596" s="3" t="n">
        <v>22451.51</v>
      </c>
      <c r="L596" s="3" t="n">
        <v>67354.53</v>
      </c>
      <c r="M596" s="3" t="n">
        <v>0.1037</v>
      </c>
      <c r="N596" s="3" t="n">
        <v>6984.66</v>
      </c>
      <c r="O596" s="3" t="n">
        <v>60369.87</v>
      </c>
      <c r="P596" s="3" t="n">
        <v>41759.81</v>
      </c>
      <c r="Q596" s="3" t="n">
        <v>18610.06</v>
      </c>
      <c r="R596" s="3" t="n">
        <v>0.3083</v>
      </c>
      <c r="S596" s="3" t="n">
        <v>0.1136</v>
      </c>
      <c r="T596" s="3" t="n">
        <v>-0.0099</v>
      </c>
    </row>
    <row r="597" customFormat="false" ht="15" hidden="false" customHeight="true" outlineLevel="0" collapsed="false">
      <c r="A597" s="3" t="s">
        <v>1128</v>
      </c>
      <c r="B597" s="3" t="s">
        <v>860</v>
      </c>
      <c r="C597" s="3" t="s">
        <v>126</v>
      </c>
      <c r="D597" s="3" t="s">
        <v>32</v>
      </c>
      <c r="E597" s="3" t="s">
        <v>33</v>
      </c>
      <c r="F597" s="3" t="s">
        <v>25</v>
      </c>
      <c r="G597" s="3" t="s">
        <v>100</v>
      </c>
      <c r="H597" s="3" t="s">
        <v>56</v>
      </c>
      <c r="I597" s="3" t="s">
        <v>57</v>
      </c>
      <c r="J597" s="3" t="n">
        <v>4</v>
      </c>
      <c r="K597" s="3" t="n">
        <v>14242.56</v>
      </c>
      <c r="L597" s="3" t="n">
        <v>56970.24</v>
      </c>
      <c r="M597" s="3" t="n">
        <v>0.1147</v>
      </c>
      <c r="N597" s="3" t="n">
        <v>6534.49</v>
      </c>
      <c r="O597" s="3" t="n">
        <v>50435.75</v>
      </c>
      <c r="P597" s="3" t="n">
        <v>34182.14</v>
      </c>
      <c r="Q597" s="3" t="n">
        <v>16253.61</v>
      </c>
      <c r="R597" s="3" t="n">
        <v>0.3223</v>
      </c>
      <c r="S597" s="3" t="n">
        <v>0.1183</v>
      </c>
      <c r="T597" s="3" t="n">
        <v>-0.0036</v>
      </c>
    </row>
    <row r="598" customFormat="false" ht="15" hidden="false" customHeight="true" outlineLevel="0" collapsed="false">
      <c r="A598" s="3" t="s">
        <v>1129</v>
      </c>
      <c r="B598" s="3" t="s">
        <v>706</v>
      </c>
      <c r="C598" s="3" t="s">
        <v>60</v>
      </c>
      <c r="D598" s="3" t="s">
        <v>54</v>
      </c>
      <c r="E598" s="3" t="s">
        <v>24</v>
      </c>
      <c r="F598" s="3" t="s">
        <v>40</v>
      </c>
      <c r="G598" s="3" t="s">
        <v>63</v>
      </c>
      <c r="H598" s="3" t="s">
        <v>77</v>
      </c>
      <c r="I598" s="3" t="s">
        <v>131</v>
      </c>
      <c r="J598" s="3" t="n">
        <v>4</v>
      </c>
      <c r="K598" s="3" t="n">
        <v>2613.21</v>
      </c>
      <c r="L598" s="3" t="n">
        <v>10452.84</v>
      </c>
      <c r="M598" s="3" t="n">
        <v>0.0645</v>
      </c>
      <c r="N598" s="3" t="n">
        <v>674.21</v>
      </c>
      <c r="O598" s="3" t="n">
        <v>9778.63</v>
      </c>
      <c r="P598" s="3" t="n">
        <v>7107.93</v>
      </c>
      <c r="Q598" s="3" t="n">
        <v>2670.7</v>
      </c>
      <c r="R598" s="3" t="n">
        <v>0.2731</v>
      </c>
      <c r="S598" s="3" t="n">
        <v>0.0606</v>
      </c>
      <c r="T598" s="3" t="n">
        <v>0.0039</v>
      </c>
    </row>
    <row r="599" customFormat="false" ht="15" hidden="false" customHeight="true" outlineLevel="0" collapsed="false">
      <c r="A599" s="3" t="s">
        <v>1130</v>
      </c>
      <c r="B599" s="3" t="s">
        <v>319</v>
      </c>
      <c r="C599" s="3" t="s">
        <v>60</v>
      </c>
      <c r="D599" s="3" t="s">
        <v>23</v>
      </c>
      <c r="E599" s="3" t="s">
        <v>24</v>
      </c>
      <c r="F599" s="3" t="s">
        <v>25</v>
      </c>
      <c r="G599" s="3" t="s">
        <v>26</v>
      </c>
      <c r="H599" s="3" t="s">
        <v>77</v>
      </c>
      <c r="I599" s="3" t="s">
        <v>131</v>
      </c>
      <c r="J599" s="3" t="n">
        <v>12</v>
      </c>
      <c r="K599" s="3" t="n">
        <v>3603.16</v>
      </c>
      <c r="L599" s="3" t="n">
        <v>43237.92</v>
      </c>
      <c r="M599" s="3" t="n">
        <v>0.184</v>
      </c>
      <c r="N599" s="3" t="n">
        <v>7955.78</v>
      </c>
      <c r="O599" s="3" t="n">
        <v>35282.14</v>
      </c>
      <c r="P599" s="3" t="n">
        <v>29401.79</v>
      </c>
      <c r="Q599" s="3" t="n">
        <v>5880.35</v>
      </c>
      <c r="R599" s="3" t="n">
        <v>0.1667</v>
      </c>
      <c r="S599" s="3" t="n">
        <v>0.1689</v>
      </c>
      <c r="T599" s="3" t="n">
        <v>0.0151</v>
      </c>
    </row>
    <row r="600" customFormat="false" ht="15" hidden="false" customHeight="true" outlineLevel="0" collapsed="false">
      <c r="A600" s="3" t="s">
        <v>1131</v>
      </c>
      <c r="B600" s="3" t="s">
        <v>740</v>
      </c>
      <c r="C600" s="3" t="s">
        <v>120</v>
      </c>
      <c r="D600" s="3" t="s">
        <v>103</v>
      </c>
      <c r="E600" s="3" t="s">
        <v>24</v>
      </c>
      <c r="F600" s="3" t="s">
        <v>62</v>
      </c>
      <c r="G600" s="3" t="s">
        <v>41</v>
      </c>
      <c r="H600" s="3" t="s">
        <v>77</v>
      </c>
      <c r="I600" s="3" t="s">
        <v>131</v>
      </c>
      <c r="J600" s="3" t="n">
        <v>46</v>
      </c>
      <c r="K600" s="3" t="n">
        <v>3377.67</v>
      </c>
      <c r="L600" s="3" t="n">
        <v>155372.82</v>
      </c>
      <c r="M600" s="3" t="n">
        <v>0.1301</v>
      </c>
      <c r="N600" s="3" t="n">
        <v>20214</v>
      </c>
      <c r="O600" s="3" t="n">
        <v>135158.82</v>
      </c>
      <c r="P600" s="3" t="n">
        <v>105653.52</v>
      </c>
      <c r="Q600" s="3" t="n">
        <v>29505.3</v>
      </c>
      <c r="R600" s="3" t="n">
        <v>0.2183</v>
      </c>
      <c r="S600" s="3" t="n">
        <v>0.1138</v>
      </c>
      <c r="T600" s="3" t="n">
        <v>0.0163</v>
      </c>
    </row>
    <row r="601" customFormat="false" ht="15" hidden="false" customHeight="true" outlineLevel="0" collapsed="false">
      <c r="A601" s="3" t="s">
        <v>1132</v>
      </c>
      <c r="B601" s="3" t="s">
        <v>1133</v>
      </c>
      <c r="C601" s="3" t="s">
        <v>46</v>
      </c>
      <c r="D601" s="3" t="s">
        <v>97</v>
      </c>
      <c r="E601" s="3" t="s">
        <v>48</v>
      </c>
      <c r="F601" s="3" t="s">
        <v>40</v>
      </c>
      <c r="G601" s="3" t="s">
        <v>116</v>
      </c>
      <c r="H601" s="3" t="s">
        <v>64</v>
      </c>
      <c r="I601" s="3" t="s">
        <v>65</v>
      </c>
      <c r="J601" s="3" t="n">
        <v>29</v>
      </c>
      <c r="K601" s="3" t="n">
        <v>4027.48</v>
      </c>
      <c r="L601" s="3" t="n">
        <v>116796.92</v>
      </c>
      <c r="M601" s="3" t="n">
        <v>0.0851</v>
      </c>
      <c r="N601" s="3" t="n">
        <v>9939.42</v>
      </c>
      <c r="O601" s="3" t="n">
        <v>106857.5</v>
      </c>
      <c r="P601" s="3" t="n">
        <v>67742.21</v>
      </c>
      <c r="Q601" s="3" t="n">
        <v>39115.29</v>
      </c>
      <c r="R601" s="3" t="n">
        <v>0.3661</v>
      </c>
      <c r="S601" s="3" t="n">
        <v>0.0867</v>
      </c>
      <c r="T601" s="3" t="n">
        <v>-0.0016</v>
      </c>
    </row>
    <row r="602" customFormat="false" ht="15" hidden="false" customHeight="true" outlineLevel="0" collapsed="false">
      <c r="A602" s="3" t="s">
        <v>1134</v>
      </c>
      <c r="B602" s="3" t="s">
        <v>1135</v>
      </c>
      <c r="C602" s="3" t="s">
        <v>37</v>
      </c>
      <c r="D602" s="3" t="s">
        <v>107</v>
      </c>
      <c r="E602" s="3" t="s">
        <v>33</v>
      </c>
      <c r="F602" s="3" t="s">
        <v>70</v>
      </c>
      <c r="G602" s="3" t="s">
        <v>63</v>
      </c>
      <c r="H602" s="3" t="s">
        <v>56</v>
      </c>
      <c r="I602" s="3" t="s">
        <v>188</v>
      </c>
      <c r="J602" s="3" t="n">
        <v>3</v>
      </c>
      <c r="K602" s="3" t="n">
        <v>10805.53</v>
      </c>
      <c r="L602" s="3" t="n">
        <v>32416.59</v>
      </c>
      <c r="M602" s="3" t="n">
        <v>0.0684</v>
      </c>
      <c r="N602" s="3" t="n">
        <v>2217.29</v>
      </c>
      <c r="O602" s="3" t="n">
        <v>30199.3</v>
      </c>
      <c r="P602" s="3" t="n">
        <v>19449.95</v>
      </c>
      <c r="Q602" s="3" t="n">
        <v>10749.35</v>
      </c>
      <c r="R602" s="3" t="n">
        <v>0.3559</v>
      </c>
      <c r="S602" s="3" t="n">
        <v>0.0663</v>
      </c>
      <c r="T602" s="3" t="n">
        <v>0.0021</v>
      </c>
    </row>
    <row r="603" customFormat="false" ht="15" hidden="false" customHeight="true" outlineLevel="0" collapsed="false">
      <c r="A603" s="3" t="s">
        <v>1136</v>
      </c>
      <c r="B603" s="3" t="s">
        <v>1137</v>
      </c>
      <c r="C603" s="3" t="s">
        <v>93</v>
      </c>
      <c r="D603" s="3" t="s">
        <v>23</v>
      </c>
      <c r="E603" s="3" t="s">
        <v>24</v>
      </c>
      <c r="F603" s="3" t="s">
        <v>25</v>
      </c>
      <c r="G603" s="3" t="s">
        <v>41</v>
      </c>
      <c r="H603" s="3" t="s">
        <v>64</v>
      </c>
      <c r="I603" s="3" t="s">
        <v>108</v>
      </c>
      <c r="J603" s="3" t="n">
        <v>46</v>
      </c>
      <c r="K603" s="3" t="n">
        <v>4609.8</v>
      </c>
      <c r="L603" s="3" t="n">
        <v>212050.8</v>
      </c>
      <c r="M603" s="3" t="n">
        <v>0.1464</v>
      </c>
      <c r="N603" s="3" t="n">
        <v>31044.24</v>
      </c>
      <c r="O603" s="3" t="n">
        <v>181006.56</v>
      </c>
      <c r="P603" s="3" t="n">
        <v>122989.46</v>
      </c>
      <c r="Q603" s="3" t="n">
        <v>58017.1</v>
      </c>
      <c r="R603" s="3" t="n">
        <v>0.3205</v>
      </c>
      <c r="S603" s="3" t="n">
        <v>0.1298</v>
      </c>
      <c r="T603" s="3" t="n">
        <v>0.0166</v>
      </c>
    </row>
    <row r="604" customFormat="false" ht="15" hidden="false" customHeight="true" outlineLevel="0" collapsed="false">
      <c r="A604" s="3" t="s">
        <v>1138</v>
      </c>
      <c r="B604" s="3" t="s">
        <v>187</v>
      </c>
      <c r="C604" s="3" t="s">
        <v>156</v>
      </c>
      <c r="D604" s="3" t="s">
        <v>75</v>
      </c>
      <c r="E604" s="3" t="s">
        <v>39</v>
      </c>
      <c r="F604" s="3" t="s">
        <v>25</v>
      </c>
      <c r="G604" s="3" t="s">
        <v>34</v>
      </c>
      <c r="H604" s="3" t="s">
        <v>27</v>
      </c>
      <c r="I604" s="3" t="s">
        <v>117</v>
      </c>
      <c r="J604" s="3" t="n">
        <v>49</v>
      </c>
      <c r="K604" s="3" t="n">
        <v>8113.05</v>
      </c>
      <c r="L604" s="3" t="n">
        <v>397539.45</v>
      </c>
      <c r="M604" s="3" t="n">
        <v>0.1736</v>
      </c>
      <c r="N604" s="3" t="n">
        <v>69012.85</v>
      </c>
      <c r="O604" s="3" t="n">
        <v>328526.6</v>
      </c>
      <c r="P604" s="3" t="n">
        <v>246474.46</v>
      </c>
      <c r="Q604" s="3" t="n">
        <v>82052.14</v>
      </c>
      <c r="R604" s="3" t="n">
        <v>0.2498</v>
      </c>
      <c r="S604" s="3" t="n">
        <v>0.1705</v>
      </c>
      <c r="T604" s="3" t="n">
        <v>0.0031</v>
      </c>
    </row>
    <row r="605" customFormat="false" ht="15" hidden="false" customHeight="true" outlineLevel="0" collapsed="false">
      <c r="A605" s="3" t="s">
        <v>1139</v>
      </c>
      <c r="B605" s="3" t="s">
        <v>410</v>
      </c>
      <c r="C605" s="3" t="s">
        <v>22</v>
      </c>
      <c r="D605" s="3" t="s">
        <v>83</v>
      </c>
      <c r="E605" s="3" t="s">
        <v>48</v>
      </c>
      <c r="F605" s="3" t="s">
        <v>62</v>
      </c>
      <c r="G605" s="3" t="s">
        <v>55</v>
      </c>
      <c r="H605" s="3" t="s">
        <v>64</v>
      </c>
      <c r="I605" s="3" t="s">
        <v>108</v>
      </c>
      <c r="J605" s="3" t="n">
        <v>30</v>
      </c>
      <c r="K605" s="3" t="n">
        <v>8935.24</v>
      </c>
      <c r="L605" s="3" t="n">
        <v>268057.2</v>
      </c>
      <c r="M605" s="3" t="n">
        <v>0.0505</v>
      </c>
      <c r="N605" s="3" t="n">
        <v>13536.89</v>
      </c>
      <c r="O605" s="3" t="n">
        <v>254520.31</v>
      </c>
      <c r="P605" s="3" t="n">
        <v>155473.18</v>
      </c>
      <c r="Q605" s="3" t="n">
        <v>99047.13</v>
      </c>
      <c r="R605" s="3" t="n">
        <v>0.3892</v>
      </c>
      <c r="S605" s="3" t="n">
        <v>0.0495</v>
      </c>
      <c r="T605" s="3" t="n">
        <v>0.001</v>
      </c>
    </row>
    <row r="606" customFormat="false" ht="15" hidden="false" customHeight="true" outlineLevel="0" collapsed="false">
      <c r="A606" s="3" t="s">
        <v>1140</v>
      </c>
      <c r="B606" s="3" t="s">
        <v>1141</v>
      </c>
      <c r="C606" s="3" t="s">
        <v>37</v>
      </c>
      <c r="D606" s="3" t="s">
        <v>32</v>
      </c>
      <c r="E606" s="3" t="s">
        <v>33</v>
      </c>
      <c r="F606" s="3" t="s">
        <v>25</v>
      </c>
      <c r="G606" s="3" t="s">
        <v>55</v>
      </c>
      <c r="H606" s="3" t="s">
        <v>64</v>
      </c>
      <c r="I606" s="3" t="s">
        <v>145</v>
      </c>
      <c r="J606" s="3" t="n">
        <v>14</v>
      </c>
      <c r="K606" s="3" t="n">
        <v>8657.72</v>
      </c>
      <c r="L606" s="3" t="n">
        <v>121208.08</v>
      </c>
      <c r="M606" s="3" t="n">
        <v>0.0843</v>
      </c>
      <c r="N606" s="3" t="n">
        <v>10217.84</v>
      </c>
      <c r="O606" s="3" t="n">
        <v>110990.24</v>
      </c>
      <c r="P606" s="3" t="n">
        <v>70300.69</v>
      </c>
      <c r="Q606" s="3" t="n">
        <v>40689.55</v>
      </c>
      <c r="R606" s="3" t="n">
        <v>0.3666</v>
      </c>
      <c r="S606" s="3" t="n">
        <v>0.0684</v>
      </c>
      <c r="T606" s="3" t="n">
        <v>0.0159</v>
      </c>
    </row>
    <row r="607" customFormat="false" ht="15" hidden="false" customHeight="true" outlineLevel="0" collapsed="false">
      <c r="A607" s="3" t="s">
        <v>1142</v>
      </c>
      <c r="B607" s="3" t="s">
        <v>986</v>
      </c>
      <c r="C607" s="3" t="s">
        <v>113</v>
      </c>
      <c r="D607" s="3" t="s">
        <v>32</v>
      </c>
      <c r="E607" s="3" t="s">
        <v>33</v>
      </c>
      <c r="F607" s="3" t="s">
        <v>25</v>
      </c>
      <c r="G607" s="3" t="s">
        <v>76</v>
      </c>
      <c r="H607" s="3" t="s">
        <v>56</v>
      </c>
      <c r="I607" s="3" t="s">
        <v>121</v>
      </c>
      <c r="J607" s="3" t="n">
        <v>6</v>
      </c>
      <c r="K607" s="3" t="n">
        <v>7297.78</v>
      </c>
      <c r="L607" s="3" t="n">
        <v>43786.68</v>
      </c>
      <c r="M607" s="3" t="n">
        <v>0.1058</v>
      </c>
      <c r="N607" s="3" t="n">
        <v>4632.63</v>
      </c>
      <c r="O607" s="3" t="n">
        <v>39154.05</v>
      </c>
      <c r="P607" s="3" t="n">
        <v>26272.01</v>
      </c>
      <c r="Q607" s="3" t="n">
        <v>12882.04</v>
      </c>
      <c r="R607" s="3" t="n">
        <v>0.329</v>
      </c>
      <c r="S607" s="3" t="n">
        <v>0.0898</v>
      </c>
      <c r="T607" s="3" t="n">
        <v>0.016</v>
      </c>
    </row>
    <row r="608" customFormat="false" ht="15" hidden="false" customHeight="true" outlineLevel="0" collapsed="false">
      <c r="A608" s="3" t="s">
        <v>1143</v>
      </c>
      <c r="B608" s="3" t="s">
        <v>948</v>
      </c>
      <c r="C608" s="3" t="s">
        <v>60</v>
      </c>
      <c r="D608" s="3" t="s">
        <v>54</v>
      </c>
      <c r="E608" s="3" t="s">
        <v>24</v>
      </c>
      <c r="F608" s="3" t="s">
        <v>40</v>
      </c>
      <c r="G608" s="3" t="s">
        <v>26</v>
      </c>
      <c r="H608" s="3" t="s">
        <v>56</v>
      </c>
      <c r="I608" s="3" t="s">
        <v>121</v>
      </c>
      <c r="J608" s="3" t="n">
        <v>37</v>
      </c>
      <c r="K608" s="3" t="n">
        <v>13197.55</v>
      </c>
      <c r="L608" s="3" t="n">
        <v>488309.35</v>
      </c>
      <c r="M608" s="3" t="n">
        <v>0.0694</v>
      </c>
      <c r="N608" s="3" t="n">
        <v>33888.67</v>
      </c>
      <c r="O608" s="3" t="n">
        <v>454420.68</v>
      </c>
      <c r="P608" s="3" t="n">
        <v>292985.61</v>
      </c>
      <c r="Q608" s="3" t="n">
        <v>161435.07</v>
      </c>
      <c r="R608" s="3" t="n">
        <v>0.3553</v>
      </c>
      <c r="S608" s="3" t="n">
        <v>0.0756</v>
      </c>
      <c r="T608" s="3" t="n">
        <v>-0.0062</v>
      </c>
    </row>
    <row r="609" customFormat="false" ht="15" hidden="false" customHeight="true" outlineLevel="0" collapsed="false">
      <c r="A609" s="3" t="s">
        <v>1144</v>
      </c>
      <c r="B609" s="3" t="s">
        <v>418</v>
      </c>
      <c r="C609" s="3" t="s">
        <v>22</v>
      </c>
      <c r="D609" s="3" t="s">
        <v>97</v>
      </c>
      <c r="E609" s="3" t="s">
        <v>48</v>
      </c>
      <c r="F609" s="3" t="s">
        <v>40</v>
      </c>
      <c r="G609" s="3" t="s">
        <v>104</v>
      </c>
      <c r="H609" s="3" t="s">
        <v>56</v>
      </c>
      <c r="I609" s="3" t="s">
        <v>57</v>
      </c>
      <c r="J609" s="3" t="n">
        <v>20</v>
      </c>
      <c r="K609" s="3" t="n">
        <v>3490.02</v>
      </c>
      <c r="L609" s="3" t="n">
        <v>69800.4</v>
      </c>
      <c r="M609" s="3" t="n">
        <v>0.102</v>
      </c>
      <c r="N609" s="3" t="n">
        <v>7119.64</v>
      </c>
      <c r="O609" s="3" t="n">
        <v>62680.76</v>
      </c>
      <c r="P609" s="3" t="n">
        <v>41880.24</v>
      </c>
      <c r="Q609" s="3" t="n">
        <v>20800.52</v>
      </c>
      <c r="R609" s="3" t="n">
        <v>0.3318</v>
      </c>
      <c r="S609" s="3" t="n">
        <v>0.1049</v>
      </c>
      <c r="T609" s="3" t="n">
        <v>-0.0029</v>
      </c>
    </row>
    <row r="610" customFormat="false" ht="15" hidden="false" customHeight="true" outlineLevel="0" collapsed="false">
      <c r="A610" s="3" t="s">
        <v>1145</v>
      </c>
      <c r="B610" s="3" t="s">
        <v>1146</v>
      </c>
      <c r="C610" s="3" t="s">
        <v>37</v>
      </c>
      <c r="D610" s="3" t="s">
        <v>107</v>
      </c>
      <c r="E610" s="3" t="s">
        <v>33</v>
      </c>
      <c r="F610" s="3" t="s">
        <v>70</v>
      </c>
      <c r="G610" s="3" t="s">
        <v>84</v>
      </c>
      <c r="H610" s="3" t="s">
        <v>27</v>
      </c>
      <c r="I610" s="3" t="s">
        <v>50</v>
      </c>
      <c r="J610" s="3" t="n">
        <v>45</v>
      </c>
      <c r="K610" s="3" t="n">
        <v>12305.47</v>
      </c>
      <c r="L610" s="3" t="n">
        <v>553746.15</v>
      </c>
      <c r="M610" s="3" t="n">
        <v>0.073</v>
      </c>
      <c r="N610" s="3" t="n">
        <v>40423.47</v>
      </c>
      <c r="O610" s="3" t="n">
        <v>513322.68</v>
      </c>
      <c r="P610" s="3" t="n">
        <v>343322.61</v>
      </c>
      <c r="Q610" s="3" t="n">
        <v>170000.07</v>
      </c>
      <c r="R610" s="3" t="n">
        <v>0.3312</v>
      </c>
      <c r="S610" s="3" t="n">
        <v>0.0699</v>
      </c>
      <c r="T610" s="3" t="n">
        <v>0.0031</v>
      </c>
    </row>
    <row r="611" customFormat="false" ht="15" hidden="false" customHeight="true" outlineLevel="0" collapsed="false">
      <c r="A611" s="3" t="s">
        <v>1147</v>
      </c>
      <c r="B611" s="3" t="s">
        <v>1148</v>
      </c>
      <c r="C611" s="3" t="s">
        <v>68</v>
      </c>
      <c r="D611" s="3" t="s">
        <v>107</v>
      </c>
      <c r="E611" s="3" t="s">
        <v>33</v>
      </c>
      <c r="F611" s="3" t="s">
        <v>70</v>
      </c>
      <c r="G611" s="3" t="s">
        <v>55</v>
      </c>
      <c r="H611" s="3" t="s">
        <v>64</v>
      </c>
      <c r="I611" s="3" t="s">
        <v>108</v>
      </c>
      <c r="J611" s="3" t="n">
        <v>37</v>
      </c>
      <c r="K611" s="3" t="n">
        <v>3523.66</v>
      </c>
      <c r="L611" s="3" t="n">
        <v>130375.42</v>
      </c>
      <c r="M611" s="3" t="n">
        <v>0.0665</v>
      </c>
      <c r="N611" s="3" t="n">
        <v>8669.97</v>
      </c>
      <c r="O611" s="3" t="n">
        <v>121705.45</v>
      </c>
      <c r="P611" s="3" t="n">
        <v>75617.74</v>
      </c>
      <c r="Q611" s="3" t="n">
        <v>46087.71</v>
      </c>
      <c r="R611" s="3" t="n">
        <v>0.3787</v>
      </c>
      <c r="S611" s="3" t="n">
        <v>0.0729</v>
      </c>
      <c r="T611" s="3" t="n">
        <v>-0.0064</v>
      </c>
    </row>
    <row r="612" customFormat="false" ht="15" hidden="false" customHeight="true" outlineLevel="0" collapsed="false">
      <c r="A612" s="3" t="s">
        <v>1149</v>
      </c>
      <c r="B612" s="3" t="s">
        <v>1150</v>
      </c>
      <c r="C612" s="3" t="s">
        <v>37</v>
      </c>
      <c r="D612" s="3" t="s">
        <v>83</v>
      </c>
      <c r="E612" s="3" t="s">
        <v>48</v>
      </c>
      <c r="F612" s="3" t="s">
        <v>62</v>
      </c>
      <c r="G612" s="3" t="s">
        <v>76</v>
      </c>
      <c r="H612" s="3" t="s">
        <v>56</v>
      </c>
      <c r="I612" s="3" t="s">
        <v>121</v>
      </c>
      <c r="J612" s="3" t="n">
        <v>21</v>
      </c>
      <c r="K612" s="3" t="n">
        <v>8832.86</v>
      </c>
      <c r="L612" s="3" t="n">
        <v>185490.06</v>
      </c>
      <c r="M612" s="3" t="n">
        <v>0.043</v>
      </c>
      <c r="N612" s="3" t="n">
        <v>7976.07</v>
      </c>
      <c r="O612" s="3" t="n">
        <v>177513.99</v>
      </c>
      <c r="P612" s="3" t="n">
        <v>111294.04</v>
      </c>
      <c r="Q612" s="3" t="n">
        <v>66219.95</v>
      </c>
      <c r="R612" s="3" t="n">
        <v>0.373</v>
      </c>
      <c r="S612" s="3" t="n">
        <v>0.0463</v>
      </c>
      <c r="T612" s="3" t="n">
        <v>-0.0033</v>
      </c>
    </row>
    <row r="613" customFormat="false" ht="15" hidden="false" customHeight="true" outlineLevel="0" collapsed="false">
      <c r="A613" s="3" t="s">
        <v>1151</v>
      </c>
      <c r="B613" s="3" t="s">
        <v>295</v>
      </c>
      <c r="C613" s="3" t="s">
        <v>113</v>
      </c>
      <c r="D613" s="3" t="s">
        <v>38</v>
      </c>
      <c r="E613" s="3" t="s">
        <v>39</v>
      </c>
      <c r="F613" s="3" t="s">
        <v>40</v>
      </c>
      <c r="G613" s="3" t="s">
        <v>100</v>
      </c>
      <c r="H613" s="3" t="s">
        <v>56</v>
      </c>
      <c r="I613" s="3" t="s">
        <v>57</v>
      </c>
      <c r="J613" s="3" t="n">
        <v>32</v>
      </c>
      <c r="K613" s="3" t="n">
        <v>13666.96</v>
      </c>
      <c r="L613" s="3" t="n">
        <v>437342.72</v>
      </c>
      <c r="M613" s="3" t="n">
        <v>0.0546</v>
      </c>
      <c r="N613" s="3" t="n">
        <v>23878.91</v>
      </c>
      <c r="O613" s="3" t="n">
        <v>413463.81</v>
      </c>
      <c r="P613" s="3" t="n">
        <v>262405.63</v>
      </c>
      <c r="Q613" s="3" t="n">
        <v>151058.18</v>
      </c>
      <c r="R613" s="3" t="n">
        <v>0.3653</v>
      </c>
      <c r="S613" s="3" t="n">
        <v>0.0582</v>
      </c>
      <c r="T613" s="3" t="n">
        <v>-0.0036</v>
      </c>
    </row>
    <row r="614" customFormat="false" ht="15" hidden="false" customHeight="true" outlineLevel="0" collapsed="false">
      <c r="A614" s="3" t="s">
        <v>1152</v>
      </c>
      <c r="B614" s="3" t="s">
        <v>496</v>
      </c>
      <c r="C614" s="3" t="s">
        <v>113</v>
      </c>
      <c r="D614" s="3" t="s">
        <v>69</v>
      </c>
      <c r="E614" s="3" t="s">
        <v>39</v>
      </c>
      <c r="F614" s="3" t="s">
        <v>70</v>
      </c>
      <c r="G614" s="3" t="s">
        <v>104</v>
      </c>
      <c r="H614" s="3" t="s">
        <v>42</v>
      </c>
      <c r="I614" s="3" t="s">
        <v>43</v>
      </c>
      <c r="J614" s="3" t="n">
        <v>30</v>
      </c>
      <c r="K614" s="3" t="n">
        <v>913.72</v>
      </c>
      <c r="L614" s="3" t="n">
        <v>27411.6</v>
      </c>
      <c r="M614" s="3" t="n">
        <v>0.086</v>
      </c>
      <c r="N614" s="3" t="n">
        <v>2357.4</v>
      </c>
      <c r="O614" s="3" t="n">
        <v>25054.2</v>
      </c>
      <c r="P614" s="3" t="n">
        <v>15076.38</v>
      </c>
      <c r="Q614" s="3" t="n">
        <v>9977.82</v>
      </c>
      <c r="R614" s="3" t="n">
        <v>0.3982</v>
      </c>
      <c r="S614" s="3" t="n">
        <v>0.0894</v>
      </c>
      <c r="T614" s="3" t="n">
        <v>-0.0034</v>
      </c>
    </row>
    <row r="615" customFormat="false" ht="15" hidden="false" customHeight="true" outlineLevel="0" collapsed="false">
      <c r="A615" s="3" t="s">
        <v>1153</v>
      </c>
      <c r="B615" s="3" t="s">
        <v>1154</v>
      </c>
      <c r="C615" s="3" t="s">
        <v>126</v>
      </c>
      <c r="D615" s="3" t="s">
        <v>47</v>
      </c>
      <c r="E615" s="3" t="s">
        <v>48</v>
      </c>
      <c r="F615" s="3" t="s">
        <v>25</v>
      </c>
      <c r="G615" s="3" t="s">
        <v>49</v>
      </c>
      <c r="H615" s="3" t="s">
        <v>77</v>
      </c>
      <c r="I615" s="3" t="s">
        <v>131</v>
      </c>
      <c r="J615" s="3" t="n">
        <v>41</v>
      </c>
      <c r="K615" s="3" t="n">
        <v>2878.32</v>
      </c>
      <c r="L615" s="3" t="n">
        <v>118011.12</v>
      </c>
      <c r="M615" s="3" t="n">
        <v>0.1319</v>
      </c>
      <c r="N615" s="3" t="n">
        <v>15565.67</v>
      </c>
      <c r="O615" s="3" t="n">
        <v>102445.45</v>
      </c>
      <c r="P615" s="3" t="n">
        <v>80247.56</v>
      </c>
      <c r="Q615" s="3" t="n">
        <v>22197.89</v>
      </c>
      <c r="R615" s="3" t="n">
        <v>0.2167</v>
      </c>
      <c r="S615" s="3" t="n">
        <v>0.1156</v>
      </c>
      <c r="T615" s="3" t="n">
        <v>0.0163</v>
      </c>
    </row>
    <row r="616" customFormat="false" ht="15" hidden="false" customHeight="true" outlineLevel="0" collapsed="false">
      <c r="A616" s="3" t="s">
        <v>1155</v>
      </c>
      <c r="B616" s="3" t="s">
        <v>479</v>
      </c>
      <c r="C616" s="3" t="s">
        <v>37</v>
      </c>
      <c r="D616" s="3" t="s">
        <v>61</v>
      </c>
      <c r="E616" s="3" t="s">
        <v>33</v>
      </c>
      <c r="F616" s="3" t="s">
        <v>62</v>
      </c>
      <c r="G616" s="3" t="s">
        <v>100</v>
      </c>
      <c r="H616" s="3" t="s">
        <v>42</v>
      </c>
      <c r="I616" s="3" t="s">
        <v>134</v>
      </c>
      <c r="J616" s="3" t="n">
        <v>50</v>
      </c>
      <c r="K616" s="3" t="n">
        <v>2424.98</v>
      </c>
      <c r="L616" s="3" t="n">
        <v>121249</v>
      </c>
      <c r="M616" s="3" t="n">
        <v>0.0303</v>
      </c>
      <c r="N616" s="3" t="n">
        <v>3673.84</v>
      </c>
      <c r="O616" s="3" t="n">
        <v>117575.16</v>
      </c>
      <c r="P616" s="3" t="n">
        <v>66686.95</v>
      </c>
      <c r="Q616" s="3" t="n">
        <v>50888.21</v>
      </c>
      <c r="R616" s="3" t="n">
        <v>0.4328</v>
      </c>
      <c r="S616" s="3" t="n">
        <v>0.0273</v>
      </c>
      <c r="T616" s="3" t="n">
        <v>0.003</v>
      </c>
    </row>
    <row r="617" customFormat="false" ht="15" hidden="false" customHeight="true" outlineLevel="0" collapsed="false">
      <c r="A617" s="3" t="s">
        <v>1156</v>
      </c>
      <c r="B617" s="3" t="s">
        <v>726</v>
      </c>
      <c r="C617" s="3" t="s">
        <v>93</v>
      </c>
      <c r="D617" s="3" t="s">
        <v>97</v>
      </c>
      <c r="E617" s="3" t="s">
        <v>48</v>
      </c>
      <c r="F617" s="3" t="s">
        <v>40</v>
      </c>
      <c r="G617" s="3" t="s">
        <v>104</v>
      </c>
      <c r="H617" s="3" t="s">
        <v>56</v>
      </c>
      <c r="I617" s="3" t="s">
        <v>121</v>
      </c>
      <c r="J617" s="3" t="n">
        <v>13</v>
      </c>
      <c r="K617" s="3" t="n">
        <v>15312.68</v>
      </c>
      <c r="L617" s="3" t="n">
        <v>199064.84</v>
      </c>
      <c r="M617" s="3" t="n">
        <v>0.08</v>
      </c>
      <c r="N617" s="3" t="n">
        <v>15925.19</v>
      </c>
      <c r="O617" s="3" t="n">
        <v>183139.65</v>
      </c>
      <c r="P617" s="3" t="n">
        <v>119438.9</v>
      </c>
      <c r="Q617" s="3" t="n">
        <v>63700.75</v>
      </c>
      <c r="R617" s="3" t="n">
        <v>0.3478</v>
      </c>
      <c r="S617" s="3" t="n">
        <v>0.086</v>
      </c>
      <c r="T617" s="3" t="n">
        <v>-0.006</v>
      </c>
    </row>
    <row r="618" customFormat="false" ht="15" hidden="false" customHeight="true" outlineLevel="0" collapsed="false">
      <c r="A618" s="3" t="s">
        <v>1157</v>
      </c>
      <c r="B618" s="3" t="s">
        <v>1158</v>
      </c>
      <c r="C618" s="3" t="s">
        <v>22</v>
      </c>
      <c r="D618" s="3" t="s">
        <v>32</v>
      </c>
      <c r="E618" s="3" t="s">
        <v>33</v>
      </c>
      <c r="F618" s="3" t="s">
        <v>25</v>
      </c>
      <c r="G618" s="3" t="s">
        <v>41</v>
      </c>
      <c r="H618" s="3" t="s">
        <v>64</v>
      </c>
      <c r="I618" s="3" t="s">
        <v>90</v>
      </c>
      <c r="J618" s="3" t="n">
        <v>35</v>
      </c>
      <c r="K618" s="3" t="n">
        <v>8644.8</v>
      </c>
      <c r="L618" s="3" t="n">
        <v>302568</v>
      </c>
      <c r="M618" s="3" t="n">
        <v>0.2044</v>
      </c>
      <c r="N618" s="3" t="n">
        <v>61844.9</v>
      </c>
      <c r="O618" s="3" t="n">
        <v>240723.1</v>
      </c>
      <c r="P618" s="3" t="n">
        <v>175489.44</v>
      </c>
      <c r="Q618" s="3" t="n">
        <v>65233.66</v>
      </c>
      <c r="R618" s="3" t="n">
        <v>0.271</v>
      </c>
      <c r="S618" s="3" t="n">
        <v>0.2147</v>
      </c>
      <c r="T618" s="3" t="n">
        <v>-0.0103</v>
      </c>
    </row>
    <row r="619" customFormat="false" ht="15" hidden="false" customHeight="true" outlineLevel="0" collapsed="false">
      <c r="A619" s="3" t="s">
        <v>1159</v>
      </c>
      <c r="B619" s="3" t="s">
        <v>589</v>
      </c>
      <c r="C619" s="3" t="s">
        <v>37</v>
      </c>
      <c r="D619" s="3" t="s">
        <v>54</v>
      </c>
      <c r="E619" s="3" t="s">
        <v>24</v>
      </c>
      <c r="F619" s="3" t="s">
        <v>40</v>
      </c>
      <c r="G619" s="3" t="s">
        <v>71</v>
      </c>
      <c r="H619" s="3" t="s">
        <v>56</v>
      </c>
      <c r="I619" s="3" t="s">
        <v>121</v>
      </c>
      <c r="J619" s="3" t="n">
        <v>35</v>
      </c>
      <c r="K619" s="3" t="n">
        <v>7048.05</v>
      </c>
      <c r="L619" s="3" t="n">
        <v>246681.75</v>
      </c>
      <c r="M619" s="3" t="n">
        <v>0.0309</v>
      </c>
      <c r="N619" s="3" t="n">
        <v>7622.47</v>
      </c>
      <c r="O619" s="3" t="n">
        <v>239059.28</v>
      </c>
      <c r="P619" s="3" t="n">
        <v>148009.05</v>
      </c>
      <c r="Q619" s="3" t="n">
        <v>91050.23</v>
      </c>
      <c r="R619" s="3" t="n">
        <v>0.3809</v>
      </c>
      <c r="S619" s="3" t="n">
        <v>0.0322</v>
      </c>
      <c r="T619" s="3" t="n">
        <v>-0.0013</v>
      </c>
    </row>
    <row r="620" customFormat="false" ht="15" hidden="false" customHeight="true" outlineLevel="0" collapsed="false">
      <c r="A620" s="3" t="s">
        <v>1160</v>
      </c>
      <c r="B620" s="3" t="s">
        <v>657</v>
      </c>
      <c r="C620" s="3" t="s">
        <v>68</v>
      </c>
      <c r="D620" s="3" t="s">
        <v>103</v>
      </c>
      <c r="E620" s="3" t="s">
        <v>24</v>
      </c>
      <c r="F620" s="3" t="s">
        <v>62</v>
      </c>
      <c r="G620" s="3" t="s">
        <v>76</v>
      </c>
      <c r="H620" s="3" t="s">
        <v>27</v>
      </c>
      <c r="I620" s="3" t="s">
        <v>117</v>
      </c>
      <c r="J620" s="3" t="n">
        <v>22</v>
      </c>
      <c r="K620" s="3" t="n">
        <v>34903.65</v>
      </c>
      <c r="L620" s="3" t="n">
        <v>767880.3</v>
      </c>
      <c r="M620" s="3" t="n">
        <v>0.0792</v>
      </c>
      <c r="N620" s="3" t="n">
        <v>60816.12</v>
      </c>
      <c r="O620" s="3" t="n">
        <v>707064.18</v>
      </c>
      <c r="P620" s="3" t="n">
        <v>476085.79</v>
      </c>
      <c r="Q620" s="3" t="n">
        <v>230978.39</v>
      </c>
      <c r="R620" s="3" t="n">
        <v>0.3267</v>
      </c>
      <c r="S620" s="3" t="n">
        <v>0.0834</v>
      </c>
      <c r="T620" s="3" t="n">
        <v>-0.0042</v>
      </c>
    </row>
    <row r="621" customFormat="false" ht="15" hidden="false" customHeight="true" outlineLevel="0" collapsed="false">
      <c r="A621" s="3" t="s">
        <v>1161</v>
      </c>
      <c r="B621" s="3" t="s">
        <v>1036</v>
      </c>
      <c r="C621" s="3" t="s">
        <v>156</v>
      </c>
      <c r="D621" s="3" t="s">
        <v>38</v>
      </c>
      <c r="E621" s="3" t="s">
        <v>39</v>
      </c>
      <c r="F621" s="3" t="s">
        <v>40</v>
      </c>
      <c r="G621" s="3" t="s">
        <v>41</v>
      </c>
      <c r="H621" s="3" t="s">
        <v>56</v>
      </c>
      <c r="I621" s="3" t="s">
        <v>57</v>
      </c>
      <c r="J621" s="3" t="n">
        <v>49</v>
      </c>
      <c r="K621" s="3" t="n">
        <v>11523.07</v>
      </c>
      <c r="L621" s="3" t="n">
        <v>564630.43</v>
      </c>
      <c r="M621" s="3" t="n">
        <v>0.0997</v>
      </c>
      <c r="N621" s="3" t="n">
        <v>56293.65</v>
      </c>
      <c r="O621" s="3" t="n">
        <v>508336.78</v>
      </c>
      <c r="P621" s="3" t="n">
        <v>338778.26</v>
      </c>
      <c r="Q621" s="3" t="n">
        <v>169558.52</v>
      </c>
      <c r="R621" s="3" t="n">
        <v>0.3336</v>
      </c>
      <c r="S621" s="3" t="n">
        <v>0.0879</v>
      </c>
      <c r="T621" s="3" t="n">
        <v>0.0118</v>
      </c>
    </row>
    <row r="622" customFormat="false" ht="15" hidden="false" customHeight="true" outlineLevel="0" collapsed="false">
      <c r="A622" s="3" t="s">
        <v>1162</v>
      </c>
      <c r="B622" s="3" t="s">
        <v>1163</v>
      </c>
      <c r="C622" s="3" t="s">
        <v>126</v>
      </c>
      <c r="D622" s="3" t="s">
        <v>61</v>
      </c>
      <c r="E622" s="3" t="s">
        <v>33</v>
      </c>
      <c r="F622" s="3" t="s">
        <v>62</v>
      </c>
      <c r="G622" s="3" t="s">
        <v>49</v>
      </c>
      <c r="H622" s="3" t="s">
        <v>77</v>
      </c>
      <c r="I622" s="3" t="s">
        <v>131</v>
      </c>
      <c r="J622" s="3" t="n">
        <v>20</v>
      </c>
      <c r="K622" s="3" t="n">
        <v>3369.15</v>
      </c>
      <c r="L622" s="3" t="n">
        <v>67383</v>
      </c>
      <c r="M622" s="3" t="n">
        <v>0.0408</v>
      </c>
      <c r="N622" s="3" t="n">
        <v>2749.23</v>
      </c>
      <c r="O622" s="3" t="n">
        <v>64633.77</v>
      </c>
      <c r="P622" s="3" t="n">
        <v>45820.44</v>
      </c>
      <c r="Q622" s="3" t="n">
        <v>18813.33</v>
      </c>
      <c r="R622" s="3" t="n">
        <v>0.2911</v>
      </c>
      <c r="S622" s="3" t="n">
        <v>0.0348</v>
      </c>
      <c r="T622" s="3" t="n">
        <v>0.006</v>
      </c>
    </row>
    <row r="623" customFormat="false" ht="15" hidden="false" customHeight="true" outlineLevel="0" collapsed="false">
      <c r="A623" s="3" t="s">
        <v>1164</v>
      </c>
      <c r="B623" s="3" t="s">
        <v>596</v>
      </c>
      <c r="C623" s="3" t="s">
        <v>60</v>
      </c>
      <c r="D623" s="3" t="s">
        <v>103</v>
      </c>
      <c r="E623" s="3" t="s">
        <v>24</v>
      </c>
      <c r="F623" s="3" t="s">
        <v>62</v>
      </c>
      <c r="G623" s="3" t="s">
        <v>116</v>
      </c>
      <c r="H623" s="3" t="s">
        <v>27</v>
      </c>
      <c r="I623" s="3" t="s">
        <v>117</v>
      </c>
      <c r="J623" s="3" t="n">
        <v>2</v>
      </c>
      <c r="K623" s="3" t="n">
        <v>22200.77</v>
      </c>
      <c r="L623" s="3" t="n">
        <v>44401.54</v>
      </c>
      <c r="M623" s="3" t="n">
        <v>0.1261</v>
      </c>
      <c r="N623" s="3" t="n">
        <v>5599.03</v>
      </c>
      <c r="O623" s="3" t="n">
        <v>38802.51</v>
      </c>
      <c r="P623" s="3" t="n">
        <v>27528.95</v>
      </c>
      <c r="Q623" s="3" t="n">
        <v>11273.56</v>
      </c>
      <c r="R623" s="3" t="n">
        <v>0.2905</v>
      </c>
      <c r="S623" s="3" t="n">
        <v>0.1081</v>
      </c>
      <c r="T623" s="3" t="n">
        <v>0.018</v>
      </c>
    </row>
    <row r="624" customFormat="false" ht="15" hidden="false" customHeight="true" outlineLevel="0" collapsed="false">
      <c r="A624" s="3" t="s">
        <v>1165</v>
      </c>
      <c r="B624" s="3" t="s">
        <v>1166</v>
      </c>
      <c r="C624" s="3" t="s">
        <v>68</v>
      </c>
      <c r="D624" s="3" t="s">
        <v>83</v>
      </c>
      <c r="E624" s="3" t="s">
        <v>48</v>
      </c>
      <c r="F624" s="3" t="s">
        <v>62</v>
      </c>
      <c r="G624" s="3" t="s">
        <v>49</v>
      </c>
      <c r="H624" s="3" t="s">
        <v>56</v>
      </c>
      <c r="I624" s="3" t="s">
        <v>57</v>
      </c>
      <c r="J624" s="3" t="n">
        <v>7</v>
      </c>
      <c r="K624" s="3" t="n">
        <v>4292.72</v>
      </c>
      <c r="L624" s="3" t="n">
        <v>30049.04</v>
      </c>
      <c r="M624" s="3" t="n">
        <v>0.0711</v>
      </c>
      <c r="N624" s="3" t="n">
        <v>2136.49</v>
      </c>
      <c r="O624" s="3" t="n">
        <v>27912.55</v>
      </c>
      <c r="P624" s="3" t="n">
        <v>18029.42</v>
      </c>
      <c r="Q624" s="3" t="n">
        <v>9883.13</v>
      </c>
      <c r="R624" s="3" t="n">
        <v>0.3541</v>
      </c>
      <c r="S624" s="3" t="n">
        <v>0.0713</v>
      </c>
      <c r="T624" s="3" t="n">
        <v>-0.0002</v>
      </c>
    </row>
    <row r="625" customFormat="false" ht="15" hidden="false" customHeight="true" outlineLevel="0" collapsed="false">
      <c r="A625" s="3" t="s">
        <v>1167</v>
      </c>
      <c r="B625" s="3" t="s">
        <v>547</v>
      </c>
      <c r="C625" s="3" t="s">
        <v>22</v>
      </c>
      <c r="D625" s="3" t="s">
        <v>75</v>
      </c>
      <c r="E625" s="3" t="s">
        <v>39</v>
      </c>
      <c r="F625" s="3" t="s">
        <v>25</v>
      </c>
      <c r="G625" s="3" t="s">
        <v>84</v>
      </c>
      <c r="H625" s="3" t="s">
        <v>64</v>
      </c>
      <c r="I625" s="3" t="s">
        <v>65</v>
      </c>
      <c r="J625" s="3" t="n">
        <v>34</v>
      </c>
      <c r="K625" s="3" t="n">
        <v>6488.29</v>
      </c>
      <c r="L625" s="3" t="n">
        <v>220601.86</v>
      </c>
      <c r="M625" s="3" t="n">
        <v>0.1007</v>
      </c>
      <c r="N625" s="3" t="n">
        <v>22214.61</v>
      </c>
      <c r="O625" s="3" t="n">
        <v>198387.25</v>
      </c>
      <c r="P625" s="3" t="n">
        <v>127949.08</v>
      </c>
      <c r="Q625" s="3" t="n">
        <v>70438.17</v>
      </c>
      <c r="R625" s="3" t="n">
        <v>0.3551</v>
      </c>
      <c r="S625" s="3" t="n">
        <v>0.1013</v>
      </c>
      <c r="T625" s="3" t="n">
        <v>-0.0006</v>
      </c>
    </row>
    <row r="626" customFormat="false" ht="15" hidden="false" customHeight="true" outlineLevel="0" collapsed="false">
      <c r="A626" s="3" t="s">
        <v>1168</v>
      </c>
      <c r="B626" s="3" t="s">
        <v>1112</v>
      </c>
      <c r="C626" s="3" t="s">
        <v>37</v>
      </c>
      <c r="D626" s="3" t="s">
        <v>38</v>
      </c>
      <c r="E626" s="3" t="s">
        <v>39</v>
      </c>
      <c r="F626" s="3" t="s">
        <v>40</v>
      </c>
      <c r="G626" s="3" t="s">
        <v>84</v>
      </c>
      <c r="H626" s="3" t="s">
        <v>27</v>
      </c>
      <c r="I626" s="3" t="s">
        <v>50</v>
      </c>
      <c r="J626" s="3" t="n">
        <v>7</v>
      </c>
      <c r="K626" s="3" t="n">
        <v>36453.95</v>
      </c>
      <c r="L626" s="3" t="n">
        <v>255177.65</v>
      </c>
      <c r="M626" s="3" t="n">
        <v>0.056</v>
      </c>
      <c r="N626" s="3" t="n">
        <v>14289.95</v>
      </c>
      <c r="O626" s="3" t="n">
        <v>240887.7</v>
      </c>
      <c r="P626" s="3" t="n">
        <v>158210.14</v>
      </c>
      <c r="Q626" s="3" t="n">
        <v>82677.56</v>
      </c>
      <c r="R626" s="3" t="n">
        <v>0.3432</v>
      </c>
      <c r="S626" s="3" t="n">
        <v>0.0452</v>
      </c>
      <c r="T626" s="3" t="n">
        <v>0.0108</v>
      </c>
    </row>
    <row r="627" customFormat="false" ht="15" hidden="false" customHeight="true" outlineLevel="0" collapsed="false">
      <c r="A627" s="3" t="s">
        <v>1169</v>
      </c>
      <c r="B627" s="3" t="s">
        <v>645</v>
      </c>
      <c r="C627" s="3" t="s">
        <v>120</v>
      </c>
      <c r="D627" s="3" t="s">
        <v>54</v>
      </c>
      <c r="E627" s="3" t="s">
        <v>24</v>
      </c>
      <c r="F627" s="3" t="s">
        <v>40</v>
      </c>
      <c r="G627" s="3" t="s">
        <v>34</v>
      </c>
      <c r="H627" s="3" t="s">
        <v>64</v>
      </c>
      <c r="I627" s="3" t="s">
        <v>145</v>
      </c>
      <c r="J627" s="3" t="n">
        <v>18</v>
      </c>
      <c r="K627" s="3" t="n">
        <v>4732.91</v>
      </c>
      <c r="L627" s="3" t="n">
        <v>85192.38</v>
      </c>
      <c r="M627" s="3" t="n">
        <v>0.1075</v>
      </c>
      <c r="N627" s="3" t="n">
        <v>9158.18</v>
      </c>
      <c r="O627" s="3" t="n">
        <v>76034.2</v>
      </c>
      <c r="P627" s="3" t="n">
        <v>49411.58</v>
      </c>
      <c r="Q627" s="3" t="n">
        <v>26622.62</v>
      </c>
      <c r="R627" s="3" t="n">
        <v>0.3501</v>
      </c>
      <c r="S627" s="3" t="n">
        <v>0.0948</v>
      </c>
      <c r="T627" s="3" t="n">
        <v>0.0127</v>
      </c>
    </row>
    <row r="628" customFormat="false" ht="15" hidden="false" customHeight="true" outlineLevel="0" collapsed="false">
      <c r="A628" s="3" t="s">
        <v>1170</v>
      </c>
      <c r="B628" s="3" t="s">
        <v>481</v>
      </c>
      <c r="C628" s="3" t="s">
        <v>37</v>
      </c>
      <c r="D628" s="3" t="s">
        <v>75</v>
      </c>
      <c r="E628" s="3" t="s">
        <v>39</v>
      </c>
      <c r="F628" s="3" t="s">
        <v>25</v>
      </c>
      <c r="G628" s="3" t="s">
        <v>104</v>
      </c>
      <c r="H628" s="3" t="s">
        <v>42</v>
      </c>
      <c r="I628" s="3" t="s">
        <v>43</v>
      </c>
      <c r="J628" s="3" t="n">
        <v>36</v>
      </c>
      <c r="K628" s="3" t="n">
        <v>3854.04</v>
      </c>
      <c r="L628" s="3" t="n">
        <v>138745.44</v>
      </c>
      <c r="M628" s="3" t="n">
        <v>0.1462</v>
      </c>
      <c r="N628" s="3" t="n">
        <v>20284.58</v>
      </c>
      <c r="O628" s="3" t="n">
        <v>118460.86</v>
      </c>
      <c r="P628" s="3" t="n">
        <v>76309.99</v>
      </c>
      <c r="Q628" s="3" t="n">
        <v>42150.87</v>
      </c>
      <c r="R628" s="3" t="n">
        <v>0.3558</v>
      </c>
      <c r="S628" s="3" t="n">
        <v>0.1289</v>
      </c>
      <c r="T628" s="3" t="n">
        <v>0.0173</v>
      </c>
    </row>
    <row r="629" customFormat="false" ht="15" hidden="false" customHeight="true" outlineLevel="0" collapsed="false">
      <c r="A629" s="3" t="s">
        <v>1171</v>
      </c>
      <c r="B629" s="3" t="s">
        <v>335</v>
      </c>
      <c r="C629" s="3" t="s">
        <v>31</v>
      </c>
      <c r="D629" s="3" t="s">
        <v>97</v>
      </c>
      <c r="E629" s="3" t="s">
        <v>48</v>
      </c>
      <c r="F629" s="3" t="s">
        <v>40</v>
      </c>
      <c r="G629" s="3" t="s">
        <v>34</v>
      </c>
      <c r="H629" s="3" t="s">
        <v>42</v>
      </c>
      <c r="I629" s="3" t="s">
        <v>72</v>
      </c>
      <c r="J629" s="3" t="n">
        <v>20</v>
      </c>
      <c r="K629" s="3" t="n">
        <v>1099.46</v>
      </c>
      <c r="L629" s="3" t="n">
        <v>21989.2</v>
      </c>
      <c r="M629" s="3" t="n">
        <v>0.0942</v>
      </c>
      <c r="N629" s="3" t="n">
        <v>2071.38</v>
      </c>
      <c r="O629" s="3" t="n">
        <v>19917.82</v>
      </c>
      <c r="P629" s="3" t="n">
        <v>12094.06</v>
      </c>
      <c r="Q629" s="3" t="n">
        <v>7823.76</v>
      </c>
      <c r="R629" s="3" t="n">
        <v>0.3928</v>
      </c>
      <c r="S629" s="3" t="n">
        <v>0.0768</v>
      </c>
      <c r="T629" s="3" t="n">
        <v>0.0174</v>
      </c>
    </row>
    <row r="630" customFormat="false" ht="15" hidden="false" customHeight="true" outlineLevel="0" collapsed="false">
      <c r="A630" s="3" t="s">
        <v>1172</v>
      </c>
      <c r="B630" s="3" t="s">
        <v>1137</v>
      </c>
      <c r="C630" s="3" t="s">
        <v>93</v>
      </c>
      <c r="D630" s="3" t="s">
        <v>32</v>
      </c>
      <c r="E630" s="3" t="s">
        <v>33</v>
      </c>
      <c r="F630" s="3" t="s">
        <v>25</v>
      </c>
      <c r="G630" s="3" t="s">
        <v>104</v>
      </c>
      <c r="H630" s="3" t="s">
        <v>77</v>
      </c>
      <c r="I630" s="3" t="s">
        <v>85</v>
      </c>
      <c r="J630" s="3" t="n">
        <v>4</v>
      </c>
      <c r="K630" s="3" t="n">
        <v>1708.45</v>
      </c>
      <c r="L630" s="3" t="n">
        <v>6833.8</v>
      </c>
      <c r="M630" s="3" t="n">
        <v>0.1538</v>
      </c>
      <c r="N630" s="3" t="n">
        <v>1051.04</v>
      </c>
      <c r="O630" s="3" t="n">
        <v>5782.76</v>
      </c>
      <c r="P630" s="3" t="n">
        <v>4646.98</v>
      </c>
      <c r="Q630" s="3" t="n">
        <v>1135.78</v>
      </c>
      <c r="R630" s="3" t="n">
        <v>0.1964</v>
      </c>
      <c r="S630" s="3" t="n">
        <v>0.1515</v>
      </c>
      <c r="T630" s="3" t="n">
        <v>0.0023</v>
      </c>
    </row>
    <row r="631" customFormat="false" ht="15" hidden="false" customHeight="true" outlineLevel="0" collapsed="false">
      <c r="A631" s="3" t="s">
        <v>1173</v>
      </c>
      <c r="B631" s="3" t="s">
        <v>1174</v>
      </c>
      <c r="C631" s="3" t="s">
        <v>93</v>
      </c>
      <c r="D631" s="3" t="s">
        <v>54</v>
      </c>
      <c r="E631" s="3" t="s">
        <v>24</v>
      </c>
      <c r="F631" s="3" t="s">
        <v>40</v>
      </c>
      <c r="G631" s="3" t="s">
        <v>26</v>
      </c>
      <c r="H631" s="3" t="s">
        <v>42</v>
      </c>
      <c r="I631" s="3" t="s">
        <v>43</v>
      </c>
      <c r="J631" s="3" t="n">
        <v>35</v>
      </c>
      <c r="K631" s="3" t="n">
        <v>3154.41</v>
      </c>
      <c r="L631" s="3" t="n">
        <v>110404.35</v>
      </c>
      <c r="M631" s="3" t="n">
        <v>0.0339</v>
      </c>
      <c r="N631" s="3" t="n">
        <v>3742.71</v>
      </c>
      <c r="O631" s="3" t="n">
        <v>106661.64</v>
      </c>
      <c r="P631" s="3" t="n">
        <v>60722.39</v>
      </c>
      <c r="Q631" s="3" t="n">
        <v>45939.25</v>
      </c>
      <c r="R631" s="3" t="n">
        <v>0.4307</v>
      </c>
      <c r="S631" s="3" t="n">
        <v>0.0329</v>
      </c>
      <c r="T631" s="3" t="n">
        <v>0.001</v>
      </c>
    </row>
    <row r="632" customFormat="false" ht="15" hidden="false" customHeight="true" outlineLevel="0" collapsed="false">
      <c r="A632" s="3" t="s">
        <v>1175</v>
      </c>
      <c r="B632" s="3" t="s">
        <v>1174</v>
      </c>
      <c r="C632" s="3" t="s">
        <v>93</v>
      </c>
      <c r="D632" s="3" t="s">
        <v>61</v>
      </c>
      <c r="E632" s="3" t="s">
        <v>33</v>
      </c>
      <c r="F632" s="3" t="s">
        <v>62</v>
      </c>
      <c r="G632" s="3" t="s">
        <v>84</v>
      </c>
      <c r="H632" s="3" t="s">
        <v>77</v>
      </c>
      <c r="I632" s="3" t="s">
        <v>131</v>
      </c>
      <c r="J632" s="3" t="n">
        <v>42</v>
      </c>
      <c r="K632" s="3" t="n">
        <v>2689.88</v>
      </c>
      <c r="L632" s="3" t="n">
        <v>112974.96</v>
      </c>
      <c r="M632" s="3" t="n">
        <v>0.0655</v>
      </c>
      <c r="N632" s="3" t="n">
        <v>7399.86</v>
      </c>
      <c r="O632" s="3" t="n">
        <v>105575.1</v>
      </c>
      <c r="P632" s="3" t="n">
        <v>76822.97</v>
      </c>
      <c r="Q632" s="3" t="n">
        <v>28752.13</v>
      </c>
      <c r="R632" s="3" t="n">
        <v>0.2723</v>
      </c>
      <c r="S632" s="3" t="n">
        <v>0.0617</v>
      </c>
      <c r="T632" s="3" t="n">
        <v>0.0038</v>
      </c>
    </row>
    <row r="633" customFormat="false" ht="15" hidden="false" customHeight="true" outlineLevel="0" collapsed="false">
      <c r="A633" s="3" t="s">
        <v>1176</v>
      </c>
      <c r="B633" s="3" t="s">
        <v>889</v>
      </c>
      <c r="C633" s="3" t="s">
        <v>37</v>
      </c>
      <c r="D633" s="3" t="s">
        <v>69</v>
      </c>
      <c r="E633" s="3" t="s">
        <v>39</v>
      </c>
      <c r="F633" s="3" t="s">
        <v>70</v>
      </c>
      <c r="G633" s="3" t="s">
        <v>49</v>
      </c>
      <c r="H633" s="3" t="s">
        <v>64</v>
      </c>
      <c r="I633" s="3" t="s">
        <v>145</v>
      </c>
      <c r="J633" s="3" t="n">
        <v>45</v>
      </c>
      <c r="K633" s="3" t="n">
        <v>6528.69</v>
      </c>
      <c r="L633" s="3" t="n">
        <v>293791.05</v>
      </c>
      <c r="M633" s="3" t="n">
        <v>0.0759</v>
      </c>
      <c r="N633" s="3" t="n">
        <v>22298.74</v>
      </c>
      <c r="O633" s="3" t="n">
        <v>271492.31</v>
      </c>
      <c r="P633" s="3" t="n">
        <v>170398.81</v>
      </c>
      <c r="Q633" s="3" t="n">
        <v>101093.5</v>
      </c>
      <c r="R633" s="3" t="n">
        <v>0.3724</v>
      </c>
      <c r="S633" s="3" t="n">
        <v>0.0786</v>
      </c>
      <c r="T633" s="3" t="n">
        <v>-0.0027</v>
      </c>
    </row>
    <row r="634" customFormat="false" ht="15" hidden="false" customHeight="true" outlineLevel="0" collapsed="false">
      <c r="A634" s="3" t="s">
        <v>1177</v>
      </c>
      <c r="B634" s="3" t="s">
        <v>1178</v>
      </c>
      <c r="C634" s="3" t="s">
        <v>60</v>
      </c>
      <c r="D634" s="3" t="s">
        <v>103</v>
      </c>
      <c r="E634" s="3" t="s">
        <v>24</v>
      </c>
      <c r="F634" s="3" t="s">
        <v>62</v>
      </c>
      <c r="G634" s="3" t="s">
        <v>104</v>
      </c>
      <c r="H634" s="3" t="s">
        <v>77</v>
      </c>
      <c r="I634" s="3" t="s">
        <v>78</v>
      </c>
      <c r="J634" s="3" t="n">
        <v>8</v>
      </c>
      <c r="K634" s="3" t="n">
        <v>1513.75</v>
      </c>
      <c r="L634" s="3" t="n">
        <v>12110</v>
      </c>
      <c r="M634" s="3" t="n">
        <v>0.086</v>
      </c>
      <c r="N634" s="3" t="n">
        <v>1041.46</v>
      </c>
      <c r="O634" s="3" t="n">
        <v>11068.54</v>
      </c>
      <c r="P634" s="3" t="n">
        <v>8234.8</v>
      </c>
      <c r="Q634" s="3" t="n">
        <v>2833.74</v>
      </c>
      <c r="R634" s="3" t="n">
        <v>0.256</v>
      </c>
      <c r="S634" s="3" t="n">
        <v>0.0761</v>
      </c>
      <c r="T634" s="3" t="n">
        <v>0.0099</v>
      </c>
    </row>
    <row r="635" customFormat="false" ht="15" hidden="false" customHeight="true" outlineLevel="0" collapsed="false">
      <c r="A635" s="3" t="s">
        <v>1179</v>
      </c>
      <c r="B635" s="3" t="s">
        <v>1180</v>
      </c>
      <c r="C635" s="3" t="s">
        <v>37</v>
      </c>
      <c r="D635" s="3" t="s">
        <v>103</v>
      </c>
      <c r="E635" s="3" t="s">
        <v>24</v>
      </c>
      <c r="F635" s="3" t="s">
        <v>62</v>
      </c>
      <c r="G635" s="3" t="s">
        <v>41</v>
      </c>
      <c r="H635" s="3" t="s">
        <v>56</v>
      </c>
      <c r="I635" s="3" t="s">
        <v>121</v>
      </c>
      <c r="J635" s="3" t="n">
        <v>26</v>
      </c>
      <c r="K635" s="3" t="n">
        <v>10127.19</v>
      </c>
      <c r="L635" s="3" t="n">
        <v>263306.94</v>
      </c>
      <c r="M635" s="3" t="n">
        <v>0.1227</v>
      </c>
      <c r="N635" s="3" t="n">
        <v>32307.76</v>
      </c>
      <c r="O635" s="3" t="n">
        <v>230999.18</v>
      </c>
      <c r="P635" s="3" t="n">
        <v>157984.16</v>
      </c>
      <c r="Q635" s="3" t="n">
        <v>73015.02</v>
      </c>
      <c r="R635" s="3" t="n">
        <v>0.3161</v>
      </c>
      <c r="S635" s="3" t="n">
        <v>0.1187</v>
      </c>
      <c r="T635" s="3" t="n">
        <v>0.004</v>
      </c>
    </row>
    <row r="636" customFormat="false" ht="15" hidden="false" customHeight="true" outlineLevel="0" collapsed="false">
      <c r="A636" s="3" t="s">
        <v>1181</v>
      </c>
      <c r="B636" s="3" t="s">
        <v>625</v>
      </c>
      <c r="C636" s="3" t="s">
        <v>53</v>
      </c>
      <c r="D636" s="3" t="s">
        <v>61</v>
      </c>
      <c r="E636" s="3" t="s">
        <v>33</v>
      </c>
      <c r="F636" s="3" t="s">
        <v>62</v>
      </c>
      <c r="G636" s="3" t="s">
        <v>84</v>
      </c>
      <c r="H636" s="3" t="s">
        <v>42</v>
      </c>
      <c r="I636" s="3" t="s">
        <v>72</v>
      </c>
      <c r="J636" s="3" t="n">
        <v>27</v>
      </c>
      <c r="K636" s="3" t="n">
        <v>1902.86</v>
      </c>
      <c r="L636" s="3" t="n">
        <v>51377.22</v>
      </c>
      <c r="M636" s="3" t="n">
        <v>0.0419</v>
      </c>
      <c r="N636" s="3" t="n">
        <v>2152.71</v>
      </c>
      <c r="O636" s="3" t="n">
        <v>49224.51</v>
      </c>
      <c r="P636" s="3" t="n">
        <v>28257.47</v>
      </c>
      <c r="Q636" s="3" t="n">
        <v>20967.04</v>
      </c>
      <c r="R636" s="3" t="n">
        <v>0.4259</v>
      </c>
      <c r="S636" s="3" t="n">
        <v>0.0404</v>
      </c>
      <c r="T636" s="3" t="n">
        <v>0.0015</v>
      </c>
    </row>
    <row r="637" customFormat="false" ht="15" hidden="false" customHeight="true" outlineLevel="0" collapsed="false">
      <c r="A637" s="3" t="s">
        <v>1182</v>
      </c>
      <c r="B637" s="3" t="s">
        <v>1183</v>
      </c>
      <c r="C637" s="3" t="s">
        <v>31</v>
      </c>
      <c r="D637" s="3" t="s">
        <v>83</v>
      </c>
      <c r="E637" s="3" t="s">
        <v>48</v>
      </c>
      <c r="F637" s="3" t="s">
        <v>62</v>
      </c>
      <c r="G637" s="3" t="s">
        <v>49</v>
      </c>
      <c r="H637" s="3" t="s">
        <v>77</v>
      </c>
      <c r="I637" s="3" t="s">
        <v>131</v>
      </c>
      <c r="J637" s="3" t="n">
        <v>45</v>
      </c>
      <c r="K637" s="3" t="n">
        <v>2199.54</v>
      </c>
      <c r="L637" s="3" t="n">
        <v>98979.3</v>
      </c>
      <c r="M637" s="3" t="n">
        <v>0.0595</v>
      </c>
      <c r="N637" s="3" t="n">
        <v>5889.27</v>
      </c>
      <c r="O637" s="3" t="n">
        <v>93090.03</v>
      </c>
      <c r="P637" s="3" t="n">
        <v>67305.92</v>
      </c>
      <c r="Q637" s="3" t="n">
        <v>25784.11</v>
      </c>
      <c r="R637" s="3" t="n">
        <v>0.277</v>
      </c>
      <c r="S637" s="3" t="n">
        <v>0.0578</v>
      </c>
      <c r="T637" s="3" t="n">
        <v>0.0017</v>
      </c>
    </row>
    <row r="638" customFormat="false" ht="15" hidden="false" customHeight="true" outlineLevel="0" collapsed="false">
      <c r="A638" s="3" t="s">
        <v>1184</v>
      </c>
      <c r="B638" s="3" t="s">
        <v>133</v>
      </c>
      <c r="C638" s="3" t="s">
        <v>93</v>
      </c>
      <c r="D638" s="3" t="s">
        <v>103</v>
      </c>
      <c r="E638" s="3" t="s">
        <v>24</v>
      </c>
      <c r="F638" s="3" t="s">
        <v>62</v>
      </c>
      <c r="G638" s="3" t="s">
        <v>34</v>
      </c>
      <c r="H638" s="3" t="s">
        <v>56</v>
      </c>
      <c r="I638" s="3" t="s">
        <v>121</v>
      </c>
      <c r="J638" s="3" t="n">
        <v>43</v>
      </c>
      <c r="K638" s="3" t="n">
        <v>4769.37</v>
      </c>
      <c r="L638" s="3" t="n">
        <v>205082.91</v>
      </c>
      <c r="M638" s="3" t="n">
        <v>0.0911</v>
      </c>
      <c r="N638" s="3" t="n">
        <v>18683.05</v>
      </c>
      <c r="O638" s="3" t="n">
        <v>186399.86</v>
      </c>
      <c r="P638" s="3" t="n">
        <v>123049.75</v>
      </c>
      <c r="Q638" s="3" t="n">
        <v>63350.11</v>
      </c>
      <c r="R638" s="3" t="n">
        <v>0.3399</v>
      </c>
      <c r="S638" s="3" t="n">
        <v>0.076</v>
      </c>
      <c r="T638" s="3" t="n">
        <v>0.0151</v>
      </c>
    </row>
    <row r="639" customFormat="false" ht="15" hidden="false" customHeight="true" outlineLevel="0" collapsed="false">
      <c r="A639" s="3" t="s">
        <v>1185</v>
      </c>
      <c r="B639" s="3" t="s">
        <v>1186</v>
      </c>
      <c r="C639" s="3" t="s">
        <v>31</v>
      </c>
      <c r="D639" s="3" t="s">
        <v>38</v>
      </c>
      <c r="E639" s="3" t="s">
        <v>39</v>
      </c>
      <c r="F639" s="3" t="s">
        <v>40</v>
      </c>
      <c r="G639" s="3" t="s">
        <v>100</v>
      </c>
      <c r="H639" s="3" t="s">
        <v>77</v>
      </c>
      <c r="I639" s="3" t="s">
        <v>78</v>
      </c>
      <c r="J639" s="3" t="n">
        <v>29</v>
      </c>
      <c r="K639" s="3" t="n">
        <v>1668.74</v>
      </c>
      <c r="L639" s="3" t="n">
        <v>48393.46</v>
      </c>
      <c r="M639" s="3" t="n">
        <v>0.0388</v>
      </c>
      <c r="N639" s="3" t="n">
        <v>1877.67</v>
      </c>
      <c r="O639" s="3" t="n">
        <v>46515.79</v>
      </c>
      <c r="P639" s="3" t="n">
        <v>32907.55</v>
      </c>
      <c r="Q639" s="3" t="n">
        <v>13608.24</v>
      </c>
      <c r="R639" s="3" t="n">
        <v>0.2926</v>
      </c>
      <c r="S639" s="3" t="n">
        <v>0.0319</v>
      </c>
      <c r="T639" s="3" t="n">
        <v>0.0069</v>
      </c>
    </row>
    <row r="640" customFormat="false" ht="15" hidden="false" customHeight="true" outlineLevel="0" collapsed="false">
      <c r="A640" s="3" t="s">
        <v>1187</v>
      </c>
      <c r="B640" s="3" t="s">
        <v>1188</v>
      </c>
      <c r="C640" s="3" t="s">
        <v>113</v>
      </c>
      <c r="D640" s="3" t="s">
        <v>61</v>
      </c>
      <c r="E640" s="3" t="s">
        <v>33</v>
      </c>
      <c r="F640" s="3" t="s">
        <v>62</v>
      </c>
      <c r="G640" s="3" t="s">
        <v>49</v>
      </c>
      <c r="H640" s="3" t="s">
        <v>56</v>
      </c>
      <c r="I640" s="3" t="s">
        <v>57</v>
      </c>
      <c r="J640" s="3" t="n">
        <v>43</v>
      </c>
      <c r="K640" s="3" t="n">
        <v>9908.72</v>
      </c>
      <c r="L640" s="3" t="n">
        <v>426074.96</v>
      </c>
      <c r="M640" s="3" t="n">
        <v>0.0331</v>
      </c>
      <c r="N640" s="3" t="n">
        <v>14103.08</v>
      </c>
      <c r="O640" s="3" t="n">
        <v>411971.88</v>
      </c>
      <c r="P640" s="3" t="n">
        <v>255644.98</v>
      </c>
      <c r="Q640" s="3" t="n">
        <v>156326.9</v>
      </c>
      <c r="R640" s="3" t="n">
        <v>0.3795</v>
      </c>
      <c r="S640" s="3" t="n">
        <v>0.0346</v>
      </c>
      <c r="T640" s="3" t="n">
        <v>-0.0015</v>
      </c>
    </row>
    <row r="641" customFormat="false" ht="15" hidden="false" customHeight="true" outlineLevel="0" collapsed="false">
      <c r="A641" s="3" t="s">
        <v>1189</v>
      </c>
      <c r="B641" s="3" t="s">
        <v>1010</v>
      </c>
      <c r="C641" s="3" t="s">
        <v>93</v>
      </c>
      <c r="D641" s="3" t="s">
        <v>38</v>
      </c>
      <c r="E641" s="3" t="s">
        <v>39</v>
      </c>
      <c r="F641" s="3" t="s">
        <v>40</v>
      </c>
      <c r="G641" s="3" t="s">
        <v>71</v>
      </c>
      <c r="H641" s="3" t="s">
        <v>27</v>
      </c>
      <c r="I641" s="3" t="s">
        <v>117</v>
      </c>
      <c r="J641" s="3" t="n">
        <v>35</v>
      </c>
      <c r="K641" s="3" t="n">
        <v>12774.93</v>
      </c>
      <c r="L641" s="3" t="n">
        <v>447122.55</v>
      </c>
      <c r="M641" s="3" t="n">
        <v>0.0446</v>
      </c>
      <c r="N641" s="3" t="n">
        <v>19941.67</v>
      </c>
      <c r="O641" s="3" t="n">
        <v>427180.88</v>
      </c>
      <c r="P641" s="3" t="n">
        <v>277215.98</v>
      </c>
      <c r="Q641" s="3" t="n">
        <v>149964.9</v>
      </c>
      <c r="R641" s="3" t="n">
        <v>0.3511</v>
      </c>
      <c r="S641" s="3" t="n">
        <v>0.0383</v>
      </c>
      <c r="T641" s="3" t="n">
        <v>0.0063</v>
      </c>
    </row>
    <row r="642" customFormat="false" ht="15" hidden="false" customHeight="true" outlineLevel="0" collapsed="false">
      <c r="A642" s="3" t="s">
        <v>1190</v>
      </c>
      <c r="B642" s="3" t="s">
        <v>1191</v>
      </c>
      <c r="C642" s="3" t="s">
        <v>31</v>
      </c>
      <c r="D642" s="3" t="s">
        <v>23</v>
      </c>
      <c r="E642" s="3" t="s">
        <v>24</v>
      </c>
      <c r="F642" s="3" t="s">
        <v>25</v>
      </c>
      <c r="G642" s="3" t="s">
        <v>55</v>
      </c>
      <c r="H642" s="3" t="s">
        <v>42</v>
      </c>
      <c r="I642" s="3" t="s">
        <v>134</v>
      </c>
      <c r="J642" s="3" t="n">
        <v>44</v>
      </c>
      <c r="K642" s="3" t="n">
        <v>3280.21</v>
      </c>
      <c r="L642" s="3" t="n">
        <v>144329.24</v>
      </c>
      <c r="M642" s="3" t="n">
        <v>0.1607</v>
      </c>
      <c r="N642" s="3" t="n">
        <v>23193.71</v>
      </c>
      <c r="O642" s="3" t="n">
        <v>121135.53</v>
      </c>
      <c r="P642" s="3" t="n">
        <v>79381.08</v>
      </c>
      <c r="Q642" s="3" t="n">
        <v>41754.45</v>
      </c>
      <c r="R642" s="3" t="n">
        <v>0.3447</v>
      </c>
      <c r="S642" s="3" t="n">
        <v>0.1632</v>
      </c>
      <c r="T642" s="3" t="n">
        <v>-0.0025</v>
      </c>
    </row>
    <row r="643" customFormat="false" ht="15" hidden="false" customHeight="true" outlineLevel="0" collapsed="false">
      <c r="A643" s="3" t="s">
        <v>1192</v>
      </c>
      <c r="B643" s="3" t="s">
        <v>1193</v>
      </c>
      <c r="C643" s="3" t="s">
        <v>126</v>
      </c>
      <c r="D643" s="3" t="s">
        <v>103</v>
      </c>
      <c r="E643" s="3" t="s">
        <v>24</v>
      </c>
      <c r="F643" s="3" t="s">
        <v>62</v>
      </c>
      <c r="G643" s="3" t="s">
        <v>104</v>
      </c>
      <c r="H643" s="3" t="s">
        <v>27</v>
      </c>
      <c r="I643" s="3" t="s">
        <v>94</v>
      </c>
      <c r="J643" s="3" t="n">
        <v>33</v>
      </c>
      <c r="K643" s="3" t="n">
        <v>27567.7</v>
      </c>
      <c r="L643" s="3" t="n">
        <v>909734.1</v>
      </c>
      <c r="M643" s="3" t="n">
        <v>0.0753</v>
      </c>
      <c r="N643" s="3" t="n">
        <v>68502.98</v>
      </c>
      <c r="O643" s="3" t="n">
        <v>841231.12</v>
      </c>
      <c r="P643" s="3" t="n">
        <v>564035.14</v>
      </c>
      <c r="Q643" s="3" t="n">
        <v>277195.98</v>
      </c>
      <c r="R643" s="3" t="n">
        <v>0.3295</v>
      </c>
      <c r="S643" s="3" t="n">
        <v>0.0617</v>
      </c>
      <c r="T643" s="3" t="n">
        <v>0.0136</v>
      </c>
    </row>
    <row r="644" customFormat="false" ht="15" hidden="false" customHeight="true" outlineLevel="0" collapsed="false">
      <c r="A644" s="3" t="s">
        <v>1194</v>
      </c>
      <c r="B644" s="3" t="s">
        <v>400</v>
      </c>
      <c r="C644" s="3" t="s">
        <v>126</v>
      </c>
      <c r="D644" s="3" t="s">
        <v>107</v>
      </c>
      <c r="E644" s="3" t="s">
        <v>33</v>
      </c>
      <c r="F644" s="3" t="s">
        <v>70</v>
      </c>
      <c r="G644" s="3" t="s">
        <v>26</v>
      </c>
      <c r="H644" s="3" t="s">
        <v>27</v>
      </c>
      <c r="I644" s="3" t="s">
        <v>28</v>
      </c>
      <c r="J644" s="3" t="n">
        <v>23</v>
      </c>
      <c r="K644" s="3" t="n">
        <v>25920.97</v>
      </c>
      <c r="L644" s="3" t="n">
        <v>596182.31</v>
      </c>
      <c r="M644" s="3" t="n">
        <v>0.0355</v>
      </c>
      <c r="N644" s="3" t="n">
        <v>21164.47</v>
      </c>
      <c r="O644" s="3" t="n">
        <v>575017.84</v>
      </c>
      <c r="P644" s="3" t="n">
        <v>369633.03</v>
      </c>
      <c r="Q644" s="3" t="n">
        <v>205384.81</v>
      </c>
      <c r="R644" s="3" t="n">
        <v>0.3572</v>
      </c>
      <c r="S644" s="3" t="n">
        <v>0.0376</v>
      </c>
      <c r="T644" s="3" t="n">
        <v>-0.0021</v>
      </c>
    </row>
    <row r="645" customFormat="false" ht="15" hidden="false" customHeight="true" outlineLevel="0" collapsed="false">
      <c r="A645" s="3" t="s">
        <v>1195</v>
      </c>
      <c r="B645" s="3" t="s">
        <v>1186</v>
      </c>
      <c r="C645" s="3" t="s">
        <v>31</v>
      </c>
      <c r="D645" s="3" t="s">
        <v>69</v>
      </c>
      <c r="E645" s="3" t="s">
        <v>39</v>
      </c>
      <c r="F645" s="3" t="s">
        <v>70</v>
      </c>
      <c r="G645" s="3" t="s">
        <v>55</v>
      </c>
      <c r="H645" s="3" t="s">
        <v>77</v>
      </c>
      <c r="I645" s="3" t="s">
        <v>85</v>
      </c>
      <c r="J645" s="3" t="n">
        <v>21</v>
      </c>
      <c r="K645" s="3" t="n">
        <v>3092.49</v>
      </c>
      <c r="L645" s="3" t="n">
        <v>64942.29</v>
      </c>
      <c r="M645" s="3" t="n">
        <v>0.0656</v>
      </c>
      <c r="N645" s="3" t="n">
        <v>4260.21</v>
      </c>
      <c r="O645" s="3" t="n">
        <v>60682.08</v>
      </c>
      <c r="P645" s="3" t="n">
        <v>44160.76</v>
      </c>
      <c r="Q645" s="3" t="n">
        <v>16521.32</v>
      </c>
      <c r="R645" s="3" t="n">
        <v>0.2723</v>
      </c>
      <c r="S645" s="3" t="n">
        <v>0.06</v>
      </c>
      <c r="T645" s="3" t="n">
        <v>0.0056</v>
      </c>
    </row>
    <row r="646" customFormat="false" ht="15" hidden="false" customHeight="true" outlineLevel="0" collapsed="false">
      <c r="A646" s="3" t="s">
        <v>1196</v>
      </c>
      <c r="B646" s="3" t="s">
        <v>840</v>
      </c>
      <c r="C646" s="3" t="s">
        <v>46</v>
      </c>
      <c r="D646" s="3" t="s">
        <v>107</v>
      </c>
      <c r="E646" s="3" t="s">
        <v>33</v>
      </c>
      <c r="F646" s="3" t="s">
        <v>70</v>
      </c>
      <c r="G646" s="3" t="s">
        <v>84</v>
      </c>
      <c r="H646" s="3" t="s">
        <v>64</v>
      </c>
      <c r="I646" s="3" t="s">
        <v>108</v>
      </c>
      <c r="J646" s="3" t="n">
        <v>36</v>
      </c>
      <c r="K646" s="3" t="n">
        <v>4251.62</v>
      </c>
      <c r="L646" s="3" t="n">
        <v>153058.32</v>
      </c>
      <c r="M646" s="3" t="n">
        <v>0.0492</v>
      </c>
      <c r="N646" s="3" t="n">
        <v>7530.47</v>
      </c>
      <c r="O646" s="3" t="n">
        <v>145527.85</v>
      </c>
      <c r="P646" s="3" t="n">
        <v>88773.83</v>
      </c>
      <c r="Q646" s="3" t="n">
        <v>56754.02</v>
      </c>
      <c r="R646" s="3" t="n">
        <v>0.39</v>
      </c>
      <c r="S646" s="3" t="n">
        <v>0.0518</v>
      </c>
      <c r="T646" s="3" t="n">
        <v>-0.0026</v>
      </c>
    </row>
    <row r="647" customFormat="false" ht="15" hidden="false" customHeight="true" outlineLevel="0" collapsed="false">
      <c r="A647" s="3" t="s">
        <v>1197</v>
      </c>
      <c r="B647" s="3" t="s">
        <v>1198</v>
      </c>
      <c r="C647" s="3" t="s">
        <v>31</v>
      </c>
      <c r="D647" s="3" t="s">
        <v>75</v>
      </c>
      <c r="E647" s="3" t="s">
        <v>39</v>
      </c>
      <c r="F647" s="3" t="s">
        <v>25</v>
      </c>
      <c r="G647" s="3" t="s">
        <v>41</v>
      </c>
      <c r="H647" s="3" t="s">
        <v>42</v>
      </c>
      <c r="I647" s="3" t="s">
        <v>72</v>
      </c>
      <c r="J647" s="3" t="n">
        <v>5</v>
      </c>
      <c r="K647" s="3" t="n">
        <v>969.97</v>
      </c>
      <c r="L647" s="3" t="n">
        <v>4849.85</v>
      </c>
      <c r="M647" s="3" t="n">
        <v>0.1693</v>
      </c>
      <c r="N647" s="3" t="n">
        <v>821.08</v>
      </c>
      <c r="O647" s="3" t="n">
        <v>4028.77</v>
      </c>
      <c r="P647" s="3" t="n">
        <v>2667.42</v>
      </c>
      <c r="Q647" s="3" t="n">
        <v>1361.35</v>
      </c>
      <c r="R647" s="3" t="n">
        <v>0.3379</v>
      </c>
      <c r="S647" s="3" t="n">
        <v>0.185</v>
      </c>
      <c r="T647" s="3" t="n">
        <v>-0.0157</v>
      </c>
    </row>
    <row r="648" customFormat="false" ht="15" hidden="false" customHeight="true" outlineLevel="0" collapsed="false">
      <c r="A648" s="3" t="s">
        <v>1199</v>
      </c>
      <c r="B648" s="3" t="s">
        <v>1200</v>
      </c>
      <c r="C648" s="3" t="s">
        <v>31</v>
      </c>
      <c r="D648" s="3" t="s">
        <v>75</v>
      </c>
      <c r="E648" s="3" t="s">
        <v>39</v>
      </c>
      <c r="F648" s="3" t="s">
        <v>25</v>
      </c>
      <c r="G648" s="3" t="s">
        <v>71</v>
      </c>
      <c r="H648" s="3" t="s">
        <v>27</v>
      </c>
      <c r="I648" s="3" t="s">
        <v>117</v>
      </c>
      <c r="J648" s="3" t="n">
        <v>30</v>
      </c>
      <c r="K648" s="3" t="n">
        <v>33790.13</v>
      </c>
      <c r="L648" s="3" t="n">
        <v>1013703.9</v>
      </c>
      <c r="M648" s="3" t="n">
        <v>0.1703</v>
      </c>
      <c r="N648" s="3" t="n">
        <v>172633.77</v>
      </c>
      <c r="O648" s="3" t="n">
        <v>841070.13</v>
      </c>
      <c r="P648" s="3" t="n">
        <v>628496.42</v>
      </c>
      <c r="Q648" s="3" t="n">
        <v>212573.71</v>
      </c>
      <c r="R648" s="3" t="n">
        <v>0.2527</v>
      </c>
      <c r="S648" s="3" t="n">
        <v>0.1681</v>
      </c>
      <c r="T648" s="3" t="n">
        <v>0.0022</v>
      </c>
    </row>
    <row r="649" customFormat="false" ht="15" hidden="false" customHeight="true" outlineLevel="0" collapsed="false">
      <c r="A649" s="3" t="s">
        <v>1201</v>
      </c>
      <c r="B649" s="3" t="s">
        <v>1202</v>
      </c>
      <c r="C649" s="3" t="s">
        <v>113</v>
      </c>
      <c r="D649" s="3" t="s">
        <v>83</v>
      </c>
      <c r="E649" s="3" t="s">
        <v>48</v>
      </c>
      <c r="F649" s="3" t="s">
        <v>62</v>
      </c>
      <c r="G649" s="3" t="s">
        <v>100</v>
      </c>
      <c r="H649" s="3" t="s">
        <v>56</v>
      </c>
      <c r="I649" s="3" t="s">
        <v>57</v>
      </c>
      <c r="J649" s="3" t="n">
        <v>25</v>
      </c>
      <c r="K649" s="3" t="n">
        <v>15121.14</v>
      </c>
      <c r="L649" s="3" t="n">
        <v>378028.5</v>
      </c>
      <c r="M649" s="3" t="n">
        <v>0.0478</v>
      </c>
      <c r="N649" s="3" t="n">
        <v>18069.76</v>
      </c>
      <c r="O649" s="3" t="n">
        <v>359958.74</v>
      </c>
      <c r="P649" s="3" t="n">
        <v>226817.1</v>
      </c>
      <c r="Q649" s="3" t="n">
        <v>133141.64</v>
      </c>
      <c r="R649" s="3" t="n">
        <v>0.3699</v>
      </c>
      <c r="S649" s="3" t="n">
        <v>0.0443</v>
      </c>
      <c r="T649" s="3" t="n">
        <v>0.0035</v>
      </c>
    </row>
    <row r="650" customFormat="false" ht="15" hidden="false" customHeight="true" outlineLevel="0" collapsed="false">
      <c r="A650" s="3" t="s">
        <v>1203</v>
      </c>
      <c r="B650" s="3" t="s">
        <v>1204</v>
      </c>
      <c r="C650" s="3" t="s">
        <v>46</v>
      </c>
      <c r="D650" s="3" t="s">
        <v>32</v>
      </c>
      <c r="E650" s="3" t="s">
        <v>33</v>
      </c>
      <c r="F650" s="3" t="s">
        <v>25</v>
      </c>
      <c r="G650" s="3" t="s">
        <v>26</v>
      </c>
      <c r="H650" s="3" t="s">
        <v>56</v>
      </c>
      <c r="I650" s="3" t="s">
        <v>57</v>
      </c>
      <c r="J650" s="3" t="n">
        <v>33</v>
      </c>
      <c r="K650" s="3" t="n">
        <v>5788</v>
      </c>
      <c r="L650" s="3" t="n">
        <v>191004</v>
      </c>
      <c r="M650" s="3" t="n">
        <v>0.1576</v>
      </c>
      <c r="N650" s="3" t="n">
        <v>30102.23</v>
      </c>
      <c r="O650" s="3" t="n">
        <v>160901.77</v>
      </c>
      <c r="P650" s="3" t="n">
        <v>114602.4</v>
      </c>
      <c r="Q650" s="3" t="n">
        <v>46299.37</v>
      </c>
      <c r="R650" s="3" t="n">
        <v>0.2877</v>
      </c>
      <c r="S650" s="3" t="n">
        <v>0.1277</v>
      </c>
      <c r="T650" s="3" t="n">
        <v>0.0299</v>
      </c>
    </row>
    <row r="651" customFormat="false" ht="15" hidden="false" customHeight="true" outlineLevel="0" collapsed="false">
      <c r="A651" s="3" t="s">
        <v>1205</v>
      </c>
      <c r="B651" s="3" t="s">
        <v>1206</v>
      </c>
      <c r="C651" s="3" t="s">
        <v>60</v>
      </c>
      <c r="D651" s="3" t="s">
        <v>32</v>
      </c>
      <c r="E651" s="3" t="s">
        <v>33</v>
      </c>
      <c r="F651" s="3" t="s">
        <v>25</v>
      </c>
      <c r="G651" s="3" t="s">
        <v>26</v>
      </c>
      <c r="H651" s="3" t="s">
        <v>56</v>
      </c>
      <c r="I651" s="3" t="s">
        <v>57</v>
      </c>
      <c r="J651" s="3" t="n">
        <v>38</v>
      </c>
      <c r="K651" s="3" t="n">
        <v>7897.26</v>
      </c>
      <c r="L651" s="3" t="n">
        <v>300095.88</v>
      </c>
      <c r="M651" s="3" t="n">
        <v>0.1493</v>
      </c>
      <c r="N651" s="3" t="n">
        <v>44804.31</v>
      </c>
      <c r="O651" s="3" t="n">
        <v>255291.57</v>
      </c>
      <c r="P651" s="3" t="n">
        <v>180057.53</v>
      </c>
      <c r="Q651" s="3" t="n">
        <v>75234.04</v>
      </c>
      <c r="R651" s="3" t="n">
        <v>0.2947</v>
      </c>
      <c r="S651" s="3" t="n">
        <v>0.1522</v>
      </c>
      <c r="T651" s="3" t="n">
        <v>-0.0029</v>
      </c>
    </row>
    <row r="652" customFormat="false" ht="15" hidden="false" customHeight="true" outlineLevel="0" collapsed="false">
      <c r="A652" s="3" t="s">
        <v>1207</v>
      </c>
      <c r="B652" s="3" t="s">
        <v>1208</v>
      </c>
      <c r="C652" s="3" t="s">
        <v>93</v>
      </c>
      <c r="D652" s="3" t="s">
        <v>107</v>
      </c>
      <c r="E652" s="3" t="s">
        <v>33</v>
      </c>
      <c r="F652" s="3" t="s">
        <v>70</v>
      </c>
      <c r="G652" s="3" t="s">
        <v>100</v>
      </c>
      <c r="H652" s="3" t="s">
        <v>42</v>
      </c>
      <c r="I652" s="3" t="s">
        <v>134</v>
      </c>
      <c r="J652" s="3" t="n">
        <v>40</v>
      </c>
      <c r="K652" s="3" t="n">
        <v>773.82</v>
      </c>
      <c r="L652" s="3" t="n">
        <v>30952.8</v>
      </c>
      <c r="M652" s="3" t="n">
        <v>0.0344</v>
      </c>
      <c r="N652" s="3" t="n">
        <v>1064.78</v>
      </c>
      <c r="O652" s="3" t="n">
        <v>29888.02</v>
      </c>
      <c r="P652" s="3" t="n">
        <v>17024.04</v>
      </c>
      <c r="Q652" s="3" t="n">
        <v>12863.98</v>
      </c>
      <c r="R652" s="3" t="n">
        <v>0.4304</v>
      </c>
      <c r="S652" s="3" t="n">
        <v>0.0341</v>
      </c>
      <c r="T652" s="3" t="n">
        <v>0.0003</v>
      </c>
    </row>
    <row r="653" customFormat="false" ht="15" hidden="false" customHeight="true" outlineLevel="0" collapsed="false">
      <c r="A653" s="3" t="s">
        <v>1209</v>
      </c>
      <c r="B653" s="3" t="s">
        <v>1210</v>
      </c>
      <c r="C653" s="3" t="s">
        <v>156</v>
      </c>
      <c r="D653" s="3" t="s">
        <v>23</v>
      </c>
      <c r="E653" s="3" t="s">
        <v>24</v>
      </c>
      <c r="F653" s="3" t="s">
        <v>25</v>
      </c>
      <c r="G653" s="3" t="s">
        <v>55</v>
      </c>
      <c r="H653" s="3" t="s">
        <v>27</v>
      </c>
      <c r="I653" s="3" t="s">
        <v>94</v>
      </c>
      <c r="J653" s="3" t="n">
        <v>4</v>
      </c>
      <c r="K653" s="3" t="n">
        <v>17999.99</v>
      </c>
      <c r="L653" s="3" t="n">
        <v>71999.96</v>
      </c>
      <c r="M653" s="3" t="n">
        <v>0.158</v>
      </c>
      <c r="N653" s="3" t="n">
        <v>11375.99</v>
      </c>
      <c r="O653" s="3" t="n">
        <v>60623.97</v>
      </c>
      <c r="P653" s="3" t="n">
        <v>44639.98</v>
      </c>
      <c r="Q653" s="3" t="n">
        <v>15983.99</v>
      </c>
      <c r="R653" s="3" t="n">
        <v>0.2637</v>
      </c>
      <c r="S653" s="3" t="n">
        <v>0.1486</v>
      </c>
      <c r="T653" s="3" t="n">
        <v>0.0094</v>
      </c>
    </row>
    <row r="654" customFormat="false" ht="15" hidden="false" customHeight="true" outlineLevel="0" collapsed="false">
      <c r="A654" s="3" t="s">
        <v>1211</v>
      </c>
      <c r="B654" s="3" t="s">
        <v>1212</v>
      </c>
      <c r="C654" s="3" t="s">
        <v>126</v>
      </c>
      <c r="D654" s="3" t="s">
        <v>107</v>
      </c>
      <c r="E654" s="3" t="s">
        <v>33</v>
      </c>
      <c r="F654" s="3" t="s">
        <v>70</v>
      </c>
      <c r="G654" s="3" t="s">
        <v>26</v>
      </c>
      <c r="H654" s="3" t="s">
        <v>77</v>
      </c>
      <c r="I654" s="3" t="s">
        <v>85</v>
      </c>
      <c r="J654" s="3" t="n">
        <v>23</v>
      </c>
      <c r="K654" s="3" t="n">
        <v>2791.27</v>
      </c>
      <c r="L654" s="3" t="n">
        <v>64199.21</v>
      </c>
      <c r="M654" s="3" t="n">
        <v>0.078</v>
      </c>
      <c r="N654" s="3" t="n">
        <v>5007.54</v>
      </c>
      <c r="O654" s="3" t="n">
        <v>59191.67</v>
      </c>
      <c r="P654" s="3" t="n">
        <v>43655.46</v>
      </c>
      <c r="Q654" s="3" t="n">
        <v>15536.21</v>
      </c>
      <c r="R654" s="3" t="n">
        <v>0.2625</v>
      </c>
      <c r="S654" s="3" t="n">
        <v>0.0692</v>
      </c>
      <c r="T654" s="3" t="n">
        <v>0.0088</v>
      </c>
    </row>
    <row r="655" customFormat="false" ht="15" hidden="false" customHeight="true" outlineLevel="0" collapsed="false">
      <c r="A655" s="3" t="s">
        <v>1213</v>
      </c>
      <c r="B655" s="3" t="s">
        <v>1214</v>
      </c>
      <c r="C655" s="3" t="s">
        <v>60</v>
      </c>
      <c r="D655" s="3" t="s">
        <v>32</v>
      </c>
      <c r="E655" s="3" t="s">
        <v>33</v>
      </c>
      <c r="F655" s="3" t="s">
        <v>25</v>
      </c>
      <c r="G655" s="3" t="s">
        <v>76</v>
      </c>
      <c r="H655" s="3" t="s">
        <v>56</v>
      </c>
      <c r="I655" s="3" t="s">
        <v>121</v>
      </c>
      <c r="J655" s="3" t="n">
        <v>37</v>
      </c>
      <c r="K655" s="3" t="n">
        <v>13631.55</v>
      </c>
      <c r="L655" s="3" t="n">
        <v>504367.35</v>
      </c>
      <c r="M655" s="3" t="n">
        <v>0.1334</v>
      </c>
      <c r="N655" s="3" t="n">
        <v>67282.6</v>
      </c>
      <c r="O655" s="3" t="n">
        <v>437084.75</v>
      </c>
      <c r="P655" s="3" t="n">
        <v>302620.41</v>
      </c>
      <c r="Q655" s="3" t="n">
        <v>134464.34</v>
      </c>
      <c r="R655" s="3" t="n">
        <v>0.3076</v>
      </c>
      <c r="S655" s="3" t="n">
        <v>0.1296</v>
      </c>
      <c r="T655" s="3" t="n">
        <v>0.0038</v>
      </c>
    </row>
    <row r="656" customFormat="false" ht="15" hidden="false" customHeight="true" outlineLevel="0" collapsed="false">
      <c r="A656" s="3" t="s">
        <v>1215</v>
      </c>
      <c r="B656" s="3" t="s">
        <v>1216</v>
      </c>
      <c r="C656" s="3" t="s">
        <v>126</v>
      </c>
      <c r="D656" s="3" t="s">
        <v>23</v>
      </c>
      <c r="E656" s="3" t="s">
        <v>24</v>
      </c>
      <c r="F656" s="3" t="s">
        <v>25</v>
      </c>
      <c r="G656" s="3" t="s">
        <v>55</v>
      </c>
      <c r="H656" s="3" t="s">
        <v>42</v>
      </c>
      <c r="I656" s="3" t="s">
        <v>72</v>
      </c>
      <c r="J656" s="3" t="n">
        <v>32</v>
      </c>
      <c r="K656" s="3" t="n">
        <v>595.54</v>
      </c>
      <c r="L656" s="3" t="n">
        <v>19057.28</v>
      </c>
      <c r="M656" s="3" t="n">
        <v>0.1146</v>
      </c>
      <c r="N656" s="3" t="n">
        <v>2183.96</v>
      </c>
      <c r="O656" s="3" t="n">
        <v>16873.32</v>
      </c>
      <c r="P656" s="3" t="n">
        <v>10481.5</v>
      </c>
      <c r="Q656" s="3" t="n">
        <v>6391.82</v>
      </c>
      <c r="R656" s="3" t="n">
        <v>0.3788</v>
      </c>
      <c r="S656" s="3" t="n">
        <v>0.1003</v>
      </c>
      <c r="T656" s="3" t="n">
        <v>0.0143</v>
      </c>
    </row>
    <row r="657" customFormat="false" ht="15" hidden="false" customHeight="true" outlineLevel="0" collapsed="false">
      <c r="A657" s="3" t="s">
        <v>1217</v>
      </c>
      <c r="B657" s="3" t="s">
        <v>573</v>
      </c>
      <c r="C657" s="3" t="s">
        <v>60</v>
      </c>
      <c r="D657" s="3" t="s">
        <v>38</v>
      </c>
      <c r="E657" s="3" t="s">
        <v>39</v>
      </c>
      <c r="F657" s="3" t="s">
        <v>40</v>
      </c>
      <c r="G657" s="3" t="s">
        <v>76</v>
      </c>
      <c r="H657" s="3" t="s">
        <v>42</v>
      </c>
      <c r="I657" s="3" t="s">
        <v>134</v>
      </c>
      <c r="J657" s="3" t="n">
        <v>8</v>
      </c>
      <c r="K657" s="3" t="n">
        <v>549.71</v>
      </c>
      <c r="L657" s="3" t="n">
        <v>4397.68</v>
      </c>
      <c r="M657" s="3" t="n">
        <v>0.0602</v>
      </c>
      <c r="N657" s="3" t="n">
        <v>264.74</v>
      </c>
      <c r="O657" s="3" t="n">
        <v>4132.94</v>
      </c>
      <c r="P657" s="3" t="n">
        <v>2418.72</v>
      </c>
      <c r="Q657" s="3" t="n">
        <v>1714.22</v>
      </c>
      <c r="R657" s="3" t="n">
        <v>0.4148</v>
      </c>
      <c r="S657" s="3" t="n">
        <v>0.0601</v>
      </c>
      <c r="T657" s="3" t="n">
        <v>0.0001</v>
      </c>
    </row>
    <row r="658" customFormat="false" ht="15" hidden="false" customHeight="true" outlineLevel="0" collapsed="false">
      <c r="A658" s="3" t="s">
        <v>1218</v>
      </c>
      <c r="B658" s="3" t="s">
        <v>1219</v>
      </c>
      <c r="C658" s="3" t="s">
        <v>156</v>
      </c>
      <c r="D658" s="3" t="s">
        <v>103</v>
      </c>
      <c r="E658" s="3" t="s">
        <v>24</v>
      </c>
      <c r="F658" s="3" t="s">
        <v>62</v>
      </c>
      <c r="G658" s="3" t="s">
        <v>26</v>
      </c>
      <c r="H658" s="3" t="s">
        <v>64</v>
      </c>
      <c r="I658" s="3" t="s">
        <v>145</v>
      </c>
      <c r="J658" s="3" t="n">
        <v>12</v>
      </c>
      <c r="K658" s="3" t="n">
        <v>5125.76</v>
      </c>
      <c r="L658" s="3" t="n">
        <v>61509.12</v>
      </c>
      <c r="M658" s="3" t="n">
        <v>0.07</v>
      </c>
      <c r="N658" s="3" t="n">
        <v>4305.64</v>
      </c>
      <c r="O658" s="3" t="n">
        <v>57203.48</v>
      </c>
      <c r="P658" s="3" t="n">
        <v>35675.29</v>
      </c>
      <c r="Q658" s="3" t="n">
        <v>21528.19</v>
      </c>
      <c r="R658" s="3" t="n">
        <v>0.3763</v>
      </c>
      <c r="S658" s="3" t="n">
        <v>0.0632</v>
      </c>
      <c r="T658" s="3" t="n">
        <v>0.0068</v>
      </c>
    </row>
    <row r="659" customFormat="false" ht="15" hidden="false" customHeight="true" outlineLevel="0" collapsed="false">
      <c r="A659" s="3" t="s">
        <v>1220</v>
      </c>
      <c r="B659" s="3" t="s">
        <v>1221</v>
      </c>
      <c r="C659" s="3" t="s">
        <v>53</v>
      </c>
      <c r="D659" s="3" t="s">
        <v>61</v>
      </c>
      <c r="E659" s="3" t="s">
        <v>33</v>
      </c>
      <c r="F659" s="3" t="s">
        <v>62</v>
      </c>
      <c r="G659" s="3" t="s">
        <v>84</v>
      </c>
      <c r="H659" s="3" t="s">
        <v>64</v>
      </c>
      <c r="I659" s="3" t="s">
        <v>108</v>
      </c>
      <c r="J659" s="3" t="n">
        <v>27</v>
      </c>
      <c r="K659" s="3" t="n">
        <v>9774.85</v>
      </c>
      <c r="L659" s="3" t="n">
        <v>263920.95</v>
      </c>
      <c r="M659" s="3" t="n">
        <v>0.0685</v>
      </c>
      <c r="N659" s="3" t="n">
        <v>18078.59</v>
      </c>
      <c r="O659" s="3" t="n">
        <v>245842.36</v>
      </c>
      <c r="P659" s="3" t="n">
        <v>153074.15</v>
      </c>
      <c r="Q659" s="3" t="n">
        <v>92768.21</v>
      </c>
      <c r="R659" s="3" t="n">
        <v>0.3773</v>
      </c>
      <c r="S659" s="3" t="n">
        <v>0.0684</v>
      </c>
      <c r="T659" s="3" t="n">
        <v>0.0001</v>
      </c>
    </row>
    <row r="660" customFormat="false" ht="15" hidden="false" customHeight="true" outlineLevel="0" collapsed="false">
      <c r="A660" s="3" t="s">
        <v>1222</v>
      </c>
      <c r="B660" s="3" t="s">
        <v>494</v>
      </c>
      <c r="C660" s="3" t="s">
        <v>53</v>
      </c>
      <c r="D660" s="3" t="s">
        <v>97</v>
      </c>
      <c r="E660" s="3" t="s">
        <v>48</v>
      </c>
      <c r="F660" s="3" t="s">
        <v>40</v>
      </c>
      <c r="G660" s="3" t="s">
        <v>55</v>
      </c>
      <c r="H660" s="3" t="s">
        <v>64</v>
      </c>
      <c r="I660" s="3" t="s">
        <v>108</v>
      </c>
      <c r="J660" s="3" t="n">
        <v>23</v>
      </c>
      <c r="K660" s="3" t="n">
        <v>9609.25</v>
      </c>
      <c r="L660" s="3" t="n">
        <v>221012.75</v>
      </c>
      <c r="M660" s="3" t="n">
        <v>0.0327</v>
      </c>
      <c r="N660" s="3" t="n">
        <v>7227.12</v>
      </c>
      <c r="O660" s="3" t="n">
        <v>213785.63</v>
      </c>
      <c r="P660" s="3" t="n">
        <v>128187.39</v>
      </c>
      <c r="Q660" s="3" t="n">
        <v>85598.24</v>
      </c>
      <c r="R660" s="3" t="n">
        <v>0.4004</v>
      </c>
      <c r="S660" s="3" t="n">
        <v>0.0336</v>
      </c>
      <c r="T660" s="3" t="n">
        <v>-0.0009</v>
      </c>
    </row>
    <row r="661" customFormat="false" ht="15" hidden="false" customHeight="true" outlineLevel="0" collapsed="false">
      <c r="A661" s="3" t="s">
        <v>1223</v>
      </c>
      <c r="B661" s="3" t="s">
        <v>1224</v>
      </c>
      <c r="C661" s="3" t="s">
        <v>68</v>
      </c>
      <c r="D661" s="3" t="s">
        <v>61</v>
      </c>
      <c r="E661" s="3" t="s">
        <v>33</v>
      </c>
      <c r="F661" s="3" t="s">
        <v>62</v>
      </c>
      <c r="G661" s="3" t="s">
        <v>84</v>
      </c>
      <c r="H661" s="3" t="s">
        <v>27</v>
      </c>
      <c r="I661" s="3" t="s">
        <v>117</v>
      </c>
      <c r="J661" s="3" t="n">
        <v>20</v>
      </c>
      <c r="K661" s="3" t="n">
        <v>20759.83</v>
      </c>
      <c r="L661" s="3" t="n">
        <v>415196.6</v>
      </c>
      <c r="M661" s="3" t="n">
        <v>0.0538</v>
      </c>
      <c r="N661" s="3" t="n">
        <v>22337.58</v>
      </c>
      <c r="O661" s="3" t="n">
        <v>392859.02</v>
      </c>
      <c r="P661" s="3" t="n">
        <v>257421.89</v>
      </c>
      <c r="Q661" s="3" t="n">
        <v>135437.13</v>
      </c>
      <c r="R661" s="3" t="n">
        <v>0.3447</v>
      </c>
      <c r="S661" s="3" t="n">
        <v>0.0468</v>
      </c>
      <c r="T661" s="3" t="n">
        <v>0.007</v>
      </c>
    </row>
    <row r="662" customFormat="false" ht="15" hidden="false" customHeight="true" outlineLevel="0" collapsed="false">
      <c r="A662" s="3" t="s">
        <v>1225</v>
      </c>
      <c r="B662" s="3" t="s">
        <v>398</v>
      </c>
      <c r="C662" s="3" t="s">
        <v>93</v>
      </c>
      <c r="D662" s="3" t="s">
        <v>23</v>
      </c>
      <c r="E662" s="3" t="s">
        <v>24</v>
      </c>
      <c r="F662" s="3" t="s">
        <v>25</v>
      </c>
      <c r="G662" s="3" t="s">
        <v>76</v>
      </c>
      <c r="H662" s="3" t="s">
        <v>77</v>
      </c>
      <c r="I662" s="3" t="s">
        <v>78</v>
      </c>
      <c r="J662" s="3" t="n">
        <v>28</v>
      </c>
      <c r="K662" s="3" t="n">
        <v>1896.72</v>
      </c>
      <c r="L662" s="3" t="n">
        <v>53108.16</v>
      </c>
      <c r="M662" s="3" t="n">
        <v>0.1448</v>
      </c>
      <c r="N662" s="3" t="n">
        <v>7690.06</v>
      </c>
      <c r="O662" s="3" t="n">
        <v>45418.1</v>
      </c>
      <c r="P662" s="3" t="n">
        <v>36113.55</v>
      </c>
      <c r="Q662" s="3" t="n">
        <v>9304.55</v>
      </c>
      <c r="R662" s="3" t="n">
        <v>0.2049</v>
      </c>
      <c r="S662" s="3" t="n">
        <v>0.1324</v>
      </c>
      <c r="T662" s="3" t="n">
        <v>0.0124</v>
      </c>
    </row>
    <row r="663" customFormat="false" ht="15" hidden="false" customHeight="true" outlineLevel="0" collapsed="false">
      <c r="A663" s="3" t="s">
        <v>1226</v>
      </c>
      <c r="B663" s="3" t="s">
        <v>1227</v>
      </c>
      <c r="C663" s="3" t="s">
        <v>31</v>
      </c>
      <c r="D663" s="3" t="s">
        <v>103</v>
      </c>
      <c r="E663" s="3" t="s">
        <v>24</v>
      </c>
      <c r="F663" s="3" t="s">
        <v>62</v>
      </c>
      <c r="G663" s="3" t="s">
        <v>104</v>
      </c>
      <c r="H663" s="3" t="s">
        <v>56</v>
      </c>
      <c r="I663" s="3" t="s">
        <v>121</v>
      </c>
      <c r="J663" s="3" t="n">
        <v>35</v>
      </c>
      <c r="K663" s="3" t="n">
        <v>3557.83</v>
      </c>
      <c r="L663" s="3" t="n">
        <v>124524.05</v>
      </c>
      <c r="M663" s="3" t="n">
        <v>0.1201</v>
      </c>
      <c r="N663" s="3" t="n">
        <v>14955.34</v>
      </c>
      <c r="O663" s="3" t="n">
        <v>109568.71</v>
      </c>
      <c r="P663" s="3" t="n">
        <v>74714.43</v>
      </c>
      <c r="Q663" s="3" t="n">
        <v>34854.28</v>
      </c>
      <c r="R663" s="3" t="n">
        <v>0.3181</v>
      </c>
      <c r="S663" s="3" t="n">
        <v>0.1181</v>
      </c>
      <c r="T663" s="3" t="n">
        <v>0.002</v>
      </c>
    </row>
    <row r="664" customFormat="false" ht="15" hidden="false" customHeight="true" outlineLevel="0" collapsed="false">
      <c r="A664" s="3" t="s">
        <v>1228</v>
      </c>
      <c r="B664" s="3" t="s">
        <v>1229</v>
      </c>
      <c r="C664" s="3" t="s">
        <v>93</v>
      </c>
      <c r="D664" s="3" t="s">
        <v>23</v>
      </c>
      <c r="E664" s="3" t="s">
        <v>24</v>
      </c>
      <c r="F664" s="3" t="s">
        <v>25</v>
      </c>
      <c r="G664" s="3" t="s">
        <v>76</v>
      </c>
      <c r="H664" s="3" t="s">
        <v>42</v>
      </c>
      <c r="I664" s="3" t="s">
        <v>134</v>
      </c>
      <c r="J664" s="3" t="n">
        <v>7</v>
      </c>
      <c r="K664" s="3" t="n">
        <v>1434.81</v>
      </c>
      <c r="L664" s="3" t="n">
        <v>10043.67</v>
      </c>
      <c r="M664" s="3" t="n">
        <v>0.1295</v>
      </c>
      <c r="N664" s="3" t="n">
        <v>1300.66</v>
      </c>
      <c r="O664" s="3" t="n">
        <v>8743.01</v>
      </c>
      <c r="P664" s="3" t="n">
        <v>5524.02</v>
      </c>
      <c r="Q664" s="3" t="n">
        <v>3218.99</v>
      </c>
      <c r="R664" s="3" t="n">
        <v>0.3682</v>
      </c>
      <c r="S664" s="3" t="n">
        <v>0.1336</v>
      </c>
      <c r="T664" s="3" t="n">
        <v>-0.0041</v>
      </c>
    </row>
    <row r="665" customFormat="false" ht="15" hidden="false" customHeight="true" outlineLevel="0" collapsed="false">
      <c r="A665" s="3" t="s">
        <v>1230</v>
      </c>
      <c r="B665" s="3" t="s">
        <v>1231</v>
      </c>
      <c r="C665" s="3" t="s">
        <v>37</v>
      </c>
      <c r="D665" s="3" t="s">
        <v>97</v>
      </c>
      <c r="E665" s="3" t="s">
        <v>48</v>
      </c>
      <c r="F665" s="3" t="s">
        <v>40</v>
      </c>
      <c r="G665" s="3" t="s">
        <v>100</v>
      </c>
      <c r="H665" s="3" t="s">
        <v>64</v>
      </c>
      <c r="I665" s="3" t="s">
        <v>108</v>
      </c>
      <c r="J665" s="3" t="n">
        <v>45</v>
      </c>
      <c r="K665" s="3" t="n">
        <v>6036.66</v>
      </c>
      <c r="L665" s="3" t="n">
        <v>271649.7</v>
      </c>
      <c r="M665" s="3" t="n">
        <v>0.0797</v>
      </c>
      <c r="N665" s="3" t="n">
        <v>21650.48</v>
      </c>
      <c r="O665" s="3" t="n">
        <v>249999.22</v>
      </c>
      <c r="P665" s="3" t="n">
        <v>157556.83</v>
      </c>
      <c r="Q665" s="3" t="n">
        <v>92442.39</v>
      </c>
      <c r="R665" s="3" t="n">
        <v>0.3698</v>
      </c>
      <c r="S665" s="3" t="n">
        <v>0.0768</v>
      </c>
      <c r="T665" s="3" t="n">
        <v>0.0029</v>
      </c>
    </row>
    <row r="666" customFormat="false" ht="15" hidden="false" customHeight="true" outlineLevel="0" collapsed="false">
      <c r="A666" s="3" t="s">
        <v>1232</v>
      </c>
      <c r="B666" s="3" t="s">
        <v>1233</v>
      </c>
      <c r="C666" s="3" t="s">
        <v>126</v>
      </c>
      <c r="D666" s="3" t="s">
        <v>23</v>
      </c>
      <c r="E666" s="3" t="s">
        <v>24</v>
      </c>
      <c r="F666" s="3" t="s">
        <v>25</v>
      </c>
      <c r="G666" s="3" t="s">
        <v>104</v>
      </c>
      <c r="H666" s="3" t="s">
        <v>27</v>
      </c>
      <c r="I666" s="3" t="s">
        <v>28</v>
      </c>
      <c r="J666" s="3" t="n">
        <v>34</v>
      </c>
      <c r="K666" s="3" t="n">
        <v>21159.96</v>
      </c>
      <c r="L666" s="3" t="n">
        <v>719438.64</v>
      </c>
      <c r="M666" s="3" t="n">
        <v>0.1396</v>
      </c>
      <c r="N666" s="3" t="n">
        <v>100433.63</v>
      </c>
      <c r="O666" s="3" t="n">
        <v>619005.01</v>
      </c>
      <c r="P666" s="3" t="n">
        <v>446051.96</v>
      </c>
      <c r="Q666" s="3" t="n">
        <v>172953.05</v>
      </c>
      <c r="R666" s="3" t="n">
        <v>0.2794</v>
      </c>
      <c r="S666" s="3" t="n">
        <v>0.1223</v>
      </c>
      <c r="T666" s="3" t="n">
        <v>0.0173</v>
      </c>
    </row>
    <row r="667" customFormat="false" ht="15" hidden="false" customHeight="true" outlineLevel="0" collapsed="false">
      <c r="A667" s="3" t="s">
        <v>1234</v>
      </c>
      <c r="B667" s="3" t="s">
        <v>498</v>
      </c>
      <c r="C667" s="3" t="s">
        <v>120</v>
      </c>
      <c r="D667" s="3" t="s">
        <v>32</v>
      </c>
      <c r="E667" s="3" t="s">
        <v>33</v>
      </c>
      <c r="F667" s="3" t="s">
        <v>25</v>
      </c>
      <c r="G667" s="3" t="s">
        <v>116</v>
      </c>
      <c r="H667" s="3" t="s">
        <v>27</v>
      </c>
      <c r="I667" s="3" t="s">
        <v>94</v>
      </c>
      <c r="J667" s="3" t="n">
        <v>39</v>
      </c>
      <c r="K667" s="3" t="n">
        <v>9820.22</v>
      </c>
      <c r="L667" s="3" t="n">
        <v>382988.58</v>
      </c>
      <c r="M667" s="3" t="n">
        <v>0.2277</v>
      </c>
      <c r="N667" s="3" t="n">
        <v>87206.5</v>
      </c>
      <c r="O667" s="3" t="n">
        <v>295782.08</v>
      </c>
      <c r="P667" s="3" t="n">
        <v>237452.92</v>
      </c>
      <c r="Q667" s="3" t="n">
        <v>58329.16</v>
      </c>
      <c r="R667" s="3" t="n">
        <v>0.1972</v>
      </c>
      <c r="S667" s="3" t="n">
        <v>0.2305</v>
      </c>
      <c r="T667" s="3" t="n">
        <v>-0.0028</v>
      </c>
    </row>
    <row r="668" customFormat="false" ht="15" hidden="false" customHeight="true" outlineLevel="0" collapsed="false">
      <c r="A668" s="3" t="s">
        <v>1235</v>
      </c>
      <c r="B668" s="3" t="s">
        <v>1236</v>
      </c>
      <c r="C668" s="3" t="s">
        <v>113</v>
      </c>
      <c r="D668" s="3" t="s">
        <v>61</v>
      </c>
      <c r="E668" s="3" t="s">
        <v>33</v>
      </c>
      <c r="F668" s="3" t="s">
        <v>62</v>
      </c>
      <c r="G668" s="3" t="s">
        <v>41</v>
      </c>
      <c r="H668" s="3" t="s">
        <v>27</v>
      </c>
      <c r="I668" s="3" t="s">
        <v>94</v>
      </c>
      <c r="J668" s="3" t="n">
        <v>49</v>
      </c>
      <c r="K668" s="3" t="n">
        <v>20030.67</v>
      </c>
      <c r="L668" s="3" t="n">
        <v>981502.83</v>
      </c>
      <c r="M668" s="3" t="n">
        <v>0.1176</v>
      </c>
      <c r="N668" s="3" t="n">
        <v>115424.73</v>
      </c>
      <c r="O668" s="3" t="n">
        <v>866078.1</v>
      </c>
      <c r="P668" s="3" t="n">
        <v>608531.75</v>
      </c>
      <c r="Q668" s="3" t="n">
        <v>257546.35</v>
      </c>
      <c r="R668" s="3" t="n">
        <v>0.2974</v>
      </c>
      <c r="S668" s="3" t="n">
        <v>0.1257</v>
      </c>
      <c r="T668" s="3" t="n">
        <v>-0.0081</v>
      </c>
    </row>
    <row r="669" customFormat="false" ht="15" hidden="false" customHeight="true" outlineLevel="0" collapsed="false">
      <c r="A669" s="3" t="s">
        <v>1237</v>
      </c>
      <c r="B669" s="3" t="s">
        <v>1238</v>
      </c>
      <c r="C669" s="3" t="s">
        <v>126</v>
      </c>
      <c r="D669" s="3" t="s">
        <v>97</v>
      </c>
      <c r="E669" s="3" t="s">
        <v>48</v>
      </c>
      <c r="F669" s="3" t="s">
        <v>40</v>
      </c>
      <c r="G669" s="3" t="s">
        <v>76</v>
      </c>
      <c r="H669" s="3" t="s">
        <v>64</v>
      </c>
      <c r="I669" s="3" t="s">
        <v>145</v>
      </c>
      <c r="J669" s="3" t="n">
        <v>5</v>
      </c>
      <c r="K669" s="3" t="n">
        <v>7202.6</v>
      </c>
      <c r="L669" s="3" t="n">
        <v>36013</v>
      </c>
      <c r="M669" s="3" t="n">
        <v>0.0619</v>
      </c>
      <c r="N669" s="3" t="n">
        <v>2229.2</v>
      </c>
      <c r="O669" s="3" t="n">
        <v>33783.8</v>
      </c>
      <c r="P669" s="3" t="n">
        <v>20887.54</v>
      </c>
      <c r="Q669" s="3" t="n">
        <v>12896.26</v>
      </c>
      <c r="R669" s="3" t="n">
        <v>0.3817</v>
      </c>
      <c r="S669" s="3" t="n">
        <v>0.0638</v>
      </c>
      <c r="T669" s="3" t="n">
        <v>-0.0019</v>
      </c>
    </row>
    <row r="670" customFormat="false" ht="15" hidden="false" customHeight="true" outlineLevel="0" collapsed="false">
      <c r="A670" s="3" t="s">
        <v>1239</v>
      </c>
      <c r="B670" s="3" t="s">
        <v>1240</v>
      </c>
      <c r="C670" s="3" t="s">
        <v>37</v>
      </c>
      <c r="D670" s="3" t="s">
        <v>97</v>
      </c>
      <c r="E670" s="3" t="s">
        <v>48</v>
      </c>
      <c r="F670" s="3" t="s">
        <v>40</v>
      </c>
      <c r="G670" s="3" t="s">
        <v>41</v>
      </c>
      <c r="H670" s="3" t="s">
        <v>42</v>
      </c>
      <c r="I670" s="3" t="s">
        <v>134</v>
      </c>
      <c r="J670" s="3" t="n">
        <v>18</v>
      </c>
      <c r="K670" s="3" t="n">
        <v>3232.56</v>
      </c>
      <c r="L670" s="3" t="n">
        <v>58186.08</v>
      </c>
      <c r="M670" s="3" t="n">
        <v>0.1042</v>
      </c>
      <c r="N670" s="3" t="n">
        <v>6062.99</v>
      </c>
      <c r="O670" s="3" t="n">
        <v>52123.09</v>
      </c>
      <c r="P670" s="3" t="n">
        <v>32002.34</v>
      </c>
      <c r="Q670" s="3" t="n">
        <v>20120.75</v>
      </c>
      <c r="R670" s="3" t="n">
        <v>0.386</v>
      </c>
      <c r="S670" s="3" t="n">
        <v>0.1145</v>
      </c>
      <c r="T670" s="3" t="n">
        <v>-0.0103</v>
      </c>
    </row>
    <row r="671" customFormat="false" ht="15" hidden="false" customHeight="true" outlineLevel="0" collapsed="false">
      <c r="A671" s="3" t="s">
        <v>1241</v>
      </c>
      <c r="B671" s="3" t="s">
        <v>986</v>
      </c>
      <c r="C671" s="3" t="s">
        <v>113</v>
      </c>
      <c r="D671" s="3" t="s">
        <v>54</v>
      </c>
      <c r="E671" s="3" t="s">
        <v>24</v>
      </c>
      <c r="F671" s="3" t="s">
        <v>40</v>
      </c>
      <c r="G671" s="3" t="s">
        <v>84</v>
      </c>
      <c r="H671" s="3" t="s">
        <v>42</v>
      </c>
      <c r="I671" s="3" t="s">
        <v>43</v>
      </c>
      <c r="J671" s="3" t="n">
        <v>13</v>
      </c>
      <c r="K671" s="3" t="n">
        <v>742.89</v>
      </c>
      <c r="L671" s="3" t="n">
        <v>9657.57</v>
      </c>
      <c r="M671" s="3" t="n">
        <v>0.0605</v>
      </c>
      <c r="N671" s="3" t="n">
        <v>584.28</v>
      </c>
      <c r="O671" s="3" t="n">
        <v>9073.29</v>
      </c>
      <c r="P671" s="3" t="n">
        <v>5311.66</v>
      </c>
      <c r="Q671" s="3" t="n">
        <v>3761.63</v>
      </c>
      <c r="R671" s="3" t="n">
        <v>0.4146</v>
      </c>
      <c r="S671" s="3" t="n">
        <v>0.0601</v>
      </c>
      <c r="T671" s="3" t="n">
        <v>0.0004</v>
      </c>
    </row>
    <row r="672" customFormat="false" ht="15" hidden="false" customHeight="true" outlineLevel="0" collapsed="false">
      <c r="A672" s="3" t="s">
        <v>1242</v>
      </c>
      <c r="B672" s="3" t="s">
        <v>1243</v>
      </c>
      <c r="C672" s="3" t="s">
        <v>120</v>
      </c>
      <c r="D672" s="3" t="s">
        <v>61</v>
      </c>
      <c r="E672" s="3" t="s">
        <v>33</v>
      </c>
      <c r="F672" s="3" t="s">
        <v>62</v>
      </c>
      <c r="G672" s="3" t="s">
        <v>34</v>
      </c>
      <c r="H672" s="3" t="s">
        <v>64</v>
      </c>
      <c r="I672" s="3" t="s">
        <v>90</v>
      </c>
      <c r="J672" s="3" t="n">
        <v>7</v>
      </c>
      <c r="K672" s="3" t="n">
        <v>8525.7</v>
      </c>
      <c r="L672" s="3" t="n">
        <v>59679.9</v>
      </c>
      <c r="M672" s="3" t="n">
        <v>0.1242</v>
      </c>
      <c r="N672" s="3" t="n">
        <v>7412.24</v>
      </c>
      <c r="O672" s="3" t="n">
        <v>52267.66</v>
      </c>
      <c r="P672" s="3" t="n">
        <v>34614.34</v>
      </c>
      <c r="Q672" s="3" t="n">
        <v>17653.32</v>
      </c>
      <c r="R672" s="3" t="n">
        <v>0.3377</v>
      </c>
      <c r="S672" s="3" t="n">
        <v>0.1007</v>
      </c>
      <c r="T672" s="3" t="n">
        <v>0.0235</v>
      </c>
    </row>
    <row r="673" customFormat="false" ht="15" hidden="false" customHeight="true" outlineLevel="0" collapsed="false">
      <c r="A673" s="3" t="s">
        <v>1244</v>
      </c>
      <c r="B673" s="3" t="s">
        <v>724</v>
      </c>
      <c r="C673" s="3" t="s">
        <v>60</v>
      </c>
      <c r="D673" s="3" t="s">
        <v>61</v>
      </c>
      <c r="E673" s="3" t="s">
        <v>33</v>
      </c>
      <c r="F673" s="3" t="s">
        <v>62</v>
      </c>
      <c r="G673" s="3" t="s">
        <v>76</v>
      </c>
      <c r="H673" s="3" t="s">
        <v>56</v>
      </c>
      <c r="I673" s="3" t="s">
        <v>121</v>
      </c>
      <c r="J673" s="3" t="n">
        <v>2</v>
      </c>
      <c r="K673" s="3" t="n">
        <v>14435.79</v>
      </c>
      <c r="L673" s="3" t="n">
        <v>28871.58</v>
      </c>
      <c r="M673" s="3" t="n">
        <v>0.0748</v>
      </c>
      <c r="N673" s="3" t="n">
        <v>2159.59</v>
      </c>
      <c r="O673" s="3" t="n">
        <v>26711.99</v>
      </c>
      <c r="P673" s="3" t="n">
        <v>17322.95</v>
      </c>
      <c r="Q673" s="3" t="n">
        <v>9389.04</v>
      </c>
      <c r="R673" s="3" t="n">
        <v>0.3515</v>
      </c>
      <c r="S673" s="3" t="n">
        <v>0.0745</v>
      </c>
      <c r="T673" s="3" t="n">
        <v>0.0003</v>
      </c>
    </row>
    <row r="674" customFormat="false" ht="15" hidden="false" customHeight="true" outlineLevel="0" collapsed="false">
      <c r="A674" s="3" t="s">
        <v>1245</v>
      </c>
      <c r="B674" s="3" t="s">
        <v>413</v>
      </c>
      <c r="C674" s="3" t="s">
        <v>68</v>
      </c>
      <c r="D674" s="3" t="s">
        <v>32</v>
      </c>
      <c r="E674" s="3" t="s">
        <v>33</v>
      </c>
      <c r="F674" s="3" t="s">
        <v>25</v>
      </c>
      <c r="G674" s="3" t="s">
        <v>76</v>
      </c>
      <c r="H674" s="3" t="s">
        <v>27</v>
      </c>
      <c r="I674" s="3" t="s">
        <v>173</v>
      </c>
      <c r="J674" s="3" t="n">
        <v>22</v>
      </c>
      <c r="K674" s="3" t="n">
        <v>12851.44</v>
      </c>
      <c r="L674" s="3" t="n">
        <v>282731.68</v>
      </c>
      <c r="M674" s="3" t="n">
        <v>0.1612</v>
      </c>
      <c r="N674" s="3" t="n">
        <v>45576.35</v>
      </c>
      <c r="O674" s="3" t="n">
        <v>237155.33</v>
      </c>
      <c r="P674" s="3" t="n">
        <v>175293.64</v>
      </c>
      <c r="Q674" s="3" t="n">
        <v>61861.69</v>
      </c>
      <c r="R674" s="3" t="n">
        <v>0.2608</v>
      </c>
      <c r="S674" s="3" t="n">
        <v>0.1632</v>
      </c>
      <c r="T674" s="3" t="n">
        <v>-0.002</v>
      </c>
    </row>
    <row r="675" customFormat="false" ht="15" hidden="false" customHeight="true" outlineLevel="0" collapsed="false">
      <c r="A675" s="3" t="s">
        <v>1246</v>
      </c>
      <c r="B675" s="3" t="s">
        <v>1247</v>
      </c>
      <c r="C675" s="3" t="s">
        <v>22</v>
      </c>
      <c r="D675" s="3" t="s">
        <v>83</v>
      </c>
      <c r="E675" s="3" t="s">
        <v>48</v>
      </c>
      <c r="F675" s="3" t="s">
        <v>62</v>
      </c>
      <c r="G675" s="3" t="s">
        <v>63</v>
      </c>
      <c r="H675" s="3" t="s">
        <v>77</v>
      </c>
      <c r="I675" s="3" t="s">
        <v>78</v>
      </c>
      <c r="J675" s="3" t="n">
        <v>50</v>
      </c>
      <c r="K675" s="3" t="n">
        <v>5251.44</v>
      </c>
      <c r="L675" s="3" t="n">
        <v>262572</v>
      </c>
      <c r="M675" s="3" t="n">
        <v>0.0706</v>
      </c>
      <c r="N675" s="3" t="n">
        <v>18537.58</v>
      </c>
      <c r="O675" s="3" t="n">
        <v>244034.42</v>
      </c>
      <c r="P675" s="3" t="n">
        <v>178548.96</v>
      </c>
      <c r="Q675" s="3" t="n">
        <v>65485.46</v>
      </c>
      <c r="R675" s="3" t="n">
        <v>0.2683</v>
      </c>
      <c r="S675" s="3" t="n">
        <v>0.0679</v>
      </c>
      <c r="T675" s="3" t="n">
        <v>0.0027</v>
      </c>
    </row>
    <row r="676" customFormat="false" ht="15" hidden="false" customHeight="true" outlineLevel="0" collapsed="false">
      <c r="A676" s="3" t="s">
        <v>1248</v>
      </c>
      <c r="B676" s="3" t="s">
        <v>454</v>
      </c>
      <c r="C676" s="3" t="s">
        <v>126</v>
      </c>
      <c r="D676" s="3" t="s">
        <v>32</v>
      </c>
      <c r="E676" s="3" t="s">
        <v>33</v>
      </c>
      <c r="F676" s="3" t="s">
        <v>25</v>
      </c>
      <c r="G676" s="3" t="s">
        <v>84</v>
      </c>
      <c r="H676" s="3" t="s">
        <v>77</v>
      </c>
      <c r="I676" s="3" t="s">
        <v>85</v>
      </c>
      <c r="J676" s="3" t="n">
        <v>35</v>
      </c>
      <c r="K676" s="3" t="n">
        <v>1781.78</v>
      </c>
      <c r="L676" s="3" t="n">
        <v>62362.3</v>
      </c>
      <c r="M676" s="3" t="n">
        <v>0.1455</v>
      </c>
      <c r="N676" s="3" t="n">
        <v>9073.71</v>
      </c>
      <c r="O676" s="3" t="n">
        <v>53288.59</v>
      </c>
      <c r="P676" s="3" t="n">
        <v>42406.36</v>
      </c>
      <c r="Q676" s="3" t="n">
        <v>10882.23</v>
      </c>
      <c r="R676" s="3" t="n">
        <v>0.2042</v>
      </c>
      <c r="S676" s="3" t="n">
        <v>0.1339</v>
      </c>
      <c r="T676" s="3" t="n">
        <v>0.0116</v>
      </c>
    </row>
    <row r="677" customFormat="false" ht="15" hidden="false" customHeight="true" outlineLevel="0" collapsed="false">
      <c r="A677" s="3" t="s">
        <v>1249</v>
      </c>
      <c r="B677" s="3" t="s">
        <v>1031</v>
      </c>
      <c r="C677" s="3" t="s">
        <v>126</v>
      </c>
      <c r="D677" s="3" t="s">
        <v>23</v>
      </c>
      <c r="E677" s="3" t="s">
        <v>24</v>
      </c>
      <c r="F677" s="3" t="s">
        <v>25</v>
      </c>
      <c r="G677" s="3" t="s">
        <v>100</v>
      </c>
      <c r="H677" s="3" t="s">
        <v>27</v>
      </c>
      <c r="I677" s="3" t="s">
        <v>50</v>
      </c>
      <c r="J677" s="3" t="n">
        <v>22</v>
      </c>
      <c r="K677" s="3" t="n">
        <v>35306.95</v>
      </c>
      <c r="L677" s="3" t="n">
        <v>776752.9</v>
      </c>
      <c r="M677" s="3" t="n">
        <v>0.1108</v>
      </c>
      <c r="N677" s="3" t="n">
        <v>86064.22</v>
      </c>
      <c r="O677" s="3" t="n">
        <v>690688.68</v>
      </c>
      <c r="P677" s="3" t="n">
        <v>481586.8</v>
      </c>
      <c r="Q677" s="3" t="n">
        <v>209101.88</v>
      </c>
      <c r="R677" s="3" t="n">
        <v>0.3027</v>
      </c>
      <c r="S677" s="3" t="n">
        <v>0.1102</v>
      </c>
      <c r="T677" s="3" t="n">
        <v>0.0006</v>
      </c>
    </row>
    <row r="678" customFormat="false" ht="15" hidden="false" customHeight="true" outlineLevel="0" collapsed="false">
      <c r="A678" s="3" t="s">
        <v>1250</v>
      </c>
      <c r="B678" s="3" t="s">
        <v>1251</v>
      </c>
      <c r="C678" s="3" t="s">
        <v>46</v>
      </c>
      <c r="D678" s="3" t="s">
        <v>75</v>
      </c>
      <c r="E678" s="3" t="s">
        <v>39</v>
      </c>
      <c r="F678" s="3" t="s">
        <v>25</v>
      </c>
      <c r="G678" s="3" t="s">
        <v>63</v>
      </c>
      <c r="H678" s="3" t="s">
        <v>56</v>
      </c>
      <c r="I678" s="3" t="s">
        <v>188</v>
      </c>
      <c r="J678" s="3" t="n">
        <v>20</v>
      </c>
      <c r="K678" s="3" t="n">
        <v>12571.75</v>
      </c>
      <c r="L678" s="3" t="n">
        <v>251435</v>
      </c>
      <c r="M678" s="3" t="n">
        <v>0.1765</v>
      </c>
      <c r="N678" s="3" t="n">
        <v>44378.28</v>
      </c>
      <c r="O678" s="3" t="n">
        <v>207056.72</v>
      </c>
      <c r="P678" s="3" t="n">
        <v>150861</v>
      </c>
      <c r="Q678" s="3" t="n">
        <v>56195.72</v>
      </c>
      <c r="R678" s="3" t="n">
        <v>0.2714</v>
      </c>
      <c r="S678" s="3" t="n">
        <v>0.167</v>
      </c>
      <c r="T678" s="3" t="n">
        <v>0.0095</v>
      </c>
    </row>
    <row r="679" customFormat="false" ht="15" hidden="false" customHeight="true" outlineLevel="0" collapsed="false">
      <c r="A679" s="3" t="s">
        <v>1252</v>
      </c>
      <c r="B679" s="3" t="s">
        <v>1253</v>
      </c>
      <c r="C679" s="3" t="s">
        <v>46</v>
      </c>
      <c r="D679" s="3" t="s">
        <v>23</v>
      </c>
      <c r="E679" s="3" t="s">
        <v>24</v>
      </c>
      <c r="F679" s="3" t="s">
        <v>25</v>
      </c>
      <c r="G679" s="3" t="s">
        <v>34</v>
      </c>
      <c r="H679" s="3" t="s">
        <v>77</v>
      </c>
      <c r="I679" s="3" t="s">
        <v>85</v>
      </c>
      <c r="J679" s="3" t="n">
        <v>13</v>
      </c>
      <c r="K679" s="3" t="n">
        <v>1871.73</v>
      </c>
      <c r="L679" s="3" t="n">
        <v>24332.49</v>
      </c>
      <c r="M679" s="3" t="n">
        <v>0.1805</v>
      </c>
      <c r="N679" s="3" t="n">
        <v>4392.01</v>
      </c>
      <c r="O679" s="3" t="n">
        <v>19940.48</v>
      </c>
      <c r="P679" s="3" t="n">
        <v>16546.09</v>
      </c>
      <c r="Q679" s="3" t="n">
        <v>3394.39</v>
      </c>
      <c r="R679" s="3" t="n">
        <v>0.1702</v>
      </c>
      <c r="S679" s="3" t="n">
        <v>0.1478</v>
      </c>
      <c r="T679" s="3" t="n">
        <v>0.0327</v>
      </c>
    </row>
    <row r="680" customFormat="false" ht="15" hidden="false" customHeight="true" outlineLevel="0" collapsed="false">
      <c r="A680" s="3" t="s">
        <v>1254</v>
      </c>
      <c r="B680" s="3" t="s">
        <v>1255</v>
      </c>
      <c r="C680" s="3" t="s">
        <v>156</v>
      </c>
      <c r="D680" s="3" t="s">
        <v>107</v>
      </c>
      <c r="E680" s="3" t="s">
        <v>33</v>
      </c>
      <c r="F680" s="3" t="s">
        <v>70</v>
      </c>
      <c r="G680" s="3" t="s">
        <v>100</v>
      </c>
      <c r="H680" s="3" t="s">
        <v>42</v>
      </c>
      <c r="I680" s="3" t="s">
        <v>134</v>
      </c>
      <c r="J680" s="3" t="n">
        <v>29</v>
      </c>
      <c r="K680" s="3" t="n">
        <v>3877.34</v>
      </c>
      <c r="L680" s="3" t="n">
        <v>112442.86</v>
      </c>
      <c r="M680" s="3" t="n">
        <v>0.0783</v>
      </c>
      <c r="N680" s="3" t="n">
        <v>8804.28</v>
      </c>
      <c r="O680" s="3" t="n">
        <v>103638.58</v>
      </c>
      <c r="P680" s="3" t="n">
        <v>61843.57</v>
      </c>
      <c r="Q680" s="3" t="n">
        <v>41795.01</v>
      </c>
      <c r="R680" s="3" t="n">
        <v>0.4033</v>
      </c>
      <c r="S680" s="3" t="n">
        <v>0.0635</v>
      </c>
      <c r="T680" s="3" t="n">
        <v>0.0148</v>
      </c>
    </row>
    <row r="681" customFormat="false" ht="15" hidden="false" customHeight="true" outlineLevel="0" collapsed="false">
      <c r="A681" s="3" t="s">
        <v>1256</v>
      </c>
      <c r="B681" s="3" t="s">
        <v>1257</v>
      </c>
      <c r="C681" s="3" t="s">
        <v>60</v>
      </c>
      <c r="D681" s="3" t="s">
        <v>32</v>
      </c>
      <c r="E681" s="3" t="s">
        <v>33</v>
      </c>
      <c r="F681" s="3" t="s">
        <v>25</v>
      </c>
      <c r="G681" s="3" t="s">
        <v>104</v>
      </c>
      <c r="H681" s="3" t="s">
        <v>42</v>
      </c>
      <c r="I681" s="3" t="s">
        <v>72</v>
      </c>
      <c r="J681" s="3" t="n">
        <v>14</v>
      </c>
      <c r="K681" s="3" t="n">
        <v>1919.28</v>
      </c>
      <c r="L681" s="3" t="n">
        <v>26869.92</v>
      </c>
      <c r="M681" s="3" t="n">
        <v>0.2021</v>
      </c>
      <c r="N681" s="3" t="n">
        <v>5430.41</v>
      </c>
      <c r="O681" s="3" t="n">
        <v>21439.51</v>
      </c>
      <c r="P681" s="3" t="n">
        <v>14778.46</v>
      </c>
      <c r="Q681" s="3" t="n">
        <v>6661.05</v>
      </c>
      <c r="R681" s="3" t="n">
        <v>0.3107</v>
      </c>
      <c r="S681" s="3" t="n">
        <v>0.2066</v>
      </c>
      <c r="T681" s="3" t="n">
        <v>-0.0045</v>
      </c>
    </row>
    <row r="682" customFormat="false" ht="15" hidden="false" customHeight="true" outlineLevel="0" collapsed="false">
      <c r="A682" s="3" t="s">
        <v>1258</v>
      </c>
      <c r="B682" s="3" t="s">
        <v>1259</v>
      </c>
      <c r="C682" s="3" t="s">
        <v>22</v>
      </c>
      <c r="D682" s="3" t="s">
        <v>69</v>
      </c>
      <c r="E682" s="3" t="s">
        <v>39</v>
      </c>
      <c r="F682" s="3" t="s">
        <v>70</v>
      </c>
      <c r="G682" s="3" t="s">
        <v>26</v>
      </c>
      <c r="H682" s="3" t="s">
        <v>27</v>
      </c>
      <c r="I682" s="3" t="s">
        <v>28</v>
      </c>
      <c r="J682" s="3" t="n">
        <v>42</v>
      </c>
      <c r="K682" s="3" t="n">
        <v>12530.9</v>
      </c>
      <c r="L682" s="3" t="n">
        <v>526297.8</v>
      </c>
      <c r="M682" s="3" t="n">
        <v>0.031</v>
      </c>
      <c r="N682" s="3" t="n">
        <v>16315.23</v>
      </c>
      <c r="O682" s="3" t="n">
        <v>509982.57</v>
      </c>
      <c r="P682" s="3" t="n">
        <v>326304.64</v>
      </c>
      <c r="Q682" s="3" t="n">
        <v>183677.93</v>
      </c>
      <c r="R682" s="3" t="n">
        <v>0.3602</v>
      </c>
      <c r="S682" s="3" t="n">
        <v>0.027</v>
      </c>
      <c r="T682" s="3" t="n">
        <v>0.004</v>
      </c>
    </row>
    <row r="683" customFormat="false" ht="15" hidden="false" customHeight="true" outlineLevel="0" collapsed="false">
      <c r="A683" s="3" t="s">
        <v>1260</v>
      </c>
      <c r="B683" s="3" t="s">
        <v>535</v>
      </c>
      <c r="C683" s="3" t="s">
        <v>22</v>
      </c>
      <c r="D683" s="3" t="s">
        <v>23</v>
      </c>
      <c r="E683" s="3" t="s">
        <v>24</v>
      </c>
      <c r="F683" s="3" t="s">
        <v>25</v>
      </c>
      <c r="G683" s="3" t="s">
        <v>41</v>
      </c>
      <c r="H683" s="3" t="s">
        <v>64</v>
      </c>
      <c r="I683" s="3" t="s">
        <v>65</v>
      </c>
      <c r="J683" s="3" t="n">
        <v>20</v>
      </c>
      <c r="K683" s="3" t="n">
        <v>8693.95</v>
      </c>
      <c r="L683" s="3" t="n">
        <v>173879</v>
      </c>
      <c r="M683" s="3" t="n">
        <v>0.1633</v>
      </c>
      <c r="N683" s="3" t="n">
        <v>28394.44</v>
      </c>
      <c r="O683" s="3" t="n">
        <v>145484.56</v>
      </c>
      <c r="P683" s="3" t="n">
        <v>100849.82</v>
      </c>
      <c r="Q683" s="3" t="n">
        <v>44634.74</v>
      </c>
      <c r="R683" s="3" t="n">
        <v>0.3068</v>
      </c>
      <c r="S683" s="3" t="n">
        <v>0.1707</v>
      </c>
      <c r="T683" s="3" t="n">
        <v>-0.0074</v>
      </c>
    </row>
    <row r="684" customFormat="false" ht="15" hidden="false" customHeight="true" outlineLevel="0" collapsed="false">
      <c r="A684" s="3" t="s">
        <v>1261</v>
      </c>
      <c r="B684" s="3" t="s">
        <v>1262</v>
      </c>
      <c r="C684" s="3" t="s">
        <v>113</v>
      </c>
      <c r="D684" s="3" t="s">
        <v>61</v>
      </c>
      <c r="E684" s="3" t="s">
        <v>33</v>
      </c>
      <c r="F684" s="3" t="s">
        <v>62</v>
      </c>
      <c r="G684" s="3" t="s">
        <v>55</v>
      </c>
      <c r="H684" s="3" t="s">
        <v>27</v>
      </c>
      <c r="I684" s="3" t="s">
        <v>173</v>
      </c>
      <c r="J684" s="3" t="n">
        <v>15</v>
      </c>
      <c r="K684" s="3" t="n">
        <v>33573.61</v>
      </c>
      <c r="L684" s="3" t="n">
        <v>503604.15</v>
      </c>
      <c r="M684" s="3" t="n">
        <v>0.0332</v>
      </c>
      <c r="N684" s="3" t="n">
        <v>16719.66</v>
      </c>
      <c r="O684" s="3" t="n">
        <v>486884.49</v>
      </c>
      <c r="P684" s="3" t="n">
        <v>312234.57</v>
      </c>
      <c r="Q684" s="3" t="n">
        <v>174649.92</v>
      </c>
      <c r="R684" s="3" t="n">
        <v>0.3587</v>
      </c>
      <c r="S684" s="3" t="n">
        <v>0.0308</v>
      </c>
      <c r="T684" s="3" t="n">
        <v>0.0024</v>
      </c>
    </row>
    <row r="685" customFormat="false" ht="15" hidden="false" customHeight="true" outlineLevel="0" collapsed="false">
      <c r="A685" s="3" t="s">
        <v>1263</v>
      </c>
      <c r="B685" s="3" t="s">
        <v>670</v>
      </c>
      <c r="C685" s="3" t="s">
        <v>113</v>
      </c>
      <c r="D685" s="3" t="s">
        <v>97</v>
      </c>
      <c r="E685" s="3" t="s">
        <v>48</v>
      </c>
      <c r="F685" s="3" t="s">
        <v>40</v>
      </c>
      <c r="G685" s="3" t="s">
        <v>116</v>
      </c>
      <c r="H685" s="3" t="s">
        <v>77</v>
      </c>
      <c r="I685" s="3" t="s">
        <v>78</v>
      </c>
      <c r="J685" s="3" t="n">
        <v>37</v>
      </c>
      <c r="K685" s="3" t="n">
        <v>5884.1</v>
      </c>
      <c r="L685" s="3" t="n">
        <v>217711.7</v>
      </c>
      <c r="M685" s="3" t="n">
        <v>0.0902</v>
      </c>
      <c r="N685" s="3" t="n">
        <v>19637.6</v>
      </c>
      <c r="O685" s="3" t="n">
        <v>198074.1</v>
      </c>
      <c r="P685" s="3" t="n">
        <v>148043.96</v>
      </c>
      <c r="Q685" s="3" t="n">
        <v>50030.14</v>
      </c>
      <c r="R685" s="3" t="n">
        <v>0.2526</v>
      </c>
      <c r="S685" s="3" t="n">
        <v>0.0928</v>
      </c>
      <c r="T685" s="3" t="n">
        <v>-0.0026</v>
      </c>
    </row>
    <row r="686" customFormat="false" ht="15" hidden="false" customHeight="true" outlineLevel="0" collapsed="false">
      <c r="A686" s="3" t="s">
        <v>1264</v>
      </c>
      <c r="B686" s="3" t="s">
        <v>1265</v>
      </c>
      <c r="C686" s="3" t="s">
        <v>46</v>
      </c>
      <c r="D686" s="3" t="s">
        <v>38</v>
      </c>
      <c r="E686" s="3" t="s">
        <v>39</v>
      </c>
      <c r="F686" s="3" t="s">
        <v>40</v>
      </c>
      <c r="G686" s="3" t="s">
        <v>116</v>
      </c>
      <c r="H686" s="3" t="s">
        <v>64</v>
      </c>
      <c r="I686" s="3" t="s">
        <v>145</v>
      </c>
      <c r="J686" s="3" t="n">
        <v>10</v>
      </c>
      <c r="K686" s="3" t="n">
        <v>4086.71</v>
      </c>
      <c r="L686" s="3" t="n">
        <v>40867.1</v>
      </c>
      <c r="M686" s="3" t="n">
        <v>0.0946</v>
      </c>
      <c r="N686" s="3" t="n">
        <v>3866.03</v>
      </c>
      <c r="O686" s="3" t="n">
        <v>37001.07</v>
      </c>
      <c r="P686" s="3" t="n">
        <v>23702.92</v>
      </c>
      <c r="Q686" s="3" t="n">
        <v>13298.15</v>
      </c>
      <c r="R686" s="3" t="n">
        <v>0.3594</v>
      </c>
      <c r="S686" s="3" t="n">
        <v>0.0914</v>
      </c>
      <c r="T686" s="3" t="n">
        <v>0.0032</v>
      </c>
    </row>
    <row r="687" customFormat="false" ht="15" hidden="false" customHeight="true" outlineLevel="0" collapsed="false">
      <c r="A687" s="3" t="s">
        <v>1266</v>
      </c>
      <c r="B687" s="3" t="s">
        <v>545</v>
      </c>
      <c r="C687" s="3" t="s">
        <v>156</v>
      </c>
      <c r="D687" s="3" t="s">
        <v>83</v>
      </c>
      <c r="E687" s="3" t="s">
        <v>48</v>
      </c>
      <c r="F687" s="3" t="s">
        <v>62</v>
      </c>
      <c r="G687" s="3" t="s">
        <v>41</v>
      </c>
      <c r="H687" s="3" t="s">
        <v>64</v>
      </c>
      <c r="I687" s="3" t="s">
        <v>65</v>
      </c>
      <c r="J687" s="3" t="n">
        <v>41</v>
      </c>
      <c r="K687" s="3" t="n">
        <v>3899.71</v>
      </c>
      <c r="L687" s="3" t="n">
        <v>159888.11</v>
      </c>
      <c r="M687" s="3" t="n">
        <v>0.1117</v>
      </c>
      <c r="N687" s="3" t="n">
        <v>17859.5</v>
      </c>
      <c r="O687" s="3" t="n">
        <v>142028.61</v>
      </c>
      <c r="P687" s="3" t="n">
        <v>92735.1</v>
      </c>
      <c r="Q687" s="3" t="n">
        <v>49293.51</v>
      </c>
      <c r="R687" s="3" t="n">
        <v>0.3471</v>
      </c>
      <c r="S687" s="3" t="n">
        <v>0.1189</v>
      </c>
      <c r="T687" s="3" t="n">
        <v>-0.0072</v>
      </c>
    </row>
    <row r="688" customFormat="false" ht="15" hidden="false" customHeight="true" outlineLevel="0" collapsed="false">
      <c r="A688" s="3" t="s">
        <v>1267</v>
      </c>
      <c r="B688" s="3" t="s">
        <v>1268</v>
      </c>
      <c r="C688" s="3" t="s">
        <v>31</v>
      </c>
      <c r="D688" s="3" t="s">
        <v>61</v>
      </c>
      <c r="E688" s="3" t="s">
        <v>33</v>
      </c>
      <c r="F688" s="3" t="s">
        <v>62</v>
      </c>
      <c r="G688" s="3" t="s">
        <v>41</v>
      </c>
      <c r="H688" s="3" t="s">
        <v>27</v>
      </c>
      <c r="I688" s="3" t="s">
        <v>28</v>
      </c>
      <c r="J688" s="3" t="n">
        <v>46</v>
      </c>
      <c r="K688" s="3" t="n">
        <v>37636.38</v>
      </c>
      <c r="L688" s="3" t="n">
        <v>1731273.48</v>
      </c>
      <c r="M688" s="3" t="n">
        <v>0.1181</v>
      </c>
      <c r="N688" s="3" t="n">
        <v>204463.4</v>
      </c>
      <c r="O688" s="3" t="n">
        <v>1526810.08</v>
      </c>
      <c r="P688" s="3" t="n">
        <v>1073389.56</v>
      </c>
      <c r="Q688" s="3" t="n">
        <v>453420.52</v>
      </c>
      <c r="R688" s="3" t="n">
        <v>0.297</v>
      </c>
      <c r="S688" s="3" t="n">
        <v>0.119</v>
      </c>
      <c r="T688" s="3" t="n">
        <v>-0.0009</v>
      </c>
    </row>
    <row r="689" customFormat="false" ht="15" hidden="false" customHeight="true" outlineLevel="0" collapsed="false">
      <c r="A689" s="3" t="s">
        <v>1269</v>
      </c>
      <c r="B689" s="3" t="s">
        <v>1270</v>
      </c>
      <c r="C689" s="3" t="s">
        <v>60</v>
      </c>
      <c r="D689" s="3" t="s">
        <v>83</v>
      </c>
      <c r="E689" s="3" t="s">
        <v>48</v>
      </c>
      <c r="F689" s="3" t="s">
        <v>62</v>
      </c>
      <c r="G689" s="3" t="s">
        <v>41</v>
      </c>
      <c r="H689" s="3" t="s">
        <v>64</v>
      </c>
      <c r="I689" s="3" t="s">
        <v>108</v>
      </c>
      <c r="J689" s="3" t="n">
        <v>34</v>
      </c>
      <c r="K689" s="3" t="n">
        <v>8758.43</v>
      </c>
      <c r="L689" s="3" t="n">
        <v>297786.62</v>
      </c>
      <c r="M689" s="3" t="n">
        <v>0.0821</v>
      </c>
      <c r="N689" s="3" t="n">
        <v>24448.28</v>
      </c>
      <c r="O689" s="3" t="n">
        <v>273338.34</v>
      </c>
      <c r="P689" s="3" t="n">
        <v>172716.24</v>
      </c>
      <c r="Q689" s="3" t="n">
        <v>100622.1</v>
      </c>
      <c r="R689" s="3" t="n">
        <v>0.3681</v>
      </c>
      <c r="S689" s="3" t="n">
        <v>0.0807</v>
      </c>
      <c r="T689" s="3" t="n">
        <v>0.0014</v>
      </c>
    </row>
    <row r="690" customFormat="false" ht="15" hidden="false" customHeight="true" outlineLevel="0" collapsed="false">
      <c r="A690" s="3" t="s">
        <v>1271</v>
      </c>
      <c r="B690" s="3" t="s">
        <v>539</v>
      </c>
      <c r="C690" s="3" t="s">
        <v>37</v>
      </c>
      <c r="D690" s="3" t="s">
        <v>32</v>
      </c>
      <c r="E690" s="3" t="s">
        <v>33</v>
      </c>
      <c r="F690" s="3" t="s">
        <v>25</v>
      </c>
      <c r="G690" s="3" t="s">
        <v>26</v>
      </c>
      <c r="H690" s="3" t="s">
        <v>56</v>
      </c>
      <c r="I690" s="3" t="s">
        <v>188</v>
      </c>
      <c r="J690" s="3" t="n">
        <v>6</v>
      </c>
      <c r="K690" s="3" t="n">
        <v>9998.2</v>
      </c>
      <c r="L690" s="3" t="n">
        <v>59989.2</v>
      </c>
      <c r="M690" s="3" t="n">
        <v>0.164</v>
      </c>
      <c r="N690" s="3" t="n">
        <v>9838.23</v>
      </c>
      <c r="O690" s="3" t="n">
        <v>50150.97</v>
      </c>
      <c r="P690" s="3" t="n">
        <v>35993.52</v>
      </c>
      <c r="Q690" s="3" t="n">
        <v>14157.45</v>
      </c>
      <c r="R690" s="3" t="n">
        <v>0.2823</v>
      </c>
      <c r="S690" s="3" t="n">
        <v>0.1518</v>
      </c>
      <c r="T690" s="3" t="n">
        <v>0.0122</v>
      </c>
    </row>
    <row r="691" customFormat="false" ht="15" hidden="false" customHeight="true" outlineLevel="0" collapsed="false">
      <c r="A691" s="3" t="s">
        <v>1272</v>
      </c>
      <c r="B691" s="3" t="s">
        <v>96</v>
      </c>
      <c r="C691" s="3" t="s">
        <v>68</v>
      </c>
      <c r="D691" s="3" t="s">
        <v>107</v>
      </c>
      <c r="E691" s="3" t="s">
        <v>33</v>
      </c>
      <c r="F691" s="3" t="s">
        <v>70</v>
      </c>
      <c r="G691" s="3" t="s">
        <v>116</v>
      </c>
      <c r="H691" s="3" t="s">
        <v>64</v>
      </c>
      <c r="I691" s="3" t="s">
        <v>108</v>
      </c>
      <c r="J691" s="3" t="n">
        <v>7</v>
      </c>
      <c r="K691" s="3" t="n">
        <v>11879.43</v>
      </c>
      <c r="L691" s="3" t="n">
        <v>83156.01</v>
      </c>
      <c r="M691" s="3" t="n">
        <v>0.1155</v>
      </c>
      <c r="N691" s="3" t="n">
        <v>9604.52</v>
      </c>
      <c r="O691" s="3" t="n">
        <v>73551.49</v>
      </c>
      <c r="P691" s="3" t="n">
        <v>48230.49</v>
      </c>
      <c r="Q691" s="3" t="n">
        <v>25321</v>
      </c>
      <c r="R691" s="3" t="n">
        <v>0.3443</v>
      </c>
      <c r="S691" s="3" t="n">
        <v>0.1</v>
      </c>
      <c r="T691" s="3" t="n">
        <v>0.0155</v>
      </c>
    </row>
    <row r="692" customFormat="false" ht="15" hidden="false" customHeight="true" outlineLevel="0" collapsed="false">
      <c r="A692" s="3" t="s">
        <v>1273</v>
      </c>
      <c r="B692" s="3" t="s">
        <v>1274</v>
      </c>
      <c r="C692" s="3" t="s">
        <v>60</v>
      </c>
      <c r="D692" s="3" t="s">
        <v>23</v>
      </c>
      <c r="E692" s="3" t="s">
        <v>24</v>
      </c>
      <c r="F692" s="3" t="s">
        <v>25</v>
      </c>
      <c r="G692" s="3" t="s">
        <v>104</v>
      </c>
      <c r="H692" s="3" t="s">
        <v>64</v>
      </c>
      <c r="I692" s="3" t="s">
        <v>145</v>
      </c>
      <c r="J692" s="3" t="n">
        <v>10</v>
      </c>
      <c r="K692" s="3" t="n">
        <v>4743.47</v>
      </c>
      <c r="L692" s="3" t="n">
        <v>47434.7</v>
      </c>
      <c r="M692" s="3" t="n">
        <v>0.2207</v>
      </c>
      <c r="N692" s="3" t="n">
        <v>10468.84</v>
      </c>
      <c r="O692" s="3" t="n">
        <v>36965.86</v>
      </c>
      <c r="P692" s="3" t="n">
        <v>27512.13</v>
      </c>
      <c r="Q692" s="3" t="n">
        <v>9453.73</v>
      </c>
      <c r="R692" s="3" t="n">
        <v>0.2557</v>
      </c>
      <c r="S692" s="3" t="n">
        <v>0.1872</v>
      </c>
      <c r="T692" s="3" t="n">
        <v>0.0335</v>
      </c>
    </row>
    <row r="693" customFormat="false" ht="15" hidden="false" customHeight="true" outlineLevel="0" collapsed="false">
      <c r="A693" s="3" t="s">
        <v>1275</v>
      </c>
      <c r="B693" s="3" t="s">
        <v>1276</v>
      </c>
      <c r="C693" s="3" t="s">
        <v>93</v>
      </c>
      <c r="D693" s="3" t="s">
        <v>32</v>
      </c>
      <c r="E693" s="3" t="s">
        <v>33</v>
      </c>
      <c r="F693" s="3" t="s">
        <v>25</v>
      </c>
      <c r="G693" s="3" t="s">
        <v>76</v>
      </c>
      <c r="H693" s="3" t="s">
        <v>27</v>
      </c>
      <c r="I693" s="3" t="s">
        <v>50</v>
      </c>
      <c r="J693" s="3" t="n">
        <v>17</v>
      </c>
      <c r="K693" s="3" t="n">
        <v>14706.87</v>
      </c>
      <c r="L693" s="3" t="n">
        <v>250016.79</v>
      </c>
      <c r="M693" s="3" t="n">
        <v>0.1511</v>
      </c>
      <c r="N693" s="3" t="n">
        <v>37777.54</v>
      </c>
      <c r="O693" s="3" t="n">
        <v>212239.25</v>
      </c>
      <c r="P693" s="3" t="n">
        <v>155010.41</v>
      </c>
      <c r="Q693" s="3" t="n">
        <v>57228.84</v>
      </c>
      <c r="R693" s="3" t="n">
        <v>0.2696</v>
      </c>
      <c r="S693" s="3" t="n">
        <v>0.1229</v>
      </c>
      <c r="T693" s="3" t="n">
        <v>0.0282</v>
      </c>
    </row>
    <row r="694" customFormat="false" ht="15" hidden="false" customHeight="true" outlineLevel="0" collapsed="false">
      <c r="A694" s="3" t="s">
        <v>1277</v>
      </c>
      <c r="B694" s="3" t="s">
        <v>1278</v>
      </c>
      <c r="C694" s="3" t="s">
        <v>53</v>
      </c>
      <c r="D694" s="3" t="s">
        <v>97</v>
      </c>
      <c r="E694" s="3" t="s">
        <v>48</v>
      </c>
      <c r="F694" s="3" t="s">
        <v>40</v>
      </c>
      <c r="G694" s="3" t="s">
        <v>41</v>
      </c>
      <c r="H694" s="3" t="s">
        <v>27</v>
      </c>
      <c r="I694" s="3" t="s">
        <v>94</v>
      </c>
      <c r="J694" s="3" t="n">
        <v>2</v>
      </c>
      <c r="K694" s="3" t="n">
        <v>13057.46</v>
      </c>
      <c r="L694" s="3" t="n">
        <v>26114.92</v>
      </c>
      <c r="M694" s="3" t="n">
        <v>0.0789</v>
      </c>
      <c r="N694" s="3" t="n">
        <v>2060.47</v>
      </c>
      <c r="O694" s="3" t="n">
        <v>24054.45</v>
      </c>
      <c r="P694" s="3" t="n">
        <v>16191.25</v>
      </c>
      <c r="Q694" s="3" t="n">
        <v>7863.2</v>
      </c>
      <c r="R694" s="3" t="n">
        <v>0.3269</v>
      </c>
      <c r="S694" s="3" t="n">
        <v>0.0802</v>
      </c>
      <c r="T694" s="3" t="n">
        <v>-0.0013</v>
      </c>
    </row>
    <row r="695" customFormat="false" ht="15" hidden="false" customHeight="true" outlineLevel="0" collapsed="false">
      <c r="A695" s="3" t="s">
        <v>1279</v>
      </c>
      <c r="B695" s="3" t="s">
        <v>304</v>
      </c>
      <c r="C695" s="3" t="s">
        <v>53</v>
      </c>
      <c r="D695" s="3" t="s">
        <v>38</v>
      </c>
      <c r="E695" s="3" t="s">
        <v>39</v>
      </c>
      <c r="F695" s="3" t="s">
        <v>40</v>
      </c>
      <c r="G695" s="3" t="s">
        <v>63</v>
      </c>
      <c r="H695" s="3" t="s">
        <v>56</v>
      </c>
      <c r="I695" s="3" t="s">
        <v>57</v>
      </c>
      <c r="J695" s="3" t="n">
        <v>44</v>
      </c>
      <c r="K695" s="3" t="n">
        <v>5180.02</v>
      </c>
      <c r="L695" s="3" t="n">
        <v>227920.88</v>
      </c>
      <c r="M695" s="3" t="n">
        <v>0.0749</v>
      </c>
      <c r="N695" s="3" t="n">
        <v>17071.27</v>
      </c>
      <c r="O695" s="3" t="n">
        <v>210849.61</v>
      </c>
      <c r="P695" s="3" t="n">
        <v>136752.53</v>
      </c>
      <c r="Q695" s="3" t="n">
        <v>74097.08</v>
      </c>
      <c r="R695" s="3" t="n">
        <v>0.3514</v>
      </c>
      <c r="S695" s="3" t="n">
        <v>0.0774</v>
      </c>
      <c r="T695" s="3" t="n">
        <v>-0.0025</v>
      </c>
    </row>
    <row r="696" customFormat="false" ht="15" hidden="false" customHeight="true" outlineLevel="0" collapsed="false">
      <c r="A696" s="3" t="s">
        <v>1280</v>
      </c>
      <c r="B696" s="3" t="s">
        <v>680</v>
      </c>
      <c r="C696" s="3" t="s">
        <v>93</v>
      </c>
      <c r="D696" s="3" t="s">
        <v>103</v>
      </c>
      <c r="E696" s="3" t="s">
        <v>24</v>
      </c>
      <c r="F696" s="3" t="s">
        <v>62</v>
      </c>
      <c r="G696" s="3" t="s">
        <v>34</v>
      </c>
      <c r="H696" s="3" t="s">
        <v>64</v>
      </c>
      <c r="I696" s="3" t="s">
        <v>65</v>
      </c>
      <c r="J696" s="3" t="n">
        <v>13</v>
      </c>
      <c r="K696" s="3" t="n">
        <v>9639.73</v>
      </c>
      <c r="L696" s="3" t="n">
        <v>125316.49</v>
      </c>
      <c r="M696" s="3" t="n">
        <v>0.0776</v>
      </c>
      <c r="N696" s="3" t="n">
        <v>9724.56</v>
      </c>
      <c r="O696" s="3" t="n">
        <v>115591.93</v>
      </c>
      <c r="P696" s="3" t="n">
        <v>72683.56</v>
      </c>
      <c r="Q696" s="3" t="n">
        <v>42908.37</v>
      </c>
      <c r="R696" s="3" t="n">
        <v>0.3712</v>
      </c>
      <c r="S696" s="3" t="n">
        <v>0.0757</v>
      </c>
      <c r="T696" s="3" t="n">
        <v>0.0019</v>
      </c>
    </row>
    <row r="697" customFormat="false" ht="15" hidden="false" customHeight="true" outlineLevel="0" collapsed="false">
      <c r="A697" s="3" t="s">
        <v>1281</v>
      </c>
      <c r="B697" s="3" t="s">
        <v>1282</v>
      </c>
      <c r="C697" s="3" t="s">
        <v>113</v>
      </c>
      <c r="D697" s="3" t="s">
        <v>32</v>
      </c>
      <c r="E697" s="3" t="s">
        <v>33</v>
      </c>
      <c r="F697" s="3" t="s">
        <v>25</v>
      </c>
      <c r="G697" s="3" t="s">
        <v>34</v>
      </c>
      <c r="H697" s="3" t="s">
        <v>77</v>
      </c>
      <c r="I697" s="3" t="s">
        <v>131</v>
      </c>
      <c r="J697" s="3" t="n">
        <v>30</v>
      </c>
      <c r="K697" s="3" t="n">
        <v>5653.86</v>
      </c>
      <c r="L697" s="3" t="n">
        <v>169615.8</v>
      </c>
      <c r="M697" s="3" t="n">
        <v>0.1471</v>
      </c>
      <c r="N697" s="3" t="n">
        <v>24950.48</v>
      </c>
      <c r="O697" s="3" t="n">
        <v>144665.32</v>
      </c>
      <c r="P697" s="3" t="n">
        <v>115338.74</v>
      </c>
      <c r="Q697" s="3" t="n">
        <v>29326.58</v>
      </c>
      <c r="R697" s="3" t="n">
        <v>0.2027</v>
      </c>
      <c r="S697" s="3" t="n">
        <v>0.1456</v>
      </c>
      <c r="T697" s="3" t="n">
        <v>0.0015</v>
      </c>
    </row>
    <row r="698" customFormat="false" ht="15" hidden="false" customHeight="true" outlineLevel="0" collapsed="false">
      <c r="A698" s="3" t="s">
        <v>1283</v>
      </c>
      <c r="B698" s="3" t="s">
        <v>1174</v>
      </c>
      <c r="C698" s="3" t="s">
        <v>93</v>
      </c>
      <c r="D698" s="3" t="s">
        <v>54</v>
      </c>
      <c r="E698" s="3" t="s">
        <v>24</v>
      </c>
      <c r="F698" s="3" t="s">
        <v>40</v>
      </c>
      <c r="G698" s="3" t="s">
        <v>41</v>
      </c>
      <c r="H698" s="3" t="s">
        <v>64</v>
      </c>
      <c r="I698" s="3" t="s">
        <v>145</v>
      </c>
      <c r="J698" s="3" t="n">
        <v>37</v>
      </c>
      <c r="K698" s="3" t="n">
        <v>3288.85</v>
      </c>
      <c r="L698" s="3" t="n">
        <v>121687.45</v>
      </c>
      <c r="M698" s="3" t="n">
        <v>0.0584</v>
      </c>
      <c r="N698" s="3" t="n">
        <v>7106.55</v>
      </c>
      <c r="O698" s="3" t="n">
        <v>114580.9</v>
      </c>
      <c r="P698" s="3" t="n">
        <v>70578.72</v>
      </c>
      <c r="Q698" s="3" t="n">
        <v>44002.18</v>
      </c>
      <c r="R698" s="3" t="n">
        <v>0.384</v>
      </c>
      <c r="S698" s="3" t="n">
        <v>0.0548</v>
      </c>
      <c r="T698" s="3" t="n">
        <v>0.0036</v>
      </c>
    </row>
    <row r="699" customFormat="false" ht="15" hidden="false" customHeight="true" outlineLevel="0" collapsed="false">
      <c r="A699" s="3" t="s">
        <v>1284</v>
      </c>
      <c r="B699" s="3" t="s">
        <v>1285</v>
      </c>
      <c r="C699" s="3" t="s">
        <v>53</v>
      </c>
      <c r="D699" s="3" t="s">
        <v>75</v>
      </c>
      <c r="E699" s="3" t="s">
        <v>39</v>
      </c>
      <c r="F699" s="3" t="s">
        <v>25</v>
      </c>
      <c r="G699" s="3" t="s">
        <v>76</v>
      </c>
      <c r="H699" s="3" t="s">
        <v>42</v>
      </c>
      <c r="I699" s="3" t="s">
        <v>43</v>
      </c>
      <c r="J699" s="3" t="n">
        <v>41</v>
      </c>
      <c r="K699" s="3" t="n">
        <v>2612.73</v>
      </c>
      <c r="L699" s="3" t="n">
        <v>107121.93</v>
      </c>
      <c r="M699" s="3" t="n">
        <v>0.1901</v>
      </c>
      <c r="N699" s="3" t="n">
        <v>20363.88</v>
      </c>
      <c r="O699" s="3" t="n">
        <v>86758.05</v>
      </c>
      <c r="P699" s="3" t="n">
        <v>58917.06</v>
      </c>
      <c r="Q699" s="3" t="n">
        <v>27840.99</v>
      </c>
      <c r="R699" s="3" t="n">
        <v>0.3209</v>
      </c>
      <c r="S699" s="3" t="n">
        <v>0.157</v>
      </c>
      <c r="T699" s="3" t="n">
        <v>0.0331</v>
      </c>
    </row>
    <row r="700" customFormat="false" ht="15" hidden="false" customHeight="true" outlineLevel="0" collapsed="false">
      <c r="A700" s="3" t="s">
        <v>1286</v>
      </c>
      <c r="B700" s="3" t="s">
        <v>1287</v>
      </c>
      <c r="C700" s="3" t="s">
        <v>31</v>
      </c>
      <c r="D700" s="3" t="s">
        <v>107</v>
      </c>
      <c r="E700" s="3" t="s">
        <v>33</v>
      </c>
      <c r="F700" s="3" t="s">
        <v>70</v>
      </c>
      <c r="G700" s="3" t="s">
        <v>55</v>
      </c>
      <c r="H700" s="3" t="s">
        <v>77</v>
      </c>
      <c r="I700" s="3" t="s">
        <v>131</v>
      </c>
      <c r="J700" s="3" t="n">
        <v>30</v>
      </c>
      <c r="K700" s="3" t="n">
        <v>3472.75</v>
      </c>
      <c r="L700" s="3" t="n">
        <v>104182.5</v>
      </c>
      <c r="M700" s="3" t="n">
        <v>0.044</v>
      </c>
      <c r="N700" s="3" t="n">
        <v>4584.03</v>
      </c>
      <c r="O700" s="3" t="n">
        <v>99598.47</v>
      </c>
      <c r="P700" s="3" t="n">
        <v>70844.1</v>
      </c>
      <c r="Q700" s="3" t="n">
        <v>28754.37</v>
      </c>
      <c r="R700" s="3" t="n">
        <v>0.2887</v>
      </c>
      <c r="S700" s="3" t="n">
        <v>0.0449</v>
      </c>
      <c r="T700" s="3" t="n">
        <v>-0.0009</v>
      </c>
    </row>
    <row r="701" customFormat="false" ht="15" hidden="false" customHeight="true" outlineLevel="0" collapsed="false">
      <c r="A701" s="3" t="s">
        <v>1288</v>
      </c>
      <c r="B701" s="3" t="s">
        <v>1289</v>
      </c>
      <c r="C701" s="3" t="s">
        <v>156</v>
      </c>
      <c r="D701" s="3" t="s">
        <v>69</v>
      </c>
      <c r="E701" s="3" t="s">
        <v>39</v>
      </c>
      <c r="F701" s="3" t="s">
        <v>70</v>
      </c>
      <c r="G701" s="3" t="s">
        <v>63</v>
      </c>
      <c r="H701" s="3" t="s">
        <v>64</v>
      </c>
      <c r="I701" s="3" t="s">
        <v>145</v>
      </c>
      <c r="J701" s="3" t="n">
        <v>38</v>
      </c>
      <c r="K701" s="3" t="n">
        <v>8215.2</v>
      </c>
      <c r="L701" s="3" t="n">
        <v>312177.6</v>
      </c>
      <c r="M701" s="3" t="n">
        <v>0.0773</v>
      </c>
      <c r="N701" s="3" t="n">
        <v>24131.33</v>
      </c>
      <c r="O701" s="3" t="n">
        <v>288046.27</v>
      </c>
      <c r="P701" s="3" t="n">
        <v>181063.01</v>
      </c>
      <c r="Q701" s="3" t="n">
        <v>106983.26</v>
      </c>
      <c r="R701" s="3" t="n">
        <v>0.3714</v>
      </c>
      <c r="S701" s="3" t="n">
        <v>0.0715</v>
      </c>
      <c r="T701" s="3" t="n">
        <v>0.0058</v>
      </c>
    </row>
    <row r="702" customFormat="false" ht="15" hidden="false" customHeight="true" outlineLevel="0" collapsed="false">
      <c r="A702" s="3" t="s">
        <v>1290</v>
      </c>
      <c r="B702" s="3" t="s">
        <v>954</v>
      </c>
      <c r="C702" s="3" t="s">
        <v>120</v>
      </c>
      <c r="D702" s="3" t="s">
        <v>32</v>
      </c>
      <c r="E702" s="3" t="s">
        <v>33</v>
      </c>
      <c r="F702" s="3" t="s">
        <v>25</v>
      </c>
      <c r="G702" s="3" t="s">
        <v>26</v>
      </c>
      <c r="H702" s="3" t="s">
        <v>27</v>
      </c>
      <c r="I702" s="3" t="s">
        <v>173</v>
      </c>
      <c r="J702" s="3" t="n">
        <v>3</v>
      </c>
      <c r="K702" s="3" t="n">
        <v>32595.4</v>
      </c>
      <c r="L702" s="3" t="n">
        <v>97786.2</v>
      </c>
      <c r="M702" s="3" t="n">
        <v>0.1228</v>
      </c>
      <c r="N702" s="3" t="n">
        <v>12008.15</v>
      </c>
      <c r="O702" s="3" t="n">
        <v>85778.05</v>
      </c>
      <c r="P702" s="3" t="n">
        <v>60627.44</v>
      </c>
      <c r="Q702" s="3" t="n">
        <v>25150.61</v>
      </c>
      <c r="R702" s="3" t="n">
        <v>0.2932</v>
      </c>
      <c r="S702" s="3" t="n">
        <v>0.1149</v>
      </c>
      <c r="T702" s="3" t="n">
        <v>0.0079</v>
      </c>
    </row>
    <row r="703" customFormat="false" ht="15" hidden="false" customHeight="true" outlineLevel="0" collapsed="false">
      <c r="A703" s="3" t="s">
        <v>1291</v>
      </c>
      <c r="B703" s="3" t="s">
        <v>177</v>
      </c>
      <c r="C703" s="3" t="s">
        <v>126</v>
      </c>
      <c r="D703" s="3" t="s">
        <v>69</v>
      </c>
      <c r="E703" s="3" t="s">
        <v>39</v>
      </c>
      <c r="F703" s="3" t="s">
        <v>70</v>
      </c>
      <c r="G703" s="3" t="s">
        <v>104</v>
      </c>
      <c r="H703" s="3" t="s">
        <v>27</v>
      </c>
      <c r="I703" s="3" t="s">
        <v>94</v>
      </c>
      <c r="J703" s="3" t="n">
        <v>27</v>
      </c>
      <c r="K703" s="3" t="n">
        <v>30181.11</v>
      </c>
      <c r="L703" s="3" t="n">
        <v>814889.97</v>
      </c>
      <c r="M703" s="3" t="n">
        <v>0.1028</v>
      </c>
      <c r="N703" s="3" t="n">
        <v>83770.69</v>
      </c>
      <c r="O703" s="3" t="n">
        <v>731119.28</v>
      </c>
      <c r="P703" s="3" t="n">
        <v>505231.78</v>
      </c>
      <c r="Q703" s="3" t="n">
        <v>225887.5</v>
      </c>
      <c r="R703" s="3" t="n">
        <v>0.309</v>
      </c>
      <c r="S703" s="3" t="n">
        <v>0.0896</v>
      </c>
      <c r="T703" s="3" t="n">
        <v>0.0132</v>
      </c>
    </row>
    <row r="704" customFormat="false" ht="15" hidden="false" customHeight="true" outlineLevel="0" collapsed="false">
      <c r="A704" s="3" t="s">
        <v>1292</v>
      </c>
      <c r="B704" s="3" t="s">
        <v>1293</v>
      </c>
      <c r="C704" s="3" t="s">
        <v>156</v>
      </c>
      <c r="D704" s="3" t="s">
        <v>61</v>
      </c>
      <c r="E704" s="3" t="s">
        <v>33</v>
      </c>
      <c r="F704" s="3" t="s">
        <v>62</v>
      </c>
      <c r="G704" s="3" t="s">
        <v>71</v>
      </c>
      <c r="H704" s="3" t="s">
        <v>27</v>
      </c>
      <c r="I704" s="3" t="s">
        <v>173</v>
      </c>
      <c r="J704" s="3" t="n">
        <v>46</v>
      </c>
      <c r="K704" s="3" t="n">
        <v>17754.77</v>
      </c>
      <c r="L704" s="3" t="n">
        <v>816719.42</v>
      </c>
      <c r="M704" s="3" t="n">
        <v>0.053</v>
      </c>
      <c r="N704" s="3" t="n">
        <v>43286.13</v>
      </c>
      <c r="O704" s="3" t="n">
        <v>773433.29</v>
      </c>
      <c r="P704" s="3" t="n">
        <v>506366.04</v>
      </c>
      <c r="Q704" s="3" t="n">
        <v>267067.25</v>
      </c>
      <c r="R704" s="3" t="n">
        <v>0.3453</v>
      </c>
      <c r="S704" s="3" t="n">
        <v>0.0579</v>
      </c>
      <c r="T704" s="3" t="n">
        <v>-0.0049</v>
      </c>
    </row>
    <row r="705" customFormat="false" ht="15" hidden="false" customHeight="true" outlineLevel="0" collapsed="false">
      <c r="A705" s="3" t="s">
        <v>1294</v>
      </c>
      <c r="B705" s="3" t="s">
        <v>704</v>
      </c>
      <c r="C705" s="3" t="s">
        <v>156</v>
      </c>
      <c r="D705" s="3" t="s">
        <v>83</v>
      </c>
      <c r="E705" s="3" t="s">
        <v>48</v>
      </c>
      <c r="F705" s="3" t="s">
        <v>62</v>
      </c>
      <c r="G705" s="3" t="s">
        <v>41</v>
      </c>
      <c r="H705" s="3" t="s">
        <v>64</v>
      </c>
      <c r="I705" s="3" t="s">
        <v>90</v>
      </c>
      <c r="J705" s="3" t="n">
        <v>24</v>
      </c>
      <c r="K705" s="3" t="n">
        <v>10108.73</v>
      </c>
      <c r="L705" s="3" t="n">
        <v>242609.52</v>
      </c>
      <c r="M705" s="3" t="n">
        <v>0.1095</v>
      </c>
      <c r="N705" s="3" t="n">
        <v>26565.74</v>
      </c>
      <c r="O705" s="3" t="n">
        <v>216043.78</v>
      </c>
      <c r="P705" s="3" t="n">
        <v>140713.52</v>
      </c>
      <c r="Q705" s="3" t="n">
        <v>75330.26</v>
      </c>
      <c r="R705" s="3" t="n">
        <v>0.3487</v>
      </c>
      <c r="S705" s="3" t="n">
        <v>0.1159</v>
      </c>
      <c r="T705" s="3" t="n">
        <v>-0.0064</v>
      </c>
    </row>
    <row r="706" customFormat="false" ht="15" hidden="false" customHeight="true" outlineLevel="0" collapsed="false">
      <c r="A706" s="3" t="s">
        <v>1295</v>
      </c>
      <c r="B706" s="3" t="s">
        <v>1123</v>
      </c>
      <c r="C706" s="3" t="s">
        <v>126</v>
      </c>
      <c r="D706" s="3" t="s">
        <v>61</v>
      </c>
      <c r="E706" s="3" t="s">
        <v>33</v>
      </c>
      <c r="F706" s="3" t="s">
        <v>62</v>
      </c>
      <c r="G706" s="3" t="s">
        <v>49</v>
      </c>
      <c r="H706" s="3" t="s">
        <v>77</v>
      </c>
      <c r="I706" s="3" t="s">
        <v>85</v>
      </c>
      <c r="J706" s="3" t="n">
        <v>19</v>
      </c>
      <c r="K706" s="3" t="n">
        <v>3748.42</v>
      </c>
      <c r="L706" s="3" t="n">
        <v>71219.98</v>
      </c>
      <c r="M706" s="3" t="n">
        <v>0.0513</v>
      </c>
      <c r="N706" s="3" t="n">
        <v>3653.58</v>
      </c>
      <c r="O706" s="3" t="n">
        <v>67566.4</v>
      </c>
      <c r="P706" s="3" t="n">
        <v>48429.59</v>
      </c>
      <c r="Q706" s="3" t="n">
        <v>19136.81</v>
      </c>
      <c r="R706" s="3" t="n">
        <v>0.2832</v>
      </c>
      <c r="S706" s="3" t="n">
        <v>0.0518</v>
      </c>
      <c r="T706" s="3" t="n">
        <v>-0.0005</v>
      </c>
    </row>
    <row r="707" customFormat="false" ht="15" hidden="false" customHeight="true" outlineLevel="0" collapsed="false">
      <c r="A707" s="3" t="s">
        <v>1296</v>
      </c>
      <c r="B707" s="3" t="s">
        <v>1297</v>
      </c>
      <c r="C707" s="3" t="s">
        <v>22</v>
      </c>
      <c r="D707" s="3" t="s">
        <v>38</v>
      </c>
      <c r="E707" s="3" t="s">
        <v>39</v>
      </c>
      <c r="F707" s="3" t="s">
        <v>40</v>
      </c>
      <c r="G707" s="3" t="s">
        <v>34</v>
      </c>
      <c r="H707" s="3" t="s">
        <v>56</v>
      </c>
      <c r="I707" s="3" t="s">
        <v>121</v>
      </c>
      <c r="J707" s="3" t="n">
        <v>6</v>
      </c>
      <c r="K707" s="3" t="n">
        <v>14603.07</v>
      </c>
      <c r="L707" s="3" t="n">
        <v>87618.42</v>
      </c>
      <c r="M707" s="3" t="n">
        <v>0.0945</v>
      </c>
      <c r="N707" s="3" t="n">
        <v>8279.94</v>
      </c>
      <c r="O707" s="3" t="n">
        <v>79338.48</v>
      </c>
      <c r="P707" s="3" t="n">
        <v>52571.05</v>
      </c>
      <c r="Q707" s="3" t="n">
        <v>26767.43</v>
      </c>
      <c r="R707" s="3" t="n">
        <v>0.3374</v>
      </c>
      <c r="S707" s="3" t="n">
        <v>0.0901</v>
      </c>
      <c r="T707" s="3" t="n">
        <v>0.0044</v>
      </c>
    </row>
    <row r="708" customFormat="false" ht="15" hidden="false" customHeight="true" outlineLevel="0" collapsed="false">
      <c r="A708" s="3" t="s">
        <v>1298</v>
      </c>
      <c r="B708" s="3" t="s">
        <v>1299</v>
      </c>
      <c r="C708" s="3" t="s">
        <v>22</v>
      </c>
      <c r="D708" s="3" t="s">
        <v>23</v>
      </c>
      <c r="E708" s="3" t="s">
        <v>24</v>
      </c>
      <c r="F708" s="3" t="s">
        <v>25</v>
      </c>
      <c r="G708" s="3" t="s">
        <v>116</v>
      </c>
      <c r="H708" s="3" t="s">
        <v>42</v>
      </c>
      <c r="I708" s="3" t="s">
        <v>43</v>
      </c>
      <c r="J708" s="3" t="n">
        <v>30</v>
      </c>
      <c r="K708" s="3" t="n">
        <v>1840.34</v>
      </c>
      <c r="L708" s="3" t="n">
        <v>55210.2</v>
      </c>
      <c r="M708" s="3" t="n">
        <v>0.1572</v>
      </c>
      <c r="N708" s="3" t="n">
        <v>8679.04</v>
      </c>
      <c r="O708" s="3" t="n">
        <v>46531.16</v>
      </c>
      <c r="P708" s="3" t="n">
        <v>30365.61</v>
      </c>
      <c r="Q708" s="3" t="n">
        <v>16165.55</v>
      </c>
      <c r="R708" s="3" t="n">
        <v>0.3474</v>
      </c>
      <c r="S708" s="3" t="n">
        <v>0.1522</v>
      </c>
      <c r="T708" s="3" t="n">
        <v>0.005</v>
      </c>
    </row>
    <row r="709" customFormat="false" ht="15" hidden="false" customHeight="true" outlineLevel="0" collapsed="false">
      <c r="A709" s="3" t="s">
        <v>1300</v>
      </c>
      <c r="B709" s="3" t="s">
        <v>874</v>
      </c>
      <c r="C709" s="3" t="s">
        <v>113</v>
      </c>
      <c r="D709" s="3" t="s">
        <v>69</v>
      </c>
      <c r="E709" s="3" t="s">
        <v>39</v>
      </c>
      <c r="F709" s="3" t="s">
        <v>70</v>
      </c>
      <c r="G709" s="3" t="s">
        <v>34</v>
      </c>
      <c r="H709" s="3" t="s">
        <v>64</v>
      </c>
      <c r="I709" s="3" t="s">
        <v>145</v>
      </c>
      <c r="J709" s="3" t="n">
        <v>42</v>
      </c>
      <c r="K709" s="3" t="n">
        <v>7856.7</v>
      </c>
      <c r="L709" s="3" t="n">
        <v>329981.4</v>
      </c>
      <c r="M709" s="3" t="n">
        <v>0.1115</v>
      </c>
      <c r="N709" s="3" t="n">
        <v>36792.93</v>
      </c>
      <c r="O709" s="3" t="n">
        <v>293188.47</v>
      </c>
      <c r="P709" s="3" t="n">
        <v>191389.21</v>
      </c>
      <c r="Q709" s="3" t="n">
        <v>101799.26</v>
      </c>
      <c r="R709" s="3" t="n">
        <v>0.3472</v>
      </c>
      <c r="S709" s="3" t="n">
        <v>0.1144</v>
      </c>
      <c r="T709" s="3" t="n">
        <v>-0.0029</v>
      </c>
    </row>
    <row r="710" customFormat="false" ht="15" hidden="false" customHeight="true" outlineLevel="0" collapsed="false">
      <c r="A710" s="3" t="s">
        <v>1301</v>
      </c>
      <c r="B710" s="3" t="s">
        <v>1302</v>
      </c>
      <c r="C710" s="3" t="s">
        <v>22</v>
      </c>
      <c r="D710" s="3" t="s">
        <v>69</v>
      </c>
      <c r="E710" s="3" t="s">
        <v>39</v>
      </c>
      <c r="F710" s="3" t="s">
        <v>70</v>
      </c>
      <c r="G710" s="3" t="s">
        <v>76</v>
      </c>
      <c r="H710" s="3" t="s">
        <v>42</v>
      </c>
      <c r="I710" s="3" t="s">
        <v>134</v>
      </c>
      <c r="J710" s="3" t="n">
        <v>28</v>
      </c>
      <c r="K710" s="3" t="n">
        <v>2262.48</v>
      </c>
      <c r="L710" s="3" t="n">
        <v>63349.44</v>
      </c>
      <c r="M710" s="3" t="n">
        <v>0.0439</v>
      </c>
      <c r="N710" s="3" t="n">
        <v>2781.04</v>
      </c>
      <c r="O710" s="3" t="n">
        <v>60568.4</v>
      </c>
      <c r="P710" s="3" t="n">
        <v>34842.19</v>
      </c>
      <c r="Q710" s="3" t="n">
        <v>25726.21</v>
      </c>
      <c r="R710" s="3" t="n">
        <v>0.4247</v>
      </c>
      <c r="S710" s="3" t="n">
        <v>0.04</v>
      </c>
      <c r="T710" s="3" t="n">
        <v>0.0039</v>
      </c>
    </row>
    <row r="711" customFormat="false" ht="15" hidden="false" customHeight="true" outlineLevel="0" collapsed="false">
      <c r="A711" s="3" t="s">
        <v>1303</v>
      </c>
      <c r="B711" s="3" t="s">
        <v>1304</v>
      </c>
      <c r="C711" s="3" t="s">
        <v>68</v>
      </c>
      <c r="D711" s="3" t="s">
        <v>83</v>
      </c>
      <c r="E711" s="3" t="s">
        <v>48</v>
      </c>
      <c r="F711" s="3" t="s">
        <v>62</v>
      </c>
      <c r="G711" s="3" t="s">
        <v>100</v>
      </c>
      <c r="H711" s="3" t="s">
        <v>77</v>
      </c>
      <c r="I711" s="3" t="s">
        <v>85</v>
      </c>
      <c r="J711" s="3" t="n">
        <v>31</v>
      </c>
      <c r="K711" s="3" t="n">
        <v>5181.89</v>
      </c>
      <c r="L711" s="3" t="n">
        <v>160638.59</v>
      </c>
      <c r="M711" s="3" t="n">
        <v>0.0655</v>
      </c>
      <c r="N711" s="3" t="n">
        <v>10521.83</v>
      </c>
      <c r="O711" s="3" t="n">
        <v>150116.76</v>
      </c>
      <c r="P711" s="3" t="n">
        <v>109234.24</v>
      </c>
      <c r="Q711" s="3" t="n">
        <v>40882.52</v>
      </c>
      <c r="R711" s="3" t="n">
        <v>0.2723</v>
      </c>
      <c r="S711" s="3" t="n">
        <v>0.0701</v>
      </c>
      <c r="T711" s="3" t="n">
        <v>-0.0046</v>
      </c>
    </row>
    <row r="712" customFormat="false" ht="15" hidden="false" customHeight="true" outlineLevel="0" collapsed="false">
      <c r="A712" s="3" t="s">
        <v>1305</v>
      </c>
      <c r="B712" s="3" t="s">
        <v>422</v>
      </c>
      <c r="C712" s="3" t="s">
        <v>93</v>
      </c>
      <c r="D712" s="3" t="s">
        <v>83</v>
      </c>
      <c r="E712" s="3" t="s">
        <v>48</v>
      </c>
      <c r="F712" s="3" t="s">
        <v>62</v>
      </c>
      <c r="G712" s="3" t="s">
        <v>71</v>
      </c>
      <c r="H712" s="3" t="s">
        <v>56</v>
      </c>
      <c r="I712" s="3" t="s">
        <v>57</v>
      </c>
      <c r="J712" s="3" t="n">
        <v>5</v>
      </c>
      <c r="K712" s="3" t="n">
        <v>17125.85</v>
      </c>
      <c r="L712" s="3" t="n">
        <v>85629.25</v>
      </c>
      <c r="M712" s="3" t="n">
        <v>0.0394</v>
      </c>
      <c r="N712" s="3" t="n">
        <v>3373.79</v>
      </c>
      <c r="O712" s="3" t="n">
        <v>82255.46</v>
      </c>
      <c r="P712" s="3" t="n">
        <v>51377.55</v>
      </c>
      <c r="Q712" s="3" t="n">
        <v>30877.91</v>
      </c>
      <c r="R712" s="3" t="n">
        <v>0.3754</v>
      </c>
      <c r="S712" s="3" t="n">
        <v>0.0326</v>
      </c>
      <c r="T712" s="3" t="n">
        <v>0.0068</v>
      </c>
    </row>
    <row r="713" customFormat="false" ht="15" hidden="false" customHeight="true" outlineLevel="0" collapsed="false">
      <c r="A713" s="3" t="s">
        <v>1306</v>
      </c>
      <c r="B713" s="3" t="s">
        <v>1307</v>
      </c>
      <c r="C713" s="3" t="s">
        <v>113</v>
      </c>
      <c r="D713" s="3" t="s">
        <v>47</v>
      </c>
      <c r="E713" s="3" t="s">
        <v>48</v>
      </c>
      <c r="F713" s="3" t="s">
        <v>25</v>
      </c>
      <c r="G713" s="3" t="s">
        <v>116</v>
      </c>
      <c r="H713" s="3" t="s">
        <v>64</v>
      </c>
      <c r="I713" s="3" t="s">
        <v>145</v>
      </c>
      <c r="J713" s="3" t="n">
        <v>18</v>
      </c>
      <c r="K713" s="3" t="n">
        <v>3984.28</v>
      </c>
      <c r="L713" s="3" t="n">
        <v>71717.04</v>
      </c>
      <c r="M713" s="3" t="n">
        <v>0.1135</v>
      </c>
      <c r="N713" s="3" t="n">
        <v>8139.88</v>
      </c>
      <c r="O713" s="3" t="n">
        <v>63577.16</v>
      </c>
      <c r="P713" s="3" t="n">
        <v>41595.88</v>
      </c>
      <c r="Q713" s="3" t="n">
        <v>21981.28</v>
      </c>
      <c r="R713" s="3" t="n">
        <v>0.3457</v>
      </c>
      <c r="S713" s="3" t="n">
        <v>0.1085</v>
      </c>
      <c r="T713" s="3" t="n">
        <v>0.005</v>
      </c>
    </row>
    <row r="714" customFormat="false" ht="15" hidden="false" customHeight="true" outlineLevel="0" collapsed="false">
      <c r="A714" s="3" t="s">
        <v>1308</v>
      </c>
      <c r="B714" s="3" t="s">
        <v>537</v>
      </c>
      <c r="C714" s="3" t="s">
        <v>31</v>
      </c>
      <c r="D714" s="3" t="s">
        <v>23</v>
      </c>
      <c r="E714" s="3" t="s">
        <v>24</v>
      </c>
      <c r="F714" s="3" t="s">
        <v>25</v>
      </c>
      <c r="G714" s="3" t="s">
        <v>63</v>
      </c>
      <c r="H714" s="3" t="s">
        <v>27</v>
      </c>
      <c r="I714" s="3" t="s">
        <v>50</v>
      </c>
      <c r="J714" s="3" t="n">
        <v>35</v>
      </c>
      <c r="K714" s="3" t="n">
        <v>39026.39</v>
      </c>
      <c r="L714" s="3" t="n">
        <v>1365923.65</v>
      </c>
      <c r="M714" s="3" t="n">
        <v>0.1545</v>
      </c>
      <c r="N714" s="3" t="n">
        <v>211035.2</v>
      </c>
      <c r="O714" s="3" t="n">
        <v>1154888.45</v>
      </c>
      <c r="P714" s="3" t="n">
        <v>846872.66</v>
      </c>
      <c r="Q714" s="3" t="n">
        <v>308015.79</v>
      </c>
      <c r="R714" s="3" t="n">
        <v>0.2667</v>
      </c>
      <c r="S714" s="3" t="n">
        <v>0.1442</v>
      </c>
      <c r="T714" s="3" t="n">
        <v>0.0103</v>
      </c>
    </row>
    <row r="715" customFormat="false" ht="15" hidden="false" customHeight="true" outlineLevel="0" collapsed="false">
      <c r="A715" s="3" t="s">
        <v>1309</v>
      </c>
      <c r="B715" s="3" t="s">
        <v>1310</v>
      </c>
      <c r="C715" s="3" t="s">
        <v>37</v>
      </c>
      <c r="D715" s="3" t="s">
        <v>23</v>
      </c>
      <c r="E715" s="3" t="s">
        <v>24</v>
      </c>
      <c r="F715" s="3" t="s">
        <v>25</v>
      </c>
      <c r="G715" s="3" t="s">
        <v>34</v>
      </c>
      <c r="H715" s="3" t="s">
        <v>27</v>
      </c>
      <c r="I715" s="3" t="s">
        <v>50</v>
      </c>
      <c r="J715" s="3" t="n">
        <v>15</v>
      </c>
      <c r="K715" s="3" t="n">
        <v>10014.38</v>
      </c>
      <c r="L715" s="3" t="n">
        <v>150215.7</v>
      </c>
      <c r="M715" s="3" t="n">
        <v>0.1868</v>
      </c>
      <c r="N715" s="3" t="n">
        <v>28060.29</v>
      </c>
      <c r="O715" s="3" t="n">
        <v>122155.41</v>
      </c>
      <c r="P715" s="3" t="n">
        <v>93133.73</v>
      </c>
      <c r="Q715" s="3" t="n">
        <v>29021.68</v>
      </c>
      <c r="R715" s="3" t="n">
        <v>0.2376</v>
      </c>
      <c r="S715" s="3" t="n">
        <v>0.1861</v>
      </c>
      <c r="T715" s="3" t="n">
        <v>0.0007</v>
      </c>
    </row>
    <row r="716" customFormat="false" ht="15" hidden="false" customHeight="true" outlineLevel="0" collapsed="false">
      <c r="A716" s="3" t="s">
        <v>1311</v>
      </c>
      <c r="B716" s="3" t="s">
        <v>247</v>
      </c>
      <c r="C716" s="3" t="s">
        <v>126</v>
      </c>
      <c r="D716" s="3" t="s">
        <v>103</v>
      </c>
      <c r="E716" s="3" t="s">
        <v>24</v>
      </c>
      <c r="F716" s="3" t="s">
        <v>62</v>
      </c>
      <c r="G716" s="3" t="s">
        <v>71</v>
      </c>
      <c r="H716" s="3" t="s">
        <v>77</v>
      </c>
      <c r="I716" s="3" t="s">
        <v>85</v>
      </c>
      <c r="J716" s="3" t="n">
        <v>36</v>
      </c>
      <c r="K716" s="3" t="n">
        <v>4544.95</v>
      </c>
      <c r="L716" s="3" t="n">
        <v>163618.2</v>
      </c>
      <c r="M716" s="3" t="n">
        <v>0.0523</v>
      </c>
      <c r="N716" s="3" t="n">
        <v>8557.23</v>
      </c>
      <c r="O716" s="3" t="n">
        <v>155060.97</v>
      </c>
      <c r="P716" s="3" t="n">
        <v>111260.38</v>
      </c>
      <c r="Q716" s="3" t="n">
        <v>43800.59</v>
      </c>
      <c r="R716" s="3" t="n">
        <v>0.2825</v>
      </c>
      <c r="S716" s="3" t="n">
        <v>0.0507</v>
      </c>
      <c r="T716" s="3" t="n">
        <v>0.0016</v>
      </c>
    </row>
    <row r="717" customFormat="false" ht="15" hidden="false" customHeight="true" outlineLevel="0" collapsed="false">
      <c r="A717" s="3" t="s">
        <v>1312</v>
      </c>
      <c r="B717" s="3" t="s">
        <v>1313</v>
      </c>
      <c r="C717" s="3" t="s">
        <v>37</v>
      </c>
      <c r="D717" s="3" t="s">
        <v>54</v>
      </c>
      <c r="E717" s="3" t="s">
        <v>24</v>
      </c>
      <c r="F717" s="3" t="s">
        <v>40</v>
      </c>
      <c r="G717" s="3" t="s">
        <v>34</v>
      </c>
      <c r="H717" s="3" t="s">
        <v>64</v>
      </c>
      <c r="I717" s="3" t="s">
        <v>145</v>
      </c>
      <c r="J717" s="3" t="n">
        <v>19</v>
      </c>
      <c r="K717" s="3" t="n">
        <v>7358.19</v>
      </c>
      <c r="L717" s="3" t="n">
        <v>139805.61</v>
      </c>
      <c r="M717" s="3" t="n">
        <v>0.0904</v>
      </c>
      <c r="N717" s="3" t="n">
        <v>12638.43</v>
      </c>
      <c r="O717" s="3" t="n">
        <v>127167.18</v>
      </c>
      <c r="P717" s="3" t="n">
        <v>81087.25</v>
      </c>
      <c r="Q717" s="3" t="n">
        <v>46079.93</v>
      </c>
      <c r="R717" s="3" t="n">
        <v>0.3624</v>
      </c>
      <c r="S717" s="3" t="n">
        <v>0.08</v>
      </c>
      <c r="T717" s="3" t="n">
        <v>0.0104</v>
      </c>
    </row>
    <row r="718" customFormat="false" ht="15" hidden="false" customHeight="true" outlineLevel="0" collapsed="false">
      <c r="A718" s="3" t="s">
        <v>1314</v>
      </c>
      <c r="B718" s="3" t="s">
        <v>437</v>
      </c>
      <c r="C718" s="3" t="s">
        <v>60</v>
      </c>
      <c r="D718" s="3" t="s">
        <v>75</v>
      </c>
      <c r="E718" s="3" t="s">
        <v>39</v>
      </c>
      <c r="F718" s="3" t="s">
        <v>25</v>
      </c>
      <c r="G718" s="3" t="s">
        <v>26</v>
      </c>
      <c r="H718" s="3" t="s">
        <v>56</v>
      </c>
      <c r="I718" s="3" t="s">
        <v>188</v>
      </c>
      <c r="J718" s="3" t="n">
        <v>12</v>
      </c>
      <c r="K718" s="3" t="n">
        <v>10565.07</v>
      </c>
      <c r="L718" s="3" t="n">
        <v>126780.84</v>
      </c>
      <c r="M718" s="3" t="n">
        <v>0.1858</v>
      </c>
      <c r="N718" s="3" t="n">
        <v>23555.88</v>
      </c>
      <c r="O718" s="3" t="n">
        <v>103224.96</v>
      </c>
      <c r="P718" s="3" t="n">
        <v>76068.5</v>
      </c>
      <c r="Q718" s="3" t="n">
        <v>27156.46</v>
      </c>
      <c r="R718" s="3" t="n">
        <v>0.2631</v>
      </c>
      <c r="S718" s="3" t="n">
        <v>0.1576</v>
      </c>
      <c r="T718" s="3" t="n">
        <v>0.0282</v>
      </c>
    </row>
    <row r="719" customFormat="false" ht="15" hidden="false" customHeight="true" outlineLevel="0" collapsed="false">
      <c r="A719" s="3" t="s">
        <v>1315</v>
      </c>
      <c r="B719" s="3" t="s">
        <v>326</v>
      </c>
      <c r="C719" s="3" t="s">
        <v>113</v>
      </c>
      <c r="D719" s="3" t="s">
        <v>61</v>
      </c>
      <c r="E719" s="3" t="s">
        <v>33</v>
      </c>
      <c r="F719" s="3" t="s">
        <v>62</v>
      </c>
      <c r="G719" s="3" t="s">
        <v>55</v>
      </c>
      <c r="H719" s="3" t="s">
        <v>27</v>
      </c>
      <c r="I719" s="3" t="s">
        <v>50</v>
      </c>
      <c r="J719" s="3" t="n">
        <v>17</v>
      </c>
      <c r="K719" s="3" t="n">
        <v>12047.15</v>
      </c>
      <c r="L719" s="3" t="n">
        <v>204801.55</v>
      </c>
      <c r="M719" s="3" t="n">
        <v>0.0485</v>
      </c>
      <c r="N719" s="3" t="n">
        <v>9932.88</v>
      </c>
      <c r="O719" s="3" t="n">
        <v>194868.67</v>
      </c>
      <c r="P719" s="3" t="n">
        <v>126976.96</v>
      </c>
      <c r="Q719" s="3" t="n">
        <v>67891.71</v>
      </c>
      <c r="R719" s="3" t="n">
        <v>0.3484</v>
      </c>
      <c r="S719" s="3" t="n">
        <v>0.047</v>
      </c>
      <c r="T719" s="3" t="n">
        <v>0.0015</v>
      </c>
    </row>
    <row r="720" customFormat="false" ht="15" hidden="false" customHeight="true" outlineLevel="0" collapsed="false">
      <c r="A720" s="3" t="s">
        <v>1316</v>
      </c>
      <c r="B720" s="3" t="s">
        <v>316</v>
      </c>
      <c r="C720" s="3" t="s">
        <v>156</v>
      </c>
      <c r="D720" s="3" t="s">
        <v>32</v>
      </c>
      <c r="E720" s="3" t="s">
        <v>33</v>
      </c>
      <c r="F720" s="3" t="s">
        <v>25</v>
      </c>
      <c r="G720" s="3" t="s">
        <v>41</v>
      </c>
      <c r="H720" s="3" t="s">
        <v>42</v>
      </c>
      <c r="I720" s="3" t="s">
        <v>134</v>
      </c>
      <c r="J720" s="3" t="n">
        <v>35</v>
      </c>
      <c r="K720" s="3" t="n">
        <v>1805.2</v>
      </c>
      <c r="L720" s="3" t="n">
        <v>63182</v>
      </c>
      <c r="M720" s="3" t="n">
        <v>0.1863</v>
      </c>
      <c r="N720" s="3" t="n">
        <v>11770.81</v>
      </c>
      <c r="O720" s="3" t="n">
        <v>51411.19</v>
      </c>
      <c r="P720" s="3" t="n">
        <v>34750.1</v>
      </c>
      <c r="Q720" s="3" t="n">
        <v>16661.09</v>
      </c>
      <c r="R720" s="3" t="n">
        <v>0.3241</v>
      </c>
      <c r="S720" s="3" t="n">
        <v>0.1717</v>
      </c>
      <c r="T720" s="3" t="n">
        <v>0.0146</v>
      </c>
    </row>
    <row r="721" customFormat="false" ht="15" hidden="false" customHeight="true" outlineLevel="0" collapsed="false">
      <c r="A721" s="3" t="s">
        <v>1317</v>
      </c>
      <c r="B721" s="3" t="s">
        <v>96</v>
      </c>
      <c r="C721" s="3" t="s">
        <v>68</v>
      </c>
      <c r="D721" s="3" t="s">
        <v>83</v>
      </c>
      <c r="E721" s="3" t="s">
        <v>48</v>
      </c>
      <c r="F721" s="3" t="s">
        <v>62</v>
      </c>
      <c r="G721" s="3" t="s">
        <v>49</v>
      </c>
      <c r="H721" s="3" t="s">
        <v>64</v>
      </c>
      <c r="I721" s="3" t="s">
        <v>90</v>
      </c>
      <c r="J721" s="3" t="n">
        <v>48</v>
      </c>
      <c r="K721" s="3" t="n">
        <v>4404.48</v>
      </c>
      <c r="L721" s="3" t="n">
        <v>211415.04</v>
      </c>
      <c r="M721" s="3" t="n">
        <v>0.0573</v>
      </c>
      <c r="N721" s="3" t="n">
        <v>12114.08</v>
      </c>
      <c r="O721" s="3" t="n">
        <v>199300.96</v>
      </c>
      <c r="P721" s="3" t="n">
        <v>122620.72</v>
      </c>
      <c r="Q721" s="3" t="n">
        <v>76680.24</v>
      </c>
      <c r="R721" s="3" t="n">
        <v>0.3847</v>
      </c>
      <c r="S721" s="3" t="n">
        <v>0.0515</v>
      </c>
      <c r="T721" s="3" t="n">
        <v>0.0058</v>
      </c>
    </row>
    <row r="722" customFormat="false" ht="15" hidden="false" customHeight="true" outlineLevel="0" collapsed="false">
      <c r="A722" s="3" t="s">
        <v>1318</v>
      </c>
      <c r="B722" s="3" t="s">
        <v>1319</v>
      </c>
      <c r="C722" s="3" t="s">
        <v>60</v>
      </c>
      <c r="D722" s="3" t="s">
        <v>97</v>
      </c>
      <c r="E722" s="3" t="s">
        <v>48</v>
      </c>
      <c r="F722" s="3" t="s">
        <v>40</v>
      </c>
      <c r="G722" s="3" t="s">
        <v>76</v>
      </c>
      <c r="H722" s="3" t="s">
        <v>42</v>
      </c>
      <c r="I722" s="3" t="s">
        <v>134</v>
      </c>
      <c r="J722" s="3" t="n">
        <v>49</v>
      </c>
      <c r="K722" s="3" t="n">
        <v>3893.62</v>
      </c>
      <c r="L722" s="3" t="n">
        <v>190787.38</v>
      </c>
      <c r="M722" s="3" t="n">
        <v>0.079</v>
      </c>
      <c r="N722" s="3" t="n">
        <v>15072.2</v>
      </c>
      <c r="O722" s="3" t="n">
        <v>175715.18</v>
      </c>
      <c r="P722" s="3" t="n">
        <v>104933.06</v>
      </c>
      <c r="Q722" s="3" t="n">
        <v>70782.12</v>
      </c>
      <c r="R722" s="3" t="n">
        <v>0.4028</v>
      </c>
      <c r="S722" s="3" t="n">
        <v>0.0822</v>
      </c>
      <c r="T722" s="3" t="n">
        <v>-0.0032</v>
      </c>
    </row>
    <row r="723" customFormat="false" ht="15" hidden="false" customHeight="true" outlineLevel="0" collapsed="false">
      <c r="A723" s="3" t="s">
        <v>1320</v>
      </c>
      <c r="B723" s="3" t="s">
        <v>647</v>
      </c>
      <c r="C723" s="3" t="s">
        <v>60</v>
      </c>
      <c r="D723" s="3" t="s">
        <v>97</v>
      </c>
      <c r="E723" s="3" t="s">
        <v>48</v>
      </c>
      <c r="F723" s="3" t="s">
        <v>40</v>
      </c>
      <c r="G723" s="3" t="s">
        <v>26</v>
      </c>
      <c r="H723" s="3" t="s">
        <v>77</v>
      </c>
      <c r="I723" s="3" t="s">
        <v>78</v>
      </c>
      <c r="J723" s="3" t="n">
        <v>31</v>
      </c>
      <c r="K723" s="3" t="n">
        <v>1739.11</v>
      </c>
      <c r="L723" s="3" t="n">
        <v>53912.41</v>
      </c>
      <c r="M723" s="3" t="n">
        <v>0.075</v>
      </c>
      <c r="N723" s="3" t="n">
        <v>4043.43</v>
      </c>
      <c r="O723" s="3" t="n">
        <v>49868.98</v>
      </c>
      <c r="P723" s="3" t="n">
        <v>36660.44</v>
      </c>
      <c r="Q723" s="3" t="n">
        <v>13208.54</v>
      </c>
      <c r="R723" s="3" t="n">
        <v>0.2649</v>
      </c>
      <c r="S723" s="3" t="n">
        <v>0.0753</v>
      </c>
      <c r="T723" s="3" t="n">
        <v>-0.0003</v>
      </c>
    </row>
    <row r="724" customFormat="false" ht="15" hidden="false" customHeight="true" outlineLevel="0" collapsed="false">
      <c r="A724" s="3" t="s">
        <v>1321</v>
      </c>
      <c r="B724" s="3" t="s">
        <v>1322</v>
      </c>
      <c r="C724" s="3" t="s">
        <v>120</v>
      </c>
      <c r="D724" s="3" t="s">
        <v>61</v>
      </c>
      <c r="E724" s="3" t="s">
        <v>33</v>
      </c>
      <c r="F724" s="3" t="s">
        <v>62</v>
      </c>
      <c r="G724" s="3" t="s">
        <v>63</v>
      </c>
      <c r="H724" s="3" t="s">
        <v>42</v>
      </c>
      <c r="I724" s="3" t="s">
        <v>43</v>
      </c>
      <c r="J724" s="3" t="n">
        <v>15</v>
      </c>
      <c r="K724" s="3" t="n">
        <v>2661.33</v>
      </c>
      <c r="L724" s="3" t="n">
        <v>39919.95</v>
      </c>
      <c r="M724" s="3" t="n">
        <v>0.0523</v>
      </c>
      <c r="N724" s="3" t="n">
        <v>2087.81</v>
      </c>
      <c r="O724" s="3" t="n">
        <v>37832.14</v>
      </c>
      <c r="P724" s="3" t="n">
        <v>21955.97</v>
      </c>
      <c r="Q724" s="3" t="n">
        <v>15876.17</v>
      </c>
      <c r="R724" s="3" t="n">
        <v>0.4196</v>
      </c>
      <c r="S724" s="3" t="n">
        <v>0.047</v>
      </c>
      <c r="T724" s="3" t="n">
        <v>0.0053</v>
      </c>
    </row>
    <row r="725" customFormat="false" ht="15" hidden="false" customHeight="true" outlineLevel="0" collapsed="false">
      <c r="A725" s="3" t="s">
        <v>1323</v>
      </c>
      <c r="B725" s="3" t="s">
        <v>1324</v>
      </c>
      <c r="C725" s="3" t="s">
        <v>93</v>
      </c>
      <c r="D725" s="3" t="s">
        <v>38</v>
      </c>
      <c r="E725" s="3" t="s">
        <v>39</v>
      </c>
      <c r="F725" s="3" t="s">
        <v>40</v>
      </c>
      <c r="G725" s="3" t="s">
        <v>76</v>
      </c>
      <c r="H725" s="3" t="s">
        <v>64</v>
      </c>
      <c r="I725" s="3" t="s">
        <v>108</v>
      </c>
      <c r="J725" s="3" t="n">
        <v>6</v>
      </c>
      <c r="K725" s="3" t="n">
        <v>4761.44</v>
      </c>
      <c r="L725" s="3" t="n">
        <v>28568.64</v>
      </c>
      <c r="M725" s="3" t="n">
        <v>0.0569</v>
      </c>
      <c r="N725" s="3" t="n">
        <v>1625.56</v>
      </c>
      <c r="O725" s="3" t="n">
        <v>26943.08</v>
      </c>
      <c r="P725" s="3" t="n">
        <v>16569.81</v>
      </c>
      <c r="Q725" s="3" t="n">
        <v>10373.27</v>
      </c>
      <c r="R725" s="3" t="n">
        <v>0.385</v>
      </c>
      <c r="S725" s="3" t="n">
        <v>0.0571</v>
      </c>
      <c r="T725" s="3" t="n">
        <v>-0.0002</v>
      </c>
    </row>
    <row r="726" customFormat="false" ht="15" hidden="false" customHeight="true" outlineLevel="0" collapsed="false">
      <c r="A726" s="3" t="s">
        <v>1325</v>
      </c>
      <c r="B726" s="3" t="s">
        <v>931</v>
      </c>
      <c r="C726" s="3" t="s">
        <v>46</v>
      </c>
      <c r="D726" s="3" t="s">
        <v>61</v>
      </c>
      <c r="E726" s="3" t="s">
        <v>33</v>
      </c>
      <c r="F726" s="3" t="s">
        <v>62</v>
      </c>
      <c r="G726" s="3" t="s">
        <v>34</v>
      </c>
      <c r="H726" s="3" t="s">
        <v>56</v>
      </c>
      <c r="I726" s="3" t="s">
        <v>57</v>
      </c>
      <c r="J726" s="3" t="n">
        <v>39</v>
      </c>
      <c r="K726" s="3" t="n">
        <v>9847.45</v>
      </c>
      <c r="L726" s="3" t="n">
        <v>384050.55</v>
      </c>
      <c r="M726" s="3" t="n">
        <v>0.118</v>
      </c>
      <c r="N726" s="3" t="n">
        <v>45317.96</v>
      </c>
      <c r="O726" s="3" t="n">
        <v>338732.59</v>
      </c>
      <c r="P726" s="3" t="n">
        <v>230430.33</v>
      </c>
      <c r="Q726" s="3" t="n">
        <v>108302.26</v>
      </c>
      <c r="R726" s="3" t="n">
        <v>0.3197</v>
      </c>
      <c r="S726" s="3" t="n">
        <v>0.1085</v>
      </c>
      <c r="T726" s="3" t="n">
        <v>0.0095</v>
      </c>
    </row>
    <row r="727" customFormat="false" ht="15" hidden="false" customHeight="true" outlineLevel="0" collapsed="false">
      <c r="A727" s="3" t="s">
        <v>1326</v>
      </c>
      <c r="B727" s="3" t="s">
        <v>1327</v>
      </c>
      <c r="C727" s="3" t="s">
        <v>126</v>
      </c>
      <c r="D727" s="3" t="s">
        <v>97</v>
      </c>
      <c r="E727" s="3" t="s">
        <v>48</v>
      </c>
      <c r="F727" s="3" t="s">
        <v>40</v>
      </c>
      <c r="G727" s="3" t="s">
        <v>63</v>
      </c>
      <c r="H727" s="3" t="s">
        <v>77</v>
      </c>
      <c r="I727" s="3" t="s">
        <v>78</v>
      </c>
      <c r="J727" s="3" t="n">
        <v>19</v>
      </c>
      <c r="K727" s="3" t="n">
        <v>2989.59</v>
      </c>
      <c r="L727" s="3" t="n">
        <v>56802.21</v>
      </c>
      <c r="M727" s="3" t="n">
        <v>0.0472</v>
      </c>
      <c r="N727" s="3" t="n">
        <v>2681.06</v>
      </c>
      <c r="O727" s="3" t="n">
        <v>54121.15</v>
      </c>
      <c r="P727" s="3" t="n">
        <v>38625.5</v>
      </c>
      <c r="Q727" s="3" t="n">
        <v>15495.65</v>
      </c>
      <c r="R727" s="3" t="n">
        <v>0.2863</v>
      </c>
      <c r="S727" s="3" t="n">
        <v>0.0517</v>
      </c>
      <c r="T727" s="3" t="n">
        <v>-0.0045</v>
      </c>
    </row>
    <row r="728" customFormat="false" ht="15" hidden="false" customHeight="true" outlineLevel="0" collapsed="false">
      <c r="A728" s="3" t="s">
        <v>1328</v>
      </c>
      <c r="B728" s="3" t="s">
        <v>192</v>
      </c>
      <c r="C728" s="3" t="s">
        <v>31</v>
      </c>
      <c r="D728" s="3" t="s">
        <v>107</v>
      </c>
      <c r="E728" s="3" t="s">
        <v>33</v>
      </c>
      <c r="F728" s="3" t="s">
        <v>70</v>
      </c>
      <c r="G728" s="3" t="s">
        <v>26</v>
      </c>
      <c r="H728" s="3" t="s">
        <v>27</v>
      </c>
      <c r="I728" s="3" t="s">
        <v>117</v>
      </c>
      <c r="J728" s="3" t="n">
        <v>48</v>
      </c>
      <c r="K728" s="3" t="n">
        <v>36409.76</v>
      </c>
      <c r="L728" s="3" t="n">
        <v>1747668.48</v>
      </c>
      <c r="M728" s="3" t="n">
        <v>0.0796</v>
      </c>
      <c r="N728" s="3" t="n">
        <v>139114.41</v>
      </c>
      <c r="O728" s="3" t="n">
        <v>1608554.07</v>
      </c>
      <c r="P728" s="3" t="n">
        <v>1083554.46</v>
      </c>
      <c r="Q728" s="3" t="n">
        <v>524999.61</v>
      </c>
      <c r="R728" s="3" t="n">
        <v>0.3264</v>
      </c>
      <c r="S728" s="3" t="n">
        <v>0.0706</v>
      </c>
      <c r="T728" s="3" t="n">
        <v>0.009</v>
      </c>
    </row>
    <row r="729" customFormat="false" ht="15" hidden="false" customHeight="true" outlineLevel="0" collapsed="false">
      <c r="A729" s="3" t="s">
        <v>1329</v>
      </c>
      <c r="B729" s="3" t="s">
        <v>1330</v>
      </c>
      <c r="C729" s="3" t="s">
        <v>60</v>
      </c>
      <c r="D729" s="3" t="s">
        <v>97</v>
      </c>
      <c r="E729" s="3" t="s">
        <v>48</v>
      </c>
      <c r="F729" s="3" t="s">
        <v>40</v>
      </c>
      <c r="G729" s="3" t="s">
        <v>63</v>
      </c>
      <c r="H729" s="3" t="s">
        <v>77</v>
      </c>
      <c r="I729" s="3" t="s">
        <v>85</v>
      </c>
      <c r="J729" s="3" t="n">
        <v>38</v>
      </c>
      <c r="K729" s="3" t="n">
        <v>1869.92</v>
      </c>
      <c r="L729" s="3" t="n">
        <v>71056.96</v>
      </c>
      <c r="M729" s="3" t="n">
        <v>0.0599</v>
      </c>
      <c r="N729" s="3" t="n">
        <v>4256.31</v>
      </c>
      <c r="O729" s="3" t="n">
        <v>66800.65</v>
      </c>
      <c r="P729" s="3" t="n">
        <v>48318.73</v>
      </c>
      <c r="Q729" s="3" t="n">
        <v>18481.92</v>
      </c>
      <c r="R729" s="3" t="n">
        <v>0.2767</v>
      </c>
      <c r="S729" s="3" t="n">
        <v>0.0517</v>
      </c>
      <c r="T729" s="3" t="n">
        <v>0.0082</v>
      </c>
    </row>
    <row r="730" customFormat="false" ht="15" hidden="false" customHeight="true" outlineLevel="0" collapsed="false">
      <c r="A730" s="3" t="s">
        <v>1331</v>
      </c>
      <c r="B730" s="3" t="s">
        <v>1332</v>
      </c>
      <c r="C730" s="3" t="s">
        <v>31</v>
      </c>
      <c r="D730" s="3" t="s">
        <v>83</v>
      </c>
      <c r="E730" s="3" t="s">
        <v>48</v>
      </c>
      <c r="F730" s="3" t="s">
        <v>62</v>
      </c>
      <c r="G730" s="3" t="s">
        <v>116</v>
      </c>
      <c r="H730" s="3" t="s">
        <v>56</v>
      </c>
      <c r="I730" s="3" t="s">
        <v>57</v>
      </c>
      <c r="J730" s="3" t="n">
        <v>38</v>
      </c>
      <c r="K730" s="3" t="n">
        <v>16930.45</v>
      </c>
      <c r="L730" s="3" t="n">
        <v>643357.1</v>
      </c>
      <c r="M730" s="3" t="n">
        <v>0.0913</v>
      </c>
      <c r="N730" s="3" t="n">
        <v>58738.5</v>
      </c>
      <c r="O730" s="3" t="n">
        <v>584618.6</v>
      </c>
      <c r="P730" s="3" t="n">
        <v>386014.26</v>
      </c>
      <c r="Q730" s="3" t="n">
        <v>198604.34</v>
      </c>
      <c r="R730" s="3" t="n">
        <v>0.3397</v>
      </c>
      <c r="S730" s="3" t="n">
        <v>0.0906</v>
      </c>
      <c r="T730" s="3" t="n">
        <v>0.0007</v>
      </c>
    </row>
    <row r="731" customFormat="false" ht="15" hidden="false" customHeight="true" outlineLevel="0" collapsed="false">
      <c r="A731" s="3" t="s">
        <v>1333</v>
      </c>
      <c r="B731" s="3" t="s">
        <v>306</v>
      </c>
      <c r="C731" s="3" t="s">
        <v>60</v>
      </c>
      <c r="D731" s="3" t="s">
        <v>54</v>
      </c>
      <c r="E731" s="3" t="s">
        <v>24</v>
      </c>
      <c r="F731" s="3" t="s">
        <v>40</v>
      </c>
      <c r="G731" s="3" t="s">
        <v>100</v>
      </c>
      <c r="H731" s="3" t="s">
        <v>77</v>
      </c>
      <c r="I731" s="3" t="s">
        <v>131</v>
      </c>
      <c r="J731" s="3" t="n">
        <v>37</v>
      </c>
      <c r="K731" s="3" t="n">
        <v>3418.18</v>
      </c>
      <c r="L731" s="3" t="n">
        <v>126472.66</v>
      </c>
      <c r="M731" s="3" t="n">
        <v>0.0678</v>
      </c>
      <c r="N731" s="3" t="n">
        <v>8574.85</v>
      </c>
      <c r="O731" s="3" t="n">
        <v>117897.81</v>
      </c>
      <c r="P731" s="3" t="n">
        <v>86001.41</v>
      </c>
      <c r="Q731" s="3" t="n">
        <v>31896.4</v>
      </c>
      <c r="R731" s="3" t="n">
        <v>0.2705</v>
      </c>
      <c r="S731" s="3" t="n">
        <v>0.0583</v>
      </c>
      <c r="T731" s="3" t="n">
        <v>0.0095</v>
      </c>
    </row>
    <row r="732" customFormat="false" ht="15" hidden="false" customHeight="true" outlineLevel="0" collapsed="false">
      <c r="A732" s="3" t="s">
        <v>1334</v>
      </c>
      <c r="B732" s="3" t="s">
        <v>1335</v>
      </c>
      <c r="C732" s="3" t="s">
        <v>93</v>
      </c>
      <c r="D732" s="3" t="s">
        <v>47</v>
      </c>
      <c r="E732" s="3" t="s">
        <v>48</v>
      </c>
      <c r="F732" s="3" t="s">
        <v>25</v>
      </c>
      <c r="G732" s="3" t="s">
        <v>84</v>
      </c>
      <c r="H732" s="3" t="s">
        <v>42</v>
      </c>
      <c r="I732" s="3" t="s">
        <v>72</v>
      </c>
      <c r="J732" s="3" t="n">
        <v>20</v>
      </c>
      <c r="K732" s="3" t="n">
        <v>647.82</v>
      </c>
      <c r="L732" s="3" t="n">
        <v>12956.4</v>
      </c>
      <c r="M732" s="3" t="n">
        <v>0.136</v>
      </c>
      <c r="N732" s="3" t="n">
        <v>1762.07</v>
      </c>
      <c r="O732" s="3" t="n">
        <v>11194.33</v>
      </c>
      <c r="P732" s="3" t="n">
        <v>7126.02</v>
      </c>
      <c r="Q732" s="3" t="n">
        <v>4068.31</v>
      </c>
      <c r="R732" s="3" t="n">
        <v>0.3634</v>
      </c>
      <c r="S732" s="3" t="n">
        <v>0.118</v>
      </c>
      <c r="T732" s="3" t="n">
        <v>0.018</v>
      </c>
    </row>
    <row r="733" customFormat="false" ht="15" hidden="false" customHeight="true" outlineLevel="0" collapsed="false">
      <c r="A733" s="3" t="s">
        <v>1336</v>
      </c>
      <c r="B733" s="3" t="s">
        <v>500</v>
      </c>
      <c r="C733" s="3" t="s">
        <v>126</v>
      </c>
      <c r="D733" s="3" t="s">
        <v>32</v>
      </c>
      <c r="E733" s="3" t="s">
        <v>33</v>
      </c>
      <c r="F733" s="3" t="s">
        <v>25</v>
      </c>
      <c r="G733" s="3" t="s">
        <v>76</v>
      </c>
      <c r="H733" s="3" t="s">
        <v>64</v>
      </c>
      <c r="I733" s="3" t="s">
        <v>145</v>
      </c>
      <c r="J733" s="3" t="n">
        <v>41</v>
      </c>
      <c r="K733" s="3" t="n">
        <v>11604.24</v>
      </c>
      <c r="L733" s="3" t="n">
        <v>475773.84</v>
      </c>
      <c r="M733" s="3" t="n">
        <v>0.1459</v>
      </c>
      <c r="N733" s="3" t="n">
        <v>69415.4</v>
      </c>
      <c r="O733" s="3" t="n">
        <v>406358.44</v>
      </c>
      <c r="P733" s="3" t="n">
        <v>275948.83</v>
      </c>
      <c r="Q733" s="3" t="n">
        <v>130409.61</v>
      </c>
      <c r="R733" s="3" t="n">
        <v>0.3209</v>
      </c>
      <c r="S733" s="3" t="n">
        <v>0.135</v>
      </c>
      <c r="T733" s="3" t="n">
        <v>0.0109</v>
      </c>
    </row>
    <row r="734" customFormat="false" ht="15" hidden="false" customHeight="true" outlineLevel="0" collapsed="false">
      <c r="A734" s="3" t="s">
        <v>1337</v>
      </c>
      <c r="B734" s="3" t="s">
        <v>1338</v>
      </c>
      <c r="C734" s="3" t="s">
        <v>46</v>
      </c>
      <c r="D734" s="3" t="s">
        <v>83</v>
      </c>
      <c r="E734" s="3" t="s">
        <v>48</v>
      </c>
      <c r="F734" s="3" t="s">
        <v>62</v>
      </c>
      <c r="G734" s="3" t="s">
        <v>116</v>
      </c>
      <c r="H734" s="3" t="s">
        <v>64</v>
      </c>
      <c r="I734" s="3" t="s">
        <v>65</v>
      </c>
      <c r="J734" s="3" t="n">
        <v>32</v>
      </c>
      <c r="K734" s="3" t="n">
        <v>9882.47</v>
      </c>
      <c r="L734" s="3" t="n">
        <v>316239.04</v>
      </c>
      <c r="M734" s="3" t="n">
        <v>0.1024</v>
      </c>
      <c r="N734" s="3" t="n">
        <v>32382.88</v>
      </c>
      <c r="O734" s="3" t="n">
        <v>283856.16</v>
      </c>
      <c r="P734" s="3" t="n">
        <v>183418.64</v>
      </c>
      <c r="Q734" s="3" t="n">
        <v>100437.52</v>
      </c>
      <c r="R734" s="3" t="n">
        <v>0.3538</v>
      </c>
      <c r="S734" s="3" t="n">
        <v>0.0998</v>
      </c>
      <c r="T734" s="3" t="n">
        <v>0.0026</v>
      </c>
    </row>
    <row r="735" customFormat="false" ht="15" hidden="false" customHeight="true" outlineLevel="0" collapsed="false">
      <c r="A735" s="3" t="s">
        <v>1339</v>
      </c>
      <c r="B735" s="3" t="s">
        <v>1340</v>
      </c>
      <c r="C735" s="3" t="s">
        <v>46</v>
      </c>
      <c r="D735" s="3" t="s">
        <v>38</v>
      </c>
      <c r="E735" s="3" t="s">
        <v>39</v>
      </c>
      <c r="F735" s="3" t="s">
        <v>40</v>
      </c>
      <c r="G735" s="3" t="s">
        <v>71</v>
      </c>
      <c r="H735" s="3" t="s">
        <v>77</v>
      </c>
      <c r="I735" s="3" t="s">
        <v>78</v>
      </c>
      <c r="J735" s="3" t="n">
        <v>45</v>
      </c>
      <c r="K735" s="3" t="n">
        <v>4492.38</v>
      </c>
      <c r="L735" s="3" t="n">
        <v>202157.1</v>
      </c>
      <c r="M735" s="3" t="n">
        <v>0.0709</v>
      </c>
      <c r="N735" s="3" t="n">
        <v>14332.94</v>
      </c>
      <c r="O735" s="3" t="n">
        <v>187824.16</v>
      </c>
      <c r="P735" s="3" t="n">
        <v>137466.83</v>
      </c>
      <c r="Q735" s="3" t="n">
        <v>50357.33</v>
      </c>
      <c r="R735" s="3" t="n">
        <v>0.2681</v>
      </c>
      <c r="S735" s="3" t="n">
        <v>0.0676</v>
      </c>
      <c r="T735" s="3" t="n">
        <v>0.0033</v>
      </c>
    </row>
    <row r="736" customFormat="false" ht="15" hidden="false" customHeight="true" outlineLevel="0" collapsed="false">
      <c r="A736" s="3" t="s">
        <v>1341</v>
      </c>
      <c r="B736" s="3" t="s">
        <v>319</v>
      </c>
      <c r="C736" s="3" t="s">
        <v>60</v>
      </c>
      <c r="D736" s="3" t="s">
        <v>38</v>
      </c>
      <c r="E736" s="3" t="s">
        <v>39</v>
      </c>
      <c r="F736" s="3" t="s">
        <v>40</v>
      </c>
      <c r="G736" s="3" t="s">
        <v>41</v>
      </c>
      <c r="H736" s="3" t="s">
        <v>27</v>
      </c>
      <c r="I736" s="3" t="s">
        <v>50</v>
      </c>
      <c r="J736" s="3" t="n">
        <v>10</v>
      </c>
      <c r="K736" s="3" t="n">
        <v>26612.94</v>
      </c>
      <c r="L736" s="3" t="n">
        <v>266129.4</v>
      </c>
      <c r="M736" s="3" t="n">
        <v>0.1011</v>
      </c>
      <c r="N736" s="3" t="n">
        <v>26905.68</v>
      </c>
      <c r="O736" s="3" t="n">
        <v>239223.72</v>
      </c>
      <c r="P736" s="3" t="n">
        <v>165000.23</v>
      </c>
      <c r="Q736" s="3" t="n">
        <v>74223.49</v>
      </c>
      <c r="R736" s="3" t="n">
        <v>0.3103</v>
      </c>
      <c r="S736" s="3" t="n">
        <v>0.0917</v>
      </c>
      <c r="T736" s="3" t="n">
        <v>0.0094</v>
      </c>
    </row>
    <row r="737" customFormat="false" ht="15" hidden="false" customHeight="true" outlineLevel="0" collapsed="false">
      <c r="A737" s="3" t="s">
        <v>1342</v>
      </c>
      <c r="B737" s="3" t="s">
        <v>378</v>
      </c>
      <c r="C737" s="3" t="s">
        <v>22</v>
      </c>
      <c r="D737" s="3" t="s">
        <v>32</v>
      </c>
      <c r="E737" s="3" t="s">
        <v>33</v>
      </c>
      <c r="F737" s="3" t="s">
        <v>25</v>
      </c>
      <c r="G737" s="3" t="s">
        <v>63</v>
      </c>
      <c r="H737" s="3" t="s">
        <v>42</v>
      </c>
      <c r="I737" s="3" t="s">
        <v>134</v>
      </c>
      <c r="J737" s="3" t="n">
        <v>23</v>
      </c>
      <c r="K737" s="3" t="n">
        <v>2726.86</v>
      </c>
      <c r="L737" s="3" t="n">
        <v>62717.78</v>
      </c>
      <c r="M737" s="3" t="n">
        <v>0.0958</v>
      </c>
      <c r="N737" s="3" t="n">
        <v>6008.36</v>
      </c>
      <c r="O737" s="3" t="n">
        <v>56709.42</v>
      </c>
      <c r="P737" s="3" t="n">
        <v>34494.78</v>
      </c>
      <c r="Q737" s="3" t="n">
        <v>22214.64</v>
      </c>
      <c r="R737" s="3" t="n">
        <v>0.3917</v>
      </c>
      <c r="S737" s="3" t="n">
        <v>0.0914</v>
      </c>
      <c r="T737" s="3" t="n">
        <v>0.0044</v>
      </c>
    </row>
    <row r="738" customFormat="false" ht="15" hidden="false" customHeight="true" outlineLevel="0" collapsed="false">
      <c r="A738" s="3" t="s">
        <v>1343</v>
      </c>
      <c r="B738" s="3" t="s">
        <v>179</v>
      </c>
      <c r="C738" s="3" t="s">
        <v>126</v>
      </c>
      <c r="D738" s="3" t="s">
        <v>23</v>
      </c>
      <c r="E738" s="3" t="s">
        <v>24</v>
      </c>
      <c r="F738" s="3" t="s">
        <v>25</v>
      </c>
      <c r="G738" s="3" t="s">
        <v>55</v>
      </c>
      <c r="H738" s="3" t="s">
        <v>64</v>
      </c>
      <c r="I738" s="3" t="s">
        <v>65</v>
      </c>
      <c r="J738" s="3" t="n">
        <v>35</v>
      </c>
      <c r="K738" s="3" t="n">
        <v>9773.66</v>
      </c>
      <c r="L738" s="3" t="n">
        <v>342078.1</v>
      </c>
      <c r="M738" s="3" t="n">
        <v>0.1114</v>
      </c>
      <c r="N738" s="3" t="n">
        <v>38107.5</v>
      </c>
      <c r="O738" s="3" t="n">
        <v>303970.6</v>
      </c>
      <c r="P738" s="3" t="n">
        <v>198405.3</v>
      </c>
      <c r="Q738" s="3" t="n">
        <v>105565.3</v>
      </c>
      <c r="R738" s="3" t="n">
        <v>0.3473</v>
      </c>
      <c r="S738" s="3" t="n">
        <v>0.0982</v>
      </c>
      <c r="T738" s="3" t="n">
        <v>0.0132</v>
      </c>
    </row>
    <row r="739" customFormat="false" ht="15" hidden="false" customHeight="true" outlineLevel="0" collapsed="false">
      <c r="A739" s="3" t="s">
        <v>1344</v>
      </c>
      <c r="B739" s="3" t="s">
        <v>1345</v>
      </c>
      <c r="C739" s="3" t="s">
        <v>68</v>
      </c>
      <c r="D739" s="3" t="s">
        <v>97</v>
      </c>
      <c r="E739" s="3" t="s">
        <v>48</v>
      </c>
      <c r="F739" s="3" t="s">
        <v>40</v>
      </c>
      <c r="G739" s="3" t="s">
        <v>100</v>
      </c>
      <c r="H739" s="3" t="s">
        <v>42</v>
      </c>
      <c r="I739" s="3" t="s">
        <v>43</v>
      </c>
      <c r="J739" s="3" t="n">
        <v>10</v>
      </c>
      <c r="K739" s="3" t="n">
        <v>2530.16</v>
      </c>
      <c r="L739" s="3" t="n">
        <v>25301.6</v>
      </c>
      <c r="M739" s="3" t="n">
        <v>0.0306</v>
      </c>
      <c r="N739" s="3" t="n">
        <v>774.23</v>
      </c>
      <c r="O739" s="3" t="n">
        <v>24527.37</v>
      </c>
      <c r="P739" s="3" t="n">
        <v>13915.88</v>
      </c>
      <c r="Q739" s="3" t="n">
        <v>10611.49</v>
      </c>
      <c r="R739" s="3" t="n">
        <v>0.4326</v>
      </c>
      <c r="S739" s="3" t="n">
        <v>0.0271</v>
      </c>
      <c r="T739" s="3" t="n">
        <v>0.0035</v>
      </c>
    </row>
    <row r="740" customFormat="false" ht="15" hidden="false" customHeight="true" outlineLevel="0" collapsed="false">
      <c r="A740" s="3" t="s">
        <v>1346</v>
      </c>
      <c r="B740" s="3" t="s">
        <v>1347</v>
      </c>
      <c r="C740" s="3" t="s">
        <v>68</v>
      </c>
      <c r="D740" s="3" t="s">
        <v>83</v>
      </c>
      <c r="E740" s="3" t="s">
        <v>48</v>
      </c>
      <c r="F740" s="3" t="s">
        <v>62</v>
      </c>
      <c r="G740" s="3" t="s">
        <v>41</v>
      </c>
      <c r="H740" s="3" t="s">
        <v>77</v>
      </c>
      <c r="I740" s="3" t="s">
        <v>78</v>
      </c>
      <c r="J740" s="3" t="n">
        <v>10</v>
      </c>
      <c r="K740" s="3" t="n">
        <v>1691.61</v>
      </c>
      <c r="L740" s="3" t="n">
        <v>16916.1</v>
      </c>
      <c r="M740" s="3" t="n">
        <v>0.1084</v>
      </c>
      <c r="N740" s="3" t="n">
        <v>1833.71</v>
      </c>
      <c r="O740" s="3" t="n">
        <v>15082.39</v>
      </c>
      <c r="P740" s="3" t="n">
        <v>11502.95</v>
      </c>
      <c r="Q740" s="3" t="n">
        <v>3579.44</v>
      </c>
      <c r="R740" s="3" t="n">
        <v>0.2373</v>
      </c>
      <c r="S740" s="3" t="n">
        <v>0.1143</v>
      </c>
      <c r="T740" s="3" t="n">
        <v>-0.0059</v>
      </c>
    </row>
    <row r="741" customFormat="false" ht="15" hidden="false" customHeight="true" outlineLevel="0" collapsed="false">
      <c r="A741" s="3" t="s">
        <v>1348</v>
      </c>
      <c r="B741" s="3" t="s">
        <v>577</v>
      </c>
      <c r="C741" s="3" t="s">
        <v>156</v>
      </c>
      <c r="D741" s="3" t="s">
        <v>97</v>
      </c>
      <c r="E741" s="3" t="s">
        <v>48</v>
      </c>
      <c r="F741" s="3" t="s">
        <v>40</v>
      </c>
      <c r="G741" s="3" t="s">
        <v>116</v>
      </c>
      <c r="H741" s="3" t="s">
        <v>56</v>
      </c>
      <c r="I741" s="3" t="s">
        <v>121</v>
      </c>
      <c r="J741" s="3" t="n">
        <v>5</v>
      </c>
      <c r="K741" s="3" t="n">
        <v>8677.54</v>
      </c>
      <c r="L741" s="3" t="n">
        <v>43387.7</v>
      </c>
      <c r="M741" s="3" t="n">
        <v>0.0611</v>
      </c>
      <c r="N741" s="3" t="n">
        <v>2650.99</v>
      </c>
      <c r="O741" s="3" t="n">
        <v>40736.71</v>
      </c>
      <c r="P741" s="3" t="n">
        <v>26032.62</v>
      </c>
      <c r="Q741" s="3" t="n">
        <v>14704.09</v>
      </c>
      <c r="R741" s="3" t="n">
        <v>0.361</v>
      </c>
      <c r="S741" s="3" t="n">
        <v>0.0576</v>
      </c>
      <c r="T741" s="3" t="n">
        <v>0.0035</v>
      </c>
    </row>
    <row r="742" customFormat="false" ht="15" hidden="false" customHeight="true" outlineLevel="0" collapsed="false">
      <c r="A742" s="3" t="s">
        <v>1349</v>
      </c>
      <c r="B742" s="3" t="s">
        <v>1350</v>
      </c>
      <c r="C742" s="3" t="s">
        <v>37</v>
      </c>
      <c r="D742" s="3" t="s">
        <v>54</v>
      </c>
      <c r="E742" s="3" t="s">
        <v>24</v>
      </c>
      <c r="F742" s="3" t="s">
        <v>40</v>
      </c>
      <c r="G742" s="3" t="s">
        <v>84</v>
      </c>
      <c r="H742" s="3" t="s">
        <v>42</v>
      </c>
      <c r="I742" s="3" t="s">
        <v>43</v>
      </c>
      <c r="J742" s="3" t="n">
        <v>39</v>
      </c>
      <c r="K742" s="3" t="n">
        <v>3614.04</v>
      </c>
      <c r="L742" s="3" t="n">
        <v>140947.56</v>
      </c>
      <c r="M742" s="3" t="n">
        <v>0.0562</v>
      </c>
      <c r="N742" s="3" t="n">
        <v>7921.25</v>
      </c>
      <c r="O742" s="3" t="n">
        <v>133026.31</v>
      </c>
      <c r="P742" s="3" t="n">
        <v>77521.16</v>
      </c>
      <c r="Q742" s="3" t="n">
        <v>55505.15</v>
      </c>
      <c r="R742" s="3" t="n">
        <v>0.4172</v>
      </c>
      <c r="S742" s="3" t="n">
        <v>0.0478</v>
      </c>
      <c r="T742" s="3" t="n">
        <v>0.0084</v>
      </c>
    </row>
    <row r="743" customFormat="false" ht="15" hidden="false" customHeight="true" outlineLevel="0" collapsed="false">
      <c r="A743" s="3" t="s">
        <v>1351</v>
      </c>
      <c r="B743" s="3" t="s">
        <v>1352</v>
      </c>
      <c r="C743" s="3" t="s">
        <v>120</v>
      </c>
      <c r="D743" s="3" t="s">
        <v>54</v>
      </c>
      <c r="E743" s="3" t="s">
        <v>24</v>
      </c>
      <c r="F743" s="3" t="s">
        <v>40</v>
      </c>
      <c r="G743" s="3" t="s">
        <v>34</v>
      </c>
      <c r="H743" s="3" t="s">
        <v>27</v>
      </c>
      <c r="I743" s="3" t="s">
        <v>28</v>
      </c>
      <c r="J743" s="3" t="n">
        <v>45</v>
      </c>
      <c r="K743" s="3" t="n">
        <v>12118.86</v>
      </c>
      <c r="L743" s="3" t="n">
        <v>545348.7</v>
      </c>
      <c r="M743" s="3" t="n">
        <v>0.0662</v>
      </c>
      <c r="N743" s="3" t="n">
        <v>36102.08</v>
      </c>
      <c r="O743" s="3" t="n">
        <v>509246.62</v>
      </c>
      <c r="P743" s="3" t="n">
        <v>338116.19</v>
      </c>
      <c r="Q743" s="3" t="n">
        <v>171130.43</v>
      </c>
      <c r="R743" s="3" t="n">
        <v>0.336</v>
      </c>
      <c r="S743" s="3" t="n">
        <v>0.0571</v>
      </c>
      <c r="T743" s="3" t="n">
        <v>0.0091</v>
      </c>
    </row>
    <row r="744" customFormat="false" ht="15" hidden="false" customHeight="true" outlineLevel="0" collapsed="false">
      <c r="A744" s="3" t="s">
        <v>1353</v>
      </c>
      <c r="B744" s="3" t="s">
        <v>885</v>
      </c>
      <c r="C744" s="3" t="s">
        <v>113</v>
      </c>
      <c r="D744" s="3" t="s">
        <v>61</v>
      </c>
      <c r="E744" s="3" t="s">
        <v>33</v>
      </c>
      <c r="F744" s="3" t="s">
        <v>62</v>
      </c>
      <c r="G744" s="3" t="s">
        <v>116</v>
      </c>
      <c r="H744" s="3" t="s">
        <v>77</v>
      </c>
      <c r="I744" s="3" t="s">
        <v>85</v>
      </c>
      <c r="J744" s="3" t="n">
        <v>50</v>
      </c>
      <c r="K744" s="3" t="n">
        <v>1573.13</v>
      </c>
      <c r="L744" s="3" t="n">
        <v>78656.5</v>
      </c>
      <c r="M744" s="3" t="n">
        <v>0.0915</v>
      </c>
      <c r="N744" s="3" t="n">
        <v>7197.07</v>
      </c>
      <c r="O744" s="3" t="n">
        <v>71459.43</v>
      </c>
      <c r="P744" s="3" t="n">
        <v>53486.42</v>
      </c>
      <c r="Q744" s="3" t="n">
        <v>17973.01</v>
      </c>
      <c r="R744" s="3" t="n">
        <v>0.2515</v>
      </c>
      <c r="S744" s="3" t="n">
        <v>0.0761</v>
      </c>
      <c r="T744" s="3" t="n">
        <v>0.0154</v>
      </c>
    </row>
    <row r="745" customFormat="false" ht="15" hidden="false" customHeight="true" outlineLevel="0" collapsed="false">
      <c r="A745" s="3" t="s">
        <v>1354</v>
      </c>
      <c r="B745" s="3" t="s">
        <v>1355</v>
      </c>
      <c r="C745" s="3" t="s">
        <v>120</v>
      </c>
      <c r="D745" s="3" t="s">
        <v>23</v>
      </c>
      <c r="E745" s="3" t="s">
        <v>24</v>
      </c>
      <c r="F745" s="3" t="s">
        <v>25</v>
      </c>
      <c r="G745" s="3" t="s">
        <v>104</v>
      </c>
      <c r="H745" s="3" t="s">
        <v>56</v>
      </c>
      <c r="I745" s="3" t="s">
        <v>121</v>
      </c>
      <c r="J745" s="3" t="n">
        <v>17</v>
      </c>
      <c r="K745" s="3" t="n">
        <v>9505.32</v>
      </c>
      <c r="L745" s="3" t="n">
        <v>161590.44</v>
      </c>
      <c r="M745" s="3" t="n">
        <v>0.1167</v>
      </c>
      <c r="N745" s="3" t="n">
        <v>18857.6</v>
      </c>
      <c r="O745" s="3" t="n">
        <v>142732.84</v>
      </c>
      <c r="P745" s="3" t="n">
        <v>96954.26</v>
      </c>
      <c r="Q745" s="3" t="n">
        <v>45778.58</v>
      </c>
      <c r="R745" s="3" t="n">
        <v>0.3207</v>
      </c>
      <c r="S745" s="3" t="n">
        <v>0.1208</v>
      </c>
      <c r="T745" s="3" t="n">
        <v>-0.0041</v>
      </c>
    </row>
    <row r="746" customFormat="false" ht="15" hidden="false" customHeight="true" outlineLevel="0" collapsed="false">
      <c r="A746" s="3" t="s">
        <v>1356</v>
      </c>
      <c r="B746" s="3" t="s">
        <v>1357</v>
      </c>
      <c r="C746" s="3" t="s">
        <v>126</v>
      </c>
      <c r="D746" s="3" t="s">
        <v>38</v>
      </c>
      <c r="E746" s="3" t="s">
        <v>39</v>
      </c>
      <c r="F746" s="3" t="s">
        <v>40</v>
      </c>
      <c r="G746" s="3" t="s">
        <v>41</v>
      </c>
      <c r="H746" s="3" t="s">
        <v>64</v>
      </c>
      <c r="I746" s="3" t="s">
        <v>108</v>
      </c>
      <c r="J746" s="3" t="n">
        <v>2</v>
      </c>
      <c r="K746" s="3" t="n">
        <v>9035.41</v>
      </c>
      <c r="L746" s="3" t="n">
        <v>18070.82</v>
      </c>
      <c r="M746" s="3" t="n">
        <v>0.0884</v>
      </c>
      <c r="N746" s="3" t="n">
        <v>1597.46</v>
      </c>
      <c r="O746" s="3" t="n">
        <v>16473.36</v>
      </c>
      <c r="P746" s="3" t="n">
        <v>10481.08</v>
      </c>
      <c r="Q746" s="3" t="n">
        <v>5992.28</v>
      </c>
      <c r="R746" s="3" t="n">
        <v>0.3638</v>
      </c>
      <c r="S746" s="3" t="n">
        <v>0.0959</v>
      </c>
      <c r="T746" s="3" t="n">
        <v>-0.0075</v>
      </c>
    </row>
    <row r="747" customFormat="false" ht="15" hidden="false" customHeight="true" outlineLevel="0" collapsed="false">
      <c r="A747" s="3" t="s">
        <v>1358</v>
      </c>
      <c r="B747" s="3" t="s">
        <v>138</v>
      </c>
      <c r="C747" s="3" t="s">
        <v>22</v>
      </c>
      <c r="D747" s="3" t="s">
        <v>103</v>
      </c>
      <c r="E747" s="3" t="s">
        <v>24</v>
      </c>
      <c r="F747" s="3" t="s">
        <v>62</v>
      </c>
      <c r="G747" s="3" t="s">
        <v>100</v>
      </c>
      <c r="H747" s="3" t="s">
        <v>42</v>
      </c>
      <c r="I747" s="3" t="s">
        <v>43</v>
      </c>
      <c r="J747" s="3" t="n">
        <v>40</v>
      </c>
      <c r="K747" s="3" t="n">
        <v>3232.81</v>
      </c>
      <c r="L747" s="3" t="n">
        <v>129312.4</v>
      </c>
      <c r="M747" s="3" t="n">
        <v>0.0421</v>
      </c>
      <c r="N747" s="3" t="n">
        <v>5444.05</v>
      </c>
      <c r="O747" s="3" t="n">
        <v>123868.35</v>
      </c>
      <c r="P747" s="3" t="n">
        <v>71121.82</v>
      </c>
      <c r="Q747" s="3" t="n">
        <v>52746.53</v>
      </c>
      <c r="R747" s="3" t="n">
        <v>0.4258</v>
      </c>
      <c r="S747" s="3" t="n">
        <v>0.0349</v>
      </c>
      <c r="T747" s="3" t="n">
        <v>0.0072</v>
      </c>
    </row>
    <row r="748" customFormat="false" ht="15" hidden="false" customHeight="true" outlineLevel="0" collapsed="false">
      <c r="A748" s="3" t="s">
        <v>1359</v>
      </c>
      <c r="B748" s="3" t="s">
        <v>822</v>
      </c>
      <c r="C748" s="3" t="s">
        <v>156</v>
      </c>
      <c r="D748" s="3" t="s">
        <v>38</v>
      </c>
      <c r="E748" s="3" t="s">
        <v>39</v>
      </c>
      <c r="F748" s="3" t="s">
        <v>40</v>
      </c>
      <c r="G748" s="3" t="s">
        <v>34</v>
      </c>
      <c r="H748" s="3" t="s">
        <v>27</v>
      </c>
      <c r="I748" s="3" t="s">
        <v>94</v>
      </c>
      <c r="J748" s="3" t="n">
        <v>19</v>
      </c>
      <c r="K748" s="3" t="n">
        <v>30905.97</v>
      </c>
      <c r="L748" s="3" t="n">
        <v>587213.43</v>
      </c>
      <c r="M748" s="3" t="n">
        <v>0.0887</v>
      </c>
      <c r="N748" s="3" t="n">
        <v>52085.83</v>
      </c>
      <c r="O748" s="3" t="n">
        <v>535127.6</v>
      </c>
      <c r="P748" s="3" t="n">
        <v>364072.33</v>
      </c>
      <c r="Q748" s="3" t="n">
        <v>171055.27</v>
      </c>
      <c r="R748" s="3" t="n">
        <v>0.3197</v>
      </c>
      <c r="S748" s="3" t="n">
        <v>0.0969</v>
      </c>
      <c r="T748" s="3" t="n">
        <v>-0.0082</v>
      </c>
    </row>
    <row r="749" customFormat="false" ht="15" hidden="false" customHeight="true" outlineLevel="0" collapsed="false">
      <c r="A749" s="3" t="s">
        <v>1360</v>
      </c>
      <c r="B749" s="3" t="s">
        <v>513</v>
      </c>
      <c r="C749" s="3" t="s">
        <v>120</v>
      </c>
      <c r="D749" s="3" t="s">
        <v>61</v>
      </c>
      <c r="E749" s="3" t="s">
        <v>33</v>
      </c>
      <c r="F749" s="3" t="s">
        <v>62</v>
      </c>
      <c r="G749" s="3" t="s">
        <v>49</v>
      </c>
      <c r="H749" s="3" t="s">
        <v>64</v>
      </c>
      <c r="I749" s="3" t="s">
        <v>90</v>
      </c>
      <c r="J749" s="3" t="n">
        <v>12</v>
      </c>
      <c r="K749" s="3" t="n">
        <v>9283.2</v>
      </c>
      <c r="L749" s="3" t="n">
        <v>111398.4</v>
      </c>
      <c r="M749" s="3" t="n">
        <v>0.052</v>
      </c>
      <c r="N749" s="3" t="n">
        <v>5792.72</v>
      </c>
      <c r="O749" s="3" t="n">
        <v>105605.68</v>
      </c>
      <c r="P749" s="3" t="n">
        <v>64611.07</v>
      </c>
      <c r="Q749" s="3" t="n">
        <v>40994.61</v>
      </c>
      <c r="R749" s="3" t="n">
        <v>0.3882</v>
      </c>
      <c r="S749" s="3" t="n">
        <v>0.0444</v>
      </c>
      <c r="T749" s="3" t="n">
        <v>0.0076</v>
      </c>
    </row>
    <row r="750" customFormat="false" ht="15" hidden="false" customHeight="true" outlineLevel="0" collapsed="false">
      <c r="A750" s="3" t="s">
        <v>1361</v>
      </c>
      <c r="B750" s="3" t="s">
        <v>314</v>
      </c>
      <c r="C750" s="3" t="s">
        <v>120</v>
      </c>
      <c r="D750" s="3" t="s">
        <v>103</v>
      </c>
      <c r="E750" s="3" t="s">
        <v>24</v>
      </c>
      <c r="F750" s="3" t="s">
        <v>62</v>
      </c>
      <c r="G750" s="3" t="s">
        <v>34</v>
      </c>
      <c r="H750" s="3" t="s">
        <v>77</v>
      </c>
      <c r="I750" s="3" t="s">
        <v>78</v>
      </c>
      <c r="J750" s="3" t="n">
        <v>27</v>
      </c>
      <c r="K750" s="3" t="n">
        <v>3668.4</v>
      </c>
      <c r="L750" s="3" t="n">
        <v>99046.8</v>
      </c>
      <c r="M750" s="3" t="n">
        <v>0.095</v>
      </c>
      <c r="N750" s="3" t="n">
        <v>9409.45</v>
      </c>
      <c r="O750" s="3" t="n">
        <v>89637.35</v>
      </c>
      <c r="P750" s="3" t="n">
        <v>67351.82</v>
      </c>
      <c r="Q750" s="3" t="n">
        <v>22285.53</v>
      </c>
      <c r="R750" s="3" t="n">
        <v>0.2486</v>
      </c>
      <c r="S750" s="3" t="n">
        <v>0.0893</v>
      </c>
      <c r="T750" s="3" t="n">
        <v>0.0057</v>
      </c>
    </row>
    <row r="751" customFormat="false" ht="15" hidden="false" customHeight="true" outlineLevel="0" collapsed="false">
      <c r="A751" s="3" t="s">
        <v>1362</v>
      </c>
      <c r="B751" s="3" t="s">
        <v>663</v>
      </c>
      <c r="C751" s="3" t="s">
        <v>22</v>
      </c>
      <c r="D751" s="3" t="s">
        <v>107</v>
      </c>
      <c r="E751" s="3" t="s">
        <v>33</v>
      </c>
      <c r="F751" s="3" t="s">
        <v>70</v>
      </c>
      <c r="G751" s="3" t="s">
        <v>49</v>
      </c>
      <c r="H751" s="3" t="s">
        <v>64</v>
      </c>
      <c r="I751" s="3" t="s">
        <v>90</v>
      </c>
      <c r="J751" s="3" t="n">
        <v>36</v>
      </c>
      <c r="K751" s="3" t="n">
        <v>9342.58</v>
      </c>
      <c r="L751" s="3" t="n">
        <v>336332.88</v>
      </c>
      <c r="M751" s="3" t="n">
        <v>0.0661</v>
      </c>
      <c r="N751" s="3" t="n">
        <v>22231.6</v>
      </c>
      <c r="O751" s="3" t="n">
        <v>314101.28</v>
      </c>
      <c r="P751" s="3" t="n">
        <v>195073.07</v>
      </c>
      <c r="Q751" s="3" t="n">
        <v>119028.21</v>
      </c>
      <c r="R751" s="3" t="n">
        <v>0.3789</v>
      </c>
      <c r="S751" s="3" t="n">
        <v>0.0594</v>
      </c>
      <c r="T751" s="3" t="n">
        <v>0.0067</v>
      </c>
    </row>
    <row r="752" customFormat="false" ht="15" hidden="false" customHeight="true" outlineLevel="0" collapsed="false">
      <c r="A752" s="3" t="s">
        <v>1363</v>
      </c>
      <c r="B752" s="3" t="s">
        <v>856</v>
      </c>
      <c r="C752" s="3" t="s">
        <v>31</v>
      </c>
      <c r="D752" s="3" t="s">
        <v>61</v>
      </c>
      <c r="E752" s="3" t="s">
        <v>33</v>
      </c>
      <c r="F752" s="3" t="s">
        <v>62</v>
      </c>
      <c r="G752" s="3" t="s">
        <v>84</v>
      </c>
      <c r="H752" s="3" t="s">
        <v>77</v>
      </c>
      <c r="I752" s="3" t="s">
        <v>78</v>
      </c>
      <c r="J752" s="3" t="n">
        <v>20</v>
      </c>
      <c r="K752" s="3" t="n">
        <v>4081.87</v>
      </c>
      <c r="L752" s="3" t="n">
        <v>81637.4</v>
      </c>
      <c r="M752" s="3" t="n">
        <v>0.0644</v>
      </c>
      <c r="N752" s="3" t="n">
        <v>5257.45</v>
      </c>
      <c r="O752" s="3" t="n">
        <v>76379.95</v>
      </c>
      <c r="P752" s="3" t="n">
        <v>55513.43</v>
      </c>
      <c r="Q752" s="3" t="n">
        <v>20866.52</v>
      </c>
      <c r="R752" s="3" t="n">
        <v>0.2732</v>
      </c>
      <c r="S752" s="3" t="n">
        <v>0.0558</v>
      </c>
      <c r="T752" s="3" t="n">
        <v>0.0086</v>
      </c>
    </row>
    <row r="753" customFormat="false" ht="15" hidden="false" customHeight="true" outlineLevel="0" collapsed="false">
      <c r="A753" s="3" t="s">
        <v>1364</v>
      </c>
      <c r="B753" s="3" t="s">
        <v>1365</v>
      </c>
      <c r="C753" s="3" t="s">
        <v>68</v>
      </c>
      <c r="D753" s="3" t="s">
        <v>47</v>
      </c>
      <c r="E753" s="3" t="s">
        <v>48</v>
      </c>
      <c r="F753" s="3" t="s">
        <v>25</v>
      </c>
      <c r="G753" s="3" t="s">
        <v>34</v>
      </c>
      <c r="H753" s="3" t="s">
        <v>42</v>
      </c>
      <c r="I753" s="3" t="s">
        <v>134</v>
      </c>
      <c r="J753" s="3" t="n">
        <v>31</v>
      </c>
      <c r="K753" s="3" t="n">
        <v>3498.71</v>
      </c>
      <c r="L753" s="3" t="n">
        <v>108460.01</v>
      </c>
      <c r="M753" s="3" t="n">
        <v>0.1669</v>
      </c>
      <c r="N753" s="3" t="n">
        <v>18101.98</v>
      </c>
      <c r="O753" s="3" t="n">
        <v>90358.03</v>
      </c>
      <c r="P753" s="3" t="n">
        <v>59653.01</v>
      </c>
      <c r="Q753" s="3" t="n">
        <v>30705.02</v>
      </c>
      <c r="R753" s="3" t="n">
        <v>0.3398</v>
      </c>
      <c r="S753" s="3" t="n">
        <v>0.1671</v>
      </c>
      <c r="T753" s="3" t="n">
        <v>-0.0002</v>
      </c>
    </row>
    <row r="754" customFormat="false" ht="15" hidden="false" customHeight="true" outlineLevel="0" collapsed="false">
      <c r="A754" s="3" t="s">
        <v>1366</v>
      </c>
      <c r="B754" s="3" t="s">
        <v>1367</v>
      </c>
      <c r="C754" s="3" t="s">
        <v>120</v>
      </c>
      <c r="D754" s="3" t="s">
        <v>47</v>
      </c>
      <c r="E754" s="3" t="s">
        <v>48</v>
      </c>
      <c r="F754" s="3" t="s">
        <v>25</v>
      </c>
      <c r="G754" s="3" t="s">
        <v>71</v>
      </c>
      <c r="H754" s="3" t="s">
        <v>77</v>
      </c>
      <c r="I754" s="3" t="s">
        <v>85</v>
      </c>
      <c r="J754" s="3" t="n">
        <v>8</v>
      </c>
      <c r="K754" s="3" t="n">
        <v>4447.29</v>
      </c>
      <c r="L754" s="3" t="n">
        <v>35578.32</v>
      </c>
      <c r="M754" s="3" t="n">
        <v>0.1092</v>
      </c>
      <c r="N754" s="3" t="n">
        <v>3885.15</v>
      </c>
      <c r="O754" s="3" t="n">
        <v>31693.17</v>
      </c>
      <c r="P754" s="3" t="n">
        <v>24193.26</v>
      </c>
      <c r="Q754" s="3" t="n">
        <v>7499.91</v>
      </c>
      <c r="R754" s="3" t="n">
        <v>0.2366</v>
      </c>
      <c r="S754" s="3" t="n">
        <v>0.1117</v>
      </c>
      <c r="T754" s="3" t="n">
        <v>-0.0025</v>
      </c>
    </row>
    <row r="755" customFormat="false" ht="15" hidden="false" customHeight="true" outlineLevel="0" collapsed="false">
      <c r="A755" s="3" t="s">
        <v>1368</v>
      </c>
      <c r="B755" s="3" t="s">
        <v>1369</v>
      </c>
      <c r="C755" s="3" t="s">
        <v>31</v>
      </c>
      <c r="D755" s="3" t="s">
        <v>75</v>
      </c>
      <c r="E755" s="3" t="s">
        <v>39</v>
      </c>
      <c r="F755" s="3" t="s">
        <v>25</v>
      </c>
      <c r="G755" s="3" t="s">
        <v>34</v>
      </c>
      <c r="H755" s="3" t="s">
        <v>27</v>
      </c>
      <c r="I755" s="3" t="s">
        <v>50</v>
      </c>
      <c r="J755" s="3" t="n">
        <v>39</v>
      </c>
      <c r="K755" s="3" t="n">
        <v>18836.21</v>
      </c>
      <c r="L755" s="3" t="n">
        <v>734612.19</v>
      </c>
      <c r="M755" s="3" t="n">
        <v>0.1739</v>
      </c>
      <c r="N755" s="3" t="n">
        <v>127749.06</v>
      </c>
      <c r="O755" s="3" t="n">
        <v>606863.13</v>
      </c>
      <c r="P755" s="3" t="n">
        <v>455459.56</v>
      </c>
      <c r="Q755" s="3" t="n">
        <v>151403.57</v>
      </c>
      <c r="R755" s="3" t="n">
        <v>0.2495</v>
      </c>
      <c r="S755" s="3" t="n">
        <v>0.1769</v>
      </c>
      <c r="T755" s="3" t="n">
        <v>-0.003</v>
      </c>
    </row>
    <row r="756" customFormat="false" ht="15" hidden="false" customHeight="true" outlineLevel="0" collapsed="false">
      <c r="A756" s="3" t="s">
        <v>1370</v>
      </c>
      <c r="B756" s="3" t="s">
        <v>1371</v>
      </c>
      <c r="C756" s="3" t="s">
        <v>37</v>
      </c>
      <c r="D756" s="3" t="s">
        <v>54</v>
      </c>
      <c r="E756" s="3" t="s">
        <v>24</v>
      </c>
      <c r="F756" s="3" t="s">
        <v>40</v>
      </c>
      <c r="G756" s="3" t="s">
        <v>76</v>
      </c>
      <c r="H756" s="3" t="s">
        <v>56</v>
      </c>
      <c r="I756" s="3" t="s">
        <v>121</v>
      </c>
      <c r="J756" s="3" t="n">
        <v>42</v>
      </c>
      <c r="K756" s="3" t="n">
        <v>14100.85</v>
      </c>
      <c r="L756" s="3" t="n">
        <v>592235.7</v>
      </c>
      <c r="M756" s="3" t="n">
        <v>0.0772</v>
      </c>
      <c r="N756" s="3" t="n">
        <v>45720.6</v>
      </c>
      <c r="O756" s="3" t="n">
        <v>546515.1</v>
      </c>
      <c r="P756" s="3" t="n">
        <v>355341.42</v>
      </c>
      <c r="Q756" s="3" t="n">
        <v>191173.68</v>
      </c>
      <c r="R756" s="3" t="n">
        <v>0.3498</v>
      </c>
      <c r="S756" s="3" t="n">
        <v>0.0727</v>
      </c>
      <c r="T756" s="3" t="n">
        <v>0.0045</v>
      </c>
    </row>
    <row r="757" customFormat="false" ht="15" hidden="false" customHeight="true" outlineLevel="0" collapsed="false">
      <c r="A757" s="3" t="s">
        <v>1372</v>
      </c>
      <c r="B757" s="3" t="s">
        <v>343</v>
      </c>
      <c r="C757" s="3" t="s">
        <v>120</v>
      </c>
      <c r="D757" s="3" t="s">
        <v>38</v>
      </c>
      <c r="E757" s="3" t="s">
        <v>39</v>
      </c>
      <c r="F757" s="3" t="s">
        <v>40</v>
      </c>
      <c r="G757" s="3" t="s">
        <v>100</v>
      </c>
      <c r="H757" s="3" t="s">
        <v>77</v>
      </c>
      <c r="I757" s="3" t="s">
        <v>78</v>
      </c>
      <c r="J757" s="3" t="n">
        <v>50</v>
      </c>
      <c r="K757" s="3" t="n">
        <v>2538.68</v>
      </c>
      <c r="L757" s="3" t="n">
        <v>126934</v>
      </c>
      <c r="M757" s="3" t="n">
        <v>0.0527</v>
      </c>
      <c r="N757" s="3" t="n">
        <v>6689.42</v>
      </c>
      <c r="O757" s="3" t="n">
        <v>120244.58</v>
      </c>
      <c r="P757" s="3" t="n">
        <v>86315.12</v>
      </c>
      <c r="Q757" s="3" t="n">
        <v>33929.46</v>
      </c>
      <c r="R757" s="3" t="n">
        <v>0.2822</v>
      </c>
      <c r="S757" s="3" t="n">
        <v>0.0462</v>
      </c>
      <c r="T757" s="3" t="n">
        <v>0.0065</v>
      </c>
    </row>
    <row r="758" customFormat="false" ht="15" hidden="false" customHeight="true" outlineLevel="0" collapsed="false">
      <c r="A758" s="3" t="s">
        <v>1373</v>
      </c>
      <c r="B758" s="3" t="s">
        <v>484</v>
      </c>
      <c r="C758" s="3" t="s">
        <v>156</v>
      </c>
      <c r="D758" s="3" t="s">
        <v>83</v>
      </c>
      <c r="E758" s="3" t="s">
        <v>48</v>
      </c>
      <c r="F758" s="3" t="s">
        <v>62</v>
      </c>
      <c r="G758" s="3" t="s">
        <v>104</v>
      </c>
      <c r="H758" s="3" t="s">
        <v>64</v>
      </c>
      <c r="I758" s="3" t="s">
        <v>108</v>
      </c>
      <c r="J758" s="3" t="n">
        <v>4</v>
      </c>
      <c r="K758" s="3" t="n">
        <v>3896.43</v>
      </c>
      <c r="L758" s="3" t="n">
        <v>15585.72</v>
      </c>
      <c r="M758" s="3" t="n">
        <v>0.1114</v>
      </c>
      <c r="N758" s="3" t="n">
        <v>1736.25</v>
      </c>
      <c r="O758" s="3" t="n">
        <v>13849.47</v>
      </c>
      <c r="P758" s="3" t="n">
        <v>9039.72</v>
      </c>
      <c r="Q758" s="3" t="n">
        <v>4809.75</v>
      </c>
      <c r="R758" s="3" t="n">
        <v>0.3473</v>
      </c>
      <c r="S758" s="3" t="n">
        <v>0.1217</v>
      </c>
      <c r="T758" s="3" t="n">
        <v>-0.0103</v>
      </c>
    </row>
    <row r="759" customFormat="false" ht="15" hidden="false" customHeight="true" outlineLevel="0" collapsed="false">
      <c r="A759" s="3" t="s">
        <v>1374</v>
      </c>
      <c r="B759" s="3" t="s">
        <v>1375</v>
      </c>
      <c r="C759" s="3" t="s">
        <v>68</v>
      </c>
      <c r="D759" s="3" t="s">
        <v>47</v>
      </c>
      <c r="E759" s="3" t="s">
        <v>48</v>
      </c>
      <c r="F759" s="3" t="s">
        <v>25</v>
      </c>
      <c r="G759" s="3" t="s">
        <v>49</v>
      </c>
      <c r="H759" s="3" t="s">
        <v>56</v>
      </c>
      <c r="I759" s="3" t="s">
        <v>121</v>
      </c>
      <c r="J759" s="3" t="n">
        <v>40</v>
      </c>
      <c r="K759" s="3" t="n">
        <v>4443.79</v>
      </c>
      <c r="L759" s="3" t="n">
        <v>177751.6</v>
      </c>
      <c r="M759" s="3" t="n">
        <v>0.162</v>
      </c>
      <c r="N759" s="3" t="n">
        <v>28795.76</v>
      </c>
      <c r="O759" s="3" t="n">
        <v>148955.84</v>
      </c>
      <c r="P759" s="3" t="n">
        <v>106650.96</v>
      </c>
      <c r="Q759" s="3" t="n">
        <v>42304.88</v>
      </c>
      <c r="R759" s="3" t="n">
        <v>0.284</v>
      </c>
      <c r="S759" s="3" t="n">
        <v>0.1669</v>
      </c>
      <c r="T759" s="3" t="n">
        <v>-0.0049</v>
      </c>
    </row>
    <row r="760" customFormat="false" ht="15" hidden="false" customHeight="true" outlineLevel="0" collapsed="false">
      <c r="A760" s="3" t="s">
        <v>1376</v>
      </c>
      <c r="B760" s="3" t="s">
        <v>666</v>
      </c>
      <c r="C760" s="3" t="s">
        <v>37</v>
      </c>
      <c r="D760" s="3" t="s">
        <v>83</v>
      </c>
      <c r="E760" s="3" t="s">
        <v>48</v>
      </c>
      <c r="F760" s="3" t="s">
        <v>62</v>
      </c>
      <c r="G760" s="3" t="s">
        <v>71</v>
      </c>
      <c r="H760" s="3" t="s">
        <v>64</v>
      </c>
      <c r="I760" s="3" t="s">
        <v>145</v>
      </c>
      <c r="J760" s="3" t="n">
        <v>33</v>
      </c>
      <c r="K760" s="3" t="n">
        <v>7481.09</v>
      </c>
      <c r="L760" s="3" t="n">
        <v>246875.97</v>
      </c>
      <c r="M760" s="3" t="n">
        <v>0.0431</v>
      </c>
      <c r="N760" s="3" t="n">
        <v>10640.35</v>
      </c>
      <c r="O760" s="3" t="n">
        <v>236235.62</v>
      </c>
      <c r="P760" s="3" t="n">
        <v>143188.06</v>
      </c>
      <c r="Q760" s="3" t="n">
        <v>93047.56</v>
      </c>
      <c r="R760" s="3" t="n">
        <v>0.3939</v>
      </c>
      <c r="S760" s="3" t="n">
        <v>0.0449</v>
      </c>
      <c r="T760" s="3" t="n">
        <v>-0.0018</v>
      </c>
    </row>
    <row r="761" customFormat="false" ht="15" hidden="false" customHeight="true" outlineLevel="0" collapsed="false">
      <c r="A761" s="3" t="s">
        <v>1377</v>
      </c>
      <c r="B761" s="3" t="s">
        <v>1378</v>
      </c>
      <c r="C761" s="3" t="s">
        <v>46</v>
      </c>
      <c r="D761" s="3" t="s">
        <v>107</v>
      </c>
      <c r="E761" s="3" t="s">
        <v>33</v>
      </c>
      <c r="F761" s="3" t="s">
        <v>70</v>
      </c>
      <c r="G761" s="3" t="s">
        <v>104</v>
      </c>
      <c r="H761" s="3" t="s">
        <v>56</v>
      </c>
      <c r="I761" s="3" t="s">
        <v>188</v>
      </c>
      <c r="J761" s="3" t="n">
        <v>8</v>
      </c>
      <c r="K761" s="3" t="n">
        <v>17851.39</v>
      </c>
      <c r="L761" s="3" t="n">
        <v>142811.12</v>
      </c>
      <c r="M761" s="3" t="n">
        <v>0.0818</v>
      </c>
      <c r="N761" s="3" t="n">
        <v>11681.95</v>
      </c>
      <c r="O761" s="3" t="n">
        <v>131129.17</v>
      </c>
      <c r="P761" s="3" t="n">
        <v>85686.67</v>
      </c>
      <c r="Q761" s="3" t="n">
        <v>45442.5</v>
      </c>
      <c r="R761" s="3" t="n">
        <v>0.3465</v>
      </c>
      <c r="S761" s="3" t="n">
        <v>0.0763</v>
      </c>
      <c r="T761" s="3" t="n">
        <v>0.0055</v>
      </c>
    </row>
    <row r="762" customFormat="false" ht="15" hidden="false" customHeight="true" outlineLevel="0" collapsed="false">
      <c r="A762" s="3" t="s">
        <v>1379</v>
      </c>
      <c r="B762" s="3" t="s">
        <v>1365</v>
      </c>
      <c r="C762" s="3" t="s">
        <v>68</v>
      </c>
      <c r="D762" s="3" t="s">
        <v>32</v>
      </c>
      <c r="E762" s="3" t="s">
        <v>33</v>
      </c>
      <c r="F762" s="3" t="s">
        <v>25</v>
      </c>
      <c r="G762" s="3" t="s">
        <v>100</v>
      </c>
      <c r="H762" s="3" t="s">
        <v>27</v>
      </c>
      <c r="I762" s="3" t="s">
        <v>117</v>
      </c>
      <c r="J762" s="3" t="n">
        <v>50</v>
      </c>
      <c r="K762" s="3" t="n">
        <v>29101.15</v>
      </c>
      <c r="L762" s="3" t="n">
        <v>1455057.5</v>
      </c>
      <c r="M762" s="3" t="n">
        <v>0.1416</v>
      </c>
      <c r="N762" s="3" t="n">
        <v>206036.14</v>
      </c>
      <c r="O762" s="3" t="n">
        <v>1249021.36</v>
      </c>
      <c r="P762" s="3" t="n">
        <v>902135.65</v>
      </c>
      <c r="Q762" s="3" t="n">
        <v>346885.71</v>
      </c>
      <c r="R762" s="3" t="n">
        <v>0.2777</v>
      </c>
      <c r="S762" s="3" t="n">
        <v>0.1316</v>
      </c>
      <c r="T762" s="3" t="n">
        <v>0.01</v>
      </c>
    </row>
    <row r="763" customFormat="false" ht="15" hidden="false" customHeight="true" outlineLevel="0" collapsed="false">
      <c r="A763" s="3" t="s">
        <v>1380</v>
      </c>
      <c r="B763" s="3" t="s">
        <v>1381</v>
      </c>
      <c r="C763" s="3" t="s">
        <v>93</v>
      </c>
      <c r="D763" s="3" t="s">
        <v>54</v>
      </c>
      <c r="E763" s="3" t="s">
        <v>24</v>
      </c>
      <c r="F763" s="3" t="s">
        <v>40</v>
      </c>
      <c r="G763" s="3" t="s">
        <v>116</v>
      </c>
      <c r="H763" s="3" t="s">
        <v>77</v>
      </c>
      <c r="I763" s="3" t="s">
        <v>78</v>
      </c>
      <c r="J763" s="3" t="n">
        <v>32</v>
      </c>
      <c r="K763" s="3" t="n">
        <v>3930.51</v>
      </c>
      <c r="L763" s="3" t="n">
        <v>125776.32</v>
      </c>
      <c r="M763" s="3" t="n">
        <v>0.1104</v>
      </c>
      <c r="N763" s="3" t="n">
        <v>13885.71</v>
      </c>
      <c r="O763" s="3" t="n">
        <v>111890.61</v>
      </c>
      <c r="P763" s="3" t="n">
        <v>85527.9</v>
      </c>
      <c r="Q763" s="3" t="n">
        <v>26362.71</v>
      </c>
      <c r="R763" s="3" t="n">
        <v>0.2356</v>
      </c>
      <c r="S763" s="3" t="n">
        <v>0.1041</v>
      </c>
      <c r="T763" s="3" t="n">
        <v>0.0063</v>
      </c>
    </row>
    <row r="764" customFormat="false" ht="15" hidden="false" customHeight="true" outlineLevel="0" collapsed="false">
      <c r="A764" s="3" t="s">
        <v>1382</v>
      </c>
      <c r="B764" s="3" t="s">
        <v>1383</v>
      </c>
      <c r="C764" s="3" t="s">
        <v>37</v>
      </c>
      <c r="D764" s="3" t="s">
        <v>75</v>
      </c>
      <c r="E764" s="3" t="s">
        <v>39</v>
      </c>
      <c r="F764" s="3" t="s">
        <v>25</v>
      </c>
      <c r="G764" s="3" t="s">
        <v>63</v>
      </c>
      <c r="H764" s="3" t="s">
        <v>56</v>
      </c>
      <c r="I764" s="3" t="s">
        <v>188</v>
      </c>
      <c r="J764" s="3" t="n">
        <v>38</v>
      </c>
      <c r="K764" s="3" t="n">
        <v>6214.26</v>
      </c>
      <c r="L764" s="3" t="n">
        <v>236141.88</v>
      </c>
      <c r="M764" s="3" t="n">
        <v>0.1679</v>
      </c>
      <c r="N764" s="3" t="n">
        <v>39648.22</v>
      </c>
      <c r="O764" s="3" t="n">
        <v>196493.66</v>
      </c>
      <c r="P764" s="3" t="n">
        <v>141685.13</v>
      </c>
      <c r="Q764" s="3" t="n">
        <v>54808.53</v>
      </c>
      <c r="R764" s="3" t="n">
        <v>0.2789</v>
      </c>
      <c r="S764" s="3" t="n">
        <v>0.1729</v>
      </c>
      <c r="T764" s="3" t="n">
        <v>-0.005</v>
      </c>
    </row>
    <row r="765" customFormat="false" ht="15" hidden="false" customHeight="true" outlineLevel="0" collapsed="false">
      <c r="A765" s="3" t="s">
        <v>1384</v>
      </c>
      <c r="B765" s="3" t="s">
        <v>206</v>
      </c>
      <c r="C765" s="3" t="s">
        <v>156</v>
      </c>
      <c r="D765" s="3" t="s">
        <v>54</v>
      </c>
      <c r="E765" s="3" t="s">
        <v>24</v>
      </c>
      <c r="F765" s="3" t="s">
        <v>40</v>
      </c>
      <c r="G765" s="3" t="s">
        <v>104</v>
      </c>
      <c r="H765" s="3" t="s">
        <v>42</v>
      </c>
      <c r="I765" s="3" t="s">
        <v>43</v>
      </c>
      <c r="J765" s="3" t="n">
        <v>9</v>
      </c>
      <c r="K765" s="3" t="n">
        <v>2566.62</v>
      </c>
      <c r="L765" s="3" t="n">
        <v>23099.58</v>
      </c>
      <c r="M765" s="3" t="n">
        <v>0.1058</v>
      </c>
      <c r="N765" s="3" t="n">
        <v>2443.94</v>
      </c>
      <c r="O765" s="3" t="n">
        <v>20655.64</v>
      </c>
      <c r="P765" s="3" t="n">
        <v>12704.77</v>
      </c>
      <c r="Q765" s="3" t="n">
        <v>7950.87</v>
      </c>
      <c r="R765" s="3" t="n">
        <v>0.3849</v>
      </c>
      <c r="S765" s="3" t="n">
        <v>0.1089</v>
      </c>
      <c r="T765" s="3" t="n">
        <v>-0.0031</v>
      </c>
    </row>
    <row r="766" customFormat="false" ht="15" hidden="false" customHeight="true" outlineLevel="0" collapsed="false">
      <c r="A766" s="3" t="s">
        <v>1385</v>
      </c>
      <c r="B766" s="3" t="s">
        <v>1386</v>
      </c>
      <c r="C766" s="3" t="s">
        <v>53</v>
      </c>
      <c r="D766" s="3" t="s">
        <v>23</v>
      </c>
      <c r="E766" s="3" t="s">
        <v>24</v>
      </c>
      <c r="F766" s="3" t="s">
        <v>25</v>
      </c>
      <c r="G766" s="3" t="s">
        <v>116</v>
      </c>
      <c r="H766" s="3" t="s">
        <v>42</v>
      </c>
      <c r="I766" s="3" t="s">
        <v>134</v>
      </c>
      <c r="J766" s="3" t="n">
        <v>23</v>
      </c>
      <c r="K766" s="3" t="n">
        <v>1998.52</v>
      </c>
      <c r="L766" s="3" t="n">
        <v>45965.96</v>
      </c>
      <c r="M766" s="3" t="n">
        <v>0.1249</v>
      </c>
      <c r="N766" s="3" t="n">
        <v>5741.15</v>
      </c>
      <c r="O766" s="3" t="n">
        <v>40224.81</v>
      </c>
      <c r="P766" s="3" t="n">
        <v>25281.28</v>
      </c>
      <c r="Q766" s="3" t="n">
        <v>14943.53</v>
      </c>
      <c r="R766" s="3" t="n">
        <v>0.3715</v>
      </c>
      <c r="S766" s="3" t="n">
        <v>0.1242</v>
      </c>
      <c r="T766" s="3" t="n">
        <v>0.0007</v>
      </c>
    </row>
    <row r="767" customFormat="false" ht="15" hidden="false" customHeight="true" outlineLevel="0" collapsed="false">
      <c r="A767" s="3" t="s">
        <v>1387</v>
      </c>
      <c r="B767" s="3" t="s">
        <v>1180</v>
      </c>
      <c r="C767" s="3" t="s">
        <v>37</v>
      </c>
      <c r="D767" s="3" t="s">
        <v>38</v>
      </c>
      <c r="E767" s="3" t="s">
        <v>39</v>
      </c>
      <c r="F767" s="3" t="s">
        <v>40</v>
      </c>
      <c r="G767" s="3" t="s">
        <v>76</v>
      </c>
      <c r="H767" s="3" t="s">
        <v>27</v>
      </c>
      <c r="I767" s="3" t="s">
        <v>28</v>
      </c>
      <c r="J767" s="3" t="n">
        <v>11</v>
      </c>
      <c r="K767" s="3" t="n">
        <v>11663.08</v>
      </c>
      <c r="L767" s="3" t="n">
        <v>128293.88</v>
      </c>
      <c r="M767" s="3" t="n">
        <v>0.031</v>
      </c>
      <c r="N767" s="3" t="n">
        <v>3977.11</v>
      </c>
      <c r="O767" s="3" t="n">
        <v>124316.77</v>
      </c>
      <c r="P767" s="3" t="n">
        <v>79542.21</v>
      </c>
      <c r="Q767" s="3" t="n">
        <v>44774.56</v>
      </c>
      <c r="R767" s="3" t="n">
        <v>0.3602</v>
      </c>
      <c r="S767" s="3" t="n">
        <v>0.0251</v>
      </c>
      <c r="T767" s="3" t="n">
        <v>0.0059</v>
      </c>
    </row>
    <row r="768" customFormat="false" ht="15" hidden="false" customHeight="true" outlineLevel="0" collapsed="false">
      <c r="A768" s="3" t="s">
        <v>1388</v>
      </c>
      <c r="B768" s="3" t="s">
        <v>1389</v>
      </c>
      <c r="C768" s="3" t="s">
        <v>156</v>
      </c>
      <c r="D768" s="3" t="s">
        <v>23</v>
      </c>
      <c r="E768" s="3" t="s">
        <v>24</v>
      </c>
      <c r="F768" s="3" t="s">
        <v>25</v>
      </c>
      <c r="G768" s="3" t="s">
        <v>100</v>
      </c>
      <c r="H768" s="3" t="s">
        <v>77</v>
      </c>
      <c r="I768" s="3" t="s">
        <v>85</v>
      </c>
      <c r="J768" s="3" t="n">
        <v>18</v>
      </c>
      <c r="K768" s="3" t="n">
        <v>5526.77</v>
      </c>
      <c r="L768" s="3" t="n">
        <v>99481.86</v>
      </c>
      <c r="M768" s="3" t="n">
        <v>0.1086</v>
      </c>
      <c r="N768" s="3" t="n">
        <v>10803.73</v>
      </c>
      <c r="O768" s="3" t="n">
        <v>88678.13</v>
      </c>
      <c r="P768" s="3" t="n">
        <v>67647.66</v>
      </c>
      <c r="Q768" s="3" t="n">
        <v>21030.47</v>
      </c>
      <c r="R768" s="3" t="n">
        <v>0.2372</v>
      </c>
      <c r="S768" s="3" t="n">
        <v>0.119</v>
      </c>
      <c r="T768" s="3" t="n">
        <v>-0.0104</v>
      </c>
    </row>
    <row r="769" customFormat="false" ht="15" hidden="false" customHeight="true" outlineLevel="0" collapsed="false">
      <c r="A769" s="3" t="s">
        <v>1390</v>
      </c>
      <c r="B769" s="3" t="s">
        <v>204</v>
      </c>
      <c r="C769" s="3" t="s">
        <v>37</v>
      </c>
      <c r="D769" s="3" t="s">
        <v>47</v>
      </c>
      <c r="E769" s="3" t="s">
        <v>48</v>
      </c>
      <c r="F769" s="3" t="s">
        <v>25</v>
      </c>
      <c r="G769" s="3" t="s">
        <v>49</v>
      </c>
      <c r="H769" s="3" t="s">
        <v>56</v>
      </c>
      <c r="I769" s="3" t="s">
        <v>57</v>
      </c>
      <c r="J769" s="3" t="n">
        <v>32</v>
      </c>
      <c r="K769" s="3" t="n">
        <v>11160.62</v>
      </c>
      <c r="L769" s="3" t="n">
        <v>357139.84</v>
      </c>
      <c r="M769" s="3" t="n">
        <v>0.129</v>
      </c>
      <c r="N769" s="3" t="n">
        <v>46071.04</v>
      </c>
      <c r="O769" s="3" t="n">
        <v>311068.8</v>
      </c>
      <c r="P769" s="3" t="n">
        <v>214283.9</v>
      </c>
      <c r="Q769" s="3" t="n">
        <v>96784.9</v>
      </c>
      <c r="R769" s="3" t="n">
        <v>0.3111</v>
      </c>
      <c r="S769" s="3" t="n">
        <v>0.1224</v>
      </c>
      <c r="T769" s="3" t="n">
        <v>0.0066</v>
      </c>
    </row>
    <row r="770" customFormat="false" ht="15" hidden="false" customHeight="true" outlineLevel="0" collapsed="false">
      <c r="A770" s="3" t="s">
        <v>1391</v>
      </c>
      <c r="B770" s="3" t="s">
        <v>372</v>
      </c>
      <c r="C770" s="3" t="s">
        <v>22</v>
      </c>
      <c r="D770" s="3" t="s">
        <v>23</v>
      </c>
      <c r="E770" s="3" t="s">
        <v>24</v>
      </c>
      <c r="F770" s="3" t="s">
        <v>25</v>
      </c>
      <c r="G770" s="3" t="s">
        <v>55</v>
      </c>
      <c r="H770" s="3" t="s">
        <v>42</v>
      </c>
      <c r="I770" s="3" t="s">
        <v>43</v>
      </c>
      <c r="J770" s="3" t="n">
        <v>28</v>
      </c>
      <c r="K770" s="3" t="n">
        <v>1548.32</v>
      </c>
      <c r="L770" s="3" t="n">
        <v>43352.96</v>
      </c>
      <c r="M770" s="3" t="n">
        <v>0.1309</v>
      </c>
      <c r="N770" s="3" t="n">
        <v>5674.9</v>
      </c>
      <c r="O770" s="3" t="n">
        <v>37678.06</v>
      </c>
      <c r="P770" s="3" t="n">
        <v>23844.13</v>
      </c>
      <c r="Q770" s="3" t="n">
        <v>13833.93</v>
      </c>
      <c r="R770" s="3" t="n">
        <v>0.3672</v>
      </c>
      <c r="S770" s="3" t="n">
        <v>0.1377</v>
      </c>
      <c r="T770" s="3" t="n">
        <v>-0.0068</v>
      </c>
    </row>
    <row r="771" customFormat="false" ht="15" hidden="false" customHeight="true" outlineLevel="0" collapsed="false">
      <c r="A771" s="3" t="s">
        <v>1392</v>
      </c>
      <c r="B771" s="3" t="s">
        <v>580</v>
      </c>
      <c r="C771" s="3" t="s">
        <v>53</v>
      </c>
      <c r="D771" s="3" t="s">
        <v>107</v>
      </c>
      <c r="E771" s="3" t="s">
        <v>33</v>
      </c>
      <c r="F771" s="3" t="s">
        <v>70</v>
      </c>
      <c r="G771" s="3" t="s">
        <v>76</v>
      </c>
      <c r="H771" s="3" t="s">
        <v>64</v>
      </c>
      <c r="I771" s="3" t="s">
        <v>145</v>
      </c>
      <c r="J771" s="3" t="n">
        <v>37</v>
      </c>
      <c r="K771" s="3" t="n">
        <v>3427.78</v>
      </c>
      <c r="L771" s="3" t="n">
        <v>126827.86</v>
      </c>
      <c r="M771" s="3" t="n">
        <v>0.0501</v>
      </c>
      <c r="N771" s="3" t="n">
        <v>6354.08</v>
      </c>
      <c r="O771" s="3" t="n">
        <v>120473.78</v>
      </c>
      <c r="P771" s="3" t="n">
        <v>73560.16</v>
      </c>
      <c r="Q771" s="3" t="n">
        <v>46913.62</v>
      </c>
      <c r="R771" s="3" t="n">
        <v>0.3894</v>
      </c>
      <c r="S771" s="3" t="n">
        <v>0.0495</v>
      </c>
      <c r="T771" s="3" t="n">
        <v>0.0006</v>
      </c>
    </row>
    <row r="772" customFormat="false" ht="15" hidden="false" customHeight="true" outlineLevel="0" collapsed="false">
      <c r="A772" s="3" t="s">
        <v>1393</v>
      </c>
      <c r="B772" s="3" t="s">
        <v>504</v>
      </c>
      <c r="C772" s="3" t="s">
        <v>68</v>
      </c>
      <c r="D772" s="3" t="s">
        <v>61</v>
      </c>
      <c r="E772" s="3" t="s">
        <v>33</v>
      </c>
      <c r="F772" s="3" t="s">
        <v>62</v>
      </c>
      <c r="G772" s="3" t="s">
        <v>55</v>
      </c>
      <c r="H772" s="3" t="s">
        <v>56</v>
      </c>
      <c r="I772" s="3" t="s">
        <v>188</v>
      </c>
      <c r="J772" s="3" t="n">
        <v>5</v>
      </c>
      <c r="K772" s="3" t="n">
        <v>7389.41</v>
      </c>
      <c r="L772" s="3" t="n">
        <v>36947.05</v>
      </c>
      <c r="M772" s="3" t="n">
        <v>0.0583</v>
      </c>
      <c r="N772" s="3" t="n">
        <v>2154.01</v>
      </c>
      <c r="O772" s="3" t="n">
        <v>34793.04</v>
      </c>
      <c r="P772" s="3" t="n">
        <v>22168.23</v>
      </c>
      <c r="Q772" s="3" t="n">
        <v>12624.81</v>
      </c>
      <c r="R772" s="3" t="n">
        <v>0.3629</v>
      </c>
      <c r="S772" s="3" t="n">
        <v>0.055</v>
      </c>
      <c r="T772" s="3" t="n">
        <v>0.0033</v>
      </c>
    </row>
    <row r="773" customFormat="false" ht="15" hidden="false" customHeight="true" outlineLevel="0" collapsed="false">
      <c r="A773" s="3" t="s">
        <v>1394</v>
      </c>
      <c r="B773" s="3" t="s">
        <v>1395</v>
      </c>
      <c r="C773" s="3" t="s">
        <v>31</v>
      </c>
      <c r="D773" s="3" t="s">
        <v>69</v>
      </c>
      <c r="E773" s="3" t="s">
        <v>39</v>
      </c>
      <c r="F773" s="3" t="s">
        <v>70</v>
      </c>
      <c r="G773" s="3" t="s">
        <v>71</v>
      </c>
      <c r="H773" s="3" t="s">
        <v>42</v>
      </c>
      <c r="I773" s="3" t="s">
        <v>43</v>
      </c>
      <c r="J773" s="3" t="n">
        <v>33</v>
      </c>
      <c r="K773" s="3" t="n">
        <v>3383.09</v>
      </c>
      <c r="L773" s="3" t="n">
        <v>111641.97</v>
      </c>
      <c r="M773" s="3" t="n">
        <v>0.0702</v>
      </c>
      <c r="N773" s="3" t="n">
        <v>7837.27</v>
      </c>
      <c r="O773" s="3" t="n">
        <v>103804.7</v>
      </c>
      <c r="P773" s="3" t="n">
        <v>61403.08</v>
      </c>
      <c r="Q773" s="3" t="n">
        <v>42401.62</v>
      </c>
      <c r="R773" s="3" t="n">
        <v>0.4085</v>
      </c>
      <c r="S773" s="3" t="n">
        <v>0.0701</v>
      </c>
      <c r="T773" s="3" t="n">
        <v>0.0001</v>
      </c>
    </row>
    <row r="774" customFormat="false" ht="15" hidden="false" customHeight="true" outlineLevel="0" collapsed="false">
      <c r="A774" s="3" t="s">
        <v>1396</v>
      </c>
      <c r="B774" s="3" t="s">
        <v>430</v>
      </c>
      <c r="C774" s="3" t="s">
        <v>113</v>
      </c>
      <c r="D774" s="3" t="s">
        <v>103</v>
      </c>
      <c r="E774" s="3" t="s">
        <v>24</v>
      </c>
      <c r="F774" s="3" t="s">
        <v>62</v>
      </c>
      <c r="G774" s="3" t="s">
        <v>63</v>
      </c>
      <c r="H774" s="3" t="s">
        <v>64</v>
      </c>
      <c r="I774" s="3" t="s">
        <v>90</v>
      </c>
      <c r="J774" s="3" t="n">
        <v>33</v>
      </c>
      <c r="K774" s="3" t="n">
        <v>5261.38</v>
      </c>
      <c r="L774" s="3" t="n">
        <v>173625.54</v>
      </c>
      <c r="M774" s="3" t="n">
        <v>0.0527</v>
      </c>
      <c r="N774" s="3" t="n">
        <v>9150.07</v>
      </c>
      <c r="O774" s="3" t="n">
        <v>164475.47</v>
      </c>
      <c r="P774" s="3" t="n">
        <v>100702.81</v>
      </c>
      <c r="Q774" s="3" t="n">
        <v>63772.66</v>
      </c>
      <c r="R774" s="3" t="n">
        <v>0.3877</v>
      </c>
      <c r="S774" s="3" t="n">
        <v>0.056</v>
      </c>
      <c r="T774" s="3" t="n">
        <v>-0.0033</v>
      </c>
    </row>
    <row r="775" customFormat="false" ht="15" hidden="false" customHeight="true" outlineLevel="0" collapsed="false">
      <c r="A775" s="3" t="s">
        <v>1397</v>
      </c>
      <c r="B775" s="3" t="s">
        <v>1398</v>
      </c>
      <c r="C775" s="3" t="s">
        <v>93</v>
      </c>
      <c r="D775" s="3" t="s">
        <v>23</v>
      </c>
      <c r="E775" s="3" t="s">
        <v>24</v>
      </c>
      <c r="F775" s="3" t="s">
        <v>25</v>
      </c>
      <c r="G775" s="3" t="s">
        <v>55</v>
      </c>
      <c r="H775" s="3" t="s">
        <v>56</v>
      </c>
      <c r="I775" s="3" t="s">
        <v>188</v>
      </c>
      <c r="J775" s="3" t="n">
        <v>43</v>
      </c>
      <c r="K775" s="3" t="n">
        <v>9987.26</v>
      </c>
      <c r="L775" s="3" t="n">
        <v>429452.18</v>
      </c>
      <c r="M775" s="3" t="n">
        <v>0.1775</v>
      </c>
      <c r="N775" s="3" t="n">
        <v>76227.76</v>
      </c>
      <c r="O775" s="3" t="n">
        <v>353224.42</v>
      </c>
      <c r="P775" s="3" t="n">
        <v>257671.31</v>
      </c>
      <c r="Q775" s="3" t="n">
        <v>95553.11</v>
      </c>
      <c r="R775" s="3" t="n">
        <v>0.2705</v>
      </c>
      <c r="S775" s="3" t="n">
        <v>0.1563</v>
      </c>
      <c r="T775" s="3" t="n">
        <v>0.0212</v>
      </c>
    </row>
    <row r="776" customFormat="false" ht="15" hidden="false" customHeight="true" outlineLevel="0" collapsed="false">
      <c r="A776" s="3" t="s">
        <v>1399</v>
      </c>
      <c r="B776" s="3" t="s">
        <v>1400</v>
      </c>
      <c r="C776" s="3" t="s">
        <v>46</v>
      </c>
      <c r="D776" s="3" t="s">
        <v>23</v>
      </c>
      <c r="E776" s="3" t="s">
        <v>24</v>
      </c>
      <c r="F776" s="3" t="s">
        <v>25</v>
      </c>
      <c r="G776" s="3" t="s">
        <v>63</v>
      </c>
      <c r="H776" s="3" t="s">
        <v>56</v>
      </c>
      <c r="I776" s="3" t="s">
        <v>121</v>
      </c>
      <c r="J776" s="3" t="n">
        <v>47</v>
      </c>
      <c r="K776" s="3" t="n">
        <v>16954.17</v>
      </c>
      <c r="L776" s="3" t="n">
        <v>796845.99</v>
      </c>
      <c r="M776" s="3" t="n">
        <v>0.1431</v>
      </c>
      <c r="N776" s="3" t="n">
        <v>114028.66</v>
      </c>
      <c r="O776" s="3" t="n">
        <v>682817.33</v>
      </c>
      <c r="P776" s="3" t="n">
        <v>478107.59</v>
      </c>
      <c r="Q776" s="3" t="n">
        <v>204709.74</v>
      </c>
      <c r="R776" s="3" t="n">
        <v>0.2998</v>
      </c>
      <c r="S776" s="3" t="n">
        <v>0.1344</v>
      </c>
      <c r="T776" s="3" t="n">
        <v>0.0087</v>
      </c>
    </row>
    <row r="777" customFormat="false" ht="15" hidden="false" customHeight="true" outlineLevel="0" collapsed="false">
      <c r="A777" s="3" t="s">
        <v>1401</v>
      </c>
      <c r="B777" s="3" t="s">
        <v>1402</v>
      </c>
      <c r="C777" s="3" t="s">
        <v>31</v>
      </c>
      <c r="D777" s="3" t="s">
        <v>69</v>
      </c>
      <c r="E777" s="3" t="s">
        <v>39</v>
      </c>
      <c r="F777" s="3" t="s">
        <v>70</v>
      </c>
      <c r="G777" s="3" t="s">
        <v>63</v>
      </c>
      <c r="H777" s="3" t="s">
        <v>64</v>
      </c>
      <c r="I777" s="3" t="s">
        <v>145</v>
      </c>
      <c r="J777" s="3" t="n">
        <v>5</v>
      </c>
      <c r="K777" s="3" t="n">
        <v>6692.34</v>
      </c>
      <c r="L777" s="3" t="n">
        <v>33461.7</v>
      </c>
      <c r="M777" s="3" t="n">
        <v>0.0617</v>
      </c>
      <c r="N777" s="3" t="n">
        <v>2064.59</v>
      </c>
      <c r="O777" s="3" t="n">
        <v>31397.11</v>
      </c>
      <c r="P777" s="3" t="n">
        <v>19407.79</v>
      </c>
      <c r="Q777" s="3" t="n">
        <v>11989.32</v>
      </c>
      <c r="R777" s="3" t="n">
        <v>0.3819</v>
      </c>
      <c r="S777" s="3" t="n">
        <v>0.0543</v>
      </c>
      <c r="T777" s="3" t="n">
        <v>0.0074</v>
      </c>
    </row>
    <row r="778" customFormat="false" ht="15" hidden="false" customHeight="true" outlineLevel="0" collapsed="false">
      <c r="A778" s="3" t="s">
        <v>1403</v>
      </c>
      <c r="B778" s="3" t="s">
        <v>388</v>
      </c>
      <c r="C778" s="3" t="s">
        <v>60</v>
      </c>
      <c r="D778" s="3" t="s">
        <v>54</v>
      </c>
      <c r="E778" s="3" t="s">
        <v>24</v>
      </c>
      <c r="F778" s="3" t="s">
        <v>40</v>
      </c>
      <c r="G778" s="3" t="s">
        <v>71</v>
      </c>
      <c r="H778" s="3" t="s">
        <v>64</v>
      </c>
      <c r="I778" s="3" t="s">
        <v>145</v>
      </c>
      <c r="J778" s="3" t="n">
        <v>26</v>
      </c>
      <c r="K778" s="3" t="n">
        <v>8411.09</v>
      </c>
      <c r="L778" s="3" t="n">
        <v>218688.34</v>
      </c>
      <c r="M778" s="3" t="n">
        <v>0.0419</v>
      </c>
      <c r="N778" s="3" t="n">
        <v>9163.04</v>
      </c>
      <c r="O778" s="3" t="n">
        <v>209525.3</v>
      </c>
      <c r="P778" s="3" t="n">
        <v>126839.24</v>
      </c>
      <c r="Q778" s="3" t="n">
        <v>82686.06</v>
      </c>
      <c r="R778" s="3" t="n">
        <v>0.3946</v>
      </c>
      <c r="S778" s="3" t="n">
        <v>0.036</v>
      </c>
      <c r="T778" s="3" t="n">
        <v>0.0059</v>
      </c>
    </row>
    <row r="779" customFormat="false" ht="15" hidden="false" customHeight="true" outlineLevel="0" collapsed="false">
      <c r="A779" s="3" t="s">
        <v>1404</v>
      </c>
      <c r="B779" s="3" t="s">
        <v>1405</v>
      </c>
      <c r="C779" s="3" t="s">
        <v>156</v>
      </c>
      <c r="D779" s="3" t="s">
        <v>69</v>
      </c>
      <c r="E779" s="3" t="s">
        <v>39</v>
      </c>
      <c r="F779" s="3" t="s">
        <v>70</v>
      </c>
      <c r="G779" s="3" t="s">
        <v>84</v>
      </c>
      <c r="H779" s="3" t="s">
        <v>42</v>
      </c>
      <c r="I779" s="3" t="s">
        <v>134</v>
      </c>
      <c r="J779" s="3" t="n">
        <v>28</v>
      </c>
      <c r="K779" s="3" t="n">
        <v>2459.39</v>
      </c>
      <c r="L779" s="3" t="n">
        <v>68862.92</v>
      </c>
      <c r="M779" s="3" t="n">
        <v>0.0511</v>
      </c>
      <c r="N779" s="3" t="n">
        <v>3518.9</v>
      </c>
      <c r="O779" s="3" t="n">
        <v>65344.02</v>
      </c>
      <c r="P779" s="3" t="n">
        <v>37874.61</v>
      </c>
      <c r="Q779" s="3" t="n">
        <v>27469.41</v>
      </c>
      <c r="R779" s="3" t="n">
        <v>0.4204</v>
      </c>
      <c r="S779" s="3" t="n">
        <v>0.044</v>
      </c>
      <c r="T779" s="3" t="n">
        <v>0.0071</v>
      </c>
    </row>
    <row r="780" customFormat="false" ht="15" hidden="false" customHeight="true" outlineLevel="0" collapsed="false">
      <c r="A780" s="3" t="s">
        <v>1406</v>
      </c>
      <c r="B780" s="3" t="s">
        <v>1407</v>
      </c>
      <c r="C780" s="3" t="s">
        <v>60</v>
      </c>
      <c r="D780" s="3" t="s">
        <v>54</v>
      </c>
      <c r="E780" s="3" t="s">
        <v>24</v>
      </c>
      <c r="F780" s="3" t="s">
        <v>40</v>
      </c>
      <c r="G780" s="3" t="s">
        <v>76</v>
      </c>
      <c r="H780" s="3" t="s">
        <v>64</v>
      </c>
      <c r="I780" s="3" t="s">
        <v>65</v>
      </c>
      <c r="J780" s="3" t="n">
        <v>18</v>
      </c>
      <c r="K780" s="3" t="n">
        <v>10107.03</v>
      </c>
      <c r="L780" s="3" t="n">
        <v>181926.54</v>
      </c>
      <c r="M780" s="3" t="n">
        <v>0.0629</v>
      </c>
      <c r="N780" s="3" t="n">
        <v>11443.18</v>
      </c>
      <c r="O780" s="3" t="n">
        <v>170483.36</v>
      </c>
      <c r="P780" s="3" t="n">
        <v>105517.39</v>
      </c>
      <c r="Q780" s="3" t="n">
        <v>64965.97</v>
      </c>
      <c r="R780" s="3" t="n">
        <v>0.3811</v>
      </c>
      <c r="S780" s="3" t="n">
        <v>0.0625</v>
      </c>
      <c r="T780" s="3" t="n">
        <v>0.0004</v>
      </c>
    </row>
    <row r="781" customFormat="false" ht="15" hidden="false" customHeight="true" outlineLevel="0" collapsed="false">
      <c r="A781" s="3" t="s">
        <v>1408</v>
      </c>
      <c r="B781" s="3" t="s">
        <v>1409</v>
      </c>
      <c r="C781" s="3" t="s">
        <v>31</v>
      </c>
      <c r="D781" s="3" t="s">
        <v>32</v>
      </c>
      <c r="E781" s="3" t="s">
        <v>33</v>
      </c>
      <c r="F781" s="3" t="s">
        <v>25</v>
      </c>
      <c r="G781" s="3" t="s">
        <v>104</v>
      </c>
      <c r="H781" s="3" t="s">
        <v>77</v>
      </c>
      <c r="I781" s="3" t="s">
        <v>131</v>
      </c>
      <c r="J781" s="3" t="n">
        <v>6</v>
      </c>
      <c r="K781" s="3" t="n">
        <v>5326</v>
      </c>
      <c r="L781" s="3" t="n">
        <v>31956</v>
      </c>
      <c r="M781" s="3" t="n">
        <v>0.1321</v>
      </c>
      <c r="N781" s="3" t="n">
        <v>4221.39</v>
      </c>
      <c r="O781" s="3" t="n">
        <v>27734.61</v>
      </c>
      <c r="P781" s="3" t="n">
        <v>21730.08</v>
      </c>
      <c r="Q781" s="3" t="n">
        <v>6004.53</v>
      </c>
      <c r="R781" s="3" t="n">
        <v>0.2165</v>
      </c>
      <c r="S781" s="3" t="n">
        <v>0.1412</v>
      </c>
      <c r="T781" s="3" t="n">
        <v>-0.0091</v>
      </c>
    </row>
    <row r="782" customFormat="false" ht="15" hidden="false" customHeight="true" outlineLevel="0" collapsed="false">
      <c r="A782" s="3" t="s">
        <v>1410</v>
      </c>
      <c r="B782" s="3" t="s">
        <v>1411</v>
      </c>
      <c r="C782" s="3" t="s">
        <v>120</v>
      </c>
      <c r="D782" s="3" t="s">
        <v>23</v>
      </c>
      <c r="E782" s="3" t="s">
        <v>24</v>
      </c>
      <c r="F782" s="3" t="s">
        <v>25</v>
      </c>
      <c r="G782" s="3" t="s">
        <v>26</v>
      </c>
      <c r="H782" s="3" t="s">
        <v>27</v>
      </c>
      <c r="I782" s="3" t="s">
        <v>173</v>
      </c>
      <c r="J782" s="3" t="n">
        <v>16</v>
      </c>
      <c r="K782" s="3" t="n">
        <v>34968.01</v>
      </c>
      <c r="L782" s="3" t="n">
        <v>559488.16</v>
      </c>
      <c r="M782" s="3" t="n">
        <v>0.1344</v>
      </c>
      <c r="N782" s="3" t="n">
        <v>75195.21</v>
      </c>
      <c r="O782" s="3" t="n">
        <v>484292.95</v>
      </c>
      <c r="P782" s="3" t="n">
        <v>346882.66</v>
      </c>
      <c r="Q782" s="3" t="n">
        <v>137410.29</v>
      </c>
      <c r="R782" s="3" t="n">
        <v>0.2837</v>
      </c>
      <c r="S782" s="3" t="n">
        <v>0.1285</v>
      </c>
      <c r="T782" s="3" t="n">
        <v>0.0059</v>
      </c>
    </row>
    <row r="783" customFormat="false" ht="15" hidden="false" customHeight="true" outlineLevel="0" collapsed="false">
      <c r="A783" s="3" t="s">
        <v>1412</v>
      </c>
      <c r="B783" s="3" t="s">
        <v>1231</v>
      </c>
      <c r="C783" s="3" t="s">
        <v>37</v>
      </c>
      <c r="D783" s="3" t="s">
        <v>38</v>
      </c>
      <c r="E783" s="3" t="s">
        <v>39</v>
      </c>
      <c r="F783" s="3" t="s">
        <v>40</v>
      </c>
      <c r="G783" s="3" t="s">
        <v>84</v>
      </c>
      <c r="H783" s="3" t="s">
        <v>56</v>
      </c>
      <c r="I783" s="3" t="s">
        <v>57</v>
      </c>
      <c r="J783" s="3" t="n">
        <v>16</v>
      </c>
      <c r="K783" s="3" t="n">
        <v>16153.04</v>
      </c>
      <c r="L783" s="3" t="n">
        <v>258448.64</v>
      </c>
      <c r="M783" s="3" t="n">
        <v>0.06</v>
      </c>
      <c r="N783" s="3" t="n">
        <v>15506.92</v>
      </c>
      <c r="O783" s="3" t="n">
        <v>242941.72</v>
      </c>
      <c r="P783" s="3" t="n">
        <v>155069.18</v>
      </c>
      <c r="Q783" s="3" t="n">
        <v>87872.54</v>
      </c>
      <c r="R783" s="3" t="n">
        <v>0.3617</v>
      </c>
      <c r="S783" s="3" t="n">
        <v>0.0539</v>
      </c>
      <c r="T783" s="3" t="n">
        <v>0.0061</v>
      </c>
    </row>
    <row r="784" customFormat="false" ht="15" hidden="false" customHeight="true" outlineLevel="0" collapsed="false">
      <c r="A784" s="3" t="s">
        <v>1413</v>
      </c>
      <c r="B784" s="3" t="s">
        <v>989</v>
      </c>
      <c r="C784" s="3" t="s">
        <v>120</v>
      </c>
      <c r="D784" s="3" t="s">
        <v>38</v>
      </c>
      <c r="E784" s="3" t="s">
        <v>39</v>
      </c>
      <c r="F784" s="3" t="s">
        <v>40</v>
      </c>
      <c r="G784" s="3" t="s">
        <v>26</v>
      </c>
      <c r="H784" s="3" t="s">
        <v>77</v>
      </c>
      <c r="I784" s="3" t="s">
        <v>85</v>
      </c>
      <c r="J784" s="3" t="n">
        <v>28</v>
      </c>
      <c r="K784" s="3" t="n">
        <v>2332.5</v>
      </c>
      <c r="L784" s="3" t="n">
        <v>65310</v>
      </c>
      <c r="M784" s="3" t="n">
        <v>0.0409</v>
      </c>
      <c r="N784" s="3" t="n">
        <v>2671.18</v>
      </c>
      <c r="O784" s="3" t="n">
        <v>62638.82</v>
      </c>
      <c r="P784" s="3" t="n">
        <v>44410.8</v>
      </c>
      <c r="Q784" s="3" t="n">
        <v>18228.02</v>
      </c>
      <c r="R784" s="3" t="n">
        <v>0.291</v>
      </c>
      <c r="S784" s="3" t="n">
        <v>0.0349</v>
      </c>
      <c r="T784" s="3" t="n">
        <v>0.006</v>
      </c>
    </row>
    <row r="785" customFormat="false" ht="15" hidden="false" customHeight="true" outlineLevel="0" collapsed="false">
      <c r="A785" s="3" t="s">
        <v>1414</v>
      </c>
      <c r="B785" s="3" t="s">
        <v>1415</v>
      </c>
      <c r="C785" s="3" t="s">
        <v>46</v>
      </c>
      <c r="D785" s="3" t="s">
        <v>54</v>
      </c>
      <c r="E785" s="3" t="s">
        <v>24</v>
      </c>
      <c r="F785" s="3" t="s">
        <v>40</v>
      </c>
      <c r="G785" s="3" t="s">
        <v>76</v>
      </c>
      <c r="H785" s="3" t="s">
        <v>77</v>
      </c>
      <c r="I785" s="3" t="s">
        <v>78</v>
      </c>
      <c r="J785" s="3" t="n">
        <v>4</v>
      </c>
      <c r="K785" s="3" t="n">
        <v>5341.92</v>
      </c>
      <c r="L785" s="3" t="n">
        <v>21367.68</v>
      </c>
      <c r="M785" s="3" t="n">
        <v>0.0545</v>
      </c>
      <c r="N785" s="3" t="n">
        <v>1164.54</v>
      </c>
      <c r="O785" s="3" t="n">
        <v>20203.14</v>
      </c>
      <c r="P785" s="3" t="n">
        <v>14530.02</v>
      </c>
      <c r="Q785" s="3" t="n">
        <v>5673.12</v>
      </c>
      <c r="R785" s="3" t="n">
        <v>0.2808</v>
      </c>
      <c r="S785" s="3" t="n">
        <v>0.0551</v>
      </c>
      <c r="T785" s="3" t="n">
        <v>-0.0006</v>
      </c>
    </row>
    <row r="786" customFormat="false" ht="15" hidden="false" customHeight="true" outlineLevel="0" collapsed="false">
      <c r="A786" s="3" t="s">
        <v>1416</v>
      </c>
      <c r="B786" s="3" t="s">
        <v>1417</v>
      </c>
      <c r="C786" s="3" t="s">
        <v>60</v>
      </c>
      <c r="D786" s="3" t="s">
        <v>61</v>
      </c>
      <c r="E786" s="3" t="s">
        <v>33</v>
      </c>
      <c r="F786" s="3" t="s">
        <v>62</v>
      </c>
      <c r="G786" s="3" t="s">
        <v>63</v>
      </c>
      <c r="H786" s="3" t="s">
        <v>42</v>
      </c>
      <c r="I786" s="3" t="s">
        <v>72</v>
      </c>
      <c r="J786" s="3" t="n">
        <v>16</v>
      </c>
      <c r="K786" s="3" t="n">
        <v>2161.99</v>
      </c>
      <c r="L786" s="3" t="n">
        <v>34591.84</v>
      </c>
      <c r="M786" s="3" t="n">
        <v>0.0782</v>
      </c>
      <c r="N786" s="3" t="n">
        <v>2705.08</v>
      </c>
      <c r="O786" s="3" t="n">
        <v>31886.76</v>
      </c>
      <c r="P786" s="3" t="n">
        <v>19025.51</v>
      </c>
      <c r="Q786" s="3" t="n">
        <v>12861.25</v>
      </c>
      <c r="R786" s="3" t="n">
        <v>0.4033</v>
      </c>
      <c r="S786" s="3" t="n">
        <v>0.071</v>
      </c>
      <c r="T786" s="3" t="n">
        <v>0.0072</v>
      </c>
    </row>
    <row r="787" customFormat="false" ht="15" hidden="false" customHeight="true" outlineLevel="0" collapsed="false">
      <c r="A787" s="3" t="s">
        <v>1418</v>
      </c>
      <c r="B787" s="3" t="s">
        <v>676</v>
      </c>
      <c r="C787" s="3" t="s">
        <v>22</v>
      </c>
      <c r="D787" s="3" t="s">
        <v>97</v>
      </c>
      <c r="E787" s="3" t="s">
        <v>48</v>
      </c>
      <c r="F787" s="3" t="s">
        <v>40</v>
      </c>
      <c r="G787" s="3" t="s">
        <v>104</v>
      </c>
      <c r="H787" s="3" t="s">
        <v>42</v>
      </c>
      <c r="I787" s="3" t="s">
        <v>134</v>
      </c>
      <c r="J787" s="3" t="n">
        <v>39</v>
      </c>
      <c r="K787" s="3" t="n">
        <v>2758.89</v>
      </c>
      <c r="L787" s="3" t="n">
        <v>107596.71</v>
      </c>
      <c r="M787" s="3" t="n">
        <v>0.0813</v>
      </c>
      <c r="N787" s="3" t="n">
        <v>8747.61</v>
      </c>
      <c r="O787" s="3" t="n">
        <v>98849.1</v>
      </c>
      <c r="P787" s="3" t="n">
        <v>59178.19</v>
      </c>
      <c r="Q787" s="3" t="n">
        <v>39670.91</v>
      </c>
      <c r="R787" s="3" t="n">
        <v>0.4013</v>
      </c>
      <c r="S787" s="3" t="n">
        <v>0.0819</v>
      </c>
      <c r="T787" s="3" t="n">
        <v>-0.0006</v>
      </c>
    </row>
    <row r="788" customFormat="false" ht="15" hidden="false" customHeight="true" outlineLevel="0" collapsed="false">
      <c r="A788" s="3" t="s">
        <v>1419</v>
      </c>
      <c r="B788" s="3" t="s">
        <v>498</v>
      </c>
      <c r="C788" s="3" t="s">
        <v>120</v>
      </c>
      <c r="D788" s="3" t="s">
        <v>23</v>
      </c>
      <c r="E788" s="3" t="s">
        <v>24</v>
      </c>
      <c r="F788" s="3" t="s">
        <v>25</v>
      </c>
      <c r="G788" s="3" t="s">
        <v>100</v>
      </c>
      <c r="H788" s="3" t="s">
        <v>64</v>
      </c>
      <c r="I788" s="3" t="s">
        <v>145</v>
      </c>
      <c r="J788" s="3" t="n">
        <v>41</v>
      </c>
      <c r="K788" s="3" t="n">
        <v>6462.21</v>
      </c>
      <c r="L788" s="3" t="n">
        <v>264950.61</v>
      </c>
      <c r="M788" s="3" t="n">
        <v>0.147</v>
      </c>
      <c r="N788" s="3" t="n">
        <v>38947.74</v>
      </c>
      <c r="O788" s="3" t="n">
        <v>226002.87</v>
      </c>
      <c r="P788" s="3" t="n">
        <v>153671.35</v>
      </c>
      <c r="Q788" s="3" t="n">
        <v>72331.52</v>
      </c>
      <c r="R788" s="3" t="n">
        <v>0.32</v>
      </c>
      <c r="S788" s="3" t="n">
        <v>0.1411</v>
      </c>
      <c r="T788" s="3" t="n">
        <v>0.0059</v>
      </c>
    </row>
    <row r="789" customFormat="false" ht="15" hidden="false" customHeight="true" outlineLevel="0" collapsed="false">
      <c r="A789" s="3" t="s">
        <v>1420</v>
      </c>
      <c r="B789" s="3" t="s">
        <v>179</v>
      </c>
      <c r="C789" s="3" t="s">
        <v>126</v>
      </c>
      <c r="D789" s="3" t="s">
        <v>69</v>
      </c>
      <c r="E789" s="3" t="s">
        <v>39</v>
      </c>
      <c r="F789" s="3" t="s">
        <v>70</v>
      </c>
      <c r="G789" s="3" t="s">
        <v>104</v>
      </c>
      <c r="H789" s="3" t="s">
        <v>77</v>
      </c>
      <c r="I789" s="3" t="s">
        <v>78</v>
      </c>
      <c r="J789" s="3" t="n">
        <v>26</v>
      </c>
      <c r="K789" s="3" t="n">
        <v>5566.99</v>
      </c>
      <c r="L789" s="3" t="n">
        <v>144741.74</v>
      </c>
      <c r="M789" s="3" t="n">
        <v>0.1331</v>
      </c>
      <c r="N789" s="3" t="n">
        <v>19265.13</v>
      </c>
      <c r="O789" s="3" t="n">
        <v>125476.61</v>
      </c>
      <c r="P789" s="3" t="n">
        <v>98424.38</v>
      </c>
      <c r="Q789" s="3" t="n">
        <v>27052.23</v>
      </c>
      <c r="R789" s="3" t="n">
        <v>0.2156</v>
      </c>
      <c r="S789" s="3" t="n">
        <v>0.1101</v>
      </c>
      <c r="T789" s="3" t="n">
        <v>0.023</v>
      </c>
    </row>
    <row r="790" customFormat="false" ht="15" hidden="false" customHeight="true" outlineLevel="0" collapsed="false">
      <c r="A790" s="3" t="s">
        <v>1421</v>
      </c>
      <c r="B790" s="3" t="s">
        <v>160</v>
      </c>
      <c r="C790" s="3" t="s">
        <v>31</v>
      </c>
      <c r="D790" s="3" t="s">
        <v>69</v>
      </c>
      <c r="E790" s="3" t="s">
        <v>39</v>
      </c>
      <c r="F790" s="3" t="s">
        <v>70</v>
      </c>
      <c r="G790" s="3" t="s">
        <v>41</v>
      </c>
      <c r="H790" s="3" t="s">
        <v>42</v>
      </c>
      <c r="I790" s="3" t="s">
        <v>43</v>
      </c>
      <c r="J790" s="3" t="n">
        <v>41</v>
      </c>
      <c r="K790" s="3" t="n">
        <v>3705.62</v>
      </c>
      <c r="L790" s="3" t="n">
        <v>151930.42</v>
      </c>
      <c r="M790" s="3" t="n">
        <v>0.0983</v>
      </c>
      <c r="N790" s="3" t="n">
        <v>14934.76</v>
      </c>
      <c r="O790" s="3" t="n">
        <v>136995.66</v>
      </c>
      <c r="P790" s="3" t="n">
        <v>83561.73</v>
      </c>
      <c r="Q790" s="3" t="n">
        <v>53433.93</v>
      </c>
      <c r="R790" s="3" t="n">
        <v>0.39</v>
      </c>
      <c r="S790" s="3" t="n">
        <v>0.102</v>
      </c>
      <c r="T790" s="3" t="n">
        <v>-0.0037</v>
      </c>
    </row>
    <row r="791" customFormat="false" ht="15" hidden="false" customHeight="true" outlineLevel="0" collapsed="false">
      <c r="A791" s="3" t="s">
        <v>1422</v>
      </c>
      <c r="B791" s="3" t="s">
        <v>778</v>
      </c>
      <c r="C791" s="3" t="s">
        <v>120</v>
      </c>
      <c r="D791" s="3" t="s">
        <v>54</v>
      </c>
      <c r="E791" s="3" t="s">
        <v>24</v>
      </c>
      <c r="F791" s="3" t="s">
        <v>40</v>
      </c>
      <c r="G791" s="3" t="s">
        <v>84</v>
      </c>
      <c r="H791" s="3" t="s">
        <v>27</v>
      </c>
      <c r="I791" s="3" t="s">
        <v>173</v>
      </c>
      <c r="J791" s="3" t="n">
        <v>22</v>
      </c>
      <c r="K791" s="3" t="n">
        <v>31582.14</v>
      </c>
      <c r="L791" s="3" t="n">
        <v>694807.08</v>
      </c>
      <c r="M791" s="3" t="n">
        <v>0.0659</v>
      </c>
      <c r="N791" s="3" t="n">
        <v>45787.79</v>
      </c>
      <c r="O791" s="3" t="n">
        <v>649019.29</v>
      </c>
      <c r="P791" s="3" t="n">
        <v>430780.39</v>
      </c>
      <c r="Q791" s="3" t="n">
        <v>218238.9</v>
      </c>
      <c r="R791" s="3" t="n">
        <v>0.3363</v>
      </c>
      <c r="S791" s="3" t="n">
        <v>0.069</v>
      </c>
      <c r="T791" s="3" t="n">
        <v>-0.0031</v>
      </c>
    </row>
    <row r="792" customFormat="false" ht="15" hidden="false" customHeight="true" outlineLevel="0" collapsed="false">
      <c r="A792" s="3" t="s">
        <v>1423</v>
      </c>
      <c r="B792" s="3" t="s">
        <v>1424</v>
      </c>
      <c r="C792" s="3" t="s">
        <v>37</v>
      </c>
      <c r="D792" s="3" t="s">
        <v>97</v>
      </c>
      <c r="E792" s="3" t="s">
        <v>48</v>
      </c>
      <c r="F792" s="3" t="s">
        <v>40</v>
      </c>
      <c r="G792" s="3" t="s">
        <v>116</v>
      </c>
      <c r="H792" s="3" t="s">
        <v>42</v>
      </c>
      <c r="I792" s="3" t="s">
        <v>72</v>
      </c>
      <c r="J792" s="3" t="n">
        <v>39</v>
      </c>
      <c r="K792" s="3" t="n">
        <v>1731.5</v>
      </c>
      <c r="L792" s="3" t="n">
        <v>67528.5</v>
      </c>
      <c r="M792" s="3" t="n">
        <v>0.1084</v>
      </c>
      <c r="N792" s="3" t="n">
        <v>7320.09</v>
      </c>
      <c r="O792" s="3" t="n">
        <v>60208.41</v>
      </c>
      <c r="P792" s="3" t="n">
        <v>37140.68</v>
      </c>
      <c r="Q792" s="3" t="n">
        <v>23067.73</v>
      </c>
      <c r="R792" s="3" t="n">
        <v>0.3831</v>
      </c>
      <c r="S792" s="3" t="n">
        <v>0.1014</v>
      </c>
      <c r="T792" s="3" t="n">
        <v>0.007</v>
      </c>
    </row>
    <row r="793" customFormat="false" ht="15" hidden="false" customHeight="true" outlineLevel="0" collapsed="false">
      <c r="A793" s="3" t="s">
        <v>1425</v>
      </c>
      <c r="B793" s="3" t="s">
        <v>1426</v>
      </c>
      <c r="C793" s="3" t="s">
        <v>126</v>
      </c>
      <c r="D793" s="3" t="s">
        <v>32</v>
      </c>
      <c r="E793" s="3" t="s">
        <v>33</v>
      </c>
      <c r="F793" s="3" t="s">
        <v>25</v>
      </c>
      <c r="G793" s="3" t="s">
        <v>71</v>
      </c>
      <c r="H793" s="3" t="s">
        <v>27</v>
      </c>
      <c r="I793" s="3" t="s">
        <v>117</v>
      </c>
      <c r="J793" s="3" t="n">
        <v>42</v>
      </c>
      <c r="K793" s="3" t="n">
        <v>22188.96</v>
      </c>
      <c r="L793" s="3" t="n">
        <v>931936.32</v>
      </c>
      <c r="M793" s="3" t="n">
        <v>0.1089</v>
      </c>
      <c r="N793" s="3" t="n">
        <v>101487.87</v>
      </c>
      <c r="O793" s="3" t="n">
        <v>830448.45</v>
      </c>
      <c r="P793" s="3" t="n">
        <v>577800.52</v>
      </c>
      <c r="Q793" s="3" t="n">
        <v>252647.93</v>
      </c>
      <c r="R793" s="3" t="n">
        <v>0.3042</v>
      </c>
      <c r="S793" s="3" t="n">
        <v>0.0973</v>
      </c>
      <c r="T793" s="3" t="n">
        <v>0.0116</v>
      </c>
    </row>
    <row r="794" customFormat="false" ht="15" hidden="false" customHeight="true" outlineLevel="0" collapsed="false">
      <c r="A794" s="3" t="s">
        <v>1427</v>
      </c>
      <c r="B794" s="3" t="s">
        <v>1428</v>
      </c>
      <c r="C794" s="3" t="s">
        <v>31</v>
      </c>
      <c r="D794" s="3" t="s">
        <v>61</v>
      </c>
      <c r="E794" s="3" t="s">
        <v>33</v>
      </c>
      <c r="F794" s="3" t="s">
        <v>62</v>
      </c>
      <c r="G794" s="3" t="s">
        <v>34</v>
      </c>
      <c r="H794" s="3" t="s">
        <v>27</v>
      </c>
      <c r="I794" s="3" t="s">
        <v>117</v>
      </c>
      <c r="J794" s="3" t="n">
        <v>50</v>
      </c>
      <c r="K794" s="3" t="n">
        <v>24523.71</v>
      </c>
      <c r="L794" s="3" t="n">
        <v>1226185.5</v>
      </c>
      <c r="M794" s="3" t="n">
        <v>0.1221</v>
      </c>
      <c r="N794" s="3" t="n">
        <v>149717.25</v>
      </c>
      <c r="O794" s="3" t="n">
        <v>1076468.25</v>
      </c>
      <c r="P794" s="3" t="n">
        <v>760235.01</v>
      </c>
      <c r="Q794" s="3" t="n">
        <v>316233.24</v>
      </c>
      <c r="R794" s="3" t="n">
        <v>0.2938</v>
      </c>
      <c r="S794" s="3" t="n">
        <v>0.1267</v>
      </c>
      <c r="T794" s="3" t="n">
        <v>-0.0046</v>
      </c>
    </row>
    <row r="795" customFormat="false" ht="15" hidden="false" customHeight="true" outlineLevel="0" collapsed="false">
      <c r="A795" s="3" t="s">
        <v>1429</v>
      </c>
      <c r="B795" s="3" t="s">
        <v>1430</v>
      </c>
      <c r="C795" s="3" t="s">
        <v>37</v>
      </c>
      <c r="D795" s="3" t="s">
        <v>103</v>
      </c>
      <c r="E795" s="3" t="s">
        <v>24</v>
      </c>
      <c r="F795" s="3" t="s">
        <v>62</v>
      </c>
      <c r="G795" s="3" t="s">
        <v>26</v>
      </c>
      <c r="H795" s="3" t="s">
        <v>77</v>
      </c>
      <c r="I795" s="3" t="s">
        <v>78</v>
      </c>
      <c r="J795" s="3" t="n">
        <v>12</v>
      </c>
      <c r="K795" s="3" t="n">
        <v>1840.85</v>
      </c>
      <c r="L795" s="3" t="n">
        <v>22090.2</v>
      </c>
      <c r="M795" s="3" t="n">
        <v>0.0644</v>
      </c>
      <c r="N795" s="3" t="n">
        <v>1422.61</v>
      </c>
      <c r="O795" s="3" t="n">
        <v>20667.59</v>
      </c>
      <c r="P795" s="3" t="n">
        <v>15021.34</v>
      </c>
      <c r="Q795" s="3" t="n">
        <v>5646.25</v>
      </c>
      <c r="R795" s="3" t="n">
        <v>0.2732</v>
      </c>
      <c r="S795" s="3" t="n">
        <v>0.0669</v>
      </c>
      <c r="T795" s="3" t="n">
        <v>-0.0025</v>
      </c>
    </row>
    <row r="796" customFormat="false" ht="15" hidden="false" customHeight="true" outlineLevel="0" collapsed="false">
      <c r="A796" s="3" t="s">
        <v>1431</v>
      </c>
      <c r="B796" s="3" t="s">
        <v>210</v>
      </c>
      <c r="C796" s="3" t="s">
        <v>53</v>
      </c>
      <c r="D796" s="3" t="s">
        <v>69</v>
      </c>
      <c r="E796" s="3" t="s">
        <v>39</v>
      </c>
      <c r="F796" s="3" t="s">
        <v>70</v>
      </c>
      <c r="G796" s="3" t="s">
        <v>49</v>
      </c>
      <c r="H796" s="3" t="s">
        <v>27</v>
      </c>
      <c r="I796" s="3" t="s">
        <v>173</v>
      </c>
      <c r="J796" s="3" t="n">
        <v>25</v>
      </c>
      <c r="K796" s="3" t="n">
        <v>13820.46</v>
      </c>
      <c r="L796" s="3" t="n">
        <v>345511.5</v>
      </c>
      <c r="M796" s="3" t="n">
        <v>0.0772</v>
      </c>
      <c r="N796" s="3" t="n">
        <v>26673.49</v>
      </c>
      <c r="O796" s="3" t="n">
        <v>318838.01</v>
      </c>
      <c r="P796" s="3" t="n">
        <v>214217.13</v>
      </c>
      <c r="Q796" s="3" t="n">
        <v>104620.88</v>
      </c>
      <c r="R796" s="3" t="n">
        <v>0.3281</v>
      </c>
      <c r="S796" s="3" t="n">
        <v>0.0623</v>
      </c>
      <c r="T796" s="3" t="n">
        <v>0.0149</v>
      </c>
    </row>
    <row r="797" customFormat="false" ht="15" hidden="false" customHeight="true" outlineLevel="0" collapsed="false">
      <c r="A797" s="3" t="s">
        <v>1432</v>
      </c>
      <c r="B797" s="3" t="s">
        <v>818</v>
      </c>
      <c r="C797" s="3" t="s">
        <v>60</v>
      </c>
      <c r="D797" s="3" t="s">
        <v>32</v>
      </c>
      <c r="E797" s="3" t="s">
        <v>33</v>
      </c>
      <c r="F797" s="3" t="s">
        <v>25</v>
      </c>
      <c r="G797" s="3" t="s">
        <v>55</v>
      </c>
      <c r="H797" s="3" t="s">
        <v>56</v>
      </c>
      <c r="I797" s="3" t="s">
        <v>121</v>
      </c>
      <c r="J797" s="3" t="n">
        <v>6</v>
      </c>
      <c r="K797" s="3" t="n">
        <v>12026.04</v>
      </c>
      <c r="L797" s="3" t="n">
        <v>72156.24</v>
      </c>
      <c r="M797" s="3" t="n">
        <v>0.1346</v>
      </c>
      <c r="N797" s="3" t="n">
        <v>9712.23</v>
      </c>
      <c r="O797" s="3" t="n">
        <v>62444.01</v>
      </c>
      <c r="P797" s="3" t="n">
        <v>43293.74</v>
      </c>
      <c r="Q797" s="3" t="n">
        <v>19150.27</v>
      </c>
      <c r="R797" s="3" t="n">
        <v>0.3067</v>
      </c>
      <c r="S797" s="3" t="n">
        <v>0.1097</v>
      </c>
      <c r="T797" s="3" t="n">
        <v>0.0249</v>
      </c>
    </row>
    <row r="798" customFormat="false" ht="15" hidden="false" customHeight="true" outlineLevel="0" collapsed="false">
      <c r="A798" s="3" t="s">
        <v>1433</v>
      </c>
      <c r="B798" s="3" t="s">
        <v>645</v>
      </c>
      <c r="C798" s="3" t="s">
        <v>120</v>
      </c>
      <c r="D798" s="3" t="s">
        <v>38</v>
      </c>
      <c r="E798" s="3" t="s">
        <v>39</v>
      </c>
      <c r="F798" s="3" t="s">
        <v>40</v>
      </c>
      <c r="G798" s="3" t="s">
        <v>76</v>
      </c>
      <c r="H798" s="3" t="s">
        <v>77</v>
      </c>
      <c r="I798" s="3" t="s">
        <v>85</v>
      </c>
      <c r="J798" s="3" t="n">
        <v>24</v>
      </c>
      <c r="K798" s="3" t="n">
        <v>1916.41</v>
      </c>
      <c r="L798" s="3" t="n">
        <v>45993.84</v>
      </c>
      <c r="M798" s="3" t="n">
        <v>0.0385</v>
      </c>
      <c r="N798" s="3" t="n">
        <v>1770.76</v>
      </c>
      <c r="O798" s="3" t="n">
        <v>44223.08</v>
      </c>
      <c r="P798" s="3" t="n">
        <v>31275.81</v>
      </c>
      <c r="Q798" s="3" t="n">
        <v>12947.27</v>
      </c>
      <c r="R798" s="3" t="n">
        <v>0.2928</v>
      </c>
      <c r="S798" s="3" t="n">
        <v>0.031</v>
      </c>
      <c r="T798" s="3" t="n">
        <v>0.0075</v>
      </c>
    </row>
    <row r="799" customFormat="false" ht="15" hidden="false" customHeight="true" outlineLevel="0" collapsed="false">
      <c r="A799" s="3" t="s">
        <v>1434</v>
      </c>
      <c r="B799" s="3" t="s">
        <v>1435</v>
      </c>
      <c r="C799" s="3" t="s">
        <v>113</v>
      </c>
      <c r="D799" s="3" t="s">
        <v>107</v>
      </c>
      <c r="E799" s="3" t="s">
        <v>33</v>
      </c>
      <c r="F799" s="3" t="s">
        <v>70</v>
      </c>
      <c r="G799" s="3" t="s">
        <v>71</v>
      </c>
      <c r="H799" s="3" t="s">
        <v>77</v>
      </c>
      <c r="I799" s="3" t="s">
        <v>78</v>
      </c>
      <c r="J799" s="3" t="n">
        <v>15</v>
      </c>
      <c r="K799" s="3" t="n">
        <v>3571.92</v>
      </c>
      <c r="L799" s="3" t="n">
        <v>53578.8</v>
      </c>
      <c r="M799" s="3" t="n">
        <v>0.0657</v>
      </c>
      <c r="N799" s="3" t="n">
        <v>3520.13</v>
      </c>
      <c r="O799" s="3" t="n">
        <v>50058.67</v>
      </c>
      <c r="P799" s="3" t="n">
        <v>36433.58</v>
      </c>
      <c r="Q799" s="3" t="n">
        <v>13625.09</v>
      </c>
      <c r="R799" s="3" t="n">
        <v>0.2722</v>
      </c>
      <c r="S799" s="3" t="n">
        <v>0.0712</v>
      </c>
      <c r="T799" s="3" t="n">
        <v>-0.0055</v>
      </c>
    </row>
    <row r="800" customFormat="false" ht="15" hidden="false" customHeight="true" outlineLevel="0" collapsed="false">
      <c r="A800" s="3" t="s">
        <v>1436</v>
      </c>
      <c r="B800" s="3" t="s">
        <v>356</v>
      </c>
      <c r="C800" s="3" t="s">
        <v>113</v>
      </c>
      <c r="D800" s="3" t="s">
        <v>54</v>
      </c>
      <c r="E800" s="3" t="s">
        <v>24</v>
      </c>
      <c r="F800" s="3" t="s">
        <v>40</v>
      </c>
      <c r="G800" s="3" t="s">
        <v>84</v>
      </c>
      <c r="H800" s="3" t="s">
        <v>42</v>
      </c>
      <c r="I800" s="3" t="s">
        <v>72</v>
      </c>
      <c r="J800" s="3" t="n">
        <v>28</v>
      </c>
      <c r="K800" s="3" t="n">
        <v>1837.26</v>
      </c>
      <c r="L800" s="3" t="n">
        <v>51443.28</v>
      </c>
      <c r="M800" s="3" t="n">
        <v>0.0728</v>
      </c>
      <c r="N800" s="3" t="n">
        <v>3745.07</v>
      </c>
      <c r="O800" s="3" t="n">
        <v>47698.21</v>
      </c>
      <c r="P800" s="3" t="n">
        <v>28293.8</v>
      </c>
      <c r="Q800" s="3" t="n">
        <v>19404.41</v>
      </c>
      <c r="R800" s="3" t="n">
        <v>0.4068</v>
      </c>
      <c r="S800" s="3" t="n">
        <v>0.08</v>
      </c>
      <c r="T800" s="3" t="n">
        <v>-0.0072</v>
      </c>
    </row>
    <row r="801" customFormat="false" ht="15" hidden="false" customHeight="true" outlineLevel="0" collapsed="false">
      <c r="A801" s="3" t="s">
        <v>1437</v>
      </c>
      <c r="B801" s="3" t="s">
        <v>1003</v>
      </c>
      <c r="C801" s="3" t="s">
        <v>53</v>
      </c>
      <c r="D801" s="3" t="s">
        <v>54</v>
      </c>
      <c r="E801" s="3" t="s">
        <v>24</v>
      </c>
      <c r="F801" s="3" t="s">
        <v>40</v>
      </c>
      <c r="G801" s="3" t="s">
        <v>41</v>
      </c>
      <c r="H801" s="3" t="s">
        <v>64</v>
      </c>
      <c r="I801" s="3" t="s">
        <v>90</v>
      </c>
      <c r="J801" s="3" t="n">
        <v>10</v>
      </c>
      <c r="K801" s="3" t="n">
        <v>6676.72</v>
      </c>
      <c r="L801" s="3" t="n">
        <v>66767.2</v>
      </c>
      <c r="M801" s="3" t="n">
        <v>0.0905</v>
      </c>
      <c r="N801" s="3" t="n">
        <v>6042.43</v>
      </c>
      <c r="O801" s="3" t="n">
        <v>60724.77</v>
      </c>
      <c r="P801" s="3" t="n">
        <v>38724.98</v>
      </c>
      <c r="Q801" s="3" t="n">
        <v>21999.79</v>
      </c>
      <c r="R801" s="3" t="n">
        <v>0.3623</v>
      </c>
      <c r="S801" s="3" t="n">
        <v>0.0892</v>
      </c>
      <c r="T801" s="3" t="n">
        <v>0.0013</v>
      </c>
    </row>
    <row r="802" customFormat="false" ht="15" hidden="false" customHeight="true" outlineLevel="0" collapsed="false">
      <c r="A802" s="3" t="s">
        <v>1438</v>
      </c>
      <c r="B802" s="3" t="s">
        <v>1439</v>
      </c>
      <c r="C802" s="3" t="s">
        <v>120</v>
      </c>
      <c r="D802" s="3" t="s">
        <v>69</v>
      </c>
      <c r="E802" s="3" t="s">
        <v>39</v>
      </c>
      <c r="F802" s="3" t="s">
        <v>70</v>
      </c>
      <c r="G802" s="3" t="s">
        <v>71</v>
      </c>
      <c r="H802" s="3" t="s">
        <v>42</v>
      </c>
      <c r="I802" s="3" t="s">
        <v>72</v>
      </c>
      <c r="J802" s="3" t="n">
        <v>6</v>
      </c>
      <c r="K802" s="3" t="n">
        <v>2765.32</v>
      </c>
      <c r="L802" s="3" t="n">
        <v>16591.92</v>
      </c>
      <c r="M802" s="3" t="n">
        <v>0.0305</v>
      </c>
      <c r="N802" s="3" t="n">
        <v>506.05</v>
      </c>
      <c r="O802" s="3" t="n">
        <v>16085.87</v>
      </c>
      <c r="P802" s="3" t="n">
        <v>9125.56</v>
      </c>
      <c r="Q802" s="3" t="n">
        <v>6960.31</v>
      </c>
      <c r="R802" s="3" t="n">
        <v>0.4327</v>
      </c>
      <c r="S802" s="3" t="n">
        <v>0.0324</v>
      </c>
      <c r="T802" s="3" t="n">
        <v>-0.0019</v>
      </c>
    </row>
    <row r="803" customFormat="false" ht="15" hidden="false" customHeight="true" outlineLevel="0" collapsed="false">
      <c r="A803" s="3" t="s">
        <v>1440</v>
      </c>
      <c r="B803" s="3" t="s">
        <v>185</v>
      </c>
      <c r="C803" s="3" t="s">
        <v>22</v>
      </c>
      <c r="D803" s="3" t="s">
        <v>97</v>
      </c>
      <c r="E803" s="3" t="s">
        <v>48</v>
      </c>
      <c r="F803" s="3" t="s">
        <v>40</v>
      </c>
      <c r="G803" s="3" t="s">
        <v>34</v>
      </c>
      <c r="H803" s="3" t="s">
        <v>77</v>
      </c>
      <c r="I803" s="3" t="s">
        <v>85</v>
      </c>
      <c r="J803" s="3" t="n">
        <v>46</v>
      </c>
      <c r="K803" s="3" t="n">
        <v>4624.01</v>
      </c>
      <c r="L803" s="3" t="n">
        <v>212704.46</v>
      </c>
      <c r="M803" s="3" t="n">
        <v>0.0951</v>
      </c>
      <c r="N803" s="3" t="n">
        <v>20228.19</v>
      </c>
      <c r="O803" s="3" t="n">
        <v>192476.27</v>
      </c>
      <c r="P803" s="3" t="n">
        <v>144639.03</v>
      </c>
      <c r="Q803" s="3" t="n">
        <v>47837.24</v>
      </c>
      <c r="R803" s="3" t="n">
        <v>0.2485</v>
      </c>
      <c r="S803" s="3" t="n">
        <v>0.0788</v>
      </c>
      <c r="T803" s="3" t="n">
        <v>0.0163</v>
      </c>
    </row>
    <row r="804" customFormat="false" ht="15" hidden="false" customHeight="true" outlineLevel="0" collapsed="false">
      <c r="A804" s="3" t="s">
        <v>1441</v>
      </c>
      <c r="B804" s="3" t="s">
        <v>1259</v>
      </c>
      <c r="C804" s="3" t="s">
        <v>22</v>
      </c>
      <c r="D804" s="3" t="s">
        <v>32</v>
      </c>
      <c r="E804" s="3" t="s">
        <v>33</v>
      </c>
      <c r="F804" s="3" t="s">
        <v>25</v>
      </c>
      <c r="G804" s="3" t="s">
        <v>34</v>
      </c>
      <c r="H804" s="3" t="s">
        <v>27</v>
      </c>
      <c r="I804" s="3" t="s">
        <v>50</v>
      </c>
      <c r="J804" s="3" t="n">
        <v>23</v>
      </c>
      <c r="K804" s="3" t="n">
        <v>23069.84</v>
      </c>
      <c r="L804" s="3" t="n">
        <v>530606.32</v>
      </c>
      <c r="M804" s="3" t="n">
        <v>0.2537</v>
      </c>
      <c r="N804" s="3" t="n">
        <v>134614.82</v>
      </c>
      <c r="O804" s="3" t="n">
        <v>395991.5</v>
      </c>
      <c r="P804" s="3" t="n">
        <v>328975.92</v>
      </c>
      <c r="Q804" s="3" t="n">
        <v>67015.58</v>
      </c>
      <c r="R804" s="3" t="n">
        <v>0.1692</v>
      </c>
      <c r="S804" s="3" t="n">
        <v>0.2033</v>
      </c>
      <c r="T804" s="3" t="n">
        <v>0.0504</v>
      </c>
    </row>
    <row r="805" customFormat="false" ht="15" hidden="false" customHeight="true" outlineLevel="0" collapsed="false">
      <c r="A805" s="3" t="s">
        <v>1442</v>
      </c>
      <c r="B805" s="3" t="s">
        <v>380</v>
      </c>
      <c r="C805" s="3" t="s">
        <v>156</v>
      </c>
      <c r="D805" s="3" t="s">
        <v>107</v>
      </c>
      <c r="E805" s="3" t="s">
        <v>33</v>
      </c>
      <c r="F805" s="3" t="s">
        <v>70</v>
      </c>
      <c r="G805" s="3" t="s">
        <v>76</v>
      </c>
      <c r="H805" s="3" t="s">
        <v>56</v>
      </c>
      <c r="I805" s="3" t="s">
        <v>57</v>
      </c>
      <c r="J805" s="3" t="n">
        <v>43</v>
      </c>
      <c r="K805" s="3" t="n">
        <v>17640.38</v>
      </c>
      <c r="L805" s="3" t="n">
        <v>758536.34</v>
      </c>
      <c r="M805" s="3" t="n">
        <v>0.0485</v>
      </c>
      <c r="N805" s="3" t="n">
        <v>36789.01</v>
      </c>
      <c r="O805" s="3" t="n">
        <v>721747.33</v>
      </c>
      <c r="P805" s="3" t="n">
        <v>455121.8</v>
      </c>
      <c r="Q805" s="3" t="n">
        <v>266625.53</v>
      </c>
      <c r="R805" s="3" t="n">
        <v>0.3694</v>
      </c>
      <c r="S805" s="3" t="n">
        <v>0.0473</v>
      </c>
      <c r="T805" s="3" t="n">
        <v>0.0012</v>
      </c>
    </row>
    <row r="806" customFormat="false" ht="15" hidden="false" customHeight="true" outlineLevel="0" collapsed="false">
      <c r="A806" s="3" t="s">
        <v>1443</v>
      </c>
      <c r="B806" s="3" t="s">
        <v>1444</v>
      </c>
      <c r="C806" s="3" t="s">
        <v>68</v>
      </c>
      <c r="D806" s="3" t="s">
        <v>54</v>
      </c>
      <c r="E806" s="3" t="s">
        <v>24</v>
      </c>
      <c r="F806" s="3" t="s">
        <v>40</v>
      </c>
      <c r="G806" s="3" t="s">
        <v>49</v>
      </c>
      <c r="H806" s="3" t="s">
        <v>64</v>
      </c>
      <c r="I806" s="3" t="s">
        <v>90</v>
      </c>
      <c r="J806" s="3" t="n">
        <v>9</v>
      </c>
      <c r="K806" s="3" t="n">
        <v>10901.07</v>
      </c>
      <c r="L806" s="3" t="n">
        <v>98109.63</v>
      </c>
      <c r="M806" s="3" t="n">
        <v>0.0345</v>
      </c>
      <c r="N806" s="3" t="n">
        <v>3384.78</v>
      </c>
      <c r="O806" s="3" t="n">
        <v>94724.85</v>
      </c>
      <c r="P806" s="3" t="n">
        <v>56903.59</v>
      </c>
      <c r="Q806" s="3" t="n">
        <v>37821.26</v>
      </c>
      <c r="R806" s="3" t="n">
        <v>0.3993</v>
      </c>
      <c r="S806" s="3" t="n">
        <v>0.0321</v>
      </c>
      <c r="T806" s="3" t="n">
        <v>0.0024</v>
      </c>
    </row>
    <row r="807" customFormat="false" ht="15" hidden="false" customHeight="true" outlineLevel="0" collapsed="false">
      <c r="A807" s="3" t="s">
        <v>1445</v>
      </c>
      <c r="B807" s="3" t="s">
        <v>763</v>
      </c>
      <c r="C807" s="3" t="s">
        <v>46</v>
      </c>
      <c r="D807" s="3" t="s">
        <v>54</v>
      </c>
      <c r="E807" s="3" t="s">
        <v>24</v>
      </c>
      <c r="F807" s="3" t="s">
        <v>40</v>
      </c>
      <c r="G807" s="3" t="s">
        <v>104</v>
      </c>
      <c r="H807" s="3" t="s">
        <v>27</v>
      </c>
      <c r="I807" s="3" t="s">
        <v>50</v>
      </c>
      <c r="J807" s="3" t="n">
        <v>32</v>
      </c>
      <c r="K807" s="3" t="n">
        <v>39312.53</v>
      </c>
      <c r="L807" s="3" t="n">
        <v>1258000.96</v>
      </c>
      <c r="M807" s="3" t="n">
        <v>0.127</v>
      </c>
      <c r="N807" s="3" t="n">
        <v>159766.12</v>
      </c>
      <c r="O807" s="3" t="n">
        <v>1098234.84</v>
      </c>
      <c r="P807" s="3" t="n">
        <v>779960.6</v>
      </c>
      <c r="Q807" s="3" t="n">
        <v>318274.24</v>
      </c>
      <c r="R807" s="3" t="n">
        <v>0.2898</v>
      </c>
      <c r="S807" s="3" t="n">
        <v>0.1369</v>
      </c>
      <c r="T807" s="3" t="n">
        <v>-0.0099</v>
      </c>
    </row>
    <row r="808" customFormat="false" ht="15" hidden="false" customHeight="true" outlineLevel="0" collapsed="false">
      <c r="A808" s="3" t="s">
        <v>1446</v>
      </c>
      <c r="B808" s="3" t="s">
        <v>1447</v>
      </c>
      <c r="C808" s="3" t="s">
        <v>37</v>
      </c>
      <c r="D808" s="3" t="s">
        <v>54</v>
      </c>
      <c r="E808" s="3" t="s">
        <v>24</v>
      </c>
      <c r="F808" s="3" t="s">
        <v>40</v>
      </c>
      <c r="G808" s="3" t="s">
        <v>76</v>
      </c>
      <c r="H808" s="3" t="s">
        <v>42</v>
      </c>
      <c r="I808" s="3" t="s">
        <v>72</v>
      </c>
      <c r="J808" s="3" t="n">
        <v>28</v>
      </c>
      <c r="K808" s="3" t="n">
        <v>2309.4</v>
      </c>
      <c r="L808" s="3" t="n">
        <v>64663.2</v>
      </c>
      <c r="M808" s="3" t="n">
        <v>0.0746</v>
      </c>
      <c r="N808" s="3" t="n">
        <v>4823.87</v>
      </c>
      <c r="O808" s="3" t="n">
        <v>59839.33</v>
      </c>
      <c r="P808" s="3" t="n">
        <v>35564.76</v>
      </c>
      <c r="Q808" s="3" t="n">
        <v>24274.57</v>
      </c>
      <c r="R808" s="3" t="n">
        <v>0.4057</v>
      </c>
      <c r="S808" s="3" t="n">
        <v>0.0762</v>
      </c>
      <c r="T808" s="3" t="n">
        <v>-0.0016</v>
      </c>
    </row>
    <row r="809" customFormat="false" ht="15" hidden="false" customHeight="true" outlineLevel="0" collapsed="false">
      <c r="A809" s="3" t="s">
        <v>1448</v>
      </c>
      <c r="B809" s="3" t="s">
        <v>1449</v>
      </c>
      <c r="C809" s="3" t="s">
        <v>53</v>
      </c>
      <c r="D809" s="3" t="s">
        <v>83</v>
      </c>
      <c r="E809" s="3" t="s">
        <v>48</v>
      </c>
      <c r="F809" s="3" t="s">
        <v>62</v>
      </c>
      <c r="G809" s="3" t="s">
        <v>104</v>
      </c>
      <c r="H809" s="3" t="s">
        <v>64</v>
      </c>
      <c r="I809" s="3" t="s">
        <v>90</v>
      </c>
      <c r="J809" s="3" t="n">
        <v>4</v>
      </c>
      <c r="K809" s="3" t="n">
        <v>4700.28</v>
      </c>
      <c r="L809" s="3" t="n">
        <v>18801.12</v>
      </c>
      <c r="M809" s="3" t="n">
        <v>0.0629</v>
      </c>
      <c r="N809" s="3" t="n">
        <v>1182.59</v>
      </c>
      <c r="O809" s="3" t="n">
        <v>17618.53</v>
      </c>
      <c r="P809" s="3" t="n">
        <v>10904.65</v>
      </c>
      <c r="Q809" s="3" t="n">
        <v>6713.88</v>
      </c>
      <c r="R809" s="3" t="n">
        <v>0.3811</v>
      </c>
      <c r="S809" s="3" t="n">
        <v>0.0534</v>
      </c>
      <c r="T809" s="3" t="n">
        <v>0.0095</v>
      </c>
    </row>
    <row r="810" customFormat="false" ht="15" hidden="false" customHeight="true" outlineLevel="0" collapsed="false">
      <c r="A810" s="3" t="s">
        <v>1450</v>
      </c>
      <c r="B810" s="3" t="s">
        <v>659</v>
      </c>
      <c r="C810" s="3" t="s">
        <v>93</v>
      </c>
      <c r="D810" s="3" t="s">
        <v>83</v>
      </c>
      <c r="E810" s="3" t="s">
        <v>48</v>
      </c>
      <c r="F810" s="3" t="s">
        <v>62</v>
      </c>
      <c r="G810" s="3" t="s">
        <v>84</v>
      </c>
      <c r="H810" s="3" t="s">
        <v>77</v>
      </c>
      <c r="I810" s="3" t="s">
        <v>131</v>
      </c>
      <c r="J810" s="3" t="n">
        <v>23</v>
      </c>
      <c r="K810" s="3" t="n">
        <v>1395.8</v>
      </c>
      <c r="L810" s="3" t="n">
        <v>32103.4</v>
      </c>
      <c r="M810" s="3" t="n">
        <v>0.0794</v>
      </c>
      <c r="N810" s="3" t="n">
        <v>2549.01</v>
      </c>
      <c r="O810" s="3" t="n">
        <v>29554.39</v>
      </c>
      <c r="P810" s="3" t="n">
        <v>21830.31</v>
      </c>
      <c r="Q810" s="3" t="n">
        <v>7724.08</v>
      </c>
      <c r="R810" s="3" t="n">
        <v>0.2614</v>
      </c>
      <c r="S810" s="3" t="n">
        <v>0.0745</v>
      </c>
      <c r="T810" s="3" t="n">
        <v>0.0049</v>
      </c>
    </row>
    <row r="811" customFormat="false" ht="15" hidden="false" customHeight="true" outlineLevel="0" collapsed="false">
      <c r="A811" s="3" t="s">
        <v>1451</v>
      </c>
      <c r="B811" s="3" t="s">
        <v>1452</v>
      </c>
      <c r="C811" s="3" t="s">
        <v>60</v>
      </c>
      <c r="D811" s="3" t="s">
        <v>61</v>
      </c>
      <c r="E811" s="3" t="s">
        <v>33</v>
      </c>
      <c r="F811" s="3" t="s">
        <v>62</v>
      </c>
      <c r="G811" s="3" t="s">
        <v>49</v>
      </c>
      <c r="H811" s="3" t="s">
        <v>64</v>
      </c>
      <c r="I811" s="3" t="s">
        <v>65</v>
      </c>
      <c r="J811" s="3" t="n">
        <v>19</v>
      </c>
      <c r="K811" s="3" t="n">
        <v>3842.2</v>
      </c>
      <c r="L811" s="3" t="n">
        <v>73001.8</v>
      </c>
      <c r="M811" s="3" t="n">
        <v>0.039</v>
      </c>
      <c r="N811" s="3" t="n">
        <v>2847.07</v>
      </c>
      <c r="O811" s="3" t="n">
        <v>70154.73</v>
      </c>
      <c r="P811" s="3" t="n">
        <v>42341.04</v>
      </c>
      <c r="Q811" s="3" t="n">
        <v>27813.69</v>
      </c>
      <c r="R811" s="3" t="n">
        <v>0.3965</v>
      </c>
      <c r="S811" s="3" t="n">
        <v>0.04</v>
      </c>
      <c r="T811" s="3" t="n">
        <v>-0.001</v>
      </c>
    </row>
    <row r="812" customFormat="false" ht="15" hidden="false" customHeight="true" outlineLevel="0" collapsed="false">
      <c r="A812" s="3" t="s">
        <v>1453</v>
      </c>
      <c r="B812" s="3" t="s">
        <v>430</v>
      </c>
      <c r="C812" s="3" t="s">
        <v>113</v>
      </c>
      <c r="D812" s="3" t="s">
        <v>54</v>
      </c>
      <c r="E812" s="3" t="s">
        <v>24</v>
      </c>
      <c r="F812" s="3" t="s">
        <v>40</v>
      </c>
      <c r="G812" s="3" t="s">
        <v>55</v>
      </c>
      <c r="H812" s="3" t="s">
        <v>56</v>
      </c>
      <c r="I812" s="3" t="s">
        <v>121</v>
      </c>
      <c r="J812" s="3" t="n">
        <v>1</v>
      </c>
      <c r="K812" s="3" t="n">
        <v>5398.34</v>
      </c>
      <c r="L812" s="3" t="n">
        <v>5398.34</v>
      </c>
      <c r="M812" s="3" t="n">
        <v>0.0563</v>
      </c>
      <c r="N812" s="3" t="n">
        <v>303.93</v>
      </c>
      <c r="O812" s="3" t="n">
        <v>5094.41</v>
      </c>
      <c r="P812" s="3" t="n">
        <v>3239</v>
      </c>
      <c r="Q812" s="3" t="n">
        <v>1855.41</v>
      </c>
      <c r="R812" s="3" t="n">
        <v>0.3642</v>
      </c>
      <c r="S812" s="3" t="n">
        <v>0.0521</v>
      </c>
      <c r="T812" s="3" t="n">
        <v>0.0042</v>
      </c>
    </row>
    <row r="813" customFormat="false" ht="15" hidden="false" customHeight="true" outlineLevel="0" collapsed="false">
      <c r="A813" s="3" t="s">
        <v>1454</v>
      </c>
      <c r="B813" s="3" t="s">
        <v>498</v>
      </c>
      <c r="C813" s="3" t="s">
        <v>120</v>
      </c>
      <c r="D813" s="3" t="s">
        <v>61</v>
      </c>
      <c r="E813" s="3" t="s">
        <v>33</v>
      </c>
      <c r="F813" s="3" t="s">
        <v>62</v>
      </c>
      <c r="G813" s="3" t="s">
        <v>71</v>
      </c>
      <c r="H813" s="3" t="s">
        <v>64</v>
      </c>
      <c r="I813" s="3" t="s">
        <v>90</v>
      </c>
      <c r="J813" s="3" t="n">
        <v>22</v>
      </c>
      <c r="K813" s="3" t="n">
        <v>3848.75</v>
      </c>
      <c r="L813" s="3" t="n">
        <v>84672.5</v>
      </c>
      <c r="M813" s="3" t="n">
        <v>0.0313</v>
      </c>
      <c r="N813" s="3" t="n">
        <v>2650.25</v>
      </c>
      <c r="O813" s="3" t="n">
        <v>82022.25</v>
      </c>
      <c r="P813" s="3" t="n">
        <v>49110.05</v>
      </c>
      <c r="Q813" s="3" t="n">
        <v>32912.2</v>
      </c>
      <c r="R813" s="3" t="n">
        <v>0.4013</v>
      </c>
      <c r="S813" s="3" t="n">
        <v>0.0287</v>
      </c>
      <c r="T813" s="3" t="n">
        <v>0.0026</v>
      </c>
    </row>
    <row r="814" customFormat="false" ht="15" hidden="false" customHeight="true" outlineLevel="0" collapsed="false">
      <c r="A814" s="3" t="s">
        <v>1455</v>
      </c>
      <c r="B814" s="3" t="s">
        <v>92</v>
      </c>
      <c r="C814" s="3" t="s">
        <v>93</v>
      </c>
      <c r="D814" s="3" t="s">
        <v>38</v>
      </c>
      <c r="E814" s="3" t="s">
        <v>39</v>
      </c>
      <c r="F814" s="3" t="s">
        <v>40</v>
      </c>
      <c r="G814" s="3" t="s">
        <v>41</v>
      </c>
      <c r="H814" s="3" t="s">
        <v>27</v>
      </c>
      <c r="I814" s="3" t="s">
        <v>50</v>
      </c>
      <c r="J814" s="3" t="n">
        <v>30</v>
      </c>
      <c r="K814" s="3" t="n">
        <v>8923.98</v>
      </c>
      <c r="L814" s="3" t="n">
        <v>267719.4</v>
      </c>
      <c r="M814" s="3" t="n">
        <v>0.1179</v>
      </c>
      <c r="N814" s="3" t="n">
        <v>31564.12</v>
      </c>
      <c r="O814" s="3" t="n">
        <v>236155.28</v>
      </c>
      <c r="P814" s="3" t="n">
        <v>165986.03</v>
      </c>
      <c r="Q814" s="3" t="n">
        <v>70169.25</v>
      </c>
      <c r="R814" s="3" t="n">
        <v>0.2971</v>
      </c>
      <c r="S814" s="3" t="n">
        <v>0.1166</v>
      </c>
      <c r="T814" s="3" t="n">
        <v>0.0013</v>
      </c>
    </row>
    <row r="815" customFormat="false" ht="15" hidden="false" customHeight="true" outlineLevel="0" collapsed="false">
      <c r="A815" s="3" t="s">
        <v>1456</v>
      </c>
      <c r="B815" s="3" t="s">
        <v>227</v>
      </c>
      <c r="C815" s="3" t="s">
        <v>37</v>
      </c>
      <c r="D815" s="3" t="s">
        <v>54</v>
      </c>
      <c r="E815" s="3" t="s">
        <v>24</v>
      </c>
      <c r="F815" s="3" t="s">
        <v>40</v>
      </c>
      <c r="G815" s="3" t="s">
        <v>104</v>
      </c>
      <c r="H815" s="3" t="s">
        <v>56</v>
      </c>
      <c r="I815" s="3" t="s">
        <v>121</v>
      </c>
      <c r="J815" s="3" t="n">
        <v>3</v>
      </c>
      <c r="K815" s="3" t="n">
        <v>7270.83</v>
      </c>
      <c r="L815" s="3" t="n">
        <v>21812.49</v>
      </c>
      <c r="M815" s="3" t="n">
        <v>0.1208</v>
      </c>
      <c r="N815" s="3" t="n">
        <v>2634.95</v>
      </c>
      <c r="O815" s="3" t="n">
        <v>19177.54</v>
      </c>
      <c r="P815" s="3" t="n">
        <v>13087.49</v>
      </c>
      <c r="Q815" s="3" t="n">
        <v>6090.05</v>
      </c>
      <c r="R815" s="3" t="n">
        <v>0.3176</v>
      </c>
      <c r="S815" s="3" t="n">
        <v>0.131</v>
      </c>
      <c r="T815" s="3" t="n">
        <v>-0.0102</v>
      </c>
    </row>
    <row r="816" customFormat="false" ht="15" hidden="false" customHeight="true" outlineLevel="0" collapsed="false">
      <c r="A816" s="3" t="s">
        <v>1457</v>
      </c>
      <c r="B816" s="3" t="s">
        <v>1458</v>
      </c>
      <c r="C816" s="3" t="s">
        <v>22</v>
      </c>
      <c r="D816" s="3" t="s">
        <v>97</v>
      </c>
      <c r="E816" s="3" t="s">
        <v>48</v>
      </c>
      <c r="F816" s="3" t="s">
        <v>40</v>
      </c>
      <c r="G816" s="3" t="s">
        <v>34</v>
      </c>
      <c r="H816" s="3" t="s">
        <v>56</v>
      </c>
      <c r="I816" s="3" t="s">
        <v>188</v>
      </c>
      <c r="J816" s="3" t="n">
        <v>42</v>
      </c>
      <c r="K816" s="3" t="n">
        <v>15812.46</v>
      </c>
      <c r="L816" s="3" t="n">
        <v>664123.32</v>
      </c>
      <c r="M816" s="3" t="n">
        <v>0.0961</v>
      </c>
      <c r="N816" s="3" t="n">
        <v>63822.25</v>
      </c>
      <c r="O816" s="3" t="n">
        <v>600301.07</v>
      </c>
      <c r="P816" s="3" t="n">
        <v>398473.99</v>
      </c>
      <c r="Q816" s="3" t="n">
        <v>201827.08</v>
      </c>
      <c r="R816" s="3" t="n">
        <v>0.3362</v>
      </c>
      <c r="S816" s="3" t="n">
        <v>0.0926</v>
      </c>
      <c r="T816" s="3" t="n">
        <v>0.0035</v>
      </c>
    </row>
    <row r="817" customFormat="false" ht="15" hidden="false" customHeight="true" outlineLevel="0" collapsed="false">
      <c r="A817" s="3" t="s">
        <v>1459</v>
      </c>
      <c r="B817" s="3" t="s">
        <v>1460</v>
      </c>
      <c r="C817" s="3" t="s">
        <v>46</v>
      </c>
      <c r="D817" s="3" t="s">
        <v>38</v>
      </c>
      <c r="E817" s="3" t="s">
        <v>39</v>
      </c>
      <c r="F817" s="3" t="s">
        <v>40</v>
      </c>
      <c r="G817" s="3" t="s">
        <v>63</v>
      </c>
      <c r="H817" s="3" t="s">
        <v>77</v>
      </c>
      <c r="I817" s="3" t="s">
        <v>131</v>
      </c>
      <c r="J817" s="3" t="n">
        <v>16</v>
      </c>
      <c r="K817" s="3" t="n">
        <v>2424.79</v>
      </c>
      <c r="L817" s="3" t="n">
        <v>38796.64</v>
      </c>
      <c r="M817" s="3" t="n">
        <v>0.0783</v>
      </c>
      <c r="N817" s="3" t="n">
        <v>3037.78</v>
      </c>
      <c r="O817" s="3" t="n">
        <v>35758.86</v>
      </c>
      <c r="P817" s="3" t="n">
        <v>26381.72</v>
      </c>
      <c r="Q817" s="3" t="n">
        <v>9377.14</v>
      </c>
      <c r="R817" s="3" t="n">
        <v>0.2622</v>
      </c>
      <c r="S817" s="3" t="n">
        <v>0.0647</v>
      </c>
      <c r="T817" s="3" t="n">
        <v>0.0136</v>
      </c>
    </row>
    <row r="818" customFormat="false" ht="15" hidden="false" customHeight="true" outlineLevel="0" collapsed="false">
      <c r="A818" s="3" t="s">
        <v>1461</v>
      </c>
      <c r="B818" s="3" t="s">
        <v>596</v>
      </c>
      <c r="C818" s="3" t="s">
        <v>60</v>
      </c>
      <c r="D818" s="3" t="s">
        <v>69</v>
      </c>
      <c r="E818" s="3" t="s">
        <v>39</v>
      </c>
      <c r="F818" s="3" t="s">
        <v>70</v>
      </c>
      <c r="G818" s="3" t="s">
        <v>63</v>
      </c>
      <c r="H818" s="3" t="s">
        <v>64</v>
      </c>
      <c r="I818" s="3" t="s">
        <v>90</v>
      </c>
      <c r="J818" s="3" t="n">
        <v>49</v>
      </c>
      <c r="K818" s="3" t="n">
        <v>5564.42</v>
      </c>
      <c r="L818" s="3" t="n">
        <v>272656.58</v>
      </c>
      <c r="M818" s="3" t="n">
        <v>0.0777</v>
      </c>
      <c r="N818" s="3" t="n">
        <v>21185.42</v>
      </c>
      <c r="O818" s="3" t="n">
        <v>251471.16</v>
      </c>
      <c r="P818" s="3" t="n">
        <v>158140.82</v>
      </c>
      <c r="Q818" s="3" t="n">
        <v>93330.34</v>
      </c>
      <c r="R818" s="3" t="n">
        <v>0.3711</v>
      </c>
      <c r="S818" s="3" t="n">
        <v>0.065</v>
      </c>
      <c r="T818" s="3" t="n">
        <v>0.0127</v>
      </c>
    </row>
    <row r="819" customFormat="false" ht="15" hidden="false" customHeight="true" outlineLevel="0" collapsed="false">
      <c r="A819" s="3" t="s">
        <v>1462</v>
      </c>
      <c r="B819" s="3" t="s">
        <v>1463</v>
      </c>
      <c r="C819" s="3" t="s">
        <v>120</v>
      </c>
      <c r="D819" s="3" t="s">
        <v>83</v>
      </c>
      <c r="E819" s="3" t="s">
        <v>48</v>
      </c>
      <c r="F819" s="3" t="s">
        <v>62</v>
      </c>
      <c r="G819" s="3" t="s">
        <v>76</v>
      </c>
      <c r="H819" s="3" t="s">
        <v>77</v>
      </c>
      <c r="I819" s="3" t="s">
        <v>85</v>
      </c>
      <c r="J819" s="3" t="n">
        <v>39</v>
      </c>
      <c r="K819" s="3" t="n">
        <v>5537.92</v>
      </c>
      <c r="L819" s="3" t="n">
        <v>215978.88</v>
      </c>
      <c r="M819" s="3" t="n">
        <v>0.0366</v>
      </c>
      <c r="N819" s="3" t="n">
        <v>7904.83</v>
      </c>
      <c r="O819" s="3" t="n">
        <v>208074.05</v>
      </c>
      <c r="P819" s="3" t="n">
        <v>146865.64</v>
      </c>
      <c r="Q819" s="3" t="n">
        <v>61208.41</v>
      </c>
      <c r="R819" s="3" t="n">
        <v>0.2942</v>
      </c>
      <c r="S819" s="3" t="n">
        <v>0.0384</v>
      </c>
      <c r="T819" s="3" t="n">
        <v>-0.0018</v>
      </c>
    </row>
    <row r="820" customFormat="false" ht="15" hidden="false" customHeight="true" outlineLevel="0" collapsed="false">
      <c r="A820" s="3" t="s">
        <v>1464</v>
      </c>
      <c r="B820" s="3" t="s">
        <v>1465</v>
      </c>
      <c r="C820" s="3" t="s">
        <v>31</v>
      </c>
      <c r="D820" s="3" t="s">
        <v>107</v>
      </c>
      <c r="E820" s="3" t="s">
        <v>33</v>
      </c>
      <c r="F820" s="3" t="s">
        <v>70</v>
      </c>
      <c r="G820" s="3" t="s">
        <v>84</v>
      </c>
      <c r="H820" s="3" t="s">
        <v>64</v>
      </c>
      <c r="I820" s="3" t="s">
        <v>90</v>
      </c>
      <c r="J820" s="3" t="n">
        <v>31</v>
      </c>
      <c r="K820" s="3" t="n">
        <v>10968.72</v>
      </c>
      <c r="L820" s="3" t="n">
        <v>340030.32</v>
      </c>
      <c r="M820" s="3" t="n">
        <v>0.0434</v>
      </c>
      <c r="N820" s="3" t="n">
        <v>14757.32</v>
      </c>
      <c r="O820" s="3" t="n">
        <v>325273</v>
      </c>
      <c r="P820" s="3" t="n">
        <v>197217.59</v>
      </c>
      <c r="Q820" s="3" t="n">
        <v>128055.41</v>
      </c>
      <c r="R820" s="3" t="n">
        <v>0.3937</v>
      </c>
      <c r="S820" s="3" t="n">
        <v>0.0359</v>
      </c>
      <c r="T820" s="3" t="n">
        <v>0.0075</v>
      </c>
    </row>
    <row r="821" customFormat="false" ht="15" hidden="false" customHeight="true" outlineLevel="0" collapsed="false">
      <c r="A821" s="3" t="s">
        <v>1466</v>
      </c>
      <c r="B821" s="3" t="s">
        <v>210</v>
      </c>
      <c r="C821" s="3" t="s">
        <v>53</v>
      </c>
      <c r="D821" s="3" t="s">
        <v>47</v>
      </c>
      <c r="E821" s="3" t="s">
        <v>48</v>
      </c>
      <c r="F821" s="3" t="s">
        <v>25</v>
      </c>
      <c r="G821" s="3" t="s">
        <v>41</v>
      </c>
      <c r="H821" s="3" t="s">
        <v>42</v>
      </c>
      <c r="I821" s="3" t="s">
        <v>72</v>
      </c>
      <c r="J821" s="3" t="n">
        <v>28</v>
      </c>
      <c r="K821" s="3" t="n">
        <v>2019.37</v>
      </c>
      <c r="L821" s="3" t="n">
        <v>56542.36</v>
      </c>
      <c r="M821" s="3" t="n">
        <v>0.1746</v>
      </c>
      <c r="N821" s="3" t="n">
        <v>9872.3</v>
      </c>
      <c r="O821" s="3" t="n">
        <v>46670.06</v>
      </c>
      <c r="P821" s="3" t="n">
        <v>31098.3</v>
      </c>
      <c r="Q821" s="3" t="n">
        <v>15571.76</v>
      </c>
      <c r="R821" s="3" t="n">
        <v>0.3337</v>
      </c>
      <c r="S821" s="3" t="n">
        <v>0.1736</v>
      </c>
      <c r="T821" s="3" t="n">
        <v>0.001</v>
      </c>
    </row>
    <row r="822" customFormat="false" ht="15" hidden="false" customHeight="true" outlineLevel="0" collapsed="false">
      <c r="A822" s="3" t="s">
        <v>1467</v>
      </c>
      <c r="B822" s="3" t="s">
        <v>1468</v>
      </c>
      <c r="C822" s="3" t="s">
        <v>93</v>
      </c>
      <c r="D822" s="3" t="s">
        <v>97</v>
      </c>
      <c r="E822" s="3" t="s">
        <v>48</v>
      </c>
      <c r="F822" s="3" t="s">
        <v>40</v>
      </c>
      <c r="G822" s="3" t="s">
        <v>100</v>
      </c>
      <c r="H822" s="3" t="s">
        <v>64</v>
      </c>
      <c r="I822" s="3" t="s">
        <v>90</v>
      </c>
      <c r="J822" s="3" t="n">
        <v>34</v>
      </c>
      <c r="K822" s="3" t="n">
        <v>8666.04</v>
      </c>
      <c r="L822" s="3" t="n">
        <v>294645.36</v>
      </c>
      <c r="M822" s="3" t="n">
        <v>0.0342</v>
      </c>
      <c r="N822" s="3" t="n">
        <v>10076.87</v>
      </c>
      <c r="O822" s="3" t="n">
        <v>284568.49</v>
      </c>
      <c r="P822" s="3" t="n">
        <v>170894.31</v>
      </c>
      <c r="Q822" s="3" t="n">
        <v>113674.18</v>
      </c>
      <c r="R822" s="3" t="n">
        <v>0.3995</v>
      </c>
      <c r="S822" s="3" t="n">
        <v>0.0318</v>
      </c>
      <c r="T822" s="3" t="n">
        <v>0.0024</v>
      </c>
    </row>
    <row r="823" customFormat="false" ht="15" hidden="false" customHeight="true" outlineLevel="0" collapsed="false">
      <c r="A823" s="3" t="s">
        <v>1469</v>
      </c>
      <c r="B823" s="3" t="s">
        <v>177</v>
      </c>
      <c r="C823" s="3" t="s">
        <v>126</v>
      </c>
      <c r="D823" s="3" t="s">
        <v>83</v>
      </c>
      <c r="E823" s="3" t="s">
        <v>48</v>
      </c>
      <c r="F823" s="3" t="s">
        <v>62</v>
      </c>
      <c r="G823" s="3" t="s">
        <v>41</v>
      </c>
      <c r="H823" s="3" t="s">
        <v>42</v>
      </c>
      <c r="I823" s="3" t="s">
        <v>43</v>
      </c>
      <c r="J823" s="3" t="n">
        <v>20</v>
      </c>
      <c r="K823" s="3" t="n">
        <v>2895.1</v>
      </c>
      <c r="L823" s="3" t="n">
        <v>57902</v>
      </c>
      <c r="M823" s="3" t="n">
        <v>0.113</v>
      </c>
      <c r="N823" s="3" t="n">
        <v>6542.93</v>
      </c>
      <c r="O823" s="3" t="n">
        <v>51359.07</v>
      </c>
      <c r="P823" s="3" t="n">
        <v>31846.1</v>
      </c>
      <c r="Q823" s="3" t="n">
        <v>19512.97</v>
      </c>
      <c r="R823" s="3" t="n">
        <v>0.3799</v>
      </c>
      <c r="S823" s="3" t="n">
        <v>0.1097</v>
      </c>
      <c r="T823" s="3" t="n">
        <v>0.0033</v>
      </c>
    </row>
    <row r="824" customFormat="false" ht="15" hidden="false" customHeight="true" outlineLevel="0" collapsed="false">
      <c r="A824" s="3" t="s">
        <v>1470</v>
      </c>
      <c r="B824" s="3" t="s">
        <v>461</v>
      </c>
      <c r="C824" s="3" t="s">
        <v>93</v>
      </c>
      <c r="D824" s="3" t="s">
        <v>107</v>
      </c>
      <c r="E824" s="3" t="s">
        <v>33</v>
      </c>
      <c r="F824" s="3" t="s">
        <v>70</v>
      </c>
      <c r="G824" s="3" t="s">
        <v>100</v>
      </c>
      <c r="H824" s="3" t="s">
        <v>27</v>
      </c>
      <c r="I824" s="3" t="s">
        <v>28</v>
      </c>
      <c r="J824" s="3" t="n">
        <v>28</v>
      </c>
      <c r="K824" s="3" t="n">
        <v>11444.23</v>
      </c>
      <c r="L824" s="3" t="n">
        <v>320438.44</v>
      </c>
      <c r="M824" s="3" t="n">
        <v>0.0507</v>
      </c>
      <c r="N824" s="3" t="n">
        <v>16246.23</v>
      </c>
      <c r="O824" s="3" t="n">
        <v>304192.21</v>
      </c>
      <c r="P824" s="3" t="n">
        <v>198671.83</v>
      </c>
      <c r="Q824" s="3" t="n">
        <v>105520.38</v>
      </c>
      <c r="R824" s="3" t="n">
        <v>0.3469</v>
      </c>
      <c r="S824" s="3" t="n">
        <v>0.0506</v>
      </c>
      <c r="T824" s="3" t="n">
        <v>0.0001</v>
      </c>
    </row>
    <row r="825" customFormat="false" ht="15" hidden="false" customHeight="true" outlineLevel="0" collapsed="false">
      <c r="A825" s="3" t="s">
        <v>1471</v>
      </c>
      <c r="B825" s="3" t="s">
        <v>642</v>
      </c>
      <c r="C825" s="3" t="s">
        <v>120</v>
      </c>
      <c r="D825" s="3" t="s">
        <v>38</v>
      </c>
      <c r="E825" s="3" t="s">
        <v>39</v>
      </c>
      <c r="F825" s="3" t="s">
        <v>40</v>
      </c>
      <c r="G825" s="3" t="s">
        <v>76</v>
      </c>
      <c r="H825" s="3" t="s">
        <v>42</v>
      </c>
      <c r="I825" s="3" t="s">
        <v>134</v>
      </c>
      <c r="J825" s="3" t="n">
        <v>50</v>
      </c>
      <c r="K825" s="3" t="n">
        <v>2549.49</v>
      </c>
      <c r="L825" s="3" t="n">
        <v>127474.5</v>
      </c>
      <c r="M825" s="3" t="n">
        <v>0.0552</v>
      </c>
      <c r="N825" s="3" t="n">
        <v>7036.59</v>
      </c>
      <c r="O825" s="3" t="n">
        <v>120437.91</v>
      </c>
      <c r="P825" s="3" t="n">
        <v>70110.97</v>
      </c>
      <c r="Q825" s="3" t="n">
        <v>50326.94</v>
      </c>
      <c r="R825" s="3" t="n">
        <v>0.4179</v>
      </c>
      <c r="S825" s="3" t="n">
        <v>0.0564</v>
      </c>
      <c r="T825" s="3" t="n">
        <v>-0.0012</v>
      </c>
    </row>
    <row r="826" customFormat="false" ht="15" hidden="false" customHeight="true" outlineLevel="0" collapsed="false">
      <c r="A826" s="3" t="s">
        <v>1472</v>
      </c>
      <c r="B826" s="3" t="s">
        <v>1473</v>
      </c>
      <c r="C826" s="3" t="s">
        <v>126</v>
      </c>
      <c r="D826" s="3" t="s">
        <v>83</v>
      </c>
      <c r="E826" s="3" t="s">
        <v>48</v>
      </c>
      <c r="F826" s="3" t="s">
        <v>62</v>
      </c>
      <c r="G826" s="3" t="s">
        <v>63</v>
      </c>
      <c r="H826" s="3" t="s">
        <v>64</v>
      </c>
      <c r="I826" s="3" t="s">
        <v>108</v>
      </c>
      <c r="J826" s="3" t="n">
        <v>27</v>
      </c>
      <c r="K826" s="3" t="n">
        <v>3407.33</v>
      </c>
      <c r="L826" s="3" t="n">
        <v>91997.91</v>
      </c>
      <c r="M826" s="3" t="n">
        <v>0.0738</v>
      </c>
      <c r="N826" s="3" t="n">
        <v>6789.45</v>
      </c>
      <c r="O826" s="3" t="n">
        <v>85208.46</v>
      </c>
      <c r="P826" s="3" t="n">
        <v>53358.79</v>
      </c>
      <c r="Q826" s="3" t="n">
        <v>31849.67</v>
      </c>
      <c r="R826" s="3" t="n">
        <v>0.3738</v>
      </c>
      <c r="S826" s="3" t="n">
        <v>0.066</v>
      </c>
      <c r="T826" s="3" t="n">
        <v>0.0078</v>
      </c>
    </row>
    <row r="827" customFormat="false" ht="15" hidden="false" customHeight="true" outlineLevel="0" collapsed="false">
      <c r="A827" s="3" t="s">
        <v>1474</v>
      </c>
      <c r="B827" s="3" t="s">
        <v>1475</v>
      </c>
      <c r="C827" s="3" t="s">
        <v>113</v>
      </c>
      <c r="D827" s="3" t="s">
        <v>97</v>
      </c>
      <c r="E827" s="3" t="s">
        <v>48</v>
      </c>
      <c r="F827" s="3" t="s">
        <v>40</v>
      </c>
      <c r="G827" s="3" t="s">
        <v>84</v>
      </c>
      <c r="H827" s="3" t="s">
        <v>77</v>
      </c>
      <c r="I827" s="3" t="s">
        <v>85</v>
      </c>
      <c r="J827" s="3" t="n">
        <v>17</v>
      </c>
      <c r="K827" s="3" t="n">
        <v>4194.29</v>
      </c>
      <c r="L827" s="3" t="n">
        <v>71302.93</v>
      </c>
      <c r="M827" s="3" t="n">
        <v>0.0471</v>
      </c>
      <c r="N827" s="3" t="n">
        <v>3358.37</v>
      </c>
      <c r="O827" s="3" t="n">
        <v>67944.56</v>
      </c>
      <c r="P827" s="3" t="n">
        <v>48485.99</v>
      </c>
      <c r="Q827" s="3" t="n">
        <v>19458.57</v>
      </c>
      <c r="R827" s="3" t="n">
        <v>0.2864</v>
      </c>
      <c r="S827" s="3" t="n">
        <v>0.0406</v>
      </c>
      <c r="T827" s="3" t="n">
        <v>0.0065</v>
      </c>
    </row>
    <row r="828" customFormat="false" ht="15" hidden="false" customHeight="true" outlineLevel="0" collapsed="false">
      <c r="A828" s="3" t="s">
        <v>1476</v>
      </c>
      <c r="B828" s="3" t="s">
        <v>722</v>
      </c>
      <c r="C828" s="3" t="s">
        <v>46</v>
      </c>
      <c r="D828" s="3" t="s">
        <v>61</v>
      </c>
      <c r="E828" s="3" t="s">
        <v>33</v>
      </c>
      <c r="F828" s="3" t="s">
        <v>62</v>
      </c>
      <c r="G828" s="3" t="s">
        <v>71</v>
      </c>
      <c r="H828" s="3" t="s">
        <v>56</v>
      </c>
      <c r="I828" s="3" t="s">
        <v>57</v>
      </c>
      <c r="J828" s="3" t="n">
        <v>35</v>
      </c>
      <c r="K828" s="3" t="n">
        <v>3701.29</v>
      </c>
      <c r="L828" s="3" t="n">
        <v>129545.15</v>
      </c>
      <c r="M828" s="3" t="n">
        <v>0.0309</v>
      </c>
      <c r="N828" s="3" t="n">
        <v>4002.95</v>
      </c>
      <c r="O828" s="3" t="n">
        <v>125542.2</v>
      </c>
      <c r="P828" s="3" t="n">
        <v>77727.09</v>
      </c>
      <c r="Q828" s="3" t="n">
        <v>47815.11</v>
      </c>
      <c r="R828" s="3" t="n">
        <v>0.3809</v>
      </c>
      <c r="S828" s="3" t="n">
        <v>0.0258</v>
      </c>
      <c r="T828" s="3" t="n">
        <v>0.0051</v>
      </c>
    </row>
    <row r="829" customFormat="false" ht="15" hidden="false" customHeight="true" outlineLevel="0" collapsed="false">
      <c r="A829" s="3" t="s">
        <v>1477</v>
      </c>
      <c r="B829" s="3" t="s">
        <v>133</v>
      </c>
      <c r="C829" s="3" t="s">
        <v>93</v>
      </c>
      <c r="D829" s="3" t="s">
        <v>75</v>
      </c>
      <c r="E829" s="3" t="s">
        <v>39</v>
      </c>
      <c r="F829" s="3" t="s">
        <v>25</v>
      </c>
      <c r="G829" s="3" t="s">
        <v>26</v>
      </c>
      <c r="H829" s="3" t="s">
        <v>77</v>
      </c>
      <c r="I829" s="3" t="s">
        <v>78</v>
      </c>
      <c r="J829" s="3" t="n">
        <v>43</v>
      </c>
      <c r="K829" s="3" t="n">
        <v>3144.44</v>
      </c>
      <c r="L829" s="3" t="n">
        <v>135210.92</v>
      </c>
      <c r="M829" s="3" t="n">
        <v>0.1664</v>
      </c>
      <c r="N829" s="3" t="n">
        <v>22499.1</v>
      </c>
      <c r="O829" s="3" t="n">
        <v>112711.82</v>
      </c>
      <c r="P829" s="3" t="n">
        <v>91943.43</v>
      </c>
      <c r="Q829" s="3" t="n">
        <v>20768.39</v>
      </c>
      <c r="R829" s="3" t="n">
        <v>0.1843</v>
      </c>
      <c r="S829" s="3" t="n">
        <v>0.1483</v>
      </c>
      <c r="T829" s="3" t="n">
        <v>0.0181</v>
      </c>
    </row>
    <row r="830" customFormat="false" ht="15" hidden="false" customHeight="true" outlineLevel="0" collapsed="false">
      <c r="A830" s="3" t="s">
        <v>1478</v>
      </c>
      <c r="B830" s="3" t="s">
        <v>1163</v>
      </c>
      <c r="C830" s="3" t="s">
        <v>126</v>
      </c>
      <c r="D830" s="3" t="s">
        <v>38</v>
      </c>
      <c r="E830" s="3" t="s">
        <v>39</v>
      </c>
      <c r="F830" s="3" t="s">
        <v>40</v>
      </c>
      <c r="G830" s="3" t="s">
        <v>71</v>
      </c>
      <c r="H830" s="3" t="s">
        <v>42</v>
      </c>
      <c r="I830" s="3" t="s">
        <v>72</v>
      </c>
      <c r="J830" s="3" t="n">
        <v>44</v>
      </c>
      <c r="K830" s="3" t="n">
        <v>3871</v>
      </c>
      <c r="L830" s="3" t="n">
        <v>170324</v>
      </c>
      <c r="M830" s="3" t="n">
        <v>0.0497</v>
      </c>
      <c r="N830" s="3" t="n">
        <v>8465.1</v>
      </c>
      <c r="O830" s="3" t="n">
        <v>161858.9</v>
      </c>
      <c r="P830" s="3" t="n">
        <v>93678.2</v>
      </c>
      <c r="Q830" s="3" t="n">
        <v>68180.7</v>
      </c>
      <c r="R830" s="3" t="n">
        <v>0.4212</v>
      </c>
      <c r="S830" s="3" t="n">
        <v>0.0411</v>
      </c>
      <c r="T830" s="3" t="n">
        <v>0.0086</v>
      </c>
    </row>
    <row r="831" customFormat="false" ht="15" hidden="false" customHeight="true" outlineLevel="0" collapsed="false">
      <c r="A831" s="3" t="s">
        <v>1479</v>
      </c>
      <c r="B831" s="3" t="s">
        <v>1480</v>
      </c>
      <c r="C831" s="3" t="s">
        <v>60</v>
      </c>
      <c r="D831" s="3" t="s">
        <v>75</v>
      </c>
      <c r="E831" s="3" t="s">
        <v>39</v>
      </c>
      <c r="F831" s="3" t="s">
        <v>25</v>
      </c>
      <c r="G831" s="3" t="s">
        <v>116</v>
      </c>
      <c r="H831" s="3" t="s">
        <v>27</v>
      </c>
      <c r="I831" s="3" t="s">
        <v>117</v>
      </c>
      <c r="J831" s="3" t="n">
        <v>45</v>
      </c>
      <c r="K831" s="3" t="n">
        <v>34110.98</v>
      </c>
      <c r="L831" s="3" t="n">
        <v>1534994.1</v>
      </c>
      <c r="M831" s="3" t="n">
        <v>0.2156</v>
      </c>
      <c r="N831" s="3" t="n">
        <v>330944.73</v>
      </c>
      <c r="O831" s="3" t="n">
        <v>1204049.37</v>
      </c>
      <c r="P831" s="3" t="n">
        <v>951696.34</v>
      </c>
      <c r="Q831" s="3" t="n">
        <v>252353.03</v>
      </c>
      <c r="R831" s="3" t="n">
        <v>0.2096</v>
      </c>
      <c r="S831" s="3" t="n">
        <v>0.2145</v>
      </c>
      <c r="T831" s="3" t="n">
        <v>0.0011</v>
      </c>
    </row>
    <row r="832" customFormat="false" ht="15" hidden="false" customHeight="true" outlineLevel="0" collapsed="false">
      <c r="A832" s="3" t="s">
        <v>1481</v>
      </c>
      <c r="B832" s="3" t="s">
        <v>683</v>
      </c>
      <c r="C832" s="3" t="s">
        <v>60</v>
      </c>
      <c r="D832" s="3" t="s">
        <v>47</v>
      </c>
      <c r="E832" s="3" t="s">
        <v>48</v>
      </c>
      <c r="F832" s="3" t="s">
        <v>25</v>
      </c>
      <c r="G832" s="3" t="s">
        <v>116</v>
      </c>
      <c r="H832" s="3" t="s">
        <v>56</v>
      </c>
      <c r="I832" s="3" t="s">
        <v>188</v>
      </c>
      <c r="J832" s="3" t="n">
        <v>30</v>
      </c>
      <c r="K832" s="3" t="n">
        <v>6814.69</v>
      </c>
      <c r="L832" s="3" t="n">
        <v>204440.7</v>
      </c>
      <c r="M832" s="3" t="n">
        <v>0.1358</v>
      </c>
      <c r="N832" s="3" t="n">
        <v>27763.05</v>
      </c>
      <c r="O832" s="3" t="n">
        <v>176677.65</v>
      </c>
      <c r="P832" s="3" t="n">
        <v>122664.42</v>
      </c>
      <c r="Q832" s="3" t="n">
        <v>54013.23</v>
      </c>
      <c r="R832" s="3" t="n">
        <v>0.3057</v>
      </c>
      <c r="S832" s="3" t="n">
        <v>0.1388</v>
      </c>
      <c r="T832" s="3" t="n">
        <v>-0.003</v>
      </c>
    </row>
    <row r="833" customFormat="false" ht="15" hidden="false" customHeight="true" outlineLevel="0" collapsed="false">
      <c r="A833" s="3" t="s">
        <v>1482</v>
      </c>
      <c r="B833" s="3" t="s">
        <v>1483</v>
      </c>
      <c r="C833" s="3" t="s">
        <v>46</v>
      </c>
      <c r="D833" s="3" t="s">
        <v>83</v>
      </c>
      <c r="E833" s="3" t="s">
        <v>48</v>
      </c>
      <c r="F833" s="3" t="s">
        <v>62</v>
      </c>
      <c r="G833" s="3" t="s">
        <v>104</v>
      </c>
      <c r="H833" s="3" t="s">
        <v>77</v>
      </c>
      <c r="I833" s="3" t="s">
        <v>78</v>
      </c>
      <c r="J833" s="3" t="n">
        <v>38</v>
      </c>
      <c r="K833" s="3" t="n">
        <v>5327.02</v>
      </c>
      <c r="L833" s="3" t="n">
        <v>202426.76</v>
      </c>
      <c r="M833" s="3" t="n">
        <v>0.0739</v>
      </c>
      <c r="N833" s="3" t="n">
        <v>14959.34</v>
      </c>
      <c r="O833" s="3" t="n">
        <v>187467.42</v>
      </c>
      <c r="P833" s="3" t="n">
        <v>137650.2</v>
      </c>
      <c r="Q833" s="3" t="n">
        <v>49817.22</v>
      </c>
      <c r="R833" s="3" t="n">
        <v>0.2657</v>
      </c>
      <c r="S833" s="3" t="n">
        <v>0.0603</v>
      </c>
      <c r="T833" s="3" t="n">
        <v>0.0136</v>
      </c>
    </row>
    <row r="834" customFormat="false" ht="15" hidden="false" customHeight="true" outlineLevel="0" collapsed="false">
      <c r="A834" s="3" t="s">
        <v>1484</v>
      </c>
      <c r="B834" s="3" t="s">
        <v>926</v>
      </c>
      <c r="C834" s="3" t="s">
        <v>126</v>
      </c>
      <c r="D834" s="3" t="s">
        <v>32</v>
      </c>
      <c r="E834" s="3" t="s">
        <v>33</v>
      </c>
      <c r="F834" s="3" t="s">
        <v>25</v>
      </c>
      <c r="G834" s="3" t="s">
        <v>63</v>
      </c>
      <c r="H834" s="3" t="s">
        <v>27</v>
      </c>
      <c r="I834" s="3" t="s">
        <v>173</v>
      </c>
      <c r="J834" s="3" t="n">
        <v>48</v>
      </c>
      <c r="K834" s="3" t="n">
        <v>35155.72</v>
      </c>
      <c r="L834" s="3" t="n">
        <v>1687474.56</v>
      </c>
      <c r="M834" s="3" t="n">
        <v>0.1574</v>
      </c>
      <c r="N834" s="3" t="n">
        <v>265608.5</v>
      </c>
      <c r="O834" s="3" t="n">
        <v>1421866.06</v>
      </c>
      <c r="P834" s="3" t="n">
        <v>1046234.23</v>
      </c>
      <c r="Q834" s="3" t="n">
        <v>375631.83</v>
      </c>
      <c r="R834" s="3" t="n">
        <v>0.2642</v>
      </c>
      <c r="S834" s="3" t="n">
        <v>0.1277</v>
      </c>
      <c r="T834" s="3" t="n">
        <v>0.0297</v>
      </c>
    </row>
    <row r="835" customFormat="false" ht="15" hidden="false" customHeight="true" outlineLevel="0" collapsed="false">
      <c r="A835" s="3" t="s">
        <v>1485</v>
      </c>
      <c r="B835" s="3" t="s">
        <v>1486</v>
      </c>
      <c r="C835" s="3" t="s">
        <v>53</v>
      </c>
      <c r="D835" s="3" t="s">
        <v>47</v>
      </c>
      <c r="E835" s="3" t="s">
        <v>48</v>
      </c>
      <c r="F835" s="3" t="s">
        <v>25</v>
      </c>
      <c r="G835" s="3" t="s">
        <v>55</v>
      </c>
      <c r="H835" s="3" t="s">
        <v>77</v>
      </c>
      <c r="I835" s="3" t="s">
        <v>85</v>
      </c>
      <c r="J835" s="3" t="n">
        <v>44</v>
      </c>
      <c r="K835" s="3" t="n">
        <v>4678.15</v>
      </c>
      <c r="L835" s="3" t="n">
        <v>205838.6</v>
      </c>
      <c r="M835" s="3" t="n">
        <v>0.1847</v>
      </c>
      <c r="N835" s="3" t="n">
        <v>38018.39</v>
      </c>
      <c r="O835" s="3" t="n">
        <v>167820.21</v>
      </c>
      <c r="P835" s="3" t="n">
        <v>139970.25</v>
      </c>
      <c r="Q835" s="3" t="n">
        <v>27849.96</v>
      </c>
      <c r="R835" s="3" t="n">
        <v>0.166</v>
      </c>
      <c r="S835" s="3" t="n">
        <v>0.1873</v>
      </c>
      <c r="T835" s="3" t="n">
        <v>-0.0026</v>
      </c>
    </row>
    <row r="836" customFormat="false" ht="15" hidden="false" customHeight="true" outlineLevel="0" collapsed="false">
      <c r="A836" s="3" t="s">
        <v>1487</v>
      </c>
      <c r="B836" s="3" t="s">
        <v>1488</v>
      </c>
      <c r="C836" s="3" t="s">
        <v>31</v>
      </c>
      <c r="D836" s="3" t="s">
        <v>107</v>
      </c>
      <c r="E836" s="3" t="s">
        <v>33</v>
      </c>
      <c r="F836" s="3" t="s">
        <v>70</v>
      </c>
      <c r="G836" s="3" t="s">
        <v>55</v>
      </c>
      <c r="H836" s="3" t="s">
        <v>27</v>
      </c>
      <c r="I836" s="3" t="s">
        <v>173</v>
      </c>
      <c r="J836" s="3" t="n">
        <v>5</v>
      </c>
      <c r="K836" s="3" t="n">
        <v>18107.2</v>
      </c>
      <c r="L836" s="3" t="n">
        <v>90536</v>
      </c>
      <c r="M836" s="3" t="n">
        <v>0.0434</v>
      </c>
      <c r="N836" s="3" t="n">
        <v>3929.26</v>
      </c>
      <c r="O836" s="3" t="n">
        <v>86606.74</v>
      </c>
      <c r="P836" s="3" t="n">
        <v>56132.32</v>
      </c>
      <c r="Q836" s="3" t="n">
        <v>30474.42</v>
      </c>
      <c r="R836" s="3" t="n">
        <v>0.3519</v>
      </c>
      <c r="S836" s="3" t="n">
        <v>0.0463</v>
      </c>
      <c r="T836" s="3" t="n">
        <v>-0.0029</v>
      </c>
    </row>
    <row r="837" customFormat="false" ht="15" hidden="false" customHeight="true" outlineLevel="0" collapsed="false">
      <c r="A837" s="3" t="s">
        <v>1489</v>
      </c>
      <c r="B837" s="3" t="s">
        <v>1490</v>
      </c>
      <c r="C837" s="3" t="s">
        <v>60</v>
      </c>
      <c r="D837" s="3" t="s">
        <v>61</v>
      </c>
      <c r="E837" s="3" t="s">
        <v>33</v>
      </c>
      <c r="F837" s="3" t="s">
        <v>62</v>
      </c>
      <c r="G837" s="3" t="s">
        <v>71</v>
      </c>
      <c r="H837" s="3" t="s">
        <v>77</v>
      </c>
      <c r="I837" s="3" t="s">
        <v>85</v>
      </c>
      <c r="J837" s="3" t="n">
        <v>45</v>
      </c>
      <c r="K837" s="3" t="n">
        <v>2864.47</v>
      </c>
      <c r="L837" s="3" t="n">
        <v>128901.15</v>
      </c>
      <c r="M837" s="3" t="n">
        <v>0.0518</v>
      </c>
      <c r="N837" s="3" t="n">
        <v>6677.08</v>
      </c>
      <c r="O837" s="3" t="n">
        <v>122224.07</v>
      </c>
      <c r="P837" s="3" t="n">
        <v>87652.78</v>
      </c>
      <c r="Q837" s="3" t="n">
        <v>34571.29</v>
      </c>
      <c r="R837" s="3" t="n">
        <v>0.2829</v>
      </c>
      <c r="S837" s="3" t="n">
        <v>0.0459</v>
      </c>
      <c r="T837" s="3" t="n">
        <v>0.0059</v>
      </c>
    </row>
    <row r="838" customFormat="false" ht="15" hidden="false" customHeight="true" outlineLevel="0" collapsed="false">
      <c r="A838" s="3" t="s">
        <v>1491</v>
      </c>
      <c r="B838" s="3" t="s">
        <v>1492</v>
      </c>
      <c r="C838" s="3" t="s">
        <v>37</v>
      </c>
      <c r="D838" s="3" t="s">
        <v>69</v>
      </c>
      <c r="E838" s="3" t="s">
        <v>39</v>
      </c>
      <c r="F838" s="3" t="s">
        <v>70</v>
      </c>
      <c r="G838" s="3" t="s">
        <v>84</v>
      </c>
      <c r="H838" s="3" t="s">
        <v>77</v>
      </c>
      <c r="I838" s="3" t="s">
        <v>78</v>
      </c>
      <c r="J838" s="3" t="n">
        <v>15</v>
      </c>
      <c r="K838" s="3" t="n">
        <v>2314.09</v>
      </c>
      <c r="L838" s="3" t="n">
        <v>34711.35</v>
      </c>
      <c r="M838" s="3" t="n">
        <v>0.0594</v>
      </c>
      <c r="N838" s="3" t="n">
        <v>2061.85</v>
      </c>
      <c r="O838" s="3" t="n">
        <v>32649.5</v>
      </c>
      <c r="P838" s="3" t="n">
        <v>23603.72</v>
      </c>
      <c r="Q838" s="3" t="n">
        <v>9045.78</v>
      </c>
      <c r="R838" s="3" t="n">
        <v>0.2771</v>
      </c>
      <c r="S838" s="3" t="n">
        <v>0.0639</v>
      </c>
      <c r="T838" s="3" t="n">
        <v>-0.0045</v>
      </c>
    </row>
    <row r="839" customFormat="false" ht="15" hidden="false" customHeight="true" outlineLevel="0" collapsed="false">
      <c r="A839" s="3" t="s">
        <v>1493</v>
      </c>
      <c r="B839" s="3" t="s">
        <v>840</v>
      </c>
      <c r="C839" s="3" t="s">
        <v>46</v>
      </c>
      <c r="D839" s="3" t="s">
        <v>97</v>
      </c>
      <c r="E839" s="3" t="s">
        <v>48</v>
      </c>
      <c r="F839" s="3" t="s">
        <v>40</v>
      </c>
      <c r="G839" s="3" t="s">
        <v>76</v>
      </c>
      <c r="H839" s="3" t="s">
        <v>77</v>
      </c>
      <c r="I839" s="3" t="s">
        <v>131</v>
      </c>
      <c r="J839" s="3" t="n">
        <v>25</v>
      </c>
      <c r="K839" s="3" t="n">
        <v>4670.38</v>
      </c>
      <c r="L839" s="3" t="n">
        <v>116759.5</v>
      </c>
      <c r="M839" s="3" t="n">
        <v>0.078</v>
      </c>
      <c r="N839" s="3" t="n">
        <v>9107.24</v>
      </c>
      <c r="O839" s="3" t="n">
        <v>107652.26</v>
      </c>
      <c r="P839" s="3" t="n">
        <v>79396.46</v>
      </c>
      <c r="Q839" s="3" t="n">
        <v>28255.8</v>
      </c>
      <c r="R839" s="3" t="n">
        <v>0.2625</v>
      </c>
      <c r="S839" s="3" t="n">
        <v>0.081</v>
      </c>
      <c r="T839" s="3" t="n">
        <v>-0.003</v>
      </c>
    </row>
    <row r="840" customFormat="false" ht="15" hidden="false" customHeight="true" outlineLevel="0" collapsed="false">
      <c r="A840" s="3" t="s">
        <v>1494</v>
      </c>
      <c r="B840" s="3" t="s">
        <v>164</v>
      </c>
      <c r="C840" s="3" t="s">
        <v>113</v>
      </c>
      <c r="D840" s="3" t="s">
        <v>75</v>
      </c>
      <c r="E840" s="3" t="s">
        <v>39</v>
      </c>
      <c r="F840" s="3" t="s">
        <v>25</v>
      </c>
      <c r="G840" s="3" t="s">
        <v>76</v>
      </c>
      <c r="H840" s="3" t="s">
        <v>56</v>
      </c>
      <c r="I840" s="3" t="s">
        <v>188</v>
      </c>
      <c r="J840" s="3" t="n">
        <v>6</v>
      </c>
      <c r="K840" s="3" t="n">
        <v>13051.16</v>
      </c>
      <c r="L840" s="3" t="n">
        <v>78306.96</v>
      </c>
      <c r="M840" s="3" t="n">
        <v>0.1137</v>
      </c>
      <c r="N840" s="3" t="n">
        <v>8903.5</v>
      </c>
      <c r="O840" s="3" t="n">
        <v>69403.46</v>
      </c>
      <c r="P840" s="3" t="n">
        <v>46984.18</v>
      </c>
      <c r="Q840" s="3" t="n">
        <v>22419.28</v>
      </c>
      <c r="R840" s="3" t="n">
        <v>0.323</v>
      </c>
      <c r="S840" s="3" t="n">
        <v>0.0963</v>
      </c>
      <c r="T840" s="3" t="n">
        <v>0.0174</v>
      </c>
    </row>
    <row r="841" customFormat="false" ht="15" hidden="false" customHeight="true" outlineLevel="0" collapsed="false">
      <c r="A841" s="3" t="s">
        <v>1495</v>
      </c>
      <c r="B841" s="3" t="s">
        <v>1097</v>
      </c>
      <c r="C841" s="3" t="s">
        <v>156</v>
      </c>
      <c r="D841" s="3" t="s">
        <v>83</v>
      </c>
      <c r="E841" s="3" t="s">
        <v>48</v>
      </c>
      <c r="F841" s="3" t="s">
        <v>62</v>
      </c>
      <c r="G841" s="3" t="s">
        <v>84</v>
      </c>
      <c r="H841" s="3" t="s">
        <v>27</v>
      </c>
      <c r="I841" s="3" t="s">
        <v>173</v>
      </c>
      <c r="J841" s="3" t="n">
        <v>14</v>
      </c>
      <c r="K841" s="3" t="n">
        <v>17716.86</v>
      </c>
      <c r="L841" s="3" t="n">
        <v>248036.04</v>
      </c>
      <c r="M841" s="3" t="n">
        <v>0.0578</v>
      </c>
      <c r="N841" s="3" t="n">
        <v>14336.48</v>
      </c>
      <c r="O841" s="3" t="n">
        <v>233699.56</v>
      </c>
      <c r="P841" s="3" t="n">
        <v>153782.34</v>
      </c>
      <c r="Q841" s="3" t="n">
        <v>79917.22</v>
      </c>
      <c r="R841" s="3" t="n">
        <v>0.342</v>
      </c>
      <c r="S841" s="3" t="n">
        <v>0.0525</v>
      </c>
      <c r="T841" s="3" t="n">
        <v>0.0053</v>
      </c>
    </row>
    <row r="842" customFormat="false" ht="15" hidden="false" customHeight="true" outlineLevel="0" collapsed="false">
      <c r="A842" s="3" t="s">
        <v>1496</v>
      </c>
      <c r="B842" s="3" t="s">
        <v>1497</v>
      </c>
      <c r="C842" s="3" t="s">
        <v>31</v>
      </c>
      <c r="D842" s="3" t="s">
        <v>54</v>
      </c>
      <c r="E842" s="3" t="s">
        <v>24</v>
      </c>
      <c r="F842" s="3" t="s">
        <v>40</v>
      </c>
      <c r="G842" s="3" t="s">
        <v>41</v>
      </c>
      <c r="H842" s="3" t="s">
        <v>42</v>
      </c>
      <c r="I842" s="3" t="s">
        <v>72</v>
      </c>
      <c r="J842" s="3" t="n">
        <v>33</v>
      </c>
      <c r="K842" s="3" t="n">
        <v>1111.5</v>
      </c>
      <c r="L842" s="3" t="n">
        <v>36679.5</v>
      </c>
      <c r="M842" s="3" t="n">
        <v>0.0541</v>
      </c>
      <c r="N842" s="3" t="n">
        <v>1984.36</v>
      </c>
      <c r="O842" s="3" t="n">
        <v>34695.14</v>
      </c>
      <c r="P842" s="3" t="n">
        <v>20173.73</v>
      </c>
      <c r="Q842" s="3" t="n">
        <v>14521.41</v>
      </c>
      <c r="R842" s="3" t="n">
        <v>0.4185</v>
      </c>
      <c r="S842" s="3" t="n">
        <v>0.0452</v>
      </c>
      <c r="T842" s="3" t="n">
        <v>0.0089</v>
      </c>
    </row>
    <row r="843" customFormat="false" ht="15" hidden="false" customHeight="true" outlineLevel="0" collapsed="false">
      <c r="A843" s="3" t="s">
        <v>1498</v>
      </c>
      <c r="B843" s="3" t="s">
        <v>349</v>
      </c>
      <c r="C843" s="3" t="s">
        <v>126</v>
      </c>
      <c r="D843" s="3" t="s">
        <v>69</v>
      </c>
      <c r="E843" s="3" t="s">
        <v>39</v>
      </c>
      <c r="F843" s="3" t="s">
        <v>70</v>
      </c>
      <c r="G843" s="3" t="s">
        <v>34</v>
      </c>
      <c r="H843" s="3" t="s">
        <v>27</v>
      </c>
      <c r="I843" s="3" t="s">
        <v>94</v>
      </c>
      <c r="J843" s="3" t="n">
        <v>22</v>
      </c>
      <c r="K843" s="3" t="n">
        <v>23563.69</v>
      </c>
      <c r="L843" s="3" t="n">
        <v>518401.18</v>
      </c>
      <c r="M843" s="3" t="n">
        <v>0.12</v>
      </c>
      <c r="N843" s="3" t="n">
        <v>62208.14</v>
      </c>
      <c r="O843" s="3" t="n">
        <v>456193.04</v>
      </c>
      <c r="P843" s="3" t="n">
        <v>321408.73</v>
      </c>
      <c r="Q843" s="3" t="n">
        <v>134784.31</v>
      </c>
      <c r="R843" s="3" t="n">
        <v>0.2955</v>
      </c>
      <c r="S843" s="3" t="n">
        <v>0.1283</v>
      </c>
      <c r="T843" s="3" t="n">
        <v>-0.0083</v>
      </c>
    </row>
    <row r="844" customFormat="false" ht="15" hidden="false" customHeight="true" outlineLevel="0" collapsed="false">
      <c r="A844" s="3" t="s">
        <v>1499</v>
      </c>
      <c r="B844" s="3" t="s">
        <v>260</v>
      </c>
      <c r="C844" s="3" t="s">
        <v>31</v>
      </c>
      <c r="D844" s="3" t="s">
        <v>97</v>
      </c>
      <c r="E844" s="3" t="s">
        <v>48</v>
      </c>
      <c r="F844" s="3" t="s">
        <v>40</v>
      </c>
      <c r="G844" s="3" t="s">
        <v>71</v>
      </c>
      <c r="H844" s="3" t="s">
        <v>56</v>
      </c>
      <c r="I844" s="3" t="s">
        <v>121</v>
      </c>
      <c r="J844" s="3" t="n">
        <v>4</v>
      </c>
      <c r="K844" s="3" t="n">
        <v>3666.27</v>
      </c>
      <c r="L844" s="3" t="n">
        <v>14665.08</v>
      </c>
      <c r="M844" s="3" t="n">
        <v>0.0763</v>
      </c>
      <c r="N844" s="3" t="n">
        <v>1118.95</v>
      </c>
      <c r="O844" s="3" t="n">
        <v>13546.13</v>
      </c>
      <c r="P844" s="3" t="n">
        <v>8799.05</v>
      </c>
      <c r="Q844" s="3" t="n">
        <v>4747.08</v>
      </c>
      <c r="R844" s="3" t="n">
        <v>0.3504</v>
      </c>
      <c r="S844" s="3" t="n">
        <v>0.0794</v>
      </c>
      <c r="T844" s="3" t="n">
        <v>-0.0031</v>
      </c>
    </row>
    <row r="845" customFormat="false" ht="15" hidden="false" customHeight="true" outlineLevel="0" collapsed="false">
      <c r="A845" s="3" t="s">
        <v>1500</v>
      </c>
      <c r="B845" s="3" t="s">
        <v>158</v>
      </c>
      <c r="C845" s="3" t="s">
        <v>156</v>
      </c>
      <c r="D845" s="3" t="s">
        <v>61</v>
      </c>
      <c r="E845" s="3" t="s">
        <v>33</v>
      </c>
      <c r="F845" s="3" t="s">
        <v>62</v>
      </c>
      <c r="G845" s="3" t="s">
        <v>55</v>
      </c>
      <c r="H845" s="3" t="s">
        <v>27</v>
      </c>
      <c r="I845" s="3" t="s">
        <v>94</v>
      </c>
      <c r="J845" s="3" t="n">
        <v>7</v>
      </c>
      <c r="K845" s="3" t="n">
        <v>33029</v>
      </c>
      <c r="L845" s="3" t="n">
        <v>231203</v>
      </c>
      <c r="M845" s="3" t="n">
        <v>0.0712</v>
      </c>
      <c r="N845" s="3" t="n">
        <v>16461.65</v>
      </c>
      <c r="O845" s="3" t="n">
        <v>214741.35</v>
      </c>
      <c r="P845" s="3" t="n">
        <v>143345.86</v>
      </c>
      <c r="Q845" s="3" t="n">
        <v>71395.49</v>
      </c>
      <c r="R845" s="3" t="n">
        <v>0.3325</v>
      </c>
      <c r="S845" s="3" t="n">
        <v>0.0678</v>
      </c>
      <c r="T845" s="3" t="n">
        <v>0.0034</v>
      </c>
    </row>
    <row r="846" customFormat="false" ht="15" hidden="false" customHeight="true" outlineLevel="0" collapsed="false">
      <c r="A846" s="3" t="s">
        <v>1501</v>
      </c>
      <c r="B846" s="3" t="s">
        <v>1502</v>
      </c>
      <c r="C846" s="3" t="s">
        <v>68</v>
      </c>
      <c r="D846" s="3" t="s">
        <v>75</v>
      </c>
      <c r="E846" s="3" t="s">
        <v>39</v>
      </c>
      <c r="F846" s="3" t="s">
        <v>25</v>
      </c>
      <c r="G846" s="3" t="s">
        <v>49</v>
      </c>
      <c r="H846" s="3" t="s">
        <v>27</v>
      </c>
      <c r="I846" s="3" t="s">
        <v>117</v>
      </c>
      <c r="J846" s="3" t="n">
        <v>19</v>
      </c>
      <c r="K846" s="3" t="n">
        <v>13025.04</v>
      </c>
      <c r="L846" s="3" t="n">
        <v>247475.76</v>
      </c>
      <c r="M846" s="3" t="n">
        <v>0.1664</v>
      </c>
      <c r="N846" s="3" t="n">
        <v>41179.97</v>
      </c>
      <c r="O846" s="3" t="n">
        <v>206295.79</v>
      </c>
      <c r="P846" s="3" t="n">
        <v>153434.97</v>
      </c>
      <c r="Q846" s="3" t="n">
        <v>52860.82</v>
      </c>
      <c r="R846" s="3" t="n">
        <v>0.2562</v>
      </c>
      <c r="S846" s="3" t="n">
        <v>0.1697</v>
      </c>
      <c r="T846" s="3" t="n">
        <v>-0.0033</v>
      </c>
    </row>
    <row r="847" customFormat="false" ht="15" hidden="false" customHeight="true" outlineLevel="0" collapsed="false">
      <c r="A847" s="3" t="s">
        <v>1503</v>
      </c>
      <c r="B847" s="3" t="s">
        <v>384</v>
      </c>
      <c r="C847" s="3" t="s">
        <v>31</v>
      </c>
      <c r="D847" s="3" t="s">
        <v>61</v>
      </c>
      <c r="E847" s="3" t="s">
        <v>33</v>
      </c>
      <c r="F847" s="3" t="s">
        <v>62</v>
      </c>
      <c r="G847" s="3" t="s">
        <v>49</v>
      </c>
      <c r="H847" s="3" t="s">
        <v>64</v>
      </c>
      <c r="I847" s="3" t="s">
        <v>145</v>
      </c>
      <c r="J847" s="3" t="n">
        <v>8</v>
      </c>
      <c r="K847" s="3" t="n">
        <v>10372.45</v>
      </c>
      <c r="L847" s="3" t="n">
        <v>82979.6</v>
      </c>
      <c r="M847" s="3" t="n">
        <v>0.0724</v>
      </c>
      <c r="N847" s="3" t="n">
        <v>6007.72</v>
      </c>
      <c r="O847" s="3" t="n">
        <v>76971.88</v>
      </c>
      <c r="P847" s="3" t="n">
        <v>48128.17</v>
      </c>
      <c r="Q847" s="3" t="n">
        <v>28843.71</v>
      </c>
      <c r="R847" s="3" t="n">
        <v>0.3747</v>
      </c>
      <c r="S847" s="3" t="n">
        <v>0.079</v>
      </c>
      <c r="T847" s="3" t="n">
        <v>-0.0066</v>
      </c>
    </row>
    <row r="848" customFormat="false" ht="15" hidden="false" customHeight="true" outlineLevel="0" collapsed="false">
      <c r="A848" s="3" t="s">
        <v>1504</v>
      </c>
      <c r="B848" s="3" t="s">
        <v>1505</v>
      </c>
      <c r="C848" s="3" t="s">
        <v>31</v>
      </c>
      <c r="D848" s="3" t="s">
        <v>32</v>
      </c>
      <c r="E848" s="3" t="s">
        <v>33</v>
      </c>
      <c r="F848" s="3" t="s">
        <v>25</v>
      </c>
      <c r="G848" s="3" t="s">
        <v>49</v>
      </c>
      <c r="H848" s="3" t="s">
        <v>64</v>
      </c>
      <c r="I848" s="3" t="s">
        <v>90</v>
      </c>
      <c r="J848" s="3" t="n">
        <v>11</v>
      </c>
      <c r="K848" s="3" t="n">
        <v>5580.82</v>
      </c>
      <c r="L848" s="3" t="n">
        <v>61389.02</v>
      </c>
      <c r="M848" s="3" t="n">
        <v>0.1041</v>
      </c>
      <c r="N848" s="3" t="n">
        <v>6390.6</v>
      </c>
      <c r="O848" s="3" t="n">
        <v>54998.42</v>
      </c>
      <c r="P848" s="3" t="n">
        <v>35605.63</v>
      </c>
      <c r="Q848" s="3" t="n">
        <v>19392.79</v>
      </c>
      <c r="R848" s="3" t="n">
        <v>0.3526</v>
      </c>
      <c r="S848" s="3" t="n">
        <v>0.0945</v>
      </c>
      <c r="T848" s="3" t="n">
        <v>0.0096</v>
      </c>
    </row>
    <row r="849" customFormat="false" ht="15" hidden="false" customHeight="true" outlineLevel="0" collapsed="false">
      <c r="A849" s="3" t="s">
        <v>1506</v>
      </c>
      <c r="B849" s="3" t="s">
        <v>1332</v>
      </c>
      <c r="C849" s="3" t="s">
        <v>31</v>
      </c>
      <c r="D849" s="3" t="s">
        <v>23</v>
      </c>
      <c r="E849" s="3" t="s">
        <v>24</v>
      </c>
      <c r="F849" s="3" t="s">
        <v>25</v>
      </c>
      <c r="G849" s="3" t="s">
        <v>100</v>
      </c>
      <c r="H849" s="3" t="s">
        <v>64</v>
      </c>
      <c r="I849" s="3" t="s">
        <v>108</v>
      </c>
      <c r="J849" s="3" t="n">
        <v>15</v>
      </c>
      <c r="K849" s="3" t="n">
        <v>6795.5</v>
      </c>
      <c r="L849" s="3" t="n">
        <v>101932.5</v>
      </c>
      <c r="M849" s="3" t="n">
        <v>0.1112</v>
      </c>
      <c r="N849" s="3" t="n">
        <v>11334.89</v>
      </c>
      <c r="O849" s="3" t="n">
        <v>90597.61</v>
      </c>
      <c r="P849" s="3" t="n">
        <v>59120.85</v>
      </c>
      <c r="Q849" s="3" t="n">
        <v>31476.76</v>
      </c>
      <c r="R849" s="3" t="n">
        <v>0.3474</v>
      </c>
      <c r="S849" s="3" t="n">
        <v>0.1189</v>
      </c>
      <c r="T849" s="3" t="n">
        <v>-0.0077</v>
      </c>
    </row>
    <row r="850" customFormat="false" ht="15" hidden="false" customHeight="true" outlineLevel="0" collapsed="false">
      <c r="A850" s="3" t="s">
        <v>1507</v>
      </c>
      <c r="B850" s="3" t="s">
        <v>110</v>
      </c>
      <c r="C850" s="3" t="s">
        <v>68</v>
      </c>
      <c r="D850" s="3" t="s">
        <v>107</v>
      </c>
      <c r="E850" s="3" t="s">
        <v>33</v>
      </c>
      <c r="F850" s="3" t="s">
        <v>70</v>
      </c>
      <c r="G850" s="3" t="s">
        <v>84</v>
      </c>
      <c r="H850" s="3" t="s">
        <v>42</v>
      </c>
      <c r="I850" s="3" t="s">
        <v>43</v>
      </c>
      <c r="J850" s="3" t="n">
        <v>1</v>
      </c>
      <c r="K850" s="3" t="n">
        <v>1009.55</v>
      </c>
      <c r="L850" s="3" t="n">
        <v>1009.55</v>
      </c>
      <c r="M850" s="3" t="n">
        <v>0.0659</v>
      </c>
      <c r="N850" s="3" t="n">
        <v>66.53</v>
      </c>
      <c r="O850" s="3" t="n">
        <v>943.02</v>
      </c>
      <c r="P850" s="3" t="n">
        <v>555.25</v>
      </c>
      <c r="Q850" s="3" t="n">
        <v>387.77</v>
      </c>
      <c r="R850" s="3" t="n">
        <v>0.4112</v>
      </c>
      <c r="S850" s="3" t="n">
        <v>0.0714</v>
      </c>
      <c r="T850" s="3" t="n">
        <v>-0.0055</v>
      </c>
    </row>
    <row r="851" customFormat="false" ht="15" hidden="false" customHeight="true" outlineLevel="0" collapsed="false">
      <c r="A851" s="3" t="s">
        <v>1508</v>
      </c>
      <c r="B851" s="3" t="s">
        <v>469</v>
      </c>
      <c r="C851" s="3" t="s">
        <v>46</v>
      </c>
      <c r="D851" s="3" t="s">
        <v>61</v>
      </c>
      <c r="E851" s="3" t="s">
        <v>33</v>
      </c>
      <c r="F851" s="3" t="s">
        <v>62</v>
      </c>
      <c r="G851" s="3" t="s">
        <v>63</v>
      </c>
      <c r="H851" s="3" t="s">
        <v>42</v>
      </c>
      <c r="I851" s="3" t="s">
        <v>134</v>
      </c>
      <c r="J851" s="3" t="n">
        <v>11</v>
      </c>
      <c r="K851" s="3" t="n">
        <v>3936.81</v>
      </c>
      <c r="L851" s="3" t="n">
        <v>43304.91</v>
      </c>
      <c r="M851" s="3" t="n">
        <v>0.0517</v>
      </c>
      <c r="N851" s="3" t="n">
        <v>2238.86</v>
      </c>
      <c r="O851" s="3" t="n">
        <v>41066.05</v>
      </c>
      <c r="P851" s="3" t="n">
        <v>23817.7</v>
      </c>
      <c r="Q851" s="3" t="n">
        <v>17248.35</v>
      </c>
      <c r="R851" s="3" t="n">
        <v>0.42</v>
      </c>
      <c r="S851" s="3" t="n">
        <v>0.0531</v>
      </c>
      <c r="T851" s="3" t="n">
        <v>-0.0014</v>
      </c>
    </row>
    <row r="852" customFormat="false" ht="15" hidden="false" customHeight="true" outlineLevel="0" collapsed="false">
      <c r="A852" s="3" t="s">
        <v>1509</v>
      </c>
      <c r="B852" s="3" t="s">
        <v>202</v>
      </c>
      <c r="C852" s="3" t="s">
        <v>31</v>
      </c>
      <c r="D852" s="3" t="s">
        <v>23</v>
      </c>
      <c r="E852" s="3" t="s">
        <v>24</v>
      </c>
      <c r="F852" s="3" t="s">
        <v>25</v>
      </c>
      <c r="G852" s="3" t="s">
        <v>71</v>
      </c>
      <c r="H852" s="3" t="s">
        <v>64</v>
      </c>
      <c r="I852" s="3" t="s">
        <v>65</v>
      </c>
      <c r="J852" s="3" t="n">
        <v>43</v>
      </c>
      <c r="K852" s="3" t="n">
        <v>11820.42</v>
      </c>
      <c r="L852" s="3" t="n">
        <v>508278.06</v>
      </c>
      <c r="M852" s="3" t="n">
        <v>0.1916</v>
      </c>
      <c r="N852" s="3" t="n">
        <v>97386.08</v>
      </c>
      <c r="O852" s="3" t="n">
        <v>410891.98</v>
      </c>
      <c r="P852" s="3" t="n">
        <v>294801.27</v>
      </c>
      <c r="Q852" s="3" t="n">
        <v>116090.71</v>
      </c>
      <c r="R852" s="3" t="n">
        <v>0.2825</v>
      </c>
      <c r="S852" s="3" t="n">
        <v>0.1764</v>
      </c>
      <c r="T852" s="3" t="n">
        <v>0.0152</v>
      </c>
    </row>
    <row r="853" customFormat="false" ht="15" hidden="false" customHeight="true" outlineLevel="0" collapsed="false">
      <c r="A853" s="3" t="s">
        <v>1510</v>
      </c>
      <c r="B853" s="3" t="s">
        <v>106</v>
      </c>
      <c r="C853" s="3" t="s">
        <v>68</v>
      </c>
      <c r="D853" s="3" t="s">
        <v>23</v>
      </c>
      <c r="E853" s="3" t="s">
        <v>24</v>
      </c>
      <c r="F853" s="3" t="s">
        <v>25</v>
      </c>
      <c r="G853" s="3" t="s">
        <v>26</v>
      </c>
      <c r="H853" s="3" t="s">
        <v>56</v>
      </c>
      <c r="I853" s="3" t="s">
        <v>57</v>
      </c>
      <c r="J853" s="3" t="n">
        <v>23</v>
      </c>
      <c r="K853" s="3" t="n">
        <v>13883.16</v>
      </c>
      <c r="L853" s="3" t="n">
        <v>319312.68</v>
      </c>
      <c r="M853" s="3" t="n">
        <v>0.0928</v>
      </c>
      <c r="N853" s="3" t="n">
        <v>29632.22</v>
      </c>
      <c r="O853" s="3" t="n">
        <v>289680.46</v>
      </c>
      <c r="P853" s="3" t="n">
        <v>191587.61</v>
      </c>
      <c r="Q853" s="3" t="n">
        <v>98092.85</v>
      </c>
      <c r="R853" s="3" t="n">
        <v>0.3386</v>
      </c>
      <c r="S853" s="3" t="n">
        <v>0.0912</v>
      </c>
      <c r="T853" s="3" t="n">
        <v>0.0016</v>
      </c>
    </row>
    <row r="854" customFormat="false" ht="15" hidden="false" customHeight="true" outlineLevel="0" collapsed="false">
      <c r="A854" s="3" t="s">
        <v>1511</v>
      </c>
      <c r="B854" s="3" t="s">
        <v>1512</v>
      </c>
      <c r="C854" s="3" t="s">
        <v>31</v>
      </c>
      <c r="D854" s="3" t="s">
        <v>75</v>
      </c>
      <c r="E854" s="3" t="s">
        <v>39</v>
      </c>
      <c r="F854" s="3" t="s">
        <v>25</v>
      </c>
      <c r="G854" s="3" t="s">
        <v>71</v>
      </c>
      <c r="H854" s="3" t="s">
        <v>77</v>
      </c>
      <c r="I854" s="3" t="s">
        <v>78</v>
      </c>
      <c r="J854" s="3" t="n">
        <v>35</v>
      </c>
      <c r="K854" s="3" t="n">
        <v>2184.64</v>
      </c>
      <c r="L854" s="3" t="n">
        <v>76462.4</v>
      </c>
      <c r="M854" s="3" t="n">
        <v>0.1507</v>
      </c>
      <c r="N854" s="3" t="n">
        <v>11522.88</v>
      </c>
      <c r="O854" s="3" t="n">
        <v>64939.52</v>
      </c>
      <c r="P854" s="3" t="n">
        <v>51994.43</v>
      </c>
      <c r="Q854" s="3" t="n">
        <v>12945.09</v>
      </c>
      <c r="R854" s="3" t="n">
        <v>0.1993</v>
      </c>
      <c r="S854" s="3" t="n">
        <v>0.1521</v>
      </c>
      <c r="T854" s="3" t="n">
        <v>-0.0014</v>
      </c>
    </row>
    <row r="855" customFormat="false" ht="15" hidden="false" customHeight="true" outlineLevel="0" collapsed="false">
      <c r="A855" s="3" t="s">
        <v>1513</v>
      </c>
      <c r="B855" s="3" t="s">
        <v>1514</v>
      </c>
      <c r="C855" s="3" t="s">
        <v>120</v>
      </c>
      <c r="D855" s="3" t="s">
        <v>23</v>
      </c>
      <c r="E855" s="3" t="s">
        <v>24</v>
      </c>
      <c r="F855" s="3" t="s">
        <v>25</v>
      </c>
      <c r="G855" s="3" t="s">
        <v>76</v>
      </c>
      <c r="H855" s="3" t="s">
        <v>77</v>
      </c>
      <c r="I855" s="3" t="s">
        <v>131</v>
      </c>
      <c r="J855" s="3" t="n">
        <v>35</v>
      </c>
      <c r="K855" s="3" t="n">
        <v>1604.55</v>
      </c>
      <c r="L855" s="3" t="n">
        <v>56159.25</v>
      </c>
      <c r="M855" s="3" t="n">
        <v>0.1447</v>
      </c>
      <c r="N855" s="3" t="n">
        <v>8126.24</v>
      </c>
      <c r="O855" s="3" t="n">
        <v>48033.01</v>
      </c>
      <c r="P855" s="3" t="n">
        <v>38188.29</v>
      </c>
      <c r="Q855" s="3" t="n">
        <v>9844.72</v>
      </c>
      <c r="R855" s="3" t="n">
        <v>0.205</v>
      </c>
      <c r="S855" s="3" t="n">
        <v>0.1384</v>
      </c>
      <c r="T855" s="3" t="n">
        <v>0.0063</v>
      </c>
    </row>
    <row r="856" customFormat="false" ht="15" hidden="false" customHeight="true" outlineLevel="0" collapsed="false">
      <c r="A856" s="3" t="s">
        <v>1515</v>
      </c>
      <c r="B856" s="3" t="s">
        <v>1516</v>
      </c>
      <c r="C856" s="3" t="s">
        <v>60</v>
      </c>
      <c r="D856" s="3" t="s">
        <v>107</v>
      </c>
      <c r="E856" s="3" t="s">
        <v>33</v>
      </c>
      <c r="F856" s="3" t="s">
        <v>70</v>
      </c>
      <c r="G856" s="3" t="s">
        <v>116</v>
      </c>
      <c r="H856" s="3" t="s">
        <v>42</v>
      </c>
      <c r="I856" s="3" t="s">
        <v>43</v>
      </c>
      <c r="J856" s="3" t="n">
        <v>20</v>
      </c>
      <c r="K856" s="3" t="n">
        <v>2290.85</v>
      </c>
      <c r="L856" s="3" t="n">
        <v>45817</v>
      </c>
      <c r="M856" s="3" t="n">
        <v>0.1063</v>
      </c>
      <c r="N856" s="3" t="n">
        <v>4870.35</v>
      </c>
      <c r="O856" s="3" t="n">
        <v>40946.65</v>
      </c>
      <c r="P856" s="3" t="n">
        <v>25199.35</v>
      </c>
      <c r="Q856" s="3" t="n">
        <v>15747.3</v>
      </c>
      <c r="R856" s="3" t="n">
        <v>0.3846</v>
      </c>
      <c r="S856" s="3" t="n">
        <v>0.0858</v>
      </c>
      <c r="T856" s="3" t="n">
        <v>0.0205</v>
      </c>
    </row>
    <row r="857" customFormat="false" ht="15" hidden="false" customHeight="true" outlineLevel="0" collapsed="false">
      <c r="A857" s="3" t="s">
        <v>1517</v>
      </c>
      <c r="B857" s="3" t="s">
        <v>1518</v>
      </c>
      <c r="C857" s="3" t="s">
        <v>120</v>
      </c>
      <c r="D857" s="3" t="s">
        <v>107</v>
      </c>
      <c r="E857" s="3" t="s">
        <v>33</v>
      </c>
      <c r="F857" s="3" t="s">
        <v>70</v>
      </c>
      <c r="G857" s="3" t="s">
        <v>34</v>
      </c>
      <c r="H857" s="3" t="s">
        <v>56</v>
      </c>
      <c r="I857" s="3" t="s">
        <v>57</v>
      </c>
      <c r="J857" s="3" t="n">
        <v>20</v>
      </c>
      <c r="K857" s="3" t="n">
        <v>15315.66</v>
      </c>
      <c r="L857" s="3" t="n">
        <v>306313.2</v>
      </c>
      <c r="M857" s="3" t="n">
        <v>0.1258</v>
      </c>
      <c r="N857" s="3" t="n">
        <v>38534.2</v>
      </c>
      <c r="O857" s="3" t="n">
        <v>267779</v>
      </c>
      <c r="P857" s="3" t="n">
        <v>183787.92</v>
      </c>
      <c r="Q857" s="3" t="n">
        <v>83991.08</v>
      </c>
      <c r="R857" s="3" t="n">
        <v>0.3137</v>
      </c>
      <c r="S857" s="3" t="n">
        <v>0.1283</v>
      </c>
      <c r="T857" s="3" t="n">
        <v>-0.0025</v>
      </c>
    </row>
    <row r="858" customFormat="false" ht="15" hidden="false" customHeight="true" outlineLevel="0" collapsed="false">
      <c r="A858" s="3" t="s">
        <v>1519</v>
      </c>
      <c r="B858" s="3" t="s">
        <v>1520</v>
      </c>
      <c r="C858" s="3" t="s">
        <v>120</v>
      </c>
      <c r="D858" s="3" t="s">
        <v>103</v>
      </c>
      <c r="E858" s="3" t="s">
        <v>24</v>
      </c>
      <c r="F858" s="3" t="s">
        <v>62</v>
      </c>
      <c r="G858" s="3" t="s">
        <v>100</v>
      </c>
      <c r="H858" s="3" t="s">
        <v>42</v>
      </c>
      <c r="I858" s="3" t="s">
        <v>72</v>
      </c>
      <c r="J858" s="3" t="n">
        <v>4</v>
      </c>
      <c r="K858" s="3" t="n">
        <v>1740.66</v>
      </c>
      <c r="L858" s="3" t="n">
        <v>6962.64</v>
      </c>
      <c r="M858" s="3" t="n">
        <v>0.0678</v>
      </c>
      <c r="N858" s="3" t="n">
        <v>472.07</v>
      </c>
      <c r="O858" s="3" t="n">
        <v>6490.57</v>
      </c>
      <c r="P858" s="3" t="n">
        <v>3829.45</v>
      </c>
      <c r="Q858" s="3" t="n">
        <v>2661.12</v>
      </c>
      <c r="R858" s="3" t="n">
        <v>0.41</v>
      </c>
      <c r="S858" s="3" t="n">
        <v>0.0634</v>
      </c>
      <c r="T858" s="3" t="n">
        <v>0.0044</v>
      </c>
    </row>
    <row r="859" customFormat="false" ht="15" hidden="false" customHeight="true" outlineLevel="0" collapsed="false">
      <c r="A859" s="3" t="s">
        <v>1521</v>
      </c>
      <c r="B859" s="3" t="s">
        <v>1522</v>
      </c>
      <c r="C859" s="3" t="s">
        <v>68</v>
      </c>
      <c r="D859" s="3" t="s">
        <v>38</v>
      </c>
      <c r="E859" s="3" t="s">
        <v>39</v>
      </c>
      <c r="F859" s="3" t="s">
        <v>40</v>
      </c>
      <c r="G859" s="3" t="s">
        <v>49</v>
      </c>
      <c r="H859" s="3" t="s">
        <v>27</v>
      </c>
      <c r="I859" s="3" t="s">
        <v>173</v>
      </c>
      <c r="J859" s="3" t="n">
        <v>48</v>
      </c>
      <c r="K859" s="3" t="n">
        <v>39454.42</v>
      </c>
      <c r="L859" s="3" t="n">
        <v>1893812.16</v>
      </c>
      <c r="M859" s="3" t="n">
        <v>0.0795</v>
      </c>
      <c r="N859" s="3" t="n">
        <v>150558.07</v>
      </c>
      <c r="O859" s="3" t="n">
        <v>1743254.09</v>
      </c>
      <c r="P859" s="3" t="n">
        <v>1174163.54</v>
      </c>
      <c r="Q859" s="3" t="n">
        <v>569090.55</v>
      </c>
      <c r="R859" s="3" t="n">
        <v>0.3265</v>
      </c>
      <c r="S859" s="3" t="n">
        <v>0.0837</v>
      </c>
      <c r="T859" s="3" t="n">
        <v>-0.0042</v>
      </c>
    </row>
    <row r="860" customFormat="false" ht="15" hidden="false" customHeight="true" outlineLevel="0" collapsed="false">
      <c r="A860" s="3" t="s">
        <v>1523</v>
      </c>
      <c r="B860" s="3" t="s">
        <v>1524</v>
      </c>
      <c r="C860" s="3" t="s">
        <v>60</v>
      </c>
      <c r="D860" s="3" t="s">
        <v>69</v>
      </c>
      <c r="E860" s="3" t="s">
        <v>39</v>
      </c>
      <c r="F860" s="3" t="s">
        <v>70</v>
      </c>
      <c r="G860" s="3" t="s">
        <v>76</v>
      </c>
      <c r="H860" s="3" t="s">
        <v>42</v>
      </c>
      <c r="I860" s="3" t="s">
        <v>134</v>
      </c>
      <c r="J860" s="3" t="n">
        <v>46</v>
      </c>
      <c r="K860" s="3" t="n">
        <v>2834.23</v>
      </c>
      <c r="L860" s="3" t="n">
        <v>130374.58</v>
      </c>
      <c r="M860" s="3" t="n">
        <v>0.0586</v>
      </c>
      <c r="N860" s="3" t="n">
        <v>7639.95</v>
      </c>
      <c r="O860" s="3" t="n">
        <v>122734.63</v>
      </c>
      <c r="P860" s="3" t="n">
        <v>71706.02</v>
      </c>
      <c r="Q860" s="3" t="n">
        <v>51028.61</v>
      </c>
      <c r="R860" s="3" t="n">
        <v>0.4158</v>
      </c>
      <c r="S860" s="3" t="n">
        <v>0.0595</v>
      </c>
      <c r="T860" s="3" t="n">
        <v>-0.0009</v>
      </c>
    </row>
    <row r="861" customFormat="false" ht="15" hidden="false" customHeight="true" outlineLevel="0" collapsed="false">
      <c r="A861" s="3" t="s">
        <v>1525</v>
      </c>
      <c r="B861" s="3" t="s">
        <v>931</v>
      </c>
      <c r="C861" s="3" t="s">
        <v>46</v>
      </c>
      <c r="D861" s="3" t="s">
        <v>107</v>
      </c>
      <c r="E861" s="3" t="s">
        <v>33</v>
      </c>
      <c r="F861" s="3" t="s">
        <v>70</v>
      </c>
      <c r="G861" s="3" t="s">
        <v>49</v>
      </c>
      <c r="H861" s="3" t="s">
        <v>64</v>
      </c>
      <c r="I861" s="3" t="s">
        <v>65</v>
      </c>
      <c r="J861" s="3" t="n">
        <v>13</v>
      </c>
      <c r="K861" s="3" t="n">
        <v>7648.07</v>
      </c>
      <c r="L861" s="3" t="n">
        <v>99424.91</v>
      </c>
      <c r="M861" s="3" t="n">
        <v>0.0711</v>
      </c>
      <c r="N861" s="3" t="n">
        <v>7069.11</v>
      </c>
      <c r="O861" s="3" t="n">
        <v>92355.8</v>
      </c>
      <c r="P861" s="3" t="n">
        <v>57666.45</v>
      </c>
      <c r="Q861" s="3" t="n">
        <v>34689.35</v>
      </c>
      <c r="R861" s="3" t="n">
        <v>0.3756</v>
      </c>
      <c r="S861" s="3" t="n">
        <v>0.0666</v>
      </c>
      <c r="T861" s="3" t="n">
        <v>0.0045</v>
      </c>
    </row>
    <row r="862" customFormat="false" ht="15" hidden="false" customHeight="true" outlineLevel="0" collapsed="false">
      <c r="A862" s="3" t="s">
        <v>1526</v>
      </c>
      <c r="B862" s="3" t="s">
        <v>1527</v>
      </c>
      <c r="C862" s="3" t="s">
        <v>46</v>
      </c>
      <c r="D862" s="3" t="s">
        <v>75</v>
      </c>
      <c r="E862" s="3" t="s">
        <v>39</v>
      </c>
      <c r="F862" s="3" t="s">
        <v>25</v>
      </c>
      <c r="G862" s="3" t="s">
        <v>116</v>
      </c>
      <c r="H862" s="3" t="s">
        <v>77</v>
      </c>
      <c r="I862" s="3" t="s">
        <v>78</v>
      </c>
      <c r="J862" s="3" t="n">
        <v>28</v>
      </c>
      <c r="K862" s="3" t="n">
        <v>1642.79</v>
      </c>
      <c r="L862" s="3" t="n">
        <v>45998.12</v>
      </c>
      <c r="M862" s="3" t="n">
        <v>0.1904</v>
      </c>
      <c r="N862" s="3" t="n">
        <v>8758.04</v>
      </c>
      <c r="O862" s="3" t="n">
        <v>37240.08</v>
      </c>
      <c r="P862" s="3" t="n">
        <v>31278.72</v>
      </c>
      <c r="Q862" s="3" t="n">
        <v>5961.36</v>
      </c>
      <c r="R862" s="3" t="n">
        <v>0.1601</v>
      </c>
      <c r="S862" s="3" t="n">
        <v>0.191</v>
      </c>
      <c r="T862" s="3" t="n">
        <v>-0.0006</v>
      </c>
    </row>
    <row r="863" customFormat="false" ht="15" hidden="false" customHeight="true" outlineLevel="0" collapsed="false">
      <c r="A863" s="3" t="s">
        <v>1528</v>
      </c>
      <c r="B863" s="3" t="s">
        <v>1529</v>
      </c>
      <c r="C863" s="3" t="s">
        <v>31</v>
      </c>
      <c r="D863" s="3" t="s">
        <v>47</v>
      </c>
      <c r="E863" s="3" t="s">
        <v>48</v>
      </c>
      <c r="F863" s="3" t="s">
        <v>25</v>
      </c>
      <c r="G863" s="3" t="s">
        <v>100</v>
      </c>
      <c r="H863" s="3" t="s">
        <v>56</v>
      </c>
      <c r="I863" s="3" t="s">
        <v>121</v>
      </c>
      <c r="J863" s="3" t="n">
        <v>17</v>
      </c>
      <c r="K863" s="3" t="n">
        <v>14461.2</v>
      </c>
      <c r="L863" s="3" t="n">
        <v>245840.4</v>
      </c>
      <c r="M863" s="3" t="n">
        <v>0.1501</v>
      </c>
      <c r="N863" s="3" t="n">
        <v>36900.64</v>
      </c>
      <c r="O863" s="3" t="n">
        <v>208939.76</v>
      </c>
      <c r="P863" s="3" t="n">
        <v>147504.24</v>
      </c>
      <c r="Q863" s="3" t="n">
        <v>61435.52</v>
      </c>
      <c r="R863" s="3" t="n">
        <v>0.294</v>
      </c>
      <c r="S863" s="3" t="n">
        <v>0.1511</v>
      </c>
      <c r="T863" s="3" t="n">
        <v>-0.001</v>
      </c>
    </row>
    <row r="864" customFormat="false" ht="15" hidden="false" customHeight="true" outlineLevel="0" collapsed="false">
      <c r="A864" s="3" t="s">
        <v>1530</v>
      </c>
      <c r="B864" s="3" t="s">
        <v>404</v>
      </c>
      <c r="C864" s="3" t="s">
        <v>68</v>
      </c>
      <c r="D864" s="3" t="s">
        <v>83</v>
      </c>
      <c r="E864" s="3" t="s">
        <v>48</v>
      </c>
      <c r="F864" s="3" t="s">
        <v>62</v>
      </c>
      <c r="G864" s="3" t="s">
        <v>41</v>
      </c>
      <c r="H864" s="3" t="s">
        <v>77</v>
      </c>
      <c r="I864" s="3" t="s">
        <v>131</v>
      </c>
      <c r="J864" s="3" t="n">
        <v>32</v>
      </c>
      <c r="K864" s="3" t="n">
        <v>3627.77</v>
      </c>
      <c r="L864" s="3" t="n">
        <v>116088.64</v>
      </c>
      <c r="M864" s="3" t="n">
        <v>0.0907</v>
      </c>
      <c r="N864" s="3" t="n">
        <v>10529.24</v>
      </c>
      <c r="O864" s="3" t="n">
        <v>105559.4</v>
      </c>
      <c r="P864" s="3" t="n">
        <v>78940.28</v>
      </c>
      <c r="Q864" s="3" t="n">
        <v>26619.12</v>
      </c>
      <c r="R864" s="3" t="n">
        <v>0.2522</v>
      </c>
      <c r="S864" s="3" t="n">
        <v>0.0961</v>
      </c>
      <c r="T864" s="3" t="n">
        <v>-0.0054</v>
      </c>
    </row>
    <row r="865" customFormat="false" ht="15" hidden="false" customHeight="true" outlineLevel="0" collapsed="false">
      <c r="A865" s="3" t="s">
        <v>1531</v>
      </c>
      <c r="B865" s="3" t="s">
        <v>1527</v>
      </c>
      <c r="C865" s="3" t="s">
        <v>46</v>
      </c>
      <c r="D865" s="3" t="s">
        <v>61</v>
      </c>
      <c r="E865" s="3" t="s">
        <v>33</v>
      </c>
      <c r="F865" s="3" t="s">
        <v>62</v>
      </c>
      <c r="G865" s="3" t="s">
        <v>84</v>
      </c>
      <c r="H865" s="3" t="s">
        <v>64</v>
      </c>
      <c r="I865" s="3" t="s">
        <v>90</v>
      </c>
      <c r="J865" s="3" t="n">
        <v>11</v>
      </c>
      <c r="K865" s="3" t="n">
        <v>3293.47</v>
      </c>
      <c r="L865" s="3" t="n">
        <v>36228.17</v>
      </c>
      <c r="M865" s="3" t="n">
        <v>0.0772</v>
      </c>
      <c r="N865" s="3" t="n">
        <v>2796.81</v>
      </c>
      <c r="O865" s="3" t="n">
        <v>33431.36</v>
      </c>
      <c r="P865" s="3" t="n">
        <v>21012.34</v>
      </c>
      <c r="Q865" s="3" t="n">
        <v>12419.02</v>
      </c>
      <c r="R865" s="3" t="n">
        <v>0.3715</v>
      </c>
      <c r="S865" s="3" t="n">
        <v>0.0831</v>
      </c>
      <c r="T865" s="3" t="n">
        <v>-0.0059</v>
      </c>
    </row>
    <row r="866" customFormat="false" ht="15" hidden="false" customHeight="true" outlineLevel="0" collapsed="false">
      <c r="A866" s="3" t="s">
        <v>1532</v>
      </c>
      <c r="B866" s="3" t="s">
        <v>1533</v>
      </c>
      <c r="C866" s="3" t="s">
        <v>120</v>
      </c>
      <c r="D866" s="3" t="s">
        <v>61</v>
      </c>
      <c r="E866" s="3" t="s">
        <v>33</v>
      </c>
      <c r="F866" s="3" t="s">
        <v>62</v>
      </c>
      <c r="G866" s="3" t="s">
        <v>116</v>
      </c>
      <c r="H866" s="3" t="s">
        <v>56</v>
      </c>
      <c r="I866" s="3" t="s">
        <v>57</v>
      </c>
      <c r="J866" s="3" t="n">
        <v>37</v>
      </c>
      <c r="K866" s="3" t="n">
        <v>3933.86</v>
      </c>
      <c r="L866" s="3" t="n">
        <v>145552.82</v>
      </c>
      <c r="M866" s="3" t="n">
        <v>0.0854</v>
      </c>
      <c r="N866" s="3" t="n">
        <v>12430.21</v>
      </c>
      <c r="O866" s="3" t="n">
        <v>133122.61</v>
      </c>
      <c r="P866" s="3" t="n">
        <v>87331.69</v>
      </c>
      <c r="Q866" s="3" t="n">
        <v>45790.92</v>
      </c>
      <c r="R866" s="3" t="n">
        <v>0.344</v>
      </c>
      <c r="S866" s="3" t="n">
        <v>0.0778</v>
      </c>
      <c r="T866" s="3" t="n">
        <v>0.0076</v>
      </c>
    </row>
    <row r="867" customFormat="false" ht="15" hidden="false" customHeight="true" outlineLevel="0" collapsed="false">
      <c r="A867" s="3" t="s">
        <v>1534</v>
      </c>
      <c r="B867" s="3" t="s">
        <v>1535</v>
      </c>
      <c r="C867" s="3" t="s">
        <v>31</v>
      </c>
      <c r="D867" s="3" t="s">
        <v>103</v>
      </c>
      <c r="E867" s="3" t="s">
        <v>24</v>
      </c>
      <c r="F867" s="3" t="s">
        <v>62</v>
      </c>
      <c r="G867" s="3" t="s">
        <v>84</v>
      </c>
      <c r="H867" s="3" t="s">
        <v>42</v>
      </c>
      <c r="I867" s="3" t="s">
        <v>134</v>
      </c>
      <c r="J867" s="3" t="n">
        <v>10</v>
      </c>
      <c r="K867" s="3" t="n">
        <v>597.92</v>
      </c>
      <c r="L867" s="3" t="n">
        <v>5979.2</v>
      </c>
      <c r="M867" s="3" t="n">
        <v>0.0371</v>
      </c>
      <c r="N867" s="3" t="n">
        <v>221.83</v>
      </c>
      <c r="O867" s="3" t="n">
        <v>5757.37</v>
      </c>
      <c r="P867" s="3" t="n">
        <v>3288.56</v>
      </c>
      <c r="Q867" s="3" t="n">
        <v>2468.81</v>
      </c>
      <c r="R867" s="3" t="n">
        <v>0.4288</v>
      </c>
      <c r="S867" s="3" t="n">
        <v>0.0302</v>
      </c>
      <c r="T867" s="3" t="n">
        <v>0.0069</v>
      </c>
    </row>
    <row r="868" customFormat="false" ht="15" hidden="false" customHeight="true" outlineLevel="0" collapsed="false">
      <c r="A868" s="3" t="s">
        <v>1536</v>
      </c>
      <c r="B868" s="3" t="s">
        <v>418</v>
      </c>
      <c r="C868" s="3" t="s">
        <v>22</v>
      </c>
      <c r="D868" s="3" t="s">
        <v>54</v>
      </c>
      <c r="E868" s="3" t="s">
        <v>24</v>
      </c>
      <c r="F868" s="3" t="s">
        <v>40</v>
      </c>
      <c r="G868" s="3" t="s">
        <v>41</v>
      </c>
      <c r="H868" s="3" t="s">
        <v>42</v>
      </c>
      <c r="I868" s="3" t="s">
        <v>43</v>
      </c>
      <c r="J868" s="3" t="n">
        <v>32</v>
      </c>
      <c r="K868" s="3" t="n">
        <v>3366.94</v>
      </c>
      <c r="L868" s="3" t="n">
        <v>107742.08</v>
      </c>
      <c r="M868" s="3" t="n">
        <v>0.072</v>
      </c>
      <c r="N868" s="3" t="n">
        <v>7757.43</v>
      </c>
      <c r="O868" s="3" t="n">
        <v>99984.65</v>
      </c>
      <c r="P868" s="3" t="n">
        <v>59258.14</v>
      </c>
      <c r="Q868" s="3" t="n">
        <v>40726.51</v>
      </c>
      <c r="R868" s="3" t="n">
        <v>0.4073</v>
      </c>
      <c r="S868" s="3" t="n">
        <v>0.0764</v>
      </c>
      <c r="T868" s="3" t="n">
        <v>-0.0044</v>
      </c>
    </row>
    <row r="869" customFormat="false" ht="15" hidden="false" customHeight="true" outlineLevel="0" collapsed="false">
      <c r="A869" s="3" t="s">
        <v>1537</v>
      </c>
      <c r="B869" s="3" t="s">
        <v>1538</v>
      </c>
      <c r="C869" s="3" t="s">
        <v>120</v>
      </c>
      <c r="D869" s="3" t="s">
        <v>47</v>
      </c>
      <c r="E869" s="3" t="s">
        <v>48</v>
      </c>
      <c r="F869" s="3" t="s">
        <v>25</v>
      </c>
      <c r="G869" s="3" t="s">
        <v>76</v>
      </c>
      <c r="H869" s="3" t="s">
        <v>77</v>
      </c>
      <c r="I869" s="3" t="s">
        <v>85</v>
      </c>
      <c r="J869" s="3" t="n">
        <v>22</v>
      </c>
      <c r="K869" s="3" t="n">
        <v>3915.67</v>
      </c>
      <c r="L869" s="3" t="n">
        <v>86144.74</v>
      </c>
      <c r="M869" s="3" t="n">
        <v>0.1471</v>
      </c>
      <c r="N869" s="3" t="n">
        <v>12671.89</v>
      </c>
      <c r="O869" s="3" t="n">
        <v>73472.85</v>
      </c>
      <c r="P869" s="3" t="n">
        <v>58578.42</v>
      </c>
      <c r="Q869" s="3" t="n">
        <v>14894.43</v>
      </c>
      <c r="R869" s="3" t="n">
        <v>0.2027</v>
      </c>
      <c r="S869" s="3" t="n">
        <v>0.1513</v>
      </c>
      <c r="T869" s="3" t="n">
        <v>-0.0042</v>
      </c>
    </row>
    <row r="870" customFormat="false" ht="15" hidden="false" customHeight="true" outlineLevel="0" collapsed="false">
      <c r="A870" s="3" t="s">
        <v>1539</v>
      </c>
      <c r="B870" s="3" t="s">
        <v>1332</v>
      </c>
      <c r="C870" s="3" t="s">
        <v>31</v>
      </c>
      <c r="D870" s="3" t="s">
        <v>107</v>
      </c>
      <c r="E870" s="3" t="s">
        <v>33</v>
      </c>
      <c r="F870" s="3" t="s">
        <v>70</v>
      </c>
      <c r="G870" s="3" t="s">
        <v>71</v>
      </c>
      <c r="H870" s="3" t="s">
        <v>77</v>
      </c>
      <c r="I870" s="3" t="s">
        <v>78</v>
      </c>
      <c r="J870" s="3" t="n">
        <v>47</v>
      </c>
      <c r="K870" s="3" t="n">
        <v>3355.56</v>
      </c>
      <c r="L870" s="3" t="n">
        <v>157711.32</v>
      </c>
      <c r="M870" s="3" t="n">
        <v>0.0463</v>
      </c>
      <c r="N870" s="3" t="n">
        <v>7302.03</v>
      </c>
      <c r="O870" s="3" t="n">
        <v>150409.29</v>
      </c>
      <c r="P870" s="3" t="n">
        <v>107243.7</v>
      </c>
      <c r="Q870" s="3" t="n">
        <v>43165.59</v>
      </c>
      <c r="R870" s="3" t="n">
        <v>0.287</v>
      </c>
      <c r="S870" s="3" t="n">
        <v>0.0424</v>
      </c>
      <c r="T870" s="3" t="n">
        <v>0.0039</v>
      </c>
    </row>
    <row r="871" customFormat="false" ht="15" hidden="false" customHeight="true" outlineLevel="0" collapsed="false">
      <c r="A871" s="3" t="s">
        <v>1540</v>
      </c>
      <c r="B871" s="3" t="s">
        <v>1541</v>
      </c>
      <c r="C871" s="3" t="s">
        <v>156</v>
      </c>
      <c r="D871" s="3" t="s">
        <v>47</v>
      </c>
      <c r="E871" s="3" t="s">
        <v>48</v>
      </c>
      <c r="F871" s="3" t="s">
        <v>25</v>
      </c>
      <c r="G871" s="3" t="s">
        <v>104</v>
      </c>
      <c r="H871" s="3" t="s">
        <v>42</v>
      </c>
      <c r="I871" s="3" t="s">
        <v>72</v>
      </c>
      <c r="J871" s="3" t="n">
        <v>29</v>
      </c>
      <c r="K871" s="3" t="n">
        <v>3853.28</v>
      </c>
      <c r="L871" s="3" t="n">
        <v>111745.12</v>
      </c>
      <c r="M871" s="3" t="n">
        <v>0.2131</v>
      </c>
      <c r="N871" s="3" t="n">
        <v>23812.89</v>
      </c>
      <c r="O871" s="3" t="n">
        <v>87932.23</v>
      </c>
      <c r="P871" s="3" t="n">
        <v>61459.82</v>
      </c>
      <c r="Q871" s="3" t="n">
        <v>26472.41</v>
      </c>
      <c r="R871" s="3" t="n">
        <v>0.3011</v>
      </c>
      <c r="S871" s="3" t="n">
        <v>0.2071</v>
      </c>
      <c r="T871" s="3" t="n">
        <v>0.006</v>
      </c>
    </row>
    <row r="872" customFormat="false" ht="15" hidden="false" customHeight="true" outlineLevel="0" collapsed="false">
      <c r="A872" s="3" t="s">
        <v>1542</v>
      </c>
      <c r="B872" s="3" t="s">
        <v>1543</v>
      </c>
      <c r="C872" s="3" t="s">
        <v>22</v>
      </c>
      <c r="D872" s="3" t="s">
        <v>97</v>
      </c>
      <c r="E872" s="3" t="s">
        <v>48</v>
      </c>
      <c r="F872" s="3" t="s">
        <v>40</v>
      </c>
      <c r="G872" s="3" t="s">
        <v>71</v>
      </c>
      <c r="H872" s="3" t="s">
        <v>42</v>
      </c>
      <c r="I872" s="3" t="s">
        <v>72</v>
      </c>
      <c r="J872" s="3" t="n">
        <v>36</v>
      </c>
      <c r="K872" s="3" t="n">
        <v>933.24</v>
      </c>
      <c r="L872" s="3" t="n">
        <v>33596.64</v>
      </c>
      <c r="M872" s="3" t="n">
        <v>0.0343</v>
      </c>
      <c r="N872" s="3" t="n">
        <v>1152.36</v>
      </c>
      <c r="O872" s="3" t="n">
        <v>32444.28</v>
      </c>
      <c r="P872" s="3" t="n">
        <v>18478.15</v>
      </c>
      <c r="Q872" s="3" t="n">
        <v>13966.13</v>
      </c>
      <c r="R872" s="3" t="n">
        <v>0.4305</v>
      </c>
      <c r="S872" s="3" t="n">
        <v>0.0372</v>
      </c>
      <c r="T872" s="3" t="n">
        <v>-0.0029</v>
      </c>
    </row>
    <row r="873" customFormat="false" ht="15" hidden="false" customHeight="true" outlineLevel="0" collapsed="false">
      <c r="A873" s="3" t="s">
        <v>1544</v>
      </c>
      <c r="B873" s="3" t="s">
        <v>1545</v>
      </c>
      <c r="C873" s="3" t="s">
        <v>68</v>
      </c>
      <c r="D873" s="3" t="s">
        <v>107</v>
      </c>
      <c r="E873" s="3" t="s">
        <v>33</v>
      </c>
      <c r="F873" s="3" t="s">
        <v>70</v>
      </c>
      <c r="G873" s="3" t="s">
        <v>100</v>
      </c>
      <c r="H873" s="3" t="s">
        <v>64</v>
      </c>
      <c r="I873" s="3" t="s">
        <v>90</v>
      </c>
      <c r="J873" s="3" t="n">
        <v>8</v>
      </c>
      <c r="K873" s="3" t="n">
        <v>11071.78</v>
      </c>
      <c r="L873" s="3" t="n">
        <v>88574.24</v>
      </c>
      <c r="M873" s="3" t="n">
        <v>0.0629</v>
      </c>
      <c r="N873" s="3" t="n">
        <v>5571.32</v>
      </c>
      <c r="O873" s="3" t="n">
        <v>83002.92</v>
      </c>
      <c r="P873" s="3" t="n">
        <v>51373.06</v>
      </c>
      <c r="Q873" s="3" t="n">
        <v>31629.86</v>
      </c>
      <c r="R873" s="3" t="n">
        <v>0.3811</v>
      </c>
      <c r="S873" s="3" t="n">
        <v>0.0537</v>
      </c>
      <c r="T873" s="3" t="n">
        <v>0.0092</v>
      </c>
    </row>
    <row r="874" customFormat="false" ht="15" hidden="false" customHeight="true" outlineLevel="0" collapsed="false">
      <c r="A874" s="3" t="s">
        <v>1546</v>
      </c>
      <c r="B874" s="3" t="s">
        <v>781</v>
      </c>
      <c r="C874" s="3" t="s">
        <v>31</v>
      </c>
      <c r="D874" s="3" t="s">
        <v>32</v>
      </c>
      <c r="E874" s="3" t="s">
        <v>33</v>
      </c>
      <c r="F874" s="3" t="s">
        <v>25</v>
      </c>
      <c r="G874" s="3" t="s">
        <v>34</v>
      </c>
      <c r="H874" s="3" t="s">
        <v>42</v>
      </c>
      <c r="I874" s="3" t="s">
        <v>43</v>
      </c>
      <c r="J874" s="3" t="n">
        <v>38</v>
      </c>
      <c r="K874" s="3" t="n">
        <v>3403.92</v>
      </c>
      <c r="L874" s="3" t="n">
        <v>129348.96</v>
      </c>
      <c r="M874" s="3" t="n">
        <v>0.201</v>
      </c>
      <c r="N874" s="3" t="n">
        <v>25999.14</v>
      </c>
      <c r="O874" s="3" t="n">
        <v>103349.82</v>
      </c>
      <c r="P874" s="3" t="n">
        <v>71141.93</v>
      </c>
      <c r="Q874" s="3" t="n">
        <v>32207.89</v>
      </c>
      <c r="R874" s="3" t="n">
        <v>0.3116</v>
      </c>
      <c r="S874" s="3" t="n">
        <v>0.1963</v>
      </c>
      <c r="T874" s="3" t="n">
        <v>0.0047</v>
      </c>
    </row>
    <row r="875" customFormat="false" ht="15" hidden="false" customHeight="true" outlineLevel="0" collapsed="false">
      <c r="A875" s="3" t="s">
        <v>1547</v>
      </c>
      <c r="B875" s="3" t="s">
        <v>1548</v>
      </c>
      <c r="C875" s="3" t="s">
        <v>37</v>
      </c>
      <c r="D875" s="3" t="s">
        <v>83</v>
      </c>
      <c r="E875" s="3" t="s">
        <v>48</v>
      </c>
      <c r="F875" s="3" t="s">
        <v>62</v>
      </c>
      <c r="G875" s="3" t="s">
        <v>63</v>
      </c>
      <c r="H875" s="3" t="s">
        <v>27</v>
      </c>
      <c r="I875" s="3" t="s">
        <v>50</v>
      </c>
      <c r="J875" s="3" t="n">
        <v>2</v>
      </c>
      <c r="K875" s="3" t="n">
        <v>13776.26</v>
      </c>
      <c r="L875" s="3" t="n">
        <v>27552.52</v>
      </c>
      <c r="M875" s="3" t="n">
        <v>0.073</v>
      </c>
      <c r="N875" s="3" t="n">
        <v>2011.33</v>
      </c>
      <c r="O875" s="3" t="n">
        <v>25541.19</v>
      </c>
      <c r="P875" s="3" t="n">
        <v>17082.56</v>
      </c>
      <c r="Q875" s="3" t="n">
        <v>8458.63</v>
      </c>
      <c r="R875" s="3" t="n">
        <v>0.3312</v>
      </c>
      <c r="S875" s="3" t="n">
        <v>0.0667</v>
      </c>
      <c r="T875" s="3" t="n">
        <v>0.0063</v>
      </c>
    </row>
    <row r="876" customFormat="false" ht="15" hidden="false" customHeight="true" outlineLevel="0" collapsed="false">
      <c r="A876" s="3" t="s">
        <v>1549</v>
      </c>
      <c r="B876" s="3" t="s">
        <v>1088</v>
      </c>
      <c r="C876" s="3" t="s">
        <v>120</v>
      </c>
      <c r="D876" s="3" t="s">
        <v>61</v>
      </c>
      <c r="E876" s="3" t="s">
        <v>33</v>
      </c>
      <c r="F876" s="3" t="s">
        <v>62</v>
      </c>
      <c r="G876" s="3" t="s">
        <v>100</v>
      </c>
      <c r="H876" s="3" t="s">
        <v>27</v>
      </c>
      <c r="I876" s="3" t="s">
        <v>28</v>
      </c>
      <c r="J876" s="3" t="n">
        <v>10</v>
      </c>
      <c r="K876" s="3" t="n">
        <v>13380.99</v>
      </c>
      <c r="L876" s="3" t="n">
        <v>133809.9</v>
      </c>
      <c r="M876" s="3" t="n">
        <v>0.0391</v>
      </c>
      <c r="N876" s="3" t="n">
        <v>5231.97</v>
      </c>
      <c r="O876" s="3" t="n">
        <v>128577.93</v>
      </c>
      <c r="P876" s="3" t="n">
        <v>82962.14</v>
      </c>
      <c r="Q876" s="3" t="n">
        <v>45615.79</v>
      </c>
      <c r="R876" s="3" t="n">
        <v>0.3548</v>
      </c>
      <c r="S876" s="3" t="n">
        <v>0.0331</v>
      </c>
      <c r="T876" s="3" t="n">
        <v>0.006</v>
      </c>
    </row>
    <row r="877" customFormat="false" ht="15" hidden="false" customHeight="true" outlineLevel="0" collapsed="false">
      <c r="A877" s="3" t="s">
        <v>1550</v>
      </c>
      <c r="B877" s="3" t="s">
        <v>1551</v>
      </c>
      <c r="C877" s="3" t="s">
        <v>46</v>
      </c>
      <c r="D877" s="3" t="s">
        <v>47</v>
      </c>
      <c r="E877" s="3" t="s">
        <v>48</v>
      </c>
      <c r="F877" s="3" t="s">
        <v>25</v>
      </c>
      <c r="G877" s="3" t="s">
        <v>55</v>
      </c>
      <c r="H877" s="3" t="s">
        <v>64</v>
      </c>
      <c r="I877" s="3" t="s">
        <v>65</v>
      </c>
      <c r="J877" s="3" t="n">
        <v>12</v>
      </c>
      <c r="K877" s="3" t="n">
        <v>11650.11</v>
      </c>
      <c r="L877" s="3" t="n">
        <v>139801.32</v>
      </c>
      <c r="M877" s="3" t="n">
        <v>0.076</v>
      </c>
      <c r="N877" s="3" t="n">
        <v>10624.9</v>
      </c>
      <c r="O877" s="3" t="n">
        <v>129176.42</v>
      </c>
      <c r="P877" s="3" t="n">
        <v>81084.77</v>
      </c>
      <c r="Q877" s="3" t="n">
        <v>48091.65</v>
      </c>
      <c r="R877" s="3" t="n">
        <v>0.3723</v>
      </c>
      <c r="S877" s="3" t="n">
        <v>0.0631</v>
      </c>
      <c r="T877" s="3" t="n">
        <v>0.0129</v>
      </c>
    </row>
    <row r="878" customFormat="false" ht="15" hidden="false" customHeight="true" outlineLevel="0" collapsed="false">
      <c r="A878" s="3" t="s">
        <v>1552</v>
      </c>
      <c r="B878" s="3" t="s">
        <v>128</v>
      </c>
      <c r="C878" s="3" t="s">
        <v>53</v>
      </c>
      <c r="D878" s="3" t="s">
        <v>75</v>
      </c>
      <c r="E878" s="3" t="s">
        <v>39</v>
      </c>
      <c r="F878" s="3" t="s">
        <v>25</v>
      </c>
      <c r="G878" s="3" t="s">
        <v>76</v>
      </c>
      <c r="H878" s="3" t="s">
        <v>77</v>
      </c>
      <c r="I878" s="3" t="s">
        <v>78</v>
      </c>
      <c r="J878" s="3" t="n">
        <v>8</v>
      </c>
      <c r="K878" s="3" t="n">
        <v>3002.46</v>
      </c>
      <c r="L878" s="3" t="n">
        <v>24019.68</v>
      </c>
      <c r="M878" s="3" t="n">
        <v>0.0918</v>
      </c>
      <c r="N878" s="3" t="n">
        <v>2205.01</v>
      </c>
      <c r="O878" s="3" t="n">
        <v>21814.67</v>
      </c>
      <c r="P878" s="3" t="n">
        <v>16333.38</v>
      </c>
      <c r="Q878" s="3" t="n">
        <v>5481.29</v>
      </c>
      <c r="R878" s="3" t="n">
        <v>0.2513</v>
      </c>
      <c r="S878" s="3" t="n">
        <v>0.087</v>
      </c>
      <c r="T878" s="3" t="n">
        <v>0.0048</v>
      </c>
    </row>
    <row r="879" customFormat="false" ht="15" hidden="false" customHeight="true" outlineLevel="0" collapsed="false">
      <c r="A879" s="3" t="s">
        <v>1553</v>
      </c>
      <c r="B879" s="3" t="s">
        <v>1554</v>
      </c>
      <c r="C879" s="3" t="s">
        <v>22</v>
      </c>
      <c r="D879" s="3" t="s">
        <v>107</v>
      </c>
      <c r="E879" s="3" t="s">
        <v>33</v>
      </c>
      <c r="F879" s="3" t="s">
        <v>70</v>
      </c>
      <c r="G879" s="3" t="s">
        <v>76</v>
      </c>
      <c r="H879" s="3" t="s">
        <v>77</v>
      </c>
      <c r="I879" s="3" t="s">
        <v>131</v>
      </c>
      <c r="J879" s="3" t="n">
        <v>30</v>
      </c>
      <c r="K879" s="3" t="n">
        <v>1491.03</v>
      </c>
      <c r="L879" s="3" t="n">
        <v>44730.9</v>
      </c>
      <c r="M879" s="3" t="n">
        <v>0.0577</v>
      </c>
      <c r="N879" s="3" t="n">
        <v>2580.97</v>
      </c>
      <c r="O879" s="3" t="n">
        <v>42149.93</v>
      </c>
      <c r="P879" s="3" t="n">
        <v>30417.01</v>
      </c>
      <c r="Q879" s="3" t="n">
        <v>11732.92</v>
      </c>
      <c r="R879" s="3" t="n">
        <v>0.2784</v>
      </c>
      <c r="S879" s="3" t="n">
        <v>0.0545</v>
      </c>
      <c r="T879" s="3" t="n">
        <v>0.0032</v>
      </c>
    </row>
    <row r="880" customFormat="false" ht="15" hidden="false" customHeight="true" outlineLevel="0" collapsed="false">
      <c r="A880" s="3" t="s">
        <v>1555</v>
      </c>
      <c r="B880" s="3" t="s">
        <v>1556</v>
      </c>
      <c r="C880" s="3" t="s">
        <v>120</v>
      </c>
      <c r="D880" s="3" t="s">
        <v>47</v>
      </c>
      <c r="E880" s="3" t="s">
        <v>48</v>
      </c>
      <c r="F880" s="3" t="s">
        <v>25</v>
      </c>
      <c r="G880" s="3" t="s">
        <v>76</v>
      </c>
      <c r="H880" s="3" t="s">
        <v>64</v>
      </c>
      <c r="I880" s="3" t="s">
        <v>65</v>
      </c>
      <c r="J880" s="3" t="n">
        <v>38</v>
      </c>
      <c r="K880" s="3" t="n">
        <v>7986.68</v>
      </c>
      <c r="L880" s="3" t="n">
        <v>303493.84</v>
      </c>
      <c r="M880" s="3" t="n">
        <v>0.1235</v>
      </c>
      <c r="N880" s="3" t="n">
        <v>37481.49</v>
      </c>
      <c r="O880" s="3" t="n">
        <v>266012.35</v>
      </c>
      <c r="P880" s="3" t="n">
        <v>176026.43</v>
      </c>
      <c r="Q880" s="3" t="n">
        <v>89985.92</v>
      </c>
      <c r="R880" s="3" t="n">
        <v>0.3383</v>
      </c>
      <c r="S880" s="3" t="n">
        <v>0.1101</v>
      </c>
      <c r="T880" s="3" t="n">
        <v>0.0134</v>
      </c>
    </row>
    <row r="881" customFormat="false" ht="15" hidden="false" customHeight="true" outlineLevel="0" collapsed="false">
      <c r="A881" s="3" t="s">
        <v>1557</v>
      </c>
      <c r="B881" s="3" t="s">
        <v>702</v>
      </c>
      <c r="C881" s="3" t="s">
        <v>53</v>
      </c>
      <c r="D881" s="3" t="s">
        <v>47</v>
      </c>
      <c r="E881" s="3" t="s">
        <v>48</v>
      </c>
      <c r="F881" s="3" t="s">
        <v>25</v>
      </c>
      <c r="G881" s="3" t="s">
        <v>71</v>
      </c>
      <c r="H881" s="3" t="s">
        <v>77</v>
      </c>
      <c r="I881" s="3" t="s">
        <v>131</v>
      </c>
      <c r="J881" s="3" t="n">
        <v>10</v>
      </c>
      <c r="K881" s="3" t="n">
        <v>3602.08</v>
      </c>
      <c r="L881" s="3" t="n">
        <v>36020.8</v>
      </c>
      <c r="M881" s="3" t="n">
        <v>0.1675</v>
      </c>
      <c r="N881" s="3" t="n">
        <v>6033.48</v>
      </c>
      <c r="O881" s="3" t="n">
        <v>29987.32</v>
      </c>
      <c r="P881" s="3" t="n">
        <v>24494.14</v>
      </c>
      <c r="Q881" s="3" t="n">
        <v>5493.18</v>
      </c>
      <c r="R881" s="3" t="n">
        <v>0.1832</v>
      </c>
      <c r="S881" s="3" t="n">
        <v>0.161</v>
      </c>
      <c r="T881" s="3" t="n">
        <v>0.0065</v>
      </c>
    </row>
    <row r="882" customFormat="false" ht="15" hidden="false" customHeight="true" outlineLevel="0" collapsed="false">
      <c r="A882" s="3" t="s">
        <v>1558</v>
      </c>
      <c r="B882" s="3" t="s">
        <v>773</v>
      </c>
      <c r="C882" s="3" t="s">
        <v>60</v>
      </c>
      <c r="D882" s="3" t="s">
        <v>47</v>
      </c>
      <c r="E882" s="3" t="s">
        <v>48</v>
      </c>
      <c r="F882" s="3" t="s">
        <v>25</v>
      </c>
      <c r="G882" s="3" t="s">
        <v>104</v>
      </c>
      <c r="H882" s="3" t="s">
        <v>56</v>
      </c>
      <c r="I882" s="3" t="s">
        <v>57</v>
      </c>
      <c r="J882" s="3" t="n">
        <v>30</v>
      </c>
      <c r="K882" s="3" t="n">
        <v>2016.02</v>
      </c>
      <c r="L882" s="3" t="n">
        <v>60480.6</v>
      </c>
      <c r="M882" s="3" t="n">
        <v>0.2138</v>
      </c>
      <c r="N882" s="3" t="n">
        <v>12930.75</v>
      </c>
      <c r="O882" s="3" t="n">
        <v>47549.85</v>
      </c>
      <c r="P882" s="3" t="n">
        <v>36288.36</v>
      </c>
      <c r="Q882" s="3" t="n">
        <v>11261.49</v>
      </c>
      <c r="R882" s="3" t="n">
        <v>0.2368</v>
      </c>
      <c r="S882" s="3" t="n">
        <v>0.1711</v>
      </c>
      <c r="T882" s="3" t="n">
        <v>0.0427</v>
      </c>
    </row>
    <row r="883" customFormat="false" ht="15" hidden="false" customHeight="true" outlineLevel="0" collapsed="false">
      <c r="A883" s="3" t="s">
        <v>1559</v>
      </c>
      <c r="B883" s="3" t="s">
        <v>1560</v>
      </c>
      <c r="C883" s="3" t="s">
        <v>113</v>
      </c>
      <c r="D883" s="3" t="s">
        <v>83</v>
      </c>
      <c r="E883" s="3" t="s">
        <v>48</v>
      </c>
      <c r="F883" s="3" t="s">
        <v>62</v>
      </c>
      <c r="G883" s="3" t="s">
        <v>76</v>
      </c>
      <c r="H883" s="3" t="s">
        <v>42</v>
      </c>
      <c r="I883" s="3" t="s">
        <v>72</v>
      </c>
      <c r="J883" s="3" t="n">
        <v>25</v>
      </c>
      <c r="K883" s="3" t="n">
        <v>3438.21</v>
      </c>
      <c r="L883" s="3" t="n">
        <v>85955.25</v>
      </c>
      <c r="M883" s="3" t="n">
        <v>0.08</v>
      </c>
      <c r="N883" s="3" t="n">
        <v>6876.42</v>
      </c>
      <c r="O883" s="3" t="n">
        <v>79078.83</v>
      </c>
      <c r="P883" s="3" t="n">
        <v>47275.39</v>
      </c>
      <c r="Q883" s="3" t="n">
        <v>31803.44</v>
      </c>
      <c r="R883" s="3" t="n">
        <v>0.4022</v>
      </c>
      <c r="S883" s="3" t="n">
        <v>0.078</v>
      </c>
      <c r="T883" s="3" t="n">
        <v>0.002</v>
      </c>
    </row>
    <row r="884" customFormat="false" ht="15" hidden="false" customHeight="true" outlineLevel="0" collapsed="false">
      <c r="A884" s="3" t="s">
        <v>1561</v>
      </c>
      <c r="B884" s="3" t="s">
        <v>1562</v>
      </c>
      <c r="C884" s="3" t="s">
        <v>120</v>
      </c>
      <c r="D884" s="3" t="s">
        <v>107</v>
      </c>
      <c r="E884" s="3" t="s">
        <v>33</v>
      </c>
      <c r="F884" s="3" t="s">
        <v>70</v>
      </c>
      <c r="G884" s="3" t="s">
        <v>41</v>
      </c>
      <c r="H884" s="3" t="s">
        <v>42</v>
      </c>
      <c r="I884" s="3" t="s">
        <v>43</v>
      </c>
      <c r="J884" s="3" t="n">
        <v>37</v>
      </c>
      <c r="K884" s="3" t="n">
        <v>3087.14</v>
      </c>
      <c r="L884" s="3" t="n">
        <v>114224.18</v>
      </c>
      <c r="M884" s="3" t="n">
        <v>0.0571</v>
      </c>
      <c r="N884" s="3" t="n">
        <v>6522.2</v>
      </c>
      <c r="O884" s="3" t="n">
        <v>107701.98</v>
      </c>
      <c r="P884" s="3" t="n">
        <v>62823.3</v>
      </c>
      <c r="Q884" s="3" t="n">
        <v>44878.68</v>
      </c>
      <c r="R884" s="3" t="n">
        <v>0.4167</v>
      </c>
      <c r="S884" s="3" t="n">
        <v>0.0599</v>
      </c>
      <c r="T884" s="3" t="n">
        <v>-0.0028</v>
      </c>
    </row>
    <row r="885" customFormat="false" ht="15" hidden="false" customHeight="true" outlineLevel="0" collapsed="false">
      <c r="A885" s="3" t="s">
        <v>1563</v>
      </c>
      <c r="B885" s="3" t="s">
        <v>1564</v>
      </c>
      <c r="C885" s="3" t="s">
        <v>37</v>
      </c>
      <c r="D885" s="3" t="s">
        <v>97</v>
      </c>
      <c r="E885" s="3" t="s">
        <v>48</v>
      </c>
      <c r="F885" s="3" t="s">
        <v>40</v>
      </c>
      <c r="G885" s="3" t="s">
        <v>63</v>
      </c>
      <c r="H885" s="3" t="s">
        <v>56</v>
      </c>
      <c r="I885" s="3" t="s">
        <v>57</v>
      </c>
      <c r="J885" s="3" t="n">
        <v>33</v>
      </c>
      <c r="K885" s="3" t="n">
        <v>5373.6</v>
      </c>
      <c r="L885" s="3" t="n">
        <v>177328.8</v>
      </c>
      <c r="M885" s="3" t="n">
        <v>0.0779</v>
      </c>
      <c r="N885" s="3" t="n">
        <v>13813.91</v>
      </c>
      <c r="O885" s="3" t="n">
        <v>163514.89</v>
      </c>
      <c r="P885" s="3" t="n">
        <v>106397.28</v>
      </c>
      <c r="Q885" s="3" t="n">
        <v>57117.61</v>
      </c>
      <c r="R885" s="3" t="n">
        <v>0.3493</v>
      </c>
      <c r="S885" s="3" t="n">
        <v>0.0829</v>
      </c>
      <c r="T885" s="3" t="n">
        <v>-0.005</v>
      </c>
    </row>
    <row r="886" customFormat="false" ht="15" hidden="false" customHeight="true" outlineLevel="0" collapsed="false">
      <c r="A886" s="3" t="s">
        <v>1565</v>
      </c>
      <c r="B886" s="3" t="s">
        <v>1566</v>
      </c>
      <c r="C886" s="3" t="s">
        <v>37</v>
      </c>
      <c r="D886" s="3" t="s">
        <v>103</v>
      </c>
      <c r="E886" s="3" t="s">
        <v>24</v>
      </c>
      <c r="F886" s="3" t="s">
        <v>62</v>
      </c>
      <c r="G886" s="3" t="s">
        <v>84</v>
      </c>
      <c r="H886" s="3" t="s">
        <v>42</v>
      </c>
      <c r="I886" s="3" t="s">
        <v>72</v>
      </c>
      <c r="J886" s="3" t="n">
        <v>43</v>
      </c>
      <c r="K886" s="3" t="n">
        <v>1455.55</v>
      </c>
      <c r="L886" s="3" t="n">
        <v>62588.65</v>
      </c>
      <c r="M886" s="3" t="n">
        <v>0.0792</v>
      </c>
      <c r="N886" s="3" t="n">
        <v>4957.02</v>
      </c>
      <c r="O886" s="3" t="n">
        <v>57631.63</v>
      </c>
      <c r="P886" s="3" t="n">
        <v>34423.76</v>
      </c>
      <c r="Q886" s="3" t="n">
        <v>23207.87</v>
      </c>
      <c r="R886" s="3" t="n">
        <v>0.4027</v>
      </c>
      <c r="S886" s="3" t="n">
        <v>0.0683</v>
      </c>
      <c r="T886" s="3" t="n">
        <v>0.0109</v>
      </c>
    </row>
    <row r="887" customFormat="false" ht="15" hidden="false" customHeight="true" outlineLevel="0" collapsed="false">
      <c r="A887" s="3" t="s">
        <v>1567</v>
      </c>
      <c r="B887" s="3" t="s">
        <v>822</v>
      </c>
      <c r="C887" s="3" t="s">
        <v>156</v>
      </c>
      <c r="D887" s="3" t="s">
        <v>38</v>
      </c>
      <c r="E887" s="3" t="s">
        <v>39</v>
      </c>
      <c r="F887" s="3" t="s">
        <v>40</v>
      </c>
      <c r="G887" s="3" t="s">
        <v>26</v>
      </c>
      <c r="H887" s="3" t="s">
        <v>42</v>
      </c>
      <c r="I887" s="3" t="s">
        <v>43</v>
      </c>
      <c r="J887" s="3" t="n">
        <v>1</v>
      </c>
      <c r="K887" s="3" t="n">
        <v>968.04</v>
      </c>
      <c r="L887" s="3" t="n">
        <v>968.04</v>
      </c>
      <c r="M887" s="3" t="n">
        <v>0.0604</v>
      </c>
      <c r="N887" s="3" t="n">
        <v>58.47</v>
      </c>
      <c r="O887" s="3" t="n">
        <v>909.57</v>
      </c>
      <c r="P887" s="3" t="n">
        <v>532.42</v>
      </c>
      <c r="Q887" s="3" t="n">
        <v>377.15</v>
      </c>
      <c r="R887" s="3" t="n">
        <v>0.4146</v>
      </c>
      <c r="S887" s="3" t="n">
        <v>0.0647</v>
      </c>
      <c r="T887" s="3" t="n">
        <v>-0.0043</v>
      </c>
    </row>
    <row r="888" customFormat="false" ht="15" hidden="false" customHeight="true" outlineLevel="0" collapsed="false">
      <c r="A888" s="3" t="s">
        <v>1568</v>
      </c>
      <c r="B888" s="3" t="s">
        <v>1569</v>
      </c>
      <c r="C888" s="3" t="s">
        <v>22</v>
      </c>
      <c r="D888" s="3" t="s">
        <v>23</v>
      </c>
      <c r="E888" s="3" t="s">
        <v>24</v>
      </c>
      <c r="F888" s="3" t="s">
        <v>25</v>
      </c>
      <c r="G888" s="3" t="s">
        <v>100</v>
      </c>
      <c r="H888" s="3" t="s">
        <v>64</v>
      </c>
      <c r="I888" s="3" t="s">
        <v>90</v>
      </c>
      <c r="J888" s="3" t="n">
        <v>46</v>
      </c>
      <c r="K888" s="3" t="n">
        <v>11057.41</v>
      </c>
      <c r="L888" s="3" t="n">
        <v>508640.86</v>
      </c>
      <c r="M888" s="3" t="n">
        <v>0.1259</v>
      </c>
      <c r="N888" s="3" t="n">
        <v>64037.88</v>
      </c>
      <c r="O888" s="3" t="n">
        <v>444602.98</v>
      </c>
      <c r="P888" s="3" t="n">
        <v>295011.7</v>
      </c>
      <c r="Q888" s="3" t="n">
        <v>149591.28</v>
      </c>
      <c r="R888" s="3" t="n">
        <v>0.3365</v>
      </c>
      <c r="S888" s="3" t="n">
        <v>0.1304</v>
      </c>
      <c r="T888" s="3" t="n">
        <v>-0.0045</v>
      </c>
    </row>
    <row r="889" customFormat="false" ht="15" hidden="false" customHeight="true" outlineLevel="0" collapsed="false">
      <c r="A889" s="3" t="s">
        <v>1570</v>
      </c>
      <c r="B889" s="3" t="s">
        <v>1378</v>
      </c>
      <c r="C889" s="3" t="s">
        <v>46</v>
      </c>
      <c r="D889" s="3" t="s">
        <v>23</v>
      </c>
      <c r="E889" s="3" t="s">
        <v>24</v>
      </c>
      <c r="F889" s="3" t="s">
        <v>25</v>
      </c>
      <c r="G889" s="3" t="s">
        <v>104</v>
      </c>
      <c r="H889" s="3" t="s">
        <v>27</v>
      </c>
      <c r="I889" s="3" t="s">
        <v>94</v>
      </c>
      <c r="J889" s="3" t="n">
        <v>43</v>
      </c>
      <c r="K889" s="3" t="n">
        <v>36562.31</v>
      </c>
      <c r="L889" s="3" t="n">
        <v>1572179.33</v>
      </c>
      <c r="M889" s="3" t="n">
        <v>0.161</v>
      </c>
      <c r="N889" s="3" t="n">
        <v>253120.87</v>
      </c>
      <c r="O889" s="3" t="n">
        <v>1319058.46</v>
      </c>
      <c r="P889" s="3" t="n">
        <v>974751.18</v>
      </c>
      <c r="Q889" s="3" t="n">
        <v>344307.28</v>
      </c>
      <c r="R889" s="3" t="n">
        <v>0.261</v>
      </c>
      <c r="S889" s="3" t="n">
        <v>0.1688</v>
      </c>
      <c r="T889" s="3" t="n">
        <v>-0.0078</v>
      </c>
    </row>
    <row r="890" customFormat="false" ht="15" hidden="false" customHeight="true" outlineLevel="0" collapsed="false">
      <c r="A890" s="3" t="s">
        <v>1571</v>
      </c>
      <c r="B890" s="3" t="s">
        <v>1572</v>
      </c>
      <c r="C890" s="3" t="s">
        <v>113</v>
      </c>
      <c r="D890" s="3" t="s">
        <v>103</v>
      </c>
      <c r="E890" s="3" t="s">
        <v>24</v>
      </c>
      <c r="F890" s="3" t="s">
        <v>62</v>
      </c>
      <c r="G890" s="3" t="s">
        <v>26</v>
      </c>
      <c r="H890" s="3" t="s">
        <v>77</v>
      </c>
      <c r="I890" s="3" t="s">
        <v>131</v>
      </c>
      <c r="J890" s="3" t="n">
        <v>8</v>
      </c>
      <c r="K890" s="3" t="n">
        <v>5922.22</v>
      </c>
      <c r="L890" s="3" t="n">
        <v>47377.76</v>
      </c>
      <c r="M890" s="3" t="n">
        <v>0.0531</v>
      </c>
      <c r="N890" s="3" t="n">
        <v>2515.76</v>
      </c>
      <c r="O890" s="3" t="n">
        <v>44862</v>
      </c>
      <c r="P890" s="3" t="n">
        <v>32216.88</v>
      </c>
      <c r="Q890" s="3" t="n">
        <v>12645.12</v>
      </c>
      <c r="R890" s="3" t="n">
        <v>0.2819</v>
      </c>
      <c r="S890" s="3" t="n">
        <v>0.0496</v>
      </c>
      <c r="T890" s="3" t="n">
        <v>0.0035</v>
      </c>
    </row>
    <row r="891" customFormat="false" ht="15" hidden="false" customHeight="true" outlineLevel="0" collapsed="false">
      <c r="A891" s="3" t="s">
        <v>1573</v>
      </c>
      <c r="B891" s="3" t="s">
        <v>454</v>
      </c>
      <c r="C891" s="3" t="s">
        <v>126</v>
      </c>
      <c r="D891" s="3" t="s">
        <v>69</v>
      </c>
      <c r="E891" s="3" t="s">
        <v>39</v>
      </c>
      <c r="F891" s="3" t="s">
        <v>70</v>
      </c>
      <c r="G891" s="3" t="s">
        <v>71</v>
      </c>
      <c r="H891" s="3" t="s">
        <v>27</v>
      </c>
      <c r="I891" s="3" t="s">
        <v>50</v>
      </c>
      <c r="J891" s="3" t="n">
        <v>23</v>
      </c>
      <c r="K891" s="3" t="n">
        <v>37484.76</v>
      </c>
      <c r="L891" s="3" t="n">
        <v>862149.48</v>
      </c>
      <c r="M891" s="3" t="n">
        <v>0.0396</v>
      </c>
      <c r="N891" s="3" t="n">
        <v>34141.12</v>
      </c>
      <c r="O891" s="3" t="n">
        <v>828008.36</v>
      </c>
      <c r="P891" s="3" t="n">
        <v>534532.68</v>
      </c>
      <c r="Q891" s="3" t="n">
        <v>293475.68</v>
      </c>
      <c r="R891" s="3" t="n">
        <v>0.3544</v>
      </c>
      <c r="S891" s="3" t="n">
        <v>0.0413</v>
      </c>
      <c r="T891" s="3" t="n">
        <v>-0.0017</v>
      </c>
    </row>
    <row r="892" customFormat="false" ht="15" hidden="false" customHeight="true" outlineLevel="0" collapsed="false">
      <c r="A892" s="3" t="s">
        <v>1574</v>
      </c>
      <c r="B892" s="3" t="s">
        <v>1575</v>
      </c>
      <c r="C892" s="3" t="s">
        <v>113</v>
      </c>
      <c r="D892" s="3" t="s">
        <v>69</v>
      </c>
      <c r="E892" s="3" t="s">
        <v>39</v>
      </c>
      <c r="F892" s="3" t="s">
        <v>70</v>
      </c>
      <c r="G892" s="3" t="s">
        <v>49</v>
      </c>
      <c r="H892" s="3" t="s">
        <v>64</v>
      </c>
      <c r="I892" s="3" t="s">
        <v>90</v>
      </c>
      <c r="J892" s="3" t="n">
        <v>32</v>
      </c>
      <c r="K892" s="3" t="n">
        <v>3331.16</v>
      </c>
      <c r="L892" s="3" t="n">
        <v>106597.12</v>
      </c>
      <c r="M892" s="3" t="n">
        <v>0.0752</v>
      </c>
      <c r="N892" s="3" t="n">
        <v>8016.1</v>
      </c>
      <c r="O892" s="3" t="n">
        <v>98581.02</v>
      </c>
      <c r="P892" s="3" t="n">
        <v>61826.33</v>
      </c>
      <c r="Q892" s="3" t="n">
        <v>36754.69</v>
      </c>
      <c r="R892" s="3" t="n">
        <v>0.3728</v>
      </c>
      <c r="S892" s="3" t="n">
        <v>0.0603</v>
      </c>
      <c r="T892" s="3" t="n">
        <v>0.0149</v>
      </c>
    </row>
    <row r="893" customFormat="false" ht="15" hidden="false" customHeight="true" outlineLevel="0" collapsed="false">
      <c r="A893" s="3" t="s">
        <v>1576</v>
      </c>
      <c r="B893" s="3" t="s">
        <v>687</v>
      </c>
      <c r="C893" s="3" t="s">
        <v>60</v>
      </c>
      <c r="D893" s="3" t="s">
        <v>23</v>
      </c>
      <c r="E893" s="3" t="s">
        <v>24</v>
      </c>
      <c r="F893" s="3" t="s">
        <v>25</v>
      </c>
      <c r="G893" s="3" t="s">
        <v>76</v>
      </c>
      <c r="H893" s="3" t="s">
        <v>77</v>
      </c>
      <c r="I893" s="3" t="s">
        <v>131</v>
      </c>
      <c r="J893" s="3" t="n">
        <v>32</v>
      </c>
      <c r="K893" s="3" t="n">
        <v>3931.69</v>
      </c>
      <c r="L893" s="3" t="n">
        <v>125814.08</v>
      </c>
      <c r="M893" s="3" t="n">
        <v>0.094</v>
      </c>
      <c r="N893" s="3" t="n">
        <v>11826.52</v>
      </c>
      <c r="O893" s="3" t="n">
        <v>113987.56</v>
      </c>
      <c r="P893" s="3" t="n">
        <v>85553.57</v>
      </c>
      <c r="Q893" s="3" t="n">
        <v>28433.99</v>
      </c>
      <c r="R893" s="3" t="n">
        <v>0.2494</v>
      </c>
      <c r="S893" s="3" t="n">
        <v>0.0771</v>
      </c>
      <c r="T893" s="3" t="n">
        <v>0.0169</v>
      </c>
    </row>
    <row r="894" customFormat="false" ht="15" hidden="false" customHeight="true" outlineLevel="0" collapsed="false">
      <c r="A894" s="3" t="s">
        <v>1577</v>
      </c>
      <c r="B894" s="3" t="s">
        <v>1578</v>
      </c>
      <c r="C894" s="3" t="s">
        <v>126</v>
      </c>
      <c r="D894" s="3" t="s">
        <v>75</v>
      </c>
      <c r="E894" s="3" t="s">
        <v>39</v>
      </c>
      <c r="F894" s="3" t="s">
        <v>25</v>
      </c>
      <c r="G894" s="3" t="s">
        <v>76</v>
      </c>
      <c r="H894" s="3" t="s">
        <v>27</v>
      </c>
      <c r="I894" s="3" t="s">
        <v>117</v>
      </c>
      <c r="J894" s="3" t="n">
        <v>15</v>
      </c>
      <c r="K894" s="3" t="n">
        <v>37874.03</v>
      </c>
      <c r="L894" s="3" t="n">
        <v>568110.45</v>
      </c>
      <c r="M894" s="3" t="n">
        <v>0.1724</v>
      </c>
      <c r="N894" s="3" t="n">
        <v>97942.24</v>
      </c>
      <c r="O894" s="3" t="n">
        <v>470168.21</v>
      </c>
      <c r="P894" s="3" t="n">
        <v>352228.48</v>
      </c>
      <c r="Q894" s="3" t="n">
        <v>117939.73</v>
      </c>
      <c r="R894" s="3" t="n">
        <v>0.2508</v>
      </c>
      <c r="S894" s="3" t="n">
        <v>0.1478</v>
      </c>
      <c r="T894" s="3" t="n">
        <v>0.0246</v>
      </c>
    </row>
    <row r="895" customFormat="false" ht="15" hidden="false" customHeight="true" outlineLevel="0" collapsed="false">
      <c r="A895" s="3" t="s">
        <v>1579</v>
      </c>
      <c r="B895" s="3" t="s">
        <v>1580</v>
      </c>
      <c r="C895" s="3" t="s">
        <v>31</v>
      </c>
      <c r="D895" s="3" t="s">
        <v>23</v>
      </c>
      <c r="E895" s="3" t="s">
        <v>24</v>
      </c>
      <c r="F895" s="3" t="s">
        <v>25</v>
      </c>
      <c r="G895" s="3" t="s">
        <v>55</v>
      </c>
      <c r="H895" s="3" t="s">
        <v>27</v>
      </c>
      <c r="I895" s="3" t="s">
        <v>94</v>
      </c>
      <c r="J895" s="3" t="n">
        <v>36</v>
      </c>
      <c r="K895" s="3" t="n">
        <v>16093.47</v>
      </c>
      <c r="L895" s="3" t="n">
        <v>579364.92</v>
      </c>
      <c r="M895" s="3" t="n">
        <v>0.1143</v>
      </c>
      <c r="N895" s="3" t="n">
        <v>66221.41</v>
      </c>
      <c r="O895" s="3" t="n">
        <v>513143.51</v>
      </c>
      <c r="P895" s="3" t="n">
        <v>359206.25</v>
      </c>
      <c r="Q895" s="3" t="n">
        <v>153937.26</v>
      </c>
      <c r="R895" s="3" t="n">
        <v>0.3</v>
      </c>
      <c r="S895" s="3" t="n">
        <v>0.1134</v>
      </c>
      <c r="T895" s="3" t="n">
        <v>0.0009</v>
      </c>
    </row>
    <row r="896" customFormat="false" ht="15" hidden="false" customHeight="true" outlineLevel="0" collapsed="false">
      <c r="A896" s="3" t="s">
        <v>1581</v>
      </c>
      <c r="B896" s="3" t="s">
        <v>1582</v>
      </c>
      <c r="C896" s="3" t="s">
        <v>93</v>
      </c>
      <c r="D896" s="3" t="s">
        <v>23</v>
      </c>
      <c r="E896" s="3" t="s">
        <v>24</v>
      </c>
      <c r="F896" s="3" t="s">
        <v>25</v>
      </c>
      <c r="G896" s="3" t="s">
        <v>63</v>
      </c>
      <c r="H896" s="3" t="s">
        <v>27</v>
      </c>
      <c r="I896" s="3" t="s">
        <v>50</v>
      </c>
      <c r="J896" s="3" t="n">
        <v>27</v>
      </c>
      <c r="K896" s="3" t="n">
        <v>35018.93</v>
      </c>
      <c r="L896" s="3" t="n">
        <v>945511.11</v>
      </c>
      <c r="M896" s="3" t="n">
        <v>0.1381</v>
      </c>
      <c r="N896" s="3" t="n">
        <v>130575.08</v>
      </c>
      <c r="O896" s="3" t="n">
        <v>814936.03</v>
      </c>
      <c r="P896" s="3" t="n">
        <v>586216.89</v>
      </c>
      <c r="Q896" s="3" t="n">
        <v>228719.14</v>
      </c>
      <c r="R896" s="3" t="n">
        <v>0.2807</v>
      </c>
      <c r="S896" s="3" t="n">
        <v>0.131</v>
      </c>
      <c r="T896" s="3" t="n">
        <v>0.0071</v>
      </c>
    </row>
    <row r="897" customFormat="false" ht="15" hidden="false" customHeight="true" outlineLevel="0" collapsed="false">
      <c r="A897" s="3" t="s">
        <v>1583</v>
      </c>
      <c r="B897" s="3" t="s">
        <v>1483</v>
      </c>
      <c r="C897" s="3" t="s">
        <v>46</v>
      </c>
      <c r="D897" s="3" t="s">
        <v>107</v>
      </c>
      <c r="E897" s="3" t="s">
        <v>33</v>
      </c>
      <c r="F897" s="3" t="s">
        <v>70</v>
      </c>
      <c r="G897" s="3" t="s">
        <v>104</v>
      </c>
      <c r="H897" s="3" t="s">
        <v>27</v>
      </c>
      <c r="I897" s="3" t="s">
        <v>117</v>
      </c>
      <c r="J897" s="3" t="n">
        <v>27</v>
      </c>
      <c r="K897" s="3" t="n">
        <v>16893.86</v>
      </c>
      <c r="L897" s="3" t="n">
        <v>456134.22</v>
      </c>
      <c r="M897" s="3" t="n">
        <v>0.0893</v>
      </c>
      <c r="N897" s="3" t="n">
        <v>40732.79</v>
      </c>
      <c r="O897" s="3" t="n">
        <v>415401.43</v>
      </c>
      <c r="P897" s="3" t="n">
        <v>282803.22</v>
      </c>
      <c r="Q897" s="3" t="n">
        <v>132598.21</v>
      </c>
      <c r="R897" s="3" t="n">
        <v>0.3192</v>
      </c>
      <c r="S897" s="3" t="n">
        <v>0.0766</v>
      </c>
      <c r="T897" s="3" t="n">
        <v>0.0127</v>
      </c>
    </row>
    <row r="898" customFormat="false" ht="15" hidden="false" customHeight="true" outlineLevel="0" collapsed="false">
      <c r="A898" s="3" t="s">
        <v>1584</v>
      </c>
      <c r="B898" s="3" t="s">
        <v>710</v>
      </c>
      <c r="C898" s="3" t="s">
        <v>22</v>
      </c>
      <c r="D898" s="3" t="s">
        <v>61</v>
      </c>
      <c r="E898" s="3" t="s">
        <v>33</v>
      </c>
      <c r="F898" s="3" t="s">
        <v>62</v>
      </c>
      <c r="G898" s="3" t="s">
        <v>26</v>
      </c>
      <c r="H898" s="3" t="s">
        <v>56</v>
      </c>
      <c r="I898" s="3" t="s">
        <v>188</v>
      </c>
      <c r="J898" s="3" t="n">
        <v>45</v>
      </c>
      <c r="K898" s="3" t="n">
        <v>5610.05</v>
      </c>
      <c r="L898" s="3" t="n">
        <v>252452.25</v>
      </c>
      <c r="M898" s="3" t="n">
        <v>0.0512</v>
      </c>
      <c r="N898" s="3" t="n">
        <v>12925.56</v>
      </c>
      <c r="O898" s="3" t="n">
        <v>239526.69</v>
      </c>
      <c r="P898" s="3" t="n">
        <v>151471.35</v>
      </c>
      <c r="Q898" s="3" t="n">
        <v>88055.34</v>
      </c>
      <c r="R898" s="3" t="n">
        <v>0.3676</v>
      </c>
      <c r="S898" s="3" t="n">
        <v>0.055</v>
      </c>
      <c r="T898" s="3" t="n">
        <v>-0.0038</v>
      </c>
    </row>
    <row r="899" customFormat="false" ht="15" hidden="false" customHeight="true" outlineLevel="0" collapsed="false">
      <c r="A899" s="3" t="s">
        <v>1585</v>
      </c>
      <c r="B899" s="3" t="s">
        <v>1586</v>
      </c>
      <c r="C899" s="3" t="s">
        <v>93</v>
      </c>
      <c r="D899" s="3" t="s">
        <v>69</v>
      </c>
      <c r="E899" s="3" t="s">
        <v>39</v>
      </c>
      <c r="F899" s="3" t="s">
        <v>70</v>
      </c>
      <c r="G899" s="3" t="s">
        <v>76</v>
      </c>
      <c r="H899" s="3" t="s">
        <v>64</v>
      </c>
      <c r="I899" s="3" t="s">
        <v>145</v>
      </c>
      <c r="J899" s="3" t="n">
        <v>41</v>
      </c>
      <c r="K899" s="3" t="n">
        <v>3565.6</v>
      </c>
      <c r="L899" s="3" t="n">
        <v>146189.6</v>
      </c>
      <c r="M899" s="3" t="n">
        <v>0.0348</v>
      </c>
      <c r="N899" s="3" t="n">
        <v>5087.4</v>
      </c>
      <c r="O899" s="3" t="n">
        <v>141102.2</v>
      </c>
      <c r="P899" s="3" t="n">
        <v>84789.97</v>
      </c>
      <c r="Q899" s="3" t="n">
        <v>56312.23</v>
      </c>
      <c r="R899" s="3" t="n">
        <v>0.3991</v>
      </c>
      <c r="S899" s="3" t="n">
        <v>0.0324</v>
      </c>
      <c r="T899" s="3" t="n">
        <v>0.0024</v>
      </c>
    </row>
    <row r="900" customFormat="false" ht="15" hidden="false" customHeight="true" outlineLevel="0" collapsed="false">
      <c r="A900" s="3" t="s">
        <v>1587</v>
      </c>
      <c r="B900" s="3" t="s">
        <v>1588</v>
      </c>
      <c r="C900" s="3" t="s">
        <v>37</v>
      </c>
      <c r="D900" s="3" t="s">
        <v>32</v>
      </c>
      <c r="E900" s="3" t="s">
        <v>33</v>
      </c>
      <c r="F900" s="3" t="s">
        <v>25</v>
      </c>
      <c r="G900" s="3" t="s">
        <v>49</v>
      </c>
      <c r="H900" s="3" t="s">
        <v>56</v>
      </c>
      <c r="I900" s="3" t="s">
        <v>121</v>
      </c>
      <c r="J900" s="3" t="n">
        <v>16</v>
      </c>
      <c r="K900" s="3" t="n">
        <v>15448.12</v>
      </c>
      <c r="L900" s="3" t="n">
        <v>247169.92</v>
      </c>
      <c r="M900" s="3" t="n">
        <v>0.0945</v>
      </c>
      <c r="N900" s="3" t="n">
        <v>23357.56</v>
      </c>
      <c r="O900" s="3" t="n">
        <v>223812.36</v>
      </c>
      <c r="P900" s="3" t="n">
        <v>148301.95</v>
      </c>
      <c r="Q900" s="3" t="n">
        <v>75510.41</v>
      </c>
      <c r="R900" s="3" t="n">
        <v>0.3374</v>
      </c>
      <c r="S900" s="3" t="n">
        <v>0.0992</v>
      </c>
      <c r="T900" s="3" t="n">
        <v>-0.0047</v>
      </c>
    </row>
    <row r="901" customFormat="false" ht="15" hidden="false" customHeight="true" outlineLevel="0" collapsed="false">
      <c r="A901" s="3" t="s">
        <v>1589</v>
      </c>
      <c r="B901" s="3" t="s">
        <v>1590</v>
      </c>
      <c r="C901" s="3" t="s">
        <v>93</v>
      </c>
      <c r="D901" s="3" t="s">
        <v>103</v>
      </c>
      <c r="E901" s="3" t="s">
        <v>24</v>
      </c>
      <c r="F901" s="3" t="s">
        <v>62</v>
      </c>
      <c r="G901" s="3" t="s">
        <v>116</v>
      </c>
      <c r="H901" s="3" t="s">
        <v>56</v>
      </c>
      <c r="I901" s="3" t="s">
        <v>188</v>
      </c>
      <c r="J901" s="3" t="n">
        <v>40</v>
      </c>
      <c r="K901" s="3" t="n">
        <v>14411.99</v>
      </c>
      <c r="L901" s="3" t="n">
        <v>576479.6</v>
      </c>
      <c r="M901" s="3" t="n">
        <v>0.0758</v>
      </c>
      <c r="N901" s="3" t="n">
        <v>43697.15</v>
      </c>
      <c r="O901" s="3" t="n">
        <v>532782.45</v>
      </c>
      <c r="P901" s="3" t="n">
        <v>345887.76</v>
      </c>
      <c r="Q901" s="3" t="n">
        <v>186894.69</v>
      </c>
      <c r="R901" s="3" t="n">
        <v>0.3508</v>
      </c>
      <c r="S901" s="3" t="n">
        <v>0.0738</v>
      </c>
      <c r="T901" s="3" t="n">
        <v>0.002</v>
      </c>
    </row>
    <row r="902" customFormat="false" ht="15" hidden="false" customHeight="true" outlineLevel="0" collapsed="false">
      <c r="A902" s="3" t="s">
        <v>1591</v>
      </c>
      <c r="B902" s="3" t="s">
        <v>1592</v>
      </c>
      <c r="C902" s="3" t="s">
        <v>120</v>
      </c>
      <c r="D902" s="3" t="s">
        <v>61</v>
      </c>
      <c r="E902" s="3" t="s">
        <v>33</v>
      </c>
      <c r="F902" s="3" t="s">
        <v>62</v>
      </c>
      <c r="G902" s="3" t="s">
        <v>63</v>
      </c>
      <c r="H902" s="3" t="s">
        <v>27</v>
      </c>
      <c r="I902" s="3" t="s">
        <v>28</v>
      </c>
      <c r="J902" s="3" t="n">
        <v>45</v>
      </c>
      <c r="K902" s="3" t="n">
        <v>18024.94</v>
      </c>
      <c r="L902" s="3" t="n">
        <v>811122.3</v>
      </c>
      <c r="M902" s="3" t="n">
        <v>0.0333</v>
      </c>
      <c r="N902" s="3" t="n">
        <v>27010.37</v>
      </c>
      <c r="O902" s="3" t="n">
        <v>784111.93</v>
      </c>
      <c r="P902" s="3" t="n">
        <v>502895.83</v>
      </c>
      <c r="Q902" s="3" t="n">
        <v>281216.1</v>
      </c>
      <c r="R902" s="3" t="n">
        <v>0.3586</v>
      </c>
      <c r="S902" s="3" t="n">
        <v>0.0272</v>
      </c>
      <c r="T902" s="3" t="n">
        <v>0.0061</v>
      </c>
    </row>
    <row r="903" customFormat="false" ht="15" hidden="false" customHeight="true" outlineLevel="0" collapsed="false">
      <c r="A903" s="3" t="s">
        <v>1593</v>
      </c>
      <c r="B903" s="3" t="s">
        <v>1158</v>
      </c>
      <c r="C903" s="3" t="s">
        <v>22</v>
      </c>
      <c r="D903" s="3" t="s">
        <v>83</v>
      </c>
      <c r="E903" s="3" t="s">
        <v>48</v>
      </c>
      <c r="F903" s="3" t="s">
        <v>62</v>
      </c>
      <c r="G903" s="3" t="s">
        <v>55</v>
      </c>
      <c r="H903" s="3" t="s">
        <v>27</v>
      </c>
      <c r="I903" s="3" t="s">
        <v>50</v>
      </c>
      <c r="J903" s="3" t="n">
        <v>5</v>
      </c>
      <c r="K903" s="3" t="n">
        <v>28037.93</v>
      </c>
      <c r="L903" s="3" t="n">
        <v>140189.65</v>
      </c>
      <c r="M903" s="3" t="n">
        <v>0.0351</v>
      </c>
      <c r="N903" s="3" t="n">
        <v>4920.66</v>
      </c>
      <c r="O903" s="3" t="n">
        <v>135268.99</v>
      </c>
      <c r="P903" s="3" t="n">
        <v>86917.58</v>
      </c>
      <c r="Q903" s="3" t="n">
        <v>48351.41</v>
      </c>
      <c r="R903" s="3" t="n">
        <v>0.3574</v>
      </c>
      <c r="S903" s="3" t="n">
        <v>0.034</v>
      </c>
      <c r="T903" s="3" t="n">
        <v>0.0011</v>
      </c>
    </row>
    <row r="904" customFormat="false" ht="15" hidden="false" customHeight="true" outlineLevel="0" collapsed="false">
      <c r="A904" s="3" t="s">
        <v>1594</v>
      </c>
      <c r="B904" s="3" t="s">
        <v>1025</v>
      </c>
      <c r="C904" s="3" t="s">
        <v>156</v>
      </c>
      <c r="D904" s="3" t="s">
        <v>54</v>
      </c>
      <c r="E904" s="3" t="s">
        <v>24</v>
      </c>
      <c r="F904" s="3" t="s">
        <v>40</v>
      </c>
      <c r="G904" s="3" t="s">
        <v>116</v>
      </c>
      <c r="H904" s="3" t="s">
        <v>77</v>
      </c>
      <c r="I904" s="3" t="s">
        <v>78</v>
      </c>
      <c r="J904" s="3" t="n">
        <v>27</v>
      </c>
      <c r="K904" s="3" t="n">
        <v>4163.05</v>
      </c>
      <c r="L904" s="3" t="n">
        <v>112402.35</v>
      </c>
      <c r="M904" s="3" t="n">
        <v>0.0856</v>
      </c>
      <c r="N904" s="3" t="n">
        <v>9621.64</v>
      </c>
      <c r="O904" s="3" t="n">
        <v>102780.71</v>
      </c>
      <c r="P904" s="3" t="n">
        <v>76433.6</v>
      </c>
      <c r="Q904" s="3" t="n">
        <v>26347.11</v>
      </c>
      <c r="R904" s="3" t="n">
        <v>0.2563</v>
      </c>
      <c r="S904" s="3" t="n">
        <v>0.0802</v>
      </c>
      <c r="T904" s="3" t="n">
        <v>0.0054</v>
      </c>
    </row>
    <row r="905" customFormat="false" ht="15" hidden="false" customHeight="true" outlineLevel="0" collapsed="false">
      <c r="A905" s="3" t="s">
        <v>1595</v>
      </c>
      <c r="B905" s="3" t="s">
        <v>1596</v>
      </c>
      <c r="C905" s="3" t="s">
        <v>156</v>
      </c>
      <c r="D905" s="3" t="s">
        <v>83</v>
      </c>
      <c r="E905" s="3" t="s">
        <v>48</v>
      </c>
      <c r="F905" s="3" t="s">
        <v>62</v>
      </c>
      <c r="G905" s="3" t="s">
        <v>55</v>
      </c>
      <c r="H905" s="3" t="s">
        <v>77</v>
      </c>
      <c r="I905" s="3" t="s">
        <v>85</v>
      </c>
      <c r="J905" s="3" t="n">
        <v>42</v>
      </c>
      <c r="K905" s="3" t="n">
        <v>1686.13</v>
      </c>
      <c r="L905" s="3" t="n">
        <v>70817.46</v>
      </c>
      <c r="M905" s="3" t="n">
        <v>0.0769</v>
      </c>
      <c r="N905" s="3" t="n">
        <v>5445.86</v>
      </c>
      <c r="O905" s="3" t="n">
        <v>65371.6</v>
      </c>
      <c r="P905" s="3" t="n">
        <v>48155.87</v>
      </c>
      <c r="Q905" s="3" t="n">
        <v>17215.73</v>
      </c>
      <c r="R905" s="3" t="n">
        <v>0.2634</v>
      </c>
      <c r="S905" s="3" t="n">
        <v>0.072</v>
      </c>
      <c r="T905" s="3" t="n">
        <v>0.0049</v>
      </c>
    </row>
    <row r="906" customFormat="false" ht="15" hidden="false" customHeight="true" outlineLevel="0" collapsed="false">
      <c r="A906" s="3" t="s">
        <v>1597</v>
      </c>
      <c r="B906" s="3" t="s">
        <v>1598</v>
      </c>
      <c r="C906" s="3" t="s">
        <v>113</v>
      </c>
      <c r="D906" s="3" t="s">
        <v>103</v>
      </c>
      <c r="E906" s="3" t="s">
        <v>24</v>
      </c>
      <c r="F906" s="3" t="s">
        <v>62</v>
      </c>
      <c r="G906" s="3" t="s">
        <v>116</v>
      </c>
      <c r="H906" s="3" t="s">
        <v>56</v>
      </c>
      <c r="I906" s="3" t="s">
        <v>188</v>
      </c>
      <c r="J906" s="3" t="n">
        <v>39</v>
      </c>
      <c r="K906" s="3" t="n">
        <v>3643.03</v>
      </c>
      <c r="L906" s="3" t="n">
        <v>142078.17</v>
      </c>
      <c r="M906" s="3" t="n">
        <v>0.1094</v>
      </c>
      <c r="N906" s="3" t="n">
        <v>15543.35</v>
      </c>
      <c r="O906" s="3" t="n">
        <v>126534.82</v>
      </c>
      <c r="P906" s="3" t="n">
        <v>85246.9</v>
      </c>
      <c r="Q906" s="3" t="n">
        <v>41287.92</v>
      </c>
      <c r="R906" s="3" t="n">
        <v>0.3263</v>
      </c>
      <c r="S906" s="3" t="n">
        <v>0.1172</v>
      </c>
      <c r="T906" s="3" t="n">
        <v>-0.0078</v>
      </c>
    </row>
    <row r="907" customFormat="false" ht="15" hidden="false" customHeight="true" outlineLevel="0" collapsed="false">
      <c r="A907" s="3" t="s">
        <v>1599</v>
      </c>
      <c r="B907" s="3" t="s">
        <v>506</v>
      </c>
      <c r="C907" s="3" t="s">
        <v>60</v>
      </c>
      <c r="D907" s="3" t="s">
        <v>75</v>
      </c>
      <c r="E907" s="3" t="s">
        <v>39</v>
      </c>
      <c r="F907" s="3" t="s">
        <v>25</v>
      </c>
      <c r="G907" s="3" t="s">
        <v>49</v>
      </c>
      <c r="H907" s="3" t="s">
        <v>56</v>
      </c>
      <c r="I907" s="3" t="s">
        <v>57</v>
      </c>
      <c r="J907" s="3" t="n">
        <v>47</v>
      </c>
      <c r="K907" s="3" t="n">
        <v>8736.11</v>
      </c>
      <c r="L907" s="3" t="n">
        <v>410597.17</v>
      </c>
      <c r="M907" s="3" t="n">
        <v>0.1159</v>
      </c>
      <c r="N907" s="3" t="n">
        <v>47588.21</v>
      </c>
      <c r="O907" s="3" t="n">
        <v>363008.96</v>
      </c>
      <c r="P907" s="3" t="n">
        <v>246358.3</v>
      </c>
      <c r="Q907" s="3" t="n">
        <v>116650.66</v>
      </c>
      <c r="R907" s="3" t="n">
        <v>0.3213</v>
      </c>
      <c r="S907" s="3" t="n">
        <v>0.1204</v>
      </c>
      <c r="T907" s="3" t="n">
        <v>-0.0045</v>
      </c>
    </row>
    <row r="908" customFormat="false" ht="15" hidden="false" customHeight="true" outlineLevel="0" collapsed="false">
      <c r="A908" s="3" t="s">
        <v>1600</v>
      </c>
      <c r="B908" s="3" t="s">
        <v>567</v>
      </c>
      <c r="C908" s="3" t="s">
        <v>60</v>
      </c>
      <c r="D908" s="3" t="s">
        <v>32</v>
      </c>
      <c r="E908" s="3" t="s">
        <v>33</v>
      </c>
      <c r="F908" s="3" t="s">
        <v>25</v>
      </c>
      <c r="G908" s="3" t="s">
        <v>55</v>
      </c>
      <c r="H908" s="3" t="s">
        <v>64</v>
      </c>
      <c r="I908" s="3" t="s">
        <v>145</v>
      </c>
      <c r="J908" s="3" t="n">
        <v>42</v>
      </c>
      <c r="K908" s="3" t="n">
        <v>6922.63</v>
      </c>
      <c r="L908" s="3" t="n">
        <v>290750.46</v>
      </c>
      <c r="M908" s="3" t="n">
        <v>0.1326</v>
      </c>
      <c r="N908" s="3" t="n">
        <v>38553.51</v>
      </c>
      <c r="O908" s="3" t="n">
        <v>252196.95</v>
      </c>
      <c r="P908" s="3" t="n">
        <v>168635.27</v>
      </c>
      <c r="Q908" s="3" t="n">
        <v>83561.68</v>
      </c>
      <c r="R908" s="3" t="n">
        <v>0.3313</v>
      </c>
      <c r="S908" s="3" t="n">
        <v>0.112</v>
      </c>
      <c r="T908" s="3" t="n">
        <v>0.0206</v>
      </c>
    </row>
    <row r="909" customFormat="false" ht="15" hidden="false" customHeight="true" outlineLevel="0" collapsed="false">
      <c r="A909" s="3" t="s">
        <v>1601</v>
      </c>
      <c r="B909" s="3" t="s">
        <v>1417</v>
      </c>
      <c r="C909" s="3" t="s">
        <v>60</v>
      </c>
      <c r="D909" s="3" t="s">
        <v>54</v>
      </c>
      <c r="E909" s="3" t="s">
        <v>24</v>
      </c>
      <c r="F909" s="3" t="s">
        <v>40</v>
      </c>
      <c r="G909" s="3" t="s">
        <v>76</v>
      </c>
      <c r="H909" s="3" t="s">
        <v>56</v>
      </c>
      <c r="I909" s="3" t="s">
        <v>57</v>
      </c>
      <c r="J909" s="3" t="n">
        <v>1</v>
      </c>
      <c r="K909" s="3" t="n">
        <v>7901.28</v>
      </c>
      <c r="L909" s="3" t="n">
        <v>7901.28</v>
      </c>
      <c r="M909" s="3" t="n">
        <v>0.0559</v>
      </c>
      <c r="N909" s="3" t="n">
        <v>441.68</v>
      </c>
      <c r="O909" s="3" t="n">
        <v>7459.6</v>
      </c>
      <c r="P909" s="3" t="n">
        <v>4740.77</v>
      </c>
      <c r="Q909" s="3" t="n">
        <v>2718.83</v>
      </c>
      <c r="R909" s="3" t="n">
        <v>0.3645</v>
      </c>
      <c r="S909" s="3" t="n">
        <v>0.0457</v>
      </c>
      <c r="T909" s="3" t="n">
        <v>0.0102</v>
      </c>
    </row>
    <row r="910" customFormat="false" ht="15" hidden="false" customHeight="true" outlineLevel="0" collapsed="false">
      <c r="A910" s="3" t="s">
        <v>1602</v>
      </c>
      <c r="B910" s="3" t="s">
        <v>742</v>
      </c>
      <c r="C910" s="3" t="s">
        <v>113</v>
      </c>
      <c r="D910" s="3" t="s">
        <v>107</v>
      </c>
      <c r="E910" s="3" t="s">
        <v>33</v>
      </c>
      <c r="F910" s="3" t="s">
        <v>70</v>
      </c>
      <c r="G910" s="3" t="s">
        <v>63</v>
      </c>
      <c r="H910" s="3" t="s">
        <v>56</v>
      </c>
      <c r="I910" s="3" t="s">
        <v>188</v>
      </c>
      <c r="J910" s="3" t="n">
        <v>13</v>
      </c>
      <c r="K910" s="3" t="n">
        <v>7501.06</v>
      </c>
      <c r="L910" s="3" t="n">
        <v>97513.78</v>
      </c>
      <c r="M910" s="3" t="n">
        <v>0.062</v>
      </c>
      <c r="N910" s="3" t="n">
        <v>6045.85</v>
      </c>
      <c r="O910" s="3" t="n">
        <v>91467.93</v>
      </c>
      <c r="P910" s="3" t="n">
        <v>58508.27</v>
      </c>
      <c r="Q910" s="3" t="n">
        <v>32959.66</v>
      </c>
      <c r="R910" s="3" t="n">
        <v>0.3603</v>
      </c>
      <c r="S910" s="3" t="n">
        <v>0.0642</v>
      </c>
      <c r="T910" s="3" t="n">
        <v>-0.0022</v>
      </c>
    </row>
    <row r="911" customFormat="false" ht="15" hidden="false" customHeight="true" outlineLevel="0" collapsed="false">
      <c r="A911" s="3" t="s">
        <v>1603</v>
      </c>
      <c r="B911" s="3" t="s">
        <v>811</v>
      </c>
      <c r="C911" s="3" t="s">
        <v>37</v>
      </c>
      <c r="D911" s="3" t="s">
        <v>103</v>
      </c>
      <c r="E911" s="3" t="s">
        <v>24</v>
      </c>
      <c r="F911" s="3" t="s">
        <v>62</v>
      </c>
      <c r="G911" s="3" t="s">
        <v>26</v>
      </c>
      <c r="H911" s="3" t="s">
        <v>64</v>
      </c>
      <c r="I911" s="3" t="s">
        <v>90</v>
      </c>
      <c r="J911" s="3" t="n">
        <v>30</v>
      </c>
      <c r="K911" s="3" t="n">
        <v>9226.57</v>
      </c>
      <c r="L911" s="3" t="n">
        <v>276797.1</v>
      </c>
      <c r="M911" s="3" t="n">
        <v>0.06</v>
      </c>
      <c r="N911" s="3" t="n">
        <v>16607.83</v>
      </c>
      <c r="O911" s="3" t="n">
        <v>260189.27</v>
      </c>
      <c r="P911" s="3" t="n">
        <v>160542.32</v>
      </c>
      <c r="Q911" s="3" t="n">
        <v>99646.95</v>
      </c>
      <c r="R911" s="3" t="n">
        <v>0.383</v>
      </c>
      <c r="S911" s="3" t="n">
        <v>0.0633</v>
      </c>
      <c r="T911" s="3" t="n">
        <v>-0.0033</v>
      </c>
    </row>
    <row r="912" customFormat="false" ht="15" hidden="false" customHeight="true" outlineLevel="0" collapsed="false">
      <c r="A912" s="3" t="s">
        <v>1604</v>
      </c>
      <c r="B912" s="3" t="s">
        <v>1605</v>
      </c>
      <c r="C912" s="3" t="s">
        <v>156</v>
      </c>
      <c r="D912" s="3" t="s">
        <v>38</v>
      </c>
      <c r="E912" s="3" t="s">
        <v>39</v>
      </c>
      <c r="F912" s="3" t="s">
        <v>40</v>
      </c>
      <c r="G912" s="3" t="s">
        <v>76</v>
      </c>
      <c r="H912" s="3" t="s">
        <v>42</v>
      </c>
      <c r="I912" s="3" t="s">
        <v>72</v>
      </c>
      <c r="J912" s="3" t="n">
        <v>11</v>
      </c>
      <c r="K912" s="3" t="n">
        <v>1965.43</v>
      </c>
      <c r="L912" s="3" t="n">
        <v>21619.73</v>
      </c>
      <c r="M912" s="3" t="n">
        <v>0.0352</v>
      </c>
      <c r="N912" s="3" t="n">
        <v>761.01</v>
      </c>
      <c r="O912" s="3" t="n">
        <v>20858.72</v>
      </c>
      <c r="P912" s="3" t="n">
        <v>11890.85</v>
      </c>
      <c r="Q912" s="3" t="n">
        <v>8967.87</v>
      </c>
      <c r="R912" s="3" t="n">
        <v>0.4299</v>
      </c>
      <c r="S912" s="3" t="n">
        <v>0.0334</v>
      </c>
      <c r="T912" s="3" t="n">
        <v>0.0018</v>
      </c>
    </row>
    <row r="913" customFormat="false" ht="15" hidden="false" customHeight="true" outlineLevel="0" collapsed="false">
      <c r="A913" s="3" t="s">
        <v>1606</v>
      </c>
      <c r="B913" s="3" t="s">
        <v>811</v>
      </c>
      <c r="C913" s="3" t="s">
        <v>37</v>
      </c>
      <c r="D913" s="3" t="s">
        <v>32</v>
      </c>
      <c r="E913" s="3" t="s">
        <v>33</v>
      </c>
      <c r="F913" s="3" t="s">
        <v>25</v>
      </c>
      <c r="G913" s="3" t="s">
        <v>84</v>
      </c>
      <c r="H913" s="3" t="s">
        <v>64</v>
      </c>
      <c r="I913" s="3" t="s">
        <v>108</v>
      </c>
      <c r="J913" s="3" t="n">
        <v>16</v>
      </c>
      <c r="K913" s="3" t="n">
        <v>8615.28</v>
      </c>
      <c r="L913" s="3" t="n">
        <v>137844.48</v>
      </c>
      <c r="M913" s="3" t="n">
        <v>0.1555</v>
      </c>
      <c r="N913" s="3" t="n">
        <v>21434.82</v>
      </c>
      <c r="O913" s="3" t="n">
        <v>116409.66</v>
      </c>
      <c r="P913" s="3" t="n">
        <v>79949.8</v>
      </c>
      <c r="Q913" s="3" t="n">
        <v>36459.86</v>
      </c>
      <c r="R913" s="3" t="n">
        <v>0.3132</v>
      </c>
      <c r="S913" s="3" t="n">
        <v>0.1621</v>
      </c>
      <c r="T913" s="3" t="n">
        <v>-0.0066</v>
      </c>
    </row>
    <row r="914" customFormat="false" ht="15" hidden="false" customHeight="true" outlineLevel="0" collapsed="false">
      <c r="A914" s="3" t="s">
        <v>1607</v>
      </c>
      <c r="B914" s="3" t="s">
        <v>1608</v>
      </c>
      <c r="C914" s="3" t="s">
        <v>120</v>
      </c>
      <c r="D914" s="3" t="s">
        <v>47</v>
      </c>
      <c r="E914" s="3" t="s">
        <v>48</v>
      </c>
      <c r="F914" s="3" t="s">
        <v>25</v>
      </c>
      <c r="G914" s="3" t="s">
        <v>41</v>
      </c>
      <c r="H914" s="3" t="s">
        <v>64</v>
      </c>
      <c r="I914" s="3" t="s">
        <v>90</v>
      </c>
      <c r="J914" s="3" t="n">
        <v>1</v>
      </c>
      <c r="K914" s="3" t="n">
        <v>10434.76</v>
      </c>
      <c r="L914" s="3" t="n">
        <v>10434.76</v>
      </c>
      <c r="M914" s="3" t="n">
        <v>0.1152</v>
      </c>
      <c r="N914" s="3" t="n">
        <v>1202.08</v>
      </c>
      <c r="O914" s="3" t="n">
        <v>9232.68</v>
      </c>
      <c r="P914" s="3" t="n">
        <v>6052.16</v>
      </c>
      <c r="Q914" s="3" t="n">
        <v>3180.52</v>
      </c>
      <c r="R914" s="3" t="n">
        <v>0.3445</v>
      </c>
      <c r="S914" s="3" t="n">
        <v>0.0971</v>
      </c>
      <c r="T914" s="3" t="n">
        <v>0.0181</v>
      </c>
    </row>
    <row r="915" customFormat="false" ht="15" hidden="false" customHeight="true" outlineLevel="0" collapsed="false">
      <c r="A915" s="3" t="s">
        <v>1609</v>
      </c>
      <c r="B915" s="3" t="s">
        <v>1610</v>
      </c>
      <c r="C915" s="3" t="s">
        <v>53</v>
      </c>
      <c r="D915" s="3" t="s">
        <v>83</v>
      </c>
      <c r="E915" s="3" t="s">
        <v>48</v>
      </c>
      <c r="F915" s="3" t="s">
        <v>62</v>
      </c>
      <c r="G915" s="3" t="s">
        <v>104</v>
      </c>
      <c r="H915" s="3" t="s">
        <v>64</v>
      </c>
      <c r="I915" s="3" t="s">
        <v>145</v>
      </c>
      <c r="J915" s="3" t="n">
        <v>13</v>
      </c>
      <c r="K915" s="3" t="n">
        <v>11777.78</v>
      </c>
      <c r="L915" s="3" t="n">
        <v>153111.14</v>
      </c>
      <c r="M915" s="3" t="n">
        <v>0.0669</v>
      </c>
      <c r="N915" s="3" t="n">
        <v>10243.14</v>
      </c>
      <c r="O915" s="3" t="n">
        <v>142868</v>
      </c>
      <c r="P915" s="3" t="n">
        <v>88804.46</v>
      </c>
      <c r="Q915" s="3" t="n">
        <v>54063.54</v>
      </c>
      <c r="R915" s="3" t="n">
        <v>0.3784</v>
      </c>
      <c r="S915" s="3" t="n">
        <v>0.0679</v>
      </c>
      <c r="T915" s="3" t="n">
        <v>-0.001</v>
      </c>
    </row>
    <row r="916" customFormat="false" ht="15" hidden="false" customHeight="true" outlineLevel="0" collapsed="false">
      <c r="A916" s="3" t="s">
        <v>1611</v>
      </c>
      <c r="B916" s="3" t="s">
        <v>262</v>
      </c>
      <c r="C916" s="3" t="s">
        <v>156</v>
      </c>
      <c r="D916" s="3" t="s">
        <v>103</v>
      </c>
      <c r="E916" s="3" t="s">
        <v>24</v>
      </c>
      <c r="F916" s="3" t="s">
        <v>62</v>
      </c>
      <c r="G916" s="3" t="s">
        <v>41</v>
      </c>
      <c r="H916" s="3" t="s">
        <v>56</v>
      </c>
      <c r="I916" s="3" t="s">
        <v>188</v>
      </c>
      <c r="J916" s="3" t="n">
        <v>12</v>
      </c>
      <c r="K916" s="3" t="n">
        <v>5135.8</v>
      </c>
      <c r="L916" s="3" t="n">
        <v>61629.6</v>
      </c>
      <c r="M916" s="3" t="n">
        <v>0.1286</v>
      </c>
      <c r="N916" s="3" t="n">
        <v>7925.57</v>
      </c>
      <c r="O916" s="3" t="n">
        <v>53704.03</v>
      </c>
      <c r="P916" s="3" t="n">
        <v>36977.76</v>
      </c>
      <c r="Q916" s="3" t="n">
        <v>16726.27</v>
      </c>
      <c r="R916" s="3" t="n">
        <v>0.3115</v>
      </c>
      <c r="S916" s="3" t="n">
        <v>0.1349</v>
      </c>
      <c r="T916" s="3" t="n">
        <v>-0.0063</v>
      </c>
    </row>
    <row r="917" customFormat="false" ht="15" hidden="false" customHeight="true" outlineLevel="0" collapsed="false">
      <c r="A917" s="3" t="s">
        <v>1612</v>
      </c>
      <c r="B917" s="3" t="s">
        <v>1613</v>
      </c>
      <c r="C917" s="3" t="s">
        <v>60</v>
      </c>
      <c r="D917" s="3" t="s">
        <v>75</v>
      </c>
      <c r="E917" s="3" t="s">
        <v>39</v>
      </c>
      <c r="F917" s="3" t="s">
        <v>25</v>
      </c>
      <c r="G917" s="3" t="s">
        <v>116</v>
      </c>
      <c r="H917" s="3" t="s">
        <v>77</v>
      </c>
      <c r="I917" s="3" t="s">
        <v>85</v>
      </c>
      <c r="J917" s="3" t="n">
        <v>14</v>
      </c>
      <c r="K917" s="3" t="n">
        <v>2824.24</v>
      </c>
      <c r="L917" s="3" t="n">
        <v>39539.36</v>
      </c>
      <c r="M917" s="3" t="n">
        <v>0.1568</v>
      </c>
      <c r="N917" s="3" t="n">
        <v>6199.77</v>
      </c>
      <c r="O917" s="3" t="n">
        <v>33339.59</v>
      </c>
      <c r="P917" s="3" t="n">
        <v>26886.76</v>
      </c>
      <c r="Q917" s="3" t="n">
        <v>6452.83</v>
      </c>
      <c r="R917" s="3" t="n">
        <v>0.1935</v>
      </c>
      <c r="S917" s="3" t="n">
        <v>0.1698</v>
      </c>
      <c r="T917" s="3" t="n">
        <v>-0.013</v>
      </c>
    </row>
    <row r="918" customFormat="false" ht="15" hidden="false" customHeight="true" outlineLevel="0" collapsed="false">
      <c r="A918" s="3" t="s">
        <v>1614</v>
      </c>
      <c r="B918" s="3" t="s">
        <v>1615</v>
      </c>
      <c r="C918" s="3" t="s">
        <v>46</v>
      </c>
      <c r="D918" s="3" t="s">
        <v>38</v>
      </c>
      <c r="E918" s="3" t="s">
        <v>39</v>
      </c>
      <c r="F918" s="3" t="s">
        <v>40</v>
      </c>
      <c r="G918" s="3" t="s">
        <v>116</v>
      </c>
      <c r="H918" s="3" t="s">
        <v>77</v>
      </c>
      <c r="I918" s="3" t="s">
        <v>85</v>
      </c>
      <c r="J918" s="3" t="n">
        <v>9</v>
      </c>
      <c r="K918" s="3" t="n">
        <v>1768.77</v>
      </c>
      <c r="L918" s="3" t="n">
        <v>15918.93</v>
      </c>
      <c r="M918" s="3" t="n">
        <v>0.0974</v>
      </c>
      <c r="N918" s="3" t="n">
        <v>1550.5</v>
      </c>
      <c r="O918" s="3" t="n">
        <v>14368.43</v>
      </c>
      <c r="P918" s="3" t="n">
        <v>10824.87</v>
      </c>
      <c r="Q918" s="3" t="n">
        <v>3543.56</v>
      </c>
      <c r="R918" s="3" t="n">
        <v>0.2466</v>
      </c>
      <c r="S918" s="3" t="n">
        <v>0.0982</v>
      </c>
      <c r="T918" s="3" t="n">
        <v>-0.0008</v>
      </c>
    </row>
    <row r="919" customFormat="false" ht="15" hidden="false" customHeight="true" outlineLevel="0" collapsed="false">
      <c r="A919" s="3" t="s">
        <v>1616</v>
      </c>
      <c r="B919" s="3" t="s">
        <v>1617</v>
      </c>
      <c r="C919" s="3" t="s">
        <v>113</v>
      </c>
      <c r="D919" s="3" t="s">
        <v>103</v>
      </c>
      <c r="E919" s="3" t="s">
        <v>24</v>
      </c>
      <c r="F919" s="3" t="s">
        <v>62</v>
      </c>
      <c r="G919" s="3" t="s">
        <v>71</v>
      </c>
      <c r="H919" s="3" t="s">
        <v>56</v>
      </c>
      <c r="I919" s="3" t="s">
        <v>57</v>
      </c>
      <c r="J919" s="3" t="n">
        <v>3</v>
      </c>
      <c r="K919" s="3" t="n">
        <v>5912.79</v>
      </c>
      <c r="L919" s="3" t="n">
        <v>17738.37</v>
      </c>
      <c r="M919" s="3" t="n">
        <v>0.0682</v>
      </c>
      <c r="N919" s="3" t="n">
        <v>1209.76</v>
      </c>
      <c r="O919" s="3" t="n">
        <v>16528.61</v>
      </c>
      <c r="P919" s="3" t="n">
        <v>10643.02</v>
      </c>
      <c r="Q919" s="3" t="n">
        <v>5885.59</v>
      </c>
      <c r="R919" s="3" t="n">
        <v>0.3561</v>
      </c>
      <c r="S919" s="3" t="n">
        <v>0.072</v>
      </c>
      <c r="T919" s="3" t="n">
        <v>-0.0038</v>
      </c>
    </row>
    <row r="920" customFormat="false" ht="15" hidden="false" customHeight="true" outlineLevel="0" collapsed="false">
      <c r="A920" s="3" t="s">
        <v>1618</v>
      </c>
      <c r="B920" s="3" t="s">
        <v>1619</v>
      </c>
      <c r="C920" s="3" t="s">
        <v>93</v>
      </c>
      <c r="D920" s="3" t="s">
        <v>54</v>
      </c>
      <c r="E920" s="3" t="s">
        <v>24</v>
      </c>
      <c r="F920" s="3" t="s">
        <v>40</v>
      </c>
      <c r="G920" s="3" t="s">
        <v>34</v>
      </c>
      <c r="H920" s="3" t="s">
        <v>64</v>
      </c>
      <c r="I920" s="3" t="s">
        <v>145</v>
      </c>
      <c r="J920" s="3" t="n">
        <v>18</v>
      </c>
      <c r="K920" s="3" t="n">
        <v>3479.33</v>
      </c>
      <c r="L920" s="3" t="n">
        <v>62627.94</v>
      </c>
      <c r="M920" s="3" t="n">
        <v>0.1277</v>
      </c>
      <c r="N920" s="3" t="n">
        <v>7997.59</v>
      </c>
      <c r="O920" s="3" t="n">
        <v>54630.35</v>
      </c>
      <c r="P920" s="3" t="n">
        <v>36324.21</v>
      </c>
      <c r="Q920" s="3" t="n">
        <v>18306.14</v>
      </c>
      <c r="R920" s="3" t="n">
        <v>0.3351</v>
      </c>
      <c r="S920" s="3" t="n">
        <v>0.1102</v>
      </c>
      <c r="T920" s="3" t="n">
        <v>0.0175</v>
      </c>
    </row>
    <row r="921" customFormat="false" ht="15" hidden="false" customHeight="true" outlineLevel="0" collapsed="false">
      <c r="A921" s="3" t="s">
        <v>1620</v>
      </c>
      <c r="B921" s="3" t="s">
        <v>1621</v>
      </c>
      <c r="C921" s="3" t="s">
        <v>68</v>
      </c>
      <c r="D921" s="3" t="s">
        <v>61</v>
      </c>
      <c r="E921" s="3" t="s">
        <v>33</v>
      </c>
      <c r="F921" s="3" t="s">
        <v>62</v>
      </c>
      <c r="G921" s="3" t="s">
        <v>55</v>
      </c>
      <c r="H921" s="3" t="s">
        <v>77</v>
      </c>
      <c r="I921" s="3" t="s">
        <v>85</v>
      </c>
      <c r="J921" s="3" t="n">
        <v>33</v>
      </c>
      <c r="K921" s="3" t="n">
        <v>1511.39</v>
      </c>
      <c r="L921" s="3" t="n">
        <v>49875.87</v>
      </c>
      <c r="M921" s="3" t="n">
        <v>0.0494</v>
      </c>
      <c r="N921" s="3" t="n">
        <v>2463.87</v>
      </c>
      <c r="O921" s="3" t="n">
        <v>47412</v>
      </c>
      <c r="P921" s="3" t="n">
        <v>33915.59</v>
      </c>
      <c r="Q921" s="3" t="n">
        <v>13496.41</v>
      </c>
      <c r="R921" s="3" t="n">
        <v>0.2847</v>
      </c>
      <c r="S921" s="3" t="n">
        <v>0.0451</v>
      </c>
      <c r="T921" s="3" t="n">
        <v>0.0043</v>
      </c>
    </row>
    <row r="922" customFormat="false" ht="15" hidden="false" customHeight="true" outlineLevel="0" collapsed="false">
      <c r="A922" s="3" t="s">
        <v>1622</v>
      </c>
      <c r="B922" s="3" t="s">
        <v>1623</v>
      </c>
      <c r="C922" s="3" t="s">
        <v>68</v>
      </c>
      <c r="D922" s="3" t="s">
        <v>107</v>
      </c>
      <c r="E922" s="3" t="s">
        <v>33</v>
      </c>
      <c r="F922" s="3" t="s">
        <v>70</v>
      </c>
      <c r="G922" s="3" t="s">
        <v>49</v>
      </c>
      <c r="H922" s="3" t="s">
        <v>77</v>
      </c>
      <c r="I922" s="3" t="s">
        <v>131</v>
      </c>
      <c r="J922" s="3" t="n">
        <v>34</v>
      </c>
      <c r="K922" s="3" t="n">
        <v>4619.94</v>
      </c>
      <c r="L922" s="3" t="n">
        <v>157077.96</v>
      </c>
      <c r="M922" s="3" t="n">
        <v>0.0647</v>
      </c>
      <c r="N922" s="3" t="n">
        <v>10162.94</v>
      </c>
      <c r="O922" s="3" t="n">
        <v>146915.02</v>
      </c>
      <c r="P922" s="3" t="n">
        <v>106813.01</v>
      </c>
      <c r="Q922" s="3" t="n">
        <v>40102.01</v>
      </c>
      <c r="R922" s="3" t="n">
        <v>0.273</v>
      </c>
      <c r="S922" s="3" t="n">
        <v>0.061</v>
      </c>
      <c r="T922" s="3" t="n">
        <v>0.0037</v>
      </c>
    </row>
    <row r="923" customFormat="false" ht="15" hidden="false" customHeight="true" outlineLevel="0" collapsed="false">
      <c r="A923" s="3" t="s">
        <v>1624</v>
      </c>
      <c r="B923" s="3" t="s">
        <v>1262</v>
      </c>
      <c r="C923" s="3" t="s">
        <v>113</v>
      </c>
      <c r="D923" s="3" t="s">
        <v>38</v>
      </c>
      <c r="E923" s="3" t="s">
        <v>39</v>
      </c>
      <c r="F923" s="3" t="s">
        <v>40</v>
      </c>
      <c r="G923" s="3" t="s">
        <v>55</v>
      </c>
      <c r="H923" s="3" t="s">
        <v>77</v>
      </c>
      <c r="I923" s="3" t="s">
        <v>85</v>
      </c>
      <c r="J923" s="3" t="n">
        <v>14</v>
      </c>
      <c r="K923" s="3" t="n">
        <v>4318.74</v>
      </c>
      <c r="L923" s="3" t="n">
        <v>60462.36</v>
      </c>
      <c r="M923" s="3" t="n">
        <v>0.041</v>
      </c>
      <c r="N923" s="3" t="n">
        <v>2478.96</v>
      </c>
      <c r="O923" s="3" t="n">
        <v>57983.4</v>
      </c>
      <c r="P923" s="3" t="n">
        <v>41114.4</v>
      </c>
      <c r="Q923" s="3" t="n">
        <v>16869</v>
      </c>
      <c r="R923" s="3" t="n">
        <v>0.2909</v>
      </c>
      <c r="S923" s="3" t="n">
        <v>0.0383</v>
      </c>
      <c r="T923" s="3" t="n">
        <v>0.0027</v>
      </c>
    </row>
    <row r="924" customFormat="false" ht="15" hidden="false" customHeight="true" outlineLevel="0" collapsed="false">
      <c r="A924" s="3" t="s">
        <v>1625</v>
      </c>
      <c r="B924" s="3" t="s">
        <v>1626</v>
      </c>
      <c r="C924" s="3" t="s">
        <v>46</v>
      </c>
      <c r="D924" s="3" t="s">
        <v>69</v>
      </c>
      <c r="E924" s="3" t="s">
        <v>39</v>
      </c>
      <c r="F924" s="3" t="s">
        <v>70</v>
      </c>
      <c r="G924" s="3" t="s">
        <v>76</v>
      </c>
      <c r="H924" s="3" t="s">
        <v>77</v>
      </c>
      <c r="I924" s="3" t="s">
        <v>131</v>
      </c>
      <c r="J924" s="3" t="n">
        <v>25</v>
      </c>
      <c r="K924" s="3" t="n">
        <v>3240.11</v>
      </c>
      <c r="L924" s="3" t="n">
        <v>81002.75</v>
      </c>
      <c r="M924" s="3" t="n">
        <v>0.0586</v>
      </c>
      <c r="N924" s="3" t="n">
        <v>4746.76</v>
      </c>
      <c r="O924" s="3" t="n">
        <v>76255.99</v>
      </c>
      <c r="P924" s="3" t="n">
        <v>55081.87</v>
      </c>
      <c r="Q924" s="3" t="n">
        <v>21174.12</v>
      </c>
      <c r="R924" s="3" t="n">
        <v>0.2777</v>
      </c>
      <c r="S924" s="3" t="n">
        <v>0.0513</v>
      </c>
      <c r="T924" s="3" t="n">
        <v>0.0073</v>
      </c>
    </row>
    <row r="925" customFormat="false" ht="15" hidden="false" customHeight="true" outlineLevel="0" collapsed="false">
      <c r="A925" s="3" t="s">
        <v>1627</v>
      </c>
      <c r="B925" s="3" t="s">
        <v>380</v>
      </c>
      <c r="C925" s="3" t="s">
        <v>156</v>
      </c>
      <c r="D925" s="3" t="s">
        <v>61</v>
      </c>
      <c r="E925" s="3" t="s">
        <v>33</v>
      </c>
      <c r="F925" s="3" t="s">
        <v>62</v>
      </c>
      <c r="G925" s="3" t="s">
        <v>76</v>
      </c>
      <c r="H925" s="3" t="s">
        <v>64</v>
      </c>
      <c r="I925" s="3" t="s">
        <v>65</v>
      </c>
      <c r="J925" s="3" t="n">
        <v>23</v>
      </c>
      <c r="K925" s="3" t="n">
        <v>7000.55</v>
      </c>
      <c r="L925" s="3" t="n">
        <v>161012.65</v>
      </c>
      <c r="M925" s="3" t="n">
        <v>0.0415</v>
      </c>
      <c r="N925" s="3" t="n">
        <v>6682.02</v>
      </c>
      <c r="O925" s="3" t="n">
        <v>154330.63</v>
      </c>
      <c r="P925" s="3" t="n">
        <v>93387.34</v>
      </c>
      <c r="Q925" s="3" t="n">
        <v>60943.29</v>
      </c>
      <c r="R925" s="3" t="n">
        <v>0.3949</v>
      </c>
      <c r="S925" s="3" t="n">
        <v>0.039</v>
      </c>
      <c r="T925" s="3" t="n">
        <v>0.0025</v>
      </c>
    </row>
    <row r="926" customFormat="false" ht="15" hidden="false" customHeight="true" outlineLevel="0" collapsed="false">
      <c r="A926" s="3" t="s">
        <v>1628</v>
      </c>
      <c r="B926" s="3" t="s">
        <v>428</v>
      </c>
      <c r="C926" s="3" t="s">
        <v>68</v>
      </c>
      <c r="D926" s="3" t="s">
        <v>38</v>
      </c>
      <c r="E926" s="3" t="s">
        <v>39</v>
      </c>
      <c r="F926" s="3" t="s">
        <v>40</v>
      </c>
      <c r="G926" s="3" t="s">
        <v>84</v>
      </c>
      <c r="H926" s="3" t="s">
        <v>42</v>
      </c>
      <c r="I926" s="3" t="s">
        <v>134</v>
      </c>
      <c r="J926" s="3" t="n">
        <v>27</v>
      </c>
      <c r="K926" s="3" t="n">
        <v>2136.43</v>
      </c>
      <c r="L926" s="3" t="n">
        <v>57683.61</v>
      </c>
      <c r="M926" s="3" t="n">
        <v>0.0484</v>
      </c>
      <c r="N926" s="3" t="n">
        <v>2791.89</v>
      </c>
      <c r="O926" s="3" t="n">
        <v>54891.72</v>
      </c>
      <c r="P926" s="3" t="n">
        <v>31725.99</v>
      </c>
      <c r="Q926" s="3" t="n">
        <v>23165.73</v>
      </c>
      <c r="R926" s="3" t="n">
        <v>0.422</v>
      </c>
      <c r="S926" s="3" t="n">
        <v>0.0433</v>
      </c>
      <c r="T926" s="3" t="n">
        <v>0.0051</v>
      </c>
    </row>
    <row r="927" customFormat="false" ht="15" hidden="false" customHeight="true" outlineLevel="0" collapsed="false">
      <c r="A927" s="3" t="s">
        <v>1629</v>
      </c>
      <c r="B927" s="3" t="s">
        <v>1212</v>
      </c>
      <c r="C927" s="3" t="s">
        <v>126</v>
      </c>
      <c r="D927" s="3" t="s">
        <v>47</v>
      </c>
      <c r="E927" s="3" t="s">
        <v>48</v>
      </c>
      <c r="F927" s="3" t="s">
        <v>25</v>
      </c>
      <c r="G927" s="3" t="s">
        <v>84</v>
      </c>
      <c r="H927" s="3" t="s">
        <v>27</v>
      </c>
      <c r="I927" s="3" t="s">
        <v>117</v>
      </c>
      <c r="J927" s="3" t="n">
        <v>42</v>
      </c>
      <c r="K927" s="3" t="n">
        <v>15481.29</v>
      </c>
      <c r="L927" s="3" t="n">
        <v>650214.18</v>
      </c>
      <c r="M927" s="3" t="n">
        <v>0.1459</v>
      </c>
      <c r="N927" s="3" t="n">
        <v>94866.25</v>
      </c>
      <c r="O927" s="3" t="n">
        <v>555347.93</v>
      </c>
      <c r="P927" s="3" t="n">
        <v>403132.79</v>
      </c>
      <c r="Q927" s="3" t="n">
        <v>152215.14</v>
      </c>
      <c r="R927" s="3" t="n">
        <v>0.2741</v>
      </c>
      <c r="S927" s="3" t="n">
        <v>0.1536</v>
      </c>
      <c r="T927" s="3" t="n">
        <v>-0.0077</v>
      </c>
    </row>
    <row r="928" customFormat="false" ht="15" hidden="false" customHeight="true" outlineLevel="0" collapsed="false">
      <c r="A928" s="3" t="s">
        <v>1630</v>
      </c>
      <c r="B928" s="3" t="s">
        <v>1631</v>
      </c>
      <c r="C928" s="3" t="s">
        <v>156</v>
      </c>
      <c r="D928" s="3" t="s">
        <v>107</v>
      </c>
      <c r="E928" s="3" t="s">
        <v>33</v>
      </c>
      <c r="F928" s="3" t="s">
        <v>70</v>
      </c>
      <c r="G928" s="3" t="s">
        <v>116</v>
      </c>
      <c r="H928" s="3" t="s">
        <v>56</v>
      </c>
      <c r="I928" s="3" t="s">
        <v>121</v>
      </c>
      <c r="J928" s="3" t="n">
        <v>15</v>
      </c>
      <c r="K928" s="3" t="n">
        <v>14573.97</v>
      </c>
      <c r="L928" s="3" t="n">
        <v>218609.55</v>
      </c>
      <c r="M928" s="3" t="n">
        <v>0.0578</v>
      </c>
      <c r="N928" s="3" t="n">
        <v>12635.63</v>
      </c>
      <c r="O928" s="3" t="n">
        <v>205973.92</v>
      </c>
      <c r="P928" s="3" t="n">
        <v>131165.73</v>
      </c>
      <c r="Q928" s="3" t="n">
        <v>74808.19</v>
      </c>
      <c r="R928" s="3" t="n">
        <v>0.3632</v>
      </c>
      <c r="S928" s="3" t="n">
        <v>0.0557</v>
      </c>
      <c r="T928" s="3" t="n">
        <v>0.0021</v>
      </c>
    </row>
    <row r="929" customFormat="false" ht="15" hidden="false" customHeight="true" outlineLevel="0" collapsed="false">
      <c r="A929" s="3" t="s">
        <v>1632</v>
      </c>
      <c r="B929" s="3" t="s">
        <v>1633</v>
      </c>
      <c r="C929" s="3" t="s">
        <v>126</v>
      </c>
      <c r="D929" s="3" t="s">
        <v>103</v>
      </c>
      <c r="E929" s="3" t="s">
        <v>24</v>
      </c>
      <c r="F929" s="3" t="s">
        <v>62</v>
      </c>
      <c r="G929" s="3" t="s">
        <v>76</v>
      </c>
      <c r="H929" s="3" t="s">
        <v>64</v>
      </c>
      <c r="I929" s="3" t="s">
        <v>145</v>
      </c>
      <c r="J929" s="3" t="n">
        <v>50</v>
      </c>
      <c r="K929" s="3" t="n">
        <v>5724.44</v>
      </c>
      <c r="L929" s="3" t="n">
        <v>286222</v>
      </c>
      <c r="M929" s="3" t="n">
        <v>0.0642</v>
      </c>
      <c r="N929" s="3" t="n">
        <v>18375.45</v>
      </c>
      <c r="O929" s="3" t="n">
        <v>267846.55</v>
      </c>
      <c r="P929" s="3" t="n">
        <v>166008.76</v>
      </c>
      <c r="Q929" s="3" t="n">
        <v>101837.79</v>
      </c>
      <c r="R929" s="3" t="n">
        <v>0.3802</v>
      </c>
      <c r="S929" s="3" t="n">
        <v>0.055</v>
      </c>
      <c r="T929" s="3" t="n">
        <v>0.0092</v>
      </c>
    </row>
    <row r="930" customFormat="false" ht="15" hidden="false" customHeight="true" outlineLevel="0" collapsed="false">
      <c r="A930" s="3" t="s">
        <v>1634</v>
      </c>
      <c r="B930" s="3" t="s">
        <v>1635</v>
      </c>
      <c r="C930" s="3" t="s">
        <v>31</v>
      </c>
      <c r="D930" s="3" t="s">
        <v>38</v>
      </c>
      <c r="E930" s="3" t="s">
        <v>39</v>
      </c>
      <c r="F930" s="3" t="s">
        <v>40</v>
      </c>
      <c r="G930" s="3" t="s">
        <v>104</v>
      </c>
      <c r="H930" s="3" t="s">
        <v>64</v>
      </c>
      <c r="I930" s="3" t="s">
        <v>145</v>
      </c>
      <c r="J930" s="3" t="n">
        <v>19</v>
      </c>
      <c r="K930" s="3" t="n">
        <v>9930.68</v>
      </c>
      <c r="L930" s="3" t="n">
        <v>188682.92</v>
      </c>
      <c r="M930" s="3" t="n">
        <v>0.1224</v>
      </c>
      <c r="N930" s="3" t="n">
        <v>23094.79</v>
      </c>
      <c r="O930" s="3" t="n">
        <v>165588.13</v>
      </c>
      <c r="P930" s="3" t="n">
        <v>109436.09</v>
      </c>
      <c r="Q930" s="3" t="n">
        <v>56152.04</v>
      </c>
      <c r="R930" s="3" t="n">
        <v>0.3391</v>
      </c>
      <c r="S930" s="3" t="n">
        <v>0.1327</v>
      </c>
      <c r="T930" s="3" t="n">
        <v>-0.0103</v>
      </c>
    </row>
    <row r="931" customFormat="false" ht="15" hidden="false" customHeight="true" outlineLevel="0" collapsed="false">
      <c r="A931" s="3" t="s">
        <v>1636</v>
      </c>
      <c r="B931" s="3" t="s">
        <v>1637</v>
      </c>
      <c r="C931" s="3" t="s">
        <v>46</v>
      </c>
      <c r="D931" s="3" t="s">
        <v>38</v>
      </c>
      <c r="E931" s="3" t="s">
        <v>39</v>
      </c>
      <c r="F931" s="3" t="s">
        <v>40</v>
      </c>
      <c r="G931" s="3" t="s">
        <v>71</v>
      </c>
      <c r="H931" s="3" t="s">
        <v>27</v>
      </c>
      <c r="I931" s="3" t="s">
        <v>173</v>
      </c>
      <c r="J931" s="3" t="n">
        <v>49</v>
      </c>
      <c r="K931" s="3" t="n">
        <v>24404.7</v>
      </c>
      <c r="L931" s="3" t="n">
        <v>1195830.3</v>
      </c>
      <c r="M931" s="3" t="n">
        <v>0.0776</v>
      </c>
      <c r="N931" s="3" t="n">
        <v>92796.43</v>
      </c>
      <c r="O931" s="3" t="n">
        <v>1103033.87</v>
      </c>
      <c r="P931" s="3" t="n">
        <v>741414.79</v>
      </c>
      <c r="Q931" s="3" t="n">
        <v>361619.08</v>
      </c>
      <c r="R931" s="3" t="n">
        <v>0.3278</v>
      </c>
      <c r="S931" s="3" t="n">
        <v>0.0674</v>
      </c>
      <c r="T931" s="3" t="n">
        <v>0.0102</v>
      </c>
    </row>
    <row r="932" customFormat="false" ht="15" hidden="false" customHeight="true" outlineLevel="0" collapsed="false">
      <c r="A932" s="3" t="s">
        <v>1638</v>
      </c>
      <c r="B932" s="3" t="s">
        <v>1229</v>
      </c>
      <c r="C932" s="3" t="s">
        <v>93</v>
      </c>
      <c r="D932" s="3" t="s">
        <v>97</v>
      </c>
      <c r="E932" s="3" t="s">
        <v>48</v>
      </c>
      <c r="F932" s="3" t="s">
        <v>40</v>
      </c>
      <c r="G932" s="3" t="s">
        <v>34</v>
      </c>
      <c r="H932" s="3" t="s">
        <v>64</v>
      </c>
      <c r="I932" s="3" t="s">
        <v>90</v>
      </c>
      <c r="J932" s="3" t="n">
        <v>36</v>
      </c>
      <c r="K932" s="3" t="n">
        <v>7642.43</v>
      </c>
      <c r="L932" s="3" t="n">
        <v>275127.48</v>
      </c>
      <c r="M932" s="3" t="n">
        <v>0.1168</v>
      </c>
      <c r="N932" s="3" t="n">
        <v>32134.89</v>
      </c>
      <c r="O932" s="3" t="n">
        <v>242992.59</v>
      </c>
      <c r="P932" s="3" t="n">
        <v>159573.94</v>
      </c>
      <c r="Q932" s="3" t="n">
        <v>83418.65</v>
      </c>
      <c r="R932" s="3" t="n">
        <v>0.3433</v>
      </c>
      <c r="S932" s="3" t="n">
        <v>0.1054</v>
      </c>
      <c r="T932" s="3" t="n">
        <v>0.0114</v>
      </c>
    </row>
    <row r="933" customFormat="false" ht="15" hidden="false" customHeight="true" outlineLevel="0" collapsed="false">
      <c r="A933" s="3" t="s">
        <v>1639</v>
      </c>
      <c r="B933" s="3" t="s">
        <v>1640</v>
      </c>
      <c r="C933" s="3" t="s">
        <v>31</v>
      </c>
      <c r="D933" s="3" t="s">
        <v>61</v>
      </c>
      <c r="E933" s="3" t="s">
        <v>33</v>
      </c>
      <c r="F933" s="3" t="s">
        <v>62</v>
      </c>
      <c r="G933" s="3" t="s">
        <v>63</v>
      </c>
      <c r="H933" s="3" t="s">
        <v>42</v>
      </c>
      <c r="I933" s="3" t="s">
        <v>43</v>
      </c>
      <c r="J933" s="3" t="n">
        <v>45</v>
      </c>
      <c r="K933" s="3" t="n">
        <v>3195.46</v>
      </c>
      <c r="L933" s="3" t="n">
        <v>143795.7</v>
      </c>
      <c r="M933" s="3" t="n">
        <v>0.0509</v>
      </c>
      <c r="N933" s="3" t="n">
        <v>7319.2</v>
      </c>
      <c r="O933" s="3" t="n">
        <v>136476.5</v>
      </c>
      <c r="P933" s="3" t="n">
        <v>79087.64</v>
      </c>
      <c r="Q933" s="3" t="n">
        <v>57388.86</v>
      </c>
      <c r="R933" s="3" t="n">
        <v>0.4205</v>
      </c>
      <c r="S933" s="3" t="n">
        <v>0.0476</v>
      </c>
      <c r="T933" s="3" t="n">
        <v>0.0033</v>
      </c>
    </row>
    <row r="934" customFormat="false" ht="15" hidden="false" customHeight="true" outlineLevel="0" collapsed="false">
      <c r="A934" s="3" t="s">
        <v>1641</v>
      </c>
      <c r="B934" s="3" t="s">
        <v>1642</v>
      </c>
      <c r="C934" s="3" t="s">
        <v>68</v>
      </c>
      <c r="D934" s="3" t="s">
        <v>107</v>
      </c>
      <c r="E934" s="3" t="s">
        <v>33</v>
      </c>
      <c r="F934" s="3" t="s">
        <v>70</v>
      </c>
      <c r="G934" s="3" t="s">
        <v>41</v>
      </c>
      <c r="H934" s="3" t="s">
        <v>27</v>
      </c>
      <c r="I934" s="3" t="s">
        <v>50</v>
      </c>
      <c r="J934" s="3" t="n">
        <v>9</v>
      </c>
      <c r="K934" s="3" t="n">
        <v>26480.27</v>
      </c>
      <c r="L934" s="3" t="n">
        <v>238322.43</v>
      </c>
      <c r="M934" s="3" t="n">
        <v>0.0948</v>
      </c>
      <c r="N934" s="3" t="n">
        <v>22592.97</v>
      </c>
      <c r="O934" s="3" t="n">
        <v>215729.46</v>
      </c>
      <c r="P934" s="3" t="n">
        <v>147759.91</v>
      </c>
      <c r="Q934" s="3" t="n">
        <v>67969.55</v>
      </c>
      <c r="R934" s="3" t="n">
        <v>0.3151</v>
      </c>
      <c r="S934" s="3" t="n">
        <v>0.0989</v>
      </c>
      <c r="T934" s="3" t="n">
        <v>-0.0041</v>
      </c>
    </row>
    <row r="935" customFormat="false" ht="15" hidden="false" customHeight="true" outlineLevel="0" collapsed="false">
      <c r="A935" s="3" t="s">
        <v>1643</v>
      </c>
      <c r="B935" s="3" t="s">
        <v>149</v>
      </c>
      <c r="C935" s="3" t="s">
        <v>126</v>
      </c>
      <c r="D935" s="3" t="s">
        <v>103</v>
      </c>
      <c r="E935" s="3" t="s">
        <v>24</v>
      </c>
      <c r="F935" s="3" t="s">
        <v>62</v>
      </c>
      <c r="G935" s="3" t="s">
        <v>63</v>
      </c>
      <c r="H935" s="3" t="s">
        <v>42</v>
      </c>
      <c r="I935" s="3" t="s">
        <v>43</v>
      </c>
      <c r="J935" s="3" t="n">
        <v>49</v>
      </c>
      <c r="K935" s="3" t="n">
        <v>1990.02</v>
      </c>
      <c r="L935" s="3" t="n">
        <v>97510.98</v>
      </c>
      <c r="M935" s="3" t="n">
        <v>0.0502</v>
      </c>
      <c r="N935" s="3" t="n">
        <v>4895.05</v>
      </c>
      <c r="O935" s="3" t="n">
        <v>92615.93</v>
      </c>
      <c r="P935" s="3" t="n">
        <v>53631.04</v>
      </c>
      <c r="Q935" s="3" t="n">
        <v>38984.89</v>
      </c>
      <c r="R935" s="3" t="n">
        <v>0.4209</v>
      </c>
      <c r="S935" s="3" t="n">
        <v>0.045</v>
      </c>
      <c r="T935" s="3" t="n">
        <v>0.0052</v>
      </c>
    </row>
    <row r="936" customFormat="false" ht="15" hidden="false" customHeight="true" outlineLevel="0" collapsed="false">
      <c r="A936" s="3" t="s">
        <v>1644</v>
      </c>
      <c r="B936" s="3" t="s">
        <v>1645</v>
      </c>
      <c r="C936" s="3" t="s">
        <v>46</v>
      </c>
      <c r="D936" s="3" t="s">
        <v>32</v>
      </c>
      <c r="E936" s="3" t="s">
        <v>33</v>
      </c>
      <c r="F936" s="3" t="s">
        <v>25</v>
      </c>
      <c r="G936" s="3" t="s">
        <v>41</v>
      </c>
      <c r="H936" s="3" t="s">
        <v>56</v>
      </c>
      <c r="I936" s="3" t="s">
        <v>188</v>
      </c>
      <c r="J936" s="3" t="n">
        <v>22</v>
      </c>
      <c r="K936" s="3" t="n">
        <v>4459.06</v>
      </c>
      <c r="L936" s="3" t="n">
        <v>98099.32</v>
      </c>
      <c r="M936" s="3" t="n">
        <v>0.2189</v>
      </c>
      <c r="N936" s="3" t="n">
        <v>21473.94</v>
      </c>
      <c r="O936" s="3" t="n">
        <v>76625.38</v>
      </c>
      <c r="P936" s="3" t="n">
        <v>58859.59</v>
      </c>
      <c r="Q936" s="3" t="n">
        <v>17765.79</v>
      </c>
      <c r="R936" s="3" t="n">
        <v>0.2319</v>
      </c>
      <c r="S936" s="3" t="n">
        <v>0.2395</v>
      </c>
      <c r="T936" s="3" t="n">
        <v>-0.0206</v>
      </c>
    </row>
    <row r="937" customFormat="false" ht="15" hidden="false" customHeight="true" outlineLevel="0" collapsed="false">
      <c r="A937" s="3" t="s">
        <v>1646</v>
      </c>
      <c r="B937" s="3" t="s">
        <v>1647</v>
      </c>
      <c r="C937" s="3" t="s">
        <v>93</v>
      </c>
      <c r="D937" s="3" t="s">
        <v>69</v>
      </c>
      <c r="E937" s="3" t="s">
        <v>39</v>
      </c>
      <c r="F937" s="3" t="s">
        <v>70</v>
      </c>
      <c r="G937" s="3" t="s">
        <v>100</v>
      </c>
      <c r="H937" s="3" t="s">
        <v>77</v>
      </c>
      <c r="I937" s="3" t="s">
        <v>131</v>
      </c>
      <c r="J937" s="3" t="n">
        <v>31</v>
      </c>
      <c r="K937" s="3" t="n">
        <v>3054.88</v>
      </c>
      <c r="L937" s="3" t="n">
        <v>94701.28</v>
      </c>
      <c r="M937" s="3" t="n">
        <v>0.0354</v>
      </c>
      <c r="N937" s="3" t="n">
        <v>3352.43</v>
      </c>
      <c r="O937" s="3" t="n">
        <v>91348.85</v>
      </c>
      <c r="P937" s="3" t="n">
        <v>64396.87</v>
      </c>
      <c r="Q937" s="3" t="n">
        <v>26951.98</v>
      </c>
      <c r="R937" s="3" t="n">
        <v>0.295</v>
      </c>
      <c r="S937" s="3" t="n">
        <v>0.0351</v>
      </c>
      <c r="T937" s="3" t="n">
        <v>0.0003</v>
      </c>
    </row>
    <row r="938" customFormat="false" ht="15" hidden="false" customHeight="true" outlineLevel="0" collapsed="false">
      <c r="A938" s="3" t="s">
        <v>1648</v>
      </c>
      <c r="B938" s="3" t="s">
        <v>99</v>
      </c>
      <c r="C938" s="3" t="s">
        <v>93</v>
      </c>
      <c r="D938" s="3" t="s">
        <v>54</v>
      </c>
      <c r="E938" s="3" t="s">
        <v>24</v>
      </c>
      <c r="F938" s="3" t="s">
        <v>40</v>
      </c>
      <c r="G938" s="3" t="s">
        <v>116</v>
      </c>
      <c r="H938" s="3" t="s">
        <v>27</v>
      </c>
      <c r="I938" s="3" t="s">
        <v>117</v>
      </c>
      <c r="J938" s="3" t="n">
        <v>12</v>
      </c>
      <c r="K938" s="3" t="n">
        <v>29596.34</v>
      </c>
      <c r="L938" s="3" t="n">
        <v>355156.08</v>
      </c>
      <c r="M938" s="3" t="n">
        <v>0.0792</v>
      </c>
      <c r="N938" s="3" t="n">
        <v>28128.36</v>
      </c>
      <c r="O938" s="3" t="n">
        <v>327027.72</v>
      </c>
      <c r="P938" s="3" t="n">
        <v>220196.77</v>
      </c>
      <c r="Q938" s="3" t="n">
        <v>106830.95</v>
      </c>
      <c r="R938" s="3" t="n">
        <v>0.3267</v>
      </c>
      <c r="S938" s="3" t="n">
        <v>0.064</v>
      </c>
      <c r="T938" s="3" t="n">
        <v>0.0152</v>
      </c>
    </row>
    <row r="939" customFormat="false" ht="15" hidden="false" customHeight="true" outlineLevel="0" collapsed="false">
      <c r="A939" s="3" t="s">
        <v>1649</v>
      </c>
      <c r="B939" s="3" t="s">
        <v>1247</v>
      </c>
      <c r="C939" s="3" t="s">
        <v>22</v>
      </c>
      <c r="D939" s="3" t="s">
        <v>69</v>
      </c>
      <c r="E939" s="3" t="s">
        <v>39</v>
      </c>
      <c r="F939" s="3" t="s">
        <v>70</v>
      </c>
      <c r="G939" s="3" t="s">
        <v>76</v>
      </c>
      <c r="H939" s="3" t="s">
        <v>27</v>
      </c>
      <c r="I939" s="3" t="s">
        <v>173</v>
      </c>
      <c r="J939" s="3" t="n">
        <v>19</v>
      </c>
      <c r="K939" s="3" t="n">
        <v>14588.55</v>
      </c>
      <c r="L939" s="3" t="n">
        <v>277182.45</v>
      </c>
      <c r="M939" s="3" t="n">
        <v>0.063</v>
      </c>
      <c r="N939" s="3" t="n">
        <v>17462.49</v>
      </c>
      <c r="O939" s="3" t="n">
        <v>259719.96</v>
      </c>
      <c r="P939" s="3" t="n">
        <v>171853.12</v>
      </c>
      <c r="Q939" s="3" t="n">
        <v>87866.84</v>
      </c>
      <c r="R939" s="3" t="n">
        <v>0.3383</v>
      </c>
      <c r="S939" s="3" t="n">
        <v>0.059</v>
      </c>
      <c r="T939" s="3" t="n">
        <v>0.004</v>
      </c>
    </row>
    <row r="940" customFormat="false" ht="15" hidden="false" customHeight="true" outlineLevel="0" collapsed="false">
      <c r="A940" s="3" t="s">
        <v>1650</v>
      </c>
      <c r="B940" s="3" t="s">
        <v>390</v>
      </c>
      <c r="C940" s="3" t="s">
        <v>120</v>
      </c>
      <c r="D940" s="3" t="s">
        <v>103</v>
      </c>
      <c r="E940" s="3" t="s">
        <v>24</v>
      </c>
      <c r="F940" s="3" t="s">
        <v>62</v>
      </c>
      <c r="G940" s="3" t="s">
        <v>41</v>
      </c>
      <c r="H940" s="3" t="s">
        <v>56</v>
      </c>
      <c r="I940" s="3" t="s">
        <v>188</v>
      </c>
      <c r="J940" s="3" t="n">
        <v>27</v>
      </c>
      <c r="K940" s="3" t="n">
        <v>7228.35</v>
      </c>
      <c r="L940" s="3" t="n">
        <v>195165.45</v>
      </c>
      <c r="M940" s="3" t="n">
        <v>0.1091</v>
      </c>
      <c r="N940" s="3" t="n">
        <v>21292.55</v>
      </c>
      <c r="O940" s="3" t="n">
        <v>173872.9</v>
      </c>
      <c r="P940" s="3" t="n">
        <v>117099.27</v>
      </c>
      <c r="Q940" s="3" t="n">
        <v>56773.63</v>
      </c>
      <c r="R940" s="3" t="n">
        <v>0.3265</v>
      </c>
      <c r="S940" s="3" t="n">
        <v>0.1049</v>
      </c>
      <c r="T940" s="3" t="n">
        <v>0.0042</v>
      </c>
    </row>
    <row r="941" customFormat="false" ht="15" hidden="false" customHeight="true" outlineLevel="0" collapsed="false">
      <c r="A941" s="3" t="s">
        <v>1651</v>
      </c>
      <c r="B941" s="3" t="s">
        <v>194</v>
      </c>
      <c r="C941" s="3" t="s">
        <v>93</v>
      </c>
      <c r="D941" s="3" t="s">
        <v>83</v>
      </c>
      <c r="E941" s="3" t="s">
        <v>48</v>
      </c>
      <c r="F941" s="3" t="s">
        <v>62</v>
      </c>
      <c r="G941" s="3" t="s">
        <v>34</v>
      </c>
      <c r="H941" s="3" t="s">
        <v>27</v>
      </c>
      <c r="I941" s="3" t="s">
        <v>173</v>
      </c>
      <c r="J941" s="3" t="n">
        <v>14</v>
      </c>
      <c r="K941" s="3" t="n">
        <v>12157.83</v>
      </c>
      <c r="L941" s="3" t="n">
        <v>170209.62</v>
      </c>
      <c r="M941" s="3" t="n">
        <v>0.0982</v>
      </c>
      <c r="N941" s="3" t="n">
        <v>16714.58</v>
      </c>
      <c r="O941" s="3" t="n">
        <v>153495.04</v>
      </c>
      <c r="P941" s="3" t="n">
        <v>105529.96</v>
      </c>
      <c r="Q941" s="3" t="n">
        <v>47965.08</v>
      </c>
      <c r="R941" s="3" t="n">
        <v>0.3125</v>
      </c>
      <c r="S941" s="3" t="n">
        <v>0.0832</v>
      </c>
      <c r="T941" s="3" t="n">
        <v>0.015</v>
      </c>
    </row>
    <row r="942" customFormat="false" ht="15" hidden="false" customHeight="true" outlineLevel="0" collapsed="false">
      <c r="A942" s="3" t="s">
        <v>1652</v>
      </c>
      <c r="B942" s="3" t="s">
        <v>1653</v>
      </c>
      <c r="C942" s="3" t="s">
        <v>60</v>
      </c>
      <c r="D942" s="3" t="s">
        <v>38</v>
      </c>
      <c r="E942" s="3" t="s">
        <v>39</v>
      </c>
      <c r="F942" s="3" t="s">
        <v>40</v>
      </c>
      <c r="G942" s="3" t="s">
        <v>34</v>
      </c>
      <c r="H942" s="3" t="s">
        <v>42</v>
      </c>
      <c r="I942" s="3" t="s">
        <v>72</v>
      </c>
      <c r="J942" s="3" t="n">
        <v>44</v>
      </c>
      <c r="K942" s="3" t="n">
        <v>2258.66</v>
      </c>
      <c r="L942" s="3" t="n">
        <v>99381.04</v>
      </c>
      <c r="M942" s="3" t="n">
        <v>0.081</v>
      </c>
      <c r="N942" s="3" t="n">
        <v>8049.86</v>
      </c>
      <c r="O942" s="3" t="n">
        <v>91331.18</v>
      </c>
      <c r="P942" s="3" t="n">
        <v>54659.57</v>
      </c>
      <c r="Q942" s="3" t="n">
        <v>36671.61</v>
      </c>
      <c r="R942" s="3" t="n">
        <v>0.4015</v>
      </c>
      <c r="S942" s="3" t="n">
        <v>0.0756</v>
      </c>
      <c r="T942" s="3" t="n">
        <v>0.0054</v>
      </c>
    </row>
    <row r="943" customFormat="false" ht="15" hidden="false" customHeight="true" outlineLevel="0" collapsed="false">
      <c r="A943" s="3" t="s">
        <v>1654</v>
      </c>
      <c r="B943" s="3" t="s">
        <v>1655</v>
      </c>
      <c r="C943" s="3" t="s">
        <v>156</v>
      </c>
      <c r="D943" s="3" t="s">
        <v>47</v>
      </c>
      <c r="E943" s="3" t="s">
        <v>48</v>
      </c>
      <c r="F943" s="3" t="s">
        <v>25</v>
      </c>
      <c r="G943" s="3" t="s">
        <v>100</v>
      </c>
      <c r="H943" s="3" t="s">
        <v>56</v>
      </c>
      <c r="I943" s="3" t="s">
        <v>188</v>
      </c>
      <c r="J943" s="3" t="n">
        <v>37</v>
      </c>
      <c r="K943" s="3" t="n">
        <v>7262.26</v>
      </c>
      <c r="L943" s="3" t="n">
        <v>268703.62</v>
      </c>
      <c r="M943" s="3" t="n">
        <v>0.1508</v>
      </c>
      <c r="N943" s="3" t="n">
        <v>40520.51</v>
      </c>
      <c r="O943" s="3" t="n">
        <v>228183.11</v>
      </c>
      <c r="P943" s="3" t="n">
        <v>161222.17</v>
      </c>
      <c r="Q943" s="3" t="n">
        <v>66960.94</v>
      </c>
      <c r="R943" s="3" t="n">
        <v>0.2935</v>
      </c>
      <c r="S943" s="3" t="n">
        <v>0.154</v>
      </c>
      <c r="T943" s="3" t="n">
        <v>-0.0032</v>
      </c>
    </row>
    <row r="944" customFormat="false" ht="15" hidden="false" customHeight="true" outlineLevel="0" collapsed="false">
      <c r="A944" s="3" t="s">
        <v>1656</v>
      </c>
      <c r="B944" s="3" t="s">
        <v>977</v>
      </c>
      <c r="C944" s="3" t="s">
        <v>60</v>
      </c>
      <c r="D944" s="3" t="s">
        <v>54</v>
      </c>
      <c r="E944" s="3" t="s">
        <v>24</v>
      </c>
      <c r="F944" s="3" t="s">
        <v>40</v>
      </c>
      <c r="G944" s="3" t="s">
        <v>26</v>
      </c>
      <c r="H944" s="3" t="s">
        <v>77</v>
      </c>
      <c r="I944" s="3" t="s">
        <v>78</v>
      </c>
      <c r="J944" s="3" t="n">
        <v>20</v>
      </c>
      <c r="K944" s="3" t="n">
        <v>5244.67</v>
      </c>
      <c r="L944" s="3" t="n">
        <v>104893.4</v>
      </c>
      <c r="M944" s="3" t="n">
        <v>0.0496</v>
      </c>
      <c r="N944" s="3" t="n">
        <v>5202.71</v>
      </c>
      <c r="O944" s="3" t="n">
        <v>99690.69</v>
      </c>
      <c r="P944" s="3" t="n">
        <v>71327.51</v>
      </c>
      <c r="Q944" s="3" t="n">
        <v>28363.18</v>
      </c>
      <c r="R944" s="3" t="n">
        <v>0.2845</v>
      </c>
      <c r="S944" s="3" t="n">
        <v>0.0458</v>
      </c>
      <c r="T944" s="3" t="n">
        <v>0.0038</v>
      </c>
    </row>
    <row r="945" customFormat="false" ht="15" hidden="false" customHeight="true" outlineLevel="0" collapsed="false">
      <c r="A945" s="3" t="s">
        <v>1657</v>
      </c>
      <c r="B945" s="3" t="s">
        <v>469</v>
      </c>
      <c r="C945" s="3" t="s">
        <v>46</v>
      </c>
      <c r="D945" s="3" t="s">
        <v>75</v>
      </c>
      <c r="E945" s="3" t="s">
        <v>39</v>
      </c>
      <c r="F945" s="3" t="s">
        <v>25</v>
      </c>
      <c r="G945" s="3" t="s">
        <v>63</v>
      </c>
      <c r="H945" s="3" t="s">
        <v>56</v>
      </c>
      <c r="I945" s="3" t="s">
        <v>121</v>
      </c>
      <c r="J945" s="3" t="n">
        <v>43</v>
      </c>
      <c r="K945" s="3" t="n">
        <v>9325.25</v>
      </c>
      <c r="L945" s="3" t="n">
        <v>400985.75</v>
      </c>
      <c r="M945" s="3" t="n">
        <v>0.1247</v>
      </c>
      <c r="N945" s="3" t="n">
        <v>50002.92</v>
      </c>
      <c r="O945" s="3" t="n">
        <v>350982.83</v>
      </c>
      <c r="P945" s="3" t="n">
        <v>240591.45</v>
      </c>
      <c r="Q945" s="3" t="n">
        <v>110391.38</v>
      </c>
      <c r="R945" s="3" t="n">
        <v>0.3145</v>
      </c>
      <c r="S945" s="3" t="n">
        <v>0.1259</v>
      </c>
      <c r="T945" s="3" t="n">
        <v>-0.0012</v>
      </c>
    </row>
    <row r="946" customFormat="false" ht="15" hidden="false" customHeight="true" outlineLevel="0" collapsed="false">
      <c r="A946" s="3" t="s">
        <v>1658</v>
      </c>
      <c r="B946" s="3" t="s">
        <v>559</v>
      </c>
      <c r="C946" s="3" t="s">
        <v>113</v>
      </c>
      <c r="D946" s="3" t="s">
        <v>32</v>
      </c>
      <c r="E946" s="3" t="s">
        <v>33</v>
      </c>
      <c r="F946" s="3" t="s">
        <v>25</v>
      </c>
      <c r="G946" s="3" t="s">
        <v>76</v>
      </c>
      <c r="H946" s="3" t="s">
        <v>64</v>
      </c>
      <c r="I946" s="3" t="s">
        <v>108</v>
      </c>
      <c r="J946" s="3" t="n">
        <v>35</v>
      </c>
      <c r="K946" s="3" t="n">
        <v>10943</v>
      </c>
      <c r="L946" s="3" t="n">
        <v>383005</v>
      </c>
      <c r="M946" s="3" t="n">
        <v>0.1579</v>
      </c>
      <c r="N946" s="3" t="n">
        <v>60476.49</v>
      </c>
      <c r="O946" s="3" t="n">
        <v>322528.51</v>
      </c>
      <c r="P946" s="3" t="n">
        <v>222142.9</v>
      </c>
      <c r="Q946" s="3" t="n">
        <v>100385.61</v>
      </c>
      <c r="R946" s="3" t="n">
        <v>0.3112</v>
      </c>
      <c r="S946" s="3" t="n">
        <v>0.1694</v>
      </c>
      <c r="T946" s="3" t="n">
        <v>-0.0115</v>
      </c>
    </row>
    <row r="947" customFormat="false" ht="15" hidden="false" customHeight="true" outlineLevel="0" collapsed="false">
      <c r="A947" s="3" t="s">
        <v>1659</v>
      </c>
      <c r="B947" s="3" t="s">
        <v>1660</v>
      </c>
      <c r="C947" s="3" t="s">
        <v>31</v>
      </c>
      <c r="D947" s="3" t="s">
        <v>47</v>
      </c>
      <c r="E947" s="3" t="s">
        <v>48</v>
      </c>
      <c r="F947" s="3" t="s">
        <v>25</v>
      </c>
      <c r="G947" s="3" t="s">
        <v>49</v>
      </c>
      <c r="H947" s="3" t="s">
        <v>56</v>
      </c>
      <c r="I947" s="3" t="s">
        <v>188</v>
      </c>
      <c r="J947" s="3" t="n">
        <v>7</v>
      </c>
      <c r="K947" s="3" t="n">
        <v>3224.54</v>
      </c>
      <c r="L947" s="3" t="n">
        <v>22571.78</v>
      </c>
      <c r="M947" s="3" t="n">
        <v>0.1576</v>
      </c>
      <c r="N947" s="3" t="n">
        <v>3557.31</v>
      </c>
      <c r="O947" s="3" t="n">
        <v>19014.47</v>
      </c>
      <c r="P947" s="3" t="n">
        <v>13543.07</v>
      </c>
      <c r="Q947" s="3" t="n">
        <v>5471.4</v>
      </c>
      <c r="R947" s="3" t="n">
        <v>0.2877</v>
      </c>
      <c r="S947" s="3" t="n">
        <v>0.1474</v>
      </c>
      <c r="T947" s="3" t="n">
        <v>0.0102</v>
      </c>
    </row>
    <row r="948" customFormat="false" ht="15" hidden="false" customHeight="true" outlineLevel="0" collapsed="false">
      <c r="A948" s="3" t="s">
        <v>1661</v>
      </c>
      <c r="B948" s="3" t="s">
        <v>1662</v>
      </c>
      <c r="C948" s="3" t="s">
        <v>93</v>
      </c>
      <c r="D948" s="3" t="s">
        <v>54</v>
      </c>
      <c r="E948" s="3" t="s">
        <v>24</v>
      </c>
      <c r="F948" s="3" t="s">
        <v>40</v>
      </c>
      <c r="G948" s="3" t="s">
        <v>84</v>
      </c>
      <c r="H948" s="3" t="s">
        <v>64</v>
      </c>
      <c r="I948" s="3" t="s">
        <v>65</v>
      </c>
      <c r="J948" s="3" t="n">
        <v>41</v>
      </c>
      <c r="K948" s="3" t="n">
        <v>3240.46</v>
      </c>
      <c r="L948" s="3" t="n">
        <v>132858.86</v>
      </c>
      <c r="M948" s="3" t="n">
        <v>0.0647</v>
      </c>
      <c r="N948" s="3" t="n">
        <v>8595.97</v>
      </c>
      <c r="O948" s="3" t="n">
        <v>124262.89</v>
      </c>
      <c r="P948" s="3" t="n">
        <v>77058.14</v>
      </c>
      <c r="Q948" s="3" t="n">
        <v>47204.75</v>
      </c>
      <c r="R948" s="3" t="n">
        <v>0.3799</v>
      </c>
      <c r="S948" s="3" t="n">
        <v>0.0592</v>
      </c>
      <c r="T948" s="3" t="n">
        <v>0.0055</v>
      </c>
    </row>
    <row r="949" customFormat="false" ht="15" hidden="false" customHeight="true" outlineLevel="0" collapsed="false">
      <c r="A949" s="3" t="s">
        <v>1663</v>
      </c>
      <c r="B949" s="3" t="s">
        <v>1664</v>
      </c>
      <c r="C949" s="3" t="s">
        <v>60</v>
      </c>
      <c r="D949" s="3" t="s">
        <v>97</v>
      </c>
      <c r="E949" s="3" t="s">
        <v>48</v>
      </c>
      <c r="F949" s="3" t="s">
        <v>40</v>
      </c>
      <c r="G949" s="3" t="s">
        <v>63</v>
      </c>
      <c r="H949" s="3" t="s">
        <v>77</v>
      </c>
      <c r="I949" s="3" t="s">
        <v>131</v>
      </c>
      <c r="J949" s="3" t="n">
        <v>17</v>
      </c>
      <c r="K949" s="3" t="n">
        <v>1381.32</v>
      </c>
      <c r="L949" s="3" t="n">
        <v>23482.44</v>
      </c>
      <c r="M949" s="3" t="n">
        <v>0.0357</v>
      </c>
      <c r="N949" s="3" t="n">
        <v>838.32</v>
      </c>
      <c r="O949" s="3" t="n">
        <v>22644.12</v>
      </c>
      <c r="P949" s="3" t="n">
        <v>15968.06</v>
      </c>
      <c r="Q949" s="3" t="n">
        <v>6676.06</v>
      </c>
      <c r="R949" s="3" t="n">
        <v>0.2948</v>
      </c>
      <c r="S949" s="3" t="n">
        <v>0.0321</v>
      </c>
      <c r="T949" s="3" t="n">
        <v>0.0036</v>
      </c>
    </row>
    <row r="950" customFormat="false" ht="15" hidden="false" customHeight="true" outlineLevel="0" collapsed="false">
      <c r="A950" s="3" t="s">
        <v>1665</v>
      </c>
      <c r="B950" s="3" t="s">
        <v>260</v>
      </c>
      <c r="C950" s="3" t="s">
        <v>31</v>
      </c>
      <c r="D950" s="3" t="s">
        <v>97</v>
      </c>
      <c r="E950" s="3" t="s">
        <v>48</v>
      </c>
      <c r="F950" s="3" t="s">
        <v>40</v>
      </c>
      <c r="G950" s="3" t="s">
        <v>84</v>
      </c>
      <c r="H950" s="3" t="s">
        <v>77</v>
      </c>
      <c r="I950" s="3" t="s">
        <v>78</v>
      </c>
      <c r="J950" s="3" t="n">
        <v>36</v>
      </c>
      <c r="K950" s="3" t="n">
        <v>1527.54</v>
      </c>
      <c r="L950" s="3" t="n">
        <v>54991.44</v>
      </c>
      <c r="M950" s="3" t="n">
        <v>0.0629</v>
      </c>
      <c r="N950" s="3" t="n">
        <v>3458.96</v>
      </c>
      <c r="O950" s="3" t="n">
        <v>51532.48</v>
      </c>
      <c r="P950" s="3" t="n">
        <v>37394.18</v>
      </c>
      <c r="Q950" s="3" t="n">
        <v>14138.3</v>
      </c>
      <c r="R950" s="3" t="n">
        <v>0.2744</v>
      </c>
      <c r="S950" s="3" t="n">
        <v>0.0529</v>
      </c>
      <c r="T950" s="3" t="n">
        <v>0.01</v>
      </c>
    </row>
    <row r="951" customFormat="false" ht="15" hidden="false" customHeight="true" outlineLevel="0" collapsed="false">
      <c r="A951" s="3" t="s">
        <v>1666</v>
      </c>
      <c r="B951" s="3" t="s">
        <v>1645</v>
      </c>
      <c r="C951" s="3" t="s">
        <v>46</v>
      </c>
      <c r="D951" s="3" t="s">
        <v>54</v>
      </c>
      <c r="E951" s="3" t="s">
        <v>24</v>
      </c>
      <c r="F951" s="3" t="s">
        <v>40</v>
      </c>
      <c r="G951" s="3" t="s">
        <v>104</v>
      </c>
      <c r="H951" s="3" t="s">
        <v>64</v>
      </c>
      <c r="I951" s="3" t="s">
        <v>108</v>
      </c>
      <c r="J951" s="3" t="n">
        <v>12</v>
      </c>
      <c r="K951" s="3" t="n">
        <v>8462.9</v>
      </c>
      <c r="L951" s="3" t="n">
        <v>101554.8</v>
      </c>
      <c r="M951" s="3" t="n">
        <v>0.0861</v>
      </c>
      <c r="N951" s="3" t="n">
        <v>8743.87</v>
      </c>
      <c r="O951" s="3" t="n">
        <v>92810.93</v>
      </c>
      <c r="P951" s="3" t="n">
        <v>58901.78</v>
      </c>
      <c r="Q951" s="3" t="n">
        <v>33909.15</v>
      </c>
      <c r="R951" s="3" t="n">
        <v>0.3654</v>
      </c>
      <c r="S951" s="3" t="n">
        <v>0.0732</v>
      </c>
      <c r="T951" s="3" t="n">
        <v>0.0129</v>
      </c>
    </row>
    <row r="952" customFormat="false" ht="15" hidden="false" customHeight="true" outlineLevel="0" collapsed="false">
      <c r="A952" s="3" t="s">
        <v>1667</v>
      </c>
      <c r="B952" s="3" t="s">
        <v>1063</v>
      </c>
      <c r="C952" s="3" t="s">
        <v>113</v>
      </c>
      <c r="D952" s="3" t="s">
        <v>23</v>
      </c>
      <c r="E952" s="3" t="s">
        <v>24</v>
      </c>
      <c r="F952" s="3" t="s">
        <v>25</v>
      </c>
      <c r="G952" s="3" t="s">
        <v>41</v>
      </c>
      <c r="H952" s="3" t="s">
        <v>27</v>
      </c>
      <c r="I952" s="3" t="s">
        <v>50</v>
      </c>
      <c r="J952" s="3" t="n">
        <v>12</v>
      </c>
      <c r="K952" s="3" t="n">
        <v>22101.06</v>
      </c>
      <c r="L952" s="3" t="n">
        <v>265212.72</v>
      </c>
      <c r="M952" s="3" t="n">
        <v>0.1306</v>
      </c>
      <c r="N952" s="3" t="n">
        <v>34636.78</v>
      </c>
      <c r="O952" s="3" t="n">
        <v>230575.94</v>
      </c>
      <c r="P952" s="3" t="n">
        <v>164431.89</v>
      </c>
      <c r="Q952" s="3" t="n">
        <v>66144.05</v>
      </c>
      <c r="R952" s="3" t="n">
        <v>0.2869</v>
      </c>
      <c r="S952" s="3" t="n">
        <v>0.1218</v>
      </c>
      <c r="T952" s="3" t="n">
        <v>0.0088</v>
      </c>
    </row>
    <row r="953" customFormat="false" ht="15" hidden="false" customHeight="true" outlineLevel="0" collapsed="false">
      <c r="A953" s="3" t="s">
        <v>1668</v>
      </c>
      <c r="B953" s="3" t="s">
        <v>1669</v>
      </c>
      <c r="C953" s="3" t="s">
        <v>22</v>
      </c>
      <c r="D953" s="3" t="s">
        <v>32</v>
      </c>
      <c r="E953" s="3" t="s">
        <v>33</v>
      </c>
      <c r="F953" s="3" t="s">
        <v>25</v>
      </c>
      <c r="G953" s="3" t="s">
        <v>71</v>
      </c>
      <c r="H953" s="3" t="s">
        <v>56</v>
      </c>
      <c r="I953" s="3" t="s">
        <v>121</v>
      </c>
      <c r="J953" s="3" t="n">
        <v>7</v>
      </c>
      <c r="K953" s="3" t="n">
        <v>13462.57</v>
      </c>
      <c r="L953" s="3" t="n">
        <v>94237.99</v>
      </c>
      <c r="M953" s="3" t="n">
        <v>0.1142</v>
      </c>
      <c r="N953" s="3" t="n">
        <v>10761.98</v>
      </c>
      <c r="O953" s="3" t="n">
        <v>83476.01</v>
      </c>
      <c r="P953" s="3" t="n">
        <v>56542.79</v>
      </c>
      <c r="Q953" s="3" t="n">
        <v>26933.22</v>
      </c>
      <c r="R953" s="3" t="n">
        <v>0.3226</v>
      </c>
      <c r="S953" s="3" t="n">
        <v>0.1119</v>
      </c>
      <c r="T953" s="3" t="n">
        <v>0.0023</v>
      </c>
    </row>
    <row r="954" customFormat="false" ht="15" hidden="false" customHeight="true" outlineLevel="0" collapsed="false">
      <c r="A954" s="3" t="s">
        <v>1670</v>
      </c>
      <c r="B954" s="3" t="s">
        <v>1671</v>
      </c>
      <c r="C954" s="3" t="s">
        <v>156</v>
      </c>
      <c r="D954" s="3" t="s">
        <v>32</v>
      </c>
      <c r="E954" s="3" t="s">
        <v>33</v>
      </c>
      <c r="F954" s="3" t="s">
        <v>25</v>
      </c>
      <c r="G954" s="3" t="s">
        <v>34</v>
      </c>
      <c r="H954" s="3" t="s">
        <v>77</v>
      </c>
      <c r="I954" s="3" t="s">
        <v>131</v>
      </c>
      <c r="J954" s="3" t="n">
        <v>16</v>
      </c>
      <c r="K954" s="3" t="n">
        <v>2998.29</v>
      </c>
      <c r="L954" s="3" t="n">
        <v>47972.64</v>
      </c>
      <c r="M954" s="3" t="n">
        <v>0.1024</v>
      </c>
      <c r="N954" s="3" t="n">
        <v>4912.4</v>
      </c>
      <c r="O954" s="3" t="n">
        <v>43060.24</v>
      </c>
      <c r="P954" s="3" t="n">
        <v>32621.4</v>
      </c>
      <c r="Q954" s="3" t="n">
        <v>10438.84</v>
      </c>
      <c r="R954" s="3" t="n">
        <v>0.2424</v>
      </c>
      <c r="S954" s="3" t="n">
        <v>0.0923</v>
      </c>
      <c r="T954" s="3" t="n">
        <v>0.0101</v>
      </c>
    </row>
    <row r="955" customFormat="false" ht="15" hidden="false" customHeight="true" outlineLevel="0" collapsed="false">
      <c r="A955" s="3" t="s">
        <v>1672</v>
      </c>
      <c r="B955" s="3" t="s">
        <v>639</v>
      </c>
      <c r="C955" s="3" t="s">
        <v>31</v>
      </c>
      <c r="D955" s="3" t="s">
        <v>69</v>
      </c>
      <c r="E955" s="3" t="s">
        <v>39</v>
      </c>
      <c r="F955" s="3" t="s">
        <v>70</v>
      </c>
      <c r="G955" s="3" t="s">
        <v>116</v>
      </c>
      <c r="H955" s="3" t="s">
        <v>27</v>
      </c>
      <c r="I955" s="3" t="s">
        <v>117</v>
      </c>
      <c r="J955" s="3" t="n">
        <v>43</v>
      </c>
      <c r="K955" s="3" t="n">
        <v>33501.57</v>
      </c>
      <c r="L955" s="3" t="n">
        <v>1440567.51</v>
      </c>
      <c r="M955" s="3" t="n">
        <v>0.0651</v>
      </c>
      <c r="N955" s="3" t="n">
        <v>93780.94</v>
      </c>
      <c r="O955" s="3" t="n">
        <v>1346786.57</v>
      </c>
      <c r="P955" s="3" t="n">
        <v>893151.86</v>
      </c>
      <c r="Q955" s="3" t="n">
        <v>453634.71</v>
      </c>
      <c r="R955" s="3" t="n">
        <v>0.3368</v>
      </c>
      <c r="S955" s="3" t="n">
        <v>0.0621</v>
      </c>
      <c r="T955" s="3" t="n">
        <v>0.003</v>
      </c>
    </row>
    <row r="956" customFormat="false" ht="15" hidden="false" customHeight="true" outlineLevel="0" collapsed="false">
      <c r="A956" s="3" t="s">
        <v>1673</v>
      </c>
      <c r="B956" s="3" t="s">
        <v>1674</v>
      </c>
      <c r="C956" s="3" t="s">
        <v>46</v>
      </c>
      <c r="D956" s="3" t="s">
        <v>103</v>
      </c>
      <c r="E956" s="3" t="s">
        <v>24</v>
      </c>
      <c r="F956" s="3" t="s">
        <v>62</v>
      </c>
      <c r="G956" s="3" t="s">
        <v>71</v>
      </c>
      <c r="H956" s="3" t="s">
        <v>42</v>
      </c>
      <c r="I956" s="3" t="s">
        <v>72</v>
      </c>
      <c r="J956" s="3" t="n">
        <v>14</v>
      </c>
      <c r="K956" s="3" t="n">
        <v>1163.42</v>
      </c>
      <c r="L956" s="3" t="n">
        <v>16287.88</v>
      </c>
      <c r="M956" s="3" t="n">
        <v>0.0767</v>
      </c>
      <c r="N956" s="3" t="n">
        <v>1249.28</v>
      </c>
      <c r="O956" s="3" t="n">
        <v>15038.6</v>
      </c>
      <c r="P956" s="3" t="n">
        <v>8958.33</v>
      </c>
      <c r="Q956" s="3" t="n">
        <v>6080.27</v>
      </c>
      <c r="R956" s="3" t="n">
        <v>0.4043</v>
      </c>
      <c r="S956" s="3" t="n">
        <v>0.083</v>
      </c>
      <c r="T956" s="3" t="n">
        <v>-0.0063</v>
      </c>
    </row>
    <row r="957" customFormat="false" ht="15" hidden="false" customHeight="true" outlineLevel="0" collapsed="false">
      <c r="A957" s="3" t="s">
        <v>1675</v>
      </c>
      <c r="B957" s="3" t="s">
        <v>678</v>
      </c>
      <c r="C957" s="3" t="s">
        <v>156</v>
      </c>
      <c r="D957" s="3" t="s">
        <v>61</v>
      </c>
      <c r="E957" s="3" t="s">
        <v>33</v>
      </c>
      <c r="F957" s="3" t="s">
        <v>62</v>
      </c>
      <c r="G957" s="3" t="s">
        <v>116</v>
      </c>
      <c r="H957" s="3" t="s">
        <v>64</v>
      </c>
      <c r="I957" s="3" t="s">
        <v>108</v>
      </c>
      <c r="J957" s="3" t="n">
        <v>12</v>
      </c>
      <c r="K957" s="3" t="n">
        <v>6209.19</v>
      </c>
      <c r="L957" s="3" t="n">
        <v>74510.28</v>
      </c>
      <c r="M957" s="3" t="n">
        <v>0.0769</v>
      </c>
      <c r="N957" s="3" t="n">
        <v>5729.84</v>
      </c>
      <c r="O957" s="3" t="n">
        <v>68780.44</v>
      </c>
      <c r="P957" s="3" t="n">
        <v>43215.96</v>
      </c>
      <c r="Q957" s="3" t="n">
        <v>25564.48</v>
      </c>
      <c r="R957" s="3" t="n">
        <v>0.3717</v>
      </c>
      <c r="S957" s="3" t="n">
        <v>0.0705</v>
      </c>
      <c r="T957" s="3" t="n">
        <v>0.0064</v>
      </c>
    </row>
    <row r="958" customFormat="false" ht="15" hidden="false" customHeight="true" outlineLevel="0" collapsed="false">
      <c r="A958" s="3" t="s">
        <v>1676</v>
      </c>
      <c r="B958" s="3" t="s">
        <v>1677</v>
      </c>
      <c r="C958" s="3" t="s">
        <v>156</v>
      </c>
      <c r="D958" s="3" t="s">
        <v>83</v>
      </c>
      <c r="E958" s="3" t="s">
        <v>48</v>
      </c>
      <c r="F958" s="3" t="s">
        <v>62</v>
      </c>
      <c r="G958" s="3" t="s">
        <v>71</v>
      </c>
      <c r="H958" s="3" t="s">
        <v>64</v>
      </c>
      <c r="I958" s="3" t="s">
        <v>65</v>
      </c>
      <c r="J958" s="3" t="n">
        <v>42</v>
      </c>
      <c r="K958" s="3" t="n">
        <v>10335.76</v>
      </c>
      <c r="L958" s="3" t="n">
        <v>434101.92</v>
      </c>
      <c r="M958" s="3" t="n">
        <v>0.0612</v>
      </c>
      <c r="N958" s="3" t="n">
        <v>26567.04</v>
      </c>
      <c r="O958" s="3" t="n">
        <v>407534.88</v>
      </c>
      <c r="P958" s="3" t="n">
        <v>251779.11</v>
      </c>
      <c r="Q958" s="3" t="n">
        <v>155755.77</v>
      </c>
      <c r="R958" s="3" t="n">
        <v>0.3822</v>
      </c>
      <c r="S958" s="3" t="n">
        <v>0.0502</v>
      </c>
      <c r="T958" s="3" t="n">
        <v>0.011</v>
      </c>
    </row>
    <row r="959" customFormat="false" ht="15" hidden="false" customHeight="true" outlineLevel="0" collapsed="false">
      <c r="A959" s="3" t="s">
        <v>1678</v>
      </c>
      <c r="B959" s="3" t="s">
        <v>1679</v>
      </c>
      <c r="C959" s="3" t="s">
        <v>60</v>
      </c>
      <c r="D959" s="3" t="s">
        <v>69</v>
      </c>
      <c r="E959" s="3" t="s">
        <v>39</v>
      </c>
      <c r="F959" s="3" t="s">
        <v>70</v>
      </c>
      <c r="G959" s="3" t="s">
        <v>55</v>
      </c>
      <c r="H959" s="3" t="s">
        <v>77</v>
      </c>
      <c r="I959" s="3" t="s">
        <v>78</v>
      </c>
      <c r="J959" s="3" t="n">
        <v>7</v>
      </c>
      <c r="K959" s="3" t="n">
        <v>3597.96</v>
      </c>
      <c r="L959" s="3" t="n">
        <v>25185.72</v>
      </c>
      <c r="M959" s="3" t="n">
        <v>0.0656</v>
      </c>
      <c r="N959" s="3" t="n">
        <v>1652.18</v>
      </c>
      <c r="O959" s="3" t="n">
        <v>23533.54</v>
      </c>
      <c r="P959" s="3" t="n">
        <v>17126.29</v>
      </c>
      <c r="Q959" s="3" t="n">
        <v>6407.25</v>
      </c>
      <c r="R959" s="3" t="n">
        <v>0.2723</v>
      </c>
      <c r="S959" s="3" t="n">
        <v>0.0575</v>
      </c>
      <c r="T959" s="3" t="n">
        <v>0.0081</v>
      </c>
    </row>
    <row r="960" customFormat="false" ht="15" hidden="false" customHeight="true" outlineLevel="0" collapsed="false">
      <c r="A960" s="3" t="s">
        <v>1680</v>
      </c>
      <c r="B960" s="3" t="s">
        <v>1439</v>
      </c>
      <c r="C960" s="3" t="s">
        <v>120</v>
      </c>
      <c r="D960" s="3" t="s">
        <v>61</v>
      </c>
      <c r="E960" s="3" t="s">
        <v>33</v>
      </c>
      <c r="F960" s="3" t="s">
        <v>62</v>
      </c>
      <c r="G960" s="3" t="s">
        <v>71</v>
      </c>
      <c r="H960" s="3" t="s">
        <v>56</v>
      </c>
      <c r="I960" s="3" t="s">
        <v>57</v>
      </c>
      <c r="J960" s="3" t="n">
        <v>44</v>
      </c>
      <c r="K960" s="3" t="n">
        <v>13141.05</v>
      </c>
      <c r="L960" s="3" t="n">
        <v>578206.2</v>
      </c>
      <c r="M960" s="3" t="n">
        <v>0.0762</v>
      </c>
      <c r="N960" s="3" t="n">
        <v>44059.31</v>
      </c>
      <c r="O960" s="3" t="n">
        <v>534146.89</v>
      </c>
      <c r="P960" s="3" t="n">
        <v>346923.72</v>
      </c>
      <c r="Q960" s="3" t="n">
        <v>187223.17</v>
      </c>
      <c r="R960" s="3" t="n">
        <v>0.3505</v>
      </c>
      <c r="S960" s="3" t="n">
        <v>0.0686</v>
      </c>
      <c r="T960" s="3" t="n">
        <v>0.0076</v>
      </c>
    </row>
    <row r="961" customFormat="false" ht="15" hidden="false" customHeight="true" outlineLevel="0" collapsed="false">
      <c r="A961" s="3" t="s">
        <v>1681</v>
      </c>
      <c r="B961" s="3" t="s">
        <v>1682</v>
      </c>
      <c r="C961" s="3" t="s">
        <v>46</v>
      </c>
      <c r="D961" s="3" t="s">
        <v>23</v>
      </c>
      <c r="E961" s="3" t="s">
        <v>24</v>
      </c>
      <c r="F961" s="3" t="s">
        <v>25</v>
      </c>
      <c r="G961" s="3" t="s">
        <v>84</v>
      </c>
      <c r="H961" s="3" t="s">
        <v>42</v>
      </c>
      <c r="I961" s="3" t="s">
        <v>72</v>
      </c>
      <c r="J961" s="3" t="n">
        <v>2</v>
      </c>
      <c r="K961" s="3" t="n">
        <v>736.3</v>
      </c>
      <c r="L961" s="3" t="n">
        <v>1472.6</v>
      </c>
      <c r="M961" s="3" t="n">
        <v>0.1472</v>
      </c>
      <c r="N961" s="3" t="n">
        <v>216.77</v>
      </c>
      <c r="O961" s="3" t="n">
        <v>1255.83</v>
      </c>
      <c r="P961" s="3" t="n">
        <v>809.93</v>
      </c>
      <c r="Q961" s="3" t="n">
        <v>445.9</v>
      </c>
      <c r="R961" s="3" t="n">
        <v>0.3551</v>
      </c>
      <c r="S961" s="3" t="n">
        <v>0.1404</v>
      </c>
      <c r="T961" s="3" t="n">
        <v>0.0068</v>
      </c>
    </row>
    <row r="962" customFormat="false" ht="15" hidden="false" customHeight="true" outlineLevel="0" collapsed="false">
      <c r="A962" s="3" t="s">
        <v>1683</v>
      </c>
      <c r="B962" s="3" t="s">
        <v>1684</v>
      </c>
      <c r="C962" s="3" t="s">
        <v>31</v>
      </c>
      <c r="D962" s="3" t="s">
        <v>97</v>
      </c>
      <c r="E962" s="3" t="s">
        <v>48</v>
      </c>
      <c r="F962" s="3" t="s">
        <v>40</v>
      </c>
      <c r="G962" s="3" t="s">
        <v>34</v>
      </c>
      <c r="H962" s="3" t="s">
        <v>64</v>
      </c>
      <c r="I962" s="3" t="s">
        <v>65</v>
      </c>
      <c r="J962" s="3" t="n">
        <v>49</v>
      </c>
      <c r="K962" s="3" t="n">
        <v>3190.92</v>
      </c>
      <c r="L962" s="3" t="n">
        <v>156355.08</v>
      </c>
      <c r="M962" s="3" t="n">
        <v>0.1072</v>
      </c>
      <c r="N962" s="3" t="n">
        <v>16761.26</v>
      </c>
      <c r="O962" s="3" t="n">
        <v>139593.82</v>
      </c>
      <c r="P962" s="3" t="n">
        <v>90685.95</v>
      </c>
      <c r="Q962" s="3" t="n">
        <v>48907.87</v>
      </c>
      <c r="R962" s="3" t="n">
        <v>0.3504</v>
      </c>
      <c r="S962" s="3" t="n">
        <v>0.1101</v>
      </c>
      <c r="T962" s="3" t="n">
        <v>-0.0029</v>
      </c>
    </row>
    <row r="963" customFormat="false" ht="15" hidden="false" customHeight="true" outlineLevel="0" collapsed="false">
      <c r="A963" s="3" t="s">
        <v>1685</v>
      </c>
      <c r="B963" s="3" t="s">
        <v>1686</v>
      </c>
      <c r="C963" s="3" t="s">
        <v>156</v>
      </c>
      <c r="D963" s="3" t="s">
        <v>38</v>
      </c>
      <c r="E963" s="3" t="s">
        <v>39</v>
      </c>
      <c r="F963" s="3" t="s">
        <v>40</v>
      </c>
      <c r="G963" s="3" t="s">
        <v>41</v>
      </c>
      <c r="H963" s="3" t="s">
        <v>27</v>
      </c>
      <c r="I963" s="3" t="s">
        <v>28</v>
      </c>
      <c r="J963" s="3" t="n">
        <v>19</v>
      </c>
      <c r="K963" s="3" t="n">
        <v>19984.76</v>
      </c>
      <c r="L963" s="3" t="n">
        <v>379710.44</v>
      </c>
      <c r="M963" s="3" t="n">
        <v>0.0751</v>
      </c>
      <c r="N963" s="3" t="n">
        <v>28516.25</v>
      </c>
      <c r="O963" s="3" t="n">
        <v>351194.19</v>
      </c>
      <c r="P963" s="3" t="n">
        <v>235420.47</v>
      </c>
      <c r="Q963" s="3" t="n">
        <v>115773.72</v>
      </c>
      <c r="R963" s="3" t="n">
        <v>0.3297</v>
      </c>
      <c r="S963" s="3" t="n">
        <v>0.0655</v>
      </c>
      <c r="T963" s="3" t="n">
        <v>0.0096</v>
      </c>
    </row>
    <row r="964" customFormat="false" ht="15" hidden="false" customHeight="true" outlineLevel="0" collapsed="false">
      <c r="A964" s="3" t="s">
        <v>1687</v>
      </c>
      <c r="B964" s="3" t="s">
        <v>896</v>
      </c>
      <c r="C964" s="3" t="s">
        <v>156</v>
      </c>
      <c r="D964" s="3" t="s">
        <v>97</v>
      </c>
      <c r="E964" s="3" t="s">
        <v>48</v>
      </c>
      <c r="F964" s="3" t="s">
        <v>40</v>
      </c>
      <c r="G964" s="3" t="s">
        <v>26</v>
      </c>
      <c r="H964" s="3" t="s">
        <v>56</v>
      </c>
      <c r="I964" s="3" t="s">
        <v>57</v>
      </c>
      <c r="J964" s="3" t="n">
        <v>9</v>
      </c>
      <c r="K964" s="3" t="n">
        <v>16037.31</v>
      </c>
      <c r="L964" s="3" t="n">
        <v>144335.79</v>
      </c>
      <c r="M964" s="3" t="n">
        <v>0.0439</v>
      </c>
      <c r="N964" s="3" t="n">
        <v>6336.34</v>
      </c>
      <c r="O964" s="3" t="n">
        <v>137999.45</v>
      </c>
      <c r="P964" s="3" t="n">
        <v>86601.47</v>
      </c>
      <c r="Q964" s="3" t="n">
        <v>51397.98</v>
      </c>
      <c r="R964" s="3" t="n">
        <v>0.3725</v>
      </c>
      <c r="S964" s="3" t="n">
        <v>0.042</v>
      </c>
      <c r="T964" s="3" t="n">
        <v>0.0019</v>
      </c>
    </row>
    <row r="965" customFormat="false" ht="15" hidden="false" customHeight="true" outlineLevel="0" collapsed="false">
      <c r="A965" s="3" t="s">
        <v>1688</v>
      </c>
      <c r="B965" s="3" t="s">
        <v>871</v>
      </c>
      <c r="C965" s="3" t="s">
        <v>53</v>
      </c>
      <c r="D965" s="3" t="s">
        <v>47</v>
      </c>
      <c r="E965" s="3" t="s">
        <v>48</v>
      </c>
      <c r="F965" s="3" t="s">
        <v>25</v>
      </c>
      <c r="G965" s="3" t="s">
        <v>34</v>
      </c>
      <c r="H965" s="3" t="s">
        <v>42</v>
      </c>
      <c r="I965" s="3" t="s">
        <v>43</v>
      </c>
      <c r="J965" s="3" t="n">
        <v>22</v>
      </c>
      <c r="K965" s="3" t="n">
        <v>3464.27</v>
      </c>
      <c r="L965" s="3" t="n">
        <v>76213.94</v>
      </c>
      <c r="M965" s="3" t="n">
        <v>0.1258</v>
      </c>
      <c r="N965" s="3" t="n">
        <v>9587.71</v>
      </c>
      <c r="O965" s="3" t="n">
        <v>66626.23</v>
      </c>
      <c r="P965" s="3" t="n">
        <v>41917.67</v>
      </c>
      <c r="Q965" s="3" t="n">
        <v>24708.56</v>
      </c>
      <c r="R965" s="3" t="n">
        <v>0.3709</v>
      </c>
      <c r="S965" s="3" t="n">
        <v>0.1309</v>
      </c>
      <c r="T965" s="3" t="n">
        <v>-0.0051</v>
      </c>
    </row>
    <row r="966" customFormat="false" ht="15" hidden="false" customHeight="true" outlineLevel="0" collapsed="false">
      <c r="A966" s="3" t="s">
        <v>1689</v>
      </c>
      <c r="B966" s="3" t="s">
        <v>1690</v>
      </c>
      <c r="C966" s="3" t="s">
        <v>22</v>
      </c>
      <c r="D966" s="3" t="s">
        <v>97</v>
      </c>
      <c r="E966" s="3" t="s">
        <v>48</v>
      </c>
      <c r="F966" s="3" t="s">
        <v>40</v>
      </c>
      <c r="G966" s="3" t="s">
        <v>100</v>
      </c>
      <c r="H966" s="3" t="s">
        <v>64</v>
      </c>
      <c r="I966" s="3" t="s">
        <v>90</v>
      </c>
      <c r="J966" s="3" t="n">
        <v>29</v>
      </c>
      <c r="K966" s="3" t="n">
        <v>5894.73</v>
      </c>
      <c r="L966" s="3" t="n">
        <v>170947.17</v>
      </c>
      <c r="M966" s="3" t="n">
        <v>0.0615</v>
      </c>
      <c r="N966" s="3" t="n">
        <v>10513.25</v>
      </c>
      <c r="O966" s="3" t="n">
        <v>160433.92</v>
      </c>
      <c r="P966" s="3" t="n">
        <v>99149.36</v>
      </c>
      <c r="Q966" s="3" t="n">
        <v>61284.56</v>
      </c>
      <c r="R966" s="3" t="n">
        <v>0.382</v>
      </c>
      <c r="S966" s="3" t="n">
        <v>0.0652</v>
      </c>
      <c r="T966" s="3" t="n">
        <v>-0.0037</v>
      </c>
    </row>
    <row r="967" customFormat="false" ht="15" hidden="false" customHeight="true" outlineLevel="0" collapsed="false">
      <c r="A967" s="3" t="s">
        <v>1691</v>
      </c>
      <c r="B967" s="3" t="s">
        <v>736</v>
      </c>
      <c r="C967" s="3" t="s">
        <v>60</v>
      </c>
      <c r="D967" s="3" t="s">
        <v>61</v>
      </c>
      <c r="E967" s="3" t="s">
        <v>33</v>
      </c>
      <c r="F967" s="3" t="s">
        <v>62</v>
      </c>
      <c r="G967" s="3" t="s">
        <v>71</v>
      </c>
      <c r="H967" s="3" t="s">
        <v>64</v>
      </c>
      <c r="I967" s="3" t="s">
        <v>65</v>
      </c>
      <c r="J967" s="3" t="n">
        <v>14</v>
      </c>
      <c r="K967" s="3" t="n">
        <v>11928.11</v>
      </c>
      <c r="L967" s="3" t="n">
        <v>166993.54</v>
      </c>
      <c r="M967" s="3" t="n">
        <v>0.0363</v>
      </c>
      <c r="N967" s="3" t="n">
        <v>6061.87</v>
      </c>
      <c r="O967" s="3" t="n">
        <v>160931.67</v>
      </c>
      <c r="P967" s="3" t="n">
        <v>96856.25</v>
      </c>
      <c r="Q967" s="3" t="n">
        <v>64075.42</v>
      </c>
      <c r="R967" s="3" t="n">
        <v>0.3982</v>
      </c>
      <c r="S967" s="3" t="n">
        <v>0.0355</v>
      </c>
      <c r="T967" s="3" t="n">
        <v>0.0008</v>
      </c>
    </row>
    <row r="968" customFormat="false" ht="15" hidden="false" customHeight="true" outlineLevel="0" collapsed="false">
      <c r="A968" s="3" t="s">
        <v>1692</v>
      </c>
      <c r="B968" s="3" t="s">
        <v>1693</v>
      </c>
      <c r="C968" s="3" t="s">
        <v>113</v>
      </c>
      <c r="D968" s="3" t="s">
        <v>69</v>
      </c>
      <c r="E968" s="3" t="s">
        <v>39</v>
      </c>
      <c r="F968" s="3" t="s">
        <v>70</v>
      </c>
      <c r="G968" s="3" t="s">
        <v>63</v>
      </c>
      <c r="H968" s="3" t="s">
        <v>64</v>
      </c>
      <c r="I968" s="3" t="s">
        <v>65</v>
      </c>
      <c r="J968" s="3" t="n">
        <v>20</v>
      </c>
      <c r="K968" s="3" t="n">
        <v>9524.9</v>
      </c>
      <c r="L968" s="3" t="n">
        <v>190498</v>
      </c>
      <c r="M968" s="3" t="n">
        <v>0.0382</v>
      </c>
      <c r="N968" s="3" t="n">
        <v>7277.02</v>
      </c>
      <c r="O968" s="3" t="n">
        <v>183220.98</v>
      </c>
      <c r="P968" s="3" t="n">
        <v>110488.84</v>
      </c>
      <c r="Q968" s="3" t="n">
        <v>72732.14</v>
      </c>
      <c r="R968" s="3" t="n">
        <v>0.397</v>
      </c>
      <c r="S968" s="3" t="n">
        <v>0.0334</v>
      </c>
      <c r="T968" s="3" t="n">
        <v>0.0048</v>
      </c>
    </row>
    <row r="969" customFormat="false" ht="15" hidden="false" customHeight="true" outlineLevel="0" collapsed="false">
      <c r="A969" s="3" t="s">
        <v>1694</v>
      </c>
      <c r="B969" s="3" t="s">
        <v>1695</v>
      </c>
      <c r="C969" s="3" t="s">
        <v>93</v>
      </c>
      <c r="D969" s="3" t="s">
        <v>75</v>
      </c>
      <c r="E969" s="3" t="s">
        <v>39</v>
      </c>
      <c r="F969" s="3" t="s">
        <v>25</v>
      </c>
      <c r="G969" s="3" t="s">
        <v>76</v>
      </c>
      <c r="H969" s="3" t="s">
        <v>56</v>
      </c>
      <c r="I969" s="3" t="s">
        <v>188</v>
      </c>
      <c r="J969" s="3" t="n">
        <v>29</v>
      </c>
      <c r="K969" s="3" t="n">
        <v>6565.65</v>
      </c>
      <c r="L969" s="3" t="n">
        <v>190403.85</v>
      </c>
      <c r="M969" s="3" t="n">
        <v>0.1345</v>
      </c>
      <c r="N969" s="3" t="n">
        <v>25609.32</v>
      </c>
      <c r="O969" s="3" t="n">
        <v>164794.53</v>
      </c>
      <c r="P969" s="3" t="n">
        <v>114242.31</v>
      </c>
      <c r="Q969" s="3" t="n">
        <v>50552.22</v>
      </c>
      <c r="R969" s="3" t="n">
        <v>0.3068</v>
      </c>
      <c r="S969" s="3" t="n">
        <v>0.1108</v>
      </c>
      <c r="T969" s="3" t="n">
        <v>0.0237</v>
      </c>
    </row>
    <row r="970" customFormat="false" ht="15" hidden="false" customHeight="true" outlineLevel="0" collapsed="false">
      <c r="A970" s="3" t="s">
        <v>1696</v>
      </c>
      <c r="B970" s="3" t="s">
        <v>1697</v>
      </c>
      <c r="C970" s="3" t="s">
        <v>60</v>
      </c>
      <c r="D970" s="3" t="s">
        <v>103</v>
      </c>
      <c r="E970" s="3" t="s">
        <v>24</v>
      </c>
      <c r="F970" s="3" t="s">
        <v>62</v>
      </c>
      <c r="G970" s="3" t="s">
        <v>41</v>
      </c>
      <c r="H970" s="3" t="s">
        <v>77</v>
      </c>
      <c r="I970" s="3" t="s">
        <v>78</v>
      </c>
      <c r="J970" s="3" t="n">
        <v>28</v>
      </c>
      <c r="K970" s="3" t="n">
        <v>3459.42</v>
      </c>
      <c r="L970" s="3" t="n">
        <v>96863.76</v>
      </c>
      <c r="M970" s="3" t="n">
        <v>0.1047</v>
      </c>
      <c r="N970" s="3" t="n">
        <v>10141.64</v>
      </c>
      <c r="O970" s="3" t="n">
        <v>86722.12</v>
      </c>
      <c r="P970" s="3" t="n">
        <v>65867.36</v>
      </c>
      <c r="Q970" s="3" t="n">
        <v>20854.76</v>
      </c>
      <c r="R970" s="3" t="n">
        <v>0.2405</v>
      </c>
      <c r="S970" s="3" t="n">
        <v>0.1095</v>
      </c>
      <c r="T970" s="3" t="n">
        <v>-0.0048</v>
      </c>
    </row>
    <row r="971" customFormat="false" ht="15" hidden="false" customHeight="true" outlineLevel="0" collapsed="false">
      <c r="A971" s="3" t="s">
        <v>1698</v>
      </c>
      <c r="B971" s="3" t="s">
        <v>1699</v>
      </c>
      <c r="C971" s="3" t="s">
        <v>126</v>
      </c>
      <c r="D971" s="3" t="s">
        <v>83</v>
      </c>
      <c r="E971" s="3" t="s">
        <v>48</v>
      </c>
      <c r="F971" s="3" t="s">
        <v>62</v>
      </c>
      <c r="G971" s="3" t="s">
        <v>63</v>
      </c>
      <c r="H971" s="3" t="s">
        <v>27</v>
      </c>
      <c r="I971" s="3" t="s">
        <v>173</v>
      </c>
      <c r="J971" s="3" t="n">
        <v>49</v>
      </c>
      <c r="K971" s="3" t="n">
        <v>35329.35</v>
      </c>
      <c r="L971" s="3" t="n">
        <v>1731138.15</v>
      </c>
      <c r="M971" s="3" t="n">
        <v>0.0753</v>
      </c>
      <c r="N971" s="3" t="n">
        <v>130354.7</v>
      </c>
      <c r="O971" s="3" t="n">
        <v>1600783.45</v>
      </c>
      <c r="P971" s="3" t="n">
        <v>1073305.65</v>
      </c>
      <c r="Q971" s="3" t="n">
        <v>527477.8</v>
      </c>
      <c r="R971" s="3" t="n">
        <v>0.3295</v>
      </c>
      <c r="S971" s="3" t="n">
        <v>0.0737</v>
      </c>
      <c r="T971" s="3" t="n">
        <v>0.0016</v>
      </c>
    </row>
    <row r="972" customFormat="false" ht="15" hidden="false" customHeight="true" outlineLevel="0" collapsed="false">
      <c r="A972" s="3" t="s">
        <v>1700</v>
      </c>
      <c r="B972" s="3" t="s">
        <v>402</v>
      </c>
      <c r="C972" s="3" t="s">
        <v>93</v>
      </c>
      <c r="D972" s="3" t="s">
        <v>75</v>
      </c>
      <c r="E972" s="3" t="s">
        <v>39</v>
      </c>
      <c r="F972" s="3" t="s">
        <v>25</v>
      </c>
      <c r="G972" s="3" t="s">
        <v>41</v>
      </c>
      <c r="H972" s="3" t="s">
        <v>56</v>
      </c>
      <c r="I972" s="3" t="s">
        <v>121</v>
      </c>
      <c r="J972" s="3" t="n">
        <v>30</v>
      </c>
      <c r="K972" s="3" t="n">
        <v>6116.67</v>
      </c>
      <c r="L972" s="3" t="n">
        <v>183500.1</v>
      </c>
      <c r="M972" s="3" t="n">
        <v>0.1504</v>
      </c>
      <c r="N972" s="3" t="n">
        <v>27598.42</v>
      </c>
      <c r="O972" s="3" t="n">
        <v>155901.68</v>
      </c>
      <c r="P972" s="3" t="n">
        <v>110100.06</v>
      </c>
      <c r="Q972" s="3" t="n">
        <v>45801.62</v>
      </c>
      <c r="R972" s="3" t="n">
        <v>0.2938</v>
      </c>
      <c r="S972" s="3" t="n">
        <v>0.1236</v>
      </c>
      <c r="T972" s="3" t="n">
        <v>0.0268</v>
      </c>
    </row>
    <row r="973" customFormat="false" ht="15" hidden="false" customHeight="true" outlineLevel="0" collapsed="false">
      <c r="A973" s="3" t="s">
        <v>1701</v>
      </c>
      <c r="B973" s="3" t="s">
        <v>1365</v>
      </c>
      <c r="C973" s="3" t="s">
        <v>68</v>
      </c>
      <c r="D973" s="3" t="s">
        <v>75</v>
      </c>
      <c r="E973" s="3" t="s">
        <v>39</v>
      </c>
      <c r="F973" s="3" t="s">
        <v>25</v>
      </c>
      <c r="G973" s="3" t="s">
        <v>41</v>
      </c>
      <c r="H973" s="3" t="s">
        <v>77</v>
      </c>
      <c r="I973" s="3" t="s">
        <v>131</v>
      </c>
      <c r="J973" s="3" t="n">
        <v>1</v>
      </c>
      <c r="K973" s="3" t="n">
        <v>5597.43</v>
      </c>
      <c r="L973" s="3" t="n">
        <v>5597.43</v>
      </c>
      <c r="M973" s="3" t="n">
        <v>0.1597</v>
      </c>
      <c r="N973" s="3" t="n">
        <v>893.91</v>
      </c>
      <c r="O973" s="3" t="n">
        <v>4703.52</v>
      </c>
      <c r="P973" s="3" t="n">
        <v>3806.25</v>
      </c>
      <c r="Q973" s="3" t="n">
        <v>897.27</v>
      </c>
      <c r="R973" s="3" t="n">
        <v>0.1908</v>
      </c>
      <c r="S973" s="3" t="n">
        <v>0.1472</v>
      </c>
      <c r="T973" s="3" t="n">
        <v>0.0125</v>
      </c>
    </row>
    <row r="974" customFormat="false" ht="15" hidden="false" customHeight="true" outlineLevel="0" collapsed="false">
      <c r="A974" s="3" t="s">
        <v>1702</v>
      </c>
      <c r="B974" s="3" t="s">
        <v>958</v>
      </c>
      <c r="C974" s="3" t="s">
        <v>31</v>
      </c>
      <c r="D974" s="3" t="s">
        <v>47</v>
      </c>
      <c r="E974" s="3" t="s">
        <v>48</v>
      </c>
      <c r="F974" s="3" t="s">
        <v>25</v>
      </c>
      <c r="G974" s="3" t="s">
        <v>49</v>
      </c>
      <c r="H974" s="3" t="s">
        <v>77</v>
      </c>
      <c r="I974" s="3" t="s">
        <v>85</v>
      </c>
      <c r="J974" s="3" t="n">
        <v>20</v>
      </c>
      <c r="K974" s="3" t="n">
        <v>3043.38</v>
      </c>
      <c r="L974" s="3" t="n">
        <v>60867.6</v>
      </c>
      <c r="M974" s="3" t="n">
        <v>0.1491</v>
      </c>
      <c r="N974" s="3" t="n">
        <v>9075.36</v>
      </c>
      <c r="O974" s="3" t="n">
        <v>51792.24</v>
      </c>
      <c r="P974" s="3" t="n">
        <v>41389.97</v>
      </c>
      <c r="Q974" s="3" t="n">
        <v>10402.27</v>
      </c>
      <c r="R974" s="3" t="n">
        <v>0.2008</v>
      </c>
      <c r="S974" s="3" t="n">
        <v>0.1589</v>
      </c>
      <c r="T974" s="3" t="n">
        <v>-0.0098</v>
      </c>
    </row>
    <row r="975" customFormat="false" ht="15" hidden="false" customHeight="true" outlineLevel="0" collapsed="false">
      <c r="A975" s="3" t="s">
        <v>1703</v>
      </c>
      <c r="B975" s="3" t="s">
        <v>1704</v>
      </c>
      <c r="C975" s="3" t="s">
        <v>37</v>
      </c>
      <c r="D975" s="3" t="s">
        <v>61</v>
      </c>
      <c r="E975" s="3" t="s">
        <v>33</v>
      </c>
      <c r="F975" s="3" t="s">
        <v>62</v>
      </c>
      <c r="G975" s="3" t="s">
        <v>41</v>
      </c>
      <c r="H975" s="3" t="s">
        <v>77</v>
      </c>
      <c r="I975" s="3" t="s">
        <v>85</v>
      </c>
      <c r="J975" s="3" t="n">
        <v>28</v>
      </c>
      <c r="K975" s="3" t="n">
        <v>2132.3</v>
      </c>
      <c r="L975" s="3" t="n">
        <v>59704.4</v>
      </c>
      <c r="M975" s="3" t="n">
        <v>0.1287</v>
      </c>
      <c r="N975" s="3" t="n">
        <v>7683.96</v>
      </c>
      <c r="O975" s="3" t="n">
        <v>52020.44</v>
      </c>
      <c r="P975" s="3" t="n">
        <v>40598.99</v>
      </c>
      <c r="Q975" s="3" t="n">
        <v>11421.45</v>
      </c>
      <c r="R975" s="3" t="n">
        <v>0.2196</v>
      </c>
      <c r="S975" s="3" t="n">
        <v>0.1226</v>
      </c>
      <c r="T975" s="3" t="n">
        <v>0.0061</v>
      </c>
    </row>
    <row r="976" customFormat="false" ht="15" hidden="false" customHeight="true" outlineLevel="0" collapsed="false">
      <c r="A976" s="3" t="s">
        <v>1705</v>
      </c>
      <c r="B976" s="3" t="s">
        <v>1706</v>
      </c>
      <c r="C976" s="3" t="s">
        <v>156</v>
      </c>
      <c r="D976" s="3" t="s">
        <v>83</v>
      </c>
      <c r="E976" s="3" t="s">
        <v>48</v>
      </c>
      <c r="F976" s="3" t="s">
        <v>62</v>
      </c>
      <c r="G976" s="3" t="s">
        <v>104</v>
      </c>
      <c r="H976" s="3" t="s">
        <v>42</v>
      </c>
      <c r="I976" s="3" t="s">
        <v>72</v>
      </c>
      <c r="J976" s="3" t="n">
        <v>28</v>
      </c>
      <c r="K976" s="3" t="n">
        <v>2778.17</v>
      </c>
      <c r="L976" s="3" t="n">
        <v>77788.76</v>
      </c>
      <c r="M976" s="3" t="n">
        <v>0.0965</v>
      </c>
      <c r="N976" s="3" t="n">
        <v>7506.62</v>
      </c>
      <c r="O976" s="3" t="n">
        <v>70282.14</v>
      </c>
      <c r="P976" s="3" t="n">
        <v>42783.82</v>
      </c>
      <c r="Q976" s="3" t="n">
        <v>27498.32</v>
      </c>
      <c r="R976" s="3" t="n">
        <v>0.3913</v>
      </c>
      <c r="S976" s="3" t="n">
        <v>0.1039</v>
      </c>
      <c r="T976" s="3" t="n">
        <v>-0.0074</v>
      </c>
    </row>
    <row r="977" customFormat="false" ht="15" hidden="false" customHeight="true" outlineLevel="0" collapsed="false">
      <c r="A977" s="3" t="s">
        <v>1707</v>
      </c>
      <c r="B977" s="3" t="s">
        <v>652</v>
      </c>
      <c r="C977" s="3" t="s">
        <v>53</v>
      </c>
      <c r="D977" s="3" t="s">
        <v>103</v>
      </c>
      <c r="E977" s="3" t="s">
        <v>24</v>
      </c>
      <c r="F977" s="3" t="s">
        <v>62</v>
      </c>
      <c r="G977" s="3" t="s">
        <v>76</v>
      </c>
      <c r="H977" s="3" t="s">
        <v>27</v>
      </c>
      <c r="I977" s="3" t="s">
        <v>117</v>
      </c>
      <c r="J977" s="3" t="n">
        <v>44</v>
      </c>
      <c r="K977" s="3" t="n">
        <v>27373.94</v>
      </c>
      <c r="L977" s="3" t="n">
        <v>1204453.36</v>
      </c>
      <c r="M977" s="3" t="n">
        <v>0.0374</v>
      </c>
      <c r="N977" s="3" t="n">
        <v>45046.56</v>
      </c>
      <c r="O977" s="3" t="n">
        <v>1159406.8</v>
      </c>
      <c r="P977" s="3" t="n">
        <v>746761.08</v>
      </c>
      <c r="Q977" s="3" t="n">
        <v>412645.72</v>
      </c>
      <c r="R977" s="3" t="n">
        <v>0.3559</v>
      </c>
      <c r="S977" s="3" t="n">
        <v>0.0366</v>
      </c>
      <c r="T977" s="3" t="n">
        <v>0.0008</v>
      </c>
    </row>
    <row r="978" customFormat="false" ht="15" hidden="false" customHeight="true" outlineLevel="0" collapsed="false">
      <c r="A978" s="3" t="s">
        <v>1708</v>
      </c>
      <c r="B978" s="3" t="s">
        <v>1709</v>
      </c>
      <c r="C978" s="3" t="s">
        <v>22</v>
      </c>
      <c r="D978" s="3" t="s">
        <v>23</v>
      </c>
      <c r="E978" s="3" t="s">
        <v>24</v>
      </c>
      <c r="F978" s="3" t="s">
        <v>25</v>
      </c>
      <c r="G978" s="3" t="s">
        <v>116</v>
      </c>
      <c r="H978" s="3" t="s">
        <v>64</v>
      </c>
      <c r="I978" s="3" t="s">
        <v>65</v>
      </c>
      <c r="J978" s="3" t="n">
        <v>42</v>
      </c>
      <c r="K978" s="3" t="n">
        <v>9938.75</v>
      </c>
      <c r="L978" s="3" t="n">
        <v>417427.5</v>
      </c>
      <c r="M978" s="3" t="n">
        <v>0.1846</v>
      </c>
      <c r="N978" s="3" t="n">
        <v>77057.12</v>
      </c>
      <c r="O978" s="3" t="n">
        <v>340370.38</v>
      </c>
      <c r="P978" s="3" t="n">
        <v>242107.95</v>
      </c>
      <c r="Q978" s="3" t="n">
        <v>98262.43</v>
      </c>
      <c r="R978" s="3" t="n">
        <v>0.2887</v>
      </c>
      <c r="S978" s="3" t="n">
        <v>0.1764</v>
      </c>
      <c r="T978" s="3" t="n">
        <v>0.0082</v>
      </c>
    </row>
    <row r="979" customFormat="false" ht="15" hidden="false" customHeight="true" outlineLevel="0" collapsed="false">
      <c r="A979" s="3" t="s">
        <v>1710</v>
      </c>
      <c r="B979" s="3" t="s">
        <v>1304</v>
      </c>
      <c r="C979" s="3" t="s">
        <v>68</v>
      </c>
      <c r="D979" s="3" t="s">
        <v>69</v>
      </c>
      <c r="E979" s="3" t="s">
        <v>39</v>
      </c>
      <c r="F979" s="3" t="s">
        <v>70</v>
      </c>
      <c r="G979" s="3" t="s">
        <v>63</v>
      </c>
      <c r="H979" s="3" t="s">
        <v>77</v>
      </c>
      <c r="I979" s="3" t="s">
        <v>131</v>
      </c>
      <c r="J979" s="3" t="n">
        <v>20</v>
      </c>
      <c r="K979" s="3" t="n">
        <v>2413.78</v>
      </c>
      <c r="L979" s="3" t="n">
        <v>48275.6</v>
      </c>
      <c r="M979" s="3" t="n">
        <v>0.055</v>
      </c>
      <c r="N979" s="3" t="n">
        <v>2655.16</v>
      </c>
      <c r="O979" s="3" t="n">
        <v>45620.44</v>
      </c>
      <c r="P979" s="3" t="n">
        <v>32827.41</v>
      </c>
      <c r="Q979" s="3" t="n">
        <v>12793.03</v>
      </c>
      <c r="R979" s="3" t="n">
        <v>0.2804</v>
      </c>
      <c r="S979" s="3" t="n">
        <v>0.0549</v>
      </c>
      <c r="T979" s="3" t="n">
        <v>0.0001</v>
      </c>
    </row>
    <row r="980" customFormat="false" ht="15" hidden="false" customHeight="true" outlineLevel="0" collapsed="false">
      <c r="A980" s="3" t="s">
        <v>1711</v>
      </c>
      <c r="B980" s="3" t="s">
        <v>1712</v>
      </c>
      <c r="C980" s="3" t="s">
        <v>37</v>
      </c>
      <c r="D980" s="3" t="s">
        <v>47</v>
      </c>
      <c r="E980" s="3" t="s">
        <v>48</v>
      </c>
      <c r="F980" s="3" t="s">
        <v>25</v>
      </c>
      <c r="G980" s="3" t="s">
        <v>26</v>
      </c>
      <c r="H980" s="3" t="s">
        <v>56</v>
      </c>
      <c r="I980" s="3" t="s">
        <v>57</v>
      </c>
      <c r="J980" s="3" t="n">
        <v>47</v>
      </c>
      <c r="K980" s="3" t="n">
        <v>8585.74</v>
      </c>
      <c r="L980" s="3" t="n">
        <v>403529.78</v>
      </c>
      <c r="M980" s="3" t="n">
        <v>0.1222</v>
      </c>
      <c r="N980" s="3" t="n">
        <v>49311.34</v>
      </c>
      <c r="O980" s="3" t="n">
        <v>354218.44</v>
      </c>
      <c r="P980" s="3" t="n">
        <v>242117.87</v>
      </c>
      <c r="Q980" s="3" t="n">
        <v>112100.57</v>
      </c>
      <c r="R980" s="3" t="n">
        <v>0.3165</v>
      </c>
      <c r="S980" s="3" t="n">
        <v>0.1276</v>
      </c>
      <c r="T980" s="3" t="n">
        <v>-0.0054</v>
      </c>
    </row>
    <row r="981" customFormat="false" ht="15" hidden="false" customHeight="true" outlineLevel="0" collapsed="false">
      <c r="A981" s="3" t="s">
        <v>1713</v>
      </c>
      <c r="B981" s="3" t="s">
        <v>172</v>
      </c>
      <c r="C981" s="3" t="s">
        <v>156</v>
      </c>
      <c r="D981" s="3" t="s">
        <v>54</v>
      </c>
      <c r="E981" s="3" t="s">
        <v>24</v>
      </c>
      <c r="F981" s="3" t="s">
        <v>40</v>
      </c>
      <c r="G981" s="3" t="s">
        <v>26</v>
      </c>
      <c r="H981" s="3" t="s">
        <v>64</v>
      </c>
      <c r="I981" s="3" t="s">
        <v>90</v>
      </c>
      <c r="J981" s="3" t="n">
        <v>11</v>
      </c>
      <c r="K981" s="3" t="n">
        <v>5772.9</v>
      </c>
      <c r="L981" s="3" t="n">
        <v>63501.9</v>
      </c>
      <c r="M981" s="3" t="n">
        <v>0.0708</v>
      </c>
      <c r="N981" s="3" t="n">
        <v>4495.93</v>
      </c>
      <c r="O981" s="3" t="n">
        <v>59005.97</v>
      </c>
      <c r="P981" s="3" t="n">
        <v>36831.1</v>
      </c>
      <c r="Q981" s="3" t="n">
        <v>22174.87</v>
      </c>
      <c r="R981" s="3" t="n">
        <v>0.3758</v>
      </c>
      <c r="S981" s="3" t="n">
        <v>0.0587</v>
      </c>
      <c r="T981" s="3" t="n">
        <v>0.0121</v>
      </c>
    </row>
    <row r="982" customFormat="false" ht="15" hidden="false" customHeight="true" outlineLevel="0" collapsed="false">
      <c r="A982" s="3" t="s">
        <v>1714</v>
      </c>
      <c r="B982" s="3" t="s">
        <v>1274</v>
      </c>
      <c r="C982" s="3" t="s">
        <v>60</v>
      </c>
      <c r="D982" s="3" t="s">
        <v>97</v>
      </c>
      <c r="E982" s="3" t="s">
        <v>48</v>
      </c>
      <c r="F982" s="3" t="s">
        <v>40</v>
      </c>
      <c r="G982" s="3" t="s">
        <v>63</v>
      </c>
      <c r="H982" s="3" t="s">
        <v>77</v>
      </c>
      <c r="I982" s="3" t="s">
        <v>85</v>
      </c>
      <c r="J982" s="3" t="n">
        <v>47</v>
      </c>
      <c r="K982" s="3" t="n">
        <v>4341.7</v>
      </c>
      <c r="L982" s="3" t="n">
        <v>204059.9</v>
      </c>
      <c r="M982" s="3" t="n">
        <v>0.0515</v>
      </c>
      <c r="N982" s="3" t="n">
        <v>10509.08</v>
      </c>
      <c r="O982" s="3" t="n">
        <v>193550.82</v>
      </c>
      <c r="P982" s="3" t="n">
        <v>138760.73</v>
      </c>
      <c r="Q982" s="3" t="n">
        <v>54790.09</v>
      </c>
      <c r="R982" s="3" t="n">
        <v>0.2831</v>
      </c>
      <c r="S982" s="3" t="n">
        <v>0.047</v>
      </c>
      <c r="T982" s="3" t="n">
        <v>0.0045</v>
      </c>
    </row>
    <row r="983" customFormat="false" ht="15" hidden="false" customHeight="true" outlineLevel="0" collapsed="false">
      <c r="A983" s="3" t="s">
        <v>1715</v>
      </c>
      <c r="B983" s="3" t="s">
        <v>1560</v>
      </c>
      <c r="C983" s="3" t="s">
        <v>113</v>
      </c>
      <c r="D983" s="3" t="s">
        <v>97</v>
      </c>
      <c r="E983" s="3" t="s">
        <v>48</v>
      </c>
      <c r="F983" s="3" t="s">
        <v>40</v>
      </c>
      <c r="G983" s="3" t="s">
        <v>84</v>
      </c>
      <c r="H983" s="3" t="s">
        <v>64</v>
      </c>
      <c r="I983" s="3" t="s">
        <v>108</v>
      </c>
      <c r="J983" s="3" t="n">
        <v>8</v>
      </c>
      <c r="K983" s="3" t="n">
        <v>4637.86</v>
      </c>
      <c r="L983" s="3" t="n">
        <v>37102.88</v>
      </c>
      <c r="M983" s="3" t="n">
        <v>0.0525</v>
      </c>
      <c r="N983" s="3" t="n">
        <v>1947.9</v>
      </c>
      <c r="O983" s="3" t="n">
        <v>35154.98</v>
      </c>
      <c r="P983" s="3" t="n">
        <v>21519.67</v>
      </c>
      <c r="Q983" s="3" t="n">
        <v>13635.31</v>
      </c>
      <c r="R983" s="3" t="n">
        <v>0.3879</v>
      </c>
      <c r="S983" s="3" t="n">
        <v>0.045</v>
      </c>
      <c r="T983" s="3" t="n">
        <v>0.0075</v>
      </c>
    </row>
    <row r="984" customFormat="false" ht="15" hidden="false" customHeight="true" outlineLevel="0" collapsed="false">
      <c r="A984" s="3" t="s">
        <v>1716</v>
      </c>
      <c r="B984" s="3" t="s">
        <v>1717</v>
      </c>
      <c r="C984" s="3" t="s">
        <v>120</v>
      </c>
      <c r="D984" s="3" t="s">
        <v>32</v>
      </c>
      <c r="E984" s="3" t="s">
        <v>33</v>
      </c>
      <c r="F984" s="3" t="s">
        <v>25</v>
      </c>
      <c r="G984" s="3" t="s">
        <v>76</v>
      </c>
      <c r="H984" s="3" t="s">
        <v>64</v>
      </c>
      <c r="I984" s="3" t="s">
        <v>108</v>
      </c>
      <c r="J984" s="3" t="n">
        <v>27</v>
      </c>
      <c r="K984" s="3" t="n">
        <v>11846.52</v>
      </c>
      <c r="L984" s="3" t="n">
        <v>319856.04</v>
      </c>
      <c r="M984" s="3" t="n">
        <v>0.1651</v>
      </c>
      <c r="N984" s="3" t="n">
        <v>52808.23</v>
      </c>
      <c r="O984" s="3" t="n">
        <v>267047.81</v>
      </c>
      <c r="P984" s="3" t="n">
        <v>185516.5</v>
      </c>
      <c r="Q984" s="3" t="n">
        <v>81531.31</v>
      </c>
      <c r="R984" s="3" t="n">
        <v>0.3053</v>
      </c>
      <c r="S984" s="3" t="n">
        <v>0.1751</v>
      </c>
      <c r="T984" s="3" t="n">
        <v>-0.01</v>
      </c>
    </row>
    <row r="985" customFormat="false" ht="15" hidden="false" customHeight="true" outlineLevel="0" collapsed="false">
      <c r="A985" s="3" t="s">
        <v>1718</v>
      </c>
      <c r="B985" s="3" t="s">
        <v>659</v>
      </c>
      <c r="C985" s="3" t="s">
        <v>93</v>
      </c>
      <c r="D985" s="3" t="s">
        <v>75</v>
      </c>
      <c r="E985" s="3" t="s">
        <v>39</v>
      </c>
      <c r="F985" s="3" t="s">
        <v>25</v>
      </c>
      <c r="G985" s="3" t="s">
        <v>116</v>
      </c>
      <c r="H985" s="3" t="s">
        <v>27</v>
      </c>
      <c r="I985" s="3" t="s">
        <v>50</v>
      </c>
      <c r="J985" s="3" t="n">
        <v>18</v>
      </c>
      <c r="K985" s="3" t="n">
        <v>20087.31</v>
      </c>
      <c r="L985" s="3" t="n">
        <v>361571.58</v>
      </c>
      <c r="M985" s="3" t="n">
        <v>0.105</v>
      </c>
      <c r="N985" s="3" t="n">
        <v>37965.02</v>
      </c>
      <c r="O985" s="3" t="n">
        <v>323606.56</v>
      </c>
      <c r="P985" s="3" t="n">
        <v>224174.38</v>
      </c>
      <c r="Q985" s="3" t="n">
        <v>99432.18</v>
      </c>
      <c r="R985" s="3" t="n">
        <v>0.3073</v>
      </c>
      <c r="S985" s="3" t="n">
        <v>0.1052</v>
      </c>
      <c r="T985" s="3" t="n">
        <v>-0.0002</v>
      </c>
    </row>
    <row r="986" customFormat="false" ht="15" hidden="false" customHeight="true" outlineLevel="0" collapsed="false">
      <c r="A986" s="3" t="s">
        <v>1719</v>
      </c>
      <c r="B986" s="3" t="s">
        <v>158</v>
      </c>
      <c r="C986" s="3" t="s">
        <v>156</v>
      </c>
      <c r="D986" s="3" t="s">
        <v>61</v>
      </c>
      <c r="E986" s="3" t="s">
        <v>33</v>
      </c>
      <c r="F986" s="3" t="s">
        <v>62</v>
      </c>
      <c r="G986" s="3" t="s">
        <v>76</v>
      </c>
      <c r="H986" s="3" t="s">
        <v>27</v>
      </c>
      <c r="I986" s="3" t="s">
        <v>28</v>
      </c>
      <c r="J986" s="3" t="n">
        <v>1</v>
      </c>
      <c r="K986" s="3" t="n">
        <v>32057.56</v>
      </c>
      <c r="L986" s="3" t="n">
        <v>32057.56</v>
      </c>
      <c r="M986" s="3" t="n">
        <v>0.0633</v>
      </c>
      <c r="N986" s="3" t="n">
        <v>2029.24</v>
      </c>
      <c r="O986" s="3" t="n">
        <v>30028.32</v>
      </c>
      <c r="P986" s="3" t="n">
        <v>19875.69</v>
      </c>
      <c r="Q986" s="3" t="n">
        <v>10152.63</v>
      </c>
      <c r="R986" s="3" t="n">
        <v>0.3381</v>
      </c>
      <c r="S986" s="3" t="n">
        <v>0.0525</v>
      </c>
      <c r="T986" s="3" t="n">
        <v>0.0108</v>
      </c>
    </row>
    <row r="987" customFormat="false" ht="15" hidden="false" customHeight="true" outlineLevel="0" collapsed="false">
      <c r="A987" s="3" t="s">
        <v>1720</v>
      </c>
      <c r="B987" s="3" t="s">
        <v>102</v>
      </c>
      <c r="C987" s="3" t="s">
        <v>93</v>
      </c>
      <c r="D987" s="3" t="s">
        <v>107</v>
      </c>
      <c r="E987" s="3" t="s">
        <v>33</v>
      </c>
      <c r="F987" s="3" t="s">
        <v>70</v>
      </c>
      <c r="G987" s="3" t="s">
        <v>55</v>
      </c>
      <c r="H987" s="3" t="s">
        <v>27</v>
      </c>
      <c r="I987" s="3" t="s">
        <v>173</v>
      </c>
      <c r="J987" s="3" t="n">
        <v>49</v>
      </c>
      <c r="K987" s="3" t="n">
        <v>24642.37</v>
      </c>
      <c r="L987" s="3" t="n">
        <v>1207476.13</v>
      </c>
      <c r="M987" s="3" t="n">
        <v>0.0433</v>
      </c>
      <c r="N987" s="3" t="n">
        <v>52283.72</v>
      </c>
      <c r="O987" s="3" t="n">
        <v>1155192.41</v>
      </c>
      <c r="P987" s="3" t="n">
        <v>748635.2</v>
      </c>
      <c r="Q987" s="3" t="n">
        <v>406557.21</v>
      </c>
      <c r="R987" s="3" t="n">
        <v>0.3519</v>
      </c>
      <c r="S987" s="3" t="n">
        <v>0.0408</v>
      </c>
      <c r="T987" s="3" t="n">
        <v>0.0025</v>
      </c>
    </row>
    <row r="988" customFormat="false" ht="15" hidden="false" customHeight="true" outlineLevel="0" collapsed="false">
      <c r="A988" s="3" t="s">
        <v>1721</v>
      </c>
      <c r="B988" s="3" t="s">
        <v>274</v>
      </c>
      <c r="C988" s="3" t="s">
        <v>53</v>
      </c>
      <c r="D988" s="3" t="s">
        <v>103</v>
      </c>
      <c r="E988" s="3" t="s">
        <v>24</v>
      </c>
      <c r="F988" s="3" t="s">
        <v>62</v>
      </c>
      <c r="G988" s="3" t="s">
        <v>49</v>
      </c>
      <c r="H988" s="3" t="s">
        <v>56</v>
      </c>
      <c r="I988" s="3" t="s">
        <v>57</v>
      </c>
      <c r="J988" s="3" t="n">
        <v>22</v>
      </c>
      <c r="K988" s="3" t="n">
        <v>7932.56</v>
      </c>
      <c r="L988" s="3" t="n">
        <v>174516.32</v>
      </c>
      <c r="M988" s="3" t="n">
        <v>0.08</v>
      </c>
      <c r="N988" s="3" t="n">
        <v>13961.31</v>
      </c>
      <c r="O988" s="3" t="n">
        <v>160555.01</v>
      </c>
      <c r="P988" s="3" t="n">
        <v>104709.79</v>
      </c>
      <c r="Q988" s="3" t="n">
        <v>55845.22</v>
      </c>
      <c r="R988" s="3" t="n">
        <v>0.3478</v>
      </c>
      <c r="S988" s="3" t="n">
        <v>0.0866</v>
      </c>
      <c r="T988" s="3" t="n">
        <v>-0.0066</v>
      </c>
    </row>
    <row r="989" customFormat="false" ht="15" hidden="false" customHeight="true" outlineLevel="0" collapsed="false">
      <c r="A989" s="3" t="s">
        <v>1722</v>
      </c>
      <c r="B989" s="3" t="s">
        <v>1723</v>
      </c>
      <c r="C989" s="3" t="s">
        <v>156</v>
      </c>
      <c r="D989" s="3" t="s">
        <v>23</v>
      </c>
      <c r="E989" s="3" t="s">
        <v>24</v>
      </c>
      <c r="F989" s="3" t="s">
        <v>25</v>
      </c>
      <c r="G989" s="3" t="s">
        <v>55</v>
      </c>
      <c r="H989" s="3" t="s">
        <v>77</v>
      </c>
      <c r="I989" s="3" t="s">
        <v>78</v>
      </c>
      <c r="J989" s="3" t="n">
        <v>23</v>
      </c>
      <c r="K989" s="3" t="n">
        <v>1474.76</v>
      </c>
      <c r="L989" s="3" t="n">
        <v>33919.48</v>
      </c>
      <c r="M989" s="3" t="n">
        <v>0.1782</v>
      </c>
      <c r="N989" s="3" t="n">
        <v>6044.45</v>
      </c>
      <c r="O989" s="3" t="n">
        <v>27875.03</v>
      </c>
      <c r="P989" s="3" t="n">
        <v>23065.25</v>
      </c>
      <c r="Q989" s="3" t="n">
        <v>4809.78</v>
      </c>
      <c r="R989" s="3" t="n">
        <v>0.1725</v>
      </c>
      <c r="S989" s="3" t="n">
        <v>0.1669</v>
      </c>
      <c r="T989" s="3" t="n">
        <v>0.0113</v>
      </c>
    </row>
    <row r="990" customFormat="false" ht="15" hidden="false" customHeight="true" outlineLevel="0" collapsed="false">
      <c r="A990" s="3" t="s">
        <v>1724</v>
      </c>
      <c r="B990" s="3" t="s">
        <v>1065</v>
      </c>
      <c r="C990" s="3" t="s">
        <v>53</v>
      </c>
      <c r="D990" s="3" t="s">
        <v>97</v>
      </c>
      <c r="E990" s="3" t="s">
        <v>48</v>
      </c>
      <c r="F990" s="3" t="s">
        <v>40</v>
      </c>
      <c r="G990" s="3" t="s">
        <v>41</v>
      </c>
      <c r="H990" s="3" t="s">
        <v>77</v>
      </c>
      <c r="I990" s="3" t="s">
        <v>85</v>
      </c>
      <c r="J990" s="3" t="n">
        <v>8</v>
      </c>
      <c r="K990" s="3" t="n">
        <v>1323.27</v>
      </c>
      <c r="L990" s="3" t="n">
        <v>10586.16</v>
      </c>
      <c r="M990" s="3" t="n">
        <v>0.1046</v>
      </c>
      <c r="N990" s="3" t="n">
        <v>1107.31</v>
      </c>
      <c r="O990" s="3" t="n">
        <v>9478.85</v>
      </c>
      <c r="P990" s="3" t="n">
        <v>7198.59</v>
      </c>
      <c r="Q990" s="3" t="n">
        <v>2280.26</v>
      </c>
      <c r="R990" s="3" t="n">
        <v>0.2406</v>
      </c>
      <c r="S990" s="3" t="n">
        <v>0.0953</v>
      </c>
      <c r="T990" s="3" t="n">
        <v>0.0093</v>
      </c>
    </row>
    <row r="991" customFormat="false" ht="15" hidden="false" customHeight="true" outlineLevel="0" collapsed="false">
      <c r="A991" s="3" t="s">
        <v>1725</v>
      </c>
      <c r="B991" s="3" t="s">
        <v>1726</v>
      </c>
      <c r="C991" s="3" t="s">
        <v>37</v>
      </c>
      <c r="D991" s="3" t="s">
        <v>38</v>
      </c>
      <c r="E991" s="3" t="s">
        <v>39</v>
      </c>
      <c r="F991" s="3" t="s">
        <v>40</v>
      </c>
      <c r="G991" s="3" t="s">
        <v>63</v>
      </c>
      <c r="H991" s="3" t="s">
        <v>77</v>
      </c>
      <c r="I991" s="3" t="s">
        <v>85</v>
      </c>
      <c r="J991" s="3" t="n">
        <v>1</v>
      </c>
      <c r="K991" s="3" t="n">
        <v>4369.1</v>
      </c>
      <c r="L991" s="3" t="n">
        <v>4369.1</v>
      </c>
      <c r="M991" s="3" t="n">
        <v>0.0793</v>
      </c>
      <c r="N991" s="3" t="n">
        <v>346.47</v>
      </c>
      <c r="O991" s="3" t="n">
        <v>4022.63</v>
      </c>
      <c r="P991" s="3" t="n">
        <v>2970.99</v>
      </c>
      <c r="Q991" s="3" t="n">
        <v>1051.64</v>
      </c>
      <c r="R991" s="3" t="n">
        <v>0.2614</v>
      </c>
      <c r="S991" s="3" t="n">
        <v>0.0638</v>
      </c>
      <c r="T991" s="3" t="n">
        <v>0.0155</v>
      </c>
    </row>
    <row r="992" customFormat="false" ht="15" hidden="false" customHeight="true" outlineLevel="0" collapsed="false">
      <c r="A992" s="3" t="s">
        <v>1727</v>
      </c>
      <c r="B992" s="3" t="s">
        <v>1569</v>
      </c>
      <c r="C992" s="3" t="s">
        <v>22</v>
      </c>
      <c r="D992" s="3" t="s">
        <v>103</v>
      </c>
      <c r="E992" s="3" t="s">
        <v>24</v>
      </c>
      <c r="F992" s="3" t="s">
        <v>62</v>
      </c>
      <c r="G992" s="3" t="s">
        <v>71</v>
      </c>
      <c r="H992" s="3" t="s">
        <v>27</v>
      </c>
      <c r="I992" s="3" t="s">
        <v>50</v>
      </c>
      <c r="J992" s="3" t="n">
        <v>39</v>
      </c>
      <c r="K992" s="3" t="n">
        <v>22217.8</v>
      </c>
      <c r="L992" s="3" t="n">
        <v>866494.2</v>
      </c>
      <c r="M992" s="3" t="n">
        <v>0.0542</v>
      </c>
      <c r="N992" s="3" t="n">
        <v>46963.99</v>
      </c>
      <c r="O992" s="3" t="n">
        <v>819530.21</v>
      </c>
      <c r="P992" s="3" t="n">
        <v>537226.4</v>
      </c>
      <c r="Q992" s="3" t="n">
        <v>282303.81</v>
      </c>
      <c r="R992" s="3" t="n">
        <v>0.3445</v>
      </c>
      <c r="S992" s="3" t="n">
        <v>0.049</v>
      </c>
      <c r="T992" s="3" t="n">
        <v>0.0052</v>
      </c>
    </row>
    <row r="993" customFormat="false" ht="15" hidden="false" customHeight="true" outlineLevel="0" collapsed="false">
      <c r="A993" s="3" t="s">
        <v>1728</v>
      </c>
      <c r="B993" s="3" t="s">
        <v>1729</v>
      </c>
      <c r="C993" s="3" t="s">
        <v>68</v>
      </c>
      <c r="D993" s="3" t="s">
        <v>83</v>
      </c>
      <c r="E993" s="3" t="s">
        <v>48</v>
      </c>
      <c r="F993" s="3" t="s">
        <v>62</v>
      </c>
      <c r="G993" s="3" t="s">
        <v>76</v>
      </c>
      <c r="H993" s="3" t="s">
        <v>27</v>
      </c>
      <c r="I993" s="3" t="s">
        <v>173</v>
      </c>
      <c r="J993" s="3" t="n">
        <v>46</v>
      </c>
      <c r="K993" s="3" t="n">
        <v>27429.56</v>
      </c>
      <c r="L993" s="3" t="n">
        <v>1261759.76</v>
      </c>
      <c r="M993" s="3" t="n">
        <v>0.0372</v>
      </c>
      <c r="N993" s="3" t="n">
        <v>46937.46</v>
      </c>
      <c r="O993" s="3" t="n">
        <v>1214822.3</v>
      </c>
      <c r="P993" s="3" t="n">
        <v>782291.05</v>
      </c>
      <c r="Q993" s="3" t="n">
        <v>432531.25</v>
      </c>
      <c r="R993" s="3" t="n">
        <v>0.356</v>
      </c>
      <c r="S993" s="3" t="n">
        <v>0.0395</v>
      </c>
      <c r="T993" s="3" t="n">
        <v>-0.0023</v>
      </c>
    </row>
    <row r="994" customFormat="false" ht="15" hidden="false" customHeight="true" outlineLevel="0" collapsed="false">
      <c r="A994" s="3" t="s">
        <v>1730</v>
      </c>
      <c r="B994" s="3" t="s">
        <v>1731</v>
      </c>
      <c r="C994" s="3" t="s">
        <v>93</v>
      </c>
      <c r="D994" s="3" t="s">
        <v>97</v>
      </c>
      <c r="E994" s="3" t="s">
        <v>48</v>
      </c>
      <c r="F994" s="3" t="s">
        <v>40</v>
      </c>
      <c r="G994" s="3" t="s">
        <v>41</v>
      </c>
      <c r="H994" s="3" t="s">
        <v>56</v>
      </c>
      <c r="I994" s="3" t="s">
        <v>188</v>
      </c>
      <c r="J994" s="3" t="n">
        <v>6</v>
      </c>
      <c r="K994" s="3" t="n">
        <v>9966.8</v>
      </c>
      <c r="L994" s="3" t="n">
        <v>59800.8</v>
      </c>
      <c r="M994" s="3" t="n">
        <v>0.092</v>
      </c>
      <c r="N994" s="3" t="n">
        <v>5501.67</v>
      </c>
      <c r="O994" s="3" t="n">
        <v>54299.13</v>
      </c>
      <c r="P994" s="3" t="n">
        <v>35880.48</v>
      </c>
      <c r="Q994" s="3" t="n">
        <v>18418.65</v>
      </c>
      <c r="R994" s="3" t="n">
        <v>0.3392</v>
      </c>
      <c r="S994" s="3" t="n">
        <v>0.0782</v>
      </c>
      <c r="T994" s="3" t="n">
        <v>0.0138</v>
      </c>
    </row>
    <row r="995" customFormat="false" ht="15" hidden="false" customHeight="true" outlineLevel="0" collapsed="false">
      <c r="A995" s="3" t="s">
        <v>1732</v>
      </c>
      <c r="B995" s="3" t="s">
        <v>1088</v>
      </c>
      <c r="C995" s="3" t="s">
        <v>120</v>
      </c>
      <c r="D995" s="3" t="s">
        <v>83</v>
      </c>
      <c r="E995" s="3" t="s">
        <v>48</v>
      </c>
      <c r="F995" s="3" t="s">
        <v>62</v>
      </c>
      <c r="G995" s="3" t="s">
        <v>71</v>
      </c>
      <c r="H995" s="3" t="s">
        <v>27</v>
      </c>
      <c r="I995" s="3" t="s">
        <v>173</v>
      </c>
      <c r="J995" s="3" t="n">
        <v>16</v>
      </c>
      <c r="K995" s="3" t="n">
        <v>25301.37</v>
      </c>
      <c r="L995" s="3" t="n">
        <v>404821.92</v>
      </c>
      <c r="M995" s="3" t="n">
        <v>0.0406</v>
      </c>
      <c r="N995" s="3" t="n">
        <v>16435.77</v>
      </c>
      <c r="O995" s="3" t="n">
        <v>388386.15</v>
      </c>
      <c r="P995" s="3" t="n">
        <v>250989.59</v>
      </c>
      <c r="Q995" s="3" t="n">
        <v>137396.56</v>
      </c>
      <c r="R995" s="3" t="n">
        <v>0.3538</v>
      </c>
      <c r="S995" s="3" t="n">
        <v>0.0337</v>
      </c>
      <c r="T995" s="3" t="n">
        <v>0.0069</v>
      </c>
    </row>
    <row r="996" customFormat="false" ht="15" hidden="false" customHeight="true" outlineLevel="0" collapsed="false">
      <c r="A996" s="3" t="s">
        <v>1733</v>
      </c>
      <c r="B996" s="3" t="s">
        <v>979</v>
      </c>
      <c r="C996" s="3" t="s">
        <v>53</v>
      </c>
      <c r="D996" s="3" t="s">
        <v>97</v>
      </c>
      <c r="E996" s="3" t="s">
        <v>48</v>
      </c>
      <c r="F996" s="3" t="s">
        <v>40</v>
      </c>
      <c r="G996" s="3" t="s">
        <v>49</v>
      </c>
      <c r="H996" s="3" t="s">
        <v>27</v>
      </c>
      <c r="I996" s="3" t="s">
        <v>117</v>
      </c>
      <c r="J996" s="3" t="n">
        <v>50</v>
      </c>
      <c r="K996" s="3" t="n">
        <v>36884.75</v>
      </c>
      <c r="L996" s="3" t="n">
        <v>1844237.5</v>
      </c>
      <c r="M996" s="3" t="n">
        <v>0.044</v>
      </c>
      <c r="N996" s="3" t="n">
        <v>81146.45</v>
      </c>
      <c r="O996" s="3" t="n">
        <v>1763091.05</v>
      </c>
      <c r="P996" s="3" t="n">
        <v>1143427.25</v>
      </c>
      <c r="Q996" s="3" t="n">
        <v>619663.8</v>
      </c>
      <c r="R996" s="3" t="n">
        <v>0.3515</v>
      </c>
      <c r="S996" s="3" t="n">
        <v>0.044</v>
      </c>
      <c r="T996" s="3" t="n">
        <v>0</v>
      </c>
    </row>
    <row r="997" customFormat="false" ht="15" hidden="false" customHeight="true" outlineLevel="0" collapsed="false">
      <c r="A997" s="3" t="s">
        <v>1734</v>
      </c>
      <c r="B997" s="3" t="s">
        <v>1735</v>
      </c>
      <c r="C997" s="3" t="s">
        <v>53</v>
      </c>
      <c r="D997" s="3" t="s">
        <v>23</v>
      </c>
      <c r="E997" s="3" t="s">
        <v>24</v>
      </c>
      <c r="F997" s="3" t="s">
        <v>25</v>
      </c>
      <c r="G997" s="3" t="s">
        <v>100</v>
      </c>
      <c r="H997" s="3" t="s">
        <v>27</v>
      </c>
      <c r="I997" s="3" t="s">
        <v>117</v>
      </c>
      <c r="J997" s="3" t="n">
        <v>32</v>
      </c>
      <c r="K997" s="3" t="n">
        <v>28273.54</v>
      </c>
      <c r="L997" s="3" t="n">
        <v>904753.28</v>
      </c>
      <c r="M997" s="3" t="n">
        <v>0.1299</v>
      </c>
      <c r="N997" s="3" t="n">
        <v>117527.45</v>
      </c>
      <c r="O997" s="3" t="n">
        <v>787225.83</v>
      </c>
      <c r="P997" s="3" t="n">
        <v>560947.03</v>
      </c>
      <c r="Q997" s="3" t="n">
        <v>226278.8</v>
      </c>
      <c r="R997" s="3" t="n">
        <v>0.2874</v>
      </c>
      <c r="S997" s="3" t="n">
        <v>0.1402</v>
      </c>
      <c r="T997" s="3" t="n">
        <v>-0.0103</v>
      </c>
    </row>
    <row r="998" customFormat="false" ht="15" hidden="false" customHeight="true" outlineLevel="0" collapsed="false">
      <c r="A998" s="3" t="s">
        <v>1736</v>
      </c>
      <c r="B998" s="3" t="s">
        <v>1078</v>
      </c>
      <c r="C998" s="3" t="s">
        <v>46</v>
      </c>
      <c r="D998" s="3" t="s">
        <v>38</v>
      </c>
      <c r="E998" s="3" t="s">
        <v>39</v>
      </c>
      <c r="F998" s="3" t="s">
        <v>40</v>
      </c>
      <c r="G998" s="3" t="s">
        <v>63</v>
      </c>
      <c r="H998" s="3" t="s">
        <v>27</v>
      </c>
      <c r="I998" s="3" t="s">
        <v>50</v>
      </c>
      <c r="J998" s="3" t="n">
        <v>48</v>
      </c>
      <c r="K998" s="3" t="n">
        <v>37125.35</v>
      </c>
      <c r="L998" s="3" t="n">
        <v>1782016.8</v>
      </c>
      <c r="M998" s="3" t="n">
        <v>0.0668</v>
      </c>
      <c r="N998" s="3" t="n">
        <v>119038.72</v>
      </c>
      <c r="O998" s="3" t="n">
        <v>1662978.08</v>
      </c>
      <c r="P998" s="3" t="n">
        <v>1104850.42</v>
      </c>
      <c r="Q998" s="3" t="n">
        <v>558127.66</v>
      </c>
      <c r="R998" s="3" t="n">
        <v>0.3356</v>
      </c>
      <c r="S998" s="3" t="n">
        <v>0.0665</v>
      </c>
      <c r="T998" s="3" t="n">
        <v>0.0003</v>
      </c>
    </row>
    <row r="999" customFormat="false" ht="15" hidden="false" customHeight="true" outlineLevel="0" collapsed="false">
      <c r="A999" s="3" t="s">
        <v>1737</v>
      </c>
      <c r="B999" s="3" t="s">
        <v>1738</v>
      </c>
      <c r="C999" s="3" t="s">
        <v>113</v>
      </c>
      <c r="D999" s="3" t="s">
        <v>107</v>
      </c>
      <c r="E999" s="3" t="s">
        <v>33</v>
      </c>
      <c r="F999" s="3" t="s">
        <v>70</v>
      </c>
      <c r="G999" s="3" t="s">
        <v>34</v>
      </c>
      <c r="H999" s="3" t="s">
        <v>77</v>
      </c>
      <c r="I999" s="3" t="s">
        <v>131</v>
      </c>
      <c r="J999" s="3" t="n">
        <v>19</v>
      </c>
      <c r="K999" s="3" t="n">
        <v>2443.65</v>
      </c>
      <c r="L999" s="3" t="n">
        <v>46429.35</v>
      </c>
      <c r="M999" s="3" t="n">
        <v>0.0579</v>
      </c>
      <c r="N999" s="3" t="n">
        <v>2688.26</v>
      </c>
      <c r="O999" s="3" t="n">
        <v>43741.09</v>
      </c>
      <c r="P999" s="3" t="n">
        <v>31571.96</v>
      </c>
      <c r="Q999" s="3" t="n">
        <v>12169.13</v>
      </c>
      <c r="R999" s="3" t="n">
        <v>0.2782</v>
      </c>
      <c r="S999" s="3" t="n">
        <v>0.0593</v>
      </c>
      <c r="T999" s="3" t="n">
        <v>-0.0014</v>
      </c>
    </row>
    <row r="1000" customFormat="false" ht="15" hidden="false" customHeight="true" outlineLevel="0" collapsed="false">
      <c r="A1000" s="3" t="s">
        <v>1739</v>
      </c>
      <c r="B1000" s="3" t="s">
        <v>1740</v>
      </c>
      <c r="C1000" s="3" t="s">
        <v>22</v>
      </c>
      <c r="D1000" s="3" t="s">
        <v>61</v>
      </c>
      <c r="E1000" s="3" t="s">
        <v>33</v>
      </c>
      <c r="F1000" s="3" t="s">
        <v>62</v>
      </c>
      <c r="G1000" s="3" t="s">
        <v>41</v>
      </c>
      <c r="H1000" s="3" t="s">
        <v>56</v>
      </c>
      <c r="I1000" s="3" t="s">
        <v>57</v>
      </c>
      <c r="J1000" s="3" t="n">
        <v>25</v>
      </c>
      <c r="K1000" s="3" t="n">
        <v>15653.28</v>
      </c>
      <c r="L1000" s="3" t="n">
        <v>391332</v>
      </c>
      <c r="M1000" s="3" t="n">
        <v>0.0789</v>
      </c>
      <c r="N1000" s="3" t="n">
        <v>30876.09</v>
      </c>
      <c r="O1000" s="3" t="n">
        <v>360455.91</v>
      </c>
      <c r="P1000" s="3" t="n">
        <v>234799.2</v>
      </c>
      <c r="Q1000" s="3" t="n">
        <v>125656.71</v>
      </c>
      <c r="R1000" s="3" t="n">
        <v>0.3486</v>
      </c>
      <c r="S1000" s="3" t="n">
        <v>0.0771</v>
      </c>
      <c r="T1000" s="3" t="n">
        <v>0.0018</v>
      </c>
    </row>
    <row r="1001" customFormat="false" ht="15" hidden="false" customHeight="true" outlineLevel="0" collapsed="false">
      <c r="A1001" s="3" t="s">
        <v>1741</v>
      </c>
      <c r="B1001" s="3" t="s">
        <v>1514</v>
      </c>
      <c r="C1001" s="3" t="s">
        <v>120</v>
      </c>
      <c r="D1001" s="3" t="s">
        <v>69</v>
      </c>
      <c r="E1001" s="3" t="s">
        <v>39</v>
      </c>
      <c r="F1001" s="3" t="s">
        <v>70</v>
      </c>
      <c r="G1001" s="3" t="s">
        <v>49</v>
      </c>
      <c r="H1001" s="3" t="s">
        <v>77</v>
      </c>
      <c r="I1001" s="3" t="s">
        <v>78</v>
      </c>
      <c r="J1001" s="3" t="n">
        <v>44</v>
      </c>
      <c r="K1001" s="3" t="n">
        <v>4902.15</v>
      </c>
      <c r="L1001" s="3" t="n">
        <v>215694.6</v>
      </c>
      <c r="M1001" s="3" t="n">
        <v>0.0767</v>
      </c>
      <c r="N1001" s="3" t="n">
        <v>16543.78</v>
      </c>
      <c r="O1001" s="3" t="n">
        <v>199150.82</v>
      </c>
      <c r="P1001" s="3" t="n">
        <v>146672.33</v>
      </c>
      <c r="Q1001" s="3" t="n">
        <v>52478.49</v>
      </c>
      <c r="R1001" s="3" t="n">
        <v>0.2635</v>
      </c>
      <c r="S1001" s="3" t="n">
        <v>0.0733</v>
      </c>
      <c r="T1001" s="3" t="n">
        <v>0.0034</v>
      </c>
    </row>
    <row r="1002" customFormat="false" ht="15" hidden="false" customHeight="true" outlineLevel="0" collapsed="false">
      <c r="A1002" s="3" t="s">
        <v>1742</v>
      </c>
      <c r="B1002" s="3" t="s">
        <v>1743</v>
      </c>
      <c r="C1002" s="3" t="s">
        <v>126</v>
      </c>
      <c r="D1002" s="3" t="s">
        <v>38</v>
      </c>
      <c r="E1002" s="3" t="s">
        <v>39</v>
      </c>
      <c r="F1002" s="3" t="s">
        <v>40</v>
      </c>
      <c r="G1002" s="3" t="s">
        <v>116</v>
      </c>
      <c r="H1002" s="3" t="s">
        <v>56</v>
      </c>
      <c r="I1002" s="3" t="s">
        <v>188</v>
      </c>
      <c r="J1002" s="3" t="n">
        <v>35</v>
      </c>
      <c r="K1002" s="3" t="n">
        <v>8325</v>
      </c>
      <c r="L1002" s="3" t="n">
        <v>291375</v>
      </c>
      <c r="M1002" s="3" t="n">
        <v>0.1053</v>
      </c>
      <c r="N1002" s="3" t="n">
        <v>30681.79</v>
      </c>
      <c r="O1002" s="3" t="n">
        <v>260693.21</v>
      </c>
      <c r="P1002" s="3" t="n">
        <v>174825</v>
      </c>
      <c r="Q1002" s="3" t="n">
        <v>85868.21</v>
      </c>
      <c r="R1002" s="3" t="n">
        <v>0.3294</v>
      </c>
      <c r="S1002" s="3" t="n">
        <v>0.1106</v>
      </c>
      <c r="T1002" s="3" t="n">
        <v>-0.0053</v>
      </c>
    </row>
    <row r="1003" customFormat="false" ht="15" hidden="false" customHeight="true" outlineLevel="0" collapsed="false">
      <c r="A1003" s="3" t="s">
        <v>1744</v>
      </c>
      <c r="B1003" s="3" t="s">
        <v>1706</v>
      </c>
      <c r="C1003" s="3" t="s">
        <v>156</v>
      </c>
      <c r="D1003" s="3" t="s">
        <v>83</v>
      </c>
      <c r="E1003" s="3" t="s">
        <v>48</v>
      </c>
      <c r="F1003" s="3" t="s">
        <v>62</v>
      </c>
      <c r="G1003" s="3" t="s">
        <v>55</v>
      </c>
      <c r="H1003" s="3" t="s">
        <v>77</v>
      </c>
      <c r="I1003" s="3" t="s">
        <v>131</v>
      </c>
      <c r="J1003" s="3" t="n">
        <v>48</v>
      </c>
      <c r="K1003" s="3" t="n">
        <v>2560.29</v>
      </c>
      <c r="L1003" s="3" t="n">
        <v>122893.92</v>
      </c>
      <c r="M1003" s="3" t="n">
        <v>0.0633</v>
      </c>
      <c r="N1003" s="3" t="n">
        <v>7779.19</v>
      </c>
      <c r="O1003" s="3" t="n">
        <v>115114.73</v>
      </c>
      <c r="P1003" s="3" t="n">
        <v>83567.87</v>
      </c>
      <c r="Q1003" s="3" t="n">
        <v>31546.86</v>
      </c>
      <c r="R1003" s="3" t="n">
        <v>0.274</v>
      </c>
      <c r="S1003" s="3" t="n">
        <v>0.062</v>
      </c>
      <c r="T1003" s="3" t="n">
        <v>0.0013</v>
      </c>
    </row>
    <row r="1004" customFormat="false" ht="15" hidden="false" customHeight="true" outlineLevel="0" collapsed="false">
      <c r="A1004" s="3" t="s">
        <v>1745</v>
      </c>
      <c r="B1004" s="3" t="s">
        <v>356</v>
      </c>
      <c r="C1004" s="3" t="s">
        <v>113</v>
      </c>
      <c r="D1004" s="3" t="s">
        <v>54</v>
      </c>
      <c r="E1004" s="3" t="s">
        <v>24</v>
      </c>
      <c r="F1004" s="3" t="s">
        <v>40</v>
      </c>
      <c r="G1004" s="3" t="s">
        <v>116</v>
      </c>
      <c r="H1004" s="3" t="s">
        <v>56</v>
      </c>
      <c r="I1004" s="3" t="s">
        <v>121</v>
      </c>
      <c r="J1004" s="3" t="n">
        <v>46</v>
      </c>
      <c r="K1004" s="3" t="n">
        <v>6375.24</v>
      </c>
      <c r="L1004" s="3" t="n">
        <v>293261.04</v>
      </c>
      <c r="M1004" s="3" t="n">
        <v>0.1039</v>
      </c>
      <c r="N1004" s="3" t="n">
        <v>30469.82</v>
      </c>
      <c r="O1004" s="3" t="n">
        <v>262791.22</v>
      </c>
      <c r="P1004" s="3" t="n">
        <v>175956.62</v>
      </c>
      <c r="Q1004" s="3" t="n">
        <v>86834.6</v>
      </c>
      <c r="R1004" s="3" t="n">
        <v>0.3304</v>
      </c>
      <c r="S1004" s="3" t="n">
        <v>0.0986</v>
      </c>
      <c r="T1004" s="3" t="n">
        <v>0.0053</v>
      </c>
    </row>
    <row r="1005" customFormat="false" ht="15" hidden="false" customHeight="true" outlineLevel="0" collapsed="false">
      <c r="A1005" s="3" t="s">
        <v>1746</v>
      </c>
      <c r="B1005" s="3" t="s">
        <v>256</v>
      </c>
      <c r="C1005" s="3" t="s">
        <v>53</v>
      </c>
      <c r="D1005" s="3" t="s">
        <v>97</v>
      </c>
      <c r="E1005" s="3" t="s">
        <v>48</v>
      </c>
      <c r="F1005" s="3" t="s">
        <v>40</v>
      </c>
      <c r="G1005" s="3" t="s">
        <v>49</v>
      </c>
      <c r="H1005" s="3" t="s">
        <v>77</v>
      </c>
      <c r="I1005" s="3" t="s">
        <v>131</v>
      </c>
      <c r="J1005" s="3" t="n">
        <v>46</v>
      </c>
      <c r="K1005" s="3" t="n">
        <v>1932.97</v>
      </c>
      <c r="L1005" s="3" t="n">
        <v>88916.62</v>
      </c>
      <c r="M1005" s="3" t="n">
        <v>0.0405</v>
      </c>
      <c r="N1005" s="3" t="n">
        <v>3601.12</v>
      </c>
      <c r="O1005" s="3" t="n">
        <v>85315.5</v>
      </c>
      <c r="P1005" s="3" t="n">
        <v>60463.3</v>
      </c>
      <c r="Q1005" s="3" t="n">
        <v>24852.2</v>
      </c>
      <c r="R1005" s="3" t="n">
        <v>0.2913</v>
      </c>
      <c r="S1005" s="3" t="n">
        <v>0.0409</v>
      </c>
      <c r="T1005" s="3" t="n">
        <v>-0.0004</v>
      </c>
    </row>
    <row r="1006" customFormat="false" ht="15" hidden="false" customHeight="true" outlineLevel="0" collapsed="false">
      <c r="A1006" s="3" t="s">
        <v>1747</v>
      </c>
      <c r="B1006" s="3" t="s">
        <v>1748</v>
      </c>
      <c r="C1006" s="3" t="s">
        <v>156</v>
      </c>
      <c r="D1006" s="3" t="s">
        <v>32</v>
      </c>
      <c r="E1006" s="3" t="s">
        <v>33</v>
      </c>
      <c r="F1006" s="3" t="s">
        <v>25</v>
      </c>
      <c r="G1006" s="3" t="s">
        <v>26</v>
      </c>
      <c r="H1006" s="3" t="s">
        <v>64</v>
      </c>
      <c r="I1006" s="3" t="s">
        <v>90</v>
      </c>
      <c r="J1006" s="3" t="n">
        <v>43</v>
      </c>
      <c r="K1006" s="3" t="n">
        <v>6526.27</v>
      </c>
      <c r="L1006" s="3" t="n">
        <v>280629.61</v>
      </c>
      <c r="M1006" s="3" t="n">
        <v>0.1284</v>
      </c>
      <c r="N1006" s="3" t="n">
        <v>36032.84</v>
      </c>
      <c r="O1006" s="3" t="n">
        <v>244596.77</v>
      </c>
      <c r="P1006" s="3" t="n">
        <v>162765.17</v>
      </c>
      <c r="Q1006" s="3" t="n">
        <v>81831.6</v>
      </c>
      <c r="R1006" s="3" t="n">
        <v>0.3346</v>
      </c>
      <c r="S1006" s="3" t="n">
        <v>0.1238</v>
      </c>
      <c r="T1006" s="3" t="n">
        <v>0.0046</v>
      </c>
    </row>
    <row r="1007" customFormat="false" ht="15" hidden="false" customHeight="true" outlineLevel="0" collapsed="false">
      <c r="A1007" s="3" t="s">
        <v>1749</v>
      </c>
      <c r="B1007" s="3" t="s">
        <v>903</v>
      </c>
      <c r="C1007" s="3" t="s">
        <v>22</v>
      </c>
      <c r="D1007" s="3" t="s">
        <v>103</v>
      </c>
      <c r="E1007" s="3" t="s">
        <v>24</v>
      </c>
      <c r="F1007" s="3" t="s">
        <v>62</v>
      </c>
      <c r="G1007" s="3" t="s">
        <v>84</v>
      </c>
      <c r="H1007" s="3" t="s">
        <v>77</v>
      </c>
      <c r="I1007" s="3" t="s">
        <v>85</v>
      </c>
      <c r="J1007" s="3" t="n">
        <v>49</v>
      </c>
      <c r="K1007" s="3" t="n">
        <v>5953.51</v>
      </c>
      <c r="L1007" s="3" t="n">
        <v>291721.99</v>
      </c>
      <c r="M1007" s="3" t="n">
        <v>0.0496</v>
      </c>
      <c r="N1007" s="3" t="n">
        <v>14469.41</v>
      </c>
      <c r="O1007" s="3" t="n">
        <v>277252.58</v>
      </c>
      <c r="P1007" s="3" t="n">
        <v>198370.95</v>
      </c>
      <c r="Q1007" s="3" t="n">
        <v>78881.63</v>
      </c>
      <c r="R1007" s="3" t="n">
        <v>0.2845</v>
      </c>
      <c r="S1007" s="3" t="n">
        <v>0.0475</v>
      </c>
      <c r="T1007" s="3" t="n">
        <v>0.0021</v>
      </c>
    </row>
    <row r="1008" customFormat="false" ht="15" hidden="false" customHeight="true" outlineLevel="0" collapsed="false">
      <c r="A1008" s="3" t="s">
        <v>1750</v>
      </c>
      <c r="B1008" s="3" t="s">
        <v>1751</v>
      </c>
      <c r="C1008" s="3" t="s">
        <v>22</v>
      </c>
      <c r="D1008" s="3" t="s">
        <v>54</v>
      </c>
      <c r="E1008" s="3" t="s">
        <v>24</v>
      </c>
      <c r="F1008" s="3" t="s">
        <v>40</v>
      </c>
      <c r="G1008" s="3" t="s">
        <v>34</v>
      </c>
      <c r="H1008" s="3" t="s">
        <v>42</v>
      </c>
      <c r="I1008" s="3" t="s">
        <v>72</v>
      </c>
      <c r="J1008" s="3" t="n">
        <v>36</v>
      </c>
      <c r="K1008" s="3" t="n">
        <v>2953.88</v>
      </c>
      <c r="L1008" s="3" t="n">
        <v>106339.68</v>
      </c>
      <c r="M1008" s="3" t="n">
        <v>0.0749</v>
      </c>
      <c r="N1008" s="3" t="n">
        <v>7964.84</v>
      </c>
      <c r="O1008" s="3" t="n">
        <v>98374.84</v>
      </c>
      <c r="P1008" s="3" t="n">
        <v>58486.82</v>
      </c>
      <c r="Q1008" s="3" t="n">
        <v>39888.02</v>
      </c>
      <c r="R1008" s="3" t="n">
        <v>0.4055</v>
      </c>
      <c r="S1008" s="3" t="n">
        <v>0.079</v>
      </c>
      <c r="T1008" s="3" t="n">
        <v>-0.0041</v>
      </c>
    </row>
    <row r="1009" customFormat="false" ht="15" hidden="false" customHeight="true" outlineLevel="0" collapsed="false">
      <c r="A1009" s="3" t="s">
        <v>1752</v>
      </c>
      <c r="B1009" s="3" t="s">
        <v>278</v>
      </c>
      <c r="C1009" s="3" t="s">
        <v>93</v>
      </c>
      <c r="D1009" s="3" t="s">
        <v>97</v>
      </c>
      <c r="E1009" s="3" t="s">
        <v>48</v>
      </c>
      <c r="F1009" s="3" t="s">
        <v>40</v>
      </c>
      <c r="G1009" s="3" t="s">
        <v>71</v>
      </c>
      <c r="H1009" s="3" t="s">
        <v>42</v>
      </c>
      <c r="I1009" s="3" t="s">
        <v>134</v>
      </c>
      <c r="J1009" s="3" t="n">
        <v>9</v>
      </c>
      <c r="K1009" s="3" t="n">
        <v>1072.93</v>
      </c>
      <c r="L1009" s="3" t="n">
        <v>9656.37</v>
      </c>
      <c r="M1009" s="3" t="n">
        <v>0.0521</v>
      </c>
      <c r="N1009" s="3" t="n">
        <v>503.1</v>
      </c>
      <c r="O1009" s="3" t="n">
        <v>9153.27</v>
      </c>
      <c r="P1009" s="3" t="n">
        <v>5311</v>
      </c>
      <c r="Q1009" s="3" t="n">
        <v>3842.27</v>
      </c>
      <c r="R1009" s="3" t="n">
        <v>0.4198</v>
      </c>
      <c r="S1009" s="3" t="n">
        <v>0.0462</v>
      </c>
      <c r="T1009" s="3" t="n">
        <v>0.0059</v>
      </c>
    </row>
    <row r="1010" customFormat="false" ht="15" hidden="false" customHeight="true" outlineLevel="0" collapsed="false">
      <c r="A1010" s="3" t="s">
        <v>1753</v>
      </c>
      <c r="B1010" s="3" t="s">
        <v>1367</v>
      </c>
      <c r="C1010" s="3" t="s">
        <v>120</v>
      </c>
      <c r="D1010" s="3" t="s">
        <v>75</v>
      </c>
      <c r="E1010" s="3" t="s">
        <v>39</v>
      </c>
      <c r="F1010" s="3" t="s">
        <v>25</v>
      </c>
      <c r="G1010" s="3" t="s">
        <v>26</v>
      </c>
      <c r="H1010" s="3" t="s">
        <v>64</v>
      </c>
      <c r="I1010" s="3" t="s">
        <v>108</v>
      </c>
      <c r="J1010" s="3" t="n">
        <v>42</v>
      </c>
      <c r="K1010" s="3" t="n">
        <v>4760.9</v>
      </c>
      <c r="L1010" s="3" t="n">
        <v>199957.8</v>
      </c>
      <c r="M1010" s="3" t="n">
        <v>0.1285</v>
      </c>
      <c r="N1010" s="3" t="n">
        <v>25694.58</v>
      </c>
      <c r="O1010" s="3" t="n">
        <v>174263.22</v>
      </c>
      <c r="P1010" s="3" t="n">
        <v>115975.52</v>
      </c>
      <c r="Q1010" s="3" t="n">
        <v>58287.7</v>
      </c>
      <c r="R1010" s="3" t="n">
        <v>0.3345</v>
      </c>
      <c r="S1010" s="3" t="n">
        <v>0.129</v>
      </c>
      <c r="T1010" s="3" t="n">
        <v>-0.0005</v>
      </c>
    </row>
    <row r="1011" customFormat="false" ht="15" hidden="false" customHeight="true" outlineLevel="0" collapsed="false">
      <c r="A1011" s="3" t="s">
        <v>1754</v>
      </c>
      <c r="B1011" s="3" t="s">
        <v>1755</v>
      </c>
      <c r="C1011" s="3" t="s">
        <v>113</v>
      </c>
      <c r="D1011" s="3" t="s">
        <v>75</v>
      </c>
      <c r="E1011" s="3" t="s">
        <v>39</v>
      </c>
      <c r="F1011" s="3" t="s">
        <v>25</v>
      </c>
      <c r="G1011" s="3" t="s">
        <v>71</v>
      </c>
      <c r="H1011" s="3" t="s">
        <v>77</v>
      </c>
      <c r="I1011" s="3" t="s">
        <v>78</v>
      </c>
      <c r="J1011" s="3" t="n">
        <v>4</v>
      </c>
      <c r="K1011" s="3" t="n">
        <v>5239.97</v>
      </c>
      <c r="L1011" s="3" t="n">
        <v>20959.88</v>
      </c>
      <c r="M1011" s="3" t="n">
        <v>0.1527</v>
      </c>
      <c r="N1011" s="3" t="n">
        <v>3200.57</v>
      </c>
      <c r="O1011" s="3" t="n">
        <v>17759.31</v>
      </c>
      <c r="P1011" s="3" t="n">
        <v>14252.72</v>
      </c>
      <c r="Q1011" s="3" t="n">
        <v>3506.59</v>
      </c>
      <c r="R1011" s="3" t="n">
        <v>0.1975</v>
      </c>
      <c r="S1011" s="3" t="n">
        <v>0.1655</v>
      </c>
      <c r="T1011" s="3" t="n">
        <v>-0.0128</v>
      </c>
    </row>
    <row r="1012" customFormat="false" ht="15" hidden="false" customHeight="true" outlineLevel="0" collapsed="false">
      <c r="A1012" s="3" t="s">
        <v>1756</v>
      </c>
      <c r="B1012" s="3" t="s">
        <v>1635</v>
      </c>
      <c r="C1012" s="3" t="s">
        <v>31</v>
      </c>
      <c r="D1012" s="3" t="s">
        <v>61</v>
      </c>
      <c r="E1012" s="3" t="s">
        <v>33</v>
      </c>
      <c r="F1012" s="3" t="s">
        <v>62</v>
      </c>
      <c r="G1012" s="3" t="s">
        <v>49</v>
      </c>
      <c r="H1012" s="3" t="s">
        <v>56</v>
      </c>
      <c r="I1012" s="3" t="s">
        <v>121</v>
      </c>
      <c r="J1012" s="3" t="n">
        <v>10</v>
      </c>
      <c r="K1012" s="3" t="n">
        <v>11494.28</v>
      </c>
      <c r="L1012" s="3" t="n">
        <v>114942.8</v>
      </c>
      <c r="M1012" s="3" t="n">
        <v>0.0613</v>
      </c>
      <c r="N1012" s="3" t="n">
        <v>7045.99</v>
      </c>
      <c r="O1012" s="3" t="n">
        <v>107896.81</v>
      </c>
      <c r="P1012" s="3" t="n">
        <v>68965.68</v>
      </c>
      <c r="Q1012" s="3" t="n">
        <v>38931.13</v>
      </c>
      <c r="R1012" s="3" t="n">
        <v>0.3608</v>
      </c>
      <c r="S1012" s="3" t="n">
        <v>0.0536</v>
      </c>
      <c r="T1012" s="3" t="n">
        <v>0.0077</v>
      </c>
    </row>
    <row r="1013" customFormat="false" ht="15" hidden="false" customHeight="true" outlineLevel="0" collapsed="false">
      <c r="A1013" s="3" t="s">
        <v>1757</v>
      </c>
      <c r="B1013" s="3" t="s">
        <v>215</v>
      </c>
      <c r="C1013" s="3" t="s">
        <v>46</v>
      </c>
      <c r="D1013" s="3" t="s">
        <v>61</v>
      </c>
      <c r="E1013" s="3" t="s">
        <v>33</v>
      </c>
      <c r="F1013" s="3" t="s">
        <v>62</v>
      </c>
      <c r="G1013" s="3" t="s">
        <v>84</v>
      </c>
      <c r="H1013" s="3" t="s">
        <v>64</v>
      </c>
      <c r="I1013" s="3" t="s">
        <v>90</v>
      </c>
      <c r="J1013" s="3" t="n">
        <v>39</v>
      </c>
      <c r="K1013" s="3" t="n">
        <v>5724.21</v>
      </c>
      <c r="L1013" s="3" t="n">
        <v>223244.19</v>
      </c>
      <c r="M1013" s="3" t="n">
        <v>0.0777</v>
      </c>
      <c r="N1013" s="3" t="n">
        <v>17346.07</v>
      </c>
      <c r="O1013" s="3" t="n">
        <v>205898.12</v>
      </c>
      <c r="P1013" s="3" t="n">
        <v>129481.63</v>
      </c>
      <c r="Q1013" s="3" t="n">
        <v>76416.49</v>
      </c>
      <c r="R1013" s="3" t="n">
        <v>0.3711</v>
      </c>
      <c r="S1013" s="3" t="n">
        <v>0.0803</v>
      </c>
      <c r="T1013" s="3" t="n">
        <v>-0.0026</v>
      </c>
    </row>
    <row r="1014" customFormat="false" ht="15" hidden="false" customHeight="true" outlineLevel="0" collapsed="false">
      <c r="A1014" s="3" t="s">
        <v>1758</v>
      </c>
      <c r="B1014" s="3" t="s">
        <v>360</v>
      </c>
      <c r="C1014" s="3" t="s">
        <v>120</v>
      </c>
      <c r="D1014" s="3" t="s">
        <v>23</v>
      </c>
      <c r="E1014" s="3" t="s">
        <v>24</v>
      </c>
      <c r="F1014" s="3" t="s">
        <v>25</v>
      </c>
      <c r="G1014" s="3" t="s">
        <v>71</v>
      </c>
      <c r="H1014" s="3" t="s">
        <v>27</v>
      </c>
      <c r="I1014" s="3" t="s">
        <v>173</v>
      </c>
      <c r="J1014" s="3" t="n">
        <v>41</v>
      </c>
      <c r="K1014" s="3" t="n">
        <v>20227.23</v>
      </c>
      <c r="L1014" s="3" t="n">
        <v>829316.43</v>
      </c>
      <c r="M1014" s="3" t="n">
        <v>0.132</v>
      </c>
      <c r="N1014" s="3" t="n">
        <v>109469.77</v>
      </c>
      <c r="O1014" s="3" t="n">
        <v>719846.66</v>
      </c>
      <c r="P1014" s="3" t="n">
        <v>514176.19</v>
      </c>
      <c r="Q1014" s="3" t="n">
        <v>205670.47</v>
      </c>
      <c r="R1014" s="3" t="n">
        <v>0.2857</v>
      </c>
      <c r="S1014" s="3" t="n">
        <v>0.1103</v>
      </c>
      <c r="T1014" s="3" t="n">
        <v>0.0217</v>
      </c>
    </row>
    <row r="1015" customFormat="false" ht="15" hidden="false" customHeight="true" outlineLevel="0" collapsed="false">
      <c r="A1015" s="3" t="s">
        <v>1759</v>
      </c>
      <c r="B1015" s="3" t="s">
        <v>1586</v>
      </c>
      <c r="C1015" s="3" t="s">
        <v>93</v>
      </c>
      <c r="D1015" s="3" t="s">
        <v>61</v>
      </c>
      <c r="E1015" s="3" t="s">
        <v>33</v>
      </c>
      <c r="F1015" s="3" t="s">
        <v>62</v>
      </c>
      <c r="G1015" s="3" t="s">
        <v>71</v>
      </c>
      <c r="H1015" s="3" t="s">
        <v>77</v>
      </c>
      <c r="I1015" s="3" t="s">
        <v>85</v>
      </c>
      <c r="J1015" s="3" t="n">
        <v>15</v>
      </c>
      <c r="K1015" s="3" t="n">
        <v>5560.7</v>
      </c>
      <c r="L1015" s="3" t="n">
        <v>83410.5</v>
      </c>
      <c r="M1015" s="3" t="n">
        <v>0.0312</v>
      </c>
      <c r="N1015" s="3" t="n">
        <v>2602.41</v>
      </c>
      <c r="O1015" s="3" t="n">
        <v>80808.09</v>
      </c>
      <c r="P1015" s="3" t="n">
        <v>56719.14</v>
      </c>
      <c r="Q1015" s="3" t="n">
        <v>24088.95</v>
      </c>
      <c r="R1015" s="3" t="n">
        <v>0.2981</v>
      </c>
      <c r="S1015" s="3" t="n">
        <v>0.0275</v>
      </c>
      <c r="T1015" s="3" t="n">
        <v>0.0037</v>
      </c>
    </row>
    <row r="1016" customFormat="false" ht="15" hidden="false" customHeight="true" outlineLevel="0" collapsed="false">
      <c r="A1016" s="3" t="s">
        <v>1760</v>
      </c>
      <c r="B1016" s="3" t="s">
        <v>1352</v>
      </c>
      <c r="C1016" s="3" t="s">
        <v>120</v>
      </c>
      <c r="D1016" s="3" t="s">
        <v>97</v>
      </c>
      <c r="E1016" s="3" t="s">
        <v>48</v>
      </c>
      <c r="F1016" s="3" t="s">
        <v>40</v>
      </c>
      <c r="G1016" s="3" t="s">
        <v>41</v>
      </c>
      <c r="H1016" s="3" t="s">
        <v>27</v>
      </c>
      <c r="I1016" s="3" t="s">
        <v>94</v>
      </c>
      <c r="J1016" s="3" t="n">
        <v>42</v>
      </c>
      <c r="K1016" s="3" t="n">
        <v>20286.72</v>
      </c>
      <c r="L1016" s="3" t="n">
        <v>852042.24</v>
      </c>
      <c r="M1016" s="3" t="n">
        <v>0.0971</v>
      </c>
      <c r="N1016" s="3" t="n">
        <v>82733.3</v>
      </c>
      <c r="O1016" s="3" t="n">
        <v>769308.94</v>
      </c>
      <c r="P1016" s="3" t="n">
        <v>528266.19</v>
      </c>
      <c r="Q1016" s="3" t="n">
        <v>241042.75</v>
      </c>
      <c r="R1016" s="3" t="n">
        <v>0.3133</v>
      </c>
      <c r="S1016" s="3" t="n">
        <v>0.0806</v>
      </c>
      <c r="T1016" s="3" t="n">
        <v>0.0165</v>
      </c>
    </row>
    <row r="1017" customFormat="false" ht="15" hidden="false" customHeight="true" outlineLevel="0" collapsed="false">
      <c r="A1017" s="3" t="s">
        <v>1761</v>
      </c>
      <c r="B1017" s="3" t="s">
        <v>1762</v>
      </c>
      <c r="C1017" s="3" t="s">
        <v>68</v>
      </c>
      <c r="D1017" s="3" t="s">
        <v>61</v>
      </c>
      <c r="E1017" s="3" t="s">
        <v>33</v>
      </c>
      <c r="F1017" s="3" t="s">
        <v>62</v>
      </c>
      <c r="G1017" s="3" t="s">
        <v>63</v>
      </c>
      <c r="H1017" s="3" t="s">
        <v>56</v>
      </c>
      <c r="I1017" s="3" t="s">
        <v>188</v>
      </c>
      <c r="J1017" s="3" t="n">
        <v>2</v>
      </c>
      <c r="K1017" s="3" t="n">
        <v>15005.89</v>
      </c>
      <c r="L1017" s="3" t="n">
        <v>30011.78</v>
      </c>
      <c r="M1017" s="3" t="n">
        <v>0.0497</v>
      </c>
      <c r="N1017" s="3" t="n">
        <v>1491.59</v>
      </c>
      <c r="O1017" s="3" t="n">
        <v>28520.19</v>
      </c>
      <c r="P1017" s="3" t="n">
        <v>18007.07</v>
      </c>
      <c r="Q1017" s="3" t="n">
        <v>10513.12</v>
      </c>
      <c r="R1017" s="3" t="n">
        <v>0.3686</v>
      </c>
      <c r="S1017" s="3" t="n">
        <v>0.047</v>
      </c>
      <c r="T1017" s="3" t="n">
        <v>0.0027</v>
      </c>
    </row>
    <row r="1018" customFormat="false" ht="15" hidden="false" customHeight="true" outlineLevel="0" collapsed="false">
      <c r="A1018" s="3" t="s">
        <v>1763</v>
      </c>
      <c r="B1018" s="3" t="s">
        <v>496</v>
      </c>
      <c r="C1018" s="3" t="s">
        <v>113</v>
      </c>
      <c r="D1018" s="3" t="s">
        <v>107</v>
      </c>
      <c r="E1018" s="3" t="s">
        <v>33</v>
      </c>
      <c r="F1018" s="3" t="s">
        <v>70</v>
      </c>
      <c r="G1018" s="3" t="s">
        <v>26</v>
      </c>
      <c r="H1018" s="3" t="s">
        <v>56</v>
      </c>
      <c r="I1018" s="3" t="s">
        <v>121</v>
      </c>
      <c r="J1018" s="3" t="n">
        <v>42</v>
      </c>
      <c r="K1018" s="3" t="n">
        <v>15101.24</v>
      </c>
      <c r="L1018" s="3" t="n">
        <v>634252.08</v>
      </c>
      <c r="M1018" s="3" t="n">
        <v>0.0362</v>
      </c>
      <c r="N1018" s="3" t="n">
        <v>22959.93</v>
      </c>
      <c r="O1018" s="3" t="n">
        <v>611292.15</v>
      </c>
      <c r="P1018" s="3" t="n">
        <v>380551.25</v>
      </c>
      <c r="Q1018" s="3" t="n">
        <v>230740.9</v>
      </c>
      <c r="R1018" s="3" t="n">
        <v>0.3775</v>
      </c>
      <c r="S1018" s="3" t="n">
        <v>0.0395</v>
      </c>
      <c r="T1018" s="3" t="n">
        <v>-0.0033</v>
      </c>
    </row>
    <row r="1019" customFormat="false" ht="15" hidden="false" customHeight="true" outlineLevel="0" collapsed="false">
      <c r="A1019" s="3" t="s">
        <v>1764</v>
      </c>
      <c r="B1019" s="3" t="s">
        <v>1765</v>
      </c>
      <c r="C1019" s="3" t="s">
        <v>113</v>
      </c>
      <c r="D1019" s="3" t="s">
        <v>61</v>
      </c>
      <c r="E1019" s="3" t="s">
        <v>33</v>
      </c>
      <c r="F1019" s="3" t="s">
        <v>62</v>
      </c>
      <c r="G1019" s="3" t="s">
        <v>104</v>
      </c>
      <c r="H1019" s="3" t="s">
        <v>64</v>
      </c>
      <c r="I1019" s="3" t="s">
        <v>108</v>
      </c>
      <c r="J1019" s="3" t="n">
        <v>21</v>
      </c>
      <c r="K1019" s="3" t="n">
        <v>7992.5</v>
      </c>
      <c r="L1019" s="3" t="n">
        <v>167842.5</v>
      </c>
      <c r="M1019" s="3" t="n">
        <v>0.0613</v>
      </c>
      <c r="N1019" s="3" t="n">
        <v>10288.75</v>
      </c>
      <c r="O1019" s="3" t="n">
        <v>157553.75</v>
      </c>
      <c r="P1019" s="3" t="n">
        <v>97348.65</v>
      </c>
      <c r="Q1019" s="3" t="n">
        <v>60205.1</v>
      </c>
      <c r="R1019" s="3" t="n">
        <v>0.3821</v>
      </c>
      <c r="S1019" s="3" t="n">
        <v>0.061</v>
      </c>
      <c r="T1019" s="3" t="n">
        <v>0.0003</v>
      </c>
    </row>
    <row r="1020" customFormat="false" ht="15" hidden="false" customHeight="true" outlineLevel="0" collapsed="false">
      <c r="A1020" s="3" t="s">
        <v>1766</v>
      </c>
      <c r="B1020" s="3" t="s">
        <v>1679</v>
      </c>
      <c r="C1020" s="3" t="s">
        <v>60</v>
      </c>
      <c r="D1020" s="3" t="s">
        <v>61</v>
      </c>
      <c r="E1020" s="3" t="s">
        <v>33</v>
      </c>
      <c r="F1020" s="3" t="s">
        <v>62</v>
      </c>
      <c r="G1020" s="3" t="s">
        <v>104</v>
      </c>
      <c r="H1020" s="3" t="s">
        <v>56</v>
      </c>
      <c r="I1020" s="3" t="s">
        <v>57</v>
      </c>
      <c r="J1020" s="3" t="n">
        <v>8</v>
      </c>
      <c r="K1020" s="3" t="n">
        <v>3353.77</v>
      </c>
      <c r="L1020" s="3" t="n">
        <v>26830.16</v>
      </c>
      <c r="M1020" s="3" t="n">
        <v>0.0898</v>
      </c>
      <c r="N1020" s="3" t="n">
        <v>2409.35</v>
      </c>
      <c r="O1020" s="3" t="n">
        <v>24420.81</v>
      </c>
      <c r="P1020" s="3" t="n">
        <v>16098.1</v>
      </c>
      <c r="Q1020" s="3" t="n">
        <v>8322.71</v>
      </c>
      <c r="R1020" s="3" t="n">
        <v>0.3408</v>
      </c>
      <c r="S1020" s="3" t="n">
        <v>0.0833</v>
      </c>
      <c r="T1020" s="3" t="n">
        <v>0.0065</v>
      </c>
    </row>
    <row r="1021" customFormat="false" ht="15" hidden="false" customHeight="true" outlineLevel="0" collapsed="false">
      <c r="A1021" s="3" t="s">
        <v>1767</v>
      </c>
      <c r="B1021" s="3" t="s">
        <v>67</v>
      </c>
      <c r="C1021" s="3" t="s">
        <v>68</v>
      </c>
      <c r="D1021" s="3" t="s">
        <v>23</v>
      </c>
      <c r="E1021" s="3" t="s">
        <v>24</v>
      </c>
      <c r="F1021" s="3" t="s">
        <v>25</v>
      </c>
      <c r="G1021" s="3" t="s">
        <v>76</v>
      </c>
      <c r="H1021" s="3" t="s">
        <v>27</v>
      </c>
      <c r="I1021" s="3" t="s">
        <v>117</v>
      </c>
      <c r="J1021" s="3" t="n">
        <v>34</v>
      </c>
      <c r="K1021" s="3" t="n">
        <v>9477.32</v>
      </c>
      <c r="L1021" s="3" t="n">
        <v>322228.88</v>
      </c>
      <c r="M1021" s="3" t="n">
        <v>0.1387</v>
      </c>
      <c r="N1021" s="3" t="n">
        <v>44693.15</v>
      </c>
      <c r="O1021" s="3" t="n">
        <v>277535.73</v>
      </c>
      <c r="P1021" s="3" t="n">
        <v>199781.91</v>
      </c>
      <c r="Q1021" s="3" t="n">
        <v>77753.82</v>
      </c>
      <c r="R1021" s="3" t="n">
        <v>0.2802</v>
      </c>
      <c r="S1021" s="3" t="n">
        <v>0.1295</v>
      </c>
      <c r="T1021" s="3" t="n">
        <v>0.0092</v>
      </c>
    </row>
    <row r="1022" customFormat="false" ht="15" hidden="false" customHeight="true" outlineLevel="0" collapsed="false">
      <c r="A1022" s="3" t="s">
        <v>1768</v>
      </c>
      <c r="B1022" s="3" t="s">
        <v>970</v>
      </c>
      <c r="C1022" s="3" t="s">
        <v>68</v>
      </c>
      <c r="D1022" s="3" t="s">
        <v>38</v>
      </c>
      <c r="E1022" s="3" t="s">
        <v>39</v>
      </c>
      <c r="F1022" s="3" t="s">
        <v>40</v>
      </c>
      <c r="G1022" s="3" t="s">
        <v>49</v>
      </c>
      <c r="H1022" s="3" t="s">
        <v>77</v>
      </c>
      <c r="I1022" s="3" t="s">
        <v>85</v>
      </c>
      <c r="J1022" s="3" t="n">
        <v>23</v>
      </c>
      <c r="K1022" s="3" t="n">
        <v>3708.8</v>
      </c>
      <c r="L1022" s="3" t="n">
        <v>85302.4</v>
      </c>
      <c r="M1022" s="3" t="n">
        <v>0.0603</v>
      </c>
      <c r="N1022" s="3" t="n">
        <v>5143.73</v>
      </c>
      <c r="O1022" s="3" t="n">
        <v>80158.67</v>
      </c>
      <c r="P1022" s="3" t="n">
        <v>58005.63</v>
      </c>
      <c r="Q1022" s="3" t="n">
        <v>22153.04</v>
      </c>
      <c r="R1022" s="3" t="n">
        <v>0.2764</v>
      </c>
      <c r="S1022" s="3" t="n">
        <v>0.052</v>
      </c>
      <c r="T1022" s="3" t="n">
        <v>0.0083</v>
      </c>
    </row>
    <row r="1023" customFormat="false" ht="15" hidden="false" customHeight="true" outlineLevel="0" collapsed="false">
      <c r="A1023" s="3" t="s">
        <v>1769</v>
      </c>
      <c r="B1023" s="3" t="s">
        <v>515</v>
      </c>
      <c r="C1023" s="3" t="s">
        <v>60</v>
      </c>
      <c r="D1023" s="3" t="s">
        <v>61</v>
      </c>
      <c r="E1023" s="3" t="s">
        <v>33</v>
      </c>
      <c r="F1023" s="3" t="s">
        <v>62</v>
      </c>
      <c r="G1023" s="3" t="s">
        <v>104</v>
      </c>
      <c r="H1023" s="3" t="s">
        <v>27</v>
      </c>
      <c r="I1023" s="3" t="s">
        <v>117</v>
      </c>
      <c r="J1023" s="3" t="n">
        <v>20</v>
      </c>
      <c r="K1023" s="3" t="n">
        <v>14018.36</v>
      </c>
      <c r="L1023" s="3" t="n">
        <v>280367.2</v>
      </c>
      <c r="M1023" s="3" t="n">
        <v>0.1014</v>
      </c>
      <c r="N1023" s="3" t="n">
        <v>28429.23</v>
      </c>
      <c r="O1023" s="3" t="n">
        <v>251937.97</v>
      </c>
      <c r="P1023" s="3" t="n">
        <v>173827.66</v>
      </c>
      <c r="Q1023" s="3" t="n">
        <v>78110.31</v>
      </c>
      <c r="R1023" s="3" t="n">
        <v>0.31</v>
      </c>
      <c r="S1023" s="3" t="n">
        <v>0.0994</v>
      </c>
      <c r="T1023" s="3" t="n">
        <v>0.002</v>
      </c>
    </row>
    <row r="1024" customFormat="false" ht="15" hidden="false" customHeight="true" outlineLevel="0" collapsed="false">
      <c r="A1024" s="3" t="s">
        <v>1770</v>
      </c>
      <c r="B1024" s="3" t="s">
        <v>1771</v>
      </c>
      <c r="C1024" s="3" t="s">
        <v>53</v>
      </c>
      <c r="D1024" s="3" t="s">
        <v>69</v>
      </c>
      <c r="E1024" s="3" t="s">
        <v>39</v>
      </c>
      <c r="F1024" s="3" t="s">
        <v>70</v>
      </c>
      <c r="G1024" s="3" t="s">
        <v>76</v>
      </c>
      <c r="H1024" s="3" t="s">
        <v>56</v>
      </c>
      <c r="I1024" s="3" t="s">
        <v>57</v>
      </c>
      <c r="J1024" s="3" t="n">
        <v>40</v>
      </c>
      <c r="K1024" s="3" t="n">
        <v>4055.87</v>
      </c>
      <c r="L1024" s="3" t="n">
        <v>162234.8</v>
      </c>
      <c r="M1024" s="3" t="n">
        <v>0.0511</v>
      </c>
      <c r="N1024" s="3" t="n">
        <v>8290.2</v>
      </c>
      <c r="O1024" s="3" t="n">
        <v>153944.6</v>
      </c>
      <c r="P1024" s="3" t="n">
        <v>97340.88</v>
      </c>
      <c r="Q1024" s="3" t="n">
        <v>56603.72</v>
      </c>
      <c r="R1024" s="3" t="n">
        <v>0.3677</v>
      </c>
      <c r="S1024" s="3" t="n">
        <v>0.0449</v>
      </c>
      <c r="T1024" s="3" t="n">
        <v>0.0062</v>
      </c>
    </row>
    <row r="1025" customFormat="false" ht="15" hidden="false" customHeight="true" outlineLevel="0" collapsed="false">
      <c r="A1025" s="3" t="s">
        <v>1772</v>
      </c>
      <c r="B1025" s="3" t="s">
        <v>297</v>
      </c>
      <c r="C1025" s="3" t="s">
        <v>60</v>
      </c>
      <c r="D1025" s="3" t="s">
        <v>23</v>
      </c>
      <c r="E1025" s="3" t="s">
        <v>24</v>
      </c>
      <c r="F1025" s="3" t="s">
        <v>25</v>
      </c>
      <c r="G1025" s="3" t="s">
        <v>84</v>
      </c>
      <c r="H1025" s="3" t="s">
        <v>64</v>
      </c>
      <c r="I1025" s="3" t="s">
        <v>90</v>
      </c>
      <c r="J1025" s="3" t="n">
        <v>17</v>
      </c>
      <c r="K1025" s="3" t="n">
        <v>3749.29</v>
      </c>
      <c r="L1025" s="3" t="n">
        <v>63737.93</v>
      </c>
      <c r="M1025" s="3" t="n">
        <v>0.179</v>
      </c>
      <c r="N1025" s="3" t="n">
        <v>11409.09</v>
      </c>
      <c r="O1025" s="3" t="n">
        <v>52328.84</v>
      </c>
      <c r="P1025" s="3" t="n">
        <v>36968</v>
      </c>
      <c r="Q1025" s="3" t="n">
        <v>15360.84</v>
      </c>
      <c r="R1025" s="3" t="n">
        <v>0.2935</v>
      </c>
      <c r="S1025" s="3" t="n">
        <v>0.172</v>
      </c>
      <c r="T1025" s="3" t="n">
        <v>0.007</v>
      </c>
    </row>
    <row r="1026" customFormat="false" ht="15" hidden="false" customHeight="true" outlineLevel="0" collapsed="false">
      <c r="A1026" s="3" t="s">
        <v>1773</v>
      </c>
      <c r="B1026" s="3" t="s">
        <v>1074</v>
      </c>
      <c r="C1026" s="3" t="s">
        <v>68</v>
      </c>
      <c r="D1026" s="3" t="s">
        <v>61</v>
      </c>
      <c r="E1026" s="3" t="s">
        <v>33</v>
      </c>
      <c r="F1026" s="3" t="s">
        <v>62</v>
      </c>
      <c r="G1026" s="3" t="s">
        <v>26</v>
      </c>
      <c r="H1026" s="3" t="s">
        <v>42</v>
      </c>
      <c r="I1026" s="3" t="s">
        <v>72</v>
      </c>
      <c r="J1026" s="3" t="n">
        <v>46</v>
      </c>
      <c r="K1026" s="3" t="n">
        <v>2759.5</v>
      </c>
      <c r="L1026" s="3" t="n">
        <v>126937</v>
      </c>
      <c r="M1026" s="3" t="n">
        <v>0.0486</v>
      </c>
      <c r="N1026" s="3" t="n">
        <v>6169.14</v>
      </c>
      <c r="O1026" s="3" t="n">
        <v>120767.86</v>
      </c>
      <c r="P1026" s="3" t="n">
        <v>69815.35</v>
      </c>
      <c r="Q1026" s="3" t="n">
        <v>50952.51</v>
      </c>
      <c r="R1026" s="3" t="n">
        <v>0.4219</v>
      </c>
      <c r="S1026" s="3" t="n">
        <v>0.0477</v>
      </c>
      <c r="T1026" s="3" t="n">
        <v>0.0009</v>
      </c>
    </row>
    <row r="1027" customFormat="false" ht="15" hidden="false" customHeight="true" outlineLevel="0" collapsed="false">
      <c r="A1027" s="3" t="s">
        <v>1774</v>
      </c>
      <c r="B1027" s="3" t="s">
        <v>1102</v>
      </c>
      <c r="C1027" s="3" t="s">
        <v>68</v>
      </c>
      <c r="D1027" s="3" t="s">
        <v>47</v>
      </c>
      <c r="E1027" s="3" t="s">
        <v>48</v>
      </c>
      <c r="F1027" s="3" t="s">
        <v>25</v>
      </c>
      <c r="G1027" s="3" t="s">
        <v>63</v>
      </c>
      <c r="H1027" s="3" t="s">
        <v>64</v>
      </c>
      <c r="I1027" s="3" t="s">
        <v>145</v>
      </c>
      <c r="J1027" s="3" t="n">
        <v>39</v>
      </c>
      <c r="K1027" s="3" t="n">
        <v>6410.48</v>
      </c>
      <c r="L1027" s="3" t="n">
        <v>250008.72</v>
      </c>
      <c r="M1027" s="3" t="n">
        <v>0.104</v>
      </c>
      <c r="N1027" s="3" t="n">
        <v>26000.91</v>
      </c>
      <c r="O1027" s="3" t="n">
        <v>224007.81</v>
      </c>
      <c r="P1027" s="3" t="n">
        <v>145005.06</v>
      </c>
      <c r="Q1027" s="3" t="n">
        <v>79002.75</v>
      </c>
      <c r="R1027" s="3" t="n">
        <v>0.3527</v>
      </c>
      <c r="S1027" s="3" t="n">
        <v>0.0866</v>
      </c>
      <c r="T1027" s="3" t="n">
        <v>0.0174</v>
      </c>
    </row>
    <row r="1028" customFormat="false" ht="15" hidden="false" customHeight="true" outlineLevel="0" collapsed="false">
      <c r="A1028" s="3" t="s">
        <v>1775</v>
      </c>
      <c r="B1028" s="3" t="s">
        <v>1776</v>
      </c>
      <c r="C1028" s="3" t="s">
        <v>126</v>
      </c>
      <c r="D1028" s="3" t="s">
        <v>107</v>
      </c>
      <c r="E1028" s="3" t="s">
        <v>33</v>
      </c>
      <c r="F1028" s="3" t="s">
        <v>70</v>
      </c>
      <c r="G1028" s="3" t="s">
        <v>49</v>
      </c>
      <c r="H1028" s="3" t="s">
        <v>77</v>
      </c>
      <c r="I1028" s="3" t="s">
        <v>131</v>
      </c>
      <c r="J1028" s="3" t="n">
        <v>24</v>
      </c>
      <c r="K1028" s="3" t="n">
        <v>4272.85</v>
      </c>
      <c r="L1028" s="3" t="n">
        <v>102548.4</v>
      </c>
      <c r="M1028" s="3" t="n">
        <v>0.0755</v>
      </c>
      <c r="N1028" s="3" t="n">
        <v>7742.4</v>
      </c>
      <c r="O1028" s="3" t="n">
        <v>94806</v>
      </c>
      <c r="P1028" s="3" t="n">
        <v>69732.91</v>
      </c>
      <c r="Q1028" s="3" t="n">
        <v>25073.09</v>
      </c>
      <c r="R1028" s="3" t="n">
        <v>0.2645</v>
      </c>
      <c r="S1028" s="3" t="n">
        <v>0.0637</v>
      </c>
      <c r="T1028" s="3" t="n">
        <v>0.0118</v>
      </c>
    </row>
    <row r="1029" customFormat="false" ht="15" hidden="false" customHeight="true" outlineLevel="0" collapsed="false">
      <c r="A1029" s="3" t="s">
        <v>1777</v>
      </c>
      <c r="B1029" s="3" t="s">
        <v>672</v>
      </c>
      <c r="C1029" s="3" t="s">
        <v>120</v>
      </c>
      <c r="D1029" s="3" t="s">
        <v>69</v>
      </c>
      <c r="E1029" s="3" t="s">
        <v>39</v>
      </c>
      <c r="F1029" s="3" t="s">
        <v>70</v>
      </c>
      <c r="G1029" s="3" t="s">
        <v>116</v>
      </c>
      <c r="H1029" s="3" t="s">
        <v>42</v>
      </c>
      <c r="I1029" s="3" t="s">
        <v>43</v>
      </c>
      <c r="J1029" s="3" t="n">
        <v>15</v>
      </c>
      <c r="K1029" s="3" t="n">
        <v>1820.05</v>
      </c>
      <c r="L1029" s="3" t="n">
        <v>27300.75</v>
      </c>
      <c r="M1029" s="3" t="n">
        <v>0.0731</v>
      </c>
      <c r="N1029" s="3" t="n">
        <v>1995.68</v>
      </c>
      <c r="O1029" s="3" t="n">
        <v>25305.07</v>
      </c>
      <c r="P1029" s="3" t="n">
        <v>15015.41</v>
      </c>
      <c r="Q1029" s="3" t="n">
        <v>10289.66</v>
      </c>
      <c r="R1029" s="3" t="n">
        <v>0.4066</v>
      </c>
      <c r="S1029" s="3" t="n">
        <v>0.0624</v>
      </c>
      <c r="T1029" s="3" t="n">
        <v>0.0107</v>
      </c>
    </row>
    <row r="1030" customFormat="false" ht="15" hidden="false" customHeight="true" outlineLevel="0" collapsed="false">
      <c r="A1030" s="3" t="s">
        <v>1778</v>
      </c>
      <c r="B1030" s="3" t="s">
        <v>400</v>
      </c>
      <c r="C1030" s="3" t="s">
        <v>126</v>
      </c>
      <c r="D1030" s="3" t="s">
        <v>97</v>
      </c>
      <c r="E1030" s="3" t="s">
        <v>48</v>
      </c>
      <c r="F1030" s="3" t="s">
        <v>40</v>
      </c>
      <c r="G1030" s="3" t="s">
        <v>84</v>
      </c>
      <c r="H1030" s="3" t="s">
        <v>42</v>
      </c>
      <c r="I1030" s="3" t="s">
        <v>72</v>
      </c>
      <c r="J1030" s="3" t="n">
        <v>23</v>
      </c>
      <c r="K1030" s="3" t="n">
        <v>834.39</v>
      </c>
      <c r="L1030" s="3" t="n">
        <v>19190.97</v>
      </c>
      <c r="M1030" s="3" t="n">
        <v>0.065</v>
      </c>
      <c r="N1030" s="3" t="n">
        <v>1247.41</v>
      </c>
      <c r="O1030" s="3" t="n">
        <v>17943.56</v>
      </c>
      <c r="P1030" s="3" t="n">
        <v>10555.03</v>
      </c>
      <c r="Q1030" s="3" t="n">
        <v>7388.53</v>
      </c>
      <c r="R1030" s="3" t="n">
        <v>0.4118</v>
      </c>
      <c r="S1030" s="3" t="n">
        <v>0.0628</v>
      </c>
      <c r="T1030" s="3" t="n">
        <v>0.0022</v>
      </c>
    </row>
    <row r="1031" customFormat="false" ht="15" hidden="false" customHeight="true" outlineLevel="0" collapsed="false">
      <c r="A1031" s="3" t="s">
        <v>1779</v>
      </c>
      <c r="B1031" s="3" t="s">
        <v>1102</v>
      </c>
      <c r="C1031" s="3" t="s">
        <v>68</v>
      </c>
      <c r="D1031" s="3" t="s">
        <v>38</v>
      </c>
      <c r="E1031" s="3" t="s">
        <v>39</v>
      </c>
      <c r="F1031" s="3" t="s">
        <v>40</v>
      </c>
      <c r="G1031" s="3" t="s">
        <v>41</v>
      </c>
      <c r="H1031" s="3" t="s">
        <v>27</v>
      </c>
      <c r="I1031" s="3" t="s">
        <v>28</v>
      </c>
      <c r="J1031" s="3" t="n">
        <v>49</v>
      </c>
      <c r="K1031" s="3" t="n">
        <v>18175.88</v>
      </c>
      <c r="L1031" s="3" t="n">
        <v>890618.12</v>
      </c>
      <c r="M1031" s="3" t="n">
        <v>0.0833</v>
      </c>
      <c r="N1031" s="3" t="n">
        <v>74188.49</v>
      </c>
      <c r="O1031" s="3" t="n">
        <v>816429.63</v>
      </c>
      <c r="P1031" s="3" t="n">
        <v>552183.23</v>
      </c>
      <c r="Q1031" s="3" t="n">
        <v>264246.4</v>
      </c>
      <c r="R1031" s="3" t="n">
        <v>0.3237</v>
      </c>
      <c r="S1031" s="3" t="n">
        <v>0.0804</v>
      </c>
      <c r="T1031" s="3" t="n">
        <v>0.0029</v>
      </c>
    </row>
    <row r="1032" customFormat="false" ht="15" hidden="false" customHeight="true" outlineLevel="0" collapsed="false">
      <c r="A1032" s="3" t="s">
        <v>1780</v>
      </c>
      <c r="B1032" s="3" t="s">
        <v>45</v>
      </c>
      <c r="C1032" s="3" t="s">
        <v>46</v>
      </c>
      <c r="D1032" s="3" t="s">
        <v>47</v>
      </c>
      <c r="E1032" s="3" t="s">
        <v>48</v>
      </c>
      <c r="F1032" s="3" t="s">
        <v>25</v>
      </c>
      <c r="G1032" s="3" t="s">
        <v>41</v>
      </c>
      <c r="H1032" s="3" t="s">
        <v>77</v>
      </c>
      <c r="I1032" s="3" t="s">
        <v>85</v>
      </c>
      <c r="J1032" s="3" t="n">
        <v>44</v>
      </c>
      <c r="K1032" s="3" t="n">
        <v>2443.49</v>
      </c>
      <c r="L1032" s="3" t="n">
        <v>107513.56</v>
      </c>
      <c r="M1032" s="3" t="n">
        <v>0.1332</v>
      </c>
      <c r="N1032" s="3" t="n">
        <v>14320.81</v>
      </c>
      <c r="O1032" s="3" t="n">
        <v>93192.75</v>
      </c>
      <c r="P1032" s="3" t="n">
        <v>73109.22</v>
      </c>
      <c r="Q1032" s="3" t="n">
        <v>20083.53</v>
      </c>
      <c r="R1032" s="3" t="n">
        <v>0.2155</v>
      </c>
      <c r="S1032" s="3" t="n">
        <v>0.1292</v>
      </c>
      <c r="T1032" s="3" t="n">
        <v>0.004</v>
      </c>
    </row>
    <row r="1033" customFormat="false" ht="15" hidden="false" customHeight="true" outlineLevel="0" collapsed="false">
      <c r="A1033" s="3" t="s">
        <v>1781</v>
      </c>
      <c r="B1033" s="3" t="s">
        <v>422</v>
      </c>
      <c r="C1033" s="3" t="s">
        <v>93</v>
      </c>
      <c r="D1033" s="3" t="s">
        <v>54</v>
      </c>
      <c r="E1033" s="3" t="s">
        <v>24</v>
      </c>
      <c r="F1033" s="3" t="s">
        <v>40</v>
      </c>
      <c r="G1033" s="3" t="s">
        <v>26</v>
      </c>
      <c r="H1033" s="3" t="s">
        <v>27</v>
      </c>
      <c r="I1033" s="3" t="s">
        <v>50</v>
      </c>
      <c r="J1033" s="3" t="n">
        <v>44</v>
      </c>
      <c r="K1033" s="3" t="n">
        <v>32880.9</v>
      </c>
      <c r="L1033" s="3" t="n">
        <v>1446759.6</v>
      </c>
      <c r="M1033" s="3" t="n">
        <v>0.0604</v>
      </c>
      <c r="N1033" s="3" t="n">
        <v>87384.28</v>
      </c>
      <c r="O1033" s="3" t="n">
        <v>1359375.32</v>
      </c>
      <c r="P1033" s="3" t="n">
        <v>896990.95</v>
      </c>
      <c r="Q1033" s="3" t="n">
        <v>462384.37</v>
      </c>
      <c r="R1033" s="3" t="n">
        <v>0.3401</v>
      </c>
      <c r="S1033" s="3" t="n">
        <v>0.0517</v>
      </c>
      <c r="T1033" s="3" t="n">
        <v>0.0087</v>
      </c>
    </row>
    <row r="1034" customFormat="false" ht="15" hidden="false" customHeight="true" outlineLevel="0" collapsed="false">
      <c r="A1034" s="3" t="s">
        <v>1782</v>
      </c>
      <c r="B1034" s="3" t="s">
        <v>1783</v>
      </c>
      <c r="C1034" s="3" t="s">
        <v>53</v>
      </c>
      <c r="D1034" s="3" t="s">
        <v>103</v>
      </c>
      <c r="E1034" s="3" t="s">
        <v>24</v>
      </c>
      <c r="F1034" s="3" t="s">
        <v>62</v>
      </c>
      <c r="G1034" s="3" t="s">
        <v>76</v>
      </c>
      <c r="H1034" s="3" t="s">
        <v>77</v>
      </c>
      <c r="I1034" s="3" t="s">
        <v>85</v>
      </c>
      <c r="J1034" s="3" t="n">
        <v>28</v>
      </c>
      <c r="K1034" s="3" t="n">
        <v>2523.95</v>
      </c>
      <c r="L1034" s="3" t="n">
        <v>70670.6</v>
      </c>
      <c r="M1034" s="3" t="n">
        <v>0.056</v>
      </c>
      <c r="N1034" s="3" t="n">
        <v>3957.55</v>
      </c>
      <c r="O1034" s="3" t="n">
        <v>66713.05</v>
      </c>
      <c r="P1034" s="3" t="n">
        <v>48056.01</v>
      </c>
      <c r="Q1034" s="3" t="n">
        <v>18657.04</v>
      </c>
      <c r="R1034" s="3" t="n">
        <v>0.2797</v>
      </c>
      <c r="S1034" s="3" t="n">
        <v>0.05</v>
      </c>
      <c r="T1034" s="3" t="n">
        <v>0.006</v>
      </c>
    </row>
    <row r="1035" customFormat="false" ht="15" hidden="false" customHeight="true" outlineLevel="0" collapsed="false">
      <c r="A1035" s="3" t="s">
        <v>1784</v>
      </c>
      <c r="B1035" s="3" t="s">
        <v>1785</v>
      </c>
      <c r="C1035" s="3" t="s">
        <v>53</v>
      </c>
      <c r="D1035" s="3" t="s">
        <v>61</v>
      </c>
      <c r="E1035" s="3" t="s">
        <v>33</v>
      </c>
      <c r="F1035" s="3" t="s">
        <v>62</v>
      </c>
      <c r="G1035" s="3" t="s">
        <v>49</v>
      </c>
      <c r="H1035" s="3" t="s">
        <v>42</v>
      </c>
      <c r="I1035" s="3" t="s">
        <v>134</v>
      </c>
      <c r="J1035" s="3" t="n">
        <v>41</v>
      </c>
      <c r="K1035" s="3" t="n">
        <v>3458.36</v>
      </c>
      <c r="L1035" s="3" t="n">
        <v>141792.76</v>
      </c>
      <c r="M1035" s="3" t="n">
        <v>0.034</v>
      </c>
      <c r="N1035" s="3" t="n">
        <v>4820.95</v>
      </c>
      <c r="O1035" s="3" t="n">
        <v>136971.81</v>
      </c>
      <c r="P1035" s="3" t="n">
        <v>77986.02</v>
      </c>
      <c r="Q1035" s="3" t="n">
        <v>58985.79</v>
      </c>
      <c r="R1035" s="3" t="n">
        <v>0.4306</v>
      </c>
      <c r="S1035" s="3" t="n">
        <v>0.0368</v>
      </c>
      <c r="T1035" s="3" t="n">
        <v>-0.0028</v>
      </c>
    </row>
    <row r="1036" customFormat="false" ht="15" hidden="false" customHeight="true" outlineLevel="0" collapsed="false">
      <c r="A1036" s="3" t="s">
        <v>1786</v>
      </c>
      <c r="B1036" s="3" t="s">
        <v>1787</v>
      </c>
      <c r="C1036" s="3" t="s">
        <v>31</v>
      </c>
      <c r="D1036" s="3" t="s">
        <v>75</v>
      </c>
      <c r="E1036" s="3" t="s">
        <v>39</v>
      </c>
      <c r="F1036" s="3" t="s">
        <v>25</v>
      </c>
      <c r="G1036" s="3" t="s">
        <v>116</v>
      </c>
      <c r="H1036" s="3" t="s">
        <v>56</v>
      </c>
      <c r="I1036" s="3" t="s">
        <v>188</v>
      </c>
      <c r="J1036" s="3" t="n">
        <v>36</v>
      </c>
      <c r="K1036" s="3" t="n">
        <v>13894.55</v>
      </c>
      <c r="L1036" s="3" t="n">
        <v>500203.8</v>
      </c>
      <c r="M1036" s="3" t="n">
        <v>0.2016</v>
      </c>
      <c r="N1036" s="3" t="n">
        <v>100841.09</v>
      </c>
      <c r="O1036" s="3" t="n">
        <v>399362.71</v>
      </c>
      <c r="P1036" s="3" t="n">
        <v>300122.28</v>
      </c>
      <c r="Q1036" s="3" t="n">
        <v>99240.43</v>
      </c>
      <c r="R1036" s="3" t="n">
        <v>0.2485</v>
      </c>
      <c r="S1036" s="3" t="n">
        <v>0.2022</v>
      </c>
      <c r="T1036" s="3" t="n">
        <v>-0.0006</v>
      </c>
    </row>
    <row r="1037" customFormat="false" ht="15" hidden="false" customHeight="true" outlineLevel="0" collapsed="false">
      <c r="A1037" s="3" t="s">
        <v>1788</v>
      </c>
      <c r="B1037" s="3" t="s">
        <v>1520</v>
      </c>
      <c r="C1037" s="3" t="s">
        <v>120</v>
      </c>
      <c r="D1037" s="3" t="s">
        <v>97</v>
      </c>
      <c r="E1037" s="3" t="s">
        <v>48</v>
      </c>
      <c r="F1037" s="3" t="s">
        <v>40</v>
      </c>
      <c r="G1037" s="3" t="s">
        <v>84</v>
      </c>
      <c r="H1037" s="3" t="s">
        <v>64</v>
      </c>
      <c r="I1037" s="3" t="s">
        <v>90</v>
      </c>
      <c r="J1037" s="3" t="n">
        <v>44</v>
      </c>
      <c r="K1037" s="3" t="n">
        <v>7635.1</v>
      </c>
      <c r="L1037" s="3" t="n">
        <v>335944.4</v>
      </c>
      <c r="M1037" s="3" t="n">
        <v>0.0744</v>
      </c>
      <c r="N1037" s="3" t="n">
        <v>24994.26</v>
      </c>
      <c r="O1037" s="3" t="n">
        <v>310950.14</v>
      </c>
      <c r="P1037" s="3" t="n">
        <v>194847.75</v>
      </c>
      <c r="Q1037" s="3" t="n">
        <v>116102.39</v>
      </c>
      <c r="R1037" s="3" t="n">
        <v>0.3734</v>
      </c>
      <c r="S1037" s="3" t="n">
        <v>0.0686</v>
      </c>
      <c r="T1037" s="3" t="n">
        <v>0.0058</v>
      </c>
    </row>
    <row r="1038" customFormat="false" ht="15" hidden="false" customHeight="true" outlineLevel="0" collapsed="false">
      <c r="A1038" s="3" t="s">
        <v>1789</v>
      </c>
      <c r="B1038" s="3" t="s">
        <v>1790</v>
      </c>
      <c r="C1038" s="3" t="s">
        <v>53</v>
      </c>
      <c r="D1038" s="3" t="s">
        <v>38</v>
      </c>
      <c r="E1038" s="3" t="s">
        <v>39</v>
      </c>
      <c r="F1038" s="3" t="s">
        <v>40</v>
      </c>
      <c r="G1038" s="3" t="s">
        <v>26</v>
      </c>
      <c r="H1038" s="3" t="s">
        <v>64</v>
      </c>
      <c r="I1038" s="3" t="s">
        <v>65</v>
      </c>
      <c r="J1038" s="3" t="n">
        <v>35</v>
      </c>
      <c r="K1038" s="3" t="n">
        <v>6824.81</v>
      </c>
      <c r="L1038" s="3" t="n">
        <v>238868.35</v>
      </c>
      <c r="M1038" s="3" t="n">
        <v>0.0675</v>
      </c>
      <c r="N1038" s="3" t="n">
        <v>16123.61</v>
      </c>
      <c r="O1038" s="3" t="n">
        <v>222744.74</v>
      </c>
      <c r="P1038" s="3" t="n">
        <v>138543.64</v>
      </c>
      <c r="Q1038" s="3" t="n">
        <v>84201.1</v>
      </c>
      <c r="R1038" s="3" t="n">
        <v>0.378</v>
      </c>
      <c r="S1038" s="3" t="n">
        <v>0.0741</v>
      </c>
      <c r="T1038" s="3" t="n">
        <v>-0.0066</v>
      </c>
    </row>
    <row r="1039" customFormat="false" ht="15" hidden="false" customHeight="true" outlineLevel="0" collapsed="false">
      <c r="A1039" s="3" t="s">
        <v>1791</v>
      </c>
      <c r="B1039" s="3" t="s">
        <v>1792</v>
      </c>
      <c r="C1039" s="3" t="s">
        <v>68</v>
      </c>
      <c r="D1039" s="3" t="s">
        <v>23</v>
      </c>
      <c r="E1039" s="3" t="s">
        <v>24</v>
      </c>
      <c r="F1039" s="3" t="s">
        <v>25</v>
      </c>
      <c r="G1039" s="3" t="s">
        <v>55</v>
      </c>
      <c r="H1039" s="3" t="s">
        <v>56</v>
      </c>
      <c r="I1039" s="3" t="s">
        <v>121</v>
      </c>
      <c r="J1039" s="3" t="n">
        <v>29</v>
      </c>
      <c r="K1039" s="3" t="n">
        <v>2677.7</v>
      </c>
      <c r="L1039" s="3" t="n">
        <v>77653.3</v>
      </c>
      <c r="M1039" s="3" t="n">
        <v>0.1722</v>
      </c>
      <c r="N1039" s="3" t="n">
        <v>13371.9</v>
      </c>
      <c r="O1039" s="3" t="n">
        <v>64281.4</v>
      </c>
      <c r="P1039" s="3" t="n">
        <v>46591.98</v>
      </c>
      <c r="Q1039" s="3" t="n">
        <v>17689.42</v>
      </c>
      <c r="R1039" s="3" t="n">
        <v>0.2752</v>
      </c>
      <c r="S1039" s="3" t="n">
        <v>0.1844</v>
      </c>
      <c r="T1039" s="3" t="n">
        <v>-0.0122</v>
      </c>
    </row>
    <row r="1040" customFormat="false" ht="15" hidden="false" customHeight="true" outlineLevel="0" collapsed="false">
      <c r="A1040" s="3" t="s">
        <v>1793</v>
      </c>
      <c r="B1040" s="3" t="s">
        <v>848</v>
      </c>
      <c r="C1040" s="3" t="s">
        <v>120</v>
      </c>
      <c r="D1040" s="3" t="s">
        <v>75</v>
      </c>
      <c r="E1040" s="3" t="s">
        <v>39</v>
      </c>
      <c r="F1040" s="3" t="s">
        <v>25</v>
      </c>
      <c r="G1040" s="3" t="s">
        <v>41</v>
      </c>
      <c r="H1040" s="3" t="s">
        <v>27</v>
      </c>
      <c r="I1040" s="3" t="s">
        <v>50</v>
      </c>
      <c r="J1040" s="3" t="n">
        <v>4</v>
      </c>
      <c r="K1040" s="3" t="n">
        <v>24437.9</v>
      </c>
      <c r="L1040" s="3" t="n">
        <v>97751.6</v>
      </c>
      <c r="M1040" s="3" t="n">
        <v>0.1564</v>
      </c>
      <c r="N1040" s="3" t="n">
        <v>15288.35</v>
      </c>
      <c r="O1040" s="3" t="n">
        <v>82463.25</v>
      </c>
      <c r="P1040" s="3" t="n">
        <v>60605.99</v>
      </c>
      <c r="Q1040" s="3" t="n">
        <v>21857.26</v>
      </c>
      <c r="R1040" s="3" t="n">
        <v>0.2651</v>
      </c>
      <c r="S1040" s="3" t="n">
        <v>0.141</v>
      </c>
      <c r="T1040" s="3" t="n">
        <v>0.0154</v>
      </c>
    </row>
    <row r="1041" customFormat="false" ht="15" hidden="false" customHeight="true" outlineLevel="0" collapsed="false">
      <c r="A1041" s="3" t="s">
        <v>1794</v>
      </c>
      <c r="B1041" s="3" t="s">
        <v>1795</v>
      </c>
      <c r="C1041" s="3" t="s">
        <v>46</v>
      </c>
      <c r="D1041" s="3" t="s">
        <v>23</v>
      </c>
      <c r="E1041" s="3" t="s">
        <v>24</v>
      </c>
      <c r="F1041" s="3" t="s">
        <v>25</v>
      </c>
      <c r="G1041" s="3" t="s">
        <v>76</v>
      </c>
      <c r="H1041" s="3" t="s">
        <v>64</v>
      </c>
      <c r="I1041" s="3" t="s">
        <v>65</v>
      </c>
      <c r="J1041" s="3" t="n">
        <v>19</v>
      </c>
      <c r="K1041" s="3" t="n">
        <v>5692.6</v>
      </c>
      <c r="L1041" s="3" t="n">
        <v>108159.4</v>
      </c>
      <c r="M1041" s="3" t="n">
        <v>0.0834</v>
      </c>
      <c r="N1041" s="3" t="n">
        <v>9020.49</v>
      </c>
      <c r="O1041" s="3" t="n">
        <v>99138.91</v>
      </c>
      <c r="P1041" s="3" t="n">
        <v>62732.45</v>
      </c>
      <c r="Q1041" s="3" t="n">
        <v>36406.46</v>
      </c>
      <c r="R1041" s="3" t="n">
        <v>0.3672</v>
      </c>
      <c r="S1041" s="3" t="n">
        <v>0.0722</v>
      </c>
      <c r="T1041" s="3" t="n">
        <v>0.0112</v>
      </c>
    </row>
    <row r="1042" customFormat="false" ht="15" hidden="false" customHeight="true" outlineLevel="0" collapsed="false">
      <c r="A1042" s="3" t="s">
        <v>1796</v>
      </c>
      <c r="B1042" s="3" t="s">
        <v>1797</v>
      </c>
      <c r="C1042" s="3" t="s">
        <v>156</v>
      </c>
      <c r="D1042" s="3" t="s">
        <v>54</v>
      </c>
      <c r="E1042" s="3" t="s">
        <v>24</v>
      </c>
      <c r="F1042" s="3" t="s">
        <v>40</v>
      </c>
      <c r="G1042" s="3" t="s">
        <v>84</v>
      </c>
      <c r="H1042" s="3" t="s">
        <v>56</v>
      </c>
      <c r="I1042" s="3" t="s">
        <v>188</v>
      </c>
      <c r="J1042" s="3" t="n">
        <v>32</v>
      </c>
      <c r="K1042" s="3" t="n">
        <v>16279.9</v>
      </c>
      <c r="L1042" s="3" t="n">
        <v>520956.8</v>
      </c>
      <c r="M1042" s="3" t="n">
        <v>0.0329</v>
      </c>
      <c r="N1042" s="3" t="n">
        <v>17139.48</v>
      </c>
      <c r="O1042" s="3" t="n">
        <v>503817.32</v>
      </c>
      <c r="P1042" s="3" t="n">
        <v>312574.08</v>
      </c>
      <c r="Q1042" s="3" t="n">
        <v>191243.24</v>
      </c>
      <c r="R1042" s="3" t="n">
        <v>0.3796</v>
      </c>
      <c r="S1042" s="3" t="n">
        <v>0.0324</v>
      </c>
      <c r="T1042" s="3" t="n">
        <v>0.0005</v>
      </c>
    </row>
    <row r="1043" customFormat="false" ht="15" hidden="false" customHeight="true" outlineLevel="0" collapsed="false">
      <c r="A1043" s="3" t="s">
        <v>1798</v>
      </c>
      <c r="B1043" s="3" t="s">
        <v>1799</v>
      </c>
      <c r="C1043" s="3" t="s">
        <v>120</v>
      </c>
      <c r="D1043" s="3" t="s">
        <v>103</v>
      </c>
      <c r="E1043" s="3" t="s">
        <v>24</v>
      </c>
      <c r="F1043" s="3" t="s">
        <v>62</v>
      </c>
      <c r="G1043" s="3" t="s">
        <v>116</v>
      </c>
      <c r="H1043" s="3" t="s">
        <v>42</v>
      </c>
      <c r="I1043" s="3" t="s">
        <v>134</v>
      </c>
      <c r="J1043" s="3" t="n">
        <v>47</v>
      </c>
      <c r="K1043" s="3" t="n">
        <v>518.04</v>
      </c>
      <c r="L1043" s="3" t="n">
        <v>24347.88</v>
      </c>
      <c r="M1043" s="3" t="n">
        <v>0.0735</v>
      </c>
      <c r="N1043" s="3" t="n">
        <v>1789.57</v>
      </c>
      <c r="O1043" s="3" t="n">
        <v>22558.31</v>
      </c>
      <c r="P1043" s="3" t="n">
        <v>13391.33</v>
      </c>
      <c r="Q1043" s="3" t="n">
        <v>9166.98</v>
      </c>
      <c r="R1043" s="3" t="n">
        <v>0.4064</v>
      </c>
      <c r="S1043" s="3" t="n">
        <v>0.0683</v>
      </c>
      <c r="T1043" s="3" t="n">
        <v>0.0052</v>
      </c>
    </row>
    <row r="1044" customFormat="false" ht="15" hidden="false" customHeight="true" outlineLevel="0" collapsed="false">
      <c r="A1044" s="3" t="s">
        <v>1800</v>
      </c>
      <c r="B1044" s="3" t="s">
        <v>1801</v>
      </c>
      <c r="C1044" s="3" t="s">
        <v>93</v>
      </c>
      <c r="D1044" s="3" t="s">
        <v>69</v>
      </c>
      <c r="E1044" s="3" t="s">
        <v>39</v>
      </c>
      <c r="F1044" s="3" t="s">
        <v>70</v>
      </c>
      <c r="G1044" s="3" t="s">
        <v>100</v>
      </c>
      <c r="H1044" s="3" t="s">
        <v>27</v>
      </c>
      <c r="I1044" s="3" t="s">
        <v>94</v>
      </c>
      <c r="J1044" s="3" t="n">
        <v>27</v>
      </c>
      <c r="K1044" s="3" t="n">
        <v>36752.32</v>
      </c>
      <c r="L1044" s="3" t="n">
        <v>992312.64</v>
      </c>
      <c r="M1044" s="3" t="n">
        <v>0.0362</v>
      </c>
      <c r="N1044" s="3" t="n">
        <v>35921.72</v>
      </c>
      <c r="O1044" s="3" t="n">
        <v>956390.92</v>
      </c>
      <c r="P1044" s="3" t="n">
        <v>615233.84</v>
      </c>
      <c r="Q1044" s="3" t="n">
        <v>341157.08</v>
      </c>
      <c r="R1044" s="3" t="n">
        <v>0.3567</v>
      </c>
      <c r="S1044" s="3" t="n">
        <v>0.029</v>
      </c>
      <c r="T1044" s="3" t="n">
        <v>0.0072</v>
      </c>
    </row>
    <row r="1045" customFormat="false" ht="15" hidden="false" customHeight="true" outlineLevel="0" collapsed="false">
      <c r="A1045" s="3" t="s">
        <v>1802</v>
      </c>
      <c r="B1045" s="3" t="s">
        <v>1803</v>
      </c>
      <c r="C1045" s="3" t="s">
        <v>126</v>
      </c>
      <c r="D1045" s="3" t="s">
        <v>23</v>
      </c>
      <c r="E1045" s="3" t="s">
        <v>24</v>
      </c>
      <c r="F1045" s="3" t="s">
        <v>25</v>
      </c>
      <c r="G1045" s="3" t="s">
        <v>84</v>
      </c>
      <c r="H1045" s="3" t="s">
        <v>42</v>
      </c>
      <c r="I1045" s="3" t="s">
        <v>43</v>
      </c>
      <c r="J1045" s="3" t="n">
        <v>20</v>
      </c>
      <c r="K1045" s="3" t="n">
        <v>1883.76</v>
      </c>
      <c r="L1045" s="3" t="n">
        <v>37675.2</v>
      </c>
      <c r="M1045" s="3" t="n">
        <v>0.1596</v>
      </c>
      <c r="N1045" s="3" t="n">
        <v>6012.96</v>
      </c>
      <c r="O1045" s="3" t="n">
        <v>31662.24</v>
      </c>
      <c r="P1045" s="3" t="n">
        <v>20721.36</v>
      </c>
      <c r="Q1045" s="3" t="n">
        <v>10940.88</v>
      </c>
      <c r="R1045" s="3" t="n">
        <v>0.3455</v>
      </c>
      <c r="S1045" s="3" t="n">
        <v>0.1329</v>
      </c>
      <c r="T1045" s="3" t="n">
        <v>0.0267</v>
      </c>
    </row>
    <row r="1046" customFormat="false" ht="15" hidden="false" customHeight="true" outlineLevel="0" collapsed="false">
      <c r="A1046" s="3" t="s">
        <v>1804</v>
      </c>
      <c r="B1046" s="3" t="s">
        <v>1805</v>
      </c>
      <c r="C1046" s="3" t="s">
        <v>113</v>
      </c>
      <c r="D1046" s="3" t="s">
        <v>83</v>
      </c>
      <c r="E1046" s="3" t="s">
        <v>48</v>
      </c>
      <c r="F1046" s="3" t="s">
        <v>62</v>
      </c>
      <c r="G1046" s="3" t="s">
        <v>41</v>
      </c>
      <c r="H1046" s="3" t="s">
        <v>77</v>
      </c>
      <c r="I1046" s="3" t="s">
        <v>131</v>
      </c>
      <c r="J1046" s="3" t="n">
        <v>28</v>
      </c>
      <c r="K1046" s="3" t="n">
        <v>2897.94</v>
      </c>
      <c r="L1046" s="3" t="n">
        <v>81142.32</v>
      </c>
      <c r="M1046" s="3" t="n">
        <v>0.0856</v>
      </c>
      <c r="N1046" s="3" t="n">
        <v>6945.78</v>
      </c>
      <c r="O1046" s="3" t="n">
        <v>74196.54</v>
      </c>
      <c r="P1046" s="3" t="n">
        <v>55176.78</v>
      </c>
      <c r="Q1046" s="3" t="n">
        <v>19019.76</v>
      </c>
      <c r="R1046" s="3" t="n">
        <v>0.2563</v>
      </c>
      <c r="S1046" s="3" t="n">
        <v>0.0713</v>
      </c>
      <c r="T1046" s="3" t="n">
        <v>0.0143</v>
      </c>
    </row>
    <row r="1047" customFormat="false" ht="15" hidden="false" customHeight="true" outlineLevel="0" collapsed="false">
      <c r="A1047" s="3" t="s">
        <v>1806</v>
      </c>
      <c r="B1047" s="3" t="s">
        <v>1052</v>
      </c>
      <c r="C1047" s="3" t="s">
        <v>60</v>
      </c>
      <c r="D1047" s="3" t="s">
        <v>54</v>
      </c>
      <c r="E1047" s="3" t="s">
        <v>24</v>
      </c>
      <c r="F1047" s="3" t="s">
        <v>40</v>
      </c>
      <c r="G1047" s="3" t="s">
        <v>63</v>
      </c>
      <c r="H1047" s="3" t="s">
        <v>27</v>
      </c>
      <c r="I1047" s="3" t="s">
        <v>117</v>
      </c>
      <c r="J1047" s="3" t="n">
        <v>22</v>
      </c>
      <c r="K1047" s="3" t="n">
        <v>21473.78</v>
      </c>
      <c r="L1047" s="3" t="n">
        <v>472423.16</v>
      </c>
      <c r="M1047" s="3" t="n">
        <v>0.075</v>
      </c>
      <c r="N1047" s="3" t="n">
        <v>35431.74</v>
      </c>
      <c r="O1047" s="3" t="n">
        <v>436991.42</v>
      </c>
      <c r="P1047" s="3" t="n">
        <v>292902.36</v>
      </c>
      <c r="Q1047" s="3" t="n">
        <v>144089.06</v>
      </c>
      <c r="R1047" s="3" t="n">
        <v>0.3297</v>
      </c>
      <c r="S1047" s="3" t="n">
        <v>0.075</v>
      </c>
      <c r="T1047" s="3" t="n">
        <v>0</v>
      </c>
    </row>
    <row r="1048" customFormat="false" ht="15" hidden="false" customHeight="true" outlineLevel="0" collapsed="false">
      <c r="A1048" s="3" t="s">
        <v>1807</v>
      </c>
      <c r="B1048" s="3" t="s">
        <v>1808</v>
      </c>
      <c r="C1048" s="3" t="s">
        <v>120</v>
      </c>
      <c r="D1048" s="3" t="s">
        <v>83</v>
      </c>
      <c r="E1048" s="3" t="s">
        <v>48</v>
      </c>
      <c r="F1048" s="3" t="s">
        <v>62</v>
      </c>
      <c r="G1048" s="3" t="s">
        <v>63</v>
      </c>
      <c r="H1048" s="3" t="s">
        <v>42</v>
      </c>
      <c r="I1048" s="3" t="s">
        <v>43</v>
      </c>
      <c r="J1048" s="3" t="n">
        <v>32</v>
      </c>
      <c r="K1048" s="3" t="n">
        <v>2211.74</v>
      </c>
      <c r="L1048" s="3" t="n">
        <v>70775.68</v>
      </c>
      <c r="M1048" s="3" t="n">
        <v>0.07</v>
      </c>
      <c r="N1048" s="3" t="n">
        <v>4954.3</v>
      </c>
      <c r="O1048" s="3" t="n">
        <v>65821.38</v>
      </c>
      <c r="P1048" s="3" t="n">
        <v>38926.62</v>
      </c>
      <c r="Q1048" s="3" t="n">
        <v>26894.76</v>
      </c>
      <c r="R1048" s="3" t="n">
        <v>0.4086</v>
      </c>
      <c r="S1048" s="3" t="n">
        <v>0.0628</v>
      </c>
      <c r="T1048" s="3" t="n">
        <v>0.0072</v>
      </c>
    </row>
    <row r="1049" customFormat="false" ht="15" hidden="false" customHeight="true" outlineLevel="0" collapsed="false">
      <c r="A1049" s="3" t="s">
        <v>1809</v>
      </c>
      <c r="B1049" s="3" t="s">
        <v>1048</v>
      </c>
      <c r="C1049" s="3" t="s">
        <v>156</v>
      </c>
      <c r="D1049" s="3" t="s">
        <v>47</v>
      </c>
      <c r="E1049" s="3" t="s">
        <v>48</v>
      </c>
      <c r="F1049" s="3" t="s">
        <v>25</v>
      </c>
      <c r="G1049" s="3" t="s">
        <v>26</v>
      </c>
      <c r="H1049" s="3" t="s">
        <v>56</v>
      </c>
      <c r="I1049" s="3" t="s">
        <v>121</v>
      </c>
      <c r="J1049" s="3" t="n">
        <v>25</v>
      </c>
      <c r="K1049" s="3" t="n">
        <v>15489.01</v>
      </c>
      <c r="L1049" s="3" t="n">
        <v>387225.25</v>
      </c>
      <c r="M1049" s="3" t="n">
        <v>0.1532</v>
      </c>
      <c r="N1049" s="3" t="n">
        <v>59322.91</v>
      </c>
      <c r="O1049" s="3" t="n">
        <v>327902.34</v>
      </c>
      <c r="P1049" s="3" t="n">
        <v>232335.15</v>
      </c>
      <c r="Q1049" s="3" t="n">
        <v>95567.19</v>
      </c>
      <c r="R1049" s="3" t="n">
        <v>0.2915</v>
      </c>
      <c r="S1049" s="3" t="n">
        <v>0.1283</v>
      </c>
      <c r="T1049" s="3" t="n">
        <v>0.0249</v>
      </c>
    </row>
    <row r="1050" customFormat="false" ht="15" hidden="false" customHeight="true" outlineLevel="0" collapsed="false">
      <c r="A1050" s="3" t="s">
        <v>1810</v>
      </c>
      <c r="B1050" s="3" t="s">
        <v>1811</v>
      </c>
      <c r="C1050" s="3" t="s">
        <v>31</v>
      </c>
      <c r="D1050" s="3" t="s">
        <v>103</v>
      </c>
      <c r="E1050" s="3" t="s">
        <v>24</v>
      </c>
      <c r="F1050" s="3" t="s">
        <v>62</v>
      </c>
      <c r="G1050" s="3" t="s">
        <v>71</v>
      </c>
      <c r="H1050" s="3" t="s">
        <v>56</v>
      </c>
      <c r="I1050" s="3" t="s">
        <v>188</v>
      </c>
      <c r="J1050" s="3" t="n">
        <v>44</v>
      </c>
      <c r="K1050" s="3" t="n">
        <v>5784.08</v>
      </c>
      <c r="L1050" s="3" t="n">
        <v>254499.52</v>
      </c>
      <c r="M1050" s="3" t="n">
        <v>0.0715</v>
      </c>
      <c r="N1050" s="3" t="n">
        <v>18196.72</v>
      </c>
      <c r="O1050" s="3" t="n">
        <v>236302.8</v>
      </c>
      <c r="P1050" s="3" t="n">
        <v>152699.71</v>
      </c>
      <c r="Q1050" s="3" t="n">
        <v>83603.09</v>
      </c>
      <c r="R1050" s="3" t="n">
        <v>0.3538</v>
      </c>
      <c r="S1050" s="3" t="n">
        <v>0.0781</v>
      </c>
      <c r="T1050" s="3" t="n">
        <v>-0.0066</v>
      </c>
    </row>
    <row r="1051" customFormat="false" ht="15" hidden="false" customHeight="true" outlineLevel="0" collapsed="false">
      <c r="A1051" s="3" t="s">
        <v>1812</v>
      </c>
      <c r="B1051" s="3" t="s">
        <v>952</v>
      </c>
      <c r="C1051" s="3" t="s">
        <v>31</v>
      </c>
      <c r="D1051" s="3" t="s">
        <v>97</v>
      </c>
      <c r="E1051" s="3" t="s">
        <v>48</v>
      </c>
      <c r="F1051" s="3" t="s">
        <v>40</v>
      </c>
      <c r="G1051" s="3" t="s">
        <v>84</v>
      </c>
      <c r="H1051" s="3" t="s">
        <v>27</v>
      </c>
      <c r="I1051" s="3" t="s">
        <v>173</v>
      </c>
      <c r="J1051" s="3" t="n">
        <v>32</v>
      </c>
      <c r="K1051" s="3" t="n">
        <v>17262.93</v>
      </c>
      <c r="L1051" s="3" t="n">
        <v>552413.76</v>
      </c>
      <c r="M1051" s="3" t="n">
        <v>0.0341</v>
      </c>
      <c r="N1051" s="3" t="n">
        <v>18837.31</v>
      </c>
      <c r="O1051" s="3" t="n">
        <v>533576.45</v>
      </c>
      <c r="P1051" s="3" t="n">
        <v>342496.53</v>
      </c>
      <c r="Q1051" s="3" t="n">
        <v>191079.92</v>
      </c>
      <c r="R1051" s="3" t="n">
        <v>0.3581</v>
      </c>
      <c r="S1051" s="3" t="n">
        <v>0.0298</v>
      </c>
      <c r="T1051" s="3" t="n">
        <v>0.0043</v>
      </c>
    </row>
    <row r="1052" customFormat="false" ht="15" hidden="false" customHeight="true" outlineLevel="0" collapsed="false">
      <c r="A1052" s="3" t="s">
        <v>1813</v>
      </c>
      <c r="B1052" s="3" t="s">
        <v>952</v>
      </c>
      <c r="C1052" s="3" t="s">
        <v>31</v>
      </c>
      <c r="D1052" s="3" t="s">
        <v>75</v>
      </c>
      <c r="E1052" s="3" t="s">
        <v>39</v>
      </c>
      <c r="F1052" s="3" t="s">
        <v>25</v>
      </c>
      <c r="G1052" s="3" t="s">
        <v>34</v>
      </c>
      <c r="H1052" s="3" t="s">
        <v>56</v>
      </c>
      <c r="I1052" s="3" t="s">
        <v>188</v>
      </c>
      <c r="J1052" s="3" t="n">
        <v>8</v>
      </c>
      <c r="K1052" s="3" t="n">
        <v>6498.22</v>
      </c>
      <c r="L1052" s="3" t="n">
        <v>51985.76</v>
      </c>
      <c r="M1052" s="3" t="n">
        <v>0.2226</v>
      </c>
      <c r="N1052" s="3" t="n">
        <v>11572.03</v>
      </c>
      <c r="O1052" s="3" t="n">
        <v>40413.73</v>
      </c>
      <c r="P1052" s="3" t="n">
        <v>31191.46</v>
      </c>
      <c r="Q1052" s="3" t="n">
        <v>9222.27</v>
      </c>
      <c r="R1052" s="3" t="n">
        <v>0.2282</v>
      </c>
      <c r="S1052" s="3" t="n">
        <v>0.1914</v>
      </c>
      <c r="T1052" s="3" t="n">
        <v>0.0312</v>
      </c>
    </row>
    <row r="1053" customFormat="false" ht="15" hidden="false" customHeight="true" outlineLevel="0" collapsed="false">
      <c r="A1053" s="3" t="s">
        <v>1814</v>
      </c>
      <c r="B1053" s="3" t="s">
        <v>724</v>
      </c>
      <c r="C1053" s="3" t="s">
        <v>60</v>
      </c>
      <c r="D1053" s="3" t="s">
        <v>97</v>
      </c>
      <c r="E1053" s="3" t="s">
        <v>48</v>
      </c>
      <c r="F1053" s="3" t="s">
        <v>40</v>
      </c>
      <c r="G1053" s="3" t="s">
        <v>55</v>
      </c>
      <c r="H1053" s="3" t="s">
        <v>27</v>
      </c>
      <c r="I1053" s="3" t="s">
        <v>94</v>
      </c>
      <c r="J1053" s="3" t="n">
        <v>38</v>
      </c>
      <c r="K1053" s="3" t="n">
        <v>13798.02</v>
      </c>
      <c r="L1053" s="3" t="n">
        <v>524324.76</v>
      </c>
      <c r="M1053" s="3" t="n">
        <v>0.0614</v>
      </c>
      <c r="N1053" s="3" t="n">
        <v>32193.54</v>
      </c>
      <c r="O1053" s="3" t="n">
        <v>492131.22</v>
      </c>
      <c r="P1053" s="3" t="n">
        <v>325081.35</v>
      </c>
      <c r="Q1053" s="3" t="n">
        <v>167049.87</v>
      </c>
      <c r="R1053" s="3" t="n">
        <v>0.3394</v>
      </c>
      <c r="S1053" s="3" t="n">
        <v>0.0534</v>
      </c>
      <c r="T1053" s="3" t="n">
        <v>0.008</v>
      </c>
    </row>
    <row r="1054" customFormat="false" ht="15" hidden="false" customHeight="true" outlineLevel="0" collapsed="false">
      <c r="A1054" s="3" t="s">
        <v>1815</v>
      </c>
      <c r="B1054" s="3" t="s">
        <v>532</v>
      </c>
      <c r="C1054" s="3" t="s">
        <v>120</v>
      </c>
      <c r="D1054" s="3" t="s">
        <v>75</v>
      </c>
      <c r="E1054" s="3" t="s">
        <v>39</v>
      </c>
      <c r="F1054" s="3" t="s">
        <v>25</v>
      </c>
      <c r="G1054" s="3" t="s">
        <v>76</v>
      </c>
      <c r="H1054" s="3" t="s">
        <v>77</v>
      </c>
      <c r="I1054" s="3" t="s">
        <v>131</v>
      </c>
      <c r="J1054" s="3" t="n">
        <v>10</v>
      </c>
      <c r="K1054" s="3" t="n">
        <v>5953.91</v>
      </c>
      <c r="L1054" s="3" t="n">
        <v>59539.1</v>
      </c>
      <c r="M1054" s="3" t="n">
        <v>0.1406</v>
      </c>
      <c r="N1054" s="3" t="n">
        <v>8371.2</v>
      </c>
      <c r="O1054" s="3" t="n">
        <v>51167.9</v>
      </c>
      <c r="P1054" s="3" t="n">
        <v>40486.59</v>
      </c>
      <c r="Q1054" s="3" t="n">
        <v>10681.31</v>
      </c>
      <c r="R1054" s="3" t="n">
        <v>0.2088</v>
      </c>
      <c r="S1054" s="3" t="n">
        <v>0.149</v>
      </c>
      <c r="T1054" s="3" t="n">
        <v>-0.0084</v>
      </c>
    </row>
    <row r="1055" customFormat="false" ht="15" hidden="false" customHeight="true" outlineLevel="0" collapsed="false">
      <c r="A1055" s="3" t="s">
        <v>1816</v>
      </c>
      <c r="B1055" s="3" t="s">
        <v>1817</v>
      </c>
      <c r="C1055" s="3" t="s">
        <v>22</v>
      </c>
      <c r="D1055" s="3" t="s">
        <v>47</v>
      </c>
      <c r="E1055" s="3" t="s">
        <v>48</v>
      </c>
      <c r="F1055" s="3" t="s">
        <v>25</v>
      </c>
      <c r="G1055" s="3" t="s">
        <v>76</v>
      </c>
      <c r="H1055" s="3" t="s">
        <v>77</v>
      </c>
      <c r="I1055" s="3" t="s">
        <v>85</v>
      </c>
      <c r="J1055" s="3" t="n">
        <v>15</v>
      </c>
      <c r="K1055" s="3" t="n">
        <v>4560.76</v>
      </c>
      <c r="L1055" s="3" t="n">
        <v>68411.4</v>
      </c>
      <c r="M1055" s="3" t="n">
        <v>0.1152</v>
      </c>
      <c r="N1055" s="3" t="n">
        <v>7880.99</v>
      </c>
      <c r="O1055" s="3" t="n">
        <v>60530.41</v>
      </c>
      <c r="P1055" s="3" t="n">
        <v>46519.75</v>
      </c>
      <c r="Q1055" s="3" t="n">
        <v>14010.66</v>
      </c>
      <c r="R1055" s="3" t="n">
        <v>0.2315</v>
      </c>
      <c r="S1055" s="3" t="n">
        <v>0.1098</v>
      </c>
      <c r="T1055" s="3" t="n">
        <v>0.0054</v>
      </c>
    </row>
    <row r="1056" customFormat="false" ht="15" hidden="false" customHeight="true" outlineLevel="0" collapsed="false">
      <c r="A1056" s="3" t="s">
        <v>1818</v>
      </c>
      <c r="B1056" s="3" t="s">
        <v>1819</v>
      </c>
      <c r="C1056" s="3" t="s">
        <v>22</v>
      </c>
      <c r="D1056" s="3" t="s">
        <v>23</v>
      </c>
      <c r="E1056" s="3" t="s">
        <v>24</v>
      </c>
      <c r="F1056" s="3" t="s">
        <v>25</v>
      </c>
      <c r="G1056" s="3" t="s">
        <v>116</v>
      </c>
      <c r="H1056" s="3" t="s">
        <v>27</v>
      </c>
      <c r="I1056" s="3" t="s">
        <v>50</v>
      </c>
      <c r="J1056" s="3" t="n">
        <v>18</v>
      </c>
      <c r="K1056" s="3" t="n">
        <v>16615.87</v>
      </c>
      <c r="L1056" s="3" t="n">
        <v>299085.66</v>
      </c>
      <c r="M1056" s="3" t="n">
        <v>0.204</v>
      </c>
      <c r="N1056" s="3" t="n">
        <v>61013.47</v>
      </c>
      <c r="O1056" s="3" t="n">
        <v>238072.19</v>
      </c>
      <c r="P1056" s="3" t="n">
        <v>185433.11</v>
      </c>
      <c r="Q1056" s="3" t="n">
        <v>52639.08</v>
      </c>
      <c r="R1056" s="3" t="n">
        <v>0.2211</v>
      </c>
      <c r="S1056" s="3" t="n">
        <v>0.1743</v>
      </c>
      <c r="T1056" s="3" t="n">
        <v>0.0297</v>
      </c>
    </row>
    <row r="1057" customFormat="false" ht="15" hidden="false" customHeight="true" outlineLevel="0" collapsed="false">
      <c r="A1057" s="3" t="s">
        <v>1820</v>
      </c>
      <c r="B1057" s="3" t="s">
        <v>1365</v>
      </c>
      <c r="C1057" s="3" t="s">
        <v>68</v>
      </c>
      <c r="D1057" s="3" t="s">
        <v>32</v>
      </c>
      <c r="E1057" s="3" t="s">
        <v>33</v>
      </c>
      <c r="F1057" s="3" t="s">
        <v>25</v>
      </c>
      <c r="G1057" s="3" t="s">
        <v>34</v>
      </c>
      <c r="H1057" s="3" t="s">
        <v>27</v>
      </c>
      <c r="I1057" s="3" t="s">
        <v>50</v>
      </c>
      <c r="J1057" s="3" t="n">
        <v>18</v>
      </c>
      <c r="K1057" s="3" t="n">
        <v>17130.14</v>
      </c>
      <c r="L1057" s="3" t="n">
        <v>308342.52</v>
      </c>
      <c r="M1057" s="3" t="n">
        <v>0.1509</v>
      </c>
      <c r="N1057" s="3" t="n">
        <v>46528.89</v>
      </c>
      <c r="O1057" s="3" t="n">
        <v>261813.63</v>
      </c>
      <c r="P1057" s="3" t="n">
        <v>191172.36</v>
      </c>
      <c r="Q1057" s="3" t="n">
        <v>70641.27</v>
      </c>
      <c r="R1057" s="3" t="n">
        <v>0.2698</v>
      </c>
      <c r="S1057" s="3" t="n">
        <v>0.1372</v>
      </c>
      <c r="T1057" s="3" t="n">
        <v>0.0137</v>
      </c>
    </row>
    <row r="1058" customFormat="false" ht="15" hidden="false" customHeight="true" outlineLevel="0" collapsed="false">
      <c r="A1058" s="3" t="s">
        <v>1821</v>
      </c>
      <c r="B1058" s="3" t="s">
        <v>950</v>
      </c>
      <c r="C1058" s="3" t="s">
        <v>120</v>
      </c>
      <c r="D1058" s="3" t="s">
        <v>54</v>
      </c>
      <c r="E1058" s="3" t="s">
        <v>24</v>
      </c>
      <c r="F1058" s="3" t="s">
        <v>40</v>
      </c>
      <c r="G1058" s="3" t="s">
        <v>71</v>
      </c>
      <c r="H1058" s="3" t="s">
        <v>27</v>
      </c>
      <c r="I1058" s="3" t="s">
        <v>28</v>
      </c>
      <c r="J1058" s="3" t="n">
        <v>36</v>
      </c>
      <c r="K1058" s="3" t="n">
        <v>8437.17</v>
      </c>
      <c r="L1058" s="3" t="n">
        <v>303738.12</v>
      </c>
      <c r="M1058" s="3" t="n">
        <v>0.0685</v>
      </c>
      <c r="N1058" s="3" t="n">
        <v>20806.06</v>
      </c>
      <c r="O1058" s="3" t="n">
        <v>282932.06</v>
      </c>
      <c r="P1058" s="3" t="n">
        <v>188317.63</v>
      </c>
      <c r="Q1058" s="3" t="n">
        <v>94614.43</v>
      </c>
      <c r="R1058" s="3" t="n">
        <v>0.3344</v>
      </c>
      <c r="S1058" s="3" t="n">
        <v>0.0616</v>
      </c>
      <c r="T1058" s="3" t="n">
        <v>0.0069</v>
      </c>
    </row>
    <row r="1059" customFormat="false" ht="15" hidden="false" customHeight="true" outlineLevel="0" collapsed="false">
      <c r="A1059" s="3" t="s">
        <v>1822</v>
      </c>
      <c r="B1059" s="3" t="s">
        <v>229</v>
      </c>
      <c r="C1059" s="3" t="s">
        <v>126</v>
      </c>
      <c r="D1059" s="3" t="s">
        <v>97</v>
      </c>
      <c r="E1059" s="3" t="s">
        <v>48</v>
      </c>
      <c r="F1059" s="3" t="s">
        <v>40</v>
      </c>
      <c r="G1059" s="3" t="s">
        <v>55</v>
      </c>
      <c r="H1059" s="3" t="s">
        <v>42</v>
      </c>
      <c r="I1059" s="3" t="s">
        <v>72</v>
      </c>
      <c r="J1059" s="3" t="n">
        <v>24</v>
      </c>
      <c r="K1059" s="3" t="n">
        <v>2351.02</v>
      </c>
      <c r="L1059" s="3" t="n">
        <v>56424.48</v>
      </c>
      <c r="M1059" s="3" t="n">
        <v>0.0419</v>
      </c>
      <c r="N1059" s="3" t="n">
        <v>2364.19</v>
      </c>
      <c r="O1059" s="3" t="n">
        <v>54060.29</v>
      </c>
      <c r="P1059" s="3" t="n">
        <v>31033.46</v>
      </c>
      <c r="Q1059" s="3" t="n">
        <v>23026.83</v>
      </c>
      <c r="R1059" s="3" t="n">
        <v>0.4259</v>
      </c>
      <c r="S1059" s="3" t="n">
        <v>0.0362</v>
      </c>
      <c r="T1059" s="3" t="n">
        <v>0.0057</v>
      </c>
    </row>
    <row r="1060" customFormat="false" ht="15" hidden="false" customHeight="true" outlineLevel="0" collapsed="false">
      <c r="A1060" s="3" t="s">
        <v>1823</v>
      </c>
      <c r="B1060" s="3" t="s">
        <v>1435</v>
      </c>
      <c r="C1060" s="3" t="s">
        <v>113</v>
      </c>
      <c r="D1060" s="3" t="s">
        <v>47</v>
      </c>
      <c r="E1060" s="3" t="s">
        <v>48</v>
      </c>
      <c r="F1060" s="3" t="s">
        <v>25</v>
      </c>
      <c r="G1060" s="3" t="s">
        <v>41</v>
      </c>
      <c r="H1060" s="3" t="s">
        <v>27</v>
      </c>
      <c r="I1060" s="3" t="s">
        <v>28</v>
      </c>
      <c r="J1060" s="3" t="n">
        <v>39</v>
      </c>
      <c r="K1060" s="3" t="n">
        <v>28145.88</v>
      </c>
      <c r="L1060" s="3" t="n">
        <v>1097689.32</v>
      </c>
      <c r="M1060" s="3" t="n">
        <v>0.1794</v>
      </c>
      <c r="N1060" s="3" t="n">
        <v>196925.46</v>
      </c>
      <c r="O1060" s="3" t="n">
        <v>900763.86</v>
      </c>
      <c r="P1060" s="3" t="n">
        <v>680567.38</v>
      </c>
      <c r="Q1060" s="3" t="n">
        <v>220196.48</v>
      </c>
      <c r="R1060" s="3" t="n">
        <v>0.2445</v>
      </c>
      <c r="S1060" s="3" t="n">
        <v>0.1539</v>
      </c>
      <c r="T1060" s="3" t="n">
        <v>0.0255</v>
      </c>
    </row>
    <row r="1061" customFormat="false" ht="15" hidden="false" customHeight="true" outlineLevel="0" collapsed="false">
      <c r="A1061" s="3" t="s">
        <v>1824</v>
      </c>
      <c r="B1061" s="3" t="s">
        <v>1825</v>
      </c>
      <c r="C1061" s="3" t="s">
        <v>113</v>
      </c>
      <c r="D1061" s="3" t="s">
        <v>83</v>
      </c>
      <c r="E1061" s="3" t="s">
        <v>48</v>
      </c>
      <c r="F1061" s="3" t="s">
        <v>62</v>
      </c>
      <c r="G1061" s="3" t="s">
        <v>100</v>
      </c>
      <c r="H1061" s="3" t="s">
        <v>27</v>
      </c>
      <c r="I1061" s="3" t="s">
        <v>28</v>
      </c>
      <c r="J1061" s="3" t="n">
        <v>20</v>
      </c>
      <c r="K1061" s="3" t="n">
        <v>27808.33</v>
      </c>
      <c r="L1061" s="3" t="n">
        <v>556166.6</v>
      </c>
      <c r="M1061" s="3" t="n">
        <v>0.0663</v>
      </c>
      <c r="N1061" s="3" t="n">
        <v>36873.85</v>
      </c>
      <c r="O1061" s="3" t="n">
        <v>519292.75</v>
      </c>
      <c r="P1061" s="3" t="n">
        <v>344823.29</v>
      </c>
      <c r="Q1061" s="3" t="n">
        <v>174469.46</v>
      </c>
      <c r="R1061" s="3" t="n">
        <v>0.336</v>
      </c>
      <c r="S1061" s="3" t="n">
        <v>0.0636</v>
      </c>
      <c r="T1061" s="3" t="n">
        <v>0.0027</v>
      </c>
    </row>
    <row r="1062" customFormat="false" ht="15" hidden="false" customHeight="true" outlineLevel="0" collapsed="false">
      <c r="A1062" s="3" t="s">
        <v>1826</v>
      </c>
      <c r="B1062" s="3" t="s">
        <v>1023</v>
      </c>
      <c r="C1062" s="3" t="s">
        <v>37</v>
      </c>
      <c r="D1062" s="3" t="s">
        <v>75</v>
      </c>
      <c r="E1062" s="3" t="s">
        <v>39</v>
      </c>
      <c r="F1062" s="3" t="s">
        <v>25</v>
      </c>
      <c r="G1062" s="3" t="s">
        <v>34</v>
      </c>
      <c r="H1062" s="3" t="s">
        <v>27</v>
      </c>
      <c r="I1062" s="3" t="s">
        <v>117</v>
      </c>
      <c r="J1062" s="3" t="n">
        <v>46</v>
      </c>
      <c r="K1062" s="3" t="n">
        <v>21382.8</v>
      </c>
      <c r="L1062" s="3" t="n">
        <v>983608.8</v>
      </c>
      <c r="M1062" s="3" t="n">
        <v>0.2069</v>
      </c>
      <c r="N1062" s="3" t="n">
        <v>203508.66</v>
      </c>
      <c r="O1062" s="3" t="n">
        <v>780100.14</v>
      </c>
      <c r="P1062" s="3" t="n">
        <v>609837.46</v>
      </c>
      <c r="Q1062" s="3" t="n">
        <v>170262.68</v>
      </c>
      <c r="R1062" s="3" t="n">
        <v>0.2183</v>
      </c>
      <c r="S1062" s="3" t="n">
        <v>0.2211</v>
      </c>
      <c r="T1062" s="3" t="n">
        <v>-0.0142</v>
      </c>
    </row>
    <row r="1063" customFormat="false" ht="15" hidden="false" customHeight="true" outlineLevel="0" collapsed="false">
      <c r="A1063" s="3" t="s">
        <v>1827</v>
      </c>
      <c r="B1063" s="3" t="s">
        <v>1748</v>
      </c>
      <c r="C1063" s="3" t="s">
        <v>156</v>
      </c>
      <c r="D1063" s="3" t="s">
        <v>83</v>
      </c>
      <c r="E1063" s="3" t="s">
        <v>48</v>
      </c>
      <c r="F1063" s="3" t="s">
        <v>62</v>
      </c>
      <c r="G1063" s="3" t="s">
        <v>116</v>
      </c>
      <c r="H1063" s="3" t="s">
        <v>27</v>
      </c>
      <c r="I1063" s="3" t="s">
        <v>173</v>
      </c>
      <c r="J1063" s="3" t="n">
        <v>34</v>
      </c>
      <c r="K1063" s="3" t="n">
        <v>23450.26</v>
      </c>
      <c r="L1063" s="3" t="n">
        <v>797308.84</v>
      </c>
      <c r="M1063" s="3" t="n">
        <v>0.1167</v>
      </c>
      <c r="N1063" s="3" t="n">
        <v>93045.94</v>
      </c>
      <c r="O1063" s="3" t="n">
        <v>704262.9</v>
      </c>
      <c r="P1063" s="3" t="n">
        <v>494331.48</v>
      </c>
      <c r="Q1063" s="3" t="n">
        <v>209931.42</v>
      </c>
      <c r="R1063" s="3" t="n">
        <v>0.2981</v>
      </c>
      <c r="S1063" s="3" t="n">
        <v>0.0992</v>
      </c>
      <c r="T1063" s="3" t="n">
        <v>0.0175</v>
      </c>
    </row>
    <row r="1064" customFormat="false" ht="15" hidden="false" customHeight="true" outlineLevel="0" collapsed="false">
      <c r="A1064" s="3" t="s">
        <v>1828</v>
      </c>
      <c r="B1064" s="3" t="s">
        <v>1637</v>
      </c>
      <c r="C1064" s="3" t="s">
        <v>46</v>
      </c>
      <c r="D1064" s="3" t="s">
        <v>54</v>
      </c>
      <c r="E1064" s="3" t="s">
        <v>24</v>
      </c>
      <c r="F1064" s="3" t="s">
        <v>40</v>
      </c>
      <c r="G1064" s="3" t="s">
        <v>104</v>
      </c>
      <c r="H1064" s="3" t="s">
        <v>64</v>
      </c>
      <c r="I1064" s="3" t="s">
        <v>145</v>
      </c>
      <c r="J1064" s="3" t="n">
        <v>4</v>
      </c>
      <c r="K1064" s="3" t="n">
        <v>11602.23</v>
      </c>
      <c r="L1064" s="3" t="n">
        <v>46408.92</v>
      </c>
      <c r="M1064" s="3" t="n">
        <v>0.1175</v>
      </c>
      <c r="N1064" s="3" t="n">
        <v>5453.05</v>
      </c>
      <c r="O1064" s="3" t="n">
        <v>40955.87</v>
      </c>
      <c r="P1064" s="3" t="n">
        <v>26917.17</v>
      </c>
      <c r="Q1064" s="3" t="n">
        <v>14038.7</v>
      </c>
      <c r="R1064" s="3" t="n">
        <v>0.3428</v>
      </c>
      <c r="S1064" s="3" t="n">
        <v>0.1114</v>
      </c>
      <c r="T1064" s="3" t="n">
        <v>0.0061</v>
      </c>
    </row>
    <row r="1065" customFormat="false" ht="15" hidden="false" customHeight="true" outlineLevel="0" collapsed="false">
      <c r="A1065" s="3" t="s">
        <v>1829</v>
      </c>
      <c r="B1065" s="3" t="s">
        <v>351</v>
      </c>
      <c r="C1065" s="3" t="s">
        <v>46</v>
      </c>
      <c r="D1065" s="3" t="s">
        <v>107</v>
      </c>
      <c r="E1065" s="3" t="s">
        <v>33</v>
      </c>
      <c r="F1065" s="3" t="s">
        <v>70</v>
      </c>
      <c r="G1065" s="3" t="s">
        <v>41</v>
      </c>
      <c r="H1065" s="3" t="s">
        <v>56</v>
      </c>
      <c r="I1065" s="3" t="s">
        <v>188</v>
      </c>
      <c r="J1065" s="3" t="n">
        <v>33</v>
      </c>
      <c r="K1065" s="3" t="n">
        <v>9003.92</v>
      </c>
      <c r="L1065" s="3" t="n">
        <v>297129.36</v>
      </c>
      <c r="M1065" s="3" t="n">
        <v>0.1004</v>
      </c>
      <c r="N1065" s="3" t="n">
        <v>29831.79</v>
      </c>
      <c r="O1065" s="3" t="n">
        <v>267297.57</v>
      </c>
      <c r="P1065" s="3" t="n">
        <v>178277.62</v>
      </c>
      <c r="Q1065" s="3" t="n">
        <v>89019.95</v>
      </c>
      <c r="R1065" s="3" t="n">
        <v>0.333</v>
      </c>
      <c r="S1065" s="3" t="n">
        <v>0.0986</v>
      </c>
      <c r="T1065" s="3" t="n">
        <v>0.0018</v>
      </c>
    </row>
    <row r="1066" customFormat="false" ht="15" hidden="false" customHeight="true" outlineLevel="0" collapsed="false">
      <c r="A1066" s="3" t="s">
        <v>1830</v>
      </c>
      <c r="B1066" s="3" t="s">
        <v>1831</v>
      </c>
      <c r="C1066" s="3" t="s">
        <v>68</v>
      </c>
      <c r="D1066" s="3" t="s">
        <v>69</v>
      </c>
      <c r="E1066" s="3" t="s">
        <v>39</v>
      </c>
      <c r="F1066" s="3" t="s">
        <v>70</v>
      </c>
      <c r="G1066" s="3" t="s">
        <v>41</v>
      </c>
      <c r="H1066" s="3" t="s">
        <v>64</v>
      </c>
      <c r="I1066" s="3" t="s">
        <v>65</v>
      </c>
      <c r="J1066" s="3" t="n">
        <v>38</v>
      </c>
      <c r="K1066" s="3" t="n">
        <v>8147.08</v>
      </c>
      <c r="L1066" s="3" t="n">
        <v>309589.04</v>
      </c>
      <c r="M1066" s="3" t="n">
        <v>0.12</v>
      </c>
      <c r="N1066" s="3" t="n">
        <v>37150.68</v>
      </c>
      <c r="O1066" s="3" t="n">
        <v>272438.36</v>
      </c>
      <c r="P1066" s="3" t="n">
        <v>179561.64</v>
      </c>
      <c r="Q1066" s="3" t="n">
        <v>92876.72</v>
      </c>
      <c r="R1066" s="3" t="n">
        <v>0.3409</v>
      </c>
      <c r="S1066" s="3" t="n">
        <v>0.1124</v>
      </c>
      <c r="T1066" s="3" t="n">
        <v>0.0076</v>
      </c>
    </row>
    <row r="1067" customFormat="false" ht="15" hidden="false" customHeight="true" outlineLevel="0" collapsed="false">
      <c r="A1067" s="3" t="s">
        <v>1832</v>
      </c>
      <c r="B1067" s="3" t="s">
        <v>963</v>
      </c>
      <c r="C1067" s="3" t="s">
        <v>120</v>
      </c>
      <c r="D1067" s="3" t="s">
        <v>97</v>
      </c>
      <c r="E1067" s="3" t="s">
        <v>48</v>
      </c>
      <c r="F1067" s="3" t="s">
        <v>40</v>
      </c>
      <c r="G1067" s="3" t="s">
        <v>76</v>
      </c>
      <c r="H1067" s="3" t="s">
        <v>56</v>
      </c>
      <c r="I1067" s="3" t="s">
        <v>57</v>
      </c>
      <c r="J1067" s="3" t="n">
        <v>19</v>
      </c>
      <c r="K1067" s="3" t="n">
        <v>15639.6</v>
      </c>
      <c r="L1067" s="3" t="n">
        <v>297152.4</v>
      </c>
      <c r="M1067" s="3" t="n">
        <v>0.0654</v>
      </c>
      <c r="N1067" s="3" t="n">
        <v>19433.77</v>
      </c>
      <c r="O1067" s="3" t="n">
        <v>277718.63</v>
      </c>
      <c r="P1067" s="3" t="n">
        <v>178291.44</v>
      </c>
      <c r="Q1067" s="3" t="n">
        <v>99427.19</v>
      </c>
      <c r="R1067" s="3" t="n">
        <v>0.358</v>
      </c>
      <c r="S1067" s="3" t="n">
        <v>0.0557</v>
      </c>
      <c r="T1067" s="3" t="n">
        <v>0.0097</v>
      </c>
    </row>
    <row r="1068" customFormat="false" ht="15" hidden="false" customHeight="true" outlineLevel="0" collapsed="false">
      <c r="A1068" s="3" t="s">
        <v>1833</v>
      </c>
      <c r="B1068" s="3" t="s">
        <v>1439</v>
      </c>
      <c r="C1068" s="3" t="s">
        <v>120</v>
      </c>
      <c r="D1068" s="3" t="s">
        <v>32</v>
      </c>
      <c r="E1068" s="3" t="s">
        <v>33</v>
      </c>
      <c r="F1068" s="3" t="s">
        <v>25</v>
      </c>
      <c r="G1068" s="3" t="s">
        <v>76</v>
      </c>
      <c r="H1068" s="3" t="s">
        <v>56</v>
      </c>
      <c r="I1068" s="3" t="s">
        <v>188</v>
      </c>
      <c r="J1068" s="3" t="n">
        <v>10</v>
      </c>
      <c r="K1068" s="3" t="n">
        <v>2625.45</v>
      </c>
      <c r="L1068" s="3" t="n">
        <v>26254.5</v>
      </c>
      <c r="M1068" s="3" t="n">
        <v>0.1393</v>
      </c>
      <c r="N1068" s="3" t="n">
        <v>3657.25</v>
      </c>
      <c r="O1068" s="3" t="n">
        <v>22597.25</v>
      </c>
      <c r="P1068" s="3" t="n">
        <v>15752.7</v>
      </c>
      <c r="Q1068" s="3" t="n">
        <v>6844.55</v>
      </c>
      <c r="R1068" s="3" t="n">
        <v>0.3029</v>
      </c>
      <c r="S1068" s="3" t="n">
        <v>0.1228</v>
      </c>
      <c r="T1068" s="3" t="n">
        <v>0.0165</v>
      </c>
    </row>
    <row r="1069" customFormat="false" ht="15" hidden="false" customHeight="true" outlineLevel="0" collapsed="false">
      <c r="A1069" s="3" t="s">
        <v>1834</v>
      </c>
      <c r="B1069" s="3" t="s">
        <v>233</v>
      </c>
      <c r="C1069" s="3" t="s">
        <v>46</v>
      </c>
      <c r="D1069" s="3" t="s">
        <v>32</v>
      </c>
      <c r="E1069" s="3" t="s">
        <v>33</v>
      </c>
      <c r="F1069" s="3" t="s">
        <v>25</v>
      </c>
      <c r="G1069" s="3" t="s">
        <v>100</v>
      </c>
      <c r="H1069" s="3" t="s">
        <v>64</v>
      </c>
      <c r="I1069" s="3" t="s">
        <v>108</v>
      </c>
      <c r="J1069" s="3" t="n">
        <v>42</v>
      </c>
      <c r="K1069" s="3" t="n">
        <v>4045.66</v>
      </c>
      <c r="L1069" s="3" t="n">
        <v>169917.72</v>
      </c>
      <c r="M1069" s="3" t="n">
        <v>0.1358</v>
      </c>
      <c r="N1069" s="3" t="n">
        <v>23074.83</v>
      </c>
      <c r="O1069" s="3" t="n">
        <v>146842.89</v>
      </c>
      <c r="P1069" s="3" t="n">
        <v>98552.28</v>
      </c>
      <c r="Q1069" s="3" t="n">
        <v>48290.61</v>
      </c>
      <c r="R1069" s="3" t="n">
        <v>0.3289</v>
      </c>
      <c r="S1069" s="3" t="n">
        <v>0.1218</v>
      </c>
      <c r="T1069" s="3" t="n">
        <v>0.014</v>
      </c>
    </row>
    <row r="1070" customFormat="false" ht="15" hidden="false" customHeight="true" outlineLevel="0" collapsed="false">
      <c r="A1070" s="3" t="s">
        <v>1835</v>
      </c>
      <c r="B1070" s="3" t="s">
        <v>136</v>
      </c>
      <c r="C1070" s="3" t="s">
        <v>22</v>
      </c>
      <c r="D1070" s="3" t="s">
        <v>97</v>
      </c>
      <c r="E1070" s="3" t="s">
        <v>48</v>
      </c>
      <c r="F1070" s="3" t="s">
        <v>40</v>
      </c>
      <c r="G1070" s="3" t="s">
        <v>26</v>
      </c>
      <c r="H1070" s="3" t="s">
        <v>56</v>
      </c>
      <c r="I1070" s="3" t="s">
        <v>57</v>
      </c>
      <c r="J1070" s="3" t="n">
        <v>40</v>
      </c>
      <c r="K1070" s="3" t="n">
        <v>4137.79</v>
      </c>
      <c r="L1070" s="3" t="n">
        <v>165511.6</v>
      </c>
      <c r="M1070" s="3" t="n">
        <v>0.0447</v>
      </c>
      <c r="N1070" s="3" t="n">
        <v>7398.37</v>
      </c>
      <c r="O1070" s="3" t="n">
        <v>158113.23</v>
      </c>
      <c r="P1070" s="3" t="n">
        <v>99306.96</v>
      </c>
      <c r="Q1070" s="3" t="n">
        <v>58806.27</v>
      </c>
      <c r="R1070" s="3" t="n">
        <v>0.3719</v>
      </c>
      <c r="S1070" s="3" t="n">
        <v>0.0442</v>
      </c>
      <c r="T1070" s="3" t="n">
        <v>0.0005</v>
      </c>
    </row>
    <row r="1071" customFormat="false" ht="15" hidden="false" customHeight="true" outlineLevel="0" collapsed="false">
      <c r="A1071" s="3" t="s">
        <v>1836</v>
      </c>
      <c r="B1071" s="3" t="s">
        <v>1837</v>
      </c>
      <c r="C1071" s="3" t="s">
        <v>120</v>
      </c>
      <c r="D1071" s="3" t="s">
        <v>32</v>
      </c>
      <c r="E1071" s="3" t="s">
        <v>33</v>
      </c>
      <c r="F1071" s="3" t="s">
        <v>25</v>
      </c>
      <c r="G1071" s="3" t="s">
        <v>26</v>
      </c>
      <c r="H1071" s="3" t="s">
        <v>42</v>
      </c>
      <c r="I1071" s="3" t="s">
        <v>43</v>
      </c>
      <c r="J1071" s="3" t="n">
        <v>12</v>
      </c>
      <c r="K1071" s="3" t="n">
        <v>3878.3</v>
      </c>
      <c r="L1071" s="3" t="n">
        <v>46539.6</v>
      </c>
      <c r="M1071" s="3" t="n">
        <v>0.0841</v>
      </c>
      <c r="N1071" s="3" t="n">
        <v>3913.98</v>
      </c>
      <c r="O1071" s="3" t="n">
        <v>42625.62</v>
      </c>
      <c r="P1071" s="3" t="n">
        <v>25596.78</v>
      </c>
      <c r="Q1071" s="3" t="n">
        <v>17028.84</v>
      </c>
      <c r="R1071" s="3" t="n">
        <v>0.3995</v>
      </c>
      <c r="S1071" s="3" t="n">
        <v>0.0855</v>
      </c>
      <c r="T1071" s="3" t="n">
        <v>-0.0014</v>
      </c>
    </row>
    <row r="1072" customFormat="false" ht="15" hidden="false" customHeight="true" outlineLevel="0" collapsed="false">
      <c r="A1072" s="3" t="s">
        <v>1838</v>
      </c>
      <c r="B1072" s="3" t="s">
        <v>1765</v>
      </c>
      <c r="C1072" s="3" t="s">
        <v>113</v>
      </c>
      <c r="D1072" s="3" t="s">
        <v>97</v>
      </c>
      <c r="E1072" s="3" t="s">
        <v>48</v>
      </c>
      <c r="F1072" s="3" t="s">
        <v>40</v>
      </c>
      <c r="G1072" s="3" t="s">
        <v>76</v>
      </c>
      <c r="H1072" s="3" t="s">
        <v>77</v>
      </c>
      <c r="I1072" s="3" t="s">
        <v>85</v>
      </c>
      <c r="J1072" s="3" t="n">
        <v>41</v>
      </c>
      <c r="K1072" s="3" t="n">
        <v>5376.12</v>
      </c>
      <c r="L1072" s="3" t="n">
        <v>220420.92</v>
      </c>
      <c r="M1072" s="3" t="n">
        <v>0.0602</v>
      </c>
      <c r="N1072" s="3" t="n">
        <v>13269.34</v>
      </c>
      <c r="O1072" s="3" t="n">
        <v>207151.58</v>
      </c>
      <c r="P1072" s="3" t="n">
        <v>149886.23</v>
      </c>
      <c r="Q1072" s="3" t="n">
        <v>57265.35</v>
      </c>
      <c r="R1072" s="3" t="n">
        <v>0.2764</v>
      </c>
      <c r="S1072" s="3" t="n">
        <v>0.0629</v>
      </c>
      <c r="T1072" s="3" t="n">
        <v>-0.0027</v>
      </c>
    </row>
    <row r="1073" customFormat="false" ht="15" hidden="false" customHeight="true" outlineLevel="0" collapsed="false">
      <c r="A1073" s="3" t="s">
        <v>1839</v>
      </c>
      <c r="B1073" s="3" t="s">
        <v>1840</v>
      </c>
      <c r="C1073" s="3" t="s">
        <v>31</v>
      </c>
      <c r="D1073" s="3" t="s">
        <v>69</v>
      </c>
      <c r="E1073" s="3" t="s">
        <v>39</v>
      </c>
      <c r="F1073" s="3" t="s">
        <v>70</v>
      </c>
      <c r="G1073" s="3" t="s">
        <v>34</v>
      </c>
      <c r="H1073" s="3" t="s">
        <v>42</v>
      </c>
      <c r="I1073" s="3" t="s">
        <v>134</v>
      </c>
      <c r="J1073" s="3" t="n">
        <v>49</v>
      </c>
      <c r="K1073" s="3" t="n">
        <v>2535.82</v>
      </c>
      <c r="L1073" s="3" t="n">
        <v>124255.18</v>
      </c>
      <c r="M1073" s="3" t="n">
        <v>0.0876</v>
      </c>
      <c r="N1073" s="3" t="n">
        <v>10884.75</v>
      </c>
      <c r="O1073" s="3" t="n">
        <v>113370.43</v>
      </c>
      <c r="P1073" s="3" t="n">
        <v>68340.35</v>
      </c>
      <c r="Q1073" s="3" t="n">
        <v>45030.08</v>
      </c>
      <c r="R1073" s="3" t="n">
        <v>0.3972</v>
      </c>
      <c r="S1073" s="3" t="n">
        <v>0.0798</v>
      </c>
      <c r="T1073" s="3" t="n">
        <v>0.0078</v>
      </c>
    </row>
    <row r="1074" customFormat="false" ht="15" hidden="false" customHeight="true" outlineLevel="0" collapsed="false">
      <c r="A1074" s="3" t="s">
        <v>1841</v>
      </c>
      <c r="B1074" s="3" t="s">
        <v>430</v>
      </c>
      <c r="C1074" s="3" t="s">
        <v>113</v>
      </c>
      <c r="D1074" s="3" t="s">
        <v>83</v>
      </c>
      <c r="E1074" s="3" t="s">
        <v>48</v>
      </c>
      <c r="F1074" s="3" t="s">
        <v>62</v>
      </c>
      <c r="G1074" s="3" t="s">
        <v>41</v>
      </c>
      <c r="H1074" s="3" t="s">
        <v>27</v>
      </c>
      <c r="I1074" s="3" t="s">
        <v>173</v>
      </c>
      <c r="J1074" s="3" t="n">
        <v>12</v>
      </c>
      <c r="K1074" s="3" t="n">
        <v>22700.48</v>
      </c>
      <c r="L1074" s="3" t="n">
        <v>272405.76</v>
      </c>
      <c r="M1074" s="3" t="n">
        <v>0.0791</v>
      </c>
      <c r="N1074" s="3" t="n">
        <v>21547.3</v>
      </c>
      <c r="O1074" s="3" t="n">
        <v>250858.46</v>
      </c>
      <c r="P1074" s="3" t="n">
        <v>168891.57</v>
      </c>
      <c r="Q1074" s="3" t="n">
        <v>81966.89</v>
      </c>
      <c r="R1074" s="3" t="n">
        <v>0.3267</v>
      </c>
      <c r="S1074" s="3" t="n">
        <v>0.0786</v>
      </c>
      <c r="T1074" s="3" t="n">
        <v>0.0005</v>
      </c>
    </row>
    <row r="1075" customFormat="false" ht="15" hidden="false" customHeight="true" outlineLevel="0" collapsed="false">
      <c r="A1075" s="3" t="s">
        <v>1842</v>
      </c>
      <c r="B1075" s="3" t="s">
        <v>702</v>
      </c>
      <c r="C1075" s="3" t="s">
        <v>53</v>
      </c>
      <c r="D1075" s="3" t="s">
        <v>32</v>
      </c>
      <c r="E1075" s="3" t="s">
        <v>33</v>
      </c>
      <c r="F1075" s="3" t="s">
        <v>25</v>
      </c>
      <c r="G1075" s="3" t="s">
        <v>41</v>
      </c>
      <c r="H1075" s="3" t="s">
        <v>42</v>
      </c>
      <c r="I1075" s="3" t="s">
        <v>43</v>
      </c>
      <c r="J1075" s="3" t="n">
        <v>44</v>
      </c>
      <c r="K1075" s="3" t="n">
        <v>3361.25</v>
      </c>
      <c r="L1075" s="3" t="n">
        <v>147895</v>
      </c>
      <c r="M1075" s="3" t="n">
        <v>0.1288</v>
      </c>
      <c r="N1075" s="3" t="n">
        <v>19048.88</v>
      </c>
      <c r="O1075" s="3" t="n">
        <v>128846.12</v>
      </c>
      <c r="P1075" s="3" t="n">
        <v>81342.25</v>
      </c>
      <c r="Q1075" s="3" t="n">
        <v>47503.87</v>
      </c>
      <c r="R1075" s="3" t="n">
        <v>0.3687</v>
      </c>
      <c r="S1075" s="3" t="n">
        <v>0.1206</v>
      </c>
      <c r="T1075" s="3" t="n">
        <v>0.0082</v>
      </c>
    </row>
    <row r="1076" customFormat="false" ht="15" hidden="false" customHeight="true" outlineLevel="0" collapsed="false">
      <c r="A1076" s="3" t="s">
        <v>1843</v>
      </c>
      <c r="B1076" s="3" t="s">
        <v>144</v>
      </c>
      <c r="C1076" s="3" t="s">
        <v>120</v>
      </c>
      <c r="D1076" s="3" t="s">
        <v>23</v>
      </c>
      <c r="E1076" s="3" t="s">
        <v>24</v>
      </c>
      <c r="F1076" s="3" t="s">
        <v>25</v>
      </c>
      <c r="G1076" s="3" t="s">
        <v>26</v>
      </c>
      <c r="H1076" s="3" t="s">
        <v>77</v>
      </c>
      <c r="I1076" s="3" t="s">
        <v>131</v>
      </c>
      <c r="J1076" s="3" t="n">
        <v>47</v>
      </c>
      <c r="K1076" s="3" t="n">
        <v>3728.54</v>
      </c>
      <c r="L1076" s="3" t="n">
        <v>175241.38</v>
      </c>
      <c r="M1076" s="3" t="n">
        <v>0.1085</v>
      </c>
      <c r="N1076" s="3" t="n">
        <v>19013.69</v>
      </c>
      <c r="O1076" s="3" t="n">
        <v>156227.69</v>
      </c>
      <c r="P1076" s="3" t="n">
        <v>119164.14</v>
      </c>
      <c r="Q1076" s="3" t="n">
        <v>37063.55</v>
      </c>
      <c r="R1076" s="3" t="n">
        <v>0.2372</v>
      </c>
      <c r="S1076" s="3" t="n">
        <v>0.0991</v>
      </c>
      <c r="T1076" s="3" t="n">
        <v>0.0094</v>
      </c>
    </row>
    <row r="1077" customFormat="false" ht="15" hidden="false" customHeight="true" outlineLevel="0" collapsed="false">
      <c r="A1077" s="3" t="s">
        <v>1844</v>
      </c>
      <c r="B1077" s="3" t="s">
        <v>1653</v>
      </c>
      <c r="C1077" s="3" t="s">
        <v>60</v>
      </c>
      <c r="D1077" s="3" t="s">
        <v>32</v>
      </c>
      <c r="E1077" s="3" t="s">
        <v>33</v>
      </c>
      <c r="F1077" s="3" t="s">
        <v>25</v>
      </c>
      <c r="G1077" s="3" t="s">
        <v>71</v>
      </c>
      <c r="H1077" s="3" t="s">
        <v>27</v>
      </c>
      <c r="I1077" s="3" t="s">
        <v>28</v>
      </c>
      <c r="J1077" s="3" t="n">
        <v>9</v>
      </c>
      <c r="K1077" s="3" t="n">
        <v>37909.69</v>
      </c>
      <c r="L1077" s="3" t="n">
        <v>341187.21</v>
      </c>
      <c r="M1077" s="3" t="n">
        <v>0.0891</v>
      </c>
      <c r="N1077" s="3" t="n">
        <v>30399.78</v>
      </c>
      <c r="O1077" s="3" t="n">
        <v>310787.43</v>
      </c>
      <c r="P1077" s="3" t="n">
        <v>211536.07</v>
      </c>
      <c r="Q1077" s="3" t="n">
        <v>99251.36</v>
      </c>
      <c r="R1077" s="3" t="n">
        <v>0.3194</v>
      </c>
      <c r="S1077" s="3" t="n">
        <v>0.0964</v>
      </c>
      <c r="T1077" s="3" t="n">
        <v>-0.0073</v>
      </c>
    </row>
    <row r="1078" customFormat="false" ht="15" hidden="false" customHeight="true" outlineLevel="0" collapsed="false">
      <c r="A1078" s="3" t="s">
        <v>1845</v>
      </c>
      <c r="B1078" s="3" t="s">
        <v>647</v>
      </c>
      <c r="C1078" s="3" t="s">
        <v>60</v>
      </c>
      <c r="D1078" s="3" t="s">
        <v>38</v>
      </c>
      <c r="E1078" s="3" t="s">
        <v>39</v>
      </c>
      <c r="F1078" s="3" t="s">
        <v>40</v>
      </c>
      <c r="G1078" s="3" t="s">
        <v>116</v>
      </c>
      <c r="H1078" s="3" t="s">
        <v>27</v>
      </c>
      <c r="I1078" s="3" t="s">
        <v>28</v>
      </c>
      <c r="J1078" s="3" t="n">
        <v>22</v>
      </c>
      <c r="K1078" s="3" t="n">
        <v>25355.85</v>
      </c>
      <c r="L1078" s="3" t="n">
        <v>557828.7</v>
      </c>
      <c r="M1078" s="3" t="n">
        <v>0.096</v>
      </c>
      <c r="N1078" s="3" t="n">
        <v>53551.56</v>
      </c>
      <c r="O1078" s="3" t="n">
        <v>504277.14</v>
      </c>
      <c r="P1078" s="3" t="n">
        <v>345853.79</v>
      </c>
      <c r="Q1078" s="3" t="n">
        <v>158423.35</v>
      </c>
      <c r="R1078" s="3" t="n">
        <v>0.3142</v>
      </c>
      <c r="S1078" s="3" t="n">
        <v>0.0907</v>
      </c>
      <c r="T1078" s="3" t="n">
        <v>0.0053</v>
      </c>
    </row>
    <row r="1079" customFormat="false" ht="15" hidden="false" customHeight="true" outlineLevel="0" collapsed="false">
      <c r="A1079" s="3" t="s">
        <v>1846</v>
      </c>
      <c r="B1079" s="3" t="s">
        <v>349</v>
      </c>
      <c r="C1079" s="3" t="s">
        <v>126</v>
      </c>
      <c r="D1079" s="3" t="s">
        <v>38</v>
      </c>
      <c r="E1079" s="3" t="s">
        <v>39</v>
      </c>
      <c r="F1079" s="3" t="s">
        <v>40</v>
      </c>
      <c r="G1079" s="3" t="s">
        <v>76</v>
      </c>
      <c r="H1079" s="3" t="s">
        <v>77</v>
      </c>
      <c r="I1079" s="3" t="s">
        <v>131</v>
      </c>
      <c r="J1079" s="3" t="n">
        <v>10</v>
      </c>
      <c r="K1079" s="3" t="n">
        <v>2792.43</v>
      </c>
      <c r="L1079" s="3" t="n">
        <v>27924.3</v>
      </c>
      <c r="M1079" s="3" t="n">
        <v>0.0422</v>
      </c>
      <c r="N1079" s="3" t="n">
        <v>1178.41</v>
      </c>
      <c r="O1079" s="3" t="n">
        <v>26745.89</v>
      </c>
      <c r="P1079" s="3" t="n">
        <v>18988.52</v>
      </c>
      <c r="Q1079" s="3" t="n">
        <v>7757.37</v>
      </c>
      <c r="R1079" s="3" t="n">
        <v>0.29</v>
      </c>
      <c r="S1079" s="3" t="n">
        <v>0.0417</v>
      </c>
      <c r="T1079" s="3" t="n">
        <v>0.0005</v>
      </c>
    </row>
    <row r="1080" customFormat="false" ht="15" hidden="false" customHeight="true" outlineLevel="0" collapsed="false">
      <c r="A1080" s="3" t="s">
        <v>1847</v>
      </c>
      <c r="B1080" s="3" t="s">
        <v>1206</v>
      </c>
      <c r="C1080" s="3" t="s">
        <v>60</v>
      </c>
      <c r="D1080" s="3" t="s">
        <v>61</v>
      </c>
      <c r="E1080" s="3" t="s">
        <v>33</v>
      </c>
      <c r="F1080" s="3" t="s">
        <v>62</v>
      </c>
      <c r="G1080" s="3" t="s">
        <v>116</v>
      </c>
      <c r="H1080" s="3" t="s">
        <v>27</v>
      </c>
      <c r="I1080" s="3" t="s">
        <v>28</v>
      </c>
      <c r="J1080" s="3" t="n">
        <v>7</v>
      </c>
      <c r="K1080" s="3" t="n">
        <v>25428.55</v>
      </c>
      <c r="L1080" s="3" t="n">
        <v>177999.85</v>
      </c>
      <c r="M1080" s="3" t="n">
        <v>0.109</v>
      </c>
      <c r="N1080" s="3" t="n">
        <v>19401.98</v>
      </c>
      <c r="O1080" s="3" t="n">
        <v>158597.87</v>
      </c>
      <c r="P1080" s="3" t="n">
        <v>110359.91</v>
      </c>
      <c r="Q1080" s="3" t="n">
        <v>48237.96</v>
      </c>
      <c r="R1080" s="3" t="n">
        <v>0.3042</v>
      </c>
      <c r="S1080" s="3" t="n">
        <v>0.0873</v>
      </c>
      <c r="T1080" s="3" t="n">
        <v>0.0217</v>
      </c>
    </row>
    <row r="1081" customFormat="false" ht="15" hidden="false" customHeight="true" outlineLevel="0" collapsed="false">
      <c r="A1081" s="3" t="s">
        <v>1848</v>
      </c>
      <c r="B1081" s="3" t="s">
        <v>580</v>
      </c>
      <c r="C1081" s="3" t="s">
        <v>53</v>
      </c>
      <c r="D1081" s="3" t="s">
        <v>69</v>
      </c>
      <c r="E1081" s="3" t="s">
        <v>39</v>
      </c>
      <c r="F1081" s="3" t="s">
        <v>70</v>
      </c>
      <c r="G1081" s="3" t="s">
        <v>63</v>
      </c>
      <c r="H1081" s="3" t="s">
        <v>27</v>
      </c>
      <c r="I1081" s="3" t="s">
        <v>117</v>
      </c>
      <c r="J1081" s="3" t="n">
        <v>23</v>
      </c>
      <c r="K1081" s="3" t="n">
        <v>20332.26</v>
      </c>
      <c r="L1081" s="3" t="n">
        <v>467641.98</v>
      </c>
      <c r="M1081" s="3" t="n">
        <v>0.0628</v>
      </c>
      <c r="N1081" s="3" t="n">
        <v>29367.92</v>
      </c>
      <c r="O1081" s="3" t="n">
        <v>438274.06</v>
      </c>
      <c r="P1081" s="3" t="n">
        <v>289938.03</v>
      </c>
      <c r="Q1081" s="3" t="n">
        <v>148336.03</v>
      </c>
      <c r="R1081" s="3" t="n">
        <v>0.3385</v>
      </c>
      <c r="S1081" s="3" t="n">
        <v>0.0676</v>
      </c>
      <c r="T1081" s="3" t="n">
        <v>-0.0048</v>
      </c>
    </row>
    <row r="1082" customFormat="false" ht="15" hidden="false" customHeight="true" outlineLevel="0" collapsed="false">
      <c r="A1082" s="3" t="s">
        <v>1849</v>
      </c>
      <c r="B1082" s="3" t="s">
        <v>210</v>
      </c>
      <c r="C1082" s="3" t="s">
        <v>53</v>
      </c>
      <c r="D1082" s="3" t="s">
        <v>23</v>
      </c>
      <c r="E1082" s="3" t="s">
        <v>24</v>
      </c>
      <c r="F1082" s="3" t="s">
        <v>25</v>
      </c>
      <c r="G1082" s="3" t="s">
        <v>26</v>
      </c>
      <c r="H1082" s="3" t="s">
        <v>77</v>
      </c>
      <c r="I1082" s="3" t="s">
        <v>85</v>
      </c>
      <c r="J1082" s="3" t="n">
        <v>8</v>
      </c>
      <c r="K1082" s="3" t="n">
        <v>5149.37</v>
      </c>
      <c r="L1082" s="3" t="n">
        <v>41194.96</v>
      </c>
      <c r="M1082" s="3" t="n">
        <v>0.1739</v>
      </c>
      <c r="N1082" s="3" t="n">
        <v>7163.8</v>
      </c>
      <c r="O1082" s="3" t="n">
        <v>34031.16</v>
      </c>
      <c r="P1082" s="3" t="n">
        <v>28012.57</v>
      </c>
      <c r="Q1082" s="3" t="n">
        <v>6018.59</v>
      </c>
      <c r="R1082" s="3" t="n">
        <v>0.1769</v>
      </c>
      <c r="S1082" s="3" t="n">
        <v>0.1444</v>
      </c>
      <c r="T1082" s="3" t="n">
        <v>0.0295</v>
      </c>
    </row>
    <row r="1083" customFormat="false" ht="15" hidden="false" customHeight="true" outlineLevel="0" collapsed="false">
      <c r="A1083" s="3" t="s">
        <v>1850</v>
      </c>
      <c r="B1083" s="3" t="s">
        <v>633</v>
      </c>
      <c r="C1083" s="3" t="s">
        <v>22</v>
      </c>
      <c r="D1083" s="3" t="s">
        <v>54</v>
      </c>
      <c r="E1083" s="3" t="s">
        <v>24</v>
      </c>
      <c r="F1083" s="3" t="s">
        <v>40</v>
      </c>
      <c r="G1083" s="3" t="s">
        <v>55</v>
      </c>
      <c r="H1083" s="3" t="s">
        <v>42</v>
      </c>
      <c r="I1083" s="3" t="s">
        <v>43</v>
      </c>
      <c r="J1083" s="3" t="n">
        <v>24</v>
      </c>
      <c r="K1083" s="3" t="n">
        <v>1668.04</v>
      </c>
      <c r="L1083" s="3" t="n">
        <v>40032.96</v>
      </c>
      <c r="M1083" s="3" t="n">
        <v>0.0762</v>
      </c>
      <c r="N1083" s="3" t="n">
        <v>3050.51</v>
      </c>
      <c r="O1083" s="3" t="n">
        <v>36982.45</v>
      </c>
      <c r="P1083" s="3" t="n">
        <v>22018.13</v>
      </c>
      <c r="Q1083" s="3" t="n">
        <v>14964.32</v>
      </c>
      <c r="R1083" s="3" t="n">
        <v>0.4046</v>
      </c>
      <c r="S1083" s="3" t="n">
        <v>0.0814</v>
      </c>
      <c r="T1083" s="3" t="n">
        <v>-0.0052</v>
      </c>
    </row>
    <row r="1084" customFormat="false" ht="15" hidden="false" customHeight="true" outlineLevel="0" collapsed="false">
      <c r="A1084" s="3" t="s">
        <v>1851</v>
      </c>
      <c r="B1084" s="3" t="s">
        <v>1852</v>
      </c>
      <c r="C1084" s="3" t="s">
        <v>31</v>
      </c>
      <c r="D1084" s="3" t="s">
        <v>38</v>
      </c>
      <c r="E1084" s="3" t="s">
        <v>39</v>
      </c>
      <c r="F1084" s="3" t="s">
        <v>40</v>
      </c>
      <c r="G1084" s="3" t="s">
        <v>63</v>
      </c>
      <c r="H1084" s="3" t="s">
        <v>64</v>
      </c>
      <c r="I1084" s="3" t="s">
        <v>108</v>
      </c>
      <c r="J1084" s="3" t="n">
        <v>39</v>
      </c>
      <c r="K1084" s="3" t="n">
        <v>7774.33</v>
      </c>
      <c r="L1084" s="3" t="n">
        <v>303198.87</v>
      </c>
      <c r="M1084" s="3" t="n">
        <v>0.0391</v>
      </c>
      <c r="N1084" s="3" t="n">
        <v>11855.08</v>
      </c>
      <c r="O1084" s="3" t="n">
        <v>291343.79</v>
      </c>
      <c r="P1084" s="3" t="n">
        <v>175855.34</v>
      </c>
      <c r="Q1084" s="3" t="n">
        <v>115488.45</v>
      </c>
      <c r="R1084" s="3" t="n">
        <v>0.3964</v>
      </c>
      <c r="S1084" s="3" t="n">
        <v>0.033</v>
      </c>
      <c r="T1084" s="3" t="n">
        <v>0.0061</v>
      </c>
    </row>
    <row r="1085" customFormat="false" ht="15" hidden="false" customHeight="true" outlineLevel="0" collapsed="false">
      <c r="A1085" s="3" t="s">
        <v>1853</v>
      </c>
      <c r="B1085" s="3" t="s">
        <v>233</v>
      </c>
      <c r="C1085" s="3" t="s">
        <v>46</v>
      </c>
      <c r="D1085" s="3" t="s">
        <v>23</v>
      </c>
      <c r="E1085" s="3" t="s">
        <v>24</v>
      </c>
      <c r="F1085" s="3" t="s">
        <v>25</v>
      </c>
      <c r="G1085" s="3" t="s">
        <v>76</v>
      </c>
      <c r="H1085" s="3" t="s">
        <v>42</v>
      </c>
      <c r="I1085" s="3" t="s">
        <v>72</v>
      </c>
      <c r="J1085" s="3" t="n">
        <v>7</v>
      </c>
      <c r="K1085" s="3" t="n">
        <v>1719.35</v>
      </c>
      <c r="L1085" s="3" t="n">
        <v>12035.45</v>
      </c>
      <c r="M1085" s="3" t="n">
        <v>0.1235</v>
      </c>
      <c r="N1085" s="3" t="n">
        <v>1486.38</v>
      </c>
      <c r="O1085" s="3" t="n">
        <v>10549.07</v>
      </c>
      <c r="P1085" s="3" t="n">
        <v>6619.5</v>
      </c>
      <c r="Q1085" s="3" t="n">
        <v>3929.57</v>
      </c>
      <c r="R1085" s="3" t="n">
        <v>0.3725</v>
      </c>
      <c r="S1085" s="3" t="n">
        <v>0.1334</v>
      </c>
      <c r="T1085" s="3" t="n">
        <v>-0.0099</v>
      </c>
    </row>
    <row r="1086" customFormat="false" ht="15" hidden="false" customHeight="true" outlineLevel="0" collapsed="false">
      <c r="A1086" s="3" t="s">
        <v>1854</v>
      </c>
      <c r="B1086" s="3" t="s">
        <v>1855</v>
      </c>
      <c r="C1086" s="3" t="s">
        <v>93</v>
      </c>
      <c r="D1086" s="3" t="s">
        <v>97</v>
      </c>
      <c r="E1086" s="3" t="s">
        <v>48</v>
      </c>
      <c r="F1086" s="3" t="s">
        <v>40</v>
      </c>
      <c r="G1086" s="3" t="s">
        <v>41</v>
      </c>
      <c r="H1086" s="3" t="s">
        <v>27</v>
      </c>
      <c r="I1086" s="3" t="s">
        <v>28</v>
      </c>
      <c r="J1086" s="3" t="n">
        <v>10</v>
      </c>
      <c r="K1086" s="3" t="n">
        <v>32889.09</v>
      </c>
      <c r="L1086" s="3" t="n">
        <v>328890.9</v>
      </c>
      <c r="M1086" s="3" t="n">
        <v>0.0816</v>
      </c>
      <c r="N1086" s="3" t="n">
        <v>26837.5</v>
      </c>
      <c r="O1086" s="3" t="n">
        <v>302053.4</v>
      </c>
      <c r="P1086" s="3" t="n">
        <v>203912.36</v>
      </c>
      <c r="Q1086" s="3" t="n">
        <v>98141.04</v>
      </c>
      <c r="R1086" s="3" t="n">
        <v>0.3249</v>
      </c>
      <c r="S1086" s="3" t="n">
        <v>0.0853</v>
      </c>
      <c r="T1086" s="3" t="n">
        <v>-0.0037</v>
      </c>
    </row>
    <row r="1087" customFormat="false" ht="15" hidden="false" customHeight="true" outlineLevel="0" collapsed="false">
      <c r="A1087" s="3" t="s">
        <v>1856</v>
      </c>
      <c r="B1087" s="3" t="s">
        <v>1592</v>
      </c>
      <c r="C1087" s="3" t="s">
        <v>120</v>
      </c>
      <c r="D1087" s="3" t="s">
        <v>61</v>
      </c>
      <c r="E1087" s="3" t="s">
        <v>33</v>
      </c>
      <c r="F1087" s="3" t="s">
        <v>62</v>
      </c>
      <c r="G1087" s="3" t="s">
        <v>26</v>
      </c>
      <c r="H1087" s="3" t="s">
        <v>56</v>
      </c>
      <c r="I1087" s="3" t="s">
        <v>57</v>
      </c>
      <c r="J1087" s="3" t="n">
        <v>6</v>
      </c>
      <c r="K1087" s="3" t="n">
        <v>6455.62</v>
      </c>
      <c r="L1087" s="3" t="n">
        <v>38733.72</v>
      </c>
      <c r="M1087" s="3" t="n">
        <v>0.0462</v>
      </c>
      <c r="N1087" s="3" t="n">
        <v>1789.5</v>
      </c>
      <c r="O1087" s="3" t="n">
        <v>36944.22</v>
      </c>
      <c r="P1087" s="3" t="n">
        <v>23240.23</v>
      </c>
      <c r="Q1087" s="3" t="n">
        <v>13703.99</v>
      </c>
      <c r="R1087" s="3" t="n">
        <v>0.3709</v>
      </c>
      <c r="S1087" s="3" t="n">
        <v>0.0394</v>
      </c>
      <c r="T1087" s="3" t="n">
        <v>0.0068</v>
      </c>
    </row>
    <row r="1088" customFormat="false" ht="15" hidden="false" customHeight="true" outlineLevel="0" collapsed="false">
      <c r="A1088" s="3" t="s">
        <v>1857</v>
      </c>
      <c r="B1088" s="3" t="s">
        <v>479</v>
      </c>
      <c r="C1088" s="3" t="s">
        <v>37</v>
      </c>
      <c r="D1088" s="3" t="s">
        <v>47</v>
      </c>
      <c r="E1088" s="3" t="s">
        <v>48</v>
      </c>
      <c r="F1088" s="3" t="s">
        <v>25</v>
      </c>
      <c r="G1088" s="3" t="s">
        <v>84</v>
      </c>
      <c r="H1088" s="3" t="s">
        <v>42</v>
      </c>
      <c r="I1088" s="3" t="s">
        <v>134</v>
      </c>
      <c r="J1088" s="3" t="n">
        <v>45</v>
      </c>
      <c r="K1088" s="3" t="n">
        <v>1983.41</v>
      </c>
      <c r="L1088" s="3" t="n">
        <v>89253.45</v>
      </c>
      <c r="M1088" s="3" t="n">
        <v>0.1668</v>
      </c>
      <c r="N1088" s="3" t="n">
        <v>14887.48</v>
      </c>
      <c r="O1088" s="3" t="n">
        <v>74365.97</v>
      </c>
      <c r="P1088" s="3" t="n">
        <v>49089.4</v>
      </c>
      <c r="Q1088" s="3" t="n">
        <v>25276.57</v>
      </c>
      <c r="R1088" s="3" t="n">
        <v>0.3399</v>
      </c>
      <c r="S1088" s="3" t="n">
        <v>0.1403</v>
      </c>
      <c r="T1088" s="3" t="n">
        <v>0.0265</v>
      </c>
    </row>
    <row r="1089" customFormat="false" ht="15" hidden="false" customHeight="true" outlineLevel="0" collapsed="false">
      <c r="A1089" s="3" t="s">
        <v>1858</v>
      </c>
      <c r="B1089" s="3" t="s">
        <v>304</v>
      </c>
      <c r="C1089" s="3" t="s">
        <v>53</v>
      </c>
      <c r="D1089" s="3" t="s">
        <v>23</v>
      </c>
      <c r="E1089" s="3" t="s">
        <v>24</v>
      </c>
      <c r="F1089" s="3" t="s">
        <v>25</v>
      </c>
      <c r="G1089" s="3" t="s">
        <v>63</v>
      </c>
      <c r="H1089" s="3" t="s">
        <v>64</v>
      </c>
      <c r="I1089" s="3" t="s">
        <v>90</v>
      </c>
      <c r="J1089" s="3" t="n">
        <v>35</v>
      </c>
      <c r="K1089" s="3" t="n">
        <v>7944.05</v>
      </c>
      <c r="L1089" s="3" t="n">
        <v>278041.75</v>
      </c>
      <c r="M1089" s="3" t="n">
        <v>0.1393</v>
      </c>
      <c r="N1089" s="3" t="n">
        <v>38731.22</v>
      </c>
      <c r="O1089" s="3" t="n">
        <v>239310.53</v>
      </c>
      <c r="P1089" s="3" t="n">
        <v>161264.21</v>
      </c>
      <c r="Q1089" s="3" t="n">
        <v>78046.32</v>
      </c>
      <c r="R1089" s="3" t="n">
        <v>0.3261</v>
      </c>
      <c r="S1089" s="3" t="n">
        <v>0.1275</v>
      </c>
      <c r="T1089" s="3" t="n">
        <v>0.0118</v>
      </c>
    </row>
    <row r="1090" customFormat="false" ht="15" hidden="false" customHeight="true" outlineLevel="0" collapsed="false">
      <c r="A1090" s="3" t="s">
        <v>1859</v>
      </c>
      <c r="B1090" s="3" t="s">
        <v>21</v>
      </c>
      <c r="C1090" s="3" t="s">
        <v>22</v>
      </c>
      <c r="D1090" s="3" t="s">
        <v>38</v>
      </c>
      <c r="E1090" s="3" t="s">
        <v>39</v>
      </c>
      <c r="F1090" s="3" t="s">
        <v>40</v>
      </c>
      <c r="G1090" s="3" t="s">
        <v>55</v>
      </c>
      <c r="H1090" s="3" t="s">
        <v>77</v>
      </c>
      <c r="I1090" s="3" t="s">
        <v>85</v>
      </c>
      <c r="J1090" s="3" t="n">
        <v>48</v>
      </c>
      <c r="K1090" s="3" t="n">
        <v>4927.64</v>
      </c>
      <c r="L1090" s="3" t="n">
        <v>236526.72</v>
      </c>
      <c r="M1090" s="3" t="n">
        <v>0.041</v>
      </c>
      <c r="N1090" s="3" t="n">
        <v>9697.6</v>
      </c>
      <c r="O1090" s="3" t="n">
        <v>226829.12</v>
      </c>
      <c r="P1090" s="3" t="n">
        <v>160838.17</v>
      </c>
      <c r="Q1090" s="3" t="n">
        <v>65990.95</v>
      </c>
      <c r="R1090" s="3" t="n">
        <v>0.2909</v>
      </c>
      <c r="S1090" s="3" t="n">
        <v>0.0357</v>
      </c>
      <c r="T1090" s="3" t="n">
        <v>0.0053</v>
      </c>
    </row>
    <row r="1091" customFormat="false" ht="15" hidden="false" customHeight="true" outlineLevel="0" collapsed="false">
      <c r="A1091" s="3" t="s">
        <v>1860</v>
      </c>
      <c r="B1091" s="3" t="s">
        <v>370</v>
      </c>
      <c r="C1091" s="3" t="s">
        <v>37</v>
      </c>
      <c r="D1091" s="3" t="s">
        <v>32</v>
      </c>
      <c r="E1091" s="3" t="s">
        <v>33</v>
      </c>
      <c r="F1091" s="3" t="s">
        <v>25</v>
      </c>
      <c r="G1091" s="3" t="s">
        <v>49</v>
      </c>
      <c r="H1091" s="3" t="s">
        <v>64</v>
      </c>
      <c r="I1091" s="3" t="s">
        <v>65</v>
      </c>
      <c r="J1091" s="3" t="n">
        <v>9</v>
      </c>
      <c r="K1091" s="3" t="n">
        <v>8025.37</v>
      </c>
      <c r="L1091" s="3" t="n">
        <v>72228.33</v>
      </c>
      <c r="M1091" s="3" t="n">
        <v>0.1208</v>
      </c>
      <c r="N1091" s="3" t="n">
        <v>8725.18</v>
      </c>
      <c r="O1091" s="3" t="n">
        <v>63503.15</v>
      </c>
      <c r="P1091" s="3" t="n">
        <v>41892.43</v>
      </c>
      <c r="Q1091" s="3" t="n">
        <v>21610.72</v>
      </c>
      <c r="R1091" s="3" t="n">
        <v>0.3403</v>
      </c>
      <c r="S1091" s="3" t="n">
        <v>0.1097</v>
      </c>
      <c r="T1091" s="3" t="n">
        <v>0.0111</v>
      </c>
    </row>
    <row r="1092" customFormat="false" ht="15" hidden="false" customHeight="true" outlineLevel="0" collapsed="false">
      <c r="A1092" s="3" t="s">
        <v>1861</v>
      </c>
      <c r="B1092" s="3" t="s">
        <v>210</v>
      </c>
      <c r="C1092" s="3" t="s">
        <v>53</v>
      </c>
      <c r="D1092" s="3" t="s">
        <v>75</v>
      </c>
      <c r="E1092" s="3" t="s">
        <v>39</v>
      </c>
      <c r="F1092" s="3" t="s">
        <v>25</v>
      </c>
      <c r="G1092" s="3" t="s">
        <v>41</v>
      </c>
      <c r="H1092" s="3" t="s">
        <v>42</v>
      </c>
      <c r="I1092" s="3" t="s">
        <v>134</v>
      </c>
      <c r="J1092" s="3" t="n">
        <v>36</v>
      </c>
      <c r="K1092" s="3" t="n">
        <v>3423.38</v>
      </c>
      <c r="L1092" s="3" t="n">
        <v>123241.68</v>
      </c>
      <c r="M1092" s="3" t="n">
        <v>0.2213</v>
      </c>
      <c r="N1092" s="3" t="n">
        <v>27273.38</v>
      </c>
      <c r="O1092" s="3" t="n">
        <v>95968.3</v>
      </c>
      <c r="P1092" s="3" t="n">
        <v>67782.92</v>
      </c>
      <c r="Q1092" s="3" t="n">
        <v>28185.38</v>
      </c>
      <c r="R1092" s="3" t="n">
        <v>0.2937</v>
      </c>
      <c r="S1092" s="3" t="n">
        <v>0.1808</v>
      </c>
      <c r="T1092" s="3" t="n">
        <v>0.0405</v>
      </c>
    </row>
    <row r="1093" customFormat="false" ht="15" hidden="false" customHeight="true" outlineLevel="0" collapsed="false">
      <c r="A1093" s="3" t="s">
        <v>1862</v>
      </c>
      <c r="B1093" s="3" t="s">
        <v>1837</v>
      </c>
      <c r="C1093" s="3" t="s">
        <v>120</v>
      </c>
      <c r="D1093" s="3" t="s">
        <v>75</v>
      </c>
      <c r="E1093" s="3" t="s">
        <v>39</v>
      </c>
      <c r="F1093" s="3" t="s">
        <v>25</v>
      </c>
      <c r="G1093" s="3" t="s">
        <v>63</v>
      </c>
      <c r="H1093" s="3" t="s">
        <v>27</v>
      </c>
      <c r="I1093" s="3" t="s">
        <v>117</v>
      </c>
      <c r="J1093" s="3" t="n">
        <v>45</v>
      </c>
      <c r="K1093" s="3" t="n">
        <v>31458.61</v>
      </c>
      <c r="L1093" s="3" t="n">
        <v>1415637.45</v>
      </c>
      <c r="M1093" s="3" t="n">
        <v>0.148</v>
      </c>
      <c r="N1093" s="3" t="n">
        <v>209514.34</v>
      </c>
      <c r="O1093" s="3" t="n">
        <v>1206123.11</v>
      </c>
      <c r="P1093" s="3" t="n">
        <v>877695.22</v>
      </c>
      <c r="Q1093" s="3" t="n">
        <v>328427.89</v>
      </c>
      <c r="R1093" s="3" t="n">
        <v>0.2723</v>
      </c>
      <c r="S1093" s="3" t="n">
        <v>0.1478</v>
      </c>
      <c r="T1093" s="3" t="n">
        <v>0.0002</v>
      </c>
    </row>
    <row r="1094" customFormat="false" ht="15" hidden="false" customHeight="true" outlineLevel="0" collapsed="false">
      <c r="A1094" s="3" t="s">
        <v>1863</v>
      </c>
      <c r="B1094" s="3" t="s">
        <v>243</v>
      </c>
      <c r="C1094" s="3" t="s">
        <v>156</v>
      </c>
      <c r="D1094" s="3" t="s">
        <v>61</v>
      </c>
      <c r="E1094" s="3" t="s">
        <v>33</v>
      </c>
      <c r="F1094" s="3" t="s">
        <v>62</v>
      </c>
      <c r="G1094" s="3" t="s">
        <v>41</v>
      </c>
      <c r="H1094" s="3" t="s">
        <v>77</v>
      </c>
      <c r="I1094" s="3" t="s">
        <v>85</v>
      </c>
      <c r="J1094" s="3" t="n">
        <v>24</v>
      </c>
      <c r="K1094" s="3" t="n">
        <v>1344.89</v>
      </c>
      <c r="L1094" s="3" t="n">
        <v>32277.36</v>
      </c>
      <c r="M1094" s="3" t="n">
        <v>0.0669</v>
      </c>
      <c r="N1094" s="3" t="n">
        <v>2159.36</v>
      </c>
      <c r="O1094" s="3" t="n">
        <v>30118</v>
      </c>
      <c r="P1094" s="3" t="n">
        <v>21948.6</v>
      </c>
      <c r="Q1094" s="3" t="n">
        <v>8169.4</v>
      </c>
      <c r="R1094" s="3" t="n">
        <v>0.2712</v>
      </c>
      <c r="S1094" s="3" t="n">
        <v>0.0649</v>
      </c>
      <c r="T1094" s="3" t="n">
        <v>0.002</v>
      </c>
    </row>
    <row r="1095" customFormat="false" ht="15" hidden="false" customHeight="true" outlineLevel="0" collapsed="false">
      <c r="A1095" s="3" t="s">
        <v>1864</v>
      </c>
      <c r="B1095" s="3" t="s">
        <v>1381</v>
      </c>
      <c r="C1095" s="3" t="s">
        <v>93</v>
      </c>
      <c r="D1095" s="3" t="s">
        <v>47</v>
      </c>
      <c r="E1095" s="3" t="s">
        <v>48</v>
      </c>
      <c r="F1095" s="3" t="s">
        <v>25</v>
      </c>
      <c r="G1095" s="3" t="s">
        <v>84</v>
      </c>
      <c r="H1095" s="3" t="s">
        <v>64</v>
      </c>
      <c r="I1095" s="3" t="s">
        <v>108</v>
      </c>
      <c r="J1095" s="3" t="n">
        <v>48</v>
      </c>
      <c r="K1095" s="3" t="n">
        <v>9692.02</v>
      </c>
      <c r="L1095" s="3" t="n">
        <v>465216.96</v>
      </c>
      <c r="M1095" s="3" t="n">
        <v>0.1723</v>
      </c>
      <c r="N1095" s="3" t="n">
        <v>80156.88</v>
      </c>
      <c r="O1095" s="3" t="n">
        <v>385060.08</v>
      </c>
      <c r="P1095" s="3" t="n">
        <v>269825.84</v>
      </c>
      <c r="Q1095" s="3" t="n">
        <v>115234.24</v>
      </c>
      <c r="R1095" s="3" t="n">
        <v>0.2993</v>
      </c>
      <c r="S1095" s="3" t="n">
        <v>0.1591</v>
      </c>
      <c r="T1095" s="3" t="n">
        <v>0.0132</v>
      </c>
    </row>
    <row r="1096" customFormat="false" ht="15" hidden="false" customHeight="true" outlineLevel="0" collapsed="false">
      <c r="A1096" s="3" t="s">
        <v>1865</v>
      </c>
      <c r="B1096" s="3" t="s">
        <v>1866</v>
      </c>
      <c r="C1096" s="3" t="s">
        <v>156</v>
      </c>
      <c r="D1096" s="3" t="s">
        <v>103</v>
      </c>
      <c r="E1096" s="3" t="s">
        <v>24</v>
      </c>
      <c r="F1096" s="3" t="s">
        <v>62</v>
      </c>
      <c r="G1096" s="3" t="s">
        <v>26</v>
      </c>
      <c r="H1096" s="3" t="s">
        <v>77</v>
      </c>
      <c r="I1096" s="3" t="s">
        <v>85</v>
      </c>
      <c r="J1096" s="3" t="n">
        <v>8</v>
      </c>
      <c r="K1096" s="3" t="n">
        <v>1263.41</v>
      </c>
      <c r="L1096" s="3" t="n">
        <v>10107.28</v>
      </c>
      <c r="M1096" s="3" t="n">
        <v>0.0378</v>
      </c>
      <c r="N1096" s="3" t="n">
        <v>382.06</v>
      </c>
      <c r="O1096" s="3" t="n">
        <v>9725.22</v>
      </c>
      <c r="P1096" s="3" t="n">
        <v>6872.95</v>
      </c>
      <c r="Q1096" s="3" t="n">
        <v>2852.27</v>
      </c>
      <c r="R1096" s="3" t="n">
        <v>0.2933</v>
      </c>
      <c r="S1096" s="3" t="n">
        <v>0.0371</v>
      </c>
      <c r="T1096" s="3" t="n">
        <v>0.0007</v>
      </c>
    </row>
    <row r="1097" customFormat="false" ht="15" hidden="false" customHeight="true" outlineLevel="0" collapsed="false">
      <c r="A1097" s="3" t="s">
        <v>1867</v>
      </c>
      <c r="B1097" s="3" t="s">
        <v>1868</v>
      </c>
      <c r="C1097" s="3" t="s">
        <v>53</v>
      </c>
      <c r="D1097" s="3" t="s">
        <v>75</v>
      </c>
      <c r="E1097" s="3" t="s">
        <v>39</v>
      </c>
      <c r="F1097" s="3" t="s">
        <v>25</v>
      </c>
      <c r="G1097" s="3" t="s">
        <v>104</v>
      </c>
      <c r="H1097" s="3" t="s">
        <v>56</v>
      </c>
      <c r="I1097" s="3" t="s">
        <v>188</v>
      </c>
      <c r="J1097" s="3" t="n">
        <v>28</v>
      </c>
      <c r="K1097" s="3" t="n">
        <v>8342.25</v>
      </c>
      <c r="L1097" s="3" t="n">
        <v>233583</v>
      </c>
      <c r="M1097" s="3" t="n">
        <v>0.2162</v>
      </c>
      <c r="N1097" s="3" t="n">
        <v>50500.64</v>
      </c>
      <c r="O1097" s="3" t="n">
        <v>183082.36</v>
      </c>
      <c r="P1097" s="3" t="n">
        <v>140149.8</v>
      </c>
      <c r="Q1097" s="3" t="n">
        <v>42932.56</v>
      </c>
      <c r="R1097" s="3" t="n">
        <v>0.2345</v>
      </c>
      <c r="S1097" s="3" t="n">
        <v>0.2326</v>
      </c>
      <c r="T1097" s="3" t="n">
        <v>-0.0164</v>
      </c>
    </row>
    <row r="1098" customFormat="false" ht="15" hidden="false" customHeight="true" outlineLevel="0" collapsed="false">
      <c r="A1098" s="3" t="s">
        <v>1869</v>
      </c>
      <c r="B1098" s="3" t="s">
        <v>1870</v>
      </c>
      <c r="C1098" s="3" t="s">
        <v>46</v>
      </c>
      <c r="D1098" s="3" t="s">
        <v>107</v>
      </c>
      <c r="E1098" s="3" t="s">
        <v>33</v>
      </c>
      <c r="F1098" s="3" t="s">
        <v>70</v>
      </c>
      <c r="G1098" s="3" t="s">
        <v>34</v>
      </c>
      <c r="H1098" s="3" t="s">
        <v>42</v>
      </c>
      <c r="I1098" s="3" t="s">
        <v>72</v>
      </c>
      <c r="J1098" s="3" t="n">
        <v>11</v>
      </c>
      <c r="K1098" s="3" t="n">
        <v>1982.85</v>
      </c>
      <c r="L1098" s="3" t="n">
        <v>21811.35</v>
      </c>
      <c r="M1098" s="3" t="n">
        <v>0.0673</v>
      </c>
      <c r="N1098" s="3" t="n">
        <v>1467.9</v>
      </c>
      <c r="O1098" s="3" t="n">
        <v>20343.45</v>
      </c>
      <c r="P1098" s="3" t="n">
        <v>11996.24</v>
      </c>
      <c r="Q1098" s="3" t="n">
        <v>8347.21</v>
      </c>
      <c r="R1098" s="3" t="n">
        <v>0.4103</v>
      </c>
      <c r="S1098" s="3" t="n">
        <v>0.0736</v>
      </c>
      <c r="T1098" s="3" t="n">
        <v>-0.0063</v>
      </c>
    </row>
    <row r="1099" customFormat="false" ht="15" hidden="false" customHeight="true" outlineLevel="0" collapsed="false">
      <c r="A1099" s="3" t="s">
        <v>1871</v>
      </c>
      <c r="B1099" s="3" t="s">
        <v>1872</v>
      </c>
      <c r="C1099" s="3" t="s">
        <v>22</v>
      </c>
      <c r="D1099" s="3" t="s">
        <v>75</v>
      </c>
      <c r="E1099" s="3" t="s">
        <v>39</v>
      </c>
      <c r="F1099" s="3" t="s">
        <v>25</v>
      </c>
      <c r="G1099" s="3" t="s">
        <v>55</v>
      </c>
      <c r="H1099" s="3" t="s">
        <v>64</v>
      </c>
      <c r="I1099" s="3" t="s">
        <v>90</v>
      </c>
      <c r="J1099" s="3" t="n">
        <v>26</v>
      </c>
      <c r="K1099" s="3" t="n">
        <v>3503.97</v>
      </c>
      <c r="L1099" s="3" t="n">
        <v>91103.22</v>
      </c>
      <c r="M1099" s="3" t="n">
        <v>0.1389</v>
      </c>
      <c r="N1099" s="3" t="n">
        <v>12654.24</v>
      </c>
      <c r="O1099" s="3" t="n">
        <v>78448.98</v>
      </c>
      <c r="P1099" s="3" t="n">
        <v>52839.87</v>
      </c>
      <c r="Q1099" s="3" t="n">
        <v>25609.11</v>
      </c>
      <c r="R1099" s="3" t="n">
        <v>0.3264</v>
      </c>
      <c r="S1099" s="3" t="n">
        <v>0.1451</v>
      </c>
      <c r="T1099" s="3" t="n">
        <v>-0.0062</v>
      </c>
    </row>
    <row r="1100" customFormat="false" ht="15" hidden="false" customHeight="true" outlineLevel="0" collapsed="false">
      <c r="A1100" s="3" t="s">
        <v>1873</v>
      </c>
      <c r="B1100" s="3" t="s">
        <v>991</v>
      </c>
      <c r="C1100" s="3" t="s">
        <v>46</v>
      </c>
      <c r="D1100" s="3" t="s">
        <v>83</v>
      </c>
      <c r="E1100" s="3" t="s">
        <v>48</v>
      </c>
      <c r="F1100" s="3" t="s">
        <v>62</v>
      </c>
      <c r="G1100" s="3" t="s">
        <v>71</v>
      </c>
      <c r="H1100" s="3" t="s">
        <v>77</v>
      </c>
      <c r="I1100" s="3" t="s">
        <v>78</v>
      </c>
      <c r="J1100" s="3" t="n">
        <v>25</v>
      </c>
      <c r="K1100" s="3" t="n">
        <v>4281.08</v>
      </c>
      <c r="L1100" s="3" t="n">
        <v>107027</v>
      </c>
      <c r="M1100" s="3" t="n">
        <v>0.0382</v>
      </c>
      <c r="N1100" s="3" t="n">
        <v>4088.43</v>
      </c>
      <c r="O1100" s="3" t="n">
        <v>102938.57</v>
      </c>
      <c r="P1100" s="3" t="n">
        <v>72778.36</v>
      </c>
      <c r="Q1100" s="3" t="n">
        <v>30160.21</v>
      </c>
      <c r="R1100" s="3" t="n">
        <v>0.293</v>
      </c>
      <c r="S1100" s="3" t="n">
        <v>0.038</v>
      </c>
      <c r="T1100" s="3" t="n">
        <v>0.0002</v>
      </c>
    </row>
    <row r="1101" customFormat="false" ht="15" hidden="false" customHeight="true" outlineLevel="0" collapsed="false">
      <c r="A1101" s="3" t="s">
        <v>1874</v>
      </c>
      <c r="B1101" s="3" t="s">
        <v>274</v>
      </c>
      <c r="C1101" s="3" t="s">
        <v>53</v>
      </c>
      <c r="D1101" s="3" t="s">
        <v>69</v>
      </c>
      <c r="E1101" s="3" t="s">
        <v>39</v>
      </c>
      <c r="F1101" s="3" t="s">
        <v>70</v>
      </c>
      <c r="G1101" s="3" t="s">
        <v>116</v>
      </c>
      <c r="H1101" s="3" t="s">
        <v>42</v>
      </c>
      <c r="I1101" s="3" t="s">
        <v>43</v>
      </c>
      <c r="J1101" s="3" t="n">
        <v>39</v>
      </c>
      <c r="K1101" s="3" t="n">
        <v>772.33</v>
      </c>
      <c r="L1101" s="3" t="n">
        <v>30120.87</v>
      </c>
      <c r="M1101" s="3" t="n">
        <v>0.1024</v>
      </c>
      <c r="N1101" s="3" t="n">
        <v>3084.38</v>
      </c>
      <c r="O1101" s="3" t="n">
        <v>27036.49</v>
      </c>
      <c r="P1101" s="3" t="n">
        <v>16566.48</v>
      </c>
      <c r="Q1101" s="3" t="n">
        <v>10470.01</v>
      </c>
      <c r="R1101" s="3" t="n">
        <v>0.3873</v>
      </c>
      <c r="S1101" s="3" t="n">
        <v>0.0906</v>
      </c>
      <c r="T1101" s="3" t="n">
        <v>0.0118</v>
      </c>
    </row>
    <row r="1102" customFormat="false" ht="15" hidden="false" customHeight="true" outlineLevel="0" collapsed="false">
      <c r="A1102" s="3" t="s">
        <v>1875</v>
      </c>
      <c r="B1102" s="3" t="s">
        <v>1825</v>
      </c>
      <c r="C1102" s="3" t="s">
        <v>113</v>
      </c>
      <c r="D1102" s="3" t="s">
        <v>107</v>
      </c>
      <c r="E1102" s="3" t="s">
        <v>33</v>
      </c>
      <c r="F1102" s="3" t="s">
        <v>70</v>
      </c>
      <c r="G1102" s="3" t="s">
        <v>34</v>
      </c>
      <c r="H1102" s="3" t="s">
        <v>27</v>
      </c>
      <c r="I1102" s="3" t="s">
        <v>28</v>
      </c>
      <c r="J1102" s="3" t="n">
        <v>49</v>
      </c>
      <c r="K1102" s="3" t="n">
        <v>27107.54</v>
      </c>
      <c r="L1102" s="3" t="n">
        <v>1328269.46</v>
      </c>
      <c r="M1102" s="3" t="n">
        <v>0.103</v>
      </c>
      <c r="N1102" s="3" t="n">
        <v>136811.75</v>
      </c>
      <c r="O1102" s="3" t="n">
        <v>1191457.71</v>
      </c>
      <c r="P1102" s="3" t="n">
        <v>823527.07</v>
      </c>
      <c r="Q1102" s="3" t="n">
        <v>367930.64</v>
      </c>
      <c r="R1102" s="3" t="n">
        <v>0.3088</v>
      </c>
      <c r="S1102" s="3" t="n">
        <v>0.1021</v>
      </c>
      <c r="T1102" s="3" t="n">
        <v>0.0009</v>
      </c>
    </row>
    <row r="1103" customFormat="false" ht="15" hidden="false" customHeight="true" outlineLevel="0" collapsed="false">
      <c r="A1103" s="3" t="s">
        <v>1876</v>
      </c>
      <c r="B1103" s="3" t="s">
        <v>1877</v>
      </c>
      <c r="C1103" s="3" t="s">
        <v>22</v>
      </c>
      <c r="D1103" s="3" t="s">
        <v>32</v>
      </c>
      <c r="E1103" s="3" t="s">
        <v>33</v>
      </c>
      <c r="F1103" s="3" t="s">
        <v>25</v>
      </c>
      <c r="G1103" s="3" t="s">
        <v>116</v>
      </c>
      <c r="H1103" s="3" t="s">
        <v>64</v>
      </c>
      <c r="I1103" s="3" t="s">
        <v>145</v>
      </c>
      <c r="J1103" s="3" t="n">
        <v>37</v>
      </c>
      <c r="K1103" s="3" t="n">
        <v>11789.97</v>
      </c>
      <c r="L1103" s="3" t="n">
        <v>436228.89</v>
      </c>
      <c r="M1103" s="3" t="n">
        <v>0.1905</v>
      </c>
      <c r="N1103" s="3" t="n">
        <v>83101.6</v>
      </c>
      <c r="O1103" s="3" t="n">
        <v>353127.29</v>
      </c>
      <c r="P1103" s="3" t="n">
        <v>253012.76</v>
      </c>
      <c r="Q1103" s="3" t="n">
        <v>100114.53</v>
      </c>
      <c r="R1103" s="3" t="n">
        <v>0.2835</v>
      </c>
      <c r="S1103" s="3" t="n">
        <v>0.1704</v>
      </c>
      <c r="T1103" s="3" t="n">
        <v>0.0201</v>
      </c>
    </row>
    <row r="1104" customFormat="false" ht="15" hidden="false" customHeight="true" outlineLevel="0" collapsed="false">
      <c r="A1104" s="3" t="s">
        <v>1878</v>
      </c>
      <c r="B1104" s="3" t="s">
        <v>1645</v>
      </c>
      <c r="C1104" s="3" t="s">
        <v>46</v>
      </c>
      <c r="D1104" s="3" t="s">
        <v>54</v>
      </c>
      <c r="E1104" s="3" t="s">
        <v>24</v>
      </c>
      <c r="F1104" s="3" t="s">
        <v>40</v>
      </c>
      <c r="G1104" s="3" t="s">
        <v>76</v>
      </c>
      <c r="H1104" s="3" t="s">
        <v>27</v>
      </c>
      <c r="I1104" s="3" t="s">
        <v>50</v>
      </c>
      <c r="J1104" s="3" t="n">
        <v>33</v>
      </c>
      <c r="K1104" s="3" t="n">
        <v>38679.65</v>
      </c>
      <c r="L1104" s="3" t="n">
        <v>1276428.45</v>
      </c>
      <c r="M1104" s="3" t="n">
        <v>0.0397</v>
      </c>
      <c r="N1104" s="3" t="n">
        <v>50674.21</v>
      </c>
      <c r="O1104" s="3" t="n">
        <v>1225754.24</v>
      </c>
      <c r="P1104" s="3" t="n">
        <v>791385.64</v>
      </c>
      <c r="Q1104" s="3" t="n">
        <v>434368.6</v>
      </c>
      <c r="R1104" s="3" t="n">
        <v>0.3544</v>
      </c>
      <c r="S1104" s="3" t="n">
        <v>0.0404</v>
      </c>
      <c r="T1104" s="3" t="n">
        <v>-0.0007</v>
      </c>
    </row>
    <row r="1105" customFormat="false" ht="15" hidden="false" customHeight="true" outlineLevel="0" collapsed="false">
      <c r="A1105" s="3" t="s">
        <v>1879</v>
      </c>
      <c r="B1105" s="3" t="s">
        <v>388</v>
      </c>
      <c r="C1105" s="3" t="s">
        <v>60</v>
      </c>
      <c r="D1105" s="3" t="s">
        <v>75</v>
      </c>
      <c r="E1105" s="3" t="s">
        <v>39</v>
      </c>
      <c r="F1105" s="3" t="s">
        <v>25</v>
      </c>
      <c r="G1105" s="3" t="s">
        <v>63</v>
      </c>
      <c r="H1105" s="3" t="s">
        <v>27</v>
      </c>
      <c r="I1105" s="3" t="s">
        <v>50</v>
      </c>
      <c r="J1105" s="3" t="n">
        <v>33</v>
      </c>
      <c r="K1105" s="3" t="n">
        <v>36688.36</v>
      </c>
      <c r="L1105" s="3" t="n">
        <v>1210715.88</v>
      </c>
      <c r="M1105" s="3" t="n">
        <v>0.1396</v>
      </c>
      <c r="N1105" s="3" t="n">
        <v>169015.94</v>
      </c>
      <c r="O1105" s="3" t="n">
        <v>1041699.94</v>
      </c>
      <c r="P1105" s="3" t="n">
        <v>750643.85</v>
      </c>
      <c r="Q1105" s="3" t="n">
        <v>291056.09</v>
      </c>
      <c r="R1105" s="3" t="n">
        <v>0.2794</v>
      </c>
      <c r="S1105" s="3" t="n">
        <v>0.1127</v>
      </c>
      <c r="T1105" s="3" t="n">
        <v>0.0269</v>
      </c>
    </row>
    <row r="1106" customFormat="false" ht="15" hidden="false" customHeight="true" outlineLevel="0" collapsed="false">
      <c r="A1106" s="3" t="s">
        <v>1880</v>
      </c>
      <c r="B1106" s="3" t="s">
        <v>1486</v>
      </c>
      <c r="C1106" s="3" t="s">
        <v>53</v>
      </c>
      <c r="D1106" s="3" t="s">
        <v>47</v>
      </c>
      <c r="E1106" s="3" t="s">
        <v>48</v>
      </c>
      <c r="F1106" s="3" t="s">
        <v>25</v>
      </c>
      <c r="G1106" s="3" t="s">
        <v>104</v>
      </c>
      <c r="H1106" s="3" t="s">
        <v>77</v>
      </c>
      <c r="I1106" s="3" t="s">
        <v>85</v>
      </c>
      <c r="J1106" s="3" t="n">
        <v>10</v>
      </c>
      <c r="K1106" s="3" t="n">
        <v>2592.57</v>
      </c>
      <c r="L1106" s="3" t="n">
        <v>25925.7</v>
      </c>
      <c r="M1106" s="3" t="n">
        <v>0.1555</v>
      </c>
      <c r="N1106" s="3" t="n">
        <v>4031.45</v>
      </c>
      <c r="O1106" s="3" t="n">
        <v>21894.25</v>
      </c>
      <c r="P1106" s="3" t="n">
        <v>17629.48</v>
      </c>
      <c r="Q1106" s="3" t="n">
        <v>4264.77</v>
      </c>
      <c r="R1106" s="3" t="n">
        <v>0.1948</v>
      </c>
      <c r="S1106" s="3" t="n">
        <v>0.1656</v>
      </c>
      <c r="T1106" s="3" t="n">
        <v>-0.0101</v>
      </c>
    </row>
    <row r="1107" customFormat="false" ht="15" hidden="false" customHeight="true" outlineLevel="0" collapsed="false">
      <c r="A1107" s="3" t="s">
        <v>1881</v>
      </c>
      <c r="B1107" s="3" t="s">
        <v>1566</v>
      </c>
      <c r="C1107" s="3" t="s">
        <v>37</v>
      </c>
      <c r="D1107" s="3" t="s">
        <v>23</v>
      </c>
      <c r="E1107" s="3" t="s">
        <v>24</v>
      </c>
      <c r="F1107" s="3" t="s">
        <v>25</v>
      </c>
      <c r="G1107" s="3" t="s">
        <v>100</v>
      </c>
      <c r="H1107" s="3" t="s">
        <v>64</v>
      </c>
      <c r="I1107" s="3" t="s">
        <v>108</v>
      </c>
      <c r="J1107" s="3" t="n">
        <v>47</v>
      </c>
      <c r="K1107" s="3" t="n">
        <v>7646.71</v>
      </c>
      <c r="L1107" s="3" t="n">
        <v>359395.37</v>
      </c>
      <c r="M1107" s="3" t="n">
        <v>0.1423</v>
      </c>
      <c r="N1107" s="3" t="n">
        <v>51141.96</v>
      </c>
      <c r="O1107" s="3" t="n">
        <v>308253.41</v>
      </c>
      <c r="P1107" s="3" t="n">
        <v>208449.31</v>
      </c>
      <c r="Q1107" s="3" t="n">
        <v>99804.1</v>
      </c>
      <c r="R1107" s="3" t="n">
        <v>0.3238</v>
      </c>
      <c r="S1107" s="3" t="n">
        <v>0.1329</v>
      </c>
      <c r="T1107" s="3" t="n">
        <v>0.0094</v>
      </c>
    </row>
    <row r="1108" customFormat="false" ht="15" hidden="false" customHeight="true" outlineLevel="0" collapsed="false">
      <c r="A1108" s="3" t="s">
        <v>1882</v>
      </c>
      <c r="B1108" s="3" t="s">
        <v>1055</v>
      </c>
      <c r="C1108" s="3" t="s">
        <v>46</v>
      </c>
      <c r="D1108" s="3" t="s">
        <v>75</v>
      </c>
      <c r="E1108" s="3" t="s">
        <v>39</v>
      </c>
      <c r="F1108" s="3" t="s">
        <v>25</v>
      </c>
      <c r="G1108" s="3" t="s">
        <v>49</v>
      </c>
      <c r="H1108" s="3" t="s">
        <v>42</v>
      </c>
      <c r="I1108" s="3" t="s">
        <v>134</v>
      </c>
      <c r="J1108" s="3" t="n">
        <v>28</v>
      </c>
      <c r="K1108" s="3" t="n">
        <v>2682.15</v>
      </c>
      <c r="L1108" s="3" t="n">
        <v>75100.2</v>
      </c>
      <c r="M1108" s="3" t="n">
        <v>0.129</v>
      </c>
      <c r="N1108" s="3" t="n">
        <v>9687.93</v>
      </c>
      <c r="O1108" s="3" t="n">
        <v>65412.27</v>
      </c>
      <c r="P1108" s="3" t="n">
        <v>41305.11</v>
      </c>
      <c r="Q1108" s="3" t="n">
        <v>24107.16</v>
      </c>
      <c r="R1108" s="3" t="n">
        <v>0.3685</v>
      </c>
      <c r="S1108" s="3" t="n">
        <v>0.1125</v>
      </c>
      <c r="T1108" s="3" t="n">
        <v>0.0165</v>
      </c>
    </row>
    <row r="1109" customFormat="false" ht="15" hidden="false" customHeight="true" outlineLevel="0" collapsed="false">
      <c r="A1109" s="3" t="s">
        <v>1883</v>
      </c>
      <c r="B1109" s="3" t="s">
        <v>1884</v>
      </c>
      <c r="C1109" s="3" t="s">
        <v>126</v>
      </c>
      <c r="D1109" s="3" t="s">
        <v>38</v>
      </c>
      <c r="E1109" s="3" t="s">
        <v>39</v>
      </c>
      <c r="F1109" s="3" t="s">
        <v>40</v>
      </c>
      <c r="G1109" s="3" t="s">
        <v>41</v>
      </c>
      <c r="H1109" s="3" t="s">
        <v>56</v>
      </c>
      <c r="I1109" s="3" t="s">
        <v>188</v>
      </c>
      <c r="J1109" s="3" t="n">
        <v>32</v>
      </c>
      <c r="K1109" s="3" t="n">
        <v>11070.41</v>
      </c>
      <c r="L1109" s="3" t="n">
        <v>354253.12</v>
      </c>
      <c r="M1109" s="3" t="n">
        <v>0.0555</v>
      </c>
      <c r="N1109" s="3" t="n">
        <v>19661.05</v>
      </c>
      <c r="O1109" s="3" t="n">
        <v>334592.07</v>
      </c>
      <c r="P1109" s="3" t="n">
        <v>212551.87</v>
      </c>
      <c r="Q1109" s="3" t="n">
        <v>122040.2</v>
      </c>
      <c r="R1109" s="3" t="n">
        <v>0.3647</v>
      </c>
      <c r="S1109" s="3" t="n">
        <v>0.0535</v>
      </c>
      <c r="T1109" s="3" t="n">
        <v>0.002</v>
      </c>
    </row>
    <row r="1110" customFormat="false" ht="15" hidden="false" customHeight="true" outlineLevel="0" collapsed="false">
      <c r="A1110" s="3" t="s">
        <v>1885</v>
      </c>
      <c r="B1110" s="3" t="s">
        <v>993</v>
      </c>
      <c r="C1110" s="3" t="s">
        <v>126</v>
      </c>
      <c r="D1110" s="3" t="s">
        <v>61</v>
      </c>
      <c r="E1110" s="3" t="s">
        <v>33</v>
      </c>
      <c r="F1110" s="3" t="s">
        <v>62</v>
      </c>
      <c r="G1110" s="3" t="s">
        <v>84</v>
      </c>
      <c r="H1110" s="3" t="s">
        <v>77</v>
      </c>
      <c r="I1110" s="3" t="s">
        <v>131</v>
      </c>
      <c r="J1110" s="3" t="n">
        <v>19</v>
      </c>
      <c r="K1110" s="3" t="n">
        <v>2705.85</v>
      </c>
      <c r="L1110" s="3" t="n">
        <v>51411.15</v>
      </c>
      <c r="M1110" s="3" t="n">
        <v>0.0381</v>
      </c>
      <c r="N1110" s="3" t="n">
        <v>1958.76</v>
      </c>
      <c r="O1110" s="3" t="n">
        <v>49452.39</v>
      </c>
      <c r="P1110" s="3" t="n">
        <v>34959.58</v>
      </c>
      <c r="Q1110" s="3" t="n">
        <v>14492.81</v>
      </c>
      <c r="R1110" s="3" t="n">
        <v>0.2931</v>
      </c>
      <c r="S1110" s="3" t="n">
        <v>0.037</v>
      </c>
      <c r="T1110" s="3" t="n">
        <v>0.0011</v>
      </c>
    </row>
    <row r="1111" customFormat="false" ht="15" hidden="false" customHeight="true" outlineLevel="0" collapsed="false">
      <c r="A1111" s="3" t="s">
        <v>1886</v>
      </c>
      <c r="B1111" s="3" t="s">
        <v>1887</v>
      </c>
      <c r="C1111" s="3" t="s">
        <v>53</v>
      </c>
      <c r="D1111" s="3" t="s">
        <v>103</v>
      </c>
      <c r="E1111" s="3" t="s">
        <v>24</v>
      </c>
      <c r="F1111" s="3" t="s">
        <v>62</v>
      </c>
      <c r="G1111" s="3" t="s">
        <v>41</v>
      </c>
      <c r="H1111" s="3" t="s">
        <v>27</v>
      </c>
      <c r="I1111" s="3" t="s">
        <v>28</v>
      </c>
      <c r="J1111" s="3" t="n">
        <v>30</v>
      </c>
      <c r="K1111" s="3" t="n">
        <v>30740.96</v>
      </c>
      <c r="L1111" s="3" t="n">
        <v>922228.8</v>
      </c>
      <c r="M1111" s="3" t="n">
        <v>0.0818</v>
      </c>
      <c r="N1111" s="3" t="n">
        <v>75438.32</v>
      </c>
      <c r="O1111" s="3" t="n">
        <v>846790.48</v>
      </c>
      <c r="P1111" s="3" t="n">
        <v>571781.86</v>
      </c>
      <c r="Q1111" s="3" t="n">
        <v>275008.62</v>
      </c>
      <c r="R1111" s="3" t="n">
        <v>0.3248</v>
      </c>
      <c r="S1111" s="3" t="n">
        <v>0.0842</v>
      </c>
      <c r="T1111" s="3" t="n">
        <v>-0.0024</v>
      </c>
    </row>
    <row r="1112" customFormat="false" ht="15" hidden="false" customHeight="true" outlineLevel="0" collapsed="false">
      <c r="A1112" s="3" t="s">
        <v>1888</v>
      </c>
      <c r="B1112" s="3" t="s">
        <v>1889</v>
      </c>
      <c r="C1112" s="3" t="s">
        <v>31</v>
      </c>
      <c r="D1112" s="3" t="s">
        <v>83</v>
      </c>
      <c r="E1112" s="3" t="s">
        <v>48</v>
      </c>
      <c r="F1112" s="3" t="s">
        <v>62</v>
      </c>
      <c r="G1112" s="3" t="s">
        <v>55</v>
      </c>
      <c r="H1112" s="3" t="s">
        <v>64</v>
      </c>
      <c r="I1112" s="3" t="s">
        <v>65</v>
      </c>
      <c r="J1112" s="3" t="n">
        <v>24</v>
      </c>
      <c r="K1112" s="3" t="n">
        <v>7394.33</v>
      </c>
      <c r="L1112" s="3" t="n">
        <v>177463.92</v>
      </c>
      <c r="M1112" s="3" t="n">
        <v>0.073</v>
      </c>
      <c r="N1112" s="3" t="n">
        <v>12954.87</v>
      </c>
      <c r="O1112" s="3" t="n">
        <v>164509.05</v>
      </c>
      <c r="P1112" s="3" t="n">
        <v>102929.07</v>
      </c>
      <c r="Q1112" s="3" t="n">
        <v>61579.98</v>
      </c>
      <c r="R1112" s="3" t="n">
        <v>0.3743</v>
      </c>
      <c r="S1112" s="3" t="n">
        <v>0.0673</v>
      </c>
      <c r="T1112" s="3" t="n">
        <v>0.0057</v>
      </c>
    </row>
    <row r="1113" customFormat="false" ht="15" hidden="false" customHeight="true" outlineLevel="0" collapsed="false">
      <c r="A1113" s="3" t="s">
        <v>1890</v>
      </c>
      <c r="B1113" s="3" t="s">
        <v>406</v>
      </c>
      <c r="C1113" s="3" t="s">
        <v>46</v>
      </c>
      <c r="D1113" s="3" t="s">
        <v>38</v>
      </c>
      <c r="E1113" s="3" t="s">
        <v>39</v>
      </c>
      <c r="F1113" s="3" t="s">
        <v>40</v>
      </c>
      <c r="G1113" s="3" t="s">
        <v>49</v>
      </c>
      <c r="H1113" s="3" t="s">
        <v>64</v>
      </c>
      <c r="I1113" s="3" t="s">
        <v>90</v>
      </c>
      <c r="J1113" s="3" t="n">
        <v>40</v>
      </c>
      <c r="K1113" s="3" t="n">
        <v>7612.31</v>
      </c>
      <c r="L1113" s="3" t="n">
        <v>304492.4</v>
      </c>
      <c r="M1113" s="3" t="n">
        <v>0.0776</v>
      </c>
      <c r="N1113" s="3" t="n">
        <v>23628.61</v>
      </c>
      <c r="O1113" s="3" t="n">
        <v>280863.79</v>
      </c>
      <c r="P1113" s="3" t="n">
        <v>176605.59</v>
      </c>
      <c r="Q1113" s="3" t="n">
        <v>104258.2</v>
      </c>
      <c r="R1113" s="3" t="n">
        <v>0.3712</v>
      </c>
      <c r="S1113" s="3" t="n">
        <v>0.064</v>
      </c>
      <c r="T1113" s="3" t="n">
        <v>0.0136</v>
      </c>
    </row>
    <row r="1114" customFormat="false" ht="15" hidden="false" customHeight="true" outlineLevel="0" collapsed="false">
      <c r="A1114" s="3" t="s">
        <v>1891</v>
      </c>
      <c r="B1114" s="3" t="s">
        <v>1892</v>
      </c>
      <c r="C1114" s="3" t="s">
        <v>22</v>
      </c>
      <c r="D1114" s="3" t="s">
        <v>47</v>
      </c>
      <c r="E1114" s="3" t="s">
        <v>48</v>
      </c>
      <c r="F1114" s="3" t="s">
        <v>25</v>
      </c>
      <c r="G1114" s="3" t="s">
        <v>76</v>
      </c>
      <c r="H1114" s="3" t="s">
        <v>56</v>
      </c>
      <c r="I1114" s="3" t="s">
        <v>57</v>
      </c>
      <c r="J1114" s="3" t="n">
        <v>44</v>
      </c>
      <c r="K1114" s="3" t="n">
        <v>16038.54</v>
      </c>
      <c r="L1114" s="3" t="n">
        <v>705695.76</v>
      </c>
      <c r="M1114" s="3" t="n">
        <v>0.1503</v>
      </c>
      <c r="N1114" s="3" t="n">
        <v>106066.07</v>
      </c>
      <c r="O1114" s="3" t="n">
        <v>599629.69</v>
      </c>
      <c r="P1114" s="3" t="n">
        <v>423417.46</v>
      </c>
      <c r="Q1114" s="3" t="n">
        <v>176212.23</v>
      </c>
      <c r="R1114" s="3" t="n">
        <v>0.2939</v>
      </c>
      <c r="S1114" s="3" t="n">
        <v>0.1537</v>
      </c>
      <c r="T1114" s="3" t="n">
        <v>-0.0034</v>
      </c>
    </row>
    <row r="1115" customFormat="false" ht="15" hidden="false" customHeight="true" outlineLevel="0" collapsed="false">
      <c r="A1115" s="3" t="s">
        <v>1893</v>
      </c>
      <c r="B1115" s="3" t="s">
        <v>185</v>
      </c>
      <c r="C1115" s="3" t="s">
        <v>22</v>
      </c>
      <c r="D1115" s="3" t="s">
        <v>69</v>
      </c>
      <c r="E1115" s="3" t="s">
        <v>39</v>
      </c>
      <c r="F1115" s="3" t="s">
        <v>70</v>
      </c>
      <c r="G1115" s="3" t="s">
        <v>41</v>
      </c>
      <c r="H1115" s="3" t="s">
        <v>56</v>
      </c>
      <c r="I1115" s="3" t="s">
        <v>188</v>
      </c>
      <c r="J1115" s="3" t="n">
        <v>19</v>
      </c>
      <c r="K1115" s="3" t="n">
        <v>15648.96</v>
      </c>
      <c r="L1115" s="3" t="n">
        <v>297330.24</v>
      </c>
      <c r="M1115" s="3" t="n">
        <v>0.0916</v>
      </c>
      <c r="N1115" s="3" t="n">
        <v>27235.45</v>
      </c>
      <c r="O1115" s="3" t="n">
        <v>270094.79</v>
      </c>
      <c r="P1115" s="3" t="n">
        <v>178398.14</v>
      </c>
      <c r="Q1115" s="3" t="n">
        <v>91696.65</v>
      </c>
      <c r="R1115" s="3" t="n">
        <v>0.3395</v>
      </c>
      <c r="S1115" s="3" t="n">
        <v>0.0794</v>
      </c>
      <c r="T1115" s="3" t="n">
        <v>0.0122</v>
      </c>
    </row>
    <row r="1116" customFormat="false" ht="15" hidden="false" customHeight="true" outlineLevel="0" collapsed="false">
      <c r="A1116" s="3" t="s">
        <v>1894</v>
      </c>
      <c r="B1116" s="3" t="s">
        <v>223</v>
      </c>
      <c r="C1116" s="3" t="s">
        <v>93</v>
      </c>
      <c r="D1116" s="3" t="s">
        <v>83</v>
      </c>
      <c r="E1116" s="3" t="s">
        <v>48</v>
      </c>
      <c r="F1116" s="3" t="s">
        <v>62</v>
      </c>
      <c r="G1116" s="3" t="s">
        <v>84</v>
      </c>
      <c r="H1116" s="3" t="s">
        <v>27</v>
      </c>
      <c r="I1116" s="3" t="s">
        <v>50</v>
      </c>
      <c r="J1116" s="3" t="n">
        <v>35</v>
      </c>
      <c r="K1116" s="3" t="n">
        <v>22991.64</v>
      </c>
      <c r="L1116" s="3" t="n">
        <v>804707.4</v>
      </c>
      <c r="M1116" s="3" t="n">
        <v>0.075</v>
      </c>
      <c r="N1116" s="3" t="n">
        <v>60353.06</v>
      </c>
      <c r="O1116" s="3" t="n">
        <v>744354.34</v>
      </c>
      <c r="P1116" s="3" t="n">
        <v>498918.59</v>
      </c>
      <c r="Q1116" s="3" t="n">
        <v>245435.75</v>
      </c>
      <c r="R1116" s="3" t="n">
        <v>0.3297</v>
      </c>
      <c r="S1116" s="3" t="n">
        <v>0.0625</v>
      </c>
      <c r="T1116" s="3" t="n">
        <v>0.0125</v>
      </c>
    </row>
    <row r="1117" customFormat="false" ht="15" hidden="false" customHeight="true" outlineLevel="0" collapsed="false">
      <c r="A1117" s="3" t="s">
        <v>1895</v>
      </c>
      <c r="B1117" s="3" t="s">
        <v>102</v>
      </c>
      <c r="C1117" s="3" t="s">
        <v>93</v>
      </c>
      <c r="D1117" s="3" t="s">
        <v>75</v>
      </c>
      <c r="E1117" s="3" t="s">
        <v>39</v>
      </c>
      <c r="F1117" s="3" t="s">
        <v>25</v>
      </c>
      <c r="G1117" s="3" t="s">
        <v>63</v>
      </c>
      <c r="H1117" s="3" t="s">
        <v>27</v>
      </c>
      <c r="I1117" s="3" t="s">
        <v>173</v>
      </c>
      <c r="J1117" s="3" t="n">
        <v>22</v>
      </c>
      <c r="K1117" s="3" t="n">
        <v>14383.07</v>
      </c>
      <c r="L1117" s="3" t="n">
        <v>316427.54</v>
      </c>
      <c r="M1117" s="3" t="n">
        <v>0.1006</v>
      </c>
      <c r="N1117" s="3" t="n">
        <v>31832.61</v>
      </c>
      <c r="O1117" s="3" t="n">
        <v>284594.93</v>
      </c>
      <c r="P1117" s="3" t="n">
        <v>196185.07</v>
      </c>
      <c r="Q1117" s="3" t="n">
        <v>88409.86</v>
      </c>
      <c r="R1117" s="3" t="n">
        <v>0.3107</v>
      </c>
      <c r="S1117" s="3" t="n">
        <v>0.0869</v>
      </c>
      <c r="T1117" s="3" t="n">
        <v>0.0137</v>
      </c>
    </row>
    <row r="1118" customFormat="false" ht="15" hidden="false" customHeight="true" outlineLevel="0" collapsed="false">
      <c r="A1118" s="3" t="s">
        <v>1896</v>
      </c>
      <c r="B1118" s="3" t="s">
        <v>1381</v>
      </c>
      <c r="C1118" s="3" t="s">
        <v>93</v>
      </c>
      <c r="D1118" s="3" t="s">
        <v>97</v>
      </c>
      <c r="E1118" s="3" t="s">
        <v>48</v>
      </c>
      <c r="F1118" s="3" t="s">
        <v>40</v>
      </c>
      <c r="G1118" s="3" t="s">
        <v>76</v>
      </c>
      <c r="H1118" s="3" t="s">
        <v>77</v>
      </c>
      <c r="I1118" s="3" t="s">
        <v>131</v>
      </c>
      <c r="J1118" s="3" t="n">
        <v>35</v>
      </c>
      <c r="K1118" s="3" t="n">
        <v>3381.98</v>
      </c>
      <c r="L1118" s="3" t="n">
        <v>118369.3</v>
      </c>
      <c r="M1118" s="3" t="n">
        <v>0.0378</v>
      </c>
      <c r="N1118" s="3" t="n">
        <v>4474.36</v>
      </c>
      <c r="O1118" s="3" t="n">
        <v>113894.94</v>
      </c>
      <c r="P1118" s="3" t="n">
        <v>80491.12</v>
      </c>
      <c r="Q1118" s="3" t="n">
        <v>33403.82</v>
      </c>
      <c r="R1118" s="3" t="n">
        <v>0.2933</v>
      </c>
      <c r="S1118" s="3" t="n">
        <v>0.0319</v>
      </c>
      <c r="T1118" s="3" t="n">
        <v>0.0059</v>
      </c>
    </row>
    <row r="1119" customFormat="false" ht="15" hidden="false" customHeight="true" outlineLevel="0" collapsed="false">
      <c r="A1119" s="3" t="s">
        <v>1897</v>
      </c>
      <c r="B1119" s="3" t="s">
        <v>1338</v>
      </c>
      <c r="C1119" s="3" t="s">
        <v>46</v>
      </c>
      <c r="D1119" s="3" t="s">
        <v>69</v>
      </c>
      <c r="E1119" s="3" t="s">
        <v>39</v>
      </c>
      <c r="F1119" s="3" t="s">
        <v>70</v>
      </c>
      <c r="G1119" s="3" t="s">
        <v>104</v>
      </c>
      <c r="H1119" s="3" t="s">
        <v>42</v>
      </c>
      <c r="I1119" s="3" t="s">
        <v>72</v>
      </c>
      <c r="J1119" s="3" t="n">
        <v>50</v>
      </c>
      <c r="K1119" s="3" t="n">
        <v>3957.34</v>
      </c>
      <c r="L1119" s="3" t="n">
        <v>197867</v>
      </c>
      <c r="M1119" s="3" t="n">
        <v>0.1065</v>
      </c>
      <c r="N1119" s="3" t="n">
        <v>21072.84</v>
      </c>
      <c r="O1119" s="3" t="n">
        <v>176794.16</v>
      </c>
      <c r="P1119" s="3" t="n">
        <v>108826.85</v>
      </c>
      <c r="Q1119" s="3" t="n">
        <v>67967.31</v>
      </c>
      <c r="R1119" s="3" t="n">
        <v>0.3844</v>
      </c>
      <c r="S1119" s="3" t="n">
        <v>0.1104</v>
      </c>
      <c r="T1119" s="3" t="n">
        <v>-0.0039</v>
      </c>
    </row>
    <row r="1120" customFormat="false" ht="15" hidden="false" customHeight="true" outlineLevel="0" collapsed="false">
      <c r="A1120" s="3" t="s">
        <v>1898</v>
      </c>
      <c r="B1120" s="3" t="s">
        <v>1407</v>
      </c>
      <c r="C1120" s="3" t="s">
        <v>60</v>
      </c>
      <c r="D1120" s="3" t="s">
        <v>83</v>
      </c>
      <c r="E1120" s="3" t="s">
        <v>48</v>
      </c>
      <c r="F1120" s="3" t="s">
        <v>62</v>
      </c>
      <c r="G1120" s="3" t="s">
        <v>34</v>
      </c>
      <c r="H1120" s="3" t="s">
        <v>64</v>
      </c>
      <c r="I1120" s="3" t="s">
        <v>65</v>
      </c>
      <c r="J1120" s="3" t="n">
        <v>49</v>
      </c>
      <c r="K1120" s="3" t="n">
        <v>10812.19</v>
      </c>
      <c r="L1120" s="3" t="n">
        <v>529797.31</v>
      </c>
      <c r="M1120" s="3" t="n">
        <v>0.095</v>
      </c>
      <c r="N1120" s="3" t="n">
        <v>50330.74</v>
      </c>
      <c r="O1120" s="3" t="n">
        <v>479466.57</v>
      </c>
      <c r="P1120" s="3" t="n">
        <v>307282.44</v>
      </c>
      <c r="Q1120" s="3" t="n">
        <v>172184.13</v>
      </c>
      <c r="R1120" s="3" t="n">
        <v>0.3591</v>
      </c>
      <c r="S1120" s="3" t="n">
        <v>0.0784</v>
      </c>
      <c r="T1120" s="3" t="n">
        <v>0.0166</v>
      </c>
    </row>
    <row r="1121" customFormat="false" ht="15" hidden="false" customHeight="true" outlineLevel="0" collapsed="false">
      <c r="A1121" s="3" t="s">
        <v>1899</v>
      </c>
      <c r="B1121" s="3" t="s">
        <v>198</v>
      </c>
      <c r="C1121" s="3" t="s">
        <v>113</v>
      </c>
      <c r="D1121" s="3" t="s">
        <v>61</v>
      </c>
      <c r="E1121" s="3" t="s">
        <v>33</v>
      </c>
      <c r="F1121" s="3" t="s">
        <v>62</v>
      </c>
      <c r="G1121" s="3" t="s">
        <v>116</v>
      </c>
      <c r="H1121" s="3" t="s">
        <v>42</v>
      </c>
      <c r="I1121" s="3" t="s">
        <v>134</v>
      </c>
      <c r="J1121" s="3" t="n">
        <v>46</v>
      </c>
      <c r="K1121" s="3" t="n">
        <v>1544.18</v>
      </c>
      <c r="L1121" s="3" t="n">
        <v>71032.28</v>
      </c>
      <c r="M1121" s="3" t="n">
        <v>0.0894</v>
      </c>
      <c r="N1121" s="3" t="n">
        <v>6350.29</v>
      </c>
      <c r="O1121" s="3" t="n">
        <v>64681.99</v>
      </c>
      <c r="P1121" s="3" t="n">
        <v>39067.75</v>
      </c>
      <c r="Q1121" s="3" t="n">
        <v>25614.24</v>
      </c>
      <c r="R1121" s="3" t="n">
        <v>0.396</v>
      </c>
      <c r="S1121" s="3" t="n">
        <v>0.0894</v>
      </c>
      <c r="T1121" s="3" t="n">
        <v>0</v>
      </c>
    </row>
    <row r="1122" customFormat="false" ht="15" hidden="false" customHeight="true" outlineLevel="0" collapsed="false">
      <c r="A1122" s="3" t="s">
        <v>1900</v>
      </c>
      <c r="B1122" s="3" t="s">
        <v>1901</v>
      </c>
      <c r="C1122" s="3" t="s">
        <v>60</v>
      </c>
      <c r="D1122" s="3" t="s">
        <v>54</v>
      </c>
      <c r="E1122" s="3" t="s">
        <v>24</v>
      </c>
      <c r="F1122" s="3" t="s">
        <v>40</v>
      </c>
      <c r="G1122" s="3" t="s">
        <v>116</v>
      </c>
      <c r="H1122" s="3" t="s">
        <v>64</v>
      </c>
      <c r="I1122" s="3" t="s">
        <v>65</v>
      </c>
      <c r="J1122" s="3" t="n">
        <v>28</v>
      </c>
      <c r="K1122" s="3" t="n">
        <v>11054.61</v>
      </c>
      <c r="L1122" s="3" t="n">
        <v>309529.08</v>
      </c>
      <c r="M1122" s="3" t="n">
        <v>0.0972</v>
      </c>
      <c r="N1122" s="3" t="n">
        <v>30086.23</v>
      </c>
      <c r="O1122" s="3" t="n">
        <v>279442.85</v>
      </c>
      <c r="P1122" s="3" t="n">
        <v>179526.87</v>
      </c>
      <c r="Q1122" s="3" t="n">
        <v>99915.98</v>
      </c>
      <c r="R1122" s="3" t="n">
        <v>0.3576</v>
      </c>
      <c r="S1122" s="3" t="n">
        <v>0.0836</v>
      </c>
      <c r="T1122" s="3" t="n">
        <v>0.0136</v>
      </c>
    </row>
    <row r="1123" customFormat="false" ht="15" hidden="false" customHeight="true" outlineLevel="0" collapsed="false">
      <c r="A1123" s="3" t="s">
        <v>1902</v>
      </c>
      <c r="B1123" s="3" t="s">
        <v>1253</v>
      </c>
      <c r="C1123" s="3" t="s">
        <v>46</v>
      </c>
      <c r="D1123" s="3" t="s">
        <v>47</v>
      </c>
      <c r="E1123" s="3" t="s">
        <v>48</v>
      </c>
      <c r="F1123" s="3" t="s">
        <v>25</v>
      </c>
      <c r="G1123" s="3" t="s">
        <v>100</v>
      </c>
      <c r="H1123" s="3" t="s">
        <v>77</v>
      </c>
      <c r="I1123" s="3" t="s">
        <v>78</v>
      </c>
      <c r="J1123" s="3" t="n">
        <v>11</v>
      </c>
      <c r="K1123" s="3" t="n">
        <v>4506.39</v>
      </c>
      <c r="L1123" s="3" t="n">
        <v>49570.29</v>
      </c>
      <c r="M1123" s="3" t="n">
        <v>0.1532</v>
      </c>
      <c r="N1123" s="3" t="n">
        <v>7594.17</v>
      </c>
      <c r="O1123" s="3" t="n">
        <v>41976.12</v>
      </c>
      <c r="P1123" s="3" t="n">
        <v>33707.8</v>
      </c>
      <c r="Q1123" s="3" t="n">
        <v>8268.32</v>
      </c>
      <c r="R1123" s="3" t="n">
        <v>0.197</v>
      </c>
      <c r="S1123" s="3" t="n">
        <v>0.1604</v>
      </c>
      <c r="T1123" s="3" t="n">
        <v>-0.0072</v>
      </c>
    </row>
    <row r="1124" customFormat="false" ht="15" hidden="false" customHeight="true" outlineLevel="0" collapsed="false">
      <c r="A1124" s="3" t="s">
        <v>1903</v>
      </c>
      <c r="B1124" s="3" t="s">
        <v>290</v>
      </c>
      <c r="C1124" s="3" t="s">
        <v>37</v>
      </c>
      <c r="D1124" s="3" t="s">
        <v>107</v>
      </c>
      <c r="E1124" s="3" t="s">
        <v>33</v>
      </c>
      <c r="F1124" s="3" t="s">
        <v>70</v>
      </c>
      <c r="G1124" s="3" t="s">
        <v>116</v>
      </c>
      <c r="H1124" s="3" t="s">
        <v>56</v>
      </c>
      <c r="I1124" s="3" t="s">
        <v>188</v>
      </c>
      <c r="J1124" s="3" t="n">
        <v>38</v>
      </c>
      <c r="K1124" s="3" t="n">
        <v>13563.58</v>
      </c>
      <c r="L1124" s="3" t="n">
        <v>515416.04</v>
      </c>
      <c r="M1124" s="3" t="n">
        <v>0.0938</v>
      </c>
      <c r="N1124" s="3" t="n">
        <v>48346.02</v>
      </c>
      <c r="O1124" s="3" t="n">
        <v>467070.02</v>
      </c>
      <c r="P1124" s="3" t="n">
        <v>309249.62</v>
      </c>
      <c r="Q1124" s="3" t="n">
        <v>157820.4</v>
      </c>
      <c r="R1124" s="3" t="n">
        <v>0.3379</v>
      </c>
      <c r="S1124" s="3" t="n">
        <v>0.0754</v>
      </c>
      <c r="T1124" s="3" t="n">
        <v>0.0184</v>
      </c>
    </row>
    <row r="1125" customFormat="false" ht="15" hidden="false" customHeight="true" outlineLevel="0" collapsed="false">
      <c r="A1125" s="3" t="s">
        <v>1904</v>
      </c>
      <c r="B1125" s="3" t="s">
        <v>892</v>
      </c>
      <c r="C1125" s="3" t="s">
        <v>68</v>
      </c>
      <c r="D1125" s="3" t="s">
        <v>83</v>
      </c>
      <c r="E1125" s="3" t="s">
        <v>48</v>
      </c>
      <c r="F1125" s="3" t="s">
        <v>62</v>
      </c>
      <c r="G1125" s="3" t="s">
        <v>49</v>
      </c>
      <c r="H1125" s="3" t="s">
        <v>64</v>
      </c>
      <c r="I1125" s="3" t="s">
        <v>90</v>
      </c>
      <c r="J1125" s="3" t="n">
        <v>44</v>
      </c>
      <c r="K1125" s="3" t="n">
        <v>4022.46</v>
      </c>
      <c r="L1125" s="3" t="n">
        <v>176988.24</v>
      </c>
      <c r="M1125" s="3" t="n">
        <v>0.0503</v>
      </c>
      <c r="N1125" s="3" t="n">
        <v>8902.51</v>
      </c>
      <c r="O1125" s="3" t="n">
        <v>168085.73</v>
      </c>
      <c r="P1125" s="3" t="n">
        <v>102653.18</v>
      </c>
      <c r="Q1125" s="3" t="n">
        <v>65432.55</v>
      </c>
      <c r="R1125" s="3" t="n">
        <v>0.3893</v>
      </c>
      <c r="S1125" s="3" t="n">
        <v>0.0512</v>
      </c>
      <c r="T1125" s="3" t="n">
        <v>-0.0009</v>
      </c>
    </row>
    <row r="1126" customFormat="false" ht="15" hidden="false" customHeight="true" outlineLevel="0" collapsed="false">
      <c r="A1126" s="3" t="s">
        <v>1905</v>
      </c>
      <c r="B1126" s="3" t="s">
        <v>786</v>
      </c>
      <c r="C1126" s="3" t="s">
        <v>113</v>
      </c>
      <c r="D1126" s="3" t="s">
        <v>83</v>
      </c>
      <c r="E1126" s="3" t="s">
        <v>48</v>
      </c>
      <c r="F1126" s="3" t="s">
        <v>62</v>
      </c>
      <c r="G1126" s="3" t="s">
        <v>71</v>
      </c>
      <c r="H1126" s="3" t="s">
        <v>64</v>
      </c>
      <c r="I1126" s="3" t="s">
        <v>90</v>
      </c>
      <c r="J1126" s="3" t="n">
        <v>7</v>
      </c>
      <c r="K1126" s="3" t="n">
        <v>11725.12</v>
      </c>
      <c r="L1126" s="3" t="n">
        <v>82075.84</v>
      </c>
      <c r="M1126" s="3" t="n">
        <v>0.0318</v>
      </c>
      <c r="N1126" s="3" t="n">
        <v>2610.01</v>
      </c>
      <c r="O1126" s="3" t="n">
        <v>79465.83</v>
      </c>
      <c r="P1126" s="3" t="n">
        <v>47603.99</v>
      </c>
      <c r="Q1126" s="3" t="n">
        <v>31861.84</v>
      </c>
      <c r="R1126" s="3" t="n">
        <v>0.401</v>
      </c>
      <c r="S1126" s="3" t="n">
        <v>0.0295</v>
      </c>
      <c r="T1126" s="3" t="n">
        <v>0.0023</v>
      </c>
    </row>
    <row r="1127" customFormat="false" ht="15" hidden="false" customHeight="true" outlineLevel="0" collapsed="false">
      <c r="A1127" s="3" t="s">
        <v>1906</v>
      </c>
      <c r="B1127" s="3" t="s">
        <v>1671</v>
      </c>
      <c r="C1127" s="3" t="s">
        <v>156</v>
      </c>
      <c r="D1127" s="3" t="s">
        <v>107</v>
      </c>
      <c r="E1127" s="3" t="s">
        <v>33</v>
      </c>
      <c r="F1127" s="3" t="s">
        <v>70</v>
      </c>
      <c r="G1127" s="3" t="s">
        <v>34</v>
      </c>
      <c r="H1127" s="3" t="s">
        <v>64</v>
      </c>
      <c r="I1127" s="3" t="s">
        <v>90</v>
      </c>
      <c r="J1127" s="3" t="n">
        <v>13</v>
      </c>
      <c r="K1127" s="3" t="n">
        <v>6132.77</v>
      </c>
      <c r="L1127" s="3" t="n">
        <v>79726.01</v>
      </c>
      <c r="M1127" s="3" t="n">
        <v>0.1217</v>
      </c>
      <c r="N1127" s="3" t="n">
        <v>9702.66</v>
      </c>
      <c r="O1127" s="3" t="n">
        <v>70023.35</v>
      </c>
      <c r="P1127" s="3" t="n">
        <v>46241.09</v>
      </c>
      <c r="Q1127" s="3" t="n">
        <v>23782.26</v>
      </c>
      <c r="R1127" s="3" t="n">
        <v>0.3396</v>
      </c>
      <c r="S1127" s="3" t="n">
        <v>0.1108</v>
      </c>
      <c r="T1127" s="3" t="n">
        <v>0.0109</v>
      </c>
    </row>
    <row r="1128" customFormat="false" ht="15" hidden="false" customHeight="true" outlineLevel="0" collapsed="false">
      <c r="A1128" s="3" t="s">
        <v>1907</v>
      </c>
      <c r="B1128" s="3" t="s">
        <v>1908</v>
      </c>
      <c r="C1128" s="3" t="s">
        <v>93</v>
      </c>
      <c r="D1128" s="3" t="s">
        <v>103</v>
      </c>
      <c r="E1128" s="3" t="s">
        <v>24</v>
      </c>
      <c r="F1128" s="3" t="s">
        <v>62</v>
      </c>
      <c r="G1128" s="3" t="s">
        <v>76</v>
      </c>
      <c r="H1128" s="3" t="s">
        <v>27</v>
      </c>
      <c r="I1128" s="3" t="s">
        <v>50</v>
      </c>
      <c r="J1128" s="3" t="n">
        <v>8</v>
      </c>
      <c r="K1128" s="3" t="n">
        <v>24066.73</v>
      </c>
      <c r="L1128" s="3" t="n">
        <v>192533.84</v>
      </c>
      <c r="M1128" s="3" t="n">
        <v>0.065</v>
      </c>
      <c r="N1128" s="3" t="n">
        <v>12514.7</v>
      </c>
      <c r="O1128" s="3" t="n">
        <v>180019.14</v>
      </c>
      <c r="P1128" s="3" t="n">
        <v>119370.98</v>
      </c>
      <c r="Q1128" s="3" t="n">
        <v>60648.16</v>
      </c>
      <c r="R1128" s="3" t="n">
        <v>0.3369</v>
      </c>
      <c r="S1128" s="3" t="n">
        <v>0.06</v>
      </c>
      <c r="T1128" s="3" t="n">
        <v>0.005</v>
      </c>
    </row>
    <row r="1129" customFormat="false" ht="15" hidden="false" customHeight="true" outlineLevel="0" collapsed="false">
      <c r="A1129" s="3" t="s">
        <v>1909</v>
      </c>
      <c r="B1129" s="3" t="s">
        <v>1407</v>
      </c>
      <c r="C1129" s="3" t="s">
        <v>60</v>
      </c>
      <c r="D1129" s="3" t="s">
        <v>103</v>
      </c>
      <c r="E1129" s="3" t="s">
        <v>24</v>
      </c>
      <c r="F1129" s="3" t="s">
        <v>62</v>
      </c>
      <c r="G1129" s="3" t="s">
        <v>63</v>
      </c>
      <c r="H1129" s="3" t="s">
        <v>42</v>
      </c>
      <c r="I1129" s="3" t="s">
        <v>72</v>
      </c>
      <c r="J1129" s="3" t="n">
        <v>49</v>
      </c>
      <c r="K1129" s="3" t="n">
        <v>2331.09</v>
      </c>
      <c r="L1129" s="3" t="n">
        <v>114223.41</v>
      </c>
      <c r="M1129" s="3" t="n">
        <v>0.0468</v>
      </c>
      <c r="N1129" s="3" t="n">
        <v>5345.66</v>
      </c>
      <c r="O1129" s="3" t="n">
        <v>108877.75</v>
      </c>
      <c r="P1129" s="3" t="n">
        <v>62822.88</v>
      </c>
      <c r="Q1129" s="3" t="n">
        <v>46054.87</v>
      </c>
      <c r="R1129" s="3" t="n">
        <v>0.423</v>
      </c>
      <c r="S1129" s="3" t="n">
        <v>0.0439</v>
      </c>
      <c r="T1129" s="3" t="n">
        <v>0.0029</v>
      </c>
    </row>
    <row r="1130" customFormat="false" ht="15" hidden="false" customHeight="true" outlineLevel="0" collapsed="false">
      <c r="A1130" s="3" t="s">
        <v>1910</v>
      </c>
      <c r="B1130" s="3" t="s">
        <v>591</v>
      </c>
      <c r="C1130" s="3" t="s">
        <v>31</v>
      </c>
      <c r="D1130" s="3" t="s">
        <v>103</v>
      </c>
      <c r="E1130" s="3" t="s">
        <v>24</v>
      </c>
      <c r="F1130" s="3" t="s">
        <v>62</v>
      </c>
      <c r="G1130" s="3" t="s">
        <v>100</v>
      </c>
      <c r="H1130" s="3" t="s">
        <v>64</v>
      </c>
      <c r="I1130" s="3" t="s">
        <v>108</v>
      </c>
      <c r="J1130" s="3" t="n">
        <v>19</v>
      </c>
      <c r="K1130" s="3" t="n">
        <v>6922.89</v>
      </c>
      <c r="L1130" s="3" t="n">
        <v>131534.91</v>
      </c>
      <c r="M1130" s="3" t="n">
        <v>0.0723</v>
      </c>
      <c r="N1130" s="3" t="n">
        <v>9509.97</v>
      </c>
      <c r="O1130" s="3" t="n">
        <v>122024.94</v>
      </c>
      <c r="P1130" s="3" t="n">
        <v>76290.25</v>
      </c>
      <c r="Q1130" s="3" t="n">
        <v>45734.69</v>
      </c>
      <c r="R1130" s="3" t="n">
        <v>0.3748</v>
      </c>
      <c r="S1130" s="3" t="n">
        <v>0.0715</v>
      </c>
      <c r="T1130" s="3" t="n">
        <v>0.0008</v>
      </c>
    </row>
    <row r="1131" customFormat="false" ht="15" hidden="false" customHeight="true" outlineLevel="0" collapsed="false">
      <c r="A1131" s="3" t="s">
        <v>1911</v>
      </c>
      <c r="B1131" s="3" t="s">
        <v>1912</v>
      </c>
      <c r="C1131" s="3" t="s">
        <v>31</v>
      </c>
      <c r="D1131" s="3" t="s">
        <v>97</v>
      </c>
      <c r="E1131" s="3" t="s">
        <v>48</v>
      </c>
      <c r="F1131" s="3" t="s">
        <v>40</v>
      </c>
      <c r="G1131" s="3" t="s">
        <v>116</v>
      </c>
      <c r="H1131" s="3" t="s">
        <v>56</v>
      </c>
      <c r="I1131" s="3" t="s">
        <v>188</v>
      </c>
      <c r="J1131" s="3" t="n">
        <v>7</v>
      </c>
      <c r="K1131" s="3" t="n">
        <v>14895.04</v>
      </c>
      <c r="L1131" s="3" t="n">
        <v>104265.28</v>
      </c>
      <c r="M1131" s="3" t="n">
        <v>0.0551</v>
      </c>
      <c r="N1131" s="3" t="n">
        <v>5745.02</v>
      </c>
      <c r="O1131" s="3" t="n">
        <v>98520.26</v>
      </c>
      <c r="P1131" s="3" t="n">
        <v>62559.17</v>
      </c>
      <c r="Q1131" s="3" t="n">
        <v>35961.09</v>
      </c>
      <c r="R1131" s="3" t="n">
        <v>0.365</v>
      </c>
      <c r="S1131" s="3" t="n">
        <v>0.0458</v>
      </c>
      <c r="T1131" s="3" t="n">
        <v>0.0093</v>
      </c>
    </row>
    <row r="1132" customFormat="false" ht="15" hidden="false" customHeight="true" outlineLevel="0" collapsed="false">
      <c r="A1132" s="3" t="s">
        <v>1913</v>
      </c>
      <c r="B1132" s="3" t="s">
        <v>1031</v>
      </c>
      <c r="C1132" s="3" t="s">
        <v>126</v>
      </c>
      <c r="D1132" s="3" t="s">
        <v>97</v>
      </c>
      <c r="E1132" s="3" t="s">
        <v>48</v>
      </c>
      <c r="F1132" s="3" t="s">
        <v>40</v>
      </c>
      <c r="G1132" s="3" t="s">
        <v>116</v>
      </c>
      <c r="H1132" s="3" t="s">
        <v>56</v>
      </c>
      <c r="I1132" s="3" t="s">
        <v>121</v>
      </c>
      <c r="J1132" s="3" t="n">
        <v>33</v>
      </c>
      <c r="K1132" s="3" t="n">
        <v>12136.4</v>
      </c>
      <c r="L1132" s="3" t="n">
        <v>400501.2</v>
      </c>
      <c r="M1132" s="3" t="n">
        <v>0.0804</v>
      </c>
      <c r="N1132" s="3" t="n">
        <v>32200.3</v>
      </c>
      <c r="O1132" s="3" t="n">
        <v>368300.9</v>
      </c>
      <c r="P1132" s="3" t="n">
        <v>240300.72</v>
      </c>
      <c r="Q1132" s="3" t="n">
        <v>128000.18</v>
      </c>
      <c r="R1132" s="3" t="n">
        <v>0.3475</v>
      </c>
      <c r="S1132" s="3" t="n">
        <v>0.0848</v>
      </c>
      <c r="T1132" s="3" t="n">
        <v>-0.0044</v>
      </c>
    </row>
    <row r="1133" customFormat="false" ht="15" hidden="false" customHeight="true" outlineLevel="0" collapsed="false">
      <c r="A1133" s="3" t="s">
        <v>1914</v>
      </c>
      <c r="B1133" s="3" t="s">
        <v>426</v>
      </c>
      <c r="C1133" s="3" t="s">
        <v>120</v>
      </c>
      <c r="D1133" s="3" t="s">
        <v>69</v>
      </c>
      <c r="E1133" s="3" t="s">
        <v>39</v>
      </c>
      <c r="F1133" s="3" t="s">
        <v>70</v>
      </c>
      <c r="G1133" s="3" t="s">
        <v>100</v>
      </c>
      <c r="H1133" s="3" t="s">
        <v>64</v>
      </c>
      <c r="I1133" s="3" t="s">
        <v>90</v>
      </c>
      <c r="J1133" s="3" t="n">
        <v>13</v>
      </c>
      <c r="K1133" s="3" t="n">
        <v>6429.72</v>
      </c>
      <c r="L1133" s="3" t="n">
        <v>83586.36</v>
      </c>
      <c r="M1133" s="3" t="n">
        <v>0.0728</v>
      </c>
      <c r="N1133" s="3" t="n">
        <v>6085.09</v>
      </c>
      <c r="O1133" s="3" t="n">
        <v>77501.27</v>
      </c>
      <c r="P1133" s="3" t="n">
        <v>48480.09</v>
      </c>
      <c r="Q1133" s="3" t="n">
        <v>29021.18</v>
      </c>
      <c r="R1133" s="3" t="n">
        <v>0.3745</v>
      </c>
      <c r="S1133" s="3" t="n">
        <v>0.0659</v>
      </c>
      <c r="T1133" s="3" t="n">
        <v>0.0069</v>
      </c>
    </row>
    <row r="1134" customFormat="false" ht="15" hidden="false" customHeight="true" outlineLevel="0" collapsed="false">
      <c r="A1134" s="3" t="s">
        <v>1915</v>
      </c>
      <c r="B1134" s="3" t="s">
        <v>1415</v>
      </c>
      <c r="C1134" s="3" t="s">
        <v>46</v>
      </c>
      <c r="D1134" s="3" t="s">
        <v>83</v>
      </c>
      <c r="E1134" s="3" t="s">
        <v>48</v>
      </c>
      <c r="F1134" s="3" t="s">
        <v>62</v>
      </c>
      <c r="G1134" s="3" t="s">
        <v>26</v>
      </c>
      <c r="H1134" s="3" t="s">
        <v>77</v>
      </c>
      <c r="I1134" s="3" t="s">
        <v>85</v>
      </c>
      <c r="J1134" s="3" t="n">
        <v>26</v>
      </c>
      <c r="K1134" s="3" t="n">
        <v>4966.25</v>
      </c>
      <c r="L1134" s="3" t="n">
        <v>129122.5</v>
      </c>
      <c r="M1134" s="3" t="n">
        <v>0.0304</v>
      </c>
      <c r="N1134" s="3" t="n">
        <v>3925.32</v>
      </c>
      <c r="O1134" s="3" t="n">
        <v>125197.18</v>
      </c>
      <c r="P1134" s="3" t="n">
        <v>87803.3</v>
      </c>
      <c r="Q1134" s="3" t="n">
        <v>37393.88</v>
      </c>
      <c r="R1134" s="3" t="n">
        <v>0.2987</v>
      </c>
      <c r="S1134" s="3" t="n">
        <v>0.0314</v>
      </c>
      <c r="T1134" s="3" t="n">
        <v>-0.001</v>
      </c>
    </row>
    <row r="1135" customFormat="false" ht="15" hidden="false" customHeight="true" outlineLevel="0" collapsed="false">
      <c r="A1135" s="3" t="s">
        <v>1916</v>
      </c>
      <c r="B1135" s="3" t="s">
        <v>822</v>
      </c>
      <c r="C1135" s="3" t="s">
        <v>156</v>
      </c>
      <c r="D1135" s="3" t="s">
        <v>107</v>
      </c>
      <c r="E1135" s="3" t="s">
        <v>33</v>
      </c>
      <c r="F1135" s="3" t="s">
        <v>70</v>
      </c>
      <c r="G1135" s="3" t="s">
        <v>71</v>
      </c>
      <c r="H1135" s="3" t="s">
        <v>42</v>
      </c>
      <c r="I1135" s="3" t="s">
        <v>134</v>
      </c>
      <c r="J1135" s="3" t="n">
        <v>27</v>
      </c>
      <c r="K1135" s="3" t="n">
        <v>1425.75</v>
      </c>
      <c r="L1135" s="3" t="n">
        <v>38495.25</v>
      </c>
      <c r="M1135" s="3" t="n">
        <v>0.0637</v>
      </c>
      <c r="N1135" s="3" t="n">
        <v>2452.15</v>
      </c>
      <c r="O1135" s="3" t="n">
        <v>36043.1</v>
      </c>
      <c r="P1135" s="3" t="n">
        <v>21172.39</v>
      </c>
      <c r="Q1135" s="3" t="n">
        <v>14870.71</v>
      </c>
      <c r="R1135" s="3" t="n">
        <v>0.4126</v>
      </c>
      <c r="S1135" s="3" t="n">
        <v>0.0681</v>
      </c>
      <c r="T1135" s="3" t="n">
        <v>-0.0044</v>
      </c>
    </row>
    <row r="1136" customFormat="false" ht="15" hidden="false" customHeight="true" outlineLevel="0" collapsed="false">
      <c r="A1136" s="3" t="s">
        <v>1917</v>
      </c>
      <c r="B1136" s="3" t="s">
        <v>1918</v>
      </c>
      <c r="C1136" s="3" t="s">
        <v>37</v>
      </c>
      <c r="D1136" s="3" t="s">
        <v>47</v>
      </c>
      <c r="E1136" s="3" t="s">
        <v>48</v>
      </c>
      <c r="F1136" s="3" t="s">
        <v>25</v>
      </c>
      <c r="G1136" s="3" t="s">
        <v>104</v>
      </c>
      <c r="H1136" s="3" t="s">
        <v>27</v>
      </c>
      <c r="I1136" s="3" t="s">
        <v>28</v>
      </c>
      <c r="J1136" s="3" t="n">
        <v>24</v>
      </c>
      <c r="K1136" s="3" t="n">
        <v>12908.01</v>
      </c>
      <c r="L1136" s="3" t="n">
        <v>309792.24</v>
      </c>
      <c r="M1136" s="3" t="n">
        <v>0.2032</v>
      </c>
      <c r="N1136" s="3" t="n">
        <v>62949.78</v>
      </c>
      <c r="O1136" s="3" t="n">
        <v>246842.46</v>
      </c>
      <c r="P1136" s="3" t="n">
        <v>192071.19</v>
      </c>
      <c r="Q1136" s="3" t="n">
        <v>54771.27</v>
      </c>
      <c r="R1136" s="3" t="n">
        <v>0.2219</v>
      </c>
      <c r="S1136" s="3" t="n">
        <v>0.183</v>
      </c>
      <c r="T1136" s="3" t="n">
        <v>0.0202</v>
      </c>
    </row>
    <row r="1137" customFormat="false" ht="15" hidden="false" customHeight="true" outlineLevel="0" collapsed="false">
      <c r="A1137" s="3" t="s">
        <v>1919</v>
      </c>
      <c r="B1137" s="3" t="s">
        <v>469</v>
      </c>
      <c r="C1137" s="3" t="s">
        <v>46</v>
      </c>
      <c r="D1137" s="3" t="s">
        <v>38</v>
      </c>
      <c r="E1137" s="3" t="s">
        <v>39</v>
      </c>
      <c r="F1137" s="3" t="s">
        <v>40</v>
      </c>
      <c r="G1137" s="3" t="s">
        <v>100</v>
      </c>
      <c r="H1137" s="3" t="s">
        <v>77</v>
      </c>
      <c r="I1137" s="3" t="s">
        <v>131</v>
      </c>
      <c r="J1137" s="3" t="n">
        <v>13</v>
      </c>
      <c r="K1137" s="3" t="n">
        <v>5872.75</v>
      </c>
      <c r="L1137" s="3" t="n">
        <v>76345.75</v>
      </c>
      <c r="M1137" s="3" t="n">
        <v>0.0608</v>
      </c>
      <c r="N1137" s="3" t="n">
        <v>4641.82</v>
      </c>
      <c r="O1137" s="3" t="n">
        <v>71703.93</v>
      </c>
      <c r="P1137" s="3" t="n">
        <v>51915.11</v>
      </c>
      <c r="Q1137" s="3" t="n">
        <v>19788.82</v>
      </c>
      <c r="R1137" s="3" t="n">
        <v>0.276</v>
      </c>
      <c r="S1137" s="3" t="n">
        <v>0.0638</v>
      </c>
      <c r="T1137" s="3" t="n">
        <v>-0.003</v>
      </c>
    </row>
    <row r="1138" customFormat="false" ht="15" hidden="false" customHeight="true" outlineLevel="0" collapsed="false">
      <c r="A1138" s="3" t="s">
        <v>1920</v>
      </c>
      <c r="B1138" s="3" t="s">
        <v>1564</v>
      </c>
      <c r="C1138" s="3" t="s">
        <v>37</v>
      </c>
      <c r="D1138" s="3" t="s">
        <v>38</v>
      </c>
      <c r="E1138" s="3" t="s">
        <v>39</v>
      </c>
      <c r="F1138" s="3" t="s">
        <v>40</v>
      </c>
      <c r="G1138" s="3" t="s">
        <v>71</v>
      </c>
      <c r="H1138" s="3" t="s">
        <v>77</v>
      </c>
      <c r="I1138" s="3" t="s">
        <v>131</v>
      </c>
      <c r="J1138" s="3" t="n">
        <v>47</v>
      </c>
      <c r="K1138" s="3" t="n">
        <v>3073.98</v>
      </c>
      <c r="L1138" s="3" t="n">
        <v>144477.06</v>
      </c>
      <c r="M1138" s="3" t="n">
        <v>0.0387</v>
      </c>
      <c r="N1138" s="3" t="n">
        <v>5591.26</v>
      </c>
      <c r="O1138" s="3" t="n">
        <v>138885.8</v>
      </c>
      <c r="P1138" s="3" t="n">
        <v>98244.4</v>
      </c>
      <c r="Q1138" s="3" t="n">
        <v>40641.4</v>
      </c>
      <c r="R1138" s="3" t="n">
        <v>0.2926</v>
      </c>
      <c r="S1138" s="3" t="n">
        <v>0.037</v>
      </c>
      <c r="T1138" s="3" t="n">
        <v>0.0017</v>
      </c>
    </row>
    <row r="1139" customFormat="false" ht="15" hidden="false" customHeight="true" outlineLevel="0" collapsed="false">
      <c r="A1139" s="3" t="s">
        <v>1921</v>
      </c>
      <c r="B1139" s="3" t="s">
        <v>1483</v>
      </c>
      <c r="C1139" s="3" t="s">
        <v>46</v>
      </c>
      <c r="D1139" s="3" t="s">
        <v>47</v>
      </c>
      <c r="E1139" s="3" t="s">
        <v>48</v>
      </c>
      <c r="F1139" s="3" t="s">
        <v>25</v>
      </c>
      <c r="G1139" s="3" t="s">
        <v>26</v>
      </c>
      <c r="H1139" s="3" t="s">
        <v>64</v>
      </c>
      <c r="I1139" s="3" t="s">
        <v>65</v>
      </c>
      <c r="J1139" s="3" t="n">
        <v>33</v>
      </c>
      <c r="K1139" s="3" t="n">
        <v>10210.55</v>
      </c>
      <c r="L1139" s="3" t="n">
        <v>336948.15</v>
      </c>
      <c r="M1139" s="3" t="n">
        <v>0.1221</v>
      </c>
      <c r="N1139" s="3" t="n">
        <v>41141.37</v>
      </c>
      <c r="O1139" s="3" t="n">
        <v>295806.78</v>
      </c>
      <c r="P1139" s="3" t="n">
        <v>195429.93</v>
      </c>
      <c r="Q1139" s="3" t="n">
        <v>100376.85</v>
      </c>
      <c r="R1139" s="3" t="n">
        <v>0.3393</v>
      </c>
      <c r="S1139" s="3" t="n">
        <v>0.1285</v>
      </c>
      <c r="T1139" s="3" t="n">
        <v>-0.0064</v>
      </c>
    </row>
    <row r="1140" customFormat="false" ht="15" hidden="false" customHeight="true" outlineLevel="0" collapsed="false">
      <c r="A1140" s="3" t="s">
        <v>1922</v>
      </c>
      <c r="B1140" s="3" t="s">
        <v>221</v>
      </c>
      <c r="C1140" s="3" t="s">
        <v>60</v>
      </c>
      <c r="D1140" s="3" t="s">
        <v>23</v>
      </c>
      <c r="E1140" s="3" t="s">
        <v>24</v>
      </c>
      <c r="F1140" s="3" t="s">
        <v>25</v>
      </c>
      <c r="G1140" s="3" t="s">
        <v>41</v>
      </c>
      <c r="H1140" s="3" t="s">
        <v>42</v>
      </c>
      <c r="I1140" s="3" t="s">
        <v>72</v>
      </c>
      <c r="J1140" s="3" t="n">
        <v>14</v>
      </c>
      <c r="K1140" s="3" t="n">
        <v>3820.45</v>
      </c>
      <c r="L1140" s="3" t="n">
        <v>53486.3</v>
      </c>
      <c r="M1140" s="3" t="n">
        <v>0.0972</v>
      </c>
      <c r="N1140" s="3" t="n">
        <v>5198.87</v>
      </c>
      <c r="O1140" s="3" t="n">
        <v>48287.43</v>
      </c>
      <c r="P1140" s="3" t="n">
        <v>29417.47</v>
      </c>
      <c r="Q1140" s="3" t="n">
        <v>18869.96</v>
      </c>
      <c r="R1140" s="3" t="n">
        <v>0.3908</v>
      </c>
      <c r="S1140" s="3" t="n">
        <v>0.0786</v>
      </c>
      <c r="T1140" s="3" t="n">
        <v>0.0186</v>
      </c>
    </row>
    <row r="1141" customFormat="false" ht="15" hidden="false" customHeight="true" outlineLevel="0" collapsed="false">
      <c r="A1141" s="3" t="s">
        <v>1923</v>
      </c>
      <c r="B1141" s="3" t="s">
        <v>92</v>
      </c>
      <c r="C1141" s="3" t="s">
        <v>93</v>
      </c>
      <c r="D1141" s="3" t="s">
        <v>97</v>
      </c>
      <c r="E1141" s="3" t="s">
        <v>48</v>
      </c>
      <c r="F1141" s="3" t="s">
        <v>40</v>
      </c>
      <c r="G1141" s="3" t="s">
        <v>55</v>
      </c>
      <c r="H1141" s="3" t="s">
        <v>56</v>
      </c>
      <c r="I1141" s="3" t="s">
        <v>188</v>
      </c>
      <c r="J1141" s="3" t="n">
        <v>48</v>
      </c>
      <c r="K1141" s="3" t="n">
        <v>8118.48</v>
      </c>
      <c r="L1141" s="3" t="n">
        <v>389687.04</v>
      </c>
      <c r="M1141" s="3" t="n">
        <v>0.0667</v>
      </c>
      <c r="N1141" s="3" t="n">
        <v>25992.13</v>
      </c>
      <c r="O1141" s="3" t="n">
        <v>363694.91</v>
      </c>
      <c r="P1141" s="3" t="n">
        <v>233812.22</v>
      </c>
      <c r="Q1141" s="3" t="n">
        <v>129882.69</v>
      </c>
      <c r="R1141" s="3" t="n">
        <v>0.3571</v>
      </c>
      <c r="S1141" s="3" t="n">
        <v>0.0661</v>
      </c>
      <c r="T1141" s="3" t="n">
        <v>0.0006</v>
      </c>
    </row>
    <row r="1142" customFormat="false" ht="15" hidden="false" customHeight="true" outlineLevel="0" collapsed="false">
      <c r="A1142" s="3" t="s">
        <v>1924</v>
      </c>
      <c r="B1142" s="3" t="s">
        <v>702</v>
      </c>
      <c r="C1142" s="3" t="s">
        <v>53</v>
      </c>
      <c r="D1142" s="3" t="s">
        <v>103</v>
      </c>
      <c r="E1142" s="3" t="s">
        <v>24</v>
      </c>
      <c r="F1142" s="3" t="s">
        <v>62</v>
      </c>
      <c r="G1142" s="3" t="s">
        <v>71</v>
      </c>
      <c r="H1142" s="3" t="s">
        <v>64</v>
      </c>
      <c r="I1142" s="3" t="s">
        <v>108</v>
      </c>
      <c r="J1142" s="3" t="n">
        <v>20</v>
      </c>
      <c r="K1142" s="3" t="n">
        <v>11081.18</v>
      </c>
      <c r="L1142" s="3" t="n">
        <v>221623.6</v>
      </c>
      <c r="M1142" s="3" t="n">
        <v>0.0397</v>
      </c>
      <c r="N1142" s="3" t="n">
        <v>8798.46</v>
      </c>
      <c r="O1142" s="3" t="n">
        <v>212825.14</v>
      </c>
      <c r="P1142" s="3" t="n">
        <v>128541.69</v>
      </c>
      <c r="Q1142" s="3" t="n">
        <v>84283.45</v>
      </c>
      <c r="R1142" s="3" t="n">
        <v>0.396</v>
      </c>
      <c r="S1142" s="3" t="n">
        <v>0.0404</v>
      </c>
      <c r="T1142" s="3" t="n">
        <v>-0.0007</v>
      </c>
    </row>
    <row r="1143" customFormat="false" ht="15" hidden="false" customHeight="true" outlineLevel="0" collapsed="false">
      <c r="A1143" s="3" t="s">
        <v>1925</v>
      </c>
      <c r="B1143" s="3" t="s">
        <v>1243</v>
      </c>
      <c r="C1143" s="3" t="s">
        <v>120</v>
      </c>
      <c r="D1143" s="3" t="s">
        <v>47</v>
      </c>
      <c r="E1143" s="3" t="s">
        <v>48</v>
      </c>
      <c r="F1143" s="3" t="s">
        <v>25</v>
      </c>
      <c r="G1143" s="3" t="s">
        <v>104</v>
      </c>
      <c r="H1143" s="3" t="s">
        <v>42</v>
      </c>
      <c r="I1143" s="3" t="s">
        <v>72</v>
      </c>
      <c r="J1143" s="3" t="n">
        <v>10</v>
      </c>
      <c r="K1143" s="3" t="n">
        <v>1462.38</v>
      </c>
      <c r="L1143" s="3" t="n">
        <v>14623.8</v>
      </c>
      <c r="M1143" s="3" t="n">
        <v>0.1956</v>
      </c>
      <c r="N1143" s="3" t="n">
        <v>2860.42</v>
      </c>
      <c r="O1143" s="3" t="n">
        <v>11763.38</v>
      </c>
      <c r="P1143" s="3" t="n">
        <v>8043.09</v>
      </c>
      <c r="Q1143" s="3" t="n">
        <v>3720.29</v>
      </c>
      <c r="R1143" s="3" t="n">
        <v>0.3163</v>
      </c>
      <c r="S1143" s="3" t="n">
        <v>0.163</v>
      </c>
      <c r="T1143" s="3" t="n">
        <v>0.0326</v>
      </c>
    </row>
    <row r="1144" customFormat="false" ht="15" hidden="false" customHeight="true" outlineLevel="0" collapsed="false">
      <c r="A1144" s="3" t="s">
        <v>1926</v>
      </c>
      <c r="B1144" s="3" t="s">
        <v>1338</v>
      </c>
      <c r="C1144" s="3" t="s">
        <v>46</v>
      </c>
      <c r="D1144" s="3" t="s">
        <v>38</v>
      </c>
      <c r="E1144" s="3" t="s">
        <v>39</v>
      </c>
      <c r="F1144" s="3" t="s">
        <v>40</v>
      </c>
      <c r="G1144" s="3" t="s">
        <v>41</v>
      </c>
      <c r="H1144" s="3" t="s">
        <v>27</v>
      </c>
      <c r="I1144" s="3" t="s">
        <v>28</v>
      </c>
      <c r="J1144" s="3" t="n">
        <v>12</v>
      </c>
      <c r="K1144" s="3" t="n">
        <v>17038.82</v>
      </c>
      <c r="L1144" s="3" t="n">
        <v>204465.84</v>
      </c>
      <c r="M1144" s="3" t="n">
        <v>0.0744</v>
      </c>
      <c r="N1144" s="3" t="n">
        <v>15212.26</v>
      </c>
      <c r="O1144" s="3" t="n">
        <v>189253.58</v>
      </c>
      <c r="P1144" s="3" t="n">
        <v>126768.82</v>
      </c>
      <c r="Q1144" s="3" t="n">
        <v>62484.76</v>
      </c>
      <c r="R1144" s="3" t="n">
        <v>0.3302</v>
      </c>
      <c r="S1144" s="3" t="n">
        <v>0.0799</v>
      </c>
      <c r="T1144" s="3" t="n">
        <v>-0.0055</v>
      </c>
    </row>
    <row r="1145" customFormat="false" ht="15" hidden="false" customHeight="true" outlineLevel="0" collapsed="false">
      <c r="A1145" s="3" t="s">
        <v>1927</v>
      </c>
      <c r="B1145" s="3" t="s">
        <v>923</v>
      </c>
      <c r="C1145" s="3" t="s">
        <v>22</v>
      </c>
      <c r="D1145" s="3" t="s">
        <v>69</v>
      </c>
      <c r="E1145" s="3" t="s">
        <v>39</v>
      </c>
      <c r="F1145" s="3" t="s">
        <v>70</v>
      </c>
      <c r="G1145" s="3" t="s">
        <v>84</v>
      </c>
      <c r="H1145" s="3" t="s">
        <v>77</v>
      </c>
      <c r="I1145" s="3" t="s">
        <v>131</v>
      </c>
      <c r="J1145" s="3" t="n">
        <v>27</v>
      </c>
      <c r="K1145" s="3" t="n">
        <v>5018.12</v>
      </c>
      <c r="L1145" s="3" t="n">
        <v>135489.24</v>
      </c>
      <c r="M1145" s="3" t="n">
        <v>0.0337</v>
      </c>
      <c r="N1145" s="3" t="n">
        <v>4565.99</v>
      </c>
      <c r="O1145" s="3" t="n">
        <v>130923.25</v>
      </c>
      <c r="P1145" s="3" t="n">
        <v>92132.68</v>
      </c>
      <c r="Q1145" s="3" t="n">
        <v>38790.57</v>
      </c>
      <c r="R1145" s="3" t="n">
        <v>0.2963</v>
      </c>
      <c r="S1145" s="3" t="n">
        <v>0.0291</v>
      </c>
      <c r="T1145" s="3" t="n">
        <v>0.0046</v>
      </c>
    </row>
    <row r="1146" customFormat="false" ht="15" hidden="false" customHeight="true" outlineLevel="0" collapsed="false">
      <c r="A1146" s="3" t="s">
        <v>1928</v>
      </c>
      <c r="B1146" s="3" t="s">
        <v>986</v>
      </c>
      <c r="C1146" s="3" t="s">
        <v>113</v>
      </c>
      <c r="D1146" s="3" t="s">
        <v>47</v>
      </c>
      <c r="E1146" s="3" t="s">
        <v>48</v>
      </c>
      <c r="F1146" s="3" t="s">
        <v>25</v>
      </c>
      <c r="G1146" s="3" t="s">
        <v>71</v>
      </c>
      <c r="H1146" s="3" t="s">
        <v>77</v>
      </c>
      <c r="I1146" s="3" t="s">
        <v>78</v>
      </c>
      <c r="J1146" s="3" t="n">
        <v>11</v>
      </c>
      <c r="K1146" s="3" t="n">
        <v>5559.85</v>
      </c>
      <c r="L1146" s="3" t="n">
        <v>61158.35</v>
      </c>
      <c r="M1146" s="3" t="n">
        <v>0.0798</v>
      </c>
      <c r="N1146" s="3" t="n">
        <v>4880.44</v>
      </c>
      <c r="O1146" s="3" t="n">
        <v>56277.91</v>
      </c>
      <c r="P1146" s="3" t="n">
        <v>41587.68</v>
      </c>
      <c r="Q1146" s="3" t="n">
        <v>14690.23</v>
      </c>
      <c r="R1146" s="3" t="n">
        <v>0.261</v>
      </c>
      <c r="S1146" s="3" t="n">
        <v>0.0796</v>
      </c>
      <c r="T1146" s="3" t="n">
        <v>0.0002</v>
      </c>
    </row>
    <row r="1147" customFormat="false" ht="15" hidden="false" customHeight="true" outlineLevel="0" collapsed="false">
      <c r="A1147" s="3" t="s">
        <v>1929</v>
      </c>
      <c r="B1147" s="3" t="s">
        <v>1041</v>
      </c>
      <c r="C1147" s="3" t="s">
        <v>60</v>
      </c>
      <c r="D1147" s="3" t="s">
        <v>23</v>
      </c>
      <c r="E1147" s="3" t="s">
        <v>24</v>
      </c>
      <c r="F1147" s="3" t="s">
        <v>25</v>
      </c>
      <c r="G1147" s="3" t="s">
        <v>116</v>
      </c>
      <c r="H1147" s="3" t="s">
        <v>56</v>
      </c>
      <c r="I1147" s="3" t="s">
        <v>188</v>
      </c>
      <c r="J1147" s="3" t="n">
        <v>23</v>
      </c>
      <c r="K1147" s="3" t="n">
        <v>17614.65</v>
      </c>
      <c r="L1147" s="3" t="n">
        <v>405136.95</v>
      </c>
      <c r="M1147" s="3" t="n">
        <v>0.1852</v>
      </c>
      <c r="N1147" s="3" t="n">
        <v>75031.36</v>
      </c>
      <c r="O1147" s="3" t="n">
        <v>330105.59</v>
      </c>
      <c r="P1147" s="3" t="n">
        <v>243082.17</v>
      </c>
      <c r="Q1147" s="3" t="n">
        <v>87023.42</v>
      </c>
      <c r="R1147" s="3" t="n">
        <v>0.2636</v>
      </c>
      <c r="S1147" s="3" t="n">
        <v>0.1771</v>
      </c>
      <c r="T1147" s="3" t="n">
        <v>0.0081</v>
      </c>
    </row>
    <row r="1148" customFormat="false" ht="15" hidden="false" customHeight="true" outlineLevel="0" collapsed="false">
      <c r="A1148" s="3" t="s">
        <v>1930</v>
      </c>
      <c r="B1148" s="3" t="s">
        <v>683</v>
      </c>
      <c r="C1148" s="3" t="s">
        <v>60</v>
      </c>
      <c r="D1148" s="3" t="s">
        <v>54</v>
      </c>
      <c r="E1148" s="3" t="s">
        <v>24</v>
      </c>
      <c r="F1148" s="3" t="s">
        <v>40</v>
      </c>
      <c r="G1148" s="3" t="s">
        <v>55</v>
      </c>
      <c r="H1148" s="3" t="s">
        <v>27</v>
      </c>
      <c r="I1148" s="3" t="s">
        <v>117</v>
      </c>
      <c r="J1148" s="3" t="n">
        <v>2</v>
      </c>
      <c r="K1148" s="3" t="n">
        <v>8945.77</v>
      </c>
      <c r="L1148" s="3" t="n">
        <v>17891.54</v>
      </c>
      <c r="M1148" s="3" t="n">
        <v>0.0559</v>
      </c>
      <c r="N1148" s="3" t="n">
        <v>1000.14</v>
      </c>
      <c r="O1148" s="3" t="n">
        <v>16891.4</v>
      </c>
      <c r="P1148" s="3" t="n">
        <v>11092.75</v>
      </c>
      <c r="Q1148" s="3" t="n">
        <v>5798.65</v>
      </c>
      <c r="R1148" s="3" t="n">
        <v>0.3433</v>
      </c>
      <c r="S1148" s="3" t="n">
        <v>0.0483</v>
      </c>
      <c r="T1148" s="3" t="n">
        <v>0.0076</v>
      </c>
    </row>
    <row r="1149" customFormat="false" ht="15" hidden="false" customHeight="true" outlineLevel="0" collapsed="false">
      <c r="A1149" s="3" t="s">
        <v>1931</v>
      </c>
      <c r="B1149" s="3" t="s">
        <v>241</v>
      </c>
      <c r="C1149" s="3" t="s">
        <v>120</v>
      </c>
      <c r="D1149" s="3" t="s">
        <v>103</v>
      </c>
      <c r="E1149" s="3" t="s">
        <v>24</v>
      </c>
      <c r="F1149" s="3" t="s">
        <v>62</v>
      </c>
      <c r="G1149" s="3" t="s">
        <v>104</v>
      </c>
      <c r="H1149" s="3" t="s">
        <v>27</v>
      </c>
      <c r="I1149" s="3" t="s">
        <v>117</v>
      </c>
      <c r="J1149" s="3" t="n">
        <v>15</v>
      </c>
      <c r="K1149" s="3" t="n">
        <v>18481.27</v>
      </c>
      <c r="L1149" s="3" t="n">
        <v>277219.05</v>
      </c>
      <c r="M1149" s="3" t="n">
        <v>0.0818</v>
      </c>
      <c r="N1149" s="3" t="n">
        <v>22676.52</v>
      </c>
      <c r="O1149" s="3" t="n">
        <v>254542.53</v>
      </c>
      <c r="P1149" s="3" t="n">
        <v>171875.81</v>
      </c>
      <c r="Q1149" s="3" t="n">
        <v>82666.72</v>
      </c>
      <c r="R1149" s="3" t="n">
        <v>0.3248</v>
      </c>
      <c r="S1149" s="3" t="n">
        <v>0.072</v>
      </c>
      <c r="T1149" s="3" t="n">
        <v>0.0098</v>
      </c>
    </row>
    <row r="1150" customFormat="false" ht="15" hidden="false" customHeight="true" outlineLevel="0" collapsed="false">
      <c r="A1150" s="3" t="s">
        <v>1932</v>
      </c>
      <c r="B1150" s="3" t="s">
        <v>1933</v>
      </c>
      <c r="C1150" s="3" t="s">
        <v>68</v>
      </c>
      <c r="D1150" s="3" t="s">
        <v>83</v>
      </c>
      <c r="E1150" s="3" t="s">
        <v>48</v>
      </c>
      <c r="F1150" s="3" t="s">
        <v>62</v>
      </c>
      <c r="G1150" s="3" t="s">
        <v>49</v>
      </c>
      <c r="H1150" s="3" t="s">
        <v>64</v>
      </c>
      <c r="I1150" s="3" t="s">
        <v>65</v>
      </c>
      <c r="J1150" s="3" t="n">
        <v>42</v>
      </c>
      <c r="K1150" s="3" t="n">
        <v>9372.75</v>
      </c>
      <c r="L1150" s="3" t="n">
        <v>393655.5</v>
      </c>
      <c r="M1150" s="3" t="n">
        <v>0.0447</v>
      </c>
      <c r="N1150" s="3" t="n">
        <v>17596.4</v>
      </c>
      <c r="O1150" s="3" t="n">
        <v>376059.1</v>
      </c>
      <c r="P1150" s="3" t="n">
        <v>228320.19</v>
      </c>
      <c r="Q1150" s="3" t="n">
        <v>147738.91</v>
      </c>
      <c r="R1150" s="3" t="n">
        <v>0.3929</v>
      </c>
      <c r="S1150" s="3" t="n">
        <v>0.0416</v>
      </c>
      <c r="T1150" s="3" t="n">
        <v>0.0031</v>
      </c>
    </row>
    <row r="1151" customFormat="false" ht="15" hidden="false" customHeight="true" outlineLevel="0" collapsed="false">
      <c r="A1151" s="3" t="s">
        <v>1934</v>
      </c>
      <c r="B1151" s="3" t="s">
        <v>1935</v>
      </c>
      <c r="C1151" s="3" t="s">
        <v>126</v>
      </c>
      <c r="D1151" s="3" t="s">
        <v>47</v>
      </c>
      <c r="E1151" s="3" t="s">
        <v>48</v>
      </c>
      <c r="F1151" s="3" t="s">
        <v>25</v>
      </c>
      <c r="G1151" s="3" t="s">
        <v>41</v>
      </c>
      <c r="H1151" s="3" t="s">
        <v>64</v>
      </c>
      <c r="I1151" s="3" t="s">
        <v>145</v>
      </c>
      <c r="J1151" s="3" t="n">
        <v>46</v>
      </c>
      <c r="K1151" s="3" t="n">
        <v>4780.89</v>
      </c>
      <c r="L1151" s="3" t="n">
        <v>219920.94</v>
      </c>
      <c r="M1151" s="3" t="n">
        <v>0.1588</v>
      </c>
      <c r="N1151" s="3" t="n">
        <v>34923.45</v>
      </c>
      <c r="O1151" s="3" t="n">
        <v>184997.49</v>
      </c>
      <c r="P1151" s="3" t="n">
        <v>127554.15</v>
      </c>
      <c r="Q1151" s="3" t="n">
        <v>57443.34</v>
      </c>
      <c r="R1151" s="3" t="n">
        <v>0.3105</v>
      </c>
      <c r="S1151" s="3" t="n">
        <v>0.135</v>
      </c>
      <c r="T1151" s="3" t="n">
        <v>0.0238</v>
      </c>
    </row>
    <row r="1152" customFormat="false" ht="15" hidden="false" customHeight="true" outlineLevel="0" collapsed="false">
      <c r="A1152" s="3" t="s">
        <v>1936</v>
      </c>
      <c r="B1152" s="3" t="s">
        <v>481</v>
      </c>
      <c r="C1152" s="3" t="s">
        <v>37</v>
      </c>
      <c r="D1152" s="3" t="s">
        <v>69</v>
      </c>
      <c r="E1152" s="3" t="s">
        <v>39</v>
      </c>
      <c r="F1152" s="3" t="s">
        <v>70</v>
      </c>
      <c r="G1152" s="3" t="s">
        <v>84</v>
      </c>
      <c r="H1152" s="3" t="s">
        <v>77</v>
      </c>
      <c r="I1152" s="3" t="s">
        <v>78</v>
      </c>
      <c r="J1152" s="3" t="n">
        <v>48</v>
      </c>
      <c r="K1152" s="3" t="n">
        <v>3233.94</v>
      </c>
      <c r="L1152" s="3" t="n">
        <v>155229.12</v>
      </c>
      <c r="M1152" s="3" t="n">
        <v>0.0436</v>
      </c>
      <c r="N1152" s="3" t="n">
        <v>6767.99</v>
      </c>
      <c r="O1152" s="3" t="n">
        <v>148461.13</v>
      </c>
      <c r="P1152" s="3" t="n">
        <v>105555.8</v>
      </c>
      <c r="Q1152" s="3" t="n">
        <v>42905.33</v>
      </c>
      <c r="R1152" s="3" t="n">
        <v>0.289</v>
      </c>
      <c r="S1152" s="3" t="n">
        <v>0.043</v>
      </c>
      <c r="T1152" s="3" t="n">
        <v>0.0006</v>
      </c>
    </row>
    <row r="1153" customFormat="false" ht="15" hidden="false" customHeight="true" outlineLevel="0" collapsed="false">
      <c r="A1153" s="3" t="s">
        <v>1937</v>
      </c>
      <c r="B1153" s="3" t="s">
        <v>1938</v>
      </c>
      <c r="C1153" s="3" t="s">
        <v>93</v>
      </c>
      <c r="D1153" s="3" t="s">
        <v>38</v>
      </c>
      <c r="E1153" s="3" t="s">
        <v>39</v>
      </c>
      <c r="F1153" s="3" t="s">
        <v>40</v>
      </c>
      <c r="G1153" s="3" t="s">
        <v>34</v>
      </c>
      <c r="H1153" s="3" t="s">
        <v>77</v>
      </c>
      <c r="I1153" s="3" t="s">
        <v>78</v>
      </c>
      <c r="J1153" s="3" t="n">
        <v>24</v>
      </c>
      <c r="K1153" s="3" t="n">
        <v>3922.28</v>
      </c>
      <c r="L1153" s="3" t="n">
        <v>94134.72</v>
      </c>
      <c r="M1153" s="3" t="n">
        <v>0.1277</v>
      </c>
      <c r="N1153" s="3" t="n">
        <v>12021</v>
      </c>
      <c r="O1153" s="3" t="n">
        <v>82113.72</v>
      </c>
      <c r="P1153" s="3" t="n">
        <v>64011.61</v>
      </c>
      <c r="Q1153" s="3" t="n">
        <v>18102.11</v>
      </c>
      <c r="R1153" s="3" t="n">
        <v>0.2205</v>
      </c>
      <c r="S1153" s="3" t="n">
        <v>0.1085</v>
      </c>
      <c r="T1153" s="3" t="n">
        <v>0.0192</v>
      </c>
    </row>
    <row r="1154" customFormat="false" ht="15" hidden="false" customHeight="true" outlineLevel="0" collapsed="false">
      <c r="A1154" s="3" t="s">
        <v>1939</v>
      </c>
      <c r="B1154" s="3" t="s">
        <v>1444</v>
      </c>
      <c r="C1154" s="3" t="s">
        <v>68</v>
      </c>
      <c r="D1154" s="3" t="s">
        <v>32</v>
      </c>
      <c r="E1154" s="3" t="s">
        <v>33</v>
      </c>
      <c r="F1154" s="3" t="s">
        <v>25</v>
      </c>
      <c r="G1154" s="3" t="s">
        <v>55</v>
      </c>
      <c r="H1154" s="3" t="s">
        <v>56</v>
      </c>
      <c r="I1154" s="3" t="s">
        <v>57</v>
      </c>
      <c r="J1154" s="3" t="n">
        <v>39</v>
      </c>
      <c r="K1154" s="3" t="n">
        <v>8556.93</v>
      </c>
      <c r="L1154" s="3" t="n">
        <v>333720.27</v>
      </c>
      <c r="M1154" s="3" t="n">
        <v>0.1629</v>
      </c>
      <c r="N1154" s="3" t="n">
        <v>54363.03</v>
      </c>
      <c r="O1154" s="3" t="n">
        <v>279357.24</v>
      </c>
      <c r="P1154" s="3" t="n">
        <v>200232.16</v>
      </c>
      <c r="Q1154" s="3" t="n">
        <v>79125.08</v>
      </c>
      <c r="R1154" s="3" t="n">
        <v>0.2832</v>
      </c>
      <c r="S1154" s="3" t="n">
        <v>0.1476</v>
      </c>
      <c r="T1154" s="3" t="n">
        <v>0.0153</v>
      </c>
    </row>
    <row r="1155" customFormat="false" ht="15" hidden="false" customHeight="true" outlineLevel="0" collapsed="false">
      <c r="A1155" s="3" t="s">
        <v>1940</v>
      </c>
      <c r="B1155" s="3" t="s">
        <v>1941</v>
      </c>
      <c r="C1155" s="3" t="s">
        <v>46</v>
      </c>
      <c r="D1155" s="3" t="s">
        <v>32</v>
      </c>
      <c r="E1155" s="3" t="s">
        <v>33</v>
      </c>
      <c r="F1155" s="3" t="s">
        <v>25</v>
      </c>
      <c r="G1155" s="3" t="s">
        <v>49</v>
      </c>
      <c r="H1155" s="3" t="s">
        <v>27</v>
      </c>
      <c r="I1155" s="3" t="s">
        <v>117</v>
      </c>
      <c r="J1155" s="3" t="n">
        <v>12</v>
      </c>
      <c r="K1155" s="3" t="n">
        <v>21740.38</v>
      </c>
      <c r="L1155" s="3" t="n">
        <v>260884.56</v>
      </c>
      <c r="M1155" s="3" t="n">
        <v>0.0937</v>
      </c>
      <c r="N1155" s="3" t="n">
        <v>24444.88</v>
      </c>
      <c r="O1155" s="3" t="n">
        <v>236439.68</v>
      </c>
      <c r="P1155" s="3" t="n">
        <v>161748.43</v>
      </c>
      <c r="Q1155" s="3" t="n">
        <v>74691.25</v>
      </c>
      <c r="R1155" s="3" t="n">
        <v>0.3159</v>
      </c>
      <c r="S1155" s="3" t="n">
        <v>0.0854</v>
      </c>
      <c r="T1155" s="3" t="n">
        <v>0.0083</v>
      </c>
    </row>
    <row r="1156" customFormat="false" ht="15" hidden="false" customHeight="true" outlineLevel="0" collapsed="false">
      <c r="A1156" s="3" t="s">
        <v>1942</v>
      </c>
      <c r="B1156" s="3" t="s">
        <v>1174</v>
      </c>
      <c r="C1156" s="3" t="s">
        <v>93</v>
      </c>
      <c r="D1156" s="3" t="s">
        <v>103</v>
      </c>
      <c r="E1156" s="3" t="s">
        <v>24</v>
      </c>
      <c r="F1156" s="3" t="s">
        <v>62</v>
      </c>
      <c r="G1156" s="3" t="s">
        <v>49</v>
      </c>
      <c r="H1156" s="3" t="s">
        <v>27</v>
      </c>
      <c r="I1156" s="3" t="s">
        <v>28</v>
      </c>
      <c r="J1156" s="3" t="n">
        <v>46</v>
      </c>
      <c r="K1156" s="3" t="n">
        <v>30025.36</v>
      </c>
      <c r="L1156" s="3" t="n">
        <v>1381166.56</v>
      </c>
      <c r="M1156" s="3" t="n">
        <v>0.0464</v>
      </c>
      <c r="N1156" s="3" t="n">
        <v>64086.13</v>
      </c>
      <c r="O1156" s="3" t="n">
        <v>1317080.43</v>
      </c>
      <c r="P1156" s="3" t="n">
        <v>856323.27</v>
      </c>
      <c r="Q1156" s="3" t="n">
        <v>460757.16</v>
      </c>
      <c r="R1156" s="3" t="n">
        <v>0.3498</v>
      </c>
      <c r="S1156" s="3" t="n">
        <v>0.0451</v>
      </c>
      <c r="T1156" s="3" t="n">
        <v>0.0013</v>
      </c>
    </row>
    <row r="1157" customFormat="false" ht="15" hidden="false" customHeight="true" outlineLevel="0" collapsed="false">
      <c r="A1157" s="3" t="s">
        <v>1943</v>
      </c>
      <c r="B1157" s="3" t="s">
        <v>1944</v>
      </c>
      <c r="C1157" s="3" t="s">
        <v>120</v>
      </c>
      <c r="D1157" s="3" t="s">
        <v>103</v>
      </c>
      <c r="E1157" s="3" t="s">
        <v>24</v>
      </c>
      <c r="F1157" s="3" t="s">
        <v>62</v>
      </c>
      <c r="G1157" s="3" t="s">
        <v>63</v>
      </c>
      <c r="H1157" s="3" t="s">
        <v>64</v>
      </c>
      <c r="I1157" s="3" t="s">
        <v>65</v>
      </c>
      <c r="J1157" s="3" t="n">
        <v>14</v>
      </c>
      <c r="K1157" s="3" t="n">
        <v>5552.53</v>
      </c>
      <c r="L1157" s="3" t="n">
        <v>77735.42</v>
      </c>
      <c r="M1157" s="3" t="n">
        <v>0.0564</v>
      </c>
      <c r="N1157" s="3" t="n">
        <v>4384.28</v>
      </c>
      <c r="O1157" s="3" t="n">
        <v>73351.14</v>
      </c>
      <c r="P1157" s="3" t="n">
        <v>45086.54</v>
      </c>
      <c r="Q1157" s="3" t="n">
        <v>28264.6</v>
      </c>
      <c r="R1157" s="3" t="n">
        <v>0.3853</v>
      </c>
      <c r="S1157" s="3" t="n">
        <v>0.0546</v>
      </c>
      <c r="T1157" s="3" t="n">
        <v>0.0018</v>
      </c>
    </row>
    <row r="1158" customFormat="false" ht="15" hidden="false" customHeight="true" outlineLevel="0" collapsed="false">
      <c r="A1158" s="3" t="s">
        <v>1945</v>
      </c>
      <c r="B1158" s="3" t="s">
        <v>1918</v>
      </c>
      <c r="C1158" s="3" t="s">
        <v>37</v>
      </c>
      <c r="D1158" s="3" t="s">
        <v>97</v>
      </c>
      <c r="E1158" s="3" t="s">
        <v>48</v>
      </c>
      <c r="F1158" s="3" t="s">
        <v>40</v>
      </c>
      <c r="G1158" s="3" t="s">
        <v>116</v>
      </c>
      <c r="H1158" s="3" t="s">
        <v>56</v>
      </c>
      <c r="I1158" s="3" t="s">
        <v>121</v>
      </c>
      <c r="J1158" s="3" t="n">
        <v>42</v>
      </c>
      <c r="K1158" s="3" t="n">
        <v>11183.17</v>
      </c>
      <c r="L1158" s="3" t="n">
        <v>469693.14</v>
      </c>
      <c r="M1158" s="3" t="n">
        <v>0.1013</v>
      </c>
      <c r="N1158" s="3" t="n">
        <v>47579.92</v>
      </c>
      <c r="O1158" s="3" t="n">
        <v>422113.22</v>
      </c>
      <c r="P1158" s="3" t="n">
        <v>281815.88</v>
      </c>
      <c r="Q1158" s="3" t="n">
        <v>140297.34</v>
      </c>
      <c r="R1158" s="3" t="n">
        <v>0.3324</v>
      </c>
      <c r="S1158" s="3" t="n">
        <v>0.1058</v>
      </c>
      <c r="T1158" s="3" t="n">
        <v>-0.0045</v>
      </c>
    </row>
    <row r="1159" customFormat="false" ht="15" hidden="false" customHeight="true" outlineLevel="0" collapsed="false">
      <c r="A1159" s="3" t="s">
        <v>1946</v>
      </c>
      <c r="B1159" s="3" t="s">
        <v>426</v>
      </c>
      <c r="C1159" s="3" t="s">
        <v>120</v>
      </c>
      <c r="D1159" s="3" t="s">
        <v>69</v>
      </c>
      <c r="E1159" s="3" t="s">
        <v>39</v>
      </c>
      <c r="F1159" s="3" t="s">
        <v>70</v>
      </c>
      <c r="G1159" s="3" t="s">
        <v>84</v>
      </c>
      <c r="H1159" s="3" t="s">
        <v>64</v>
      </c>
      <c r="I1159" s="3" t="s">
        <v>65</v>
      </c>
      <c r="J1159" s="3" t="n">
        <v>18</v>
      </c>
      <c r="K1159" s="3" t="n">
        <v>7487.86</v>
      </c>
      <c r="L1159" s="3" t="n">
        <v>134781.48</v>
      </c>
      <c r="M1159" s="3" t="n">
        <v>0.0511</v>
      </c>
      <c r="N1159" s="3" t="n">
        <v>6887.33</v>
      </c>
      <c r="O1159" s="3" t="n">
        <v>127894.15</v>
      </c>
      <c r="P1159" s="3" t="n">
        <v>78173.26</v>
      </c>
      <c r="Q1159" s="3" t="n">
        <v>49720.89</v>
      </c>
      <c r="R1159" s="3" t="n">
        <v>0.3888</v>
      </c>
      <c r="S1159" s="3" t="n">
        <v>0.0478</v>
      </c>
      <c r="T1159" s="3" t="n">
        <v>0.0033</v>
      </c>
    </row>
    <row r="1160" customFormat="false" ht="15" hidden="false" customHeight="true" outlineLevel="0" collapsed="false">
      <c r="A1160" s="3" t="s">
        <v>1947</v>
      </c>
      <c r="B1160" s="3" t="s">
        <v>820</v>
      </c>
      <c r="C1160" s="3" t="s">
        <v>156</v>
      </c>
      <c r="D1160" s="3" t="s">
        <v>38</v>
      </c>
      <c r="E1160" s="3" t="s">
        <v>39</v>
      </c>
      <c r="F1160" s="3" t="s">
        <v>40</v>
      </c>
      <c r="G1160" s="3" t="s">
        <v>63</v>
      </c>
      <c r="H1160" s="3" t="s">
        <v>42</v>
      </c>
      <c r="I1160" s="3" t="s">
        <v>72</v>
      </c>
      <c r="J1160" s="3" t="n">
        <v>2</v>
      </c>
      <c r="K1160" s="3" t="n">
        <v>1327.48</v>
      </c>
      <c r="L1160" s="3" t="n">
        <v>2654.96</v>
      </c>
      <c r="M1160" s="3" t="n">
        <v>0.0443</v>
      </c>
      <c r="N1160" s="3" t="n">
        <v>117.61</v>
      </c>
      <c r="O1160" s="3" t="n">
        <v>2537.35</v>
      </c>
      <c r="P1160" s="3" t="n">
        <v>1460.23</v>
      </c>
      <c r="Q1160" s="3" t="n">
        <v>1077.12</v>
      </c>
      <c r="R1160" s="3" t="n">
        <v>0.4245</v>
      </c>
      <c r="S1160" s="3" t="n">
        <v>0.0475</v>
      </c>
      <c r="T1160" s="3" t="n">
        <v>-0.0032</v>
      </c>
    </row>
    <row r="1161" customFormat="false" ht="15" hidden="false" customHeight="true" outlineLevel="0" collapsed="false">
      <c r="A1161" s="3" t="s">
        <v>1948</v>
      </c>
      <c r="B1161" s="3" t="s">
        <v>166</v>
      </c>
      <c r="C1161" s="3" t="s">
        <v>22</v>
      </c>
      <c r="D1161" s="3" t="s">
        <v>54</v>
      </c>
      <c r="E1161" s="3" t="s">
        <v>24</v>
      </c>
      <c r="F1161" s="3" t="s">
        <v>40</v>
      </c>
      <c r="G1161" s="3" t="s">
        <v>104</v>
      </c>
      <c r="H1161" s="3" t="s">
        <v>64</v>
      </c>
      <c r="I1161" s="3" t="s">
        <v>90</v>
      </c>
      <c r="J1161" s="3" t="n">
        <v>34</v>
      </c>
      <c r="K1161" s="3" t="n">
        <v>11062.47</v>
      </c>
      <c r="L1161" s="3" t="n">
        <v>376123.98</v>
      </c>
      <c r="M1161" s="3" t="n">
        <v>0.0777</v>
      </c>
      <c r="N1161" s="3" t="n">
        <v>29224.83</v>
      </c>
      <c r="O1161" s="3" t="n">
        <v>346899.15</v>
      </c>
      <c r="P1161" s="3" t="n">
        <v>218151.91</v>
      </c>
      <c r="Q1161" s="3" t="n">
        <v>128747.24</v>
      </c>
      <c r="R1161" s="3" t="n">
        <v>0.3711</v>
      </c>
      <c r="S1161" s="3" t="n">
        <v>0.0732</v>
      </c>
      <c r="T1161" s="3" t="n">
        <v>0.0045</v>
      </c>
    </row>
    <row r="1162" customFormat="false" ht="15" hidden="false" customHeight="true" outlineLevel="0" collapsed="false">
      <c r="A1162" s="3" t="s">
        <v>1949</v>
      </c>
      <c r="B1162" s="3" t="s">
        <v>445</v>
      </c>
      <c r="C1162" s="3" t="s">
        <v>68</v>
      </c>
      <c r="D1162" s="3" t="s">
        <v>47</v>
      </c>
      <c r="E1162" s="3" t="s">
        <v>48</v>
      </c>
      <c r="F1162" s="3" t="s">
        <v>25</v>
      </c>
      <c r="G1162" s="3" t="s">
        <v>49</v>
      </c>
      <c r="H1162" s="3" t="s">
        <v>42</v>
      </c>
      <c r="I1162" s="3" t="s">
        <v>134</v>
      </c>
      <c r="J1162" s="3" t="n">
        <v>26</v>
      </c>
      <c r="K1162" s="3" t="n">
        <v>3137.92</v>
      </c>
      <c r="L1162" s="3" t="n">
        <v>81585.92</v>
      </c>
      <c r="M1162" s="3" t="n">
        <v>0.136</v>
      </c>
      <c r="N1162" s="3" t="n">
        <v>11095.69</v>
      </c>
      <c r="O1162" s="3" t="n">
        <v>70490.23</v>
      </c>
      <c r="P1162" s="3" t="n">
        <v>44872.26</v>
      </c>
      <c r="Q1162" s="3" t="n">
        <v>25617.97</v>
      </c>
      <c r="R1162" s="3" t="n">
        <v>0.3634</v>
      </c>
      <c r="S1162" s="3" t="n">
        <v>0.1337</v>
      </c>
      <c r="T1162" s="3" t="n">
        <v>0.0023</v>
      </c>
    </row>
    <row r="1163" customFormat="false" ht="15" hidden="false" customHeight="true" outlineLevel="0" collapsed="false">
      <c r="A1163" s="3" t="s">
        <v>1950</v>
      </c>
      <c r="B1163" s="3" t="s">
        <v>406</v>
      </c>
      <c r="C1163" s="3" t="s">
        <v>46</v>
      </c>
      <c r="D1163" s="3" t="s">
        <v>47</v>
      </c>
      <c r="E1163" s="3" t="s">
        <v>48</v>
      </c>
      <c r="F1163" s="3" t="s">
        <v>25</v>
      </c>
      <c r="G1163" s="3" t="s">
        <v>84</v>
      </c>
      <c r="H1163" s="3" t="s">
        <v>42</v>
      </c>
      <c r="I1163" s="3" t="s">
        <v>72</v>
      </c>
      <c r="J1163" s="3" t="n">
        <v>42</v>
      </c>
      <c r="K1163" s="3" t="n">
        <v>2226.68</v>
      </c>
      <c r="L1163" s="3" t="n">
        <v>93520.56</v>
      </c>
      <c r="M1163" s="3" t="n">
        <v>0.1281</v>
      </c>
      <c r="N1163" s="3" t="n">
        <v>11979.98</v>
      </c>
      <c r="O1163" s="3" t="n">
        <v>81540.58</v>
      </c>
      <c r="P1163" s="3" t="n">
        <v>51436.31</v>
      </c>
      <c r="Q1163" s="3" t="n">
        <v>30104.27</v>
      </c>
      <c r="R1163" s="3" t="n">
        <v>0.3692</v>
      </c>
      <c r="S1163" s="3" t="n">
        <v>0.1385</v>
      </c>
      <c r="T1163" s="3" t="n">
        <v>-0.0104</v>
      </c>
    </row>
    <row r="1164" customFormat="false" ht="15" hidden="false" customHeight="true" outlineLevel="0" collapsed="false">
      <c r="A1164" s="3" t="s">
        <v>1951</v>
      </c>
      <c r="B1164" s="3" t="s">
        <v>1952</v>
      </c>
      <c r="C1164" s="3" t="s">
        <v>31</v>
      </c>
      <c r="D1164" s="3" t="s">
        <v>61</v>
      </c>
      <c r="E1164" s="3" t="s">
        <v>33</v>
      </c>
      <c r="F1164" s="3" t="s">
        <v>62</v>
      </c>
      <c r="G1164" s="3" t="s">
        <v>104</v>
      </c>
      <c r="H1164" s="3" t="s">
        <v>27</v>
      </c>
      <c r="I1164" s="3" t="s">
        <v>117</v>
      </c>
      <c r="J1164" s="3" t="n">
        <v>9</v>
      </c>
      <c r="K1164" s="3" t="n">
        <v>34414.61</v>
      </c>
      <c r="L1164" s="3" t="n">
        <v>309731.49</v>
      </c>
      <c r="M1164" s="3" t="n">
        <v>0.0682</v>
      </c>
      <c r="N1164" s="3" t="n">
        <v>21123.69</v>
      </c>
      <c r="O1164" s="3" t="n">
        <v>288607.8</v>
      </c>
      <c r="P1164" s="3" t="n">
        <v>192033.52</v>
      </c>
      <c r="Q1164" s="3" t="n">
        <v>96574.28</v>
      </c>
      <c r="R1164" s="3" t="n">
        <v>0.3346</v>
      </c>
      <c r="S1164" s="3" t="n">
        <v>0.0592</v>
      </c>
      <c r="T1164" s="3" t="n">
        <v>0.009</v>
      </c>
    </row>
    <row r="1165" customFormat="false" ht="15" hidden="false" customHeight="true" outlineLevel="0" collapsed="false">
      <c r="A1165" s="3" t="s">
        <v>1953</v>
      </c>
      <c r="B1165" s="3" t="s">
        <v>1954</v>
      </c>
      <c r="C1165" s="3" t="s">
        <v>53</v>
      </c>
      <c r="D1165" s="3" t="s">
        <v>61</v>
      </c>
      <c r="E1165" s="3" t="s">
        <v>33</v>
      </c>
      <c r="F1165" s="3" t="s">
        <v>62</v>
      </c>
      <c r="G1165" s="3" t="s">
        <v>100</v>
      </c>
      <c r="H1165" s="3" t="s">
        <v>64</v>
      </c>
      <c r="I1165" s="3" t="s">
        <v>145</v>
      </c>
      <c r="J1165" s="3" t="n">
        <v>45</v>
      </c>
      <c r="K1165" s="3" t="n">
        <v>11906.09</v>
      </c>
      <c r="L1165" s="3" t="n">
        <v>535774.05</v>
      </c>
      <c r="M1165" s="3" t="n">
        <v>0.0734</v>
      </c>
      <c r="N1165" s="3" t="n">
        <v>39325.82</v>
      </c>
      <c r="O1165" s="3" t="n">
        <v>496448.23</v>
      </c>
      <c r="P1165" s="3" t="n">
        <v>310748.95</v>
      </c>
      <c r="Q1165" s="3" t="n">
        <v>185699.28</v>
      </c>
      <c r="R1165" s="3" t="n">
        <v>0.3741</v>
      </c>
      <c r="S1165" s="3" t="n">
        <v>0.0782</v>
      </c>
      <c r="T1165" s="3" t="n">
        <v>-0.0048</v>
      </c>
    </row>
    <row r="1166" customFormat="false" ht="15" hidden="false" customHeight="true" outlineLevel="0" collapsed="false">
      <c r="A1166" s="3" t="s">
        <v>1955</v>
      </c>
      <c r="B1166" s="3" t="s">
        <v>997</v>
      </c>
      <c r="C1166" s="3" t="s">
        <v>46</v>
      </c>
      <c r="D1166" s="3" t="s">
        <v>32</v>
      </c>
      <c r="E1166" s="3" t="s">
        <v>33</v>
      </c>
      <c r="F1166" s="3" t="s">
        <v>25</v>
      </c>
      <c r="G1166" s="3" t="s">
        <v>76</v>
      </c>
      <c r="H1166" s="3" t="s">
        <v>27</v>
      </c>
      <c r="I1166" s="3" t="s">
        <v>28</v>
      </c>
      <c r="J1166" s="3" t="n">
        <v>22</v>
      </c>
      <c r="K1166" s="3" t="n">
        <v>10401.35</v>
      </c>
      <c r="L1166" s="3" t="n">
        <v>228829.7</v>
      </c>
      <c r="M1166" s="3" t="n">
        <v>0.1677</v>
      </c>
      <c r="N1166" s="3" t="n">
        <v>38374.74</v>
      </c>
      <c r="O1166" s="3" t="n">
        <v>190454.96</v>
      </c>
      <c r="P1166" s="3" t="n">
        <v>141874.41</v>
      </c>
      <c r="Q1166" s="3" t="n">
        <v>48580.55</v>
      </c>
      <c r="R1166" s="3" t="n">
        <v>0.2551</v>
      </c>
      <c r="S1166" s="3" t="n">
        <v>0.1478</v>
      </c>
      <c r="T1166" s="3" t="n">
        <v>0.0199</v>
      </c>
    </row>
    <row r="1167" customFormat="false" ht="15" hidden="false" customHeight="true" outlineLevel="0" collapsed="false">
      <c r="A1167" s="3" t="s">
        <v>1956</v>
      </c>
      <c r="B1167" s="3" t="s">
        <v>1957</v>
      </c>
      <c r="C1167" s="3" t="s">
        <v>31</v>
      </c>
      <c r="D1167" s="3" t="s">
        <v>75</v>
      </c>
      <c r="E1167" s="3" t="s">
        <v>39</v>
      </c>
      <c r="F1167" s="3" t="s">
        <v>25</v>
      </c>
      <c r="G1167" s="3" t="s">
        <v>116</v>
      </c>
      <c r="H1167" s="3" t="s">
        <v>64</v>
      </c>
      <c r="I1167" s="3" t="s">
        <v>90</v>
      </c>
      <c r="J1167" s="3" t="n">
        <v>10</v>
      </c>
      <c r="K1167" s="3" t="n">
        <v>4136.6</v>
      </c>
      <c r="L1167" s="3" t="n">
        <v>41366</v>
      </c>
      <c r="M1167" s="3" t="n">
        <v>0.2373</v>
      </c>
      <c r="N1167" s="3" t="n">
        <v>9816.15</v>
      </c>
      <c r="O1167" s="3" t="n">
        <v>31549.85</v>
      </c>
      <c r="P1167" s="3" t="n">
        <v>23992.28</v>
      </c>
      <c r="Q1167" s="3" t="n">
        <v>7557.57</v>
      </c>
      <c r="R1167" s="3" t="n">
        <v>0.2395</v>
      </c>
      <c r="S1167" s="3" t="n">
        <v>0.2352</v>
      </c>
      <c r="T1167" s="3" t="n">
        <v>0.0021</v>
      </c>
    </row>
    <row r="1168" customFormat="false" ht="15" hidden="false" customHeight="true" outlineLevel="0" collapsed="false">
      <c r="A1168" s="3" t="s">
        <v>1958</v>
      </c>
      <c r="B1168" s="3" t="s">
        <v>1726</v>
      </c>
      <c r="C1168" s="3" t="s">
        <v>37</v>
      </c>
      <c r="D1168" s="3" t="s">
        <v>23</v>
      </c>
      <c r="E1168" s="3" t="s">
        <v>24</v>
      </c>
      <c r="F1168" s="3" t="s">
        <v>25</v>
      </c>
      <c r="G1168" s="3" t="s">
        <v>100</v>
      </c>
      <c r="H1168" s="3" t="s">
        <v>27</v>
      </c>
      <c r="I1168" s="3" t="s">
        <v>94</v>
      </c>
      <c r="J1168" s="3" t="n">
        <v>31</v>
      </c>
      <c r="K1168" s="3" t="n">
        <v>15696.75</v>
      </c>
      <c r="L1168" s="3" t="n">
        <v>486599.25</v>
      </c>
      <c r="M1168" s="3" t="n">
        <v>0.1812</v>
      </c>
      <c r="N1168" s="3" t="n">
        <v>88171.78</v>
      </c>
      <c r="O1168" s="3" t="n">
        <v>398427.47</v>
      </c>
      <c r="P1168" s="3" t="n">
        <v>301691.53</v>
      </c>
      <c r="Q1168" s="3" t="n">
        <v>96735.94</v>
      </c>
      <c r="R1168" s="3" t="n">
        <v>0.2428</v>
      </c>
      <c r="S1168" s="3" t="n">
        <v>0.1869</v>
      </c>
      <c r="T1168" s="3" t="n">
        <v>-0.0057</v>
      </c>
    </row>
    <row r="1169" customFormat="false" ht="15" hidden="false" customHeight="true" outlineLevel="0" collapsed="false">
      <c r="A1169" s="3" t="s">
        <v>1959</v>
      </c>
      <c r="B1169" s="3" t="s">
        <v>1960</v>
      </c>
      <c r="C1169" s="3" t="s">
        <v>53</v>
      </c>
      <c r="D1169" s="3" t="s">
        <v>83</v>
      </c>
      <c r="E1169" s="3" t="s">
        <v>48</v>
      </c>
      <c r="F1169" s="3" t="s">
        <v>62</v>
      </c>
      <c r="G1169" s="3" t="s">
        <v>76</v>
      </c>
      <c r="H1169" s="3" t="s">
        <v>64</v>
      </c>
      <c r="I1169" s="3" t="s">
        <v>65</v>
      </c>
      <c r="J1169" s="3" t="n">
        <v>46</v>
      </c>
      <c r="K1169" s="3" t="n">
        <v>9895.82</v>
      </c>
      <c r="L1169" s="3" t="n">
        <v>455207.72</v>
      </c>
      <c r="M1169" s="3" t="n">
        <v>0.0341</v>
      </c>
      <c r="N1169" s="3" t="n">
        <v>15522.58</v>
      </c>
      <c r="O1169" s="3" t="n">
        <v>439685.14</v>
      </c>
      <c r="P1169" s="3" t="n">
        <v>264020.48</v>
      </c>
      <c r="Q1169" s="3" t="n">
        <v>175664.66</v>
      </c>
      <c r="R1169" s="3" t="n">
        <v>0.3995</v>
      </c>
      <c r="S1169" s="3" t="n">
        <v>0.0341</v>
      </c>
      <c r="T1169" s="3" t="n">
        <v>0</v>
      </c>
    </row>
    <row r="1170" customFormat="false" ht="15" hidden="false" customHeight="true" outlineLevel="0" collapsed="false">
      <c r="A1170" s="3" t="s">
        <v>1961</v>
      </c>
      <c r="B1170" s="3" t="s">
        <v>1468</v>
      </c>
      <c r="C1170" s="3" t="s">
        <v>93</v>
      </c>
      <c r="D1170" s="3" t="s">
        <v>97</v>
      </c>
      <c r="E1170" s="3" t="s">
        <v>48</v>
      </c>
      <c r="F1170" s="3" t="s">
        <v>40</v>
      </c>
      <c r="G1170" s="3" t="s">
        <v>116</v>
      </c>
      <c r="H1170" s="3" t="s">
        <v>64</v>
      </c>
      <c r="I1170" s="3" t="s">
        <v>65</v>
      </c>
      <c r="J1170" s="3" t="n">
        <v>4</v>
      </c>
      <c r="K1170" s="3" t="n">
        <v>11745.89</v>
      </c>
      <c r="L1170" s="3" t="n">
        <v>46983.56</v>
      </c>
      <c r="M1170" s="3" t="n">
        <v>0.0874</v>
      </c>
      <c r="N1170" s="3" t="n">
        <v>4106.36</v>
      </c>
      <c r="O1170" s="3" t="n">
        <v>42877.2</v>
      </c>
      <c r="P1170" s="3" t="n">
        <v>27250.46</v>
      </c>
      <c r="Q1170" s="3" t="n">
        <v>15626.74</v>
      </c>
      <c r="R1170" s="3" t="n">
        <v>0.3645</v>
      </c>
      <c r="S1170" s="3" t="n">
        <v>0.0914</v>
      </c>
      <c r="T1170" s="3" t="n">
        <v>-0.004</v>
      </c>
    </row>
    <row r="1171" customFormat="false" ht="15" hidden="false" customHeight="true" outlineLevel="0" collapsed="false">
      <c r="A1171" s="3" t="s">
        <v>1962</v>
      </c>
      <c r="B1171" s="3" t="s">
        <v>887</v>
      </c>
      <c r="C1171" s="3" t="s">
        <v>68</v>
      </c>
      <c r="D1171" s="3" t="s">
        <v>69</v>
      </c>
      <c r="E1171" s="3" t="s">
        <v>39</v>
      </c>
      <c r="F1171" s="3" t="s">
        <v>70</v>
      </c>
      <c r="G1171" s="3" t="s">
        <v>49</v>
      </c>
      <c r="H1171" s="3" t="s">
        <v>77</v>
      </c>
      <c r="I1171" s="3" t="s">
        <v>131</v>
      </c>
      <c r="J1171" s="3" t="n">
        <v>38</v>
      </c>
      <c r="K1171" s="3" t="n">
        <v>2201.57</v>
      </c>
      <c r="L1171" s="3" t="n">
        <v>83659.66</v>
      </c>
      <c r="M1171" s="3" t="n">
        <v>0.0681</v>
      </c>
      <c r="N1171" s="3" t="n">
        <v>5697.22</v>
      </c>
      <c r="O1171" s="3" t="n">
        <v>77962.44</v>
      </c>
      <c r="P1171" s="3" t="n">
        <v>56888.57</v>
      </c>
      <c r="Q1171" s="3" t="n">
        <v>21073.87</v>
      </c>
      <c r="R1171" s="3" t="n">
        <v>0.2703</v>
      </c>
      <c r="S1171" s="3" t="n">
        <v>0.072</v>
      </c>
      <c r="T1171" s="3" t="n">
        <v>-0.0039</v>
      </c>
    </row>
    <row r="1172" customFormat="false" ht="15" hidden="false" customHeight="true" outlineLevel="0" collapsed="false">
      <c r="A1172" s="3" t="s">
        <v>1963</v>
      </c>
      <c r="B1172" s="3" t="s">
        <v>1964</v>
      </c>
      <c r="C1172" s="3" t="s">
        <v>46</v>
      </c>
      <c r="D1172" s="3" t="s">
        <v>54</v>
      </c>
      <c r="E1172" s="3" t="s">
        <v>24</v>
      </c>
      <c r="F1172" s="3" t="s">
        <v>40</v>
      </c>
      <c r="G1172" s="3" t="s">
        <v>41</v>
      </c>
      <c r="H1172" s="3" t="s">
        <v>77</v>
      </c>
      <c r="I1172" s="3" t="s">
        <v>85</v>
      </c>
      <c r="J1172" s="3" t="n">
        <v>7</v>
      </c>
      <c r="K1172" s="3" t="n">
        <v>5269.47</v>
      </c>
      <c r="L1172" s="3" t="n">
        <v>36886.29</v>
      </c>
      <c r="M1172" s="3" t="n">
        <v>0.1045</v>
      </c>
      <c r="N1172" s="3" t="n">
        <v>3854.62</v>
      </c>
      <c r="O1172" s="3" t="n">
        <v>33031.67</v>
      </c>
      <c r="P1172" s="3" t="n">
        <v>25082.68</v>
      </c>
      <c r="Q1172" s="3" t="n">
        <v>7948.99</v>
      </c>
      <c r="R1172" s="3" t="n">
        <v>0.2406</v>
      </c>
      <c r="S1172" s="3" t="n">
        <v>0.0956</v>
      </c>
      <c r="T1172" s="3" t="n">
        <v>0.0089</v>
      </c>
    </row>
    <row r="1173" customFormat="false" ht="15" hidden="false" customHeight="true" outlineLevel="0" collapsed="false">
      <c r="A1173" s="3" t="s">
        <v>1965</v>
      </c>
      <c r="B1173" s="3" t="s">
        <v>1966</v>
      </c>
      <c r="C1173" s="3" t="s">
        <v>126</v>
      </c>
      <c r="D1173" s="3" t="s">
        <v>83</v>
      </c>
      <c r="E1173" s="3" t="s">
        <v>48</v>
      </c>
      <c r="F1173" s="3" t="s">
        <v>62</v>
      </c>
      <c r="G1173" s="3" t="s">
        <v>34</v>
      </c>
      <c r="H1173" s="3" t="s">
        <v>56</v>
      </c>
      <c r="I1173" s="3" t="s">
        <v>121</v>
      </c>
      <c r="J1173" s="3" t="n">
        <v>13</v>
      </c>
      <c r="K1173" s="3" t="n">
        <v>14480.34</v>
      </c>
      <c r="L1173" s="3" t="n">
        <v>188244.42</v>
      </c>
      <c r="M1173" s="3" t="n">
        <v>0.0704</v>
      </c>
      <c r="N1173" s="3" t="n">
        <v>13252.41</v>
      </c>
      <c r="O1173" s="3" t="n">
        <v>174992.01</v>
      </c>
      <c r="P1173" s="3" t="n">
        <v>112946.65</v>
      </c>
      <c r="Q1173" s="3" t="n">
        <v>62045.36</v>
      </c>
      <c r="R1173" s="3" t="n">
        <v>0.3546</v>
      </c>
      <c r="S1173" s="3" t="n">
        <v>0.0764</v>
      </c>
      <c r="T1173" s="3" t="n">
        <v>-0.006</v>
      </c>
    </row>
    <row r="1174" customFormat="false" ht="15" hidden="false" customHeight="true" outlineLevel="0" collapsed="false">
      <c r="A1174" s="3" t="s">
        <v>1967</v>
      </c>
      <c r="B1174" s="3" t="s">
        <v>1255</v>
      </c>
      <c r="C1174" s="3" t="s">
        <v>156</v>
      </c>
      <c r="D1174" s="3" t="s">
        <v>38</v>
      </c>
      <c r="E1174" s="3" t="s">
        <v>39</v>
      </c>
      <c r="F1174" s="3" t="s">
        <v>40</v>
      </c>
      <c r="G1174" s="3" t="s">
        <v>84</v>
      </c>
      <c r="H1174" s="3" t="s">
        <v>27</v>
      </c>
      <c r="I1174" s="3" t="s">
        <v>117</v>
      </c>
      <c r="J1174" s="3" t="n">
        <v>48</v>
      </c>
      <c r="K1174" s="3" t="n">
        <v>36038.28</v>
      </c>
      <c r="L1174" s="3" t="n">
        <v>1729837.44</v>
      </c>
      <c r="M1174" s="3" t="n">
        <v>0.0355</v>
      </c>
      <c r="N1174" s="3" t="n">
        <v>61409.23</v>
      </c>
      <c r="O1174" s="3" t="n">
        <v>1668428.21</v>
      </c>
      <c r="P1174" s="3" t="n">
        <v>1072499.21</v>
      </c>
      <c r="Q1174" s="3" t="n">
        <v>595929</v>
      </c>
      <c r="R1174" s="3" t="n">
        <v>0.3572</v>
      </c>
      <c r="S1174" s="3" t="n">
        <v>0.0379</v>
      </c>
      <c r="T1174" s="3" t="n">
        <v>-0.0024</v>
      </c>
    </row>
    <row r="1175" customFormat="false" ht="15" hidden="false" customHeight="true" outlineLevel="0" collapsed="false">
      <c r="A1175" s="3" t="s">
        <v>1968</v>
      </c>
      <c r="B1175" s="3" t="s">
        <v>1969</v>
      </c>
      <c r="C1175" s="3" t="s">
        <v>22</v>
      </c>
      <c r="D1175" s="3" t="s">
        <v>75</v>
      </c>
      <c r="E1175" s="3" t="s">
        <v>39</v>
      </c>
      <c r="F1175" s="3" t="s">
        <v>25</v>
      </c>
      <c r="G1175" s="3" t="s">
        <v>84</v>
      </c>
      <c r="H1175" s="3" t="s">
        <v>42</v>
      </c>
      <c r="I1175" s="3" t="s">
        <v>43</v>
      </c>
      <c r="J1175" s="3" t="n">
        <v>29</v>
      </c>
      <c r="K1175" s="3" t="n">
        <v>2816.6</v>
      </c>
      <c r="L1175" s="3" t="n">
        <v>81681.4</v>
      </c>
      <c r="M1175" s="3" t="n">
        <v>0.0971</v>
      </c>
      <c r="N1175" s="3" t="n">
        <v>7931.26</v>
      </c>
      <c r="O1175" s="3" t="n">
        <v>73750.14</v>
      </c>
      <c r="P1175" s="3" t="n">
        <v>44924.77</v>
      </c>
      <c r="Q1175" s="3" t="n">
        <v>28825.37</v>
      </c>
      <c r="R1175" s="3" t="n">
        <v>0.3909</v>
      </c>
      <c r="S1175" s="3" t="n">
        <v>0.088</v>
      </c>
      <c r="T1175" s="3" t="n">
        <v>0.0091</v>
      </c>
    </row>
    <row r="1176" customFormat="false" ht="15" hidden="false" customHeight="true" outlineLevel="0" collapsed="false">
      <c r="A1176" s="3" t="s">
        <v>1970</v>
      </c>
      <c r="B1176" s="3" t="s">
        <v>1971</v>
      </c>
      <c r="C1176" s="3" t="s">
        <v>126</v>
      </c>
      <c r="D1176" s="3" t="s">
        <v>69</v>
      </c>
      <c r="E1176" s="3" t="s">
        <v>39</v>
      </c>
      <c r="F1176" s="3" t="s">
        <v>70</v>
      </c>
      <c r="G1176" s="3" t="s">
        <v>100</v>
      </c>
      <c r="H1176" s="3" t="s">
        <v>64</v>
      </c>
      <c r="I1176" s="3" t="s">
        <v>90</v>
      </c>
      <c r="J1176" s="3" t="n">
        <v>22</v>
      </c>
      <c r="K1176" s="3" t="n">
        <v>6877.64</v>
      </c>
      <c r="L1176" s="3" t="n">
        <v>151308.08</v>
      </c>
      <c r="M1176" s="3" t="n">
        <v>0.0327</v>
      </c>
      <c r="N1176" s="3" t="n">
        <v>4947.77</v>
      </c>
      <c r="O1176" s="3" t="n">
        <v>146360.31</v>
      </c>
      <c r="P1176" s="3" t="n">
        <v>87758.69</v>
      </c>
      <c r="Q1176" s="3" t="n">
        <v>58601.62</v>
      </c>
      <c r="R1176" s="3" t="n">
        <v>0.4004</v>
      </c>
      <c r="S1176" s="3" t="n">
        <v>0.0297</v>
      </c>
      <c r="T1176" s="3" t="n">
        <v>0.003</v>
      </c>
    </row>
    <row r="1177" customFormat="false" ht="15" hidden="false" customHeight="true" outlineLevel="0" collapsed="false">
      <c r="A1177" s="3" t="s">
        <v>1972</v>
      </c>
      <c r="B1177" s="3" t="s">
        <v>1104</v>
      </c>
      <c r="C1177" s="3" t="s">
        <v>68</v>
      </c>
      <c r="D1177" s="3" t="s">
        <v>32</v>
      </c>
      <c r="E1177" s="3" t="s">
        <v>33</v>
      </c>
      <c r="F1177" s="3" t="s">
        <v>25</v>
      </c>
      <c r="G1177" s="3" t="s">
        <v>63</v>
      </c>
      <c r="H1177" s="3" t="s">
        <v>77</v>
      </c>
      <c r="I1177" s="3" t="s">
        <v>85</v>
      </c>
      <c r="J1177" s="3" t="n">
        <v>13</v>
      </c>
      <c r="K1177" s="3" t="n">
        <v>2130.87</v>
      </c>
      <c r="L1177" s="3" t="n">
        <v>27701.31</v>
      </c>
      <c r="M1177" s="3" t="n">
        <v>0.1377</v>
      </c>
      <c r="N1177" s="3" t="n">
        <v>3814.47</v>
      </c>
      <c r="O1177" s="3" t="n">
        <v>23886.84</v>
      </c>
      <c r="P1177" s="3" t="n">
        <v>18836.89</v>
      </c>
      <c r="Q1177" s="3" t="n">
        <v>5049.95</v>
      </c>
      <c r="R1177" s="3" t="n">
        <v>0.2114</v>
      </c>
      <c r="S1177" s="3" t="n">
        <v>0.1352</v>
      </c>
      <c r="T1177" s="3" t="n">
        <v>0.0025</v>
      </c>
    </row>
    <row r="1178" customFormat="false" ht="15" hidden="false" customHeight="true" outlineLevel="0" collapsed="false">
      <c r="A1178" s="3" t="s">
        <v>1973</v>
      </c>
      <c r="B1178" s="3" t="s">
        <v>1974</v>
      </c>
      <c r="C1178" s="3" t="s">
        <v>113</v>
      </c>
      <c r="D1178" s="3" t="s">
        <v>107</v>
      </c>
      <c r="E1178" s="3" t="s">
        <v>33</v>
      </c>
      <c r="F1178" s="3" t="s">
        <v>70</v>
      </c>
      <c r="G1178" s="3" t="s">
        <v>71</v>
      </c>
      <c r="H1178" s="3" t="s">
        <v>77</v>
      </c>
      <c r="I1178" s="3" t="s">
        <v>131</v>
      </c>
      <c r="J1178" s="3" t="n">
        <v>16</v>
      </c>
      <c r="K1178" s="3" t="n">
        <v>1439.38</v>
      </c>
      <c r="L1178" s="3" t="n">
        <v>23030.08</v>
      </c>
      <c r="M1178" s="3" t="n">
        <v>0.0779</v>
      </c>
      <c r="N1178" s="3" t="n">
        <v>1794.04</v>
      </c>
      <c r="O1178" s="3" t="n">
        <v>21236.04</v>
      </c>
      <c r="P1178" s="3" t="n">
        <v>15660.45</v>
      </c>
      <c r="Q1178" s="3" t="n">
        <v>5575.59</v>
      </c>
      <c r="R1178" s="3" t="n">
        <v>0.2626</v>
      </c>
      <c r="S1178" s="3" t="n">
        <v>0.0651</v>
      </c>
      <c r="T1178" s="3" t="n">
        <v>0.0128</v>
      </c>
    </row>
    <row r="1179" customFormat="false" ht="15" hidden="false" customHeight="true" outlineLevel="0" collapsed="false">
      <c r="A1179" s="3" t="s">
        <v>1975</v>
      </c>
      <c r="B1179" s="3" t="s">
        <v>364</v>
      </c>
      <c r="C1179" s="3" t="s">
        <v>31</v>
      </c>
      <c r="D1179" s="3" t="s">
        <v>32</v>
      </c>
      <c r="E1179" s="3" t="s">
        <v>33</v>
      </c>
      <c r="F1179" s="3" t="s">
        <v>25</v>
      </c>
      <c r="G1179" s="3" t="s">
        <v>34</v>
      </c>
      <c r="H1179" s="3" t="s">
        <v>56</v>
      </c>
      <c r="I1179" s="3" t="s">
        <v>57</v>
      </c>
      <c r="J1179" s="3" t="n">
        <v>7</v>
      </c>
      <c r="K1179" s="3" t="n">
        <v>3053.56</v>
      </c>
      <c r="L1179" s="3" t="n">
        <v>21374.92</v>
      </c>
      <c r="M1179" s="3" t="n">
        <v>0.2024</v>
      </c>
      <c r="N1179" s="3" t="n">
        <v>4326.28</v>
      </c>
      <c r="O1179" s="3" t="n">
        <v>17048.64</v>
      </c>
      <c r="P1179" s="3" t="n">
        <v>12824.95</v>
      </c>
      <c r="Q1179" s="3" t="n">
        <v>4223.69</v>
      </c>
      <c r="R1179" s="3" t="n">
        <v>0.2477</v>
      </c>
      <c r="S1179" s="3" t="n">
        <v>0.1857</v>
      </c>
      <c r="T1179" s="3" t="n">
        <v>0.0167</v>
      </c>
    </row>
    <row r="1180" customFormat="false" ht="15" hidden="false" customHeight="true" outlineLevel="0" collapsed="false">
      <c r="A1180" s="3" t="s">
        <v>1976</v>
      </c>
      <c r="B1180" s="3" t="s">
        <v>500</v>
      </c>
      <c r="C1180" s="3" t="s">
        <v>126</v>
      </c>
      <c r="D1180" s="3" t="s">
        <v>61</v>
      </c>
      <c r="E1180" s="3" t="s">
        <v>33</v>
      </c>
      <c r="F1180" s="3" t="s">
        <v>62</v>
      </c>
      <c r="G1180" s="3" t="s">
        <v>84</v>
      </c>
      <c r="H1180" s="3" t="s">
        <v>64</v>
      </c>
      <c r="I1180" s="3" t="s">
        <v>145</v>
      </c>
      <c r="J1180" s="3" t="n">
        <v>14</v>
      </c>
      <c r="K1180" s="3" t="n">
        <v>4851.35</v>
      </c>
      <c r="L1180" s="3" t="n">
        <v>67918.9</v>
      </c>
      <c r="M1180" s="3" t="n">
        <v>0.0474</v>
      </c>
      <c r="N1180" s="3" t="n">
        <v>3219.36</v>
      </c>
      <c r="O1180" s="3" t="n">
        <v>64699.54</v>
      </c>
      <c r="P1180" s="3" t="n">
        <v>39392.96</v>
      </c>
      <c r="Q1180" s="3" t="n">
        <v>25306.58</v>
      </c>
      <c r="R1180" s="3" t="n">
        <v>0.3911</v>
      </c>
      <c r="S1180" s="3" t="n">
        <v>0.0479</v>
      </c>
      <c r="T1180" s="3" t="n">
        <v>-0.0005</v>
      </c>
    </row>
    <row r="1181" customFormat="false" ht="15" hidden="false" customHeight="true" outlineLevel="0" collapsed="false">
      <c r="A1181" s="3" t="s">
        <v>1977</v>
      </c>
      <c r="B1181" s="3" t="s">
        <v>1978</v>
      </c>
      <c r="C1181" s="3" t="s">
        <v>53</v>
      </c>
      <c r="D1181" s="3" t="s">
        <v>54</v>
      </c>
      <c r="E1181" s="3" t="s">
        <v>24</v>
      </c>
      <c r="F1181" s="3" t="s">
        <v>40</v>
      </c>
      <c r="G1181" s="3" t="s">
        <v>41</v>
      </c>
      <c r="H1181" s="3" t="s">
        <v>27</v>
      </c>
      <c r="I1181" s="3" t="s">
        <v>28</v>
      </c>
      <c r="J1181" s="3" t="n">
        <v>45</v>
      </c>
      <c r="K1181" s="3" t="n">
        <v>24103.68</v>
      </c>
      <c r="L1181" s="3" t="n">
        <v>1084665.6</v>
      </c>
      <c r="M1181" s="3" t="n">
        <v>0.1107</v>
      </c>
      <c r="N1181" s="3" t="n">
        <v>120072.48</v>
      </c>
      <c r="O1181" s="3" t="n">
        <v>964593.12</v>
      </c>
      <c r="P1181" s="3" t="n">
        <v>672492.67</v>
      </c>
      <c r="Q1181" s="3" t="n">
        <v>292100.45</v>
      </c>
      <c r="R1181" s="3" t="n">
        <v>0.3028</v>
      </c>
      <c r="S1181" s="3" t="n">
        <v>0.0942</v>
      </c>
      <c r="T1181" s="3" t="n">
        <v>0.0165</v>
      </c>
    </row>
    <row r="1182" customFormat="false" ht="15" hidden="false" customHeight="true" outlineLevel="0" collapsed="false">
      <c r="A1182" s="3" t="s">
        <v>1979</v>
      </c>
      <c r="B1182" s="3" t="s">
        <v>1980</v>
      </c>
      <c r="C1182" s="3" t="s">
        <v>37</v>
      </c>
      <c r="D1182" s="3" t="s">
        <v>23</v>
      </c>
      <c r="E1182" s="3" t="s">
        <v>24</v>
      </c>
      <c r="F1182" s="3" t="s">
        <v>25</v>
      </c>
      <c r="G1182" s="3" t="s">
        <v>41</v>
      </c>
      <c r="H1182" s="3" t="s">
        <v>27</v>
      </c>
      <c r="I1182" s="3" t="s">
        <v>117</v>
      </c>
      <c r="J1182" s="3" t="n">
        <v>30</v>
      </c>
      <c r="K1182" s="3" t="n">
        <v>18628.97</v>
      </c>
      <c r="L1182" s="3" t="n">
        <v>558869.1</v>
      </c>
      <c r="M1182" s="3" t="n">
        <v>0.1171</v>
      </c>
      <c r="N1182" s="3" t="n">
        <v>65443.57</v>
      </c>
      <c r="O1182" s="3" t="n">
        <v>493425.53</v>
      </c>
      <c r="P1182" s="3" t="n">
        <v>346498.84</v>
      </c>
      <c r="Q1182" s="3" t="n">
        <v>146926.69</v>
      </c>
      <c r="R1182" s="3" t="n">
        <v>0.2978</v>
      </c>
      <c r="S1182" s="3" t="n">
        <v>0.0944</v>
      </c>
      <c r="T1182" s="3" t="n">
        <v>0.0227</v>
      </c>
    </row>
    <row r="1183" customFormat="false" ht="15" hidden="false" customHeight="true" outlineLevel="0" collapsed="false">
      <c r="A1183" s="3" t="s">
        <v>1981</v>
      </c>
      <c r="B1183" s="3" t="s">
        <v>1982</v>
      </c>
      <c r="C1183" s="3" t="s">
        <v>93</v>
      </c>
      <c r="D1183" s="3" t="s">
        <v>54</v>
      </c>
      <c r="E1183" s="3" t="s">
        <v>24</v>
      </c>
      <c r="F1183" s="3" t="s">
        <v>40</v>
      </c>
      <c r="G1183" s="3" t="s">
        <v>71</v>
      </c>
      <c r="H1183" s="3" t="s">
        <v>27</v>
      </c>
      <c r="I1183" s="3" t="s">
        <v>117</v>
      </c>
      <c r="J1183" s="3" t="n">
        <v>1</v>
      </c>
      <c r="K1183" s="3" t="n">
        <v>32328.34</v>
      </c>
      <c r="L1183" s="3" t="n">
        <v>32328.34</v>
      </c>
      <c r="M1183" s="3" t="n">
        <v>0.0597</v>
      </c>
      <c r="N1183" s="3" t="n">
        <v>1930</v>
      </c>
      <c r="O1183" s="3" t="n">
        <v>30398.34</v>
      </c>
      <c r="P1183" s="3" t="n">
        <v>20043.57</v>
      </c>
      <c r="Q1183" s="3" t="n">
        <v>10354.77</v>
      </c>
      <c r="R1183" s="3" t="n">
        <v>0.3406</v>
      </c>
      <c r="S1183" s="3" t="n">
        <v>0.0582</v>
      </c>
      <c r="T1183" s="3" t="n">
        <v>0.0015</v>
      </c>
    </row>
    <row r="1184" customFormat="false" ht="15" hidden="false" customHeight="true" outlineLevel="0" collapsed="false">
      <c r="A1184" s="3" t="s">
        <v>1983</v>
      </c>
      <c r="B1184" s="3" t="s">
        <v>1984</v>
      </c>
      <c r="C1184" s="3" t="s">
        <v>53</v>
      </c>
      <c r="D1184" s="3" t="s">
        <v>83</v>
      </c>
      <c r="E1184" s="3" t="s">
        <v>48</v>
      </c>
      <c r="F1184" s="3" t="s">
        <v>62</v>
      </c>
      <c r="G1184" s="3" t="s">
        <v>116</v>
      </c>
      <c r="H1184" s="3" t="s">
        <v>64</v>
      </c>
      <c r="I1184" s="3" t="s">
        <v>90</v>
      </c>
      <c r="J1184" s="3" t="n">
        <v>2</v>
      </c>
      <c r="K1184" s="3" t="n">
        <v>3406.59</v>
      </c>
      <c r="L1184" s="3" t="n">
        <v>6813.18</v>
      </c>
      <c r="M1184" s="3" t="n">
        <v>0.118</v>
      </c>
      <c r="N1184" s="3" t="n">
        <v>803.96</v>
      </c>
      <c r="O1184" s="3" t="n">
        <v>6009.22</v>
      </c>
      <c r="P1184" s="3" t="n">
        <v>3951.64</v>
      </c>
      <c r="Q1184" s="3" t="n">
        <v>2057.58</v>
      </c>
      <c r="R1184" s="3" t="n">
        <v>0.3424</v>
      </c>
      <c r="S1184" s="3" t="n">
        <v>0.113</v>
      </c>
      <c r="T1184" s="3" t="n">
        <v>0.005</v>
      </c>
    </row>
    <row r="1185" customFormat="false" ht="15" hidden="false" customHeight="true" outlineLevel="0" collapsed="false">
      <c r="A1185" s="3" t="s">
        <v>1985</v>
      </c>
      <c r="B1185" s="3" t="s">
        <v>979</v>
      </c>
      <c r="C1185" s="3" t="s">
        <v>53</v>
      </c>
      <c r="D1185" s="3" t="s">
        <v>75</v>
      </c>
      <c r="E1185" s="3" t="s">
        <v>39</v>
      </c>
      <c r="F1185" s="3" t="s">
        <v>25</v>
      </c>
      <c r="G1185" s="3" t="s">
        <v>116</v>
      </c>
      <c r="H1185" s="3" t="s">
        <v>64</v>
      </c>
      <c r="I1185" s="3" t="s">
        <v>65</v>
      </c>
      <c r="J1185" s="3" t="n">
        <v>48</v>
      </c>
      <c r="K1185" s="3" t="n">
        <v>5741.42</v>
      </c>
      <c r="L1185" s="3" t="n">
        <v>275588.16</v>
      </c>
      <c r="M1185" s="3" t="n">
        <v>0.1601</v>
      </c>
      <c r="N1185" s="3" t="n">
        <v>44121.66</v>
      </c>
      <c r="O1185" s="3" t="n">
        <v>231466.5</v>
      </c>
      <c r="P1185" s="3" t="n">
        <v>159841.13</v>
      </c>
      <c r="Q1185" s="3" t="n">
        <v>71625.37</v>
      </c>
      <c r="R1185" s="3" t="n">
        <v>0.3094</v>
      </c>
      <c r="S1185" s="3" t="n">
        <v>0.1599</v>
      </c>
      <c r="T1185" s="3" t="n">
        <v>0.0002</v>
      </c>
    </row>
    <row r="1186" customFormat="false" ht="15" hidden="false" customHeight="true" outlineLevel="0" collapsed="false">
      <c r="A1186" s="3" t="s">
        <v>1986</v>
      </c>
      <c r="B1186" s="3" t="s">
        <v>1987</v>
      </c>
      <c r="C1186" s="3" t="s">
        <v>93</v>
      </c>
      <c r="D1186" s="3" t="s">
        <v>54</v>
      </c>
      <c r="E1186" s="3" t="s">
        <v>24</v>
      </c>
      <c r="F1186" s="3" t="s">
        <v>40</v>
      </c>
      <c r="G1186" s="3" t="s">
        <v>104</v>
      </c>
      <c r="H1186" s="3" t="s">
        <v>42</v>
      </c>
      <c r="I1186" s="3" t="s">
        <v>134</v>
      </c>
      <c r="J1186" s="3" t="n">
        <v>20</v>
      </c>
      <c r="K1186" s="3" t="n">
        <v>3397.12</v>
      </c>
      <c r="L1186" s="3" t="n">
        <v>67942.4</v>
      </c>
      <c r="M1186" s="3" t="n">
        <v>0.1212</v>
      </c>
      <c r="N1186" s="3" t="n">
        <v>8234.62</v>
      </c>
      <c r="O1186" s="3" t="n">
        <v>59707.78</v>
      </c>
      <c r="P1186" s="3" t="n">
        <v>37368.32</v>
      </c>
      <c r="Q1186" s="3" t="n">
        <v>22339.46</v>
      </c>
      <c r="R1186" s="3" t="n">
        <v>0.3741</v>
      </c>
      <c r="S1186" s="3" t="n">
        <v>0.101</v>
      </c>
      <c r="T1186" s="3" t="n">
        <v>0.0202</v>
      </c>
    </row>
    <row r="1187" customFormat="false" ht="15" hidden="false" customHeight="true" outlineLevel="0" collapsed="false">
      <c r="A1187" s="3" t="s">
        <v>1988</v>
      </c>
      <c r="B1187" s="3" t="s">
        <v>1206</v>
      </c>
      <c r="C1187" s="3" t="s">
        <v>60</v>
      </c>
      <c r="D1187" s="3" t="s">
        <v>23</v>
      </c>
      <c r="E1187" s="3" t="s">
        <v>24</v>
      </c>
      <c r="F1187" s="3" t="s">
        <v>25</v>
      </c>
      <c r="G1187" s="3" t="s">
        <v>71</v>
      </c>
      <c r="H1187" s="3" t="s">
        <v>56</v>
      </c>
      <c r="I1187" s="3" t="s">
        <v>121</v>
      </c>
      <c r="J1187" s="3" t="n">
        <v>27</v>
      </c>
      <c r="K1187" s="3" t="n">
        <v>2331.64</v>
      </c>
      <c r="L1187" s="3" t="n">
        <v>62954.28</v>
      </c>
      <c r="M1187" s="3" t="n">
        <v>0.1656</v>
      </c>
      <c r="N1187" s="3" t="n">
        <v>10425.23</v>
      </c>
      <c r="O1187" s="3" t="n">
        <v>52529.05</v>
      </c>
      <c r="P1187" s="3" t="n">
        <v>37772.57</v>
      </c>
      <c r="Q1187" s="3" t="n">
        <v>14756.48</v>
      </c>
      <c r="R1187" s="3" t="n">
        <v>0.2809</v>
      </c>
      <c r="S1187" s="3" t="n">
        <v>0.1502</v>
      </c>
      <c r="T1187" s="3" t="n">
        <v>0.0154</v>
      </c>
    </row>
    <row r="1188" customFormat="false" ht="15" hidden="false" customHeight="true" outlineLevel="0" collapsed="false">
      <c r="A1188" s="3" t="s">
        <v>1989</v>
      </c>
      <c r="B1188" s="3" t="s">
        <v>753</v>
      </c>
      <c r="C1188" s="3" t="s">
        <v>120</v>
      </c>
      <c r="D1188" s="3" t="s">
        <v>32</v>
      </c>
      <c r="E1188" s="3" t="s">
        <v>33</v>
      </c>
      <c r="F1188" s="3" t="s">
        <v>25</v>
      </c>
      <c r="G1188" s="3" t="s">
        <v>49</v>
      </c>
      <c r="H1188" s="3" t="s">
        <v>64</v>
      </c>
      <c r="I1188" s="3" t="s">
        <v>90</v>
      </c>
      <c r="J1188" s="3" t="n">
        <v>6</v>
      </c>
      <c r="K1188" s="3" t="n">
        <v>4856.77</v>
      </c>
      <c r="L1188" s="3" t="n">
        <v>29140.62</v>
      </c>
      <c r="M1188" s="3" t="n">
        <v>0.1561</v>
      </c>
      <c r="N1188" s="3" t="n">
        <v>4548.85</v>
      </c>
      <c r="O1188" s="3" t="n">
        <v>24591.77</v>
      </c>
      <c r="P1188" s="3" t="n">
        <v>16901.56</v>
      </c>
      <c r="Q1188" s="3" t="n">
        <v>7690.21</v>
      </c>
      <c r="R1188" s="3" t="n">
        <v>0.3127</v>
      </c>
      <c r="S1188" s="3" t="n">
        <v>0.1701</v>
      </c>
      <c r="T1188" s="3" t="n">
        <v>-0.014</v>
      </c>
    </row>
    <row r="1189" customFormat="false" ht="15" hidden="false" customHeight="true" outlineLevel="0" collapsed="false">
      <c r="A1189" s="3" t="s">
        <v>1990</v>
      </c>
      <c r="B1189" s="3" t="s">
        <v>1488</v>
      </c>
      <c r="C1189" s="3" t="s">
        <v>31</v>
      </c>
      <c r="D1189" s="3" t="s">
        <v>23</v>
      </c>
      <c r="E1189" s="3" t="s">
        <v>24</v>
      </c>
      <c r="F1189" s="3" t="s">
        <v>25</v>
      </c>
      <c r="G1189" s="3" t="s">
        <v>100</v>
      </c>
      <c r="H1189" s="3" t="s">
        <v>56</v>
      </c>
      <c r="I1189" s="3" t="s">
        <v>57</v>
      </c>
      <c r="J1189" s="3" t="n">
        <v>44</v>
      </c>
      <c r="K1189" s="3" t="n">
        <v>4799.24</v>
      </c>
      <c r="L1189" s="3" t="n">
        <v>211166.56</v>
      </c>
      <c r="M1189" s="3" t="n">
        <v>0.1139</v>
      </c>
      <c r="N1189" s="3" t="n">
        <v>24051.87</v>
      </c>
      <c r="O1189" s="3" t="n">
        <v>187114.69</v>
      </c>
      <c r="P1189" s="3" t="n">
        <v>126699.94</v>
      </c>
      <c r="Q1189" s="3" t="n">
        <v>60414.75</v>
      </c>
      <c r="R1189" s="3" t="n">
        <v>0.3229</v>
      </c>
      <c r="S1189" s="3" t="n">
        <v>0.1235</v>
      </c>
      <c r="T1189" s="3" t="n">
        <v>-0.0096</v>
      </c>
    </row>
    <row r="1190" customFormat="false" ht="15" hidden="false" customHeight="true" outlineLevel="0" collapsed="false">
      <c r="A1190" s="3" t="s">
        <v>1991</v>
      </c>
      <c r="B1190" s="3" t="s">
        <v>1992</v>
      </c>
      <c r="C1190" s="3" t="s">
        <v>31</v>
      </c>
      <c r="D1190" s="3" t="s">
        <v>54</v>
      </c>
      <c r="E1190" s="3" t="s">
        <v>24</v>
      </c>
      <c r="F1190" s="3" t="s">
        <v>40</v>
      </c>
      <c r="G1190" s="3" t="s">
        <v>104</v>
      </c>
      <c r="H1190" s="3" t="s">
        <v>42</v>
      </c>
      <c r="I1190" s="3" t="s">
        <v>43</v>
      </c>
      <c r="J1190" s="3" t="n">
        <v>45</v>
      </c>
      <c r="K1190" s="3" t="n">
        <v>2528.31</v>
      </c>
      <c r="L1190" s="3" t="n">
        <v>113773.95</v>
      </c>
      <c r="M1190" s="3" t="n">
        <v>0.0917</v>
      </c>
      <c r="N1190" s="3" t="n">
        <v>10433.07</v>
      </c>
      <c r="O1190" s="3" t="n">
        <v>103340.88</v>
      </c>
      <c r="P1190" s="3" t="n">
        <v>62575.67</v>
      </c>
      <c r="Q1190" s="3" t="n">
        <v>40765.21</v>
      </c>
      <c r="R1190" s="3" t="n">
        <v>0.3945</v>
      </c>
      <c r="S1190" s="3" t="n">
        <v>0.0952</v>
      </c>
      <c r="T1190" s="3" t="n">
        <v>-0.0035</v>
      </c>
    </row>
    <row r="1191" customFormat="false" ht="15" hidden="false" customHeight="true" outlineLevel="0" collapsed="false">
      <c r="A1191" s="3" t="s">
        <v>1993</v>
      </c>
      <c r="B1191" s="3" t="s">
        <v>388</v>
      </c>
      <c r="C1191" s="3" t="s">
        <v>60</v>
      </c>
      <c r="D1191" s="3" t="s">
        <v>38</v>
      </c>
      <c r="E1191" s="3" t="s">
        <v>39</v>
      </c>
      <c r="F1191" s="3" t="s">
        <v>40</v>
      </c>
      <c r="G1191" s="3" t="s">
        <v>116</v>
      </c>
      <c r="H1191" s="3" t="s">
        <v>42</v>
      </c>
      <c r="I1191" s="3" t="s">
        <v>134</v>
      </c>
      <c r="J1191" s="3" t="n">
        <v>32</v>
      </c>
      <c r="K1191" s="3" t="n">
        <v>3893.14</v>
      </c>
      <c r="L1191" s="3" t="n">
        <v>124580.48</v>
      </c>
      <c r="M1191" s="3" t="n">
        <v>0.1022</v>
      </c>
      <c r="N1191" s="3" t="n">
        <v>12732.13</v>
      </c>
      <c r="O1191" s="3" t="n">
        <v>111848.35</v>
      </c>
      <c r="P1191" s="3" t="n">
        <v>68519.26</v>
      </c>
      <c r="Q1191" s="3" t="n">
        <v>43329.09</v>
      </c>
      <c r="R1191" s="3" t="n">
        <v>0.3874</v>
      </c>
      <c r="S1191" s="3" t="n">
        <v>0.0978</v>
      </c>
      <c r="T1191" s="3" t="n">
        <v>0.0044</v>
      </c>
    </row>
    <row r="1192" customFormat="false" ht="15" hidden="false" customHeight="true" outlineLevel="0" collapsed="false">
      <c r="A1192" s="3" t="s">
        <v>1994</v>
      </c>
      <c r="B1192" s="3" t="s">
        <v>1212</v>
      </c>
      <c r="C1192" s="3" t="s">
        <v>126</v>
      </c>
      <c r="D1192" s="3" t="s">
        <v>54</v>
      </c>
      <c r="E1192" s="3" t="s">
        <v>24</v>
      </c>
      <c r="F1192" s="3" t="s">
        <v>40</v>
      </c>
      <c r="G1192" s="3" t="s">
        <v>71</v>
      </c>
      <c r="H1192" s="3" t="s">
        <v>56</v>
      </c>
      <c r="I1192" s="3" t="s">
        <v>121</v>
      </c>
      <c r="J1192" s="3" t="n">
        <v>32</v>
      </c>
      <c r="K1192" s="3" t="n">
        <v>4601.71</v>
      </c>
      <c r="L1192" s="3" t="n">
        <v>147254.72</v>
      </c>
      <c r="M1192" s="3" t="n">
        <v>0.0444</v>
      </c>
      <c r="N1192" s="3" t="n">
        <v>6538.11</v>
      </c>
      <c r="O1192" s="3" t="n">
        <v>140716.61</v>
      </c>
      <c r="P1192" s="3" t="n">
        <v>88352.83</v>
      </c>
      <c r="Q1192" s="3" t="n">
        <v>52363.78</v>
      </c>
      <c r="R1192" s="3" t="n">
        <v>0.3721</v>
      </c>
      <c r="S1192" s="3" t="n">
        <v>0.0357</v>
      </c>
      <c r="T1192" s="3" t="n">
        <v>0.0087</v>
      </c>
    </row>
    <row r="1193" customFormat="false" ht="15" hidden="false" customHeight="true" outlineLevel="0" collapsed="false">
      <c r="A1193" s="3" t="s">
        <v>1995</v>
      </c>
      <c r="B1193" s="3" t="s">
        <v>1996</v>
      </c>
      <c r="C1193" s="3" t="s">
        <v>156</v>
      </c>
      <c r="D1193" s="3" t="s">
        <v>32</v>
      </c>
      <c r="E1193" s="3" t="s">
        <v>33</v>
      </c>
      <c r="F1193" s="3" t="s">
        <v>25</v>
      </c>
      <c r="G1193" s="3" t="s">
        <v>55</v>
      </c>
      <c r="H1193" s="3" t="s">
        <v>64</v>
      </c>
      <c r="I1193" s="3" t="s">
        <v>145</v>
      </c>
      <c r="J1193" s="3" t="n">
        <v>32</v>
      </c>
      <c r="K1193" s="3" t="n">
        <v>4110.92</v>
      </c>
      <c r="L1193" s="3" t="n">
        <v>131549.44</v>
      </c>
      <c r="M1193" s="3" t="n">
        <v>0.1197</v>
      </c>
      <c r="N1193" s="3" t="n">
        <v>15746.47</v>
      </c>
      <c r="O1193" s="3" t="n">
        <v>115802.97</v>
      </c>
      <c r="P1193" s="3" t="n">
        <v>76298.68</v>
      </c>
      <c r="Q1193" s="3" t="n">
        <v>39504.29</v>
      </c>
      <c r="R1193" s="3" t="n">
        <v>0.3411</v>
      </c>
      <c r="S1193" s="3" t="n">
        <v>0.0976</v>
      </c>
      <c r="T1193" s="3" t="n">
        <v>0.0221</v>
      </c>
    </row>
    <row r="1194" customFormat="false" ht="15" hidden="false" customHeight="true" outlineLevel="0" collapsed="false">
      <c r="A1194" s="3" t="s">
        <v>1997</v>
      </c>
      <c r="B1194" s="3" t="s">
        <v>235</v>
      </c>
      <c r="C1194" s="3" t="s">
        <v>126</v>
      </c>
      <c r="D1194" s="3" t="s">
        <v>75</v>
      </c>
      <c r="E1194" s="3" t="s">
        <v>39</v>
      </c>
      <c r="F1194" s="3" t="s">
        <v>25</v>
      </c>
      <c r="G1194" s="3" t="s">
        <v>100</v>
      </c>
      <c r="H1194" s="3" t="s">
        <v>42</v>
      </c>
      <c r="I1194" s="3" t="s">
        <v>134</v>
      </c>
      <c r="J1194" s="3" t="n">
        <v>50</v>
      </c>
      <c r="K1194" s="3" t="n">
        <v>2828.64</v>
      </c>
      <c r="L1194" s="3" t="n">
        <v>141432</v>
      </c>
      <c r="M1194" s="3" t="n">
        <v>0.1743</v>
      </c>
      <c r="N1194" s="3" t="n">
        <v>24651.6</v>
      </c>
      <c r="O1194" s="3" t="n">
        <v>116780.4</v>
      </c>
      <c r="P1194" s="3" t="n">
        <v>77787.6</v>
      </c>
      <c r="Q1194" s="3" t="n">
        <v>38992.8</v>
      </c>
      <c r="R1194" s="3" t="n">
        <v>0.3339</v>
      </c>
      <c r="S1194" s="3" t="n">
        <v>0.1469</v>
      </c>
      <c r="T1194" s="3" t="n">
        <v>0.0274</v>
      </c>
    </row>
    <row r="1195" customFormat="false" ht="15" hidden="false" customHeight="true" outlineLevel="0" collapsed="false">
      <c r="A1195" s="3" t="s">
        <v>1998</v>
      </c>
      <c r="B1195" s="3" t="s">
        <v>424</v>
      </c>
      <c r="C1195" s="3" t="s">
        <v>93</v>
      </c>
      <c r="D1195" s="3" t="s">
        <v>97</v>
      </c>
      <c r="E1195" s="3" t="s">
        <v>48</v>
      </c>
      <c r="F1195" s="3" t="s">
        <v>40</v>
      </c>
      <c r="G1195" s="3" t="s">
        <v>55</v>
      </c>
      <c r="H1195" s="3" t="s">
        <v>64</v>
      </c>
      <c r="I1195" s="3" t="s">
        <v>90</v>
      </c>
      <c r="J1195" s="3" t="n">
        <v>19</v>
      </c>
      <c r="K1195" s="3" t="n">
        <v>11264.34</v>
      </c>
      <c r="L1195" s="3" t="n">
        <v>214022.46</v>
      </c>
      <c r="M1195" s="3" t="n">
        <v>0.0409</v>
      </c>
      <c r="N1195" s="3" t="n">
        <v>8753.52</v>
      </c>
      <c r="O1195" s="3" t="n">
        <v>205268.94</v>
      </c>
      <c r="P1195" s="3" t="n">
        <v>124133.03</v>
      </c>
      <c r="Q1195" s="3" t="n">
        <v>81135.91</v>
      </c>
      <c r="R1195" s="3" t="n">
        <v>0.3953</v>
      </c>
      <c r="S1195" s="3" t="n">
        <v>0.0442</v>
      </c>
      <c r="T1195" s="3" t="n">
        <v>-0.0033</v>
      </c>
    </row>
    <row r="1196" customFormat="false" ht="15" hidden="false" customHeight="true" outlineLevel="0" collapsed="false">
      <c r="A1196" s="3" t="s">
        <v>1999</v>
      </c>
      <c r="B1196" s="3" t="s">
        <v>300</v>
      </c>
      <c r="C1196" s="3" t="s">
        <v>126</v>
      </c>
      <c r="D1196" s="3" t="s">
        <v>69</v>
      </c>
      <c r="E1196" s="3" t="s">
        <v>39</v>
      </c>
      <c r="F1196" s="3" t="s">
        <v>70</v>
      </c>
      <c r="G1196" s="3" t="s">
        <v>63</v>
      </c>
      <c r="H1196" s="3" t="s">
        <v>77</v>
      </c>
      <c r="I1196" s="3" t="s">
        <v>78</v>
      </c>
      <c r="J1196" s="3" t="n">
        <v>7</v>
      </c>
      <c r="K1196" s="3" t="n">
        <v>5841.15</v>
      </c>
      <c r="L1196" s="3" t="n">
        <v>40888.05</v>
      </c>
      <c r="M1196" s="3" t="n">
        <v>0.0747</v>
      </c>
      <c r="N1196" s="3" t="n">
        <v>3054.34</v>
      </c>
      <c r="O1196" s="3" t="n">
        <v>37833.71</v>
      </c>
      <c r="P1196" s="3" t="n">
        <v>27803.87</v>
      </c>
      <c r="Q1196" s="3" t="n">
        <v>10029.84</v>
      </c>
      <c r="R1196" s="3" t="n">
        <v>0.2651</v>
      </c>
      <c r="S1196" s="3" t="n">
        <v>0.0731</v>
      </c>
      <c r="T1196" s="3" t="n">
        <v>0.0016</v>
      </c>
    </row>
    <row r="1197" customFormat="false" ht="15" hidden="false" customHeight="true" outlineLevel="0" collapsed="false">
      <c r="A1197" s="3" t="s">
        <v>2000</v>
      </c>
      <c r="B1197" s="3" t="s">
        <v>1038</v>
      </c>
      <c r="C1197" s="3" t="s">
        <v>53</v>
      </c>
      <c r="D1197" s="3" t="s">
        <v>75</v>
      </c>
      <c r="E1197" s="3" t="s">
        <v>39</v>
      </c>
      <c r="F1197" s="3" t="s">
        <v>25</v>
      </c>
      <c r="G1197" s="3" t="s">
        <v>71</v>
      </c>
      <c r="H1197" s="3" t="s">
        <v>56</v>
      </c>
      <c r="I1197" s="3" t="s">
        <v>57</v>
      </c>
      <c r="J1197" s="3" t="n">
        <v>38</v>
      </c>
      <c r="K1197" s="3" t="n">
        <v>16014.92</v>
      </c>
      <c r="L1197" s="3" t="n">
        <v>608566.96</v>
      </c>
      <c r="M1197" s="3" t="n">
        <v>0.1384</v>
      </c>
      <c r="N1197" s="3" t="n">
        <v>84225.67</v>
      </c>
      <c r="O1197" s="3" t="n">
        <v>524341.29</v>
      </c>
      <c r="P1197" s="3" t="n">
        <v>365140.18</v>
      </c>
      <c r="Q1197" s="3" t="n">
        <v>159201.11</v>
      </c>
      <c r="R1197" s="3" t="n">
        <v>0.3036</v>
      </c>
      <c r="S1197" s="3" t="n">
        <v>0.1163</v>
      </c>
      <c r="T1197" s="3" t="n">
        <v>0.0221</v>
      </c>
    </row>
    <row r="1198" customFormat="false" ht="15" hidden="false" customHeight="true" outlineLevel="0" collapsed="false">
      <c r="A1198" s="3" t="s">
        <v>2001</v>
      </c>
      <c r="B1198" s="3" t="s">
        <v>1229</v>
      </c>
      <c r="C1198" s="3" t="s">
        <v>93</v>
      </c>
      <c r="D1198" s="3" t="s">
        <v>107</v>
      </c>
      <c r="E1198" s="3" t="s">
        <v>33</v>
      </c>
      <c r="F1198" s="3" t="s">
        <v>70</v>
      </c>
      <c r="G1198" s="3" t="s">
        <v>76</v>
      </c>
      <c r="H1198" s="3" t="s">
        <v>64</v>
      </c>
      <c r="I1198" s="3" t="s">
        <v>145</v>
      </c>
      <c r="J1198" s="3" t="n">
        <v>37</v>
      </c>
      <c r="K1198" s="3" t="n">
        <v>3770.38</v>
      </c>
      <c r="L1198" s="3" t="n">
        <v>139504.06</v>
      </c>
      <c r="M1198" s="3" t="n">
        <v>0.0764</v>
      </c>
      <c r="N1198" s="3" t="n">
        <v>10658.11</v>
      </c>
      <c r="O1198" s="3" t="n">
        <v>128845.95</v>
      </c>
      <c r="P1198" s="3" t="n">
        <v>80912.35</v>
      </c>
      <c r="Q1198" s="3" t="n">
        <v>47933.6</v>
      </c>
      <c r="R1198" s="3" t="n">
        <v>0.372</v>
      </c>
      <c r="S1198" s="3" t="n">
        <v>0.0736</v>
      </c>
      <c r="T1198" s="3" t="n">
        <v>0.0028</v>
      </c>
    </row>
    <row r="1199" customFormat="false" ht="15" hidden="false" customHeight="true" outlineLevel="0" collapsed="false">
      <c r="A1199" s="3" t="s">
        <v>2002</v>
      </c>
      <c r="B1199" s="3" t="s">
        <v>2003</v>
      </c>
      <c r="C1199" s="3" t="s">
        <v>93</v>
      </c>
      <c r="D1199" s="3" t="s">
        <v>47</v>
      </c>
      <c r="E1199" s="3" t="s">
        <v>48</v>
      </c>
      <c r="F1199" s="3" t="s">
        <v>25</v>
      </c>
      <c r="G1199" s="3" t="s">
        <v>41</v>
      </c>
      <c r="H1199" s="3" t="s">
        <v>77</v>
      </c>
      <c r="I1199" s="3" t="s">
        <v>131</v>
      </c>
      <c r="J1199" s="3" t="n">
        <v>45</v>
      </c>
      <c r="K1199" s="3" t="n">
        <v>3727.54</v>
      </c>
      <c r="L1199" s="3" t="n">
        <v>167739.3</v>
      </c>
      <c r="M1199" s="3" t="n">
        <v>0.209</v>
      </c>
      <c r="N1199" s="3" t="n">
        <v>35057.51</v>
      </c>
      <c r="O1199" s="3" t="n">
        <v>132681.79</v>
      </c>
      <c r="P1199" s="3" t="n">
        <v>114062.72</v>
      </c>
      <c r="Q1199" s="3" t="n">
        <v>18619.07</v>
      </c>
      <c r="R1199" s="3" t="n">
        <v>0.1403</v>
      </c>
      <c r="S1199" s="3" t="n">
        <v>0.1894</v>
      </c>
      <c r="T1199" s="3" t="n">
        <v>0.0196</v>
      </c>
    </row>
    <row r="1200" customFormat="false" ht="15" hidden="false" customHeight="true" outlineLevel="0" collapsed="false">
      <c r="A1200" s="3" t="s">
        <v>2004</v>
      </c>
      <c r="B1200" s="3" t="s">
        <v>602</v>
      </c>
      <c r="C1200" s="3" t="s">
        <v>31</v>
      </c>
      <c r="D1200" s="3" t="s">
        <v>83</v>
      </c>
      <c r="E1200" s="3" t="s">
        <v>48</v>
      </c>
      <c r="F1200" s="3" t="s">
        <v>62</v>
      </c>
      <c r="G1200" s="3" t="s">
        <v>84</v>
      </c>
      <c r="H1200" s="3" t="s">
        <v>77</v>
      </c>
      <c r="I1200" s="3" t="s">
        <v>78</v>
      </c>
      <c r="J1200" s="3" t="n">
        <v>36</v>
      </c>
      <c r="K1200" s="3" t="n">
        <v>1332.83</v>
      </c>
      <c r="L1200" s="3" t="n">
        <v>47981.88</v>
      </c>
      <c r="M1200" s="3" t="n">
        <v>0.0313</v>
      </c>
      <c r="N1200" s="3" t="n">
        <v>1501.83</v>
      </c>
      <c r="O1200" s="3" t="n">
        <v>46480.05</v>
      </c>
      <c r="P1200" s="3" t="n">
        <v>32627.68</v>
      </c>
      <c r="Q1200" s="3" t="n">
        <v>13852.37</v>
      </c>
      <c r="R1200" s="3" t="n">
        <v>0.298</v>
      </c>
      <c r="S1200" s="3" t="n">
        <v>0.0259</v>
      </c>
      <c r="T1200" s="3" t="n">
        <v>0.0054</v>
      </c>
    </row>
    <row r="1201" customFormat="false" ht="15" hidden="false" customHeight="true" outlineLevel="0" collapsed="false">
      <c r="A1201" s="3" t="s">
        <v>2005</v>
      </c>
      <c r="B1201" s="3" t="s">
        <v>2006</v>
      </c>
      <c r="C1201" s="3" t="s">
        <v>126</v>
      </c>
      <c r="D1201" s="3" t="s">
        <v>75</v>
      </c>
      <c r="E1201" s="3" t="s">
        <v>39</v>
      </c>
      <c r="F1201" s="3" t="s">
        <v>25</v>
      </c>
      <c r="G1201" s="3" t="s">
        <v>34</v>
      </c>
      <c r="H1201" s="3" t="s">
        <v>56</v>
      </c>
      <c r="I1201" s="3" t="s">
        <v>57</v>
      </c>
      <c r="J1201" s="3" t="n">
        <v>24</v>
      </c>
      <c r="K1201" s="3" t="n">
        <v>11285.16</v>
      </c>
      <c r="L1201" s="3" t="n">
        <v>270843.84</v>
      </c>
      <c r="M1201" s="3" t="n">
        <v>0.1624</v>
      </c>
      <c r="N1201" s="3" t="n">
        <v>43985.04</v>
      </c>
      <c r="O1201" s="3" t="n">
        <v>226858.8</v>
      </c>
      <c r="P1201" s="3" t="n">
        <v>162506.3</v>
      </c>
      <c r="Q1201" s="3" t="n">
        <v>64352.5</v>
      </c>
      <c r="R1201" s="3" t="n">
        <v>0.2837</v>
      </c>
      <c r="S1201" s="3" t="n">
        <v>0.1326</v>
      </c>
      <c r="T1201" s="3" t="n">
        <v>0.0298</v>
      </c>
    </row>
    <row r="1202" customFormat="false" ht="15" hidden="false" customHeight="true" outlineLevel="0" collapsed="false">
      <c r="A1202" s="3" t="s">
        <v>2007</v>
      </c>
      <c r="B1202" s="3" t="s">
        <v>676</v>
      </c>
      <c r="C1202" s="3" t="s">
        <v>22</v>
      </c>
      <c r="D1202" s="3" t="s">
        <v>47</v>
      </c>
      <c r="E1202" s="3" t="s">
        <v>48</v>
      </c>
      <c r="F1202" s="3" t="s">
        <v>25</v>
      </c>
      <c r="G1202" s="3" t="s">
        <v>71</v>
      </c>
      <c r="H1202" s="3" t="s">
        <v>64</v>
      </c>
      <c r="I1202" s="3" t="s">
        <v>90</v>
      </c>
      <c r="J1202" s="3" t="n">
        <v>49</v>
      </c>
      <c r="K1202" s="3" t="n">
        <v>3053.58</v>
      </c>
      <c r="L1202" s="3" t="n">
        <v>149625.42</v>
      </c>
      <c r="M1202" s="3" t="n">
        <v>0.1506</v>
      </c>
      <c r="N1202" s="3" t="n">
        <v>22533.59</v>
      </c>
      <c r="O1202" s="3" t="n">
        <v>127091.83</v>
      </c>
      <c r="P1202" s="3" t="n">
        <v>86782.74</v>
      </c>
      <c r="Q1202" s="3" t="n">
        <v>40309.09</v>
      </c>
      <c r="R1202" s="3" t="n">
        <v>0.3172</v>
      </c>
      <c r="S1202" s="3" t="n">
        <v>0.1243</v>
      </c>
      <c r="T1202" s="3" t="n">
        <v>0.0263</v>
      </c>
    </row>
    <row r="1203" customFormat="false" ht="15" hidden="false" customHeight="true" outlineLevel="0" collapsed="false">
      <c r="A1203" s="3" t="s">
        <v>2008</v>
      </c>
      <c r="B1203" s="3" t="s">
        <v>811</v>
      </c>
      <c r="C1203" s="3" t="s">
        <v>37</v>
      </c>
      <c r="D1203" s="3" t="s">
        <v>54</v>
      </c>
      <c r="E1203" s="3" t="s">
        <v>24</v>
      </c>
      <c r="F1203" s="3" t="s">
        <v>40</v>
      </c>
      <c r="G1203" s="3" t="s">
        <v>55</v>
      </c>
      <c r="H1203" s="3" t="s">
        <v>27</v>
      </c>
      <c r="I1203" s="3" t="s">
        <v>50</v>
      </c>
      <c r="J1203" s="3" t="n">
        <v>19</v>
      </c>
      <c r="K1203" s="3" t="n">
        <v>11116.77</v>
      </c>
      <c r="L1203" s="3" t="n">
        <v>211218.63</v>
      </c>
      <c r="M1203" s="3" t="n">
        <v>0.0583</v>
      </c>
      <c r="N1203" s="3" t="n">
        <v>12314.05</v>
      </c>
      <c r="O1203" s="3" t="n">
        <v>198904.58</v>
      </c>
      <c r="P1203" s="3" t="n">
        <v>130955.55</v>
      </c>
      <c r="Q1203" s="3" t="n">
        <v>67949.03</v>
      </c>
      <c r="R1203" s="3" t="n">
        <v>0.3416</v>
      </c>
      <c r="S1203" s="3" t="n">
        <v>0.0617</v>
      </c>
      <c r="T1203" s="3" t="n">
        <v>-0.0034</v>
      </c>
    </row>
    <row r="1204" customFormat="false" ht="15" hidden="false" customHeight="true" outlineLevel="0" collapsed="false">
      <c r="A1204" s="3" t="s">
        <v>2009</v>
      </c>
      <c r="B1204" s="3" t="s">
        <v>1166</v>
      </c>
      <c r="C1204" s="3" t="s">
        <v>68</v>
      </c>
      <c r="D1204" s="3" t="s">
        <v>61</v>
      </c>
      <c r="E1204" s="3" t="s">
        <v>33</v>
      </c>
      <c r="F1204" s="3" t="s">
        <v>62</v>
      </c>
      <c r="G1204" s="3" t="s">
        <v>100</v>
      </c>
      <c r="H1204" s="3" t="s">
        <v>56</v>
      </c>
      <c r="I1204" s="3" t="s">
        <v>121</v>
      </c>
      <c r="J1204" s="3" t="n">
        <v>4</v>
      </c>
      <c r="K1204" s="3" t="n">
        <v>13829.81</v>
      </c>
      <c r="L1204" s="3" t="n">
        <v>55319.24</v>
      </c>
      <c r="M1204" s="3" t="n">
        <v>0.0651</v>
      </c>
      <c r="N1204" s="3" t="n">
        <v>3601.28</v>
      </c>
      <c r="O1204" s="3" t="n">
        <v>51717.96</v>
      </c>
      <c r="P1204" s="3" t="n">
        <v>33191.54</v>
      </c>
      <c r="Q1204" s="3" t="n">
        <v>18526.42</v>
      </c>
      <c r="R1204" s="3" t="n">
        <v>0.3582</v>
      </c>
      <c r="S1204" s="3" t="n">
        <v>0.0549</v>
      </c>
      <c r="T1204" s="3" t="n">
        <v>0.0102</v>
      </c>
    </row>
    <row r="1205" customFormat="false" ht="15" hidden="false" customHeight="true" outlineLevel="0" collapsed="false">
      <c r="A1205" s="3" t="s">
        <v>2010</v>
      </c>
      <c r="B1205" s="3" t="s">
        <v>2011</v>
      </c>
      <c r="C1205" s="3" t="s">
        <v>126</v>
      </c>
      <c r="D1205" s="3" t="s">
        <v>97</v>
      </c>
      <c r="E1205" s="3" t="s">
        <v>48</v>
      </c>
      <c r="F1205" s="3" t="s">
        <v>40</v>
      </c>
      <c r="G1205" s="3" t="s">
        <v>34</v>
      </c>
      <c r="H1205" s="3" t="s">
        <v>77</v>
      </c>
      <c r="I1205" s="3" t="s">
        <v>131</v>
      </c>
      <c r="J1205" s="3" t="n">
        <v>41</v>
      </c>
      <c r="K1205" s="3" t="n">
        <v>5496.25</v>
      </c>
      <c r="L1205" s="3" t="n">
        <v>225346.25</v>
      </c>
      <c r="M1205" s="3" t="n">
        <v>0.1046</v>
      </c>
      <c r="N1205" s="3" t="n">
        <v>23571.22</v>
      </c>
      <c r="O1205" s="3" t="n">
        <v>201775.03</v>
      </c>
      <c r="P1205" s="3" t="n">
        <v>153235.45</v>
      </c>
      <c r="Q1205" s="3" t="n">
        <v>48539.58</v>
      </c>
      <c r="R1205" s="3" t="n">
        <v>0.2406</v>
      </c>
      <c r="S1205" s="3" t="n">
        <v>0.1063</v>
      </c>
      <c r="T1205" s="3" t="n">
        <v>-0.0017</v>
      </c>
    </row>
    <row r="1206" customFormat="false" ht="15" hidden="false" customHeight="true" outlineLevel="0" collapsed="false">
      <c r="A1206" s="3" t="s">
        <v>2012</v>
      </c>
      <c r="B1206" s="3" t="s">
        <v>1411</v>
      </c>
      <c r="C1206" s="3" t="s">
        <v>120</v>
      </c>
      <c r="D1206" s="3" t="s">
        <v>32</v>
      </c>
      <c r="E1206" s="3" t="s">
        <v>33</v>
      </c>
      <c r="F1206" s="3" t="s">
        <v>25</v>
      </c>
      <c r="G1206" s="3" t="s">
        <v>26</v>
      </c>
      <c r="H1206" s="3" t="s">
        <v>77</v>
      </c>
      <c r="I1206" s="3" t="s">
        <v>85</v>
      </c>
      <c r="J1206" s="3" t="n">
        <v>5</v>
      </c>
      <c r="K1206" s="3" t="n">
        <v>2163.36</v>
      </c>
      <c r="L1206" s="3" t="n">
        <v>10816.8</v>
      </c>
      <c r="M1206" s="3" t="n">
        <v>0.1183</v>
      </c>
      <c r="N1206" s="3" t="n">
        <v>1279.63</v>
      </c>
      <c r="O1206" s="3" t="n">
        <v>9537.17</v>
      </c>
      <c r="P1206" s="3" t="n">
        <v>7355.42</v>
      </c>
      <c r="Q1206" s="3" t="n">
        <v>2181.75</v>
      </c>
      <c r="R1206" s="3" t="n">
        <v>0.2288</v>
      </c>
      <c r="S1206" s="3" t="n">
        <v>0.1131</v>
      </c>
      <c r="T1206" s="3" t="n">
        <v>0.0052</v>
      </c>
    </row>
    <row r="1207" customFormat="false" ht="15" hidden="false" customHeight="true" outlineLevel="0" collapsed="false">
      <c r="A1207" s="3" t="s">
        <v>2013</v>
      </c>
      <c r="B1207" s="3" t="s">
        <v>2014</v>
      </c>
      <c r="C1207" s="3" t="s">
        <v>22</v>
      </c>
      <c r="D1207" s="3" t="s">
        <v>69</v>
      </c>
      <c r="E1207" s="3" t="s">
        <v>39</v>
      </c>
      <c r="F1207" s="3" t="s">
        <v>70</v>
      </c>
      <c r="G1207" s="3" t="s">
        <v>84</v>
      </c>
      <c r="H1207" s="3" t="s">
        <v>64</v>
      </c>
      <c r="I1207" s="3" t="s">
        <v>65</v>
      </c>
      <c r="J1207" s="3" t="n">
        <v>33</v>
      </c>
      <c r="K1207" s="3" t="n">
        <v>3221.91</v>
      </c>
      <c r="L1207" s="3" t="n">
        <v>106323.03</v>
      </c>
      <c r="M1207" s="3" t="n">
        <v>0.0522</v>
      </c>
      <c r="N1207" s="3" t="n">
        <v>5550.06</v>
      </c>
      <c r="O1207" s="3" t="n">
        <v>100772.97</v>
      </c>
      <c r="P1207" s="3" t="n">
        <v>61667.36</v>
      </c>
      <c r="Q1207" s="3" t="n">
        <v>39105.61</v>
      </c>
      <c r="R1207" s="3" t="n">
        <v>0.3881</v>
      </c>
      <c r="S1207" s="3" t="n">
        <v>0.0563</v>
      </c>
      <c r="T1207" s="3" t="n">
        <v>-0.0041</v>
      </c>
    </row>
    <row r="1208" customFormat="false" ht="15" hidden="false" customHeight="true" outlineLevel="0" collapsed="false">
      <c r="A1208" s="3" t="s">
        <v>2015</v>
      </c>
      <c r="B1208" s="3" t="s">
        <v>384</v>
      </c>
      <c r="C1208" s="3" t="s">
        <v>31</v>
      </c>
      <c r="D1208" s="3" t="s">
        <v>54</v>
      </c>
      <c r="E1208" s="3" t="s">
        <v>24</v>
      </c>
      <c r="F1208" s="3" t="s">
        <v>40</v>
      </c>
      <c r="G1208" s="3" t="s">
        <v>41</v>
      </c>
      <c r="H1208" s="3" t="s">
        <v>77</v>
      </c>
      <c r="I1208" s="3" t="s">
        <v>78</v>
      </c>
      <c r="J1208" s="3" t="n">
        <v>35</v>
      </c>
      <c r="K1208" s="3" t="n">
        <v>5137.3</v>
      </c>
      <c r="L1208" s="3" t="n">
        <v>179805.5</v>
      </c>
      <c r="M1208" s="3" t="n">
        <v>0.0875</v>
      </c>
      <c r="N1208" s="3" t="n">
        <v>15732.98</v>
      </c>
      <c r="O1208" s="3" t="n">
        <v>164072.52</v>
      </c>
      <c r="P1208" s="3" t="n">
        <v>122267.74</v>
      </c>
      <c r="Q1208" s="3" t="n">
        <v>41804.78</v>
      </c>
      <c r="R1208" s="3" t="n">
        <v>0.2548</v>
      </c>
      <c r="S1208" s="3" t="n">
        <v>0.0926</v>
      </c>
      <c r="T1208" s="3" t="n">
        <v>-0.0051</v>
      </c>
    </row>
    <row r="1209" customFormat="false" ht="15" hidden="false" customHeight="true" outlineLevel="0" collapsed="false">
      <c r="A1209" s="3" t="s">
        <v>2016</v>
      </c>
      <c r="B1209" s="3" t="s">
        <v>2017</v>
      </c>
      <c r="C1209" s="3" t="s">
        <v>53</v>
      </c>
      <c r="D1209" s="3" t="s">
        <v>38</v>
      </c>
      <c r="E1209" s="3" t="s">
        <v>39</v>
      </c>
      <c r="F1209" s="3" t="s">
        <v>40</v>
      </c>
      <c r="G1209" s="3" t="s">
        <v>41</v>
      </c>
      <c r="H1209" s="3" t="s">
        <v>27</v>
      </c>
      <c r="I1209" s="3" t="s">
        <v>173</v>
      </c>
      <c r="J1209" s="3" t="n">
        <v>12</v>
      </c>
      <c r="K1209" s="3" t="n">
        <v>28358.31</v>
      </c>
      <c r="L1209" s="3" t="n">
        <v>340299.72</v>
      </c>
      <c r="M1209" s="3" t="n">
        <v>0.0869</v>
      </c>
      <c r="N1209" s="3" t="n">
        <v>29572.05</v>
      </c>
      <c r="O1209" s="3" t="n">
        <v>310727.67</v>
      </c>
      <c r="P1209" s="3" t="n">
        <v>210985.83</v>
      </c>
      <c r="Q1209" s="3" t="n">
        <v>99741.84</v>
      </c>
      <c r="R1209" s="3" t="n">
        <v>0.321</v>
      </c>
      <c r="S1209" s="3" t="n">
        <v>0.0739</v>
      </c>
      <c r="T1209" s="3" t="n">
        <v>0.013</v>
      </c>
    </row>
    <row r="1210" customFormat="false" ht="15" hidden="false" customHeight="true" outlineLevel="0" collapsed="false">
      <c r="A1210" s="3" t="s">
        <v>2018</v>
      </c>
      <c r="B1210" s="3" t="s">
        <v>2019</v>
      </c>
      <c r="C1210" s="3" t="s">
        <v>68</v>
      </c>
      <c r="D1210" s="3" t="s">
        <v>97</v>
      </c>
      <c r="E1210" s="3" t="s">
        <v>48</v>
      </c>
      <c r="F1210" s="3" t="s">
        <v>40</v>
      </c>
      <c r="G1210" s="3" t="s">
        <v>84</v>
      </c>
      <c r="H1210" s="3" t="s">
        <v>56</v>
      </c>
      <c r="I1210" s="3" t="s">
        <v>188</v>
      </c>
      <c r="J1210" s="3" t="n">
        <v>19</v>
      </c>
      <c r="K1210" s="3" t="n">
        <v>9687.46</v>
      </c>
      <c r="L1210" s="3" t="n">
        <v>184061.74</v>
      </c>
      <c r="M1210" s="3" t="n">
        <v>0.0634</v>
      </c>
      <c r="N1210" s="3" t="n">
        <v>11669.51</v>
      </c>
      <c r="O1210" s="3" t="n">
        <v>172392.23</v>
      </c>
      <c r="P1210" s="3" t="n">
        <v>110437.04</v>
      </c>
      <c r="Q1210" s="3" t="n">
        <v>61955.19</v>
      </c>
      <c r="R1210" s="3" t="n">
        <v>0.3594</v>
      </c>
      <c r="S1210" s="3" t="n">
        <v>0.0577</v>
      </c>
      <c r="T1210" s="3" t="n">
        <v>0.0057</v>
      </c>
    </row>
    <row r="1211" customFormat="false" ht="15" hidden="false" customHeight="true" outlineLevel="0" collapsed="false">
      <c r="A1211" s="3" t="s">
        <v>2020</v>
      </c>
      <c r="B1211" s="3" t="s">
        <v>1852</v>
      </c>
      <c r="C1211" s="3" t="s">
        <v>31</v>
      </c>
      <c r="D1211" s="3" t="s">
        <v>54</v>
      </c>
      <c r="E1211" s="3" t="s">
        <v>24</v>
      </c>
      <c r="F1211" s="3" t="s">
        <v>40</v>
      </c>
      <c r="G1211" s="3" t="s">
        <v>26</v>
      </c>
      <c r="H1211" s="3" t="s">
        <v>77</v>
      </c>
      <c r="I1211" s="3" t="s">
        <v>78</v>
      </c>
      <c r="J1211" s="3" t="n">
        <v>30</v>
      </c>
      <c r="K1211" s="3" t="n">
        <v>5039.3</v>
      </c>
      <c r="L1211" s="3" t="n">
        <v>151179</v>
      </c>
      <c r="M1211" s="3" t="n">
        <v>0.0508</v>
      </c>
      <c r="N1211" s="3" t="n">
        <v>7679.89</v>
      </c>
      <c r="O1211" s="3" t="n">
        <v>143499.11</v>
      </c>
      <c r="P1211" s="3" t="n">
        <v>102801.72</v>
      </c>
      <c r="Q1211" s="3" t="n">
        <v>40697.39</v>
      </c>
      <c r="R1211" s="3" t="n">
        <v>0.2836</v>
      </c>
      <c r="S1211" s="3" t="n">
        <v>0.0429</v>
      </c>
      <c r="T1211" s="3" t="n">
        <v>0.0079</v>
      </c>
    </row>
    <row r="1212" customFormat="false" ht="15" hidden="false" customHeight="true" outlineLevel="0" collapsed="false">
      <c r="A1212" s="3" t="s">
        <v>2021</v>
      </c>
      <c r="B1212" s="3" t="s">
        <v>2022</v>
      </c>
      <c r="C1212" s="3" t="s">
        <v>31</v>
      </c>
      <c r="D1212" s="3" t="s">
        <v>54</v>
      </c>
      <c r="E1212" s="3" t="s">
        <v>24</v>
      </c>
      <c r="F1212" s="3" t="s">
        <v>40</v>
      </c>
      <c r="G1212" s="3" t="s">
        <v>55</v>
      </c>
      <c r="H1212" s="3" t="s">
        <v>77</v>
      </c>
      <c r="I1212" s="3" t="s">
        <v>131</v>
      </c>
      <c r="J1212" s="3" t="n">
        <v>38</v>
      </c>
      <c r="K1212" s="3" t="n">
        <v>3069.26</v>
      </c>
      <c r="L1212" s="3" t="n">
        <v>116631.88</v>
      </c>
      <c r="M1212" s="3" t="n">
        <v>0.0451</v>
      </c>
      <c r="N1212" s="3" t="n">
        <v>5260.1</v>
      </c>
      <c r="O1212" s="3" t="n">
        <v>111371.78</v>
      </c>
      <c r="P1212" s="3" t="n">
        <v>79309.68</v>
      </c>
      <c r="Q1212" s="3" t="n">
        <v>32062.1</v>
      </c>
      <c r="R1212" s="3" t="n">
        <v>0.2879</v>
      </c>
      <c r="S1212" s="3" t="n">
        <v>0.0367</v>
      </c>
      <c r="T1212" s="3" t="n">
        <v>0.0084</v>
      </c>
    </row>
    <row r="1213" customFormat="false" ht="15" hidden="false" customHeight="true" outlineLevel="0" collapsed="false">
      <c r="A1213" s="3" t="s">
        <v>2023</v>
      </c>
      <c r="B1213" s="3" t="s">
        <v>2024</v>
      </c>
      <c r="C1213" s="3" t="s">
        <v>46</v>
      </c>
      <c r="D1213" s="3" t="s">
        <v>103</v>
      </c>
      <c r="E1213" s="3" t="s">
        <v>24</v>
      </c>
      <c r="F1213" s="3" t="s">
        <v>62</v>
      </c>
      <c r="G1213" s="3" t="s">
        <v>26</v>
      </c>
      <c r="H1213" s="3" t="s">
        <v>64</v>
      </c>
      <c r="I1213" s="3" t="s">
        <v>90</v>
      </c>
      <c r="J1213" s="3" t="n">
        <v>1</v>
      </c>
      <c r="K1213" s="3" t="n">
        <v>7125.15</v>
      </c>
      <c r="L1213" s="3" t="n">
        <v>7125.15</v>
      </c>
      <c r="M1213" s="3" t="n">
        <v>0.0791</v>
      </c>
      <c r="N1213" s="3" t="n">
        <v>563.6</v>
      </c>
      <c r="O1213" s="3" t="n">
        <v>6561.55</v>
      </c>
      <c r="P1213" s="3" t="n">
        <v>4132.59</v>
      </c>
      <c r="Q1213" s="3" t="n">
        <v>2428.96</v>
      </c>
      <c r="R1213" s="3" t="n">
        <v>0.3702</v>
      </c>
      <c r="S1213" s="3" t="n">
        <v>0.0751</v>
      </c>
      <c r="T1213" s="3" t="n">
        <v>0.004</v>
      </c>
    </row>
    <row r="1214" customFormat="false" ht="15" hidden="false" customHeight="true" outlineLevel="0" collapsed="false">
      <c r="A1214" s="3" t="s">
        <v>2025</v>
      </c>
      <c r="B1214" s="3" t="s">
        <v>2026</v>
      </c>
      <c r="C1214" s="3" t="s">
        <v>60</v>
      </c>
      <c r="D1214" s="3" t="s">
        <v>107</v>
      </c>
      <c r="E1214" s="3" t="s">
        <v>33</v>
      </c>
      <c r="F1214" s="3" t="s">
        <v>70</v>
      </c>
      <c r="G1214" s="3" t="s">
        <v>26</v>
      </c>
      <c r="H1214" s="3" t="s">
        <v>64</v>
      </c>
      <c r="I1214" s="3" t="s">
        <v>145</v>
      </c>
      <c r="J1214" s="3" t="n">
        <v>33</v>
      </c>
      <c r="K1214" s="3" t="n">
        <v>7725.5</v>
      </c>
      <c r="L1214" s="3" t="n">
        <v>254941.5</v>
      </c>
      <c r="M1214" s="3" t="n">
        <v>0.0331</v>
      </c>
      <c r="N1214" s="3" t="n">
        <v>8438.56</v>
      </c>
      <c r="O1214" s="3" t="n">
        <v>246502.94</v>
      </c>
      <c r="P1214" s="3" t="n">
        <v>147866.07</v>
      </c>
      <c r="Q1214" s="3" t="n">
        <v>98636.87</v>
      </c>
      <c r="R1214" s="3" t="n">
        <v>0.4001</v>
      </c>
      <c r="S1214" s="3" t="n">
        <v>0.03</v>
      </c>
      <c r="T1214" s="3" t="n">
        <v>0.0031</v>
      </c>
    </row>
    <row r="1215" customFormat="false" ht="15" hidden="false" customHeight="true" outlineLevel="0" collapsed="false">
      <c r="A1215" s="3" t="s">
        <v>2027</v>
      </c>
      <c r="B1215" s="3" t="s">
        <v>454</v>
      </c>
      <c r="C1215" s="3" t="s">
        <v>126</v>
      </c>
      <c r="D1215" s="3" t="s">
        <v>97</v>
      </c>
      <c r="E1215" s="3" t="s">
        <v>48</v>
      </c>
      <c r="F1215" s="3" t="s">
        <v>40</v>
      </c>
      <c r="G1215" s="3" t="s">
        <v>84</v>
      </c>
      <c r="H1215" s="3" t="s">
        <v>56</v>
      </c>
      <c r="I1215" s="3" t="s">
        <v>57</v>
      </c>
      <c r="J1215" s="3" t="n">
        <v>9</v>
      </c>
      <c r="K1215" s="3" t="n">
        <v>13442.92</v>
      </c>
      <c r="L1215" s="3" t="n">
        <v>120986.28</v>
      </c>
      <c r="M1215" s="3" t="n">
        <v>0.0439</v>
      </c>
      <c r="N1215" s="3" t="n">
        <v>5311.3</v>
      </c>
      <c r="O1215" s="3" t="n">
        <v>115674.98</v>
      </c>
      <c r="P1215" s="3" t="n">
        <v>72591.77</v>
      </c>
      <c r="Q1215" s="3" t="n">
        <v>43083.21</v>
      </c>
      <c r="R1215" s="3" t="n">
        <v>0.3725</v>
      </c>
      <c r="S1215" s="3" t="n">
        <v>0.0473</v>
      </c>
      <c r="T1215" s="3" t="n">
        <v>-0.0034</v>
      </c>
    </row>
    <row r="1216" customFormat="false" ht="15" hidden="false" customHeight="true" outlineLevel="0" collapsed="false">
      <c r="A1216" s="3" t="s">
        <v>2028</v>
      </c>
      <c r="B1216" s="3" t="s">
        <v>2029</v>
      </c>
      <c r="C1216" s="3" t="s">
        <v>68</v>
      </c>
      <c r="D1216" s="3" t="s">
        <v>61</v>
      </c>
      <c r="E1216" s="3" t="s">
        <v>33</v>
      </c>
      <c r="F1216" s="3" t="s">
        <v>62</v>
      </c>
      <c r="G1216" s="3" t="s">
        <v>84</v>
      </c>
      <c r="H1216" s="3" t="s">
        <v>77</v>
      </c>
      <c r="I1216" s="3" t="s">
        <v>78</v>
      </c>
      <c r="J1216" s="3" t="n">
        <v>12</v>
      </c>
      <c r="K1216" s="3" t="n">
        <v>4108.04</v>
      </c>
      <c r="L1216" s="3" t="n">
        <v>49296.48</v>
      </c>
      <c r="M1216" s="3" t="n">
        <v>0.0588</v>
      </c>
      <c r="N1216" s="3" t="n">
        <v>2898.63</v>
      </c>
      <c r="O1216" s="3" t="n">
        <v>46397.85</v>
      </c>
      <c r="P1216" s="3" t="n">
        <v>33521.61</v>
      </c>
      <c r="Q1216" s="3" t="n">
        <v>12876.24</v>
      </c>
      <c r="R1216" s="3" t="n">
        <v>0.2775</v>
      </c>
      <c r="S1216" s="3" t="n">
        <v>0.0607</v>
      </c>
      <c r="T1216" s="3" t="n">
        <v>-0.0019</v>
      </c>
    </row>
    <row r="1217" customFormat="false" ht="15" hidden="false" customHeight="true" outlineLevel="0" collapsed="false">
      <c r="A1217" s="3" t="s">
        <v>2030</v>
      </c>
      <c r="B1217" s="3" t="s">
        <v>2031</v>
      </c>
      <c r="C1217" s="3" t="s">
        <v>31</v>
      </c>
      <c r="D1217" s="3" t="s">
        <v>107</v>
      </c>
      <c r="E1217" s="3" t="s">
        <v>33</v>
      </c>
      <c r="F1217" s="3" t="s">
        <v>70</v>
      </c>
      <c r="G1217" s="3" t="s">
        <v>26</v>
      </c>
      <c r="H1217" s="3" t="s">
        <v>42</v>
      </c>
      <c r="I1217" s="3" t="s">
        <v>43</v>
      </c>
      <c r="J1217" s="3" t="n">
        <v>38</v>
      </c>
      <c r="K1217" s="3" t="n">
        <v>1634.27</v>
      </c>
      <c r="L1217" s="3" t="n">
        <v>62102.26</v>
      </c>
      <c r="M1217" s="3" t="n">
        <v>0.0474</v>
      </c>
      <c r="N1217" s="3" t="n">
        <v>2943.65</v>
      </c>
      <c r="O1217" s="3" t="n">
        <v>59158.61</v>
      </c>
      <c r="P1217" s="3" t="n">
        <v>34156.24</v>
      </c>
      <c r="Q1217" s="3" t="n">
        <v>25002.37</v>
      </c>
      <c r="R1217" s="3" t="n">
        <v>0.4226</v>
      </c>
      <c r="S1217" s="3" t="n">
        <v>0.0389</v>
      </c>
      <c r="T1217" s="3" t="n">
        <v>0.0085</v>
      </c>
    </row>
    <row r="1218" customFormat="false" ht="15" hidden="false" customHeight="true" outlineLevel="0" collapsed="false">
      <c r="A1218" s="3" t="s">
        <v>2032</v>
      </c>
      <c r="B1218" s="3" t="s">
        <v>128</v>
      </c>
      <c r="C1218" s="3" t="s">
        <v>53</v>
      </c>
      <c r="D1218" s="3" t="s">
        <v>32</v>
      </c>
      <c r="E1218" s="3" t="s">
        <v>33</v>
      </c>
      <c r="F1218" s="3" t="s">
        <v>25</v>
      </c>
      <c r="G1218" s="3" t="s">
        <v>116</v>
      </c>
      <c r="H1218" s="3" t="s">
        <v>64</v>
      </c>
      <c r="I1218" s="3" t="s">
        <v>108</v>
      </c>
      <c r="J1218" s="3" t="n">
        <v>32</v>
      </c>
      <c r="K1218" s="3" t="n">
        <v>8987.35</v>
      </c>
      <c r="L1218" s="3" t="n">
        <v>287595.2</v>
      </c>
      <c r="M1218" s="3" t="n">
        <v>0.2052</v>
      </c>
      <c r="N1218" s="3" t="n">
        <v>59014.54</v>
      </c>
      <c r="O1218" s="3" t="n">
        <v>228580.66</v>
      </c>
      <c r="P1218" s="3" t="n">
        <v>166805.22</v>
      </c>
      <c r="Q1218" s="3" t="n">
        <v>61775.44</v>
      </c>
      <c r="R1218" s="3" t="n">
        <v>0.2703</v>
      </c>
      <c r="S1218" s="3" t="n">
        <v>0.1707</v>
      </c>
      <c r="T1218" s="3" t="n">
        <v>0.0345</v>
      </c>
    </row>
    <row r="1219" customFormat="false" ht="15" hidden="false" customHeight="true" outlineLevel="0" collapsed="false">
      <c r="A1219" s="3" t="s">
        <v>2033</v>
      </c>
      <c r="B1219" s="3" t="s">
        <v>1626</v>
      </c>
      <c r="C1219" s="3" t="s">
        <v>46</v>
      </c>
      <c r="D1219" s="3" t="s">
        <v>75</v>
      </c>
      <c r="E1219" s="3" t="s">
        <v>39</v>
      </c>
      <c r="F1219" s="3" t="s">
        <v>25</v>
      </c>
      <c r="G1219" s="3" t="s">
        <v>116</v>
      </c>
      <c r="H1219" s="3" t="s">
        <v>77</v>
      </c>
      <c r="I1219" s="3" t="s">
        <v>78</v>
      </c>
      <c r="J1219" s="3" t="n">
        <v>17</v>
      </c>
      <c r="K1219" s="3" t="n">
        <v>1497.25</v>
      </c>
      <c r="L1219" s="3" t="n">
        <v>25453.25</v>
      </c>
      <c r="M1219" s="3" t="n">
        <v>0.1664</v>
      </c>
      <c r="N1219" s="3" t="n">
        <v>4235.42</v>
      </c>
      <c r="O1219" s="3" t="n">
        <v>21217.83</v>
      </c>
      <c r="P1219" s="3" t="n">
        <v>17308.21</v>
      </c>
      <c r="Q1219" s="3" t="n">
        <v>3909.62</v>
      </c>
      <c r="R1219" s="3" t="n">
        <v>0.1843</v>
      </c>
      <c r="S1219" s="3" t="n">
        <v>0.1634</v>
      </c>
      <c r="T1219" s="3" t="n">
        <v>0.003</v>
      </c>
    </row>
    <row r="1220" customFormat="false" ht="15" hidden="false" customHeight="true" outlineLevel="0" collapsed="false">
      <c r="A1220" s="3" t="s">
        <v>2034</v>
      </c>
      <c r="B1220" s="3" t="s">
        <v>2035</v>
      </c>
      <c r="C1220" s="3" t="s">
        <v>113</v>
      </c>
      <c r="D1220" s="3" t="s">
        <v>32</v>
      </c>
      <c r="E1220" s="3" t="s">
        <v>33</v>
      </c>
      <c r="F1220" s="3" t="s">
        <v>25</v>
      </c>
      <c r="G1220" s="3" t="s">
        <v>116</v>
      </c>
      <c r="H1220" s="3" t="s">
        <v>64</v>
      </c>
      <c r="I1220" s="3" t="s">
        <v>145</v>
      </c>
      <c r="J1220" s="3" t="n">
        <v>25</v>
      </c>
      <c r="K1220" s="3" t="n">
        <v>9288.53</v>
      </c>
      <c r="L1220" s="3" t="n">
        <v>232213.25</v>
      </c>
      <c r="M1220" s="3" t="n">
        <v>0.1699</v>
      </c>
      <c r="N1220" s="3" t="n">
        <v>39453.03</v>
      </c>
      <c r="O1220" s="3" t="n">
        <v>192760.22</v>
      </c>
      <c r="P1220" s="3" t="n">
        <v>134683.68</v>
      </c>
      <c r="Q1220" s="3" t="n">
        <v>58076.54</v>
      </c>
      <c r="R1220" s="3" t="n">
        <v>0.3013</v>
      </c>
      <c r="S1220" s="3" t="n">
        <v>0.1488</v>
      </c>
      <c r="T1220" s="3" t="n">
        <v>0.0211</v>
      </c>
    </row>
    <row r="1221" customFormat="false" ht="15" hidden="false" customHeight="true" outlineLevel="0" collapsed="false">
      <c r="A1221" s="3" t="s">
        <v>2036</v>
      </c>
      <c r="B1221" s="3" t="s">
        <v>2037</v>
      </c>
      <c r="C1221" s="3" t="s">
        <v>113</v>
      </c>
      <c r="D1221" s="3" t="s">
        <v>83</v>
      </c>
      <c r="E1221" s="3" t="s">
        <v>48</v>
      </c>
      <c r="F1221" s="3" t="s">
        <v>62</v>
      </c>
      <c r="G1221" s="3" t="s">
        <v>34</v>
      </c>
      <c r="H1221" s="3" t="s">
        <v>42</v>
      </c>
      <c r="I1221" s="3" t="s">
        <v>43</v>
      </c>
      <c r="J1221" s="3" t="n">
        <v>28</v>
      </c>
      <c r="K1221" s="3" t="n">
        <v>3097.54</v>
      </c>
      <c r="L1221" s="3" t="n">
        <v>86731.12</v>
      </c>
      <c r="M1221" s="3" t="n">
        <v>0.123</v>
      </c>
      <c r="N1221" s="3" t="n">
        <v>10667.93</v>
      </c>
      <c r="O1221" s="3" t="n">
        <v>76063.19</v>
      </c>
      <c r="P1221" s="3" t="n">
        <v>47702.12</v>
      </c>
      <c r="Q1221" s="3" t="n">
        <v>28361.07</v>
      </c>
      <c r="R1221" s="3" t="n">
        <v>0.3729</v>
      </c>
      <c r="S1221" s="3" t="n">
        <v>0.1016</v>
      </c>
      <c r="T1221" s="3" t="n">
        <v>0.0214</v>
      </c>
    </row>
    <row r="1222" customFormat="false" ht="15" hidden="false" customHeight="true" outlineLevel="0" collapsed="false">
      <c r="A1222" s="3" t="s">
        <v>2038</v>
      </c>
      <c r="B1222" s="3" t="s">
        <v>903</v>
      </c>
      <c r="C1222" s="3" t="s">
        <v>22</v>
      </c>
      <c r="D1222" s="3" t="s">
        <v>32</v>
      </c>
      <c r="E1222" s="3" t="s">
        <v>33</v>
      </c>
      <c r="F1222" s="3" t="s">
        <v>25</v>
      </c>
      <c r="G1222" s="3" t="s">
        <v>104</v>
      </c>
      <c r="H1222" s="3" t="s">
        <v>27</v>
      </c>
      <c r="I1222" s="3" t="s">
        <v>117</v>
      </c>
      <c r="J1222" s="3" t="n">
        <v>1</v>
      </c>
      <c r="K1222" s="3" t="n">
        <v>33920.28</v>
      </c>
      <c r="L1222" s="3" t="n">
        <v>33920.28</v>
      </c>
      <c r="M1222" s="3" t="n">
        <v>0.1625</v>
      </c>
      <c r="N1222" s="3" t="n">
        <v>5512.05</v>
      </c>
      <c r="O1222" s="3" t="n">
        <v>28408.23</v>
      </c>
      <c r="P1222" s="3" t="n">
        <v>21030.57</v>
      </c>
      <c r="Q1222" s="3" t="n">
        <v>7377.66</v>
      </c>
      <c r="R1222" s="3" t="n">
        <v>0.2597</v>
      </c>
      <c r="S1222" s="3" t="n">
        <v>0.1466</v>
      </c>
      <c r="T1222" s="3" t="n">
        <v>0.0159</v>
      </c>
    </row>
    <row r="1223" customFormat="false" ht="15" hidden="false" customHeight="true" outlineLevel="0" collapsed="false">
      <c r="A1223" s="3" t="s">
        <v>2039</v>
      </c>
      <c r="B1223" s="3" t="s">
        <v>2040</v>
      </c>
      <c r="C1223" s="3" t="s">
        <v>60</v>
      </c>
      <c r="D1223" s="3" t="s">
        <v>23</v>
      </c>
      <c r="E1223" s="3" t="s">
        <v>24</v>
      </c>
      <c r="F1223" s="3" t="s">
        <v>25</v>
      </c>
      <c r="G1223" s="3" t="s">
        <v>34</v>
      </c>
      <c r="H1223" s="3" t="s">
        <v>56</v>
      </c>
      <c r="I1223" s="3" t="s">
        <v>57</v>
      </c>
      <c r="J1223" s="3" t="n">
        <v>37</v>
      </c>
      <c r="K1223" s="3" t="n">
        <v>15318.45</v>
      </c>
      <c r="L1223" s="3" t="n">
        <v>566782.65</v>
      </c>
      <c r="M1223" s="3" t="n">
        <v>0.1857</v>
      </c>
      <c r="N1223" s="3" t="n">
        <v>105251.54</v>
      </c>
      <c r="O1223" s="3" t="n">
        <v>461531.11</v>
      </c>
      <c r="P1223" s="3" t="n">
        <v>340069.59</v>
      </c>
      <c r="Q1223" s="3" t="n">
        <v>121461.52</v>
      </c>
      <c r="R1223" s="3" t="n">
        <v>0.2632</v>
      </c>
      <c r="S1223" s="3" t="n">
        <v>0.1932</v>
      </c>
      <c r="T1223" s="3" t="n">
        <v>-0.0075</v>
      </c>
    </row>
    <row r="1224" customFormat="false" ht="15" hidden="false" customHeight="true" outlineLevel="0" collapsed="false">
      <c r="A1224" s="3" t="s">
        <v>2041</v>
      </c>
      <c r="B1224" s="3" t="s">
        <v>110</v>
      </c>
      <c r="C1224" s="3" t="s">
        <v>68</v>
      </c>
      <c r="D1224" s="3" t="s">
        <v>83</v>
      </c>
      <c r="E1224" s="3" t="s">
        <v>48</v>
      </c>
      <c r="F1224" s="3" t="s">
        <v>62</v>
      </c>
      <c r="G1224" s="3" t="s">
        <v>63</v>
      </c>
      <c r="H1224" s="3" t="s">
        <v>77</v>
      </c>
      <c r="I1224" s="3" t="s">
        <v>85</v>
      </c>
      <c r="J1224" s="3" t="n">
        <v>37</v>
      </c>
      <c r="K1224" s="3" t="n">
        <v>5395.09</v>
      </c>
      <c r="L1224" s="3" t="n">
        <v>199618.33</v>
      </c>
      <c r="M1224" s="3" t="n">
        <v>0.0339</v>
      </c>
      <c r="N1224" s="3" t="n">
        <v>6767.06</v>
      </c>
      <c r="O1224" s="3" t="n">
        <v>192851.27</v>
      </c>
      <c r="P1224" s="3" t="n">
        <v>135740.46</v>
      </c>
      <c r="Q1224" s="3" t="n">
        <v>57110.81</v>
      </c>
      <c r="R1224" s="3" t="n">
        <v>0.2961</v>
      </c>
      <c r="S1224" s="3" t="n">
        <v>0.0302</v>
      </c>
      <c r="T1224" s="3" t="n">
        <v>0.0037</v>
      </c>
    </row>
    <row r="1225" customFormat="false" ht="15" hidden="false" customHeight="true" outlineLevel="0" collapsed="false">
      <c r="A1225" s="3" t="s">
        <v>2042</v>
      </c>
      <c r="B1225" s="3" t="s">
        <v>1031</v>
      </c>
      <c r="C1225" s="3" t="s">
        <v>126</v>
      </c>
      <c r="D1225" s="3" t="s">
        <v>61</v>
      </c>
      <c r="E1225" s="3" t="s">
        <v>33</v>
      </c>
      <c r="F1225" s="3" t="s">
        <v>62</v>
      </c>
      <c r="G1225" s="3" t="s">
        <v>104</v>
      </c>
      <c r="H1225" s="3" t="s">
        <v>77</v>
      </c>
      <c r="I1225" s="3" t="s">
        <v>131</v>
      </c>
      <c r="J1225" s="3" t="n">
        <v>22</v>
      </c>
      <c r="K1225" s="3" t="n">
        <v>4087.15</v>
      </c>
      <c r="L1225" s="3" t="n">
        <v>89917.3</v>
      </c>
      <c r="M1225" s="3" t="n">
        <v>0.084</v>
      </c>
      <c r="N1225" s="3" t="n">
        <v>7553.05</v>
      </c>
      <c r="O1225" s="3" t="n">
        <v>82364.25</v>
      </c>
      <c r="P1225" s="3" t="n">
        <v>61143.76</v>
      </c>
      <c r="Q1225" s="3" t="n">
        <v>21220.49</v>
      </c>
      <c r="R1225" s="3" t="n">
        <v>0.2576</v>
      </c>
      <c r="S1225" s="3" t="n">
        <v>0.0904</v>
      </c>
      <c r="T1225" s="3" t="n">
        <v>-0.0064</v>
      </c>
    </row>
    <row r="1226" customFormat="false" ht="15" hidden="false" customHeight="true" outlineLevel="0" collapsed="false">
      <c r="A1226" s="3" t="s">
        <v>2043</v>
      </c>
      <c r="B1226" s="3" t="s">
        <v>253</v>
      </c>
      <c r="C1226" s="3" t="s">
        <v>22</v>
      </c>
      <c r="D1226" s="3" t="s">
        <v>54</v>
      </c>
      <c r="E1226" s="3" t="s">
        <v>24</v>
      </c>
      <c r="F1226" s="3" t="s">
        <v>40</v>
      </c>
      <c r="G1226" s="3" t="s">
        <v>49</v>
      </c>
      <c r="H1226" s="3" t="s">
        <v>77</v>
      </c>
      <c r="I1226" s="3" t="s">
        <v>85</v>
      </c>
      <c r="J1226" s="3" t="n">
        <v>11</v>
      </c>
      <c r="K1226" s="3" t="n">
        <v>1526.17</v>
      </c>
      <c r="L1226" s="3" t="n">
        <v>16787.87</v>
      </c>
      <c r="M1226" s="3" t="n">
        <v>0.0784</v>
      </c>
      <c r="N1226" s="3" t="n">
        <v>1316.17</v>
      </c>
      <c r="O1226" s="3" t="n">
        <v>15471.7</v>
      </c>
      <c r="P1226" s="3" t="n">
        <v>11415.75</v>
      </c>
      <c r="Q1226" s="3" t="n">
        <v>4055.95</v>
      </c>
      <c r="R1226" s="3" t="n">
        <v>0.2622</v>
      </c>
      <c r="S1226" s="3" t="n">
        <v>0.0753</v>
      </c>
      <c r="T1226" s="3" t="n">
        <v>0.0031</v>
      </c>
    </row>
    <row r="1227" customFormat="false" ht="15" hidden="false" customHeight="true" outlineLevel="0" collapsed="false">
      <c r="A1227" s="3" t="s">
        <v>2044</v>
      </c>
      <c r="B1227" s="3" t="s">
        <v>744</v>
      </c>
      <c r="C1227" s="3" t="s">
        <v>120</v>
      </c>
      <c r="D1227" s="3" t="s">
        <v>69</v>
      </c>
      <c r="E1227" s="3" t="s">
        <v>39</v>
      </c>
      <c r="F1227" s="3" t="s">
        <v>70</v>
      </c>
      <c r="G1227" s="3" t="s">
        <v>100</v>
      </c>
      <c r="H1227" s="3" t="s">
        <v>56</v>
      </c>
      <c r="I1227" s="3" t="s">
        <v>121</v>
      </c>
      <c r="J1227" s="3" t="n">
        <v>40</v>
      </c>
      <c r="K1227" s="3" t="n">
        <v>6995.83</v>
      </c>
      <c r="L1227" s="3" t="n">
        <v>279833.2</v>
      </c>
      <c r="M1227" s="3" t="n">
        <v>0.0328</v>
      </c>
      <c r="N1227" s="3" t="n">
        <v>9178.53</v>
      </c>
      <c r="O1227" s="3" t="n">
        <v>270654.67</v>
      </c>
      <c r="P1227" s="3" t="n">
        <v>167899.92</v>
      </c>
      <c r="Q1227" s="3" t="n">
        <v>102754.75</v>
      </c>
      <c r="R1227" s="3" t="n">
        <v>0.3797</v>
      </c>
      <c r="S1227" s="3" t="n">
        <v>0.032</v>
      </c>
      <c r="T1227" s="3" t="n">
        <v>0.0008</v>
      </c>
    </row>
    <row r="1228" customFormat="false" ht="15" hidden="false" customHeight="true" outlineLevel="0" collapsed="false">
      <c r="A1228" s="3" t="s">
        <v>2045</v>
      </c>
      <c r="B1228" s="3" t="s">
        <v>2046</v>
      </c>
      <c r="C1228" s="3" t="s">
        <v>22</v>
      </c>
      <c r="D1228" s="3" t="s">
        <v>54</v>
      </c>
      <c r="E1228" s="3" t="s">
        <v>24</v>
      </c>
      <c r="F1228" s="3" t="s">
        <v>40</v>
      </c>
      <c r="G1228" s="3" t="s">
        <v>49</v>
      </c>
      <c r="H1228" s="3" t="s">
        <v>27</v>
      </c>
      <c r="I1228" s="3" t="s">
        <v>28</v>
      </c>
      <c r="J1228" s="3" t="n">
        <v>13</v>
      </c>
      <c r="K1228" s="3" t="n">
        <v>21484.98</v>
      </c>
      <c r="L1228" s="3" t="n">
        <v>279304.74</v>
      </c>
      <c r="M1228" s="3" t="n">
        <v>0.0467</v>
      </c>
      <c r="N1228" s="3" t="n">
        <v>13043.53</v>
      </c>
      <c r="O1228" s="3" t="n">
        <v>266261.21</v>
      </c>
      <c r="P1228" s="3" t="n">
        <v>173168.94</v>
      </c>
      <c r="Q1228" s="3" t="n">
        <v>93092.27</v>
      </c>
      <c r="R1228" s="3" t="n">
        <v>0.3496</v>
      </c>
      <c r="S1228" s="3" t="n">
        <v>0.0393</v>
      </c>
      <c r="T1228" s="3" t="n">
        <v>0.0074</v>
      </c>
    </row>
    <row r="1229" customFormat="false" ht="15" hidden="false" customHeight="true" outlineLevel="0" collapsed="false">
      <c r="A1229" s="3" t="s">
        <v>2047</v>
      </c>
      <c r="B1229" s="3" t="s">
        <v>695</v>
      </c>
      <c r="C1229" s="3" t="s">
        <v>156</v>
      </c>
      <c r="D1229" s="3" t="s">
        <v>107</v>
      </c>
      <c r="E1229" s="3" t="s">
        <v>33</v>
      </c>
      <c r="F1229" s="3" t="s">
        <v>70</v>
      </c>
      <c r="G1229" s="3" t="s">
        <v>104</v>
      </c>
      <c r="H1229" s="3" t="s">
        <v>42</v>
      </c>
      <c r="I1229" s="3" t="s">
        <v>72</v>
      </c>
      <c r="J1229" s="3" t="n">
        <v>5</v>
      </c>
      <c r="K1229" s="3" t="n">
        <v>1324.66</v>
      </c>
      <c r="L1229" s="3" t="n">
        <v>6623.3</v>
      </c>
      <c r="M1229" s="3" t="n">
        <v>0.1128</v>
      </c>
      <c r="N1229" s="3" t="n">
        <v>747.11</v>
      </c>
      <c r="O1229" s="3" t="n">
        <v>5876.19</v>
      </c>
      <c r="P1229" s="3" t="n">
        <v>3642.82</v>
      </c>
      <c r="Q1229" s="3" t="n">
        <v>2233.37</v>
      </c>
      <c r="R1229" s="3" t="n">
        <v>0.3801</v>
      </c>
      <c r="S1229" s="3" t="n">
        <v>0.102</v>
      </c>
      <c r="T1229" s="3" t="n">
        <v>0.0108</v>
      </c>
    </row>
    <row r="1230" customFormat="false" ht="15" hidden="false" customHeight="true" outlineLevel="0" collapsed="false">
      <c r="A1230" s="3" t="s">
        <v>2048</v>
      </c>
      <c r="B1230" s="3" t="s">
        <v>561</v>
      </c>
      <c r="C1230" s="3" t="s">
        <v>93</v>
      </c>
      <c r="D1230" s="3" t="s">
        <v>61</v>
      </c>
      <c r="E1230" s="3" t="s">
        <v>33</v>
      </c>
      <c r="F1230" s="3" t="s">
        <v>62</v>
      </c>
      <c r="G1230" s="3" t="s">
        <v>26</v>
      </c>
      <c r="H1230" s="3" t="s">
        <v>77</v>
      </c>
      <c r="I1230" s="3" t="s">
        <v>85</v>
      </c>
      <c r="J1230" s="3" t="n">
        <v>6</v>
      </c>
      <c r="K1230" s="3" t="n">
        <v>4139.68</v>
      </c>
      <c r="L1230" s="3" t="n">
        <v>24838.08</v>
      </c>
      <c r="M1230" s="3" t="n">
        <v>0.0744</v>
      </c>
      <c r="N1230" s="3" t="n">
        <v>1847.95</v>
      </c>
      <c r="O1230" s="3" t="n">
        <v>22990.13</v>
      </c>
      <c r="P1230" s="3" t="n">
        <v>16889.89</v>
      </c>
      <c r="Q1230" s="3" t="n">
        <v>6100.24</v>
      </c>
      <c r="R1230" s="3" t="n">
        <v>0.2653</v>
      </c>
      <c r="S1230" s="3" t="n">
        <v>0.0806</v>
      </c>
      <c r="T1230" s="3" t="n">
        <v>-0.0062</v>
      </c>
    </row>
    <row r="1231" customFormat="false" ht="15" hidden="false" customHeight="true" outlineLevel="0" collapsed="false">
      <c r="A1231" s="3" t="s">
        <v>2049</v>
      </c>
      <c r="B1231" s="3" t="s">
        <v>2050</v>
      </c>
      <c r="C1231" s="3" t="s">
        <v>126</v>
      </c>
      <c r="D1231" s="3" t="s">
        <v>54</v>
      </c>
      <c r="E1231" s="3" t="s">
        <v>24</v>
      </c>
      <c r="F1231" s="3" t="s">
        <v>40</v>
      </c>
      <c r="G1231" s="3" t="s">
        <v>104</v>
      </c>
      <c r="H1231" s="3" t="s">
        <v>27</v>
      </c>
      <c r="I1231" s="3" t="s">
        <v>28</v>
      </c>
      <c r="J1231" s="3" t="n">
        <v>15</v>
      </c>
      <c r="K1231" s="3" t="n">
        <v>23891.1</v>
      </c>
      <c r="L1231" s="3" t="n">
        <v>358366.5</v>
      </c>
      <c r="M1231" s="3" t="n">
        <v>0.0998</v>
      </c>
      <c r="N1231" s="3" t="n">
        <v>35764.98</v>
      </c>
      <c r="O1231" s="3" t="n">
        <v>322601.52</v>
      </c>
      <c r="P1231" s="3" t="n">
        <v>222187.23</v>
      </c>
      <c r="Q1231" s="3" t="n">
        <v>100414.29</v>
      </c>
      <c r="R1231" s="3" t="n">
        <v>0.3113</v>
      </c>
      <c r="S1231" s="3" t="n">
        <v>0.1032</v>
      </c>
      <c r="T1231" s="3" t="n">
        <v>-0.0034</v>
      </c>
    </row>
    <row r="1232" customFormat="false" ht="15" hidden="false" customHeight="true" outlineLevel="0" collapsed="false">
      <c r="A1232" s="3" t="s">
        <v>2051</v>
      </c>
      <c r="B1232" s="3" t="s">
        <v>1097</v>
      </c>
      <c r="C1232" s="3" t="s">
        <v>156</v>
      </c>
      <c r="D1232" s="3" t="s">
        <v>69</v>
      </c>
      <c r="E1232" s="3" t="s">
        <v>39</v>
      </c>
      <c r="F1232" s="3" t="s">
        <v>70</v>
      </c>
      <c r="G1232" s="3" t="s">
        <v>104</v>
      </c>
      <c r="H1232" s="3" t="s">
        <v>27</v>
      </c>
      <c r="I1232" s="3" t="s">
        <v>28</v>
      </c>
      <c r="J1232" s="3" t="n">
        <v>13</v>
      </c>
      <c r="K1232" s="3" t="n">
        <v>32755.62</v>
      </c>
      <c r="L1232" s="3" t="n">
        <v>425823.06</v>
      </c>
      <c r="M1232" s="3" t="n">
        <v>0.1111</v>
      </c>
      <c r="N1232" s="3" t="n">
        <v>47308.94</v>
      </c>
      <c r="O1232" s="3" t="n">
        <v>378514.12</v>
      </c>
      <c r="P1232" s="3" t="n">
        <v>264010.3</v>
      </c>
      <c r="Q1232" s="3" t="n">
        <v>114503.82</v>
      </c>
      <c r="R1232" s="3" t="n">
        <v>0.3025</v>
      </c>
      <c r="S1232" s="3" t="n">
        <v>0.1073</v>
      </c>
      <c r="T1232" s="3" t="n">
        <v>0.0038</v>
      </c>
    </row>
    <row r="1233" customFormat="false" ht="15" hidden="false" customHeight="true" outlineLevel="0" collapsed="false">
      <c r="A1233" s="3" t="s">
        <v>2052</v>
      </c>
      <c r="B1233" s="3" t="s">
        <v>260</v>
      </c>
      <c r="C1233" s="3" t="s">
        <v>31</v>
      </c>
      <c r="D1233" s="3" t="s">
        <v>32</v>
      </c>
      <c r="E1233" s="3" t="s">
        <v>33</v>
      </c>
      <c r="F1233" s="3" t="s">
        <v>25</v>
      </c>
      <c r="G1233" s="3" t="s">
        <v>26</v>
      </c>
      <c r="H1233" s="3" t="s">
        <v>77</v>
      </c>
      <c r="I1233" s="3" t="s">
        <v>78</v>
      </c>
      <c r="J1233" s="3" t="n">
        <v>45</v>
      </c>
      <c r="K1233" s="3" t="n">
        <v>1801.14</v>
      </c>
      <c r="L1233" s="3" t="n">
        <v>81051.3</v>
      </c>
      <c r="M1233" s="3" t="n">
        <v>0.1024</v>
      </c>
      <c r="N1233" s="3" t="n">
        <v>8299.65</v>
      </c>
      <c r="O1233" s="3" t="n">
        <v>72751.65</v>
      </c>
      <c r="P1233" s="3" t="n">
        <v>55114.88</v>
      </c>
      <c r="Q1233" s="3" t="n">
        <v>17636.77</v>
      </c>
      <c r="R1233" s="3" t="n">
        <v>0.2424</v>
      </c>
      <c r="S1233" s="3" t="n">
        <v>0.0855</v>
      </c>
      <c r="T1233" s="3" t="n">
        <v>0.0169</v>
      </c>
    </row>
    <row r="1234" customFormat="false" ht="15" hidden="false" customHeight="true" outlineLevel="0" collapsed="false">
      <c r="A1234" s="3" t="s">
        <v>2053</v>
      </c>
      <c r="B1234" s="3" t="s">
        <v>2054</v>
      </c>
      <c r="C1234" s="3" t="s">
        <v>156</v>
      </c>
      <c r="D1234" s="3" t="s">
        <v>38</v>
      </c>
      <c r="E1234" s="3" t="s">
        <v>39</v>
      </c>
      <c r="F1234" s="3" t="s">
        <v>40</v>
      </c>
      <c r="G1234" s="3" t="s">
        <v>34</v>
      </c>
      <c r="H1234" s="3" t="s">
        <v>42</v>
      </c>
      <c r="I1234" s="3" t="s">
        <v>134</v>
      </c>
      <c r="J1234" s="3" t="n">
        <v>4</v>
      </c>
      <c r="K1234" s="3" t="n">
        <v>1700.94</v>
      </c>
      <c r="L1234" s="3" t="n">
        <v>6803.76</v>
      </c>
      <c r="M1234" s="3" t="n">
        <v>0.0656</v>
      </c>
      <c r="N1234" s="3" t="n">
        <v>446.33</v>
      </c>
      <c r="O1234" s="3" t="n">
        <v>6357.43</v>
      </c>
      <c r="P1234" s="3" t="n">
        <v>3742.07</v>
      </c>
      <c r="Q1234" s="3" t="n">
        <v>2615.36</v>
      </c>
      <c r="R1234" s="3" t="n">
        <v>0.4114</v>
      </c>
      <c r="S1234" s="3" t="n">
        <v>0.0569</v>
      </c>
      <c r="T1234" s="3" t="n">
        <v>0.0087</v>
      </c>
    </row>
    <row r="1235" customFormat="false" ht="15" hidden="false" customHeight="true" outlineLevel="0" collapsed="false">
      <c r="A1235" s="3" t="s">
        <v>2055</v>
      </c>
      <c r="B1235" s="3" t="s">
        <v>1892</v>
      </c>
      <c r="C1235" s="3" t="s">
        <v>22</v>
      </c>
      <c r="D1235" s="3" t="s">
        <v>97</v>
      </c>
      <c r="E1235" s="3" t="s">
        <v>48</v>
      </c>
      <c r="F1235" s="3" t="s">
        <v>40</v>
      </c>
      <c r="G1235" s="3" t="s">
        <v>104</v>
      </c>
      <c r="H1235" s="3" t="s">
        <v>56</v>
      </c>
      <c r="I1235" s="3" t="s">
        <v>121</v>
      </c>
      <c r="J1235" s="3" t="n">
        <v>1</v>
      </c>
      <c r="K1235" s="3" t="n">
        <v>17855.02</v>
      </c>
      <c r="L1235" s="3" t="n">
        <v>17855.02</v>
      </c>
      <c r="M1235" s="3" t="n">
        <v>0.1037</v>
      </c>
      <c r="N1235" s="3" t="n">
        <v>1851.57</v>
      </c>
      <c r="O1235" s="3" t="n">
        <v>16003.45</v>
      </c>
      <c r="P1235" s="3" t="n">
        <v>10713.01</v>
      </c>
      <c r="Q1235" s="3" t="n">
        <v>5290.44</v>
      </c>
      <c r="R1235" s="3" t="n">
        <v>0.3306</v>
      </c>
      <c r="S1235" s="3" t="n">
        <v>0.0853</v>
      </c>
      <c r="T1235" s="3" t="n">
        <v>0.0184</v>
      </c>
    </row>
    <row r="1236" customFormat="false" ht="15" hidden="false" customHeight="true" outlineLevel="0" collapsed="false">
      <c r="A1236" s="3" t="s">
        <v>2056</v>
      </c>
      <c r="B1236" s="3" t="s">
        <v>2057</v>
      </c>
      <c r="C1236" s="3" t="s">
        <v>126</v>
      </c>
      <c r="D1236" s="3" t="s">
        <v>75</v>
      </c>
      <c r="E1236" s="3" t="s">
        <v>39</v>
      </c>
      <c r="F1236" s="3" t="s">
        <v>25</v>
      </c>
      <c r="G1236" s="3" t="s">
        <v>76</v>
      </c>
      <c r="H1236" s="3" t="s">
        <v>77</v>
      </c>
      <c r="I1236" s="3" t="s">
        <v>131</v>
      </c>
      <c r="J1236" s="3" t="n">
        <v>23</v>
      </c>
      <c r="K1236" s="3" t="n">
        <v>1409.85</v>
      </c>
      <c r="L1236" s="3" t="n">
        <v>32426.55</v>
      </c>
      <c r="M1236" s="3" t="n">
        <v>0.1714</v>
      </c>
      <c r="N1236" s="3" t="n">
        <v>5557.91</v>
      </c>
      <c r="O1236" s="3" t="n">
        <v>26868.64</v>
      </c>
      <c r="P1236" s="3" t="n">
        <v>22050.05</v>
      </c>
      <c r="Q1236" s="3" t="n">
        <v>4818.59</v>
      </c>
      <c r="R1236" s="3" t="n">
        <v>0.1793</v>
      </c>
      <c r="S1236" s="3" t="n">
        <v>0.1438</v>
      </c>
      <c r="T1236" s="3" t="n">
        <v>0.0276</v>
      </c>
    </row>
    <row r="1237" customFormat="false" ht="15" hidden="false" customHeight="true" outlineLevel="0" collapsed="false">
      <c r="A1237" s="3" t="s">
        <v>2058</v>
      </c>
      <c r="B1237" s="3" t="s">
        <v>2059</v>
      </c>
      <c r="C1237" s="3" t="s">
        <v>46</v>
      </c>
      <c r="D1237" s="3" t="s">
        <v>47</v>
      </c>
      <c r="E1237" s="3" t="s">
        <v>48</v>
      </c>
      <c r="F1237" s="3" t="s">
        <v>25</v>
      </c>
      <c r="G1237" s="3" t="s">
        <v>116</v>
      </c>
      <c r="H1237" s="3" t="s">
        <v>77</v>
      </c>
      <c r="I1237" s="3" t="s">
        <v>85</v>
      </c>
      <c r="J1237" s="3" t="n">
        <v>5</v>
      </c>
      <c r="K1237" s="3" t="n">
        <v>4351.63</v>
      </c>
      <c r="L1237" s="3" t="n">
        <v>21758.15</v>
      </c>
      <c r="M1237" s="3" t="n">
        <v>0.1658</v>
      </c>
      <c r="N1237" s="3" t="n">
        <v>3607.5</v>
      </c>
      <c r="O1237" s="3" t="n">
        <v>18150.65</v>
      </c>
      <c r="P1237" s="3" t="n">
        <v>14795.54</v>
      </c>
      <c r="Q1237" s="3" t="n">
        <v>3355.11</v>
      </c>
      <c r="R1237" s="3" t="n">
        <v>0.1848</v>
      </c>
      <c r="S1237" s="3" t="n">
        <v>0.1773</v>
      </c>
      <c r="T1237" s="3" t="n">
        <v>-0.0115</v>
      </c>
    </row>
    <row r="1238" customFormat="false" ht="15" hidden="false" customHeight="true" outlineLevel="0" collapsed="false">
      <c r="A1238" s="3" t="s">
        <v>2060</v>
      </c>
      <c r="B1238" s="3" t="s">
        <v>1790</v>
      </c>
      <c r="C1238" s="3" t="s">
        <v>53</v>
      </c>
      <c r="D1238" s="3" t="s">
        <v>69</v>
      </c>
      <c r="E1238" s="3" t="s">
        <v>39</v>
      </c>
      <c r="F1238" s="3" t="s">
        <v>70</v>
      </c>
      <c r="G1238" s="3" t="s">
        <v>76</v>
      </c>
      <c r="H1238" s="3" t="s">
        <v>77</v>
      </c>
      <c r="I1238" s="3" t="s">
        <v>85</v>
      </c>
      <c r="J1238" s="3" t="n">
        <v>50</v>
      </c>
      <c r="K1238" s="3" t="n">
        <v>5718.85</v>
      </c>
      <c r="L1238" s="3" t="n">
        <v>285942.5</v>
      </c>
      <c r="M1238" s="3" t="n">
        <v>0.0576</v>
      </c>
      <c r="N1238" s="3" t="n">
        <v>16470.29</v>
      </c>
      <c r="O1238" s="3" t="n">
        <v>269472.21</v>
      </c>
      <c r="P1238" s="3" t="n">
        <v>194440.9</v>
      </c>
      <c r="Q1238" s="3" t="n">
        <v>75031.31</v>
      </c>
      <c r="R1238" s="3" t="n">
        <v>0.2784</v>
      </c>
      <c r="S1238" s="3" t="n">
        <v>0.0552</v>
      </c>
      <c r="T1238" s="3" t="n">
        <v>0.0024</v>
      </c>
    </row>
    <row r="1239" customFormat="false" ht="15" hidden="false" customHeight="true" outlineLevel="0" collapsed="false">
      <c r="A1239" s="3" t="s">
        <v>2061</v>
      </c>
      <c r="B1239" s="3" t="s">
        <v>939</v>
      </c>
      <c r="C1239" s="3" t="s">
        <v>31</v>
      </c>
      <c r="D1239" s="3" t="s">
        <v>54</v>
      </c>
      <c r="E1239" s="3" t="s">
        <v>24</v>
      </c>
      <c r="F1239" s="3" t="s">
        <v>40</v>
      </c>
      <c r="G1239" s="3" t="s">
        <v>100</v>
      </c>
      <c r="H1239" s="3" t="s">
        <v>42</v>
      </c>
      <c r="I1239" s="3" t="s">
        <v>72</v>
      </c>
      <c r="J1239" s="3" t="n">
        <v>4</v>
      </c>
      <c r="K1239" s="3" t="n">
        <v>2262.06</v>
      </c>
      <c r="L1239" s="3" t="n">
        <v>9048.24</v>
      </c>
      <c r="M1239" s="3" t="n">
        <v>0.0473</v>
      </c>
      <c r="N1239" s="3" t="n">
        <v>427.98</v>
      </c>
      <c r="O1239" s="3" t="n">
        <v>8620.26</v>
      </c>
      <c r="P1239" s="3" t="n">
        <v>4976.53</v>
      </c>
      <c r="Q1239" s="3" t="n">
        <v>3643.73</v>
      </c>
      <c r="R1239" s="3" t="n">
        <v>0.4227</v>
      </c>
      <c r="S1239" s="3" t="n">
        <v>0.0479</v>
      </c>
      <c r="T1239" s="3" t="n">
        <v>-0.0006</v>
      </c>
    </row>
    <row r="1240" customFormat="false" ht="15" hidden="false" customHeight="true" outlineLevel="0" collapsed="false">
      <c r="A1240" s="3" t="s">
        <v>2062</v>
      </c>
      <c r="B1240" s="3" t="s">
        <v>1090</v>
      </c>
      <c r="C1240" s="3" t="s">
        <v>126</v>
      </c>
      <c r="D1240" s="3" t="s">
        <v>38</v>
      </c>
      <c r="E1240" s="3" t="s">
        <v>39</v>
      </c>
      <c r="F1240" s="3" t="s">
        <v>40</v>
      </c>
      <c r="G1240" s="3" t="s">
        <v>116</v>
      </c>
      <c r="H1240" s="3" t="s">
        <v>77</v>
      </c>
      <c r="I1240" s="3" t="s">
        <v>78</v>
      </c>
      <c r="J1240" s="3" t="n">
        <v>9</v>
      </c>
      <c r="K1240" s="3" t="n">
        <v>2177.06</v>
      </c>
      <c r="L1240" s="3" t="n">
        <v>19593.54</v>
      </c>
      <c r="M1240" s="3" t="n">
        <v>0.1129</v>
      </c>
      <c r="N1240" s="3" t="n">
        <v>2212.11</v>
      </c>
      <c r="O1240" s="3" t="n">
        <v>17381.43</v>
      </c>
      <c r="P1240" s="3" t="n">
        <v>13323.61</v>
      </c>
      <c r="Q1240" s="3" t="n">
        <v>4057.82</v>
      </c>
      <c r="R1240" s="3" t="n">
        <v>0.2335</v>
      </c>
      <c r="S1240" s="3" t="n">
        <v>0.1155</v>
      </c>
      <c r="T1240" s="3" t="n">
        <v>-0.0026</v>
      </c>
    </row>
    <row r="1241" customFormat="false" ht="15" hidden="false" customHeight="true" outlineLevel="0" collapsed="false">
      <c r="A1241" s="3" t="s">
        <v>2063</v>
      </c>
      <c r="B1241" s="3" t="s">
        <v>1278</v>
      </c>
      <c r="C1241" s="3" t="s">
        <v>53</v>
      </c>
      <c r="D1241" s="3" t="s">
        <v>69</v>
      </c>
      <c r="E1241" s="3" t="s">
        <v>39</v>
      </c>
      <c r="F1241" s="3" t="s">
        <v>70</v>
      </c>
      <c r="G1241" s="3" t="s">
        <v>26</v>
      </c>
      <c r="H1241" s="3" t="s">
        <v>27</v>
      </c>
      <c r="I1241" s="3" t="s">
        <v>50</v>
      </c>
      <c r="J1241" s="3" t="n">
        <v>10</v>
      </c>
      <c r="K1241" s="3" t="n">
        <v>34124.15</v>
      </c>
      <c r="L1241" s="3" t="n">
        <v>341241.5</v>
      </c>
      <c r="M1241" s="3" t="n">
        <v>0.0318</v>
      </c>
      <c r="N1241" s="3" t="n">
        <v>10851.48</v>
      </c>
      <c r="O1241" s="3" t="n">
        <v>330390.02</v>
      </c>
      <c r="P1241" s="3" t="n">
        <v>211569.73</v>
      </c>
      <c r="Q1241" s="3" t="n">
        <v>118820.29</v>
      </c>
      <c r="R1241" s="3" t="n">
        <v>0.3596</v>
      </c>
      <c r="S1241" s="3" t="n">
        <v>0.0321</v>
      </c>
      <c r="T1241" s="3" t="n">
        <v>-0.0003</v>
      </c>
    </row>
    <row r="1242" customFormat="false" ht="15" hidden="false" customHeight="true" outlineLevel="0" collapsed="false">
      <c r="A1242" s="3" t="s">
        <v>2064</v>
      </c>
      <c r="B1242" s="3" t="s">
        <v>633</v>
      </c>
      <c r="C1242" s="3" t="s">
        <v>22</v>
      </c>
      <c r="D1242" s="3" t="s">
        <v>23</v>
      </c>
      <c r="E1242" s="3" t="s">
        <v>24</v>
      </c>
      <c r="F1242" s="3" t="s">
        <v>25</v>
      </c>
      <c r="G1242" s="3" t="s">
        <v>104</v>
      </c>
      <c r="H1242" s="3" t="s">
        <v>77</v>
      </c>
      <c r="I1242" s="3" t="s">
        <v>131</v>
      </c>
      <c r="J1242" s="3" t="n">
        <v>3</v>
      </c>
      <c r="K1242" s="3" t="n">
        <v>3594.76</v>
      </c>
      <c r="L1242" s="3" t="n">
        <v>10784.28</v>
      </c>
      <c r="M1242" s="3" t="n">
        <v>0.1626</v>
      </c>
      <c r="N1242" s="3" t="n">
        <v>1753.52</v>
      </c>
      <c r="O1242" s="3" t="n">
        <v>9030.76</v>
      </c>
      <c r="P1242" s="3" t="n">
        <v>7333.31</v>
      </c>
      <c r="Q1242" s="3" t="n">
        <v>1697.45</v>
      </c>
      <c r="R1242" s="3" t="n">
        <v>0.188</v>
      </c>
      <c r="S1242" s="3" t="n">
        <v>0.133</v>
      </c>
      <c r="T1242" s="3" t="n">
        <v>0.0296</v>
      </c>
    </row>
    <row r="1243" customFormat="false" ht="15" hidden="false" customHeight="true" outlineLevel="0" collapsed="false">
      <c r="A1243" s="3" t="s">
        <v>2065</v>
      </c>
      <c r="B1243" s="3" t="s">
        <v>208</v>
      </c>
      <c r="C1243" s="3" t="s">
        <v>46</v>
      </c>
      <c r="D1243" s="3" t="s">
        <v>38</v>
      </c>
      <c r="E1243" s="3" t="s">
        <v>39</v>
      </c>
      <c r="F1243" s="3" t="s">
        <v>40</v>
      </c>
      <c r="G1243" s="3" t="s">
        <v>104</v>
      </c>
      <c r="H1243" s="3" t="s">
        <v>77</v>
      </c>
      <c r="I1243" s="3" t="s">
        <v>78</v>
      </c>
      <c r="J1243" s="3" t="n">
        <v>25</v>
      </c>
      <c r="K1243" s="3" t="n">
        <v>5341.31</v>
      </c>
      <c r="L1243" s="3" t="n">
        <v>133532.75</v>
      </c>
      <c r="M1243" s="3" t="n">
        <v>0.0812</v>
      </c>
      <c r="N1243" s="3" t="n">
        <v>10842.86</v>
      </c>
      <c r="O1243" s="3" t="n">
        <v>122689.89</v>
      </c>
      <c r="P1243" s="3" t="n">
        <v>90802.27</v>
      </c>
      <c r="Q1243" s="3" t="n">
        <v>31887.62</v>
      </c>
      <c r="R1243" s="3" t="n">
        <v>0.2599</v>
      </c>
      <c r="S1243" s="3" t="n">
        <v>0.0694</v>
      </c>
      <c r="T1243" s="3" t="n">
        <v>0.0118</v>
      </c>
    </row>
    <row r="1244" customFormat="false" ht="15" hidden="false" customHeight="true" outlineLevel="0" collapsed="false">
      <c r="A1244" s="3" t="s">
        <v>2066</v>
      </c>
      <c r="B1244" s="3" t="s">
        <v>204</v>
      </c>
      <c r="C1244" s="3" t="s">
        <v>37</v>
      </c>
      <c r="D1244" s="3" t="s">
        <v>47</v>
      </c>
      <c r="E1244" s="3" t="s">
        <v>48</v>
      </c>
      <c r="F1244" s="3" t="s">
        <v>25</v>
      </c>
      <c r="G1244" s="3" t="s">
        <v>71</v>
      </c>
      <c r="H1244" s="3" t="s">
        <v>56</v>
      </c>
      <c r="I1244" s="3" t="s">
        <v>188</v>
      </c>
      <c r="J1244" s="3" t="n">
        <v>35</v>
      </c>
      <c r="K1244" s="3" t="n">
        <v>6882.37</v>
      </c>
      <c r="L1244" s="3" t="n">
        <v>240882.95</v>
      </c>
      <c r="M1244" s="3" t="n">
        <v>0.1831</v>
      </c>
      <c r="N1244" s="3" t="n">
        <v>44105.67</v>
      </c>
      <c r="O1244" s="3" t="n">
        <v>196777.28</v>
      </c>
      <c r="P1244" s="3" t="n">
        <v>144529.77</v>
      </c>
      <c r="Q1244" s="3" t="n">
        <v>52247.51</v>
      </c>
      <c r="R1244" s="3" t="n">
        <v>0.2655</v>
      </c>
      <c r="S1244" s="3" t="n">
        <v>0.1972</v>
      </c>
      <c r="T1244" s="3" t="n">
        <v>-0.0141</v>
      </c>
    </row>
    <row r="1245" customFormat="false" ht="15" hidden="false" customHeight="true" outlineLevel="0" collapsed="false">
      <c r="A1245" s="3" t="s">
        <v>2067</v>
      </c>
      <c r="B1245" s="3" t="s">
        <v>1892</v>
      </c>
      <c r="C1245" s="3" t="s">
        <v>22</v>
      </c>
      <c r="D1245" s="3" t="s">
        <v>54</v>
      </c>
      <c r="E1245" s="3" t="s">
        <v>24</v>
      </c>
      <c r="F1245" s="3" t="s">
        <v>40</v>
      </c>
      <c r="G1245" s="3" t="s">
        <v>104</v>
      </c>
      <c r="H1245" s="3" t="s">
        <v>56</v>
      </c>
      <c r="I1245" s="3" t="s">
        <v>188</v>
      </c>
      <c r="J1245" s="3" t="n">
        <v>40</v>
      </c>
      <c r="K1245" s="3" t="n">
        <v>7455.11</v>
      </c>
      <c r="L1245" s="3" t="n">
        <v>298204.4</v>
      </c>
      <c r="M1245" s="3" t="n">
        <v>0.0888</v>
      </c>
      <c r="N1245" s="3" t="n">
        <v>26480.55</v>
      </c>
      <c r="O1245" s="3" t="n">
        <v>271723.85</v>
      </c>
      <c r="P1245" s="3" t="n">
        <v>178922.64</v>
      </c>
      <c r="Q1245" s="3" t="n">
        <v>92801.21</v>
      </c>
      <c r="R1245" s="3" t="n">
        <v>0.3415</v>
      </c>
      <c r="S1245" s="3" t="n">
        <v>0.0926</v>
      </c>
      <c r="T1245" s="3" t="n">
        <v>-0.0038</v>
      </c>
    </row>
    <row r="1246" customFormat="false" ht="15" hidden="false" customHeight="true" outlineLevel="0" collapsed="false">
      <c r="A1246" s="3" t="s">
        <v>2068</v>
      </c>
      <c r="B1246" s="3" t="s">
        <v>452</v>
      </c>
      <c r="C1246" s="3" t="s">
        <v>68</v>
      </c>
      <c r="D1246" s="3" t="s">
        <v>107</v>
      </c>
      <c r="E1246" s="3" t="s">
        <v>33</v>
      </c>
      <c r="F1246" s="3" t="s">
        <v>70</v>
      </c>
      <c r="G1246" s="3" t="s">
        <v>71</v>
      </c>
      <c r="H1246" s="3" t="s">
        <v>77</v>
      </c>
      <c r="I1246" s="3" t="s">
        <v>85</v>
      </c>
      <c r="J1246" s="3" t="n">
        <v>35</v>
      </c>
      <c r="K1246" s="3" t="n">
        <v>2579.61</v>
      </c>
      <c r="L1246" s="3" t="n">
        <v>90286.35</v>
      </c>
      <c r="M1246" s="3" t="n">
        <v>0.0532</v>
      </c>
      <c r="N1246" s="3" t="n">
        <v>4803.23</v>
      </c>
      <c r="O1246" s="3" t="n">
        <v>85483.12</v>
      </c>
      <c r="P1246" s="3" t="n">
        <v>61394.72</v>
      </c>
      <c r="Q1246" s="3" t="n">
        <v>24088.4</v>
      </c>
      <c r="R1246" s="3" t="n">
        <v>0.2818</v>
      </c>
      <c r="S1246" s="3" t="n">
        <v>0.0467</v>
      </c>
      <c r="T1246" s="3" t="n">
        <v>0.0065</v>
      </c>
    </row>
    <row r="1247" customFormat="false" ht="15" hidden="false" customHeight="true" outlineLevel="0" collapsed="false">
      <c r="A1247" s="3" t="s">
        <v>2069</v>
      </c>
      <c r="B1247" s="3" t="s">
        <v>718</v>
      </c>
      <c r="C1247" s="3" t="s">
        <v>53</v>
      </c>
      <c r="D1247" s="3" t="s">
        <v>47</v>
      </c>
      <c r="E1247" s="3" t="s">
        <v>48</v>
      </c>
      <c r="F1247" s="3" t="s">
        <v>25</v>
      </c>
      <c r="G1247" s="3" t="s">
        <v>34</v>
      </c>
      <c r="H1247" s="3" t="s">
        <v>77</v>
      </c>
      <c r="I1247" s="3" t="s">
        <v>85</v>
      </c>
      <c r="J1247" s="3" t="n">
        <v>1</v>
      </c>
      <c r="K1247" s="3" t="n">
        <v>1832.99</v>
      </c>
      <c r="L1247" s="3" t="n">
        <v>1832.99</v>
      </c>
      <c r="M1247" s="3" t="n">
        <v>0.1696</v>
      </c>
      <c r="N1247" s="3" t="n">
        <v>310.88</v>
      </c>
      <c r="O1247" s="3" t="n">
        <v>1522.11</v>
      </c>
      <c r="P1247" s="3" t="n">
        <v>1246.43</v>
      </c>
      <c r="Q1247" s="3" t="n">
        <v>275.68</v>
      </c>
      <c r="R1247" s="3" t="n">
        <v>0.1811</v>
      </c>
      <c r="S1247" s="3" t="n">
        <v>0.1749</v>
      </c>
      <c r="T1247" s="3" t="n">
        <v>-0.0053</v>
      </c>
    </row>
    <row r="1248" customFormat="false" ht="15" hidden="false" customHeight="true" outlineLevel="0" collapsed="false">
      <c r="A1248" s="3" t="s">
        <v>2070</v>
      </c>
      <c r="B1248" s="3" t="s">
        <v>2071</v>
      </c>
      <c r="C1248" s="3" t="s">
        <v>53</v>
      </c>
      <c r="D1248" s="3" t="s">
        <v>54</v>
      </c>
      <c r="E1248" s="3" t="s">
        <v>24</v>
      </c>
      <c r="F1248" s="3" t="s">
        <v>40</v>
      </c>
      <c r="G1248" s="3" t="s">
        <v>63</v>
      </c>
      <c r="H1248" s="3" t="s">
        <v>42</v>
      </c>
      <c r="I1248" s="3" t="s">
        <v>72</v>
      </c>
      <c r="J1248" s="3" t="n">
        <v>18</v>
      </c>
      <c r="K1248" s="3" t="n">
        <v>635.12</v>
      </c>
      <c r="L1248" s="3" t="n">
        <v>11432.16</v>
      </c>
      <c r="M1248" s="3" t="n">
        <v>0.0481</v>
      </c>
      <c r="N1248" s="3" t="n">
        <v>549.89</v>
      </c>
      <c r="O1248" s="3" t="n">
        <v>10882.27</v>
      </c>
      <c r="P1248" s="3" t="n">
        <v>6287.69</v>
      </c>
      <c r="Q1248" s="3" t="n">
        <v>4594.58</v>
      </c>
      <c r="R1248" s="3" t="n">
        <v>0.4222</v>
      </c>
      <c r="S1248" s="3" t="n">
        <v>0.0498</v>
      </c>
      <c r="T1248" s="3" t="n">
        <v>-0.0017</v>
      </c>
    </row>
    <row r="1249" customFormat="false" ht="15" hidden="false" customHeight="true" outlineLevel="0" collapsed="false">
      <c r="A1249" s="3" t="s">
        <v>2072</v>
      </c>
      <c r="B1249" s="3" t="s">
        <v>2073</v>
      </c>
      <c r="C1249" s="3" t="s">
        <v>113</v>
      </c>
      <c r="D1249" s="3" t="s">
        <v>38</v>
      </c>
      <c r="E1249" s="3" t="s">
        <v>39</v>
      </c>
      <c r="F1249" s="3" t="s">
        <v>40</v>
      </c>
      <c r="G1249" s="3" t="s">
        <v>76</v>
      </c>
      <c r="H1249" s="3" t="s">
        <v>27</v>
      </c>
      <c r="I1249" s="3" t="s">
        <v>28</v>
      </c>
      <c r="J1249" s="3" t="n">
        <v>21</v>
      </c>
      <c r="K1249" s="3" t="n">
        <v>26190.11</v>
      </c>
      <c r="L1249" s="3" t="n">
        <v>549992.31</v>
      </c>
      <c r="M1249" s="3" t="n">
        <v>0.0718</v>
      </c>
      <c r="N1249" s="3" t="n">
        <v>39489.45</v>
      </c>
      <c r="O1249" s="3" t="n">
        <v>510502.86</v>
      </c>
      <c r="P1249" s="3" t="n">
        <v>340995.23</v>
      </c>
      <c r="Q1249" s="3" t="n">
        <v>169507.63</v>
      </c>
      <c r="R1249" s="3" t="n">
        <v>0.332</v>
      </c>
      <c r="S1249" s="3" t="n">
        <v>0.067</v>
      </c>
      <c r="T1249" s="3" t="n">
        <v>0.0048</v>
      </c>
    </row>
    <row r="1250" customFormat="false" ht="15" hidden="false" customHeight="true" outlineLevel="0" collapsed="false">
      <c r="A1250" s="3" t="s">
        <v>2074</v>
      </c>
      <c r="B1250" s="3" t="s">
        <v>1043</v>
      </c>
      <c r="C1250" s="3" t="s">
        <v>113</v>
      </c>
      <c r="D1250" s="3" t="s">
        <v>32</v>
      </c>
      <c r="E1250" s="3" t="s">
        <v>33</v>
      </c>
      <c r="F1250" s="3" t="s">
        <v>25</v>
      </c>
      <c r="G1250" s="3" t="s">
        <v>84</v>
      </c>
      <c r="H1250" s="3" t="s">
        <v>77</v>
      </c>
      <c r="I1250" s="3" t="s">
        <v>131</v>
      </c>
      <c r="J1250" s="3" t="n">
        <v>23</v>
      </c>
      <c r="K1250" s="3" t="n">
        <v>1377.62</v>
      </c>
      <c r="L1250" s="3" t="n">
        <v>31685.26</v>
      </c>
      <c r="M1250" s="3" t="n">
        <v>0.1616</v>
      </c>
      <c r="N1250" s="3" t="n">
        <v>5120.34</v>
      </c>
      <c r="O1250" s="3" t="n">
        <v>26564.92</v>
      </c>
      <c r="P1250" s="3" t="n">
        <v>21545.98</v>
      </c>
      <c r="Q1250" s="3" t="n">
        <v>5018.94</v>
      </c>
      <c r="R1250" s="3" t="n">
        <v>0.1889</v>
      </c>
      <c r="S1250" s="3" t="n">
        <v>0.149</v>
      </c>
      <c r="T1250" s="3" t="n">
        <v>0.0126</v>
      </c>
    </row>
    <row r="1251" customFormat="false" ht="15" hidden="false" customHeight="true" outlineLevel="0" collapsed="false">
      <c r="A1251" s="3" t="s">
        <v>2075</v>
      </c>
      <c r="B1251" s="3" t="s">
        <v>1868</v>
      </c>
      <c r="C1251" s="3" t="s">
        <v>53</v>
      </c>
      <c r="D1251" s="3" t="s">
        <v>38</v>
      </c>
      <c r="E1251" s="3" t="s">
        <v>39</v>
      </c>
      <c r="F1251" s="3" t="s">
        <v>40</v>
      </c>
      <c r="G1251" s="3" t="s">
        <v>55</v>
      </c>
      <c r="H1251" s="3" t="s">
        <v>27</v>
      </c>
      <c r="I1251" s="3" t="s">
        <v>50</v>
      </c>
      <c r="J1251" s="3" t="n">
        <v>5</v>
      </c>
      <c r="K1251" s="3" t="n">
        <v>25646.33</v>
      </c>
      <c r="L1251" s="3" t="n">
        <v>128231.65</v>
      </c>
      <c r="M1251" s="3" t="n">
        <v>0.052</v>
      </c>
      <c r="N1251" s="3" t="n">
        <v>6668.05</v>
      </c>
      <c r="O1251" s="3" t="n">
        <v>121563.6</v>
      </c>
      <c r="P1251" s="3" t="n">
        <v>79503.62</v>
      </c>
      <c r="Q1251" s="3" t="n">
        <v>42059.98</v>
      </c>
      <c r="R1251" s="3" t="n">
        <v>0.346</v>
      </c>
      <c r="S1251" s="3" t="n">
        <v>0.0536</v>
      </c>
      <c r="T1251" s="3" t="n">
        <v>-0.0016</v>
      </c>
    </row>
    <row r="1252" customFormat="false" ht="15" hidden="false" customHeight="true" outlineLevel="0" collapsed="false">
      <c r="A1252" s="3" t="s">
        <v>2076</v>
      </c>
      <c r="B1252" s="3" t="s">
        <v>354</v>
      </c>
      <c r="C1252" s="3" t="s">
        <v>22</v>
      </c>
      <c r="D1252" s="3" t="s">
        <v>54</v>
      </c>
      <c r="E1252" s="3" t="s">
        <v>24</v>
      </c>
      <c r="F1252" s="3" t="s">
        <v>40</v>
      </c>
      <c r="G1252" s="3" t="s">
        <v>41</v>
      </c>
      <c r="H1252" s="3" t="s">
        <v>42</v>
      </c>
      <c r="I1252" s="3" t="s">
        <v>134</v>
      </c>
      <c r="J1252" s="3" t="n">
        <v>12</v>
      </c>
      <c r="K1252" s="3" t="n">
        <v>1295.97</v>
      </c>
      <c r="L1252" s="3" t="n">
        <v>15551.64</v>
      </c>
      <c r="M1252" s="3" t="n">
        <v>0.0821</v>
      </c>
      <c r="N1252" s="3" t="n">
        <v>1276.79</v>
      </c>
      <c r="O1252" s="3" t="n">
        <v>14274.85</v>
      </c>
      <c r="P1252" s="3" t="n">
        <v>8553.4</v>
      </c>
      <c r="Q1252" s="3" t="n">
        <v>5721.45</v>
      </c>
      <c r="R1252" s="3" t="n">
        <v>0.4008</v>
      </c>
      <c r="S1252" s="3" t="n">
        <v>0.0714</v>
      </c>
      <c r="T1252" s="3" t="n">
        <v>0.0107</v>
      </c>
    </row>
    <row r="1253" customFormat="false" ht="15" hidden="false" customHeight="true" outlineLevel="0" collapsed="false">
      <c r="A1253" s="3" t="s">
        <v>2077</v>
      </c>
      <c r="B1253" s="3" t="s">
        <v>52</v>
      </c>
      <c r="C1253" s="3" t="s">
        <v>53</v>
      </c>
      <c r="D1253" s="3" t="s">
        <v>23</v>
      </c>
      <c r="E1253" s="3" t="s">
        <v>24</v>
      </c>
      <c r="F1253" s="3" t="s">
        <v>25</v>
      </c>
      <c r="G1253" s="3" t="s">
        <v>71</v>
      </c>
      <c r="H1253" s="3" t="s">
        <v>27</v>
      </c>
      <c r="I1253" s="3" t="s">
        <v>117</v>
      </c>
      <c r="J1253" s="3" t="n">
        <v>29</v>
      </c>
      <c r="K1253" s="3" t="n">
        <v>24215.01</v>
      </c>
      <c r="L1253" s="3" t="n">
        <v>702235.29</v>
      </c>
      <c r="M1253" s="3" t="n">
        <v>0.1024</v>
      </c>
      <c r="N1253" s="3" t="n">
        <v>71908.89</v>
      </c>
      <c r="O1253" s="3" t="n">
        <v>630326.4</v>
      </c>
      <c r="P1253" s="3" t="n">
        <v>435385.88</v>
      </c>
      <c r="Q1253" s="3" t="n">
        <v>194940.52</v>
      </c>
      <c r="R1253" s="3" t="n">
        <v>0.3093</v>
      </c>
      <c r="S1253" s="3" t="n">
        <v>0.0837</v>
      </c>
      <c r="T1253" s="3" t="n">
        <v>0.0187</v>
      </c>
    </row>
    <row r="1254" customFormat="false" ht="15" hidden="false" customHeight="true" outlineLevel="0" collapsed="false">
      <c r="A1254" s="3" t="s">
        <v>2078</v>
      </c>
      <c r="B1254" s="3" t="s">
        <v>1386</v>
      </c>
      <c r="C1254" s="3" t="s">
        <v>53</v>
      </c>
      <c r="D1254" s="3" t="s">
        <v>97</v>
      </c>
      <c r="E1254" s="3" t="s">
        <v>48</v>
      </c>
      <c r="F1254" s="3" t="s">
        <v>40</v>
      </c>
      <c r="G1254" s="3" t="s">
        <v>104</v>
      </c>
      <c r="H1254" s="3" t="s">
        <v>42</v>
      </c>
      <c r="I1254" s="3" t="s">
        <v>134</v>
      </c>
      <c r="J1254" s="3" t="n">
        <v>23</v>
      </c>
      <c r="K1254" s="3" t="n">
        <v>2874.36</v>
      </c>
      <c r="L1254" s="3" t="n">
        <v>66110.28</v>
      </c>
      <c r="M1254" s="3" t="n">
        <v>0.0788</v>
      </c>
      <c r="N1254" s="3" t="n">
        <v>5209.49</v>
      </c>
      <c r="O1254" s="3" t="n">
        <v>60900.79</v>
      </c>
      <c r="P1254" s="3" t="n">
        <v>36360.65</v>
      </c>
      <c r="Q1254" s="3" t="n">
        <v>24540.14</v>
      </c>
      <c r="R1254" s="3" t="n">
        <v>0.403</v>
      </c>
      <c r="S1254" s="3" t="n">
        <v>0.0713</v>
      </c>
      <c r="T1254" s="3" t="n">
        <v>0.0075</v>
      </c>
    </row>
    <row r="1255" customFormat="false" ht="15" hidden="false" customHeight="true" outlineLevel="0" collapsed="false">
      <c r="A1255" s="3" t="s">
        <v>2079</v>
      </c>
      <c r="B1255" s="3" t="s">
        <v>639</v>
      </c>
      <c r="C1255" s="3" t="s">
        <v>31</v>
      </c>
      <c r="D1255" s="3" t="s">
        <v>61</v>
      </c>
      <c r="E1255" s="3" t="s">
        <v>33</v>
      </c>
      <c r="F1255" s="3" t="s">
        <v>62</v>
      </c>
      <c r="G1255" s="3" t="s">
        <v>116</v>
      </c>
      <c r="H1255" s="3" t="s">
        <v>56</v>
      </c>
      <c r="I1255" s="3" t="s">
        <v>57</v>
      </c>
      <c r="J1255" s="3" t="n">
        <v>16</v>
      </c>
      <c r="K1255" s="3" t="n">
        <v>10176.57</v>
      </c>
      <c r="L1255" s="3" t="n">
        <v>162825.12</v>
      </c>
      <c r="M1255" s="3" t="n">
        <v>0.083</v>
      </c>
      <c r="N1255" s="3" t="n">
        <v>13514.48</v>
      </c>
      <c r="O1255" s="3" t="n">
        <v>149310.64</v>
      </c>
      <c r="P1255" s="3" t="n">
        <v>97695.07</v>
      </c>
      <c r="Q1255" s="3" t="n">
        <v>51615.57</v>
      </c>
      <c r="R1255" s="3" t="n">
        <v>0.3457</v>
      </c>
      <c r="S1255" s="3" t="n">
        <v>0.0682</v>
      </c>
      <c r="T1255" s="3" t="n">
        <v>0.0148</v>
      </c>
    </row>
    <row r="1256" customFormat="false" ht="15" hidden="false" customHeight="true" outlineLevel="0" collapsed="false">
      <c r="A1256" s="3" t="s">
        <v>2080</v>
      </c>
      <c r="B1256" s="3" t="s">
        <v>471</v>
      </c>
      <c r="C1256" s="3" t="s">
        <v>93</v>
      </c>
      <c r="D1256" s="3" t="s">
        <v>47</v>
      </c>
      <c r="E1256" s="3" t="s">
        <v>48</v>
      </c>
      <c r="F1256" s="3" t="s">
        <v>25</v>
      </c>
      <c r="G1256" s="3" t="s">
        <v>104</v>
      </c>
      <c r="H1256" s="3" t="s">
        <v>42</v>
      </c>
      <c r="I1256" s="3" t="s">
        <v>43</v>
      </c>
      <c r="J1256" s="3" t="n">
        <v>24</v>
      </c>
      <c r="K1256" s="3" t="n">
        <v>1642.89</v>
      </c>
      <c r="L1256" s="3" t="n">
        <v>39429.36</v>
      </c>
      <c r="M1256" s="3" t="n">
        <v>0.1655</v>
      </c>
      <c r="N1256" s="3" t="n">
        <v>6525.56</v>
      </c>
      <c r="O1256" s="3" t="n">
        <v>32903.8</v>
      </c>
      <c r="P1256" s="3" t="n">
        <v>21686.15</v>
      </c>
      <c r="Q1256" s="3" t="n">
        <v>11217.65</v>
      </c>
      <c r="R1256" s="3" t="n">
        <v>0.3409</v>
      </c>
      <c r="S1256" s="3" t="n">
        <v>0.1792</v>
      </c>
      <c r="T1256" s="3" t="n">
        <v>-0.0137</v>
      </c>
    </row>
    <row r="1257" customFormat="false" ht="15" hidden="false" customHeight="true" outlineLevel="0" collapsed="false">
      <c r="A1257" s="3" t="s">
        <v>2081</v>
      </c>
      <c r="B1257" s="3" t="s">
        <v>803</v>
      </c>
      <c r="C1257" s="3" t="s">
        <v>156</v>
      </c>
      <c r="D1257" s="3" t="s">
        <v>54</v>
      </c>
      <c r="E1257" s="3" t="s">
        <v>24</v>
      </c>
      <c r="F1257" s="3" t="s">
        <v>40</v>
      </c>
      <c r="G1257" s="3" t="s">
        <v>41</v>
      </c>
      <c r="H1257" s="3" t="s">
        <v>56</v>
      </c>
      <c r="I1257" s="3" t="s">
        <v>188</v>
      </c>
      <c r="J1257" s="3" t="n">
        <v>19</v>
      </c>
      <c r="K1257" s="3" t="n">
        <v>7892.83</v>
      </c>
      <c r="L1257" s="3" t="n">
        <v>149963.77</v>
      </c>
      <c r="M1257" s="3" t="n">
        <v>0.133</v>
      </c>
      <c r="N1257" s="3" t="n">
        <v>19945.18</v>
      </c>
      <c r="O1257" s="3" t="n">
        <v>130018.59</v>
      </c>
      <c r="P1257" s="3" t="n">
        <v>89978.26</v>
      </c>
      <c r="Q1257" s="3" t="n">
        <v>40040.33</v>
      </c>
      <c r="R1257" s="3" t="n">
        <v>0.308</v>
      </c>
      <c r="S1257" s="3" t="n">
        <v>0.1106</v>
      </c>
      <c r="T1257" s="3" t="n">
        <v>0.0224</v>
      </c>
    </row>
    <row r="1258" customFormat="false" ht="15" hidden="false" customHeight="true" outlineLevel="0" collapsed="false">
      <c r="A1258" s="3" t="s">
        <v>2082</v>
      </c>
      <c r="B1258" s="3" t="s">
        <v>914</v>
      </c>
      <c r="C1258" s="3" t="s">
        <v>37</v>
      </c>
      <c r="D1258" s="3" t="s">
        <v>69</v>
      </c>
      <c r="E1258" s="3" t="s">
        <v>39</v>
      </c>
      <c r="F1258" s="3" t="s">
        <v>70</v>
      </c>
      <c r="G1258" s="3" t="s">
        <v>26</v>
      </c>
      <c r="H1258" s="3" t="s">
        <v>42</v>
      </c>
      <c r="I1258" s="3" t="s">
        <v>72</v>
      </c>
      <c r="J1258" s="3" t="n">
        <v>33</v>
      </c>
      <c r="K1258" s="3" t="n">
        <v>3233.06</v>
      </c>
      <c r="L1258" s="3" t="n">
        <v>106690.98</v>
      </c>
      <c r="M1258" s="3" t="n">
        <v>0.0692</v>
      </c>
      <c r="N1258" s="3" t="n">
        <v>7383.02</v>
      </c>
      <c r="O1258" s="3" t="n">
        <v>99307.96</v>
      </c>
      <c r="P1258" s="3" t="n">
        <v>58680.04</v>
      </c>
      <c r="Q1258" s="3" t="n">
        <v>40627.92</v>
      </c>
      <c r="R1258" s="3" t="n">
        <v>0.4091</v>
      </c>
      <c r="S1258" s="3" t="n">
        <v>0.0748</v>
      </c>
      <c r="T1258" s="3" t="n">
        <v>-0.0056</v>
      </c>
    </row>
    <row r="1259" customFormat="false" ht="15" hidden="false" customHeight="true" outlineLevel="0" collapsed="false">
      <c r="A1259" s="3" t="s">
        <v>2083</v>
      </c>
      <c r="B1259" s="3" t="s">
        <v>1872</v>
      </c>
      <c r="C1259" s="3" t="s">
        <v>22</v>
      </c>
      <c r="D1259" s="3" t="s">
        <v>47</v>
      </c>
      <c r="E1259" s="3" t="s">
        <v>48</v>
      </c>
      <c r="F1259" s="3" t="s">
        <v>25</v>
      </c>
      <c r="G1259" s="3" t="s">
        <v>71</v>
      </c>
      <c r="H1259" s="3" t="s">
        <v>56</v>
      </c>
      <c r="I1259" s="3" t="s">
        <v>188</v>
      </c>
      <c r="J1259" s="3" t="n">
        <v>25</v>
      </c>
      <c r="K1259" s="3" t="n">
        <v>13620.16</v>
      </c>
      <c r="L1259" s="3" t="n">
        <v>340504</v>
      </c>
      <c r="M1259" s="3" t="n">
        <v>0.1601</v>
      </c>
      <c r="N1259" s="3" t="n">
        <v>54514.69</v>
      </c>
      <c r="O1259" s="3" t="n">
        <v>285989.31</v>
      </c>
      <c r="P1259" s="3" t="n">
        <v>204302.4</v>
      </c>
      <c r="Q1259" s="3" t="n">
        <v>81686.91</v>
      </c>
      <c r="R1259" s="3" t="n">
        <v>0.2856</v>
      </c>
      <c r="S1259" s="3" t="n">
        <v>0.1741</v>
      </c>
      <c r="T1259" s="3" t="n">
        <v>-0.014</v>
      </c>
    </row>
    <row r="1260" customFormat="false" ht="15" hidden="false" customHeight="true" outlineLevel="0" collapsed="false">
      <c r="A1260" s="3" t="s">
        <v>2084</v>
      </c>
      <c r="B1260" s="3" t="s">
        <v>2085</v>
      </c>
      <c r="C1260" s="3" t="s">
        <v>120</v>
      </c>
      <c r="D1260" s="3" t="s">
        <v>69</v>
      </c>
      <c r="E1260" s="3" t="s">
        <v>39</v>
      </c>
      <c r="F1260" s="3" t="s">
        <v>70</v>
      </c>
      <c r="G1260" s="3" t="s">
        <v>55</v>
      </c>
      <c r="H1260" s="3" t="s">
        <v>56</v>
      </c>
      <c r="I1260" s="3" t="s">
        <v>121</v>
      </c>
      <c r="J1260" s="3" t="n">
        <v>47</v>
      </c>
      <c r="K1260" s="3" t="n">
        <v>12085.19</v>
      </c>
      <c r="L1260" s="3" t="n">
        <v>568003.93</v>
      </c>
      <c r="M1260" s="3" t="n">
        <v>0.0509</v>
      </c>
      <c r="N1260" s="3" t="n">
        <v>28911.4</v>
      </c>
      <c r="O1260" s="3" t="n">
        <v>539092.53</v>
      </c>
      <c r="P1260" s="3" t="n">
        <v>340802.36</v>
      </c>
      <c r="Q1260" s="3" t="n">
        <v>198290.17</v>
      </c>
      <c r="R1260" s="3" t="n">
        <v>0.3678</v>
      </c>
      <c r="S1260" s="3" t="n">
        <v>0.0537</v>
      </c>
      <c r="T1260" s="3" t="n">
        <v>-0.0028</v>
      </c>
    </row>
    <row r="1261" customFormat="false" ht="15" hidden="false" customHeight="true" outlineLevel="0" collapsed="false">
      <c r="A1261" s="3" t="s">
        <v>2086</v>
      </c>
      <c r="B1261" s="3" t="s">
        <v>1803</v>
      </c>
      <c r="C1261" s="3" t="s">
        <v>126</v>
      </c>
      <c r="D1261" s="3" t="s">
        <v>107</v>
      </c>
      <c r="E1261" s="3" t="s">
        <v>33</v>
      </c>
      <c r="F1261" s="3" t="s">
        <v>70</v>
      </c>
      <c r="G1261" s="3" t="s">
        <v>84</v>
      </c>
      <c r="H1261" s="3" t="s">
        <v>27</v>
      </c>
      <c r="I1261" s="3" t="s">
        <v>94</v>
      </c>
      <c r="J1261" s="3" t="n">
        <v>34</v>
      </c>
      <c r="K1261" s="3" t="n">
        <v>29094.33</v>
      </c>
      <c r="L1261" s="3" t="n">
        <v>989207.22</v>
      </c>
      <c r="M1261" s="3" t="n">
        <v>0.0521</v>
      </c>
      <c r="N1261" s="3" t="n">
        <v>51537.7</v>
      </c>
      <c r="O1261" s="3" t="n">
        <v>937669.52</v>
      </c>
      <c r="P1261" s="3" t="n">
        <v>613308.48</v>
      </c>
      <c r="Q1261" s="3" t="n">
        <v>324361.04</v>
      </c>
      <c r="R1261" s="3" t="n">
        <v>0.3459</v>
      </c>
      <c r="S1261" s="3" t="n">
        <v>0.0447</v>
      </c>
      <c r="T1261" s="3" t="n">
        <v>0.0074</v>
      </c>
    </row>
    <row r="1262" customFormat="false" ht="15" hidden="false" customHeight="true" outlineLevel="0" collapsed="false">
      <c r="A1262" s="3" t="s">
        <v>2087</v>
      </c>
      <c r="B1262" s="3" t="s">
        <v>1119</v>
      </c>
      <c r="C1262" s="3" t="s">
        <v>53</v>
      </c>
      <c r="D1262" s="3" t="s">
        <v>38</v>
      </c>
      <c r="E1262" s="3" t="s">
        <v>39</v>
      </c>
      <c r="F1262" s="3" t="s">
        <v>40</v>
      </c>
      <c r="G1262" s="3" t="s">
        <v>49</v>
      </c>
      <c r="H1262" s="3" t="s">
        <v>42</v>
      </c>
      <c r="I1262" s="3" t="s">
        <v>43</v>
      </c>
      <c r="J1262" s="3" t="n">
        <v>50</v>
      </c>
      <c r="K1262" s="3" t="n">
        <v>1350.76</v>
      </c>
      <c r="L1262" s="3" t="n">
        <v>67538</v>
      </c>
      <c r="M1262" s="3" t="n">
        <v>0.0789</v>
      </c>
      <c r="N1262" s="3" t="n">
        <v>5328.75</v>
      </c>
      <c r="O1262" s="3" t="n">
        <v>62209.25</v>
      </c>
      <c r="P1262" s="3" t="n">
        <v>37145.9</v>
      </c>
      <c r="Q1262" s="3" t="n">
        <v>25063.35</v>
      </c>
      <c r="R1262" s="3" t="n">
        <v>0.4029</v>
      </c>
      <c r="S1262" s="3" t="n">
        <v>0.0739</v>
      </c>
      <c r="T1262" s="3" t="n">
        <v>0.005</v>
      </c>
    </row>
    <row r="1263" customFormat="false" ht="15" hidden="false" customHeight="true" outlineLevel="0" collapsed="false">
      <c r="A1263" s="3" t="s">
        <v>2088</v>
      </c>
      <c r="B1263" s="3" t="s">
        <v>738</v>
      </c>
      <c r="C1263" s="3" t="s">
        <v>37</v>
      </c>
      <c r="D1263" s="3" t="s">
        <v>97</v>
      </c>
      <c r="E1263" s="3" t="s">
        <v>48</v>
      </c>
      <c r="F1263" s="3" t="s">
        <v>40</v>
      </c>
      <c r="G1263" s="3" t="s">
        <v>84</v>
      </c>
      <c r="H1263" s="3" t="s">
        <v>27</v>
      </c>
      <c r="I1263" s="3" t="s">
        <v>117</v>
      </c>
      <c r="J1263" s="3" t="n">
        <v>27</v>
      </c>
      <c r="K1263" s="3" t="n">
        <v>31449.55</v>
      </c>
      <c r="L1263" s="3" t="n">
        <v>849137.85</v>
      </c>
      <c r="M1263" s="3" t="n">
        <v>0.0481</v>
      </c>
      <c r="N1263" s="3" t="n">
        <v>40843.53</v>
      </c>
      <c r="O1263" s="3" t="n">
        <v>808294.32</v>
      </c>
      <c r="P1263" s="3" t="n">
        <v>526465.47</v>
      </c>
      <c r="Q1263" s="3" t="n">
        <v>281828.85</v>
      </c>
      <c r="R1263" s="3" t="n">
        <v>0.3487</v>
      </c>
      <c r="S1263" s="3" t="n">
        <v>0.0466</v>
      </c>
      <c r="T1263" s="3" t="n">
        <v>0.0015</v>
      </c>
    </row>
    <row r="1264" customFormat="false" ht="15" hidden="false" customHeight="true" outlineLevel="0" collapsed="false">
      <c r="A1264" s="3" t="s">
        <v>2089</v>
      </c>
      <c r="B1264" s="3" t="s">
        <v>1285</v>
      </c>
      <c r="C1264" s="3" t="s">
        <v>53</v>
      </c>
      <c r="D1264" s="3" t="s">
        <v>61</v>
      </c>
      <c r="E1264" s="3" t="s">
        <v>33</v>
      </c>
      <c r="F1264" s="3" t="s">
        <v>62</v>
      </c>
      <c r="G1264" s="3" t="s">
        <v>84</v>
      </c>
      <c r="H1264" s="3" t="s">
        <v>42</v>
      </c>
      <c r="I1264" s="3" t="s">
        <v>72</v>
      </c>
      <c r="J1264" s="3" t="n">
        <v>29</v>
      </c>
      <c r="K1264" s="3" t="n">
        <v>2618.27</v>
      </c>
      <c r="L1264" s="3" t="n">
        <v>75929.83</v>
      </c>
      <c r="M1264" s="3" t="n">
        <v>0.0693</v>
      </c>
      <c r="N1264" s="3" t="n">
        <v>5261.94</v>
      </c>
      <c r="O1264" s="3" t="n">
        <v>70667.89</v>
      </c>
      <c r="P1264" s="3" t="n">
        <v>41761.41</v>
      </c>
      <c r="Q1264" s="3" t="n">
        <v>28906.48</v>
      </c>
      <c r="R1264" s="3" t="n">
        <v>0.409</v>
      </c>
      <c r="S1264" s="3" t="n">
        <v>0.0673</v>
      </c>
      <c r="T1264" s="3" t="n">
        <v>0.002</v>
      </c>
    </row>
    <row r="1265" customFormat="false" ht="15" hidden="false" customHeight="true" outlineLevel="0" collapsed="false">
      <c r="A1265" s="3" t="s">
        <v>2090</v>
      </c>
      <c r="B1265" s="3" t="s">
        <v>2091</v>
      </c>
      <c r="C1265" s="3" t="s">
        <v>126</v>
      </c>
      <c r="D1265" s="3" t="s">
        <v>75</v>
      </c>
      <c r="E1265" s="3" t="s">
        <v>39</v>
      </c>
      <c r="F1265" s="3" t="s">
        <v>25</v>
      </c>
      <c r="G1265" s="3" t="s">
        <v>63</v>
      </c>
      <c r="H1265" s="3" t="s">
        <v>56</v>
      </c>
      <c r="I1265" s="3" t="s">
        <v>188</v>
      </c>
      <c r="J1265" s="3" t="n">
        <v>43</v>
      </c>
      <c r="K1265" s="3" t="n">
        <v>12785.68</v>
      </c>
      <c r="L1265" s="3" t="n">
        <v>549784.24</v>
      </c>
      <c r="M1265" s="3" t="n">
        <v>0.0977</v>
      </c>
      <c r="N1265" s="3" t="n">
        <v>53713.92</v>
      </c>
      <c r="O1265" s="3" t="n">
        <v>496070.32</v>
      </c>
      <c r="P1265" s="3" t="n">
        <v>329870.54</v>
      </c>
      <c r="Q1265" s="3" t="n">
        <v>166199.78</v>
      </c>
      <c r="R1265" s="3" t="n">
        <v>0.335</v>
      </c>
      <c r="S1265" s="3" t="n">
        <v>0.0882</v>
      </c>
      <c r="T1265" s="3" t="n">
        <v>0.0095</v>
      </c>
    </row>
    <row r="1266" customFormat="false" ht="15" hidden="false" customHeight="true" outlineLevel="0" collapsed="false">
      <c r="A1266" s="3" t="s">
        <v>2092</v>
      </c>
      <c r="B1266" s="3" t="s">
        <v>2093</v>
      </c>
      <c r="C1266" s="3" t="s">
        <v>113</v>
      </c>
      <c r="D1266" s="3" t="s">
        <v>61</v>
      </c>
      <c r="E1266" s="3" t="s">
        <v>33</v>
      </c>
      <c r="F1266" s="3" t="s">
        <v>62</v>
      </c>
      <c r="G1266" s="3" t="s">
        <v>63</v>
      </c>
      <c r="H1266" s="3" t="s">
        <v>27</v>
      </c>
      <c r="I1266" s="3" t="s">
        <v>173</v>
      </c>
      <c r="J1266" s="3" t="n">
        <v>10</v>
      </c>
      <c r="K1266" s="3" t="n">
        <v>24160.83</v>
      </c>
      <c r="L1266" s="3" t="n">
        <v>241608.3</v>
      </c>
      <c r="M1266" s="3" t="n">
        <v>0.0588</v>
      </c>
      <c r="N1266" s="3" t="n">
        <v>14206.57</v>
      </c>
      <c r="O1266" s="3" t="n">
        <v>227401.73</v>
      </c>
      <c r="P1266" s="3" t="n">
        <v>149797.15</v>
      </c>
      <c r="Q1266" s="3" t="n">
        <v>77604.58</v>
      </c>
      <c r="R1266" s="3" t="n">
        <v>0.3413</v>
      </c>
      <c r="S1266" s="3" t="n">
        <v>0.0629</v>
      </c>
      <c r="T1266" s="3" t="n">
        <v>-0.0041</v>
      </c>
    </row>
    <row r="1267" customFormat="false" ht="15" hidden="false" customHeight="true" outlineLevel="0" collapsed="false">
      <c r="A1267" s="3" t="s">
        <v>2094</v>
      </c>
      <c r="B1267" s="3" t="s">
        <v>2095</v>
      </c>
      <c r="C1267" s="3" t="s">
        <v>120</v>
      </c>
      <c r="D1267" s="3" t="s">
        <v>83</v>
      </c>
      <c r="E1267" s="3" t="s">
        <v>48</v>
      </c>
      <c r="F1267" s="3" t="s">
        <v>62</v>
      </c>
      <c r="G1267" s="3" t="s">
        <v>116</v>
      </c>
      <c r="H1267" s="3" t="s">
        <v>27</v>
      </c>
      <c r="I1267" s="3" t="s">
        <v>117</v>
      </c>
      <c r="J1267" s="3" t="n">
        <v>49</v>
      </c>
      <c r="K1267" s="3" t="n">
        <v>21396.02</v>
      </c>
      <c r="L1267" s="3" t="n">
        <v>1048404.98</v>
      </c>
      <c r="M1267" s="3" t="n">
        <v>0.1149</v>
      </c>
      <c r="N1267" s="3" t="n">
        <v>120461.73</v>
      </c>
      <c r="O1267" s="3" t="n">
        <v>927943.25</v>
      </c>
      <c r="P1267" s="3" t="n">
        <v>650011.09</v>
      </c>
      <c r="Q1267" s="3" t="n">
        <v>277932.16</v>
      </c>
      <c r="R1267" s="3" t="n">
        <v>0.2995</v>
      </c>
      <c r="S1267" s="3" t="n">
        <v>0.0963</v>
      </c>
      <c r="T1267" s="3" t="n">
        <v>0.0186</v>
      </c>
    </row>
    <row r="1268" customFormat="false" ht="15" hidden="false" customHeight="true" outlineLevel="0" collapsed="false">
      <c r="A1268" s="3" t="s">
        <v>2096</v>
      </c>
      <c r="B1268" s="3" t="s">
        <v>2097</v>
      </c>
      <c r="C1268" s="3" t="s">
        <v>46</v>
      </c>
      <c r="D1268" s="3" t="s">
        <v>32</v>
      </c>
      <c r="E1268" s="3" t="s">
        <v>33</v>
      </c>
      <c r="F1268" s="3" t="s">
        <v>25</v>
      </c>
      <c r="G1268" s="3" t="s">
        <v>26</v>
      </c>
      <c r="H1268" s="3" t="s">
        <v>77</v>
      </c>
      <c r="I1268" s="3" t="s">
        <v>131</v>
      </c>
      <c r="J1268" s="3" t="n">
        <v>5</v>
      </c>
      <c r="K1268" s="3" t="n">
        <v>2001.29</v>
      </c>
      <c r="L1268" s="3" t="n">
        <v>10006.45</v>
      </c>
      <c r="M1268" s="3" t="n">
        <v>0.146</v>
      </c>
      <c r="N1268" s="3" t="n">
        <v>1460.94</v>
      </c>
      <c r="O1268" s="3" t="n">
        <v>8545.51</v>
      </c>
      <c r="P1268" s="3" t="n">
        <v>6804.39</v>
      </c>
      <c r="Q1268" s="3" t="n">
        <v>1741.12</v>
      </c>
      <c r="R1268" s="3" t="n">
        <v>0.2037</v>
      </c>
      <c r="S1268" s="3" t="n">
        <v>0.1564</v>
      </c>
      <c r="T1268" s="3" t="n">
        <v>-0.0104</v>
      </c>
    </row>
    <row r="1269" customFormat="false" ht="15" hidden="false" customHeight="true" outlineLevel="0" collapsed="false">
      <c r="A1269" s="3" t="s">
        <v>2098</v>
      </c>
      <c r="B1269" s="3" t="s">
        <v>36</v>
      </c>
      <c r="C1269" s="3" t="s">
        <v>37</v>
      </c>
      <c r="D1269" s="3" t="s">
        <v>103</v>
      </c>
      <c r="E1269" s="3" t="s">
        <v>24</v>
      </c>
      <c r="F1269" s="3" t="s">
        <v>62</v>
      </c>
      <c r="G1269" s="3" t="s">
        <v>26</v>
      </c>
      <c r="H1269" s="3" t="s">
        <v>64</v>
      </c>
      <c r="I1269" s="3" t="s">
        <v>90</v>
      </c>
      <c r="J1269" s="3" t="n">
        <v>46</v>
      </c>
      <c r="K1269" s="3" t="n">
        <v>8012.47</v>
      </c>
      <c r="L1269" s="3" t="n">
        <v>368573.62</v>
      </c>
      <c r="M1269" s="3" t="n">
        <v>0.0447</v>
      </c>
      <c r="N1269" s="3" t="n">
        <v>16475.24</v>
      </c>
      <c r="O1269" s="3" t="n">
        <v>352098.38</v>
      </c>
      <c r="P1269" s="3" t="n">
        <v>213772.7</v>
      </c>
      <c r="Q1269" s="3" t="n">
        <v>138325.68</v>
      </c>
      <c r="R1269" s="3" t="n">
        <v>0.3929</v>
      </c>
      <c r="S1269" s="3" t="n">
        <v>0.0478</v>
      </c>
      <c r="T1269" s="3" t="n">
        <v>-0.0031</v>
      </c>
    </row>
    <row r="1270" customFormat="false" ht="15" hidden="false" customHeight="true" outlineLevel="0" collapsed="false">
      <c r="A1270" s="3" t="s">
        <v>2099</v>
      </c>
      <c r="B1270" s="3" t="s">
        <v>2100</v>
      </c>
      <c r="C1270" s="3" t="s">
        <v>37</v>
      </c>
      <c r="D1270" s="3" t="s">
        <v>103</v>
      </c>
      <c r="E1270" s="3" t="s">
        <v>24</v>
      </c>
      <c r="F1270" s="3" t="s">
        <v>62</v>
      </c>
      <c r="G1270" s="3" t="s">
        <v>55</v>
      </c>
      <c r="H1270" s="3" t="s">
        <v>56</v>
      </c>
      <c r="I1270" s="3" t="s">
        <v>121</v>
      </c>
      <c r="J1270" s="3" t="n">
        <v>47</v>
      </c>
      <c r="K1270" s="3" t="n">
        <v>3724.35</v>
      </c>
      <c r="L1270" s="3" t="n">
        <v>175044.45</v>
      </c>
      <c r="M1270" s="3" t="n">
        <v>0.0323</v>
      </c>
      <c r="N1270" s="3" t="n">
        <v>5653.94</v>
      </c>
      <c r="O1270" s="3" t="n">
        <v>169390.51</v>
      </c>
      <c r="P1270" s="3" t="n">
        <v>105026.67</v>
      </c>
      <c r="Q1270" s="3" t="n">
        <v>64363.84</v>
      </c>
      <c r="R1270" s="3" t="n">
        <v>0.38</v>
      </c>
      <c r="S1270" s="3" t="n">
        <v>0.035</v>
      </c>
      <c r="T1270" s="3" t="n">
        <v>-0.0027</v>
      </c>
    </row>
    <row r="1271" customFormat="false" ht="15" hidden="false" customHeight="true" outlineLevel="0" collapsed="false">
      <c r="A1271" s="3" t="s">
        <v>2101</v>
      </c>
      <c r="B1271" s="3" t="s">
        <v>2102</v>
      </c>
      <c r="C1271" s="3" t="s">
        <v>68</v>
      </c>
      <c r="D1271" s="3" t="s">
        <v>47</v>
      </c>
      <c r="E1271" s="3" t="s">
        <v>48</v>
      </c>
      <c r="F1271" s="3" t="s">
        <v>25</v>
      </c>
      <c r="G1271" s="3" t="s">
        <v>63</v>
      </c>
      <c r="H1271" s="3" t="s">
        <v>77</v>
      </c>
      <c r="I1271" s="3" t="s">
        <v>85</v>
      </c>
      <c r="J1271" s="3" t="n">
        <v>31</v>
      </c>
      <c r="K1271" s="3" t="n">
        <v>2588.6</v>
      </c>
      <c r="L1271" s="3" t="n">
        <v>80246.6</v>
      </c>
      <c r="M1271" s="3" t="n">
        <v>0.1637</v>
      </c>
      <c r="N1271" s="3" t="n">
        <v>13136.37</v>
      </c>
      <c r="O1271" s="3" t="n">
        <v>67110.23</v>
      </c>
      <c r="P1271" s="3" t="n">
        <v>54567.69</v>
      </c>
      <c r="Q1271" s="3" t="n">
        <v>12542.54</v>
      </c>
      <c r="R1271" s="3" t="n">
        <v>0.1869</v>
      </c>
      <c r="S1271" s="3" t="n">
        <v>0.1351</v>
      </c>
      <c r="T1271" s="3" t="n">
        <v>0.0286</v>
      </c>
    </row>
    <row r="1272" customFormat="false" ht="15" hidden="false" customHeight="true" outlineLevel="0" collapsed="false">
      <c r="A1272" s="3" t="s">
        <v>2103</v>
      </c>
      <c r="B1272" s="3" t="s">
        <v>2104</v>
      </c>
      <c r="C1272" s="3" t="s">
        <v>68</v>
      </c>
      <c r="D1272" s="3" t="s">
        <v>32</v>
      </c>
      <c r="E1272" s="3" t="s">
        <v>33</v>
      </c>
      <c r="F1272" s="3" t="s">
        <v>25</v>
      </c>
      <c r="G1272" s="3" t="s">
        <v>49</v>
      </c>
      <c r="H1272" s="3" t="s">
        <v>56</v>
      </c>
      <c r="I1272" s="3" t="s">
        <v>121</v>
      </c>
      <c r="J1272" s="3" t="n">
        <v>30</v>
      </c>
      <c r="K1272" s="3" t="n">
        <v>12782.51</v>
      </c>
      <c r="L1272" s="3" t="n">
        <v>383475.3</v>
      </c>
      <c r="M1272" s="3" t="n">
        <v>0.1241</v>
      </c>
      <c r="N1272" s="3" t="n">
        <v>47589.28</v>
      </c>
      <c r="O1272" s="3" t="n">
        <v>335886.02</v>
      </c>
      <c r="P1272" s="3" t="n">
        <v>230085.18</v>
      </c>
      <c r="Q1272" s="3" t="n">
        <v>105800.84</v>
      </c>
      <c r="R1272" s="3" t="n">
        <v>0.315</v>
      </c>
      <c r="S1272" s="3" t="n">
        <v>0.1261</v>
      </c>
      <c r="T1272" s="3" t="n">
        <v>-0.002</v>
      </c>
    </row>
    <row r="1273" customFormat="false" ht="15" hidden="false" customHeight="true" outlineLevel="0" collapsed="false">
      <c r="A1273" s="3" t="s">
        <v>2105</v>
      </c>
      <c r="B1273" s="3" t="s">
        <v>1126</v>
      </c>
      <c r="C1273" s="3" t="s">
        <v>68</v>
      </c>
      <c r="D1273" s="3" t="s">
        <v>54</v>
      </c>
      <c r="E1273" s="3" t="s">
        <v>24</v>
      </c>
      <c r="F1273" s="3" t="s">
        <v>40</v>
      </c>
      <c r="G1273" s="3" t="s">
        <v>76</v>
      </c>
      <c r="H1273" s="3" t="s">
        <v>27</v>
      </c>
      <c r="I1273" s="3" t="s">
        <v>117</v>
      </c>
      <c r="J1273" s="3" t="n">
        <v>4</v>
      </c>
      <c r="K1273" s="3" t="n">
        <v>23785.39</v>
      </c>
      <c r="L1273" s="3" t="n">
        <v>95141.56</v>
      </c>
      <c r="M1273" s="3" t="n">
        <v>0.0582</v>
      </c>
      <c r="N1273" s="3" t="n">
        <v>5537.24</v>
      </c>
      <c r="O1273" s="3" t="n">
        <v>89604.32</v>
      </c>
      <c r="P1273" s="3" t="n">
        <v>58987.77</v>
      </c>
      <c r="Q1273" s="3" t="n">
        <v>30616.55</v>
      </c>
      <c r="R1273" s="3" t="n">
        <v>0.3417</v>
      </c>
      <c r="S1273" s="3" t="n">
        <v>0.0567</v>
      </c>
      <c r="T1273" s="3" t="n">
        <v>0.0015</v>
      </c>
    </row>
    <row r="1274" customFormat="false" ht="15" hidden="false" customHeight="true" outlineLevel="0" collapsed="false">
      <c r="A1274" s="3" t="s">
        <v>2106</v>
      </c>
      <c r="B1274" s="3" t="s">
        <v>151</v>
      </c>
      <c r="C1274" s="3" t="s">
        <v>113</v>
      </c>
      <c r="D1274" s="3" t="s">
        <v>47</v>
      </c>
      <c r="E1274" s="3" t="s">
        <v>48</v>
      </c>
      <c r="F1274" s="3" t="s">
        <v>25</v>
      </c>
      <c r="G1274" s="3" t="s">
        <v>63</v>
      </c>
      <c r="H1274" s="3" t="s">
        <v>42</v>
      </c>
      <c r="I1274" s="3" t="s">
        <v>134</v>
      </c>
      <c r="J1274" s="3" t="n">
        <v>12</v>
      </c>
      <c r="K1274" s="3" t="n">
        <v>1615.02</v>
      </c>
      <c r="L1274" s="3" t="n">
        <v>19380.24</v>
      </c>
      <c r="M1274" s="3" t="n">
        <v>0.121</v>
      </c>
      <c r="N1274" s="3" t="n">
        <v>2345.01</v>
      </c>
      <c r="O1274" s="3" t="n">
        <v>17035.23</v>
      </c>
      <c r="P1274" s="3" t="n">
        <v>10659.13</v>
      </c>
      <c r="Q1274" s="3" t="n">
        <v>6376.1</v>
      </c>
      <c r="R1274" s="3" t="n">
        <v>0.3743</v>
      </c>
      <c r="S1274" s="3" t="n">
        <v>0.1125</v>
      </c>
      <c r="T1274" s="3" t="n">
        <v>0.0085</v>
      </c>
    </row>
    <row r="1275" customFormat="false" ht="15" hidden="false" customHeight="true" outlineLevel="0" collapsed="false">
      <c r="A1275" s="3" t="s">
        <v>2107</v>
      </c>
      <c r="B1275" s="3" t="s">
        <v>500</v>
      </c>
      <c r="C1275" s="3" t="s">
        <v>126</v>
      </c>
      <c r="D1275" s="3" t="s">
        <v>54</v>
      </c>
      <c r="E1275" s="3" t="s">
        <v>24</v>
      </c>
      <c r="F1275" s="3" t="s">
        <v>40</v>
      </c>
      <c r="G1275" s="3" t="s">
        <v>49</v>
      </c>
      <c r="H1275" s="3" t="s">
        <v>56</v>
      </c>
      <c r="I1275" s="3" t="s">
        <v>121</v>
      </c>
      <c r="J1275" s="3" t="n">
        <v>19</v>
      </c>
      <c r="K1275" s="3" t="n">
        <v>3591.46</v>
      </c>
      <c r="L1275" s="3" t="n">
        <v>68237.74</v>
      </c>
      <c r="M1275" s="3" t="n">
        <v>0.0383</v>
      </c>
      <c r="N1275" s="3" t="n">
        <v>2613.51</v>
      </c>
      <c r="O1275" s="3" t="n">
        <v>65624.23</v>
      </c>
      <c r="P1275" s="3" t="n">
        <v>40942.64</v>
      </c>
      <c r="Q1275" s="3" t="n">
        <v>24681.59</v>
      </c>
      <c r="R1275" s="3" t="n">
        <v>0.3761</v>
      </c>
      <c r="S1275" s="3" t="n">
        <v>0.0338</v>
      </c>
      <c r="T1275" s="3" t="n">
        <v>0.0045</v>
      </c>
    </row>
    <row r="1276" customFormat="false" ht="15" hidden="false" customHeight="true" outlineLevel="0" collapsed="false">
      <c r="A1276" s="3" t="s">
        <v>2108</v>
      </c>
      <c r="B1276" s="3" t="s">
        <v>1837</v>
      </c>
      <c r="C1276" s="3" t="s">
        <v>120</v>
      </c>
      <c r="D1276" s="3" t="s">
        <v>83</v>
      </c>
      <c r="E1276" s="3" t="s">
        <v>48</v>
      </c>
      <c r="F1276" s="3" t="s">
        <v>62</v>
      </c>
      <c r="G1276" s="3" t="s">
        <v>76</v>
      </c>
      <c r="H1276" s="3" t="s">
        <v>64</v>
      </c>
      <c r="I1276" s="3" t="s">
        <v>108</v>
      </c>
      <c r="J1276" s="3" t="n">
        <v>17</v>
      </c>
      <c r="K1276" s="3" t="n">
        <v>11452.84</v>
      </c>
      <c r="L1276" s="3" t="n">
        <v>194698.28</v>
      </c>
      <c r="M1276" s="3" t="n">
        <v>0.0794</v>
      </c>
      <c r="N1276" s="3" t="n">
        <v>15459.04</v>
      </c>
      <c r="O1276" s="3" t="n">
        <v>179239.24</v>
      </c>
      <c r="P1276" s="3" t="n">
        <v>112925</v>
      </c>
      <c r="Q1276" s="3" t="n">
        <v>66314.24</v>
      </c>
      <c r="R1276" s="3" t="n">
        <v>0.37</v>
      </c>
      <c r="S1276" s="3" t="n">
        <v>0.0856</v>
      </c>
      <c r="T1276" s="3" t="n">
        <v>-0.0062</v>
      </c>
    </row>
    <row r="1277" customFormat="false" ht="15" hidden="false" customHeight="true" outlineLevel="0" collapsed="false">
      <c r="A1277" s="3" t="s">
        <v>2109</v>
      </c>
      <c r="B1277" s="3" t="s">
        <v>2110</v>
      </c>
      <c r="C1277" s="3" t="s">
        <v>113</v>
      </c>
      <c r="D1277" s="3" t="s">
        <v>23</v>
      </c>
      <c r="E1277" s="3" t="s">
        <v>24</v>
      </c>
      <c r="F1277" s="3" t="s">
        <v>25</v>
      </c>
      <c r="G1277" s="3" t="s">
        <v>116</v>
      </c>
      <c r="H1277" s="3" t="s">
        <v>42</v>
      </c>
      <c r="I1277" s="3" t="s">
        <v>43</v>
      </c>
      <c r="J1277" s="3" t="n">
        <v>33</v>
      </c>
      <c r="K1277" s="3" t="n">
        <v>1223.95</v>
      </c>
      <c r="L1277" s="3" t="n">
        <v>40390.35</v>
      </c>
      <c r="M1277" s="3" t="n">
        <v>0.166</v>
      </c>
      <c r="N1277" s="3" t="n">
        <v>6704.8</v>
      </c>
      <c r="O1277" s="3" t="n">
        <v>33685.55</v>
      </c>
      <c r="P1277" s="3" t="n">
        <v>22214.69</v>
      </c>
      <c r="Q1277" s="3" t="n">
        <v>11470.86</v>
      </c>
      <c r="R1277" s="3" t="n">
        <v>0.3405</v>
      </c>
      <c r="S1277" s="3" t="n">
        <v>0.1332</v>
      </c>
      <c r="T1277" s="3" t="n">
        <v>0.0328</v>
      </c>
    </row>
    <row r="1278" customFormat="false" ht="15" hidden="false" customHeight="true" outlineLevel="0" collapsed="false">
      <c r="A1278" s="3" t="s">
        <v>2111</v>
      </c>
      <c r="B1278" s="3" t="s">
        <v>1514</v>
      </c>
      <c r="C1278" s="3" t="s">
        <v>120</v>
      </c>
      <c r="D1278" s="3" t="s">
        <v>32</v>
      </c>
      <c r="E1278" s="3" t="s">
        <v>33</v>
      </c>
      <c r="F1278" s="3" t="s">
        <v>25</v>
      </c>
      <c r="G1278" s="3" t="s">
        <v>76</v>
      </c>
      <c r="H1278" s="3" t="s">
        <v>42</v>
      </c>
      <c r="I1278" s="3" t="s">
        <v>43</v>
      </c>
      <c r="J1278" s="3" t="n">
        <v>37</v>
      </c>
      <c r="K1278" s="3" t="n">
        <v>3796.32</v>
      </c>
      <c r="L1278" s="3" t="n">
        <v>140463.84</v>
      </c>
      <c r="M1278" s="3" t="n">
        <v>0.1269</v>
      </c>
      <c r="N1278" s="3" t="n">
        <v>17824.86</v>
      </c>
      <c r="O1278" s="3" t="n">
        <v>122638.98</v>
      </c>
      <c r="P1278" s="3" t="n">
        <v>77255.11</v>
      </c>
      <c r="Q1278" s="3" t="n">
        <v>45383.87</v>
      </c>
      <c r="R1278" s="3" t="n">
        <v>0.3701</v>
      </c>
      <c r="S1278" s="3" t="n">
        <v>0.1332</v>
      </c>
      <c r="T1278" s="3" t="n">
        <v>-0.0063</v>
      </c>
    </row>
    <row r="1279" customFormat="false" ht="15" hidden="false" customHeight="true" outlineLevel="0" collapsed="false">
      <c r="A1279" s="3" t="s">
        <v>2112</v>
      </c>
      <c r="B1279" s="3" t="s">
        <v>306</v>
      </c>
      <c r="C1279" s="3" t="s">
        <v>60</v>
      </c>
      <c r="D1279" s="3" t="s">
        <v>54</v>
      </c>
      <c r="E1279" s="3" t="s">
        <v>24</v>
      </c>
      <c r="F1279" s="3" t="s">
        <v>40</v>
      </c>
      <c r="G1279" s="3" t="s">
        <v>84</v>
      </c>
      <c r="H1279" s="3" t="s">
        <v>27</v>
      </c>
      <c r="I1279" s="3" t="s">
        <v>28</v>
      </c>
      <c r="J1279" s="3" t="n">
        <v>32</v>
      </c>
      <c r="K1279" s="3" t="n">
        <v>36444.15</v>
      </c>
      <c r="L1279" s="3" t="n">
        <v>1166212.8</v>
      </c>
      <c r="M1279" s="3" t="n">
        <v>0.0432</v>
      </c>
      <c r="N1279" s="3" t="n">
        <v>50380.39</v>
      </c>
      <c r="O1279" s="3" t="n">
        <v>1115832.41</v>
      </c>
      <c r="P1279" s="3" t="n">
        <v>723051.94</v>
      </c>
      <c r="Q1279" s="3" t="n">
        <v>392780.47</v>
      </c>
      <c r="R1279" s="3" t="n">
        <v>0.352</v>
      </c>
      <c r="S1279" s="3" t="n">
        <v>0.0474</v>
      </c>
      <c r="T1279" s="3" t="n">
        <v>-0.0042</v>
      </c>
    </row>
    <row r="1280" customFormat="false" ht="15" hidden="false" customHeight="true" outlineLevel="0" collapsed="false">
      <c r="A1280" s="3" t="s">
        <v>2113</v>
      </c>
      <c r="B1280" s="3" t="s">
        <v>2029</v>
      </c>
      <c r="C1280" s="3" t="s">
        <v>68</v>
      </c>
      <c r="D1280" s="3" t="s">
        <v>97</v>
      </c>
      <c r="E1280" s="3" t="s">
        <v>48</v>
      </c>
      <c r="F1280" s="3" t="s">
        <v>40</v>
      </c>
      <c r="G1280" s="3" t="s">
        <v>116</v>
      </c>
      <c r="H1280" s="3" t="s">
        <v>27</v>
      </c>
      <c r="I1280" s="3" t="s">
        <v>50</v>
      </c>
      <c r="J1280" s="3" t="n">
        <v>15</v>
      </c>
      <c r="K1280" s="3" t="n">
        <v>31816.88</v>
      </c>
      <c r="L1280" s="3" t="n">
        <v>477253.2</v>
      </c>
      <c r="M1280" s="3" t="n">
        <v>0.0995</v>
      </c>
      <c r="N1280" s="3" t="n">
        <v>47486.69</v>
      </c>
      <c r="O1280" s="3" t="n">
        <v>429766.51</v>
      </c>
      <c r="P1280" s="3" t="n">
        <v>295896.98</v>
      </c>
      <c r="Q1280" s="3" t="n">
        <v>133869.53</v>
      </c>
      <c r="R1280" s="3" t="n">
        <v>0.3115</v>
      </c>
      <c r="S1280" s="3" t="n">
        <v>0.0896</v>
      </c>
      <c r="T1280" s="3" t="n">
        <v>0.0099</v>
      </c>
    </row>
    <row r="1281" customFormat="false" ht="15" hidden="false" customHeight="true" outlineLevel="0" collapsed="false">
      <c r="A1281" s="3" t="s">
        <v>2114</v>
      </c>
      <c r="B1281" s="3" t="s">
        <v>778</v>
      </c>
      <c r="C1281" s="3" t="s">
        <v>120</v>
      </c>
      <c r="D1281" s="3" t="s">
        <v>83</v>
      </c>
      <c r="E1281" s="3" t="s">
        <v>48</v>
      </c>
      <c r="F1281" s="3" t="s">
        <v>62</v>
      </c>
      <c r="G1281" s="3" t="s">
        <v>116</v>
      </c>
      <c r="H1281" s="3" t="s">
        <v>56</v>
      </c>
      <c r="I1281" s="3" t="s">
        <v>121</v>
      </c>
      <c r="J1281" s="3" t="n">
        <v>21</v>
      </c>
      <c r="K1281" s="3" t="n">
        <v>13308.96</v>
      </c>
      <c r="L1281" s="3" t="n">
        <v>279488.16</v>
      </c>
      <c r="M1281" s="3" t="n">
        <v>0.0961</v>
      </c>
      <c r="N1281" s="3" t="n">
        <v>26858.81</v>
      </c>
      <c r="O1281" s="3" t="n">
        <v>252629.35</v>
      </c>
      <c r="P1281" s="3" t="n">
        <v>167692.9</v>
      </c>
      <c r="Q1281" s="3" t="n">
        <v>84936.45</v>
      </c>
      <c r="R1281" s="3" t="n">
        <v>0.3362</v>
      </c>
      <c r="S1281" s="3" t="n">
        <v>0.1038</v>
      </c>
      <c r="T1281" s="3" t="n">
        <v>-0.0077</v>
      </c>
    </row>
    <row r="1282" customFormat="false" ht="15" hidden="false" customHeight="true" outlineLevel="0" collapsed="false">
      <c r="A1282" s="3" t="s">
        <v>2115</v>
      </c>
      <c r="B1282" s="3" t="s">
        <v>2116</v>
      </c>
      <c r="C1282" s="3" t="s">
        <v>156</v>
      </c>
      <c r="D1282" s="3" t="s">
        <v>107</v>
      </c>
      <c r="E1282" s="3" t="s">
        <v>33</v>
      </c>
      <c r="F1282" s="3" t="s">
        <v>70</v>
      </c>
      <c r="G1282" s="3" t="s">
        <v>100</v>
      </c>
      <c r="H1282" s="3" t="s">
        <v>42</v>
      </c>
      <c r="I1282" s="3" t="s">
        <v>43</v>
      </c>
      <c r="J1282" s="3" t="n">
        <v>41</v>
      </c>
      <c r="K1282" s="3" t="n">
        <v>2813.96</v>
      </c>
      <c r="L1282" s="3" t="n">
        <v>115372.36</v>
      </c>
      <c r="M1282" s="3" t="n">
        <v>0.0318</v>
      </c>
      <c r="N1282" s="3" t="n">
        <v>3668.84</v>
      </c>
      <c r="O1282" s="3" t="n">
        <v>111703.52</v>
      </c>
      <c r="P1282" s="3" t="n">
        <v>63454.8</v>
      </c>
      <c r="Q1282" s="3" t="n">
        <v>48248.72</v>
      </c>
      <c r="R1282" s="3" t="n">
        <v>0.4319</v>
      </c>
      <c r="S1282" s="3" t="n">
        <v>0.0278</v>
      </c>
      <c r="T1282" s="3" t="n">
        <v>0.004</v>
      </c>
    </row>
    <row r="1283" customFormat="false" ht="15" hidden="false" customHeight="true" outlineLevel="0" collapsed="false">
      <c r="A1283" s="3" t="s">
        <v>2117</v>
      </c>
      <c r="B1283" s="3" t="s">
        <v>1475</v>
      </c>
      <c r="C1283" s="3" t="s">
        <v>113</v>
      </c>
      <c r="D1283" s="3" t="s">
        <v>38</v>
      </c>
      <c r="E1283" s="3" t="s">
        <v>39</v>
      </c>
      <c r="F1283" s="3" t="s">
        <v>40</v>
      </c>
      <c r="G1283" s="3" t="s">
        <v>71</v>
      </c>
      <c r="H1283" s="3" t="s">
        <v>77</v>
      </c>
      <c r="I1283" s="3" t="s">
        <v>131</v>
      </c>
      <c r="J1283" s="3" t="n">
        <v>31</v>
      </c>
      <c r="K1283" s="3" t="n">
        <v>2139.26</v>
      </c>
      <c r="L1283" s="3" t="n">
        <v>66317.06</v>
      </c>
      <c r="M1283" s="3" t="n">
        <v>0.0376</v>
      </c>
      <c r="N1283" s="3" t="n">
        <v>2493.52</v>
      </c>
      <c r="O1283" s="3" t="n">
        <v>63823.54</v>
      </c>
      <c r="P1283" s="3" t="n">
        <v>45095.6</v>
      </c>
      <c r="Q1283" s="3" t="n">
        <v>18727.94</v>
      </c>
      <c r="R1283" s="3" t="n">
        <v>0.2934</v>
      </c>
      <c r="S1283" s="3" t="n">
        <v>0.0383</v>
      </c>
      <c r="T1283" s="3" t="n">
        <v>-0.0007</v>
      </c>
    </row>
    <row r="1284" customFormat="false" ht="15" hidden="false" customHeight="true" outlineLevel="0" collapsed="false">
      <c r="A1284" s="3" t="s">
        <v>2118</v>
      </c>
      <c r="B1284" s="3" t="s">
        <v>198</v>
      </c>
      <c r="C1284" s="3" t="s">
        <v>113</v>
      </c>
      <c r="D1284" s="3" t="s">
        <v>54</v>
      </c>
      <c r="E1284" s="3" t="s">
        <v>24</v>
      </c>
      <c r="F1284" s="3" t="s">
        <v>40</v>
      </c>
      <c r="G1284" s="3" t="s">
        <v>71</v>
      </c>
      <c r="H1284" s="3" t="s">
        <v>64</v>
      </c>
      <c r="I1284" s="3" t="s">
        <v>108</v>
      </c>
      <c r="J1284" s="3" t="n">
        <v>34</v>
      </c>
      <c r="K1284" s="3" t="n">
        <v>10882.78</v>
      </c>
      <c r="L1284" s="3" t="n">
        <v>370014.52</v>
      </c>
      <c r="M1284" s="3" t="n">
        <v>0.0729</v>
      </c>
      <c r="N1284" s="3" t="n">
        <v>26974.06</v>
      </c>
      <c r="O1284" s="3" t="n">
        <v>343040.46</v>
      </c>
      <c r="P1284" s="3" t="n">
        <v>214608.42</v>
      </c>
      <c r="Q1284" s="3" t="n">
        <v>128432.04</v>
      </c>
      <c r="R1284" s="3" t="n">
        <v>0.3744</v>
      </c>
      <c r="S1284" s="3" t="n">
        <v>0.0584</v>
      </c>
      <c r="T1284" s="3" t="n">
        <v>0.0145</v>
      </c>
    </row>
    <row r="1285" customFormat="false" ht="15" hidden="false" customHeight="true" outlineLevel="0" collapsed="false">
      <c r="A1285" s="3" t="s">
        <v>2119</v>
      </c>
      <c r="B1285" s="3" t="s">
        <v>82</v>
      </c>
      <c r="C1285" s="3" t="s">
        <v>53</v>
      </c>
      <c r="D1285" s="3" t="s">
        <v>61</v>
      </c>
      <c r="E1285" s="3" t="s">
        <v>33</v>
      </c>
      <c r="F1285" s="3" t="s">
        <v>62</v>
      </c>
      <c r="G1285" s="3" t="s">
        <v>55</v>
      </c>
      <c r="H1285" s="3" t="s">
        <v>77</v>
      </c>
      <c r="I1285" s="3" t="s">
        <v>85</v>
      </c>
      <c r="J1285" s="3" t="n">
        <v>12</v>
      </c>
      <c r="K1285" s="3" t="n">
        <v>2201.03</v>
      </c>
      <c r="L1285" s="3" t="n">
        <v>26412.36</v>
      </c>
      <c r="M1285" s="3" t="n">
        <v>0.0319</v>
      </c>
      <c r="N1285" s="3" t="n">
        <v>842.55</v>
      </c>
      <c r="O1285" s="3" t="n">
        <v>25569.81</v>
      </c>
      <c r="P1285" s="3" t="n">
        <v>17960.4</v>
      </c>
      <c r="Q1285" s="3" t="n">
        <v>7609.41</v>
      </c>
      <c r="R1285" s="3" t="n">
        <v>0.2976</v>
      </c>
      <c r="S1285" s="3" t="n">
        <v>0.0314</v>
      </c>
      <c r="T1285" s="3" t="n">
        <v>0.0005</v>
      </c>
    </row>
    <row r="1286" customFormat="false" ht="15" hidden="false" customHeight="true" outlineLevel="0" collapsed="false">
      <c r="A1286" s="3" t="s">
        <v>2120</v>
      </c>
      <c r="B1286" s="3" t="s">
        <v>1699</v>
      </c>
      <c r="C1286" s="3" t="s">
        <v>126</v>
      </c>
      <c r="D1286" s="3" t="s">
        <v>23</v>
      </c>
      <c r="E1286" s="3" t="s">
        <v>24</v>
      </c>
      <c r="F1286" s="3" t="s">
        <v>25</v>
      </c>
      <c r="G1286" s="3" t="s">
        <v>71</v>
      </c>
      <c r="H1286" s="3" t="s">
        <v>56</v>
      </c>
      <c r="I1286" s="3" t="s">
        <v>188</v>
      </c>
      <c r="J1286" s="3" t="n">
        <v>34</v>
      </c>
      <c r="K1286" s="3" t="n">
        <v>7579.26</v>
      </c>
      <c r="L1286" s="3" t="n">
        <v>257694.84</v>
      </c>
      <c r="M1286" s="3" t="n">
        <v>0.1173</v>
      </c>
      <c r="N1286" s="3" t="n">
        <v>30227.6</v>
      </c>
      <c r="O1286" s="3" t="n">
        <v>227467.24</v>
      </c>
      <c r="P1286" s="3" t="n">
        <v>154616.9</v>
      </c>
      <c r="Q1286" s="3" t="n">
        <v>72850.34</v>
      </c>
      <c r="R1286" s="3" t="n">
        <v>0.3203</v>
      </c>
      <c r="S1286" s="3" t="n">
        <v>0.1234</v>
      </c>
      <c r="T1286" s="3" t="n">
        <v>-0.0061</v>
      </c>
    </row>
    <row r="1287" customFormat="false" ht="15" hidden="false" customHeight="true" outlineLevel="0" collapsed="false">
      <c r="A1287" s="3" t="s">
        <v>2121</v>
      </c>
      <c r="B1287" s="3" t="s">
        <v>177</v>
      </c>
      <c r="C1287" s="3" t="s">
        <v>126</v>
      </c>
      <c r="D1287" s="3" t="s">
        <v>54</v>
      </c>
      <c r="E1287" s="3" t="s">
        <v>24</v>
      </c>
      <c r="F1287" s="3" t="s">
        <v>40</v>
      </c>
      <c r="G1287" s="3" t="s">
        <v>71</v>
      </c>
      <c r="H1287" s="3" t="s">
        <v>77</v>
      </c>
      <c r="I1287" s="3" t="s">
        <v>78</v>
      </c>
      <c r="J1287" s="3" t="n">
        <v>23</v>
      </c>
      <c r="K1287" s="3" t="n">
        <v>3082.61</v>
      </c>
      <c r="L1287" s="3" t="n">
        <v>70900.03</v>
      </c>
      <c r="M1287" s="3" t="n">
        <v>0.0572</v>
      </c>
      <c r="N1287" s="3" t="n">
        <v>4055.48</v>
      </c>
      <c r="O1287" s="3" t="n">
        <v>66844.55</v>
      </c>
      <c r="P1287" s="3" t="n">
        <v>48212.02</v>
      </c>
      <c r="Q1287" s="3" t="n">
        <v>18632.53</v>
      </c>
      <c r="R1287" s="3" t="n">
        <v>0.2787</v>
      </c>
      <c r="S1287" s="3" t="n">
        <v>0.0474</v>
      </c>
      <c r="T1287" s="3" t="n">
        <v>0.0098</v>
      </c>
    </row>
    <row r="1288" customFormat="false" ht="15" hidden="false" customHeight="true" outlineLevel="0" collapsed="false">
      <c r="A1288" s="3" t="s">
        <v>2122</v>
      </c>
      <c r="B1288" s="3" t="s">
        <v>1407</v>
      </c>
      <c r="C1288" s="3" t="s">
        <v>60</v>
      </c>
      <c r="D1288" s="3" t="s">
        <v>61</v>
      </c>
      <c r="E1288" s="3" t="s">
        <v>33</v>
      </c>
      <c r="F1288" s="3" t="s">
        <v>62</v>
      </c>
      <c r="G1288" s="3" t="s">
        <v>84</v>
      </c>
      <c r="H1288" s="3" t="s">
        <v>42</v>
      </c>
      <c r="I1288" s="3" t="s">
        <v>134</v>
      </c>
      <c r="J1288" s="3" t="n">
        <v>43</v>
      </c>
      <c r="K1288" s="3" t="n">
        <v>1638.89</v>
      </c>
      <c r="L1288" s="3" t="n">
        <v>70472.27</v>
      </c>
      <c r="M1288" s="3" t="n">
        <v>0.0512</v>
      </c>
      <c r="N1288" s="3" t="n">
        <v>3608.18</v>
      </c>
      <c r="O1288" s="3" t="n">
        <v>66864.09</v>
      </c>
      <c r="P1288" s="3" t="n">
        <v>38759.75</v>
      </c>
      <c r="Q1288" s="3" t="n">
        <v>28104.34</v>
      </c>
      <c r="R1288" s="3" t="n">
        <v>0.4203</v>
      </c>
      <c r="S1288" s="3" t="n">
        <v>0.0481</v>
      </c>
      <c r="T1288" s="3" t="n">
        <v>0.0031</v>
      </c>
    </row>
    <row r="1289" customFormat="false" ht="15" hidden="false" customHeight="true" outlineLevel="0" collapsed="false">
      <c r="A1289" s="3" t="s">
        <v>2123</v>
      </c>
      <c r="B1289" s="3" t="s">
        <v>929</v>
      </c>
      <c r="C1289" s="3" t="s">
        <v>93</v>
      </c>
      <c r="D1289" s="3" t="s">
        <v>103</v>
      </c>
      <c r="E1289" s="3" t="s">
        <v>24</v>
      </c>
      <c r="F1289" s="3" t="s">
        <v>62</v>
      </c>
      <c r="G1289" s="3" t="s">
        <v>26</v>
      </c>
      <c r="H1289" s="3" t="s">
        <v>27</v>
      </c>
      <c r="I1289" s="3" t="s">
        <v>50</v>
      </c>
      <c r="J1289" s="3" t="n">
        <v>9</v>
      </c>
      <c r="K1289" s="3" t="n">
        <v>20738.86</v>
      </c>
      <c r="L1289" s="3" t="n">
        <v>186649.74</v>
      </c>
      <c r="M1289" s="3" t="n">
        <v>0.0687</v>
      </c>
      <c r="N1289" s="3" t="n">
        <v>12822.84</v>
      </c>
      <c r="O1289" s="3" t="n">
        <v>173826.9</v>
      </c>
      <c r="P1289" s="3" t="n">
        <v>115722.84</v>
      </c>
      <c r="Q1289" s="3" t="n">
        <v>58104.06</v>
      </c>
      <c r="R1289" s="3" t="n">
        <v>0.3343</v>
      </c>
      <c r="S1289" s="3" t="n">
        <v>0.0723</v>
      </c>
      <c r="T1289" s="3" t="n">
        <v>-0.0036</v>
      </c>
    </row>
    <row r="1290" customFormat="false" ht="15" hidden="false" customHeight="true" outlineLevel="0" collapsed="false">
      <c r="A1290" s="3" t="s">
        <v>2124</v>
      </c>
      <c r="B1290" s="3" t="s">
        <v>2125</v>
      </c>
      <c r="C1290" s="3" t="s">
        <v>113</v>
      </c>
      <c r="D1290" s="3" t="s">
        <v>83</v>
      </c>
      <c r="E1290" s="3" t="s">
        <v>48</v>
      </c>
      <c r="F1290" s="3" t="s">
        <v>62</v>
      </c>
      <c r="G1290" s="3" t="s">
        <v>71</v>
      </c>
      <c r="H1290" s="3" t="s">
        <v>56</v>
      </c>
      <c r="I1290" s="3" t="s">
        <v>57</v>
      </c>
      <c r="J1290" s="3" t="n">
        <v>19</v>
      </c>
      <c r="K1290" s="3" t="n">
        <v>5757.76</v>
      </c>
      <c r="L1290" s="3" t="n">
        <v>109397.44</v>
      </c>
      <c r="M1290" s="3" t="n">
        <v>0.0434</v>
      </c>
      <c r="N1290" s="3" t="n">
        <v>4747.85</v>
      </c>
      <c r="O1290" s="3" t="n">
        <v>104649.59</v>
      </c>
      <c r="P1290" s="3" t="n">
        <v>65638.46</v>
      </c>
      <c r="Q1290" s="3" t="n">
        <v>39011.13</v>
      </c>
      <c r="R1290" s="3" t="n">
        <v>0.3728</v>
      </c>
      <c r="S1290" s="3" t="n">
        <v>0.0463</v>
      </c>
      <c r="T1290" s="3" t="n">
        <v>-0.0029</v>
      </c>
    </row>
    <row r="1291" customFormat="false" ht="15" hidden="false" customHeight="true" outlineLevel="0" collapsed="false">
      <c r="A1291" s="3" t="s">
        <v>2126</v>
      </c>
      <c r="B1291" s="3" t="s">
        <v>1852</v>
      </c>
      <c r="C1291" s="3" t="s">
        <v>31</v>
      </c>
      <c r="D1291" s="3" t="s">
        <v>47</v>
      </c>
      <c r="E1291" s="3" t="s">
        <v>48</v>
      </c>
      <c r="F1291" s="3" t="s">
        <v>25</v>
      </c>
      <c r="G1291" s="3" t="s">
        <v>49</v>
      </c>
      <c r="H1291" s="3" t="s">
        <v>27</v>
      </c>
      <c r="I1291" s="3" t="s">
        <v>94</v>
      </c>
      <c r="J1291" s="3" t="n">
        <v>21</v>
      </c>
      <c r="K1291" s="3" t="n">
        <v>16371.37</v>
      </c>
      <c r="L1291" s="3" t="n">
        <v>343798.77</v>
      </c>
      <c r="M1291" s="3" t="n">
        <v>0.1553</v>
      </c>
      <c r="N1291" s="3" t="n">
        <v>53391.95</v>
      </c>
      <c r="O1291" s="3" t="n">
        <v>290406.82</v>
      </c>
      <c r="P1291" s="3" t="n">
        <v>213155.24</v>
      </c>
      <c r="Q1291" s="3" t="n">
        <v>77251.58</v>
      </c>
      <c r="R1291" s="3" t="n">
        <v>0.266</v>
      </c>
      <c r="S1291" s="3" t="n">
        <v>0.1428</v>
      </c>
      <c r="T1291" s="3" t="n">
        <v>0.0125</v>
      </c>
    </row>
    <row r="1292" customFormat="false" ht="15" hidden="false" customHeight="true" outlineLevel="0" collapsed="false">
      <c r="A1292" s="3" t="s">
        <v>2127</v>
      </c>
      <c r="B1292" s="3" t="s">
        <v>1660</v>
      </c>
      <c r="C1292" s="3" t="s">
        <v>31</v>
      </c>
      <c r="D1292" s="3" t="s">
        <v>32</v>
      </c>
      <c r="E1292" s="3" t="s">
        <v>33</v>
      </c>
      <c r="F1292" s="3" t="s">
        <v>25</v>
      </c>
      <c r="G1292" s="3" t="s">
        <v>26</v>
      </c>
      <c r="H1292" s="3" t="s">
        <v>42</v>
      </c>
      <c r="I1292" s="3" t="s">
        <v>134</v>
      </c>
      <c r="J1292" s="3" t="n">
        <v>41</v>
      </c>
      <c r="K1292" s="3" t="n">
        <v>1266.32</v>
      </c>
      <c r="L1292" s="3" t="n">
        <v>51919.12</v>
      </c>
      <c r="M1292" s="3" t="n">
        <v>0.1356</v>
      </c>
      <c r="N1292" s="3" t="n">
        <v>7040.23</v>
      </c>
      <c r="O1292" s="3" t="n">
        <v>44878.89</v>
      </c>
      <c r="P1292" s="3" t="n">
        <v>28555.52</v>
      </c>
      <c r="Q1292" s="3" t="n">
        <v>16323.37</v>
      </c>
      <c r="R1292" s="3" t="n">
        <v>0.3637</v>
      </c>
      <c r="S1292" s="3" t="n">
        <v>0.1175</v>
      </c>
      <c r="T1292" s="3" t="n">
        <v>0.0181</v>
      </c>
    </row>
    <row r="1293" customFormat="false" ht="15" hidden="false" customHeight="true" outlineLevel="0" collapsed="false">
      <c r="A1293" s="3" t="s">
        <v>2128</v>
      </c>
      <c r="B1293" s="3" t="s">
        <v>200</v>
      </c>
      <c r="C1293" s="3" t="s">
        <v>156</v>
      </c>
      <c r="D1293" s="3" t="s">
        <v>75</v>
      </c>
      <c r="E1293" s="3" t="s">
        <v>39</v>
      </c>
      <c r="F1293" s="3" t="s">
        <v>25</v>
      </c>
      <c r="G1293" s="3" t="s">
        <v>71</v>
      </c>
      <c r="H1293" s="3" t="s">
        <v>56</v>
      </c>
      <c r="I1293" s="3" t="s">
        <v>188</v>
      </c>
      <c r="J1293" s="3" t="n">
        <v>40</v>
      </c>
      <c r="K1293" s="3" t="n">
        <v>3765.05</v>
      </c>
      <c r="L1293" s="3" t="n">
        <v>150602</v>
      </c>
      <c r="M1293" s="3" t="n">
        <v>0.1109</v>
      </c>
      <c r="N1293" s="3" t="n">
        <v>16701.76</v>
      </c>
      <c r="O1293" s="3" t="n">
        <v>133900.24</v>
      </c>
      <c r="P1293" s="3" t="n">
        <v>90361.2</v>
      </c>
      <c r="Q1293" s="3" t="n">
        <v>43539.04</v>
      </c>
      <c r="R1293" s="3" t="n">
        <v>0.3252</v>
      </c>
      <c r="S1293" s="3" t="n">
        <v>0.1203</v>
      </c>
      <c r="T1293" s="3" t="n">
        <v>-0.0094</v>
      </c>
    </row>
    <row r="1294" customFormat="false" ht="15" hidden="false" customHeight="true" outlineLevel="0" collapsed="false">
      <c r="A1294" s="3" t="s">
        <v>2129</v>
      </c>
      <c r="B1294" s="3" t="s">
        <v>716</v>
      </c>
      <c r="C1294" s="3" t="s">
        <v>22</v>
      </c>
      <c r="D1294" s="3" t="s">
        <v>32</v>
      </c>
      <c r="E1294" s="3" t="s">
        <v>33</v>
      </c>
      <c r="F1294" s="3" t="s">
        <v>25</v>
      </c>
      <c r="G1294" s="3" t="s">
        <v>26</v>
      </c>
      <c r="H1294" s="3" t="s">
        <v>77</v>
      </c>
      <c r="I1294" s="3" t="s">
        <v>131</v>
      </c>
      <c r="J1294" s="3" t="n">
        <v>23</v>
      </c>
      <c r="K1294" s="3" t="n">
        <v>2799.78</v>
      </c>
      <c r="L1294" s="3" t="n">
        <v>64394.94</v>
      </c>
      <c r="M1294" s="3" t="n">
        <v>0.1526</v>
      </c>
      <c r="N1294" s="3" t="n">
        <v>9826.67</v>
      </c>
      <c r="O1294" s="3" t="n">
        <v>54568.27</v>
      </c>
      <c r="P1294" s="3" t="n">
        <v>43788.56</v>
      </c>
      <c r="Q1294" s="3" t="n">
        <v>10779.71</v>
      </c>
      <c r="R1294" s="3" t="n">
        <v>0.1975</v>
      </c>
      <c r="S1294" s="3" t="n">
        <v>0.1458</v>
      </c>
      <c r="T1294" s="3" t="n">
        <v>0.0068</v>
      </c>
    </row>
    <row r="1295" customFormat="false" ht="15" hidden="false" customHeight="true" outlineLevel="0" collapsed="false">
      <c r="A1295" s="3" t="s">
        <v>2130</v>
      </c>
      <c r="B1295" s="3" t="s">
        <v>1490</v>
      </c>
      <c r="C1295" s="3" t="s">
        <v>60</v>
      </c>
      <c r="D1295" s="3" t="s">
        <v>103</v>
      </c>
      <c r="E1295" s="3" t="s">
        <v>24</v>
      </c>
      <c r="F1295" s="3" t="s">
        <v>62</v>
      </c>
      <c r="G1295" s="3" t="s">
        <v>41</v>
      </c>
      <c r="H1295" s="3" t="s">
        <v>56</v>
      </c>
      <c r="I1295" s="3" t="s">
        <v>188</v>
      </c>
      <c r="J1295" s="3" t="n">
        <v>26</v>
      </c>
      <c r="K1295" s="3" t="n">
        <v>15410.38</v>
      </c>
      <c r="L1295" s="3" t="n">
        <v>400669.88</v>
      </c>
      <c r="M1295" s="3" t="n">
        <v>0.1022</v>
      </c>
      <c r="N1295" s="3" t="n">
        <v>40948.46</v>
      </c>
      <c r="O1295" s="3" t="n">
        <v>359721.42</v>
      </c>
      <c r="P1295" s="3" t="n">
        <v>240401.93</v>
      </c>
      <c r="Q1295" s="3" t="n">
        <v>119319.49</v>
      </c>
      <c r="R1295" s="3" t="n">
        <v>0.3317</v>
      </c>
      <c r="S1295" s="3" t="n">
        <v>0.1096</v>
      </c>
      <c r="T1295" s="3" t="n">
        <v>-0.0074</v>
      </c>
    </row>
    <row r="1296" customFormat="false" ht="15" hidden="false" customHeight="true" outlineLevel="0" collapsed="false">
      <c r="A1296" s="3" t="s">
        <v>2131</v>
      </c>
      <c r="B1296" s="3" t="s">
        <v>783</v>
      </c>
      <c r="C1296" s="3" t="s">
        <v>156</v>
      </c>
      <c r="D1296" s="3" t="s">
        <v>103</v>
      </c>
      <c r="E1296" s="3" t="s">
        <v>24</v>
      </c>
      <c r="F1296" s="3" t="s">
        <v>62</v>
      </c>
      <c r="G1296" s="3" t="s">
        <v>100</v>
      </c>
      <c r="H1296" s="3" t="s">
        <v>77</v>
      </c>
      <c r="I1296" s="3" t="s">
        <v>131</v>
      </c>
      <c r="J1296" s="3" t="n">
        <v>1</v>
      </c>
      <c r="K1296" s="3" t="n">
        <v>4720</v>
      </c>
      <c r="L1296" s="3" t="n">
        <v>4720</v>
      </c>
      <c r="M1296" s="3" t="n">
        <v>0.0318</v>
      </c>
      <c r="N1296" s="3" t="n">
        <v>150.1</v>
      </c>
      <c r="O1296" s="3" t="n">
        <v>4569.9</v>
      </c>
      <c r="P1296" s="3" t="n">
        <v>3209.6</v>
      </c>
      <c r="Q1296" s="3" t="n">
        <v>1360.3</v>
      </c>
      <c r="R1296" s="3" t="n">
        <v>0.2977</v>
      </c>
      <c r="S1296" s="3" t="n">
        <v>0.0326</v>
      </c>
      <c r="T1296" s="3" t="n">
        <v>-0.0008</v>
      </c>
    </row>
    <row r="1297" customFormat="false" ht="15" hidden="false" customHeight="true" outlineLevel="0" collapsed="false">
      <c r="A1297" s="3" t="s">
        <v>2132</v>
      </c>
      <c r="B1297" s="3" t="s">
        <v>217</v>
      </c>
      <c r="C1297" s="3" t="s">
        <v>126</v>
      </c>
      <c r="D1297" s="3" t="s">
        <v>107</v>
      </c>
      <c r="E1297" s="3" t="s">
        <v>33</v>
      </c>
      <c r="F1297" s="3" t="s">
        <v>70</v>
      </c>
      <c r="G1297" s="3" t="s">
        <v>63</v>
      </c>
      <c r="H1297" s="3" t="s">
        <v>27</v>
      </c>
      <c r="I1297" s="3" t="s">
        <v>94</v>
      </c>
      <c r="J1297" s="3" t="n">
        <v>3</v>
      </c>
      <c r="K1297" s="3" t="n">
        <v>33322.99</v>
      </c>
      <c r="L1297" s="3" t="n">
        <v>99968.97</v>
      </c>
      <c r="M1297" s="3" t="n">
        <v>0.0378</v>
      </c>
      <c r="N1297" s="3" t="n">
        <v>3778.83</v>
      </c>
      <c r="O1297" s="3" t="n">
        <v>96190.14</v>
      </c>
      <c r="P1297" s="3" t="n">
        <v>61980.76</v>
      </c>
      <c r="Q1297" s="3" t="n">
        <v>34209.38</v>
      </c>
      <c r="R1297" s="3" t="n">
        <v>0.3556</v>
      </c>
      <c r="S1297" s="3" t="n">
        <v>0.0306</v>
      </c>
      <c r="T1297" s="3" t="n">
        <v>0.0072</v>
      </c>
    </row>
    <row r="1298" customFormat="false" ht="15" hidden="false" customHeight="true" outlineLevel="0" collapsed="false">
      <c r="A1298" s="3" t="s">
        <v>2133</v>
      </c>
      <c r="B1298" s="3" t="s">
        <v>1123</v>
      </c>
      <c r="C1298" s="3" t="s">
        <v>126</v>
      </c>
      <c r="D1298" s="3" t="s">
        <v>23</v>
      </c>
      <c r="E1298" s="3" t="s">
        <v>24</v>
      </c>
      <c r="F1298" s="3" t="s">
        <v>25</v>
      </c>
      <c r="G1298" s="3" t="s">
        <v>76</v>
      </c>
      <c r="H1298" s="3" t="s">
        <v>64</v>
      </c>
      <c r="I1298" s="3" t="s">
        <v>65</v>
      </c>
      <c r="J1298" s="3" t="n">
        <v>25</v>
      </c>
      <c r="K1298" s="3" t="n">
        <v>9749.24</v>
      </c>
      <c r="L1298" s="3" t="n">
        <v>243731</v>
      </c>
      <c r="M1298" s="3" t="n">
        <v>0.1133</v>
      </c>
      <c r="N1298" s="3" t="n">
        <v>27614.72</v>
      </c>
      <c r="O1298" s="3" t="n">
        <v>216116.28</v>
      </c>
      <c r="P1298" s="3" t="n">
        <v>141363.98</v>
      </c>
      <c r="Q1298" s="3" t="n">
        <v>74752.3</v>
      </c>
      <c r="R1298" s="3" t="n">
        <v>0.3459</v>
      </c>
      <c r="S1298" s="3" t="n">
        <v>0.1199</v>
      </c>
      <c r="T1298" s="3" t="n">
        <v>-0.0066</v>
      </c>
    </row>
    <row r="1299" customFormat="false" ht="15" hidden="false" customHeight="true" outlineLevel="0" collapsed="false">
      <c r="A1299" s="3" t="s">
        <v>2134</v>
      </c>
      <c r="B1299" s="3" t="s">
        <v>2135</v>
      </c>
      <c r="C1299" s="3" t="s">
        <v>156</v>
      </c>
      <c r="D1299" s="3" t="s">
        <v>61</v>
      </c>
      <c r="E1299" s="3" t="s">
        <v>33</v>
      </c>
      <c r="F1299" s="3" t="s">
        <v>62</v>
      </c>
      <c r="G1299" s="3" t="s">
        <v>26</v>
      </c>
      <c r="H1299" s="3" t="s">
        <v>27</v>
      </c>
      <c r="I1299" s="3" t="s">
        <v>94</v>
      </c>
      <c r="J1299" s="3" t="n">
        <v>47</v>
      </c>
      <c r="K1299" s="3" t="n">
        <v>30511.66</v>
      </c>
      <c r="L1299" s="3" t="n">
        <v>1434048.02</v>
      </c>
      <c r="M1299" s="3" t="n">
        <v>0.0508</v>
      </c>
      <c r="N1299" s="3" t="n">
        <v>72849.64</v>
      </c>
      <c r="O1299" s="3" t="n">
        <v>1361198.38</v>
      </c>
      <c r="P1299" s="3" t="n">
        <v>889109.77</v>
      </c>
      <c r="Q1299" s="3" t="n">
        <v>472088.61</v>
      </c>
      <c r="R1299" s="3" t="n">
        <v>0.3468</v>
      </c>
      <c r="S1299" s="3" t="n">
        <v>0.0519</v>
      </c>
      <c r="T1299" s="3" t="n">
        <v>-0.0011</v>
      </c>
    </row>
    <row r="1300" customFormat="false" ht="15" hidden="false" customHeight="true" outlineLevel="0" collapsed="false">
      <c r="A1300" s="3" t="s">
        <v>2136</v>
      </c>
      <c r="B1300" s="3" t="s">
        <v>1112</v>
      </c>
      <c r="C1300" s="3" t="s">
        <v>37</v>
      </c>
      <c r="D1300" s="3" t="s">
        <v>107</v>
      </c>
      <c r="E1300" s="3" t="s">
        <v>33</v>
      </c>
      <c r="F1300" s="3" t="s">
        <v>70</v>
      </c>
      <c r="G1300" s="3" t="s">
        <v>116</v>
      </c>
      <c r="H1300" s="3" t="s">
        <v>56</v>
      </c>
      <c r="I1300" s="3" t="s">
        <v>188</v>
      </c>
      <c r="J1300" s="3" t="n">
        <v>26</v>
      </c>
      <c r="K1300" s="3" t="n">
        <v>13773.97</v>
      </c>
      <c r="L1300" s="3" t="n">
        <v>358123.22</v>
      </c>
      <c r="M1300" s="3" t="n">
        <v>0.0839</v>
      </c>
      <c r="N1300" s="3" t="n">
        <v>30046.54</v>
      </c>
      <c r="O1300" s="3" t="n">
        <v>328076.68</v>
      </c>
      <c r="P1300" s="3" t="n">
        <v>214873.93</v>
      </c>
      <c r="Q1300" s="3" t="n">
        <v>113202.75</v>
      </c>
      <c r="R1300" s="3" t="n">
        <v>0.345</v>
      </c>
      <c r="S1300" s="3" t="n">
        <v>0.0869</v>
      </c>
      <c r="T1300" s="3" t="n">
        <v>-0.003</v>
      </c>
    </row>
    <row r="1301" customFormat="false" ht="15" hidden="false" customHeight="true" outlineLevel="0" collapsed="false">
      <c r="A1301" s="3" t="s">
        <v>2137</v>
      </c>
      <c r="B1301" s="3" t="s">
        <v>999</v>
      </c>
      <c r="C1301" s="3" t="s">
        <v>93</v>
      </c>
      <c r="D1301" s="3" t="s">
        <v>47</v>
      </c>
      <c r="E1301" s="3" t="s">
        <v>48</v>
      </c>
      <c r="F1301" s="3" t="s">
        <v>25</v>
      </c>
      <c r="G1301" s="3" t="s">
        <v>104</v>
      </c>
      <c r="H1301" s="3" t="s">
        <v>56</v>
      </c>
      <c r="I1301" s="3" t="s">
        <v>121</v>
      </c>
      <c r="J1301" s="3" t="n">
        <v>30</v>
      </c>
      <c r="K1301" s="3" t="n">
        <v>6834.46</v>
      </c>
      <c r="L1301" s="3" t="n">
        <v>205033.8</v>
      </c>
      <c r="M1301" s="3" t="n">
        <v>0.1475</v>
      </c>
      <c r="N1301" s="3" t="n">
        <v>30242.49</v>
      </c>
      <c r="O1301" s="3" t="n">
        <v>174791.31</v>
      </c>
      <c r="P1301" s="3" t="n">
        <v>123020.28</v>
      </c>
      <c r="Q1301" s="3" t="n">
        <v>51771.03</v>
      </c>
      <c r="R1301" s="3" t="n">
        <v>0.2962</v>
      </c>
      <c r="S1301" s="3" t="n">
        <v>0.1347</v>
      </c>
      <c r="T1301" s="3" t="n">
        <v>0.0128</v>
      </c>
    </row>
    <row r="1302" customFormat="false" ht="15" hidden="false" customHeight="true" outlineLevel="0" collapsed="false">
      <c r="A1302" s="3" t="s">
        <v>2138</v>
      </c>
      <c r="B1302" s="3" t="s">
        <v>788</v>
      </c>
      <c r="C1302" s="3" t="s">
        <v>68</v>
      </c>
      <c r="D1302" s="3" t="s">
        <v>47</v>
      </c>
      <c r="E1302" s="3" t="s">
        <v>48</v>
      </c>
      <c r="F1302" s="3" t="s">
        <v>25</v>
      </c>
      <c r="G1302" s="3" t="s">
        <v>63</v>
      </c>
      <c r="H1302" s="3" t="s">
        <v>27</v>
      </c>
      <c r="I1302" s="3" t="s">
        <v>117</v>
      </c>
      <c r="J1302" s="3" t="n">
        <v>31</v>
      </c>
      <c r="K1302" s="3" t="n">
        <v>25951.88</v>
      </c>
      <c r="L1302" s="3" t="n">
        <v>804508.28</v>
      </c>
      <c r="M1302" s="3" t="n">
        <v>0.1405</v>
      </c>
      <c r="N1302" s="3" t="n">
        <v>113033.41</v>
      </c>
      <c r="O1302" s="3" t="n">
        <v>691474.87</v>
      </c>
      <c r="P1302" s="3" t="n">
        <v>498795.13</v>
      </c>
      <c r="Q1302" s="3" t="n">
        <v>192679.74</v>
      </c>
      <c r="R1302" s="3" t="n">
        <v>0.2787</v>
      </c>
      <c r="S1302" s="3" t="n">
        <v>0.1227</v>
      </c>
      <c r="T1302" s="3" t="n">
        <v>0.0178</v>
      </c>
    </row>
    <row r="1303" customFormat="false" ht="15" hidden="false" customHeight="true" outlineLevel="0" collapsed="false">
      <c r="A1303" s="3" t="s">
        <v>2139</v>
      </c>
      <c r="B1303" s="3" t="s">
        <v>1735</v>
      </c>
      <c r="C1303" s="3" t="s">
        <v>53</v>
      </c>
      <c r="D1303" s="3" t="s">
        <v>32</v>
      </c>
      <c r="E1303" s="3" t="s">
        <v>33</v>
      </c>
      <c r="F1303" s="3" t="s">
        <v>25</v>
      </c>
      <c r="G1303" s="3" t="s">
        <v>63</v>
      </c>
      <c r="H1303" s="3" t="s">
        <v>77</v>
      </c>
      <c r="I1303" s="3" t="s">
        <v>85</v>
      </c>
      <c r="J1303" s="3" t="n">
        <v>49</v>
      </c>
      <c r="K1303" s="3" t="n">
        <v>5767</v>
      </c>
      <c r="L1303" s="3" t="n">
        <v>282583</v>
      </c>
      <c r="M1303" s="3" t="n">
        <v>0.106</v>
      </c>
      <c r="N1303" s="3" t="n">
        <v>29953.8</v>
      </c>
      <c r="O1303" s="3" t="n">
        <v>252629.2</v>
      </c>
      <c r="P1303" s="3" t="n">
        <v>192156.44</v>
      </c>
      <c r="Q1303" s="3" t="n">
        <v>60472.76</v>
      </c>
      <c r="R1303" s="3" t="n">
        <v>0.2394</v>
      </c>
      <c r="S1303" s="3" t="n">
        <v>0.1032</v>
      </c>
      <c r="T1303" s="3" t="n">
        <v>0.0028</v>
      </c>
    </row>
    <row r="1304" customFormat="false" ht="15" hidden="false" customHeight="true" outlineLevel="0" collapsed="false">
      <c r="A1304" s="3" t="s">
        <v>2140</v>
      </c>
      <c r="B1304" s="3" t="s">
        <v>1330</v>
      </c>
      <c r="C1304" s="3" t="s">
        <v>60</v>
      </c>
      <c r="D1304" s="3" t="s">
        <v>32</v>
      </c>
      <c r="E1304" s="3" t="s">
        <v>33</v>
      </c>
      <c r="F1304" s="3" t="s">
        <v>25</v>
      </c>
      <c r="G1304" s="3" t="s">
        <v>84</v>
      </c>
      <c r="H1304" s="3" t="s">
        <v>77</v>
      </c>
      <c r="I1304" s="3" t="s">
        <v>131</v>
      </c>
      <c r="J1304" s="3" t="n">
        <v>37</v>
      </c>
      <c r="K1304" s="3" t="n">
        <v>2975.14</v>
      </c>
      <c r="L1304" s="3" t="n">
        <v>110080.18</v>
      </c>
      <c r="M1304" s="3" t="n">
        <v>0.1003</v>
      </c>
      <c r="N1304" s="3" t="n">
        <v>11041.04</v>
      </c>
      <c r="O1304" s="3" t="n">
        <v>99039.14</v>
      </c>
      <c r="P1304" s="3" t="n">
        <v>74854.52</v>
      </c>
      <c r="Q1304" s="3" t="n">
        <v>24184.62</v>
      </c>
      <c r="R1304" s="3" t="n">
        <v>0.2442</v>
      </c>
      <c r="S1304" s="3" t="n">
        <v>0.1046</v>
      </c>
      <c r="T1304" s="3" t="n">
        <v>-0.0043</v>
      </c>
    </row>
    <row r="1305" customFormat="false" ht="15" hidden="false" customHeight="true" outlineLevel="0" collapsed="false">
      <c r="A1305" s="3" t="s">
        <v>2141</v>
      </c>
      <c r="B1305" s="3" t="s">
        <v>2142</v>
      </c>
      <c r="C1305" s="3" t="s">
        <v>31</v>
      </c>
      <c r="D1305" s="3" t="s">
        <v>61</v>
      </c>
      <c r="E1305" s="3" t="s">
        <v>33</v>
      </c>
      <c r="F1305" s="3" t="s">
        <v>62</v>
      </c>
      <c r="G1305" s="3" t="s">
        <v>41</v>
      </c>
      <c r="H1305" s="3" t="s">
        <v>27</v>
      </c>
      <c r="I1305" s="3" t="s">
        <v>94</v>
      </c>
      <c r="J1305" s="3" t="n">
        <v>32</v>
      </c>
      <c r="K1305" s="3" t="n">
        <v>14645.82</v>
      </c>
      <c r="L1305" s="3" t="n">
        <v>468666.24</v>
      </c>
      <c r="M1305" s="3" t="n">
        <v>0.083</v>
      </c>
      <c r="N1305" s="3" t="n">
        <v>38899.3</v>
      </c>
      <c r="O1305" s="3" t="n">
        <v>429766.94</v>
      </c>
      <c r="P1305" s="3" t="n">
        <v>290573.07</v>
      </c>
      <c r="Q1305" s="3" t="n">
        <v>139193.87</v>
      </c>
      <c r="R1305" s="3" t="n">
        <v>0.3239</v>
      </c>
      <c r="S1305" s="3" t="n">
        <v>0.0818</v>
      </c>
      <c r="T1305" s="3" t="n">
        <v>0.0012</v>
      </c>
    </row>
    <row r="1306" customFormat="false" ht="15" hidden="false" customHeight="true" outlineLevel="0" collapsed="false">
      <c r="A1306" s="3" t="s">
        <v>2143</v>
      </c>
      <c r="B1306" s="3" t="s">
        <v>2144</v>
      </c>
      <c r="C1306" s="3" t="s">
        <v>53</v>
      </c>
      <c r="D1306" s="3" t="s">
        <v>83</v>
      </c>
      <c r="E1306" s="3" t="s">
        <v>48</v>
      </c>
      <c r="F1306" s="3" t="s">
        <v>62</v>
      </c>
      <c r="G1306" s="3" t="s">
        <v>55</v>
      </c>
      <c r="H1306" s="3" t="s">
        <v>56</v>
      </c>
      <c r="I1306" s="3" t="s">
        <v>121</v>
      </c>
      <c r="J1306" s="3" t="n">
        <v>4</v>
      </c>
      <c r="K1306" s="3" t="n">
        <v>14169.31</v>
      </c>
      <c r="L1306" s="3" t="n">
        <v>56677.24</v>
      </c>
      <c r="M1306" s="3" t="n">
        <v>0.0684</v>
      </c>
      <c r="N1306" s="3" t="n">
        <v>3876.72</v>
      </c>
      <c r="O1306" s="3" t="n">
        <v>52800.52</v>
      </c>
      <c r="P1306" s="3" t="n">
        <v>34006.34</v>
      </c>
      <c r="Q1306" s="3" t="n">
        <v>18794.18</v>
      </c>
      <c r="R1306" s="3" t="n">
        <v>0.3559</v>
      </c>
      <c r="S1306" s="3" t="n">
        <v>0.0631</v>
      </c>
      <c r="T1306" s="3" t="n">
        <v>0.0053</v>
      </c>
    </row>
    <row r="1307" customFormat="false" ht="15" hidden="false" customHeight="true" outlineLevel="0" collapsed="false">
      <c r="A1307" s="3" t="s">
        <v>2145</v>
      </c>
      <c r="B1307" s="3" t="s">
        <v>2146</v>
      </c>
      <c r="C1307" s="3" t="s">
        <v>126</v>
      </c>
      <c r="D1307" s="3" t="s">
        <v>97</v>
      </c>
      <c r="E1307" s="3" t="s">
        <v>48</v>
      </c>
      <c r="F1307" s="3" t="s">
        <v>40</v>
      </c>
      <c r="G1307" s="3" t="s">
        <v>104</v>
      </c>
      <c r="H1307" s="3" t="s">
        <v>42</v>
      </c>
      <c r="I1307" s="3" t="s">
        <v>43</v>
      </c>
      <c r="J1307" s="3" t="n">
        <v>37</v>
      </c>
      <c r="K1307" s="3" t="n">
        <v>1625.05</v>
      </c>
      <c r="L1307" s="3" t="n">
        <v>60126.85</v>
      </c>
      <c r="M1307" s="3" t="n">
        <v>0.1148</v>
      </c>
      <c r="N1307" s="3" t="n">
        <v>6902.56</v>
      </c>
      <c r="O1307" s="3" t="n">
        <v>53224.29</v>
      </c>
      <c r="P1307" s="3" t="n">
        <v>33069.77</v>
      </c>
      <c r="Q1307" s="3" t="n">
        <v>20154.52</v>
      </c>
      <c r="R1307" s="3" t="n">
        <v>0.3787</v>
      </c>
      <c r="S1307" s="3" t="n">
        <v>0.1156</v>
      </c>
      <c r="T1307" s="3" t="n">
        <v>-0.0008</v>
      </c>
    </row>
    <row r="1308" customFormat="false" ht="15" hidden="false" customHeight="true" outlineLevel="0" collapsed="false">
      <c r="A1308" s="3" t="s">
        <v>2147</v>
      </c>
      <c r="B1308" s="3" t="s">
        <v>1229</v>
      </c>
      <c r="C1308" s="3" t="s">
        <v>93</v>
      </c>
      <c r="D1308" s="3" t="s">
        <v>107</v>
      </c>
      <c r="E1308" s="3" t="s">
        <v>33</v>
      </c>
      <c r="F1308" s="3" t="s">
        <v>70</v>
      </c>
      <c r="G1308" s="3" t="s">
        <v>84</v>
      </c>
      <c r="H1308" s="3" t="s">
        <v>77</v>
      </c>
      <c r="I1308" s="3" t="s">
        <v>85</v>
      </c>
      <c r="J1308" s="3" t="n">
        <v>42</v>
      </c>
      <c r="K1308" s="3" t="n">
        <v>2702.48</v>
      </c>
      <c r="L1308" s="3" t="n">
        <v>113504.16</v>
      </c>
      <c r="M1308" s="3" t="n">
        <v>0.0418</v>
      </c>
      <c r="N1308" s="3" t="n">
        <v>4744.47</v>
      </c>
      <c r="O1308" s="3" t="n">
        <v>108759.69</v>
      </c>
      <c r="P1308" s="3" t="n">
        <v>77182.83</v>
      </c>
      <c r="Q1308" s="3" t="n">
        <v>31576.86</v>
      </c>
      <c r="R1308" s="3" t="n">
        <v>0.2903</v>
      </c>
      <c r="S1308" s="3" t="n">
        <v>0.0423</v>
      </c>
      <c r="T1308" s="3" t="n">
        <v>-0.0005</v>
      </c>
    </row>
    <row r="1309" customFormat="false" ht="15" hidden="false" customHeight="true" outlineLevel="0" collapsed="false">
      <c r="A1309" s="3" t="s">
        <v>2148</v>
      </c>
      <c r="B1309" s="3" t="s">
        <v>1872</v>
      </c>
      <c r="C1309" s="3" t="s">
        <v>22</v>
      </c>
      <c r="D1309" s="3" t="s">
        <v>107</v>
      </c>
      <c r="E1309" s="3" t="s">
        <v>33</v>
      </c>
      <c r="F1309" s="3" t="s">
        <v>70</v>
      </c>
      <c r="G1309" s="3" t="s">
        <v>26</v>
      </c>
      <c r="H1309" s="3" t="s">
        <v>56</v>
      </c>
      <c r="I1309" s="3" t="s">
        <v>121</v>
      </c>
      <c r="J1309" s="3" t="n">
        <v>7</v>
      </c>
      <c r="K1309" s="3" t="n">
        <v>3302.95</v>
      </c>
      <c r="L1309" s="3" t="n">
        <v>23120.65</v>
      </c>
      <c r="M1309" s="3" t="n">
        <v>0.0513</v>
      </c>
      <c r="N1309" s="3" t="n">
        <v>1186.09</v>
      </c>
      <c r="O1309" s="3" t="n">
        <v>21934.56</v>
      </c>
      <c r="P1309" s="3" t="n">
        <v>13872.39</v>
      </c>
      <c r="Q1309" s="3" t="n">
        <v>8062.17</v>
      </c>
      <c r="R1309" s="3" t="n">
        <v>0.3676</v>
      </c>
      <c r="S1309" s="3" t="n">
        <v>0.0468</v>
      </c>
      <c r="T1309" s="3" t="n">
        <v>0.0045</v>
      </c>
    </row>
    <row r="1310" customFormat="false" ht="15" hidden="false" customHeight="true" outlineLevel="0" collapsed="false">
      <c r="A1310" s="3" t="s">
        <v>2149</v>
      </c>
      <c r="B1310" s="3" t="s">
        <v>850</v>
      </c>
      <c r="C1310" s="3" t="s">
        <v>68</v>
      </c>
      <c r="D1310" s="3" t="s">
        <v>32</v>
      </c>
      <c r="E1310" s="3" t="s">
        <v>33</v>
      </c>
      <c r="F1310" s="3" t="s">
        <v>25</v>
      </c>
      <c r="G1310" s="3" t="s">
        <v>41</v>
      </c>
      <c r="H1310" s="3" t="s">
        <v>64</v>
      </c>
      <c r="I1310" s="3" t="s">
        <v>65</v>
      </c>
      <c r="J1310" s="3" t="n">
        <v>8</v>
      </c>
      <c r="K1310" s="3" t="n">
        <v>4776.31</v>
      </c>
      <c r="L1310" s="3" t="n">
        <v>38210.48</v>
      </c>
      <c r="M1310" s="3" t="n">
        <v>0.1327</v>
      </c>
      <c r="N1310" s="3" t="n">
        <v>5070.53</v>
      </c>
      <c r="O1310" s="3" t="n">
        <v>33139.95</v>
      </c>
      <c r="P1310" s="3" t="n">
        <v>22162.08</v>
      </c>
      <c r="Q1310" s="3" t="n">
        <v>10977.87</v>
      </c>
      <c r="R1310" s="3" t="n">
        <v>0.3313</v>
      </c>
      <c r="S1310" s="3" t="n">
        <v>0.1256</v>
      </c>
      <c r="T1310" s="3" t="n">
        <v>0.0071</v>
      </c>
    </row>
    <row r="1311" customFormat="false" ht="15" hidden="false" customHeight="true" outlineLevel="0" collapsed="false">
      <c r="A1311" s="3" t="s">
        <v>2150</v>
      </c>
      <c r="B1311" s="3" t="s">
        <v>1193</v>
      </c>
      <c r="C1311" s="3" t="s">
        <v>126</v>
      </c>
      <c r="D1311" s="3" t="s">
        <v>97</v>
      </c>
      <c r="E1311" s="3" t="s">
        <v>48</v>
      </c>
      <c r="F1311" s="3" t="s">
        <v>40</v>
      </c>
      <c r="G1311" s="3" t="s">
        <v>63</v>
      </c>
      <c r="H1311" s="3" t="s">
        <v>56</v>
      </c>
      <c r="I1311" s="3" t="s">
        <v>57</v>
      </c>
      <c r="J1311" s="3" t="n">
        <v>8</v>
      </c>
      <c r="K1311" s="3" t="n">
        <v>2148.14</v>
      </c>
      <c r="L1311" s="3" t="n">
        <v>17185.12</v>
      </c>
      <c r="M1311" s="3" t="n">
        <v>0.0518</v>
      </c>
      <c r="N1311" s="3" t="n">
        <v>890.19</v>
      </c>
      <c r="O1311" s="3" t="n">
        <v>16294.93</v>
      </c>
      <c r="P1311" s="3" t="n">
        <v>10311.07</v>
      </c>
      <c r="Q1311" s="3" t="n">
        <v>5983.86</v>
      </c>
      <c r="R1311" s="3" t="n">
        <v>0.3672</v>
      </c>
      <c r="S1311" s="3" t="n">
        <v>0.0526</v>
      </c>
      <c r="T1311" s="3" t="n">
        <v>-0.0008</v>
      </c>
    </row>
    <row r="1312" customFormat="false" ht="15" hidden="false" customHeight="true" outlineLevel="0" collapsed="false">
      <c r="A1312" s="3" t="s">
        <v>2151</v>
      </c>
      <c r="B1312" s="3" t="s">
        <v>443</v>
      </c>
      <c r="C1312" s="3" t="s">
        <v>126</v>
      </c>
      <c r="D1312" s="3" t="s">
        <v>23</v>
      </c>
      <c r="E1312" s="3" t="s">
        <v>24</v>
      </c>
      <c r="F1312" s="3" t="s">
        <v>25</v>
      </c>
      <c r="G1312" s="3" t="s">
        <v>49</v>
      </c>
      <c r="H1312" s="3" t="s">
        <v>42</v>
      </c>
      <c r="I1312" s="3" t="s">
        <v>72</v>
      </c>
      <c r="J1312" s="3" t="n">
        <v>24</v>
      </c>
      <c r="K1312" s="3" t="n">
        <v>2652.85</v>
      </c>
      <c r="L1312" s="3" t="n">
        <v>63668.4</v>
      </c>
      <c r="M1312" s="3" t="n">
        <v>0.1115</v>
      </c>
      <c r="N1312" s="3" t="n">
        <v>7099.03</v>
      </c>
      <c r="O1312" s="3" t="n">
        <v>56569.37</v>
      </c>
      <c r="P1312" s="3" t="n">
        <v>35017.62</v>
      </c>
      <c r="Q1312" s="3" t="n">
        <v>21551.75</v>
      </c>
      <c r="R1312" s="3" t="n">
        <v>0.381</v>
      </c>
      <c r="S1312" s="3" t="n">
        <v>0.1067</v>
      </c>
      <c r="T1312" s="3" t="n">
        <v>0.0048</v>
      </c>
    </row>
    <row r="1313" customFormat="false" ht="15" hidden="false" customHeight="true" outlineLevel="0" collapsed="false">
      <c r="A1313" s="3" t="s">
        <v>2152</v>
      </c>
      <c r="B1313" s="3" t="s">
        <v>151</v>
      </c>
      <c r="C1313" s="3" t="s">
        <v>113</v>
      </c>
      <c r="D1313" s="3" t="s">
        <v>69</v>
      </c>
      <c r="E1313" s="3" t="s">
        <v>39</v>
      </c>
      <c r="F1313" s="3" t="s">
        <v>70</v>
      </c>
      <c r="G1313" s="3" t="s">
        <v>49</v>
      </c>
      <c r="H1313" s="3" t="s">
        <v>56</v>
      </c>
      <c r="I1313" s="3" t="s">
        <v>121</v>
      </c>
      <c r="J1313" s="3" t="n">
        <v>17</v>
      </c>
      <c r="K1313" s="3" t="n">
        <v>10310.08</v>
      </c>
      <c r="L1313" s="3" t="n">
        <v>175271.36</v>
      </c>
      <c r="M1313" s="3" t="n">
        <v>0.0536</v>
      </c>
      <c r="N1313" s="3" t="n">
        <v>9394.54</v>
      </c>
      <c r="O1313" s="3" t="n">
        <v>165876.82</v>
      </c>
      <c r="P1313" s="3" t="n">
        <v>105162.82</v>
      </c>
      <c r="Q1313" s="3" t="n">
        <v>60714</v>
      </c>
      <c r="R1313" s="3" t="n">
        <v>0.366</v>
      </c>
      <c r="S1313" s="3" t="n">
        <v>0.0579</v>
      </c>
      <c r="T1313" s="3" t="n">
        <v>-0.0043</v>
      </c>
    </row>
    <row r="1314" customFormat="false" ht="15" hidden="false" customHeight="true" outlineLevel="0" collapsed="false">
      <c r="A1314" s="3" t="s">
        <v>2153</v>
      </c>
      <c r="B1314" s="3" t="s">
        <v>1268</v>
      </c>
      <c r="C1314" s="3" t="s">
        <v>31</v>
      </c>
      <c r="D1314" s="3" t="s">
        <v>97</v>
      </c>
      <c r="E1314" s="3" t="s">
        <v>48</v>
      </c>
      <c r="F1314" s="3" t="s">
        <v>40</v>
      </c>
      <c r="G1314" s="3" t="s">
        <v>100</v>
      </c>
      <c r="H1314" s="3" t="s">
        <v>64</v>
      </c>
      <c r="I1314" s="3" t="s">
        <v>108</v>
      </c>
      <c r="J1314" s="3" t="n">
        <v>31</v>
      </c>
      <c r="K1314" s="3" t="n">
        <v>9435.73</v>
      </c>
      <c r="L1314" s="3" t="n">
        <v>292507.63</v>
      </c>
      <c r="M1314" s="3" t="n">
        <v>0.0305</v>
      </c>
      <c r="N1314" s="3" t="n">
        <v>8921.48</v>
      </c>
      <c r="O1314" s="3" t="n">
        <v>283586.15</v>
      </c>
      <c r="P1314" s="3" t="n">
        <v>169654.43</v>
      </c>
      <c r="Q1314" s="3" t="n">
        <v>113931.72</v>
      </c>
      <c r="R1314" s="3" t="n">
        <v>0.4018</v>
      </c>
      <c r="S1314" s="3" t="n">
        <v>0.026</v>
      </c>
      <c r="T1314" s="3" t="n">
        <v>0.0045</v>
      </c>
    </row>
    <row r="1315" customFormat="false" ht="15" hidden="false" customHeight="true" outlineLevel="0" collapsed="false">
      <c r="A1315" s="3" t="s">
        <v>2154</v>
      </c>
      <c r="B1315" s="3" t="s">
        <v>1067</v>
      </c>
      <c r="C1315" s="3" t="s">
        <v>93</v>
      </c>
      <c r="D1315" s="3" t="s">
        <v>83</v>
      </c>
      <c r="E1315" s="3" t="s">
        <v>48</v>
      </c>
      <c r="F1315" s="3" t="s">
        <v>62</v>
      </c>
      <c r="G1315" s="3" t="s">
        <v>76</v>
      </c>
      <c r="H1315" s="3" t="s">
        <v>27</v>
      </c>
      <c r="I1315" s="3" t="s">
        <v>28</v>
      </c>
      <c r="J1315" s="3" t="n">
        <v>13</v>
      </c>
      <c r="K1315" s="3" t="n">
        <v>30446.87</v>
      </c>
      <c r="L1315" s="3" t="n">
        <v>395809.31</v>
      </c>
      <c r="M1315" s="3" t="n">
        <v>0.0647</v>
      </c>
      <c r="N1315" s="3" t="n">
        <v>25608.86</v>
      </c>
      <c r="O1315" s="3" t="n">
        <v>370200.45</v>
      </c>
      <c r="P1315" s="3" t="n">
        <v>245401.77</v>
      </c>
      <c r="Q1315" s="3" t="n">
        <v>124798.68</v>
      </c>
      <c r="R1315" s="3" t="n">
        <v>0.3371</v>
      </c>
      <c r="S1315" s="3" t="n">
        <v>0.0582</v>
      </c>
      <c r="T1315" s="3" t="n">
        <v>0.0065</v>
      </c>
    </row>
    <row r="1316" customFormat="false" ht="15" hidden="false" customHeight="true" outlineLevel="0" collapsed="false">
      <c r="A1316" s="3" t="s">
        <v>2155</v>
      </c>
      <c r="B1316" s="3" t="s">
        <v>2156</v>
      </c>
      <c r="C1316" s="3" t="s">
        <v>37</v>
      </c>
      <c r="D1316" s="3" t="s">
        <v>32</v>
      </c>
      <c r="E1316" s="3" t="s">
        <v>33</v>
      </c>
      <c r="F1316" s="3" t="s">
        <v>25</v>
      </c>
      <c r="G1316" s="3" t="s">
        <v>55</v>
      </c>
      <c r="H1316" s="3" t="s">
        <v>56</v>
      </c>
      <c r="I1316" s="3" t="s">
        <v>57</v>
      </c>
      <c r="J1316" s="3" t="n">
        <v>23</v>
      </c>
      <c r="K1316" s="3" t="n">
        <v>4503.25</v>
      </c>
      <c r="L1316" s="3" t="n">
        <v>103574.75</v>
      </c>
      <c r="M1316" s="3" t="n">
        <v>0.1725</v>
      </c>
      <c r="N1316" s="3" t="n">
        <v>17866.64</v>
      </c>
      <c r="O1316" s="3" t="n">
        <v>85708.11</v>
      </c>
      <c r="P1316" s="3" t="n">
        <v>62144.85</v>
      </c>
      <c r="Q1316" s="3" t="n">
        <v>23563.26</v>
      </c>
      <c r="R1316" s="3" t="n">
        <v>0.2749</v>
      </c>
      <c r="S1316" s="3" t="n">
        <v>0.1705</v>
      </c>
      <c r="T1316" s="3" t="n">
        <v>0.002</v>
      </c>
    </row>
    <row r="1317" customFormat="false" ht="15" hidden="false" customHeight="true" outlineLevel="0" collapsed="false">
      <c r="A1317" s="3" t="s">
        <v>2157</v>
      </c>
      <c r="B1317" s="3" t="s">
        <v>2142</v>
      </c>
      <c r="C1317" s="3" t="s">
        <v>31</v>
      </c>
      <c r="D1317" s="3" t="s">
        <v>69</v>
      </c>
      <c r="E1317" s="3" t="s">
        <v>39</v>
      </c>
      <c r="F1317" s="3" t="s">
        <v>70</v>
      </c>
      <c r="G1317" s="3" t="s">
        <v>63</v>
      </c>
      <c r="H1317" s="3" t="s">
        <v>42</v>
      </c>
      <c r="I1317" s="3" t="s">
        <v>134</v>
      </c>
      <c r="J1317" s="3" t="n">
        <v>20</v>
      </c>
      <c r="K1317" s="3" t="n">
        <v>2545.64</v>
      </c>
      <c r="L1317" s="3" t="n">
        <v>50912.8</v>
      </c>
      <c r="M1317" s="3" t="n">
        <v>0.0484</v>
      </c>
      <c r="N1317" s="3" t="n">
        <v>2464.18</v>
      </c>
      <c r="O1317" s="3" t="n">
        <v>48448.62</v>
      </c>
      <c r="P1317" s="3" t="n">
        <v>28002.04</v>
      </c>
      <c r="Q1317" s="3" t="n">
        <v>20446.58</v>
      </c>
      <c r="R1317" s="3" t="n">
        <v>0.422</v>
      </c>
      <c r="S1317" s="3" t="n">
        <v>0.0522</v>
      </c>
      <c r="T1317" s="3" t="n">
        <v>-0.0038</v>
      </c>
    </row>
    <row r="1318" customFormat="false" ht="15" hidden="false" customHeight="true" outlineLevel="0" collapsed="false">
      <c r="A1318" s="3" t="s">
        <v>2158</v>
      </c>
      <c r="B1318" s="3" t="s">
        <v>2159</v>
      </c>
      <c r="C1318" s="3" t="s">
        <v>113</v>
      </c>
      <c r="D1318" s="3" t="s">
        <v>107</v>
      </c>
      <c r="E1318" s="3" t="s">
        <v>33</v>
      </c>
      <c r="F1318" s="3" t="s">
        <v>70</v>
      </c>
      <c r="G1318" s="3" t="s">
        <v>71</v>
      </c>
      <c r="H1318" s="3" t="s">
        <v>56</v>
      </c>
      <c r="I1318" s="3" t="s">
        <v>121</v>
      </c>
      <c r="J1318" s="3" t="n">
        <v>38</v>
      </c>
      <c r="K1318" s="3" t="n">
        <v>5241.41</v>
      </c>
      <c r="L1318" s="3" t="n">
        <v>199173.58</v>
      </c>
      <c r="M1318" s="3" t="n">
        <v>0.0376</v>
      </c>
      <c r="N1318" s="3" t="n">
        <v>7488.93</v>
      </c>
      <c r="O1318" s="3" t="n">
        <v>191684.65</v>
      </c>
      <c r="P1318" s="3" t="n">
        <v>119504.15</v>
      </c>
      <c r="Q1318" s="3" t="n">
        <v>72180.5</v>
      </c>
      <c r="R1318" s="3" t="n">
        <v>0.3766</v>
      </c>
      <c r="S1318" s="3" t="n">
        <v>0.0333</v>
      </c>
      <c r="T1318" s="3" t="n">
        <v>0.0043</v>
      </c>
    </row>
    <row r="1319" customFormat="false" ht="15" hidden="false" customHeight="true" outlineLevel="0" collapsed="false">
      <c r="A1319" s="3" t="s">
        <v>2160</v>
      </c>
      <c r="B1319" s="3" t="s">
        <v>328</v>
      </c>
      <c r="C1319" s="3" t="s">
        <v>126</v>
      </c>
      <c r="D1319" s="3" t="s">
        <v>54</v>
      </c>
      <c r="E1319" s="3" t="s">
        <v>24</v>
      </c>
      <c r="F1319" s="3" t="s">
        <v>40</v>
      </c>
      <c r="G1319" s="3" t="s">
        <v>41</v>
      </c>
      <c r="H1319" s="3" t="s">
        <v>56</v>
      </c>
      <c r="I1319" s="3" t="s">
        <v>188</v>
      </c>
      <c r="J1319" s="3" t="n">
        <v>38</v>
      </c>
      <c r="K1319" s="3" t="n">
        <v>14750.15</v>
      </c>
      <c r="L1319" s="3" t="n">
        <v>560505.7</v>
      </c>
      <c r="M1319" s="3" t="n">
        <v>0.0976</v>
      </c>
      <c r="N1319" s="3" t="n">
        <v>54705.36</v>
      </c>
      <c r="O1319" s="3" t="n">
        <v>505800.34</v>
      </c>
      <c r="P1319" s="3" t="n">
        <v>336303.42</v>
      </c>
      <c r="Q1319" s="3" t="n">
        <v>169496.92</v>
      </c>
      <c r="R1319" s="3" t="n">
        <v>0.3351</v>
      </c>
      <c r="S1319" s="3" t="n">
        <v>0.1063</v>
      </c>
      <c r="T1319" s="3" t="n">
        <v>-0.0087</v>
      </c>
    </row>
    <row r="1320" customFormat="false" ht="15" hidden="false" customHeight="true" outlineLevel="0" collapsed="false">
      <c r="A1320" s="3" t="s">
        <v>2161</v>
      </c>
      <c r="B1320" s="3" t="s">
        <v>2159</v>
      </c>
      <c r="C1320" s="3" t="s">
        <v>113</v>
      </c>
      <c r="D1320" s="3" t="s">
        <v>97</v>
      </c>
      <c r="E1320" s="3" t="s">
        <v>48</v>
      </c>
      <c r="F1320" s="3" t="s">
        <v>40</v>
      </c>
      <c r="G1320" s="3" t="s">
        <v>84</v>
      </c>
      <c r="H1320" s="3" t="s">
        <v>56</v>
      </c>
      <c r="I1320" s="3" t="s">
        <v>121</v>
      </c>
      <c r="J1320" s="3" t="n">
        <v>1</v>
      </c>
      <c r="K1320" s="3" t="n">
        <v>5348.91</v>
      </c>
      <c r="L1320" s="3" t="n">
        <v>5348.91</v>
      </c>
      <c r="M1320" s="3" t="n">
        <v>0.0692</v>
      </c>
      <c r="N1320" s="3" t="n">
        <v>370.14</v>
      </c>
      <c r="O1320" s="3" t="n">
        <v>4978.77</v>
      </c>
      <c r="P1320" s="3" t="n">
        <v>3209.35</v>
      </c>
      <c r="Q1320" s="3" t="n">
        <v>1769.42</v>
      </c>
      <c r="R1320" s="3" t="n">
        <v>0.3554</v>
      </c>
      <c r="S1320" s="3" t="n">
        <v>0.0572</v>
      </c>
      <c r="T1320" s="3" t="n">
        <v>0.012</v>
      </c>
    </row>
    <row r="1321" customFormat="false" ht="15" hidden="false" customHeight="true" outlineLevel="0" collapsed="false">
      <c r="A1321" s="3" t="s">
        <v>2162</v>
      </c>
      <c r="B1321" s="3" t="s">
        <v>965</v>
      </c>
      <c r="C1321" s="3" t="s">
        <v>22</v>
      </c>
      <c r="D1321" s="3" t="s">
        <v>38</v>
      </c>
      <c r="E1321" s="3" t="s">
        <v>39</v>
      </c>
      <c r="F1321" s="3" t="s">
        <v>40</v>
      </c>
      <c r="G1321" s="3" t="s">
        <v>41</v>
      </c>
      <c r="H1321" s="3" t="s">
        <v>64</v>
      </c>
      <c r="I1321" s="3" t="s">
        <v>108</v>
      </c>
      <c r="J1321" s="3" t="n">
        <v>1</v>
      </c>
      <c r="K1321" s="3" t="n">
        <v>7279.18</v>
      </c>
      <c r="L1321" s="3" t="n">
        <v>7279.18</v>
      </c>
      <c r="M1321" s="3" t="n">
        <v>0.102</v>
      </c>
      <c r="N1321" s="3" t="n">
        <v>742.48</v>
      </c>
      <c r="O1321" s="3" t="n">
        <v>6536.7</v>
      </c>
      <c r="P1321" s="3" t="n">
        <v>4221.92</v>
      </c>
      <c r="Q1321" s="3" t="n">
        <v>2314.78</v>
      </c>
      <c r="R1321" s="3" t="n">
        <v>0.3541</v>
      </c>
      <c r="S1321" s="3" t="n">
        <v>0.0858</v>
      </c>
      <c r="T1321" s="3" t="n">
        <v>0.0162</v>
      </c>
    </row>
    <row r="1322" customFormat="false" ht="15" hidden="false" customHeight="true" outlineLevel="0" collapsed="false">
      <c r="A1322" s="3" t="s">
        <v>2163</v>
      </c>
      <c r="B1322" s="3" t="s">
        <v>734</v>
      </c>
      <c r="C1322" s="3" t="s">
        <v>53</v>
      </c>
      <c r="D1322" s="3" t="s">
        <v>83</v>
      </c>
      <c r="E1322" s="3" t="s">
        <v>48</v>
      </c>
      <c r="F1322" s="3" t="s">
        <v>62</v>
      </c>
      <c r="G1322" s="3" t="s">
        <v>84</v>
      </c>
      <c r="H1322" s="3" t="s">
        <v>77</v>
      </c>
      <c r="I1322" s="3" t="s">
        <v>85</v>
      </c>
      <c r="J1322" s="3" t="n">
        <v>33</v>
      </c>
      <c r="K1322" s="3" t="n">
        <v>2770.03</v>
      </c>
      <c r="L1322" s="3" t="n">
        <v>91410.99</v>
      </c>
      <c r="M1322" s="3" t="n">
        <v>0.068</v>
      </c>
      <c r="N1322" s="3" t="n">
        <v>6215.95</v>
      </c>
      <c r="O1322" s="3" t="n">
        <v>85195.04</v>
      </c>
      <c r="P1322" s="3" t="n">
        <v>62159.47</v>
      </c>
      <c r="Q1322" s="3" t="n">
        <v>23035.57</v>
      </c>
      <c r="R1322" s="3" t="n">
        <v>0.2704</v>
      </c>
      <c r="S1322" s="3" t="n">
        <v>0.0658</v>
      </c>
      <c r="T1322" s="3" t="n">
        <v>0.0022</v>
      </c>
    </row>
    <row r="1323" customFormat="false" ht="15" hidden="false" customHeight="true" outlineLevel="0" collapsed="false">
      <c r="A1323" s="3" t="s">
        <v>2164</v>
      </c>
      <c r="B1323" s="3" t="s">
        <v>198</v>
      </c>
      <c r="C1323" s="3" t="s">
        <v>113</v>
      </c>
      <c r="D1323" s="3" t="s">
        <v>47</v>
      </c>
      <c r="E1323" s="3" t="s">
        <v>48</v>
      </c>
      <c r="F1323" s="3" t="s">
        <v>25</v>
      </c>
      <c r="G1323" s="3" t="s">
        <v>84</v>
      </c>
      <c r="H1323" s="3" t="s">
        <v>77</v>
      </c>
      <c r="I1323" s="3" t="s">
        <v>85</v>
      </c>
      <c r="J1323" s="3" t="n">
        <v>34</v>
      </c>
      <c r="K1323" s="3" t="n">
        <v>2903.96</v>
      </c>
      <c r="L1323" s="3" t="n">
        <v>98734.64</v>
      </c>
      <c r="M1323" s="3" t="n">
        <v>0.0921</v>
      </c>
      <c r="N1323" s="3" t="n">
        <v>9093.46</v>
      </c>
      <c r="O1323" s="3" t="n">
        <v>89641.18</v>
      </c>
      <c r="P1323" s="3" t="n">
        <v>67139.56</v>
      </c>
      <c r="Q1323" s="3" t="n">
        <v>22501.62</v>
      </c>
      <c r="R1323" s="3" t="n">
        <v>0.251</v>
      </c>
      <c r="S1323" s="3" t="n">
        <v>0.1001</v>
      </c>
      <c r="T1323" s="3" t="n">
        <v>-0.008</v>
      </c>
    </row>
    <row r="1324" customFormat="false" ht="15" hidden="false" customHeight="true" outlineLevel="0" collapsed="false">
      <c r="A1324" s="3" t="s">
        <v>2165</v>
      </c>
      <c r="B1324" s="3" t="s">
        <v>2166</v>
      </c>
      <c r="C1324" s="3" t="s">
        <v>120</v>
      </c>
      <c r="D1324" s="3" t="s">
        <v>23</v>
      </c>
      <c r="E1324" s="3" t="s">
        <v>24</v>
      </c>
      <c r="F1324" s="3" t="s">
        <v>25</v>
      </c>
      <c r="G1324" s="3" t="s">
        <v>41</v>
      </c>
      <c r="H1324" s="3" t="s">
        <v>42</v>
      </c>
      <c r="I1324" s="3" t="s">
        <v>72</v>
      </c>
      <c r="J1324" s="3" t="n">
        <v>36</v>
      </c>
      <c r="K1324" s="3" t="n">
        <v>3439.57</v>
      </c>
      <c r="L1324" s="3" t="n">
        <v>123824.52</v>
      </c>
      <c r="M1324" s="3" t="n">
        <v>0.1777</v>
      </c>
      <c r="N1324" s="3" t="n">
        <v>22003.62</v>
      </c>
      <c r="O1324" s="3" t="n">
        <v>101820.9</v>
      </c>
      <c r="P1324" s="3" t="n">
        <v>68103.49</v>
      </c>
      <c r="Q1324" s="3" t="n">
        <v>33717.41</v>
      </c>
      <c r="R1324" s="3" t="n">
        <v>0.3311</v>
      </c>
      <c r="S1324" s="3" t="n">
        <v>0.1719</v>
      </c>
      <c r="T1324" s="3" t="n">
        <v>0.0058</v>
      </c>
    </row>
    <row r="1325" customFormat="false" ht="15" hidden="false" customHeight="true" outlineLevel="0" collapsed="false">
      <c r="A1325" s="3" t="s">
        <v>2167</v>
      </c>
      <c r="B1325" s="3" t="s">
        <v>2168</v>
      </c>
      <c r="C1325" s="3" t="s">
        <v>113</v>
      </c>
      <c r="D1325" s="3" t="s">
        <v>47</v>
      </c>
      <c r="E1325" s="3" t="s">
        <v>48</v>
      </c>
      <c r="F1325" s="3" t="s">
        <v>25</v>
      </c>
      <c r="G1325" s="3" t="s">
        <v>104</v>
      </c>
      <c r="H1325" s="3" t="s">
        <v>42</v>
      </c>
      <c r="I1325" s="3" t="s">
        <v>43</v>
      </c>
      <c r="J1325" s="3" t="n">
        <v>30</v>
      </c>
      <c r="K1325" s="3" t="n">
        <v>3531.48</v>
      </c>
      <c r="L1325" s="3" t="n">
        <v>105944.4</v>
      </c>
      <c r="M1325" s="3" t="n">
        <v>0.1732</v>
      </c>
      <c r="N1325" s="3" t="n">
        <v>18349.57</v>
      </c>
      <c r="O1325" s="3" t="n">
        <v>87594.83</v>
      </c>
      <c r="P1325" s="3" t="n">
        <v>58269.42</v>
      </c>
      <c r="Q1325" s="3" t="n">
        <v>29325.41</v>
      </c>
      <c r="R1325" s="3" t="n">
        <v>0.3348</v>
      </c>
      <c r="S1325" s="3" t="n">
        <v>0.1584</v>
      </c>
      <c r="T1325" s="3" t="n">
        <v>0.0148</v>
      </c>
    </row>
    <row r="1326" customFormat="false" ht="15" hidden="false" customHeight="true" outlineLevel="0" collapsed="false">
      <c r="A1326" s="3" t="s">
        <v>2169</v>
      </c>
      <c r="B1326" s="3" t="s">
        <v>2170</v>
      </c>
      <c r="C1326" s="3" t="s">
        <v>120</v>
      </c>
      <c r="D1326" s="3" t="s">
        <v>75</v>
      </c>
      <c r="E1326" s="3" t="s">
        <v>39</v>
      </c>
      <c r="F1326" s="3" t="s">
        <v>25</v>
      </c>
      <c r="G1326" s="3" t="s">
        <v>84</v>
      </c>
      <c r="H1326" s="3" t="s">
        <v>27</v>
      </c>
      <c r="I1326" s="3" t="s">
        <v>117</v>
      </c>
      <c r="J1326" s="3" t="n">
        <v>13</v>
      </c>
      <c r="K1326" s="3" t="n">
        <v>19551.72</v>
      </c>
      <c r="L1326" s="3" t="n">
        <v>254172.36</v>
      </c>
      <c r="M1326" s="3" t="n">
        <v>0.0951</v>
      </c>
      <c r="N1326" s="3" t="n">
        <v>24171.79</v>
      </c>
      <c r="O1326" s="3" t="n">
        <v>230000.57</v>
      </c>
      <c r="P1326" s="3" t="n">
        <v>157586.86</v>
      </c>
      <c r="Q1326" s="3" t="n">
        <v>72413.71</v>
      </c>
      <c r="R1326" s="3" t="n">
        <v>0.3148</v>
      </c>
      <c r="S1326" s="3" t="n">
        <v>0.1021</v>
      </c>
      <c r="T1326" s="3" t="n">
        <v>-0.007</v>
      </c>
    </row>
    <row r="1327" customFormat="false" ht="15" hidden="false" customHeight="true" outlineLevel="0" collapsed="false">
      <c r="A1327" s="3" t="s">
        <v>2171</v>
      </c>
      <c r="B1327" s="3" t="s">
        <v>561</v>
      </c>
      <c r="C1327" s="3" t="s">
        <v>93</v>
      </c>
      <c r="D1327" s="3" t="s">
        <v>54</v>
      </c>
      <c r="E1327" s="3" t="s">
        <v>24</v>
      </c>
      <c r="F1327" s="3" t="s">
        <v>40</v>
      </c>
      <c r="G1327" s="3" t="s">
        <v>55</v>
      </c>
      <c r="H1327" s="3" t="s">
        <v>56</v>
      </c>
      <c r="I1327" s="3" t="s">
        <v>188</v>
      </c>
      <c r="J1327" s="3" t="n">
        <v>42</v>
      </c>
      <c r="K1327" s="3" t="n">
        <v>6368.45</v>
      </c>
      <c r="L1327" s="3" t="n">
        <v>267474.9</v>
      </c>
      <c r="M1327" s="3" t="n">
        <v>0.0437</v>
      </c>
      <c r="N1327" s="3" t="n">
        <v>11688.65</v>
      </c>
      <c r="O1327" s="3" t="n">
        <v>255786.25</v>
      </c>
      <c r="P1327" s="3" t="n">
        <v>160484.94</v>
      </c>
      <c r="Q1327" s="3" t="n">
        <v>95301.31</v>
      </c>
      <c r="R1327" s="3" t="n">
        <v>0.3726</v>
      </c>
      <c r="S1327" s="3" t="n">
        <v>0.0402</v>
      </c>
      <c r="T1327" s="3" t="n">
        <v>0.0035</v>
      </c>
    </row>
    <row r="1328" customFormat="false" ht="15" hidden="false" customHeight="true" outlineLevel="0" collapsed="false">
      <c r="A1328" s="3" t="s">
        <v>2172</v>
      </c>
      <c r="B1328" s="3" t="s">
        <v>680</v>
      </c>
      <c r="C1328" s="3" t="s">
        <v>93</v>
      </c>
      <c r="D1328" s="3" t="s">
        <v>97</v>
      </c>
      <c r="E1328" s="3" t="s">
        <v>48</v>
      </c>
      <c r="F1328" s="3" t="s">
        <v>40</v>
      </c>
      <c r="G1328" s="3" t="s">
        <v>71</v>
      </c>
      <c r="H1328" s="3" t="s">
        <v>42</v>
      </c>
      <c r="I1328" s="3" t="s">
        <v>134</v>
      </c>
      <c r="J1328" s="3" t="n">
        <v>37</v>
      </c>
      <c r="K1328" s="3" t="n">
        <v>700.29</v>
      </c>
      <c r="L1328" s="3" t="n">
        <v>25910.73</v>
      </c>
      <c r="M1328" s="3" t="n">
        <v>0.0712</v>
      </c>
      <c r="N1328" s="3" t="n">
        <v>1844.84</v>
      </c>
      <c r="O1328" s="3" t="n">
        <v>24065.89</v>
      </c>
      <c r="P1328" s="3" t="n">
        <v>14250.9</v>
      </c>
      <c r="Q1328" s="3" t="n">
        <v>9814.99</v>
      </c>
      <c r="R1328" s="3" t="n">
        <v>0.4078</v>
      </c>
      <c r="S1328" s="3" t="n">
        <v>0.0782</v>
      </c>
      <c r="T1328" s="3" t="n">
        <v>-0.007</v>
      </c>
    </row>
    <row r="1329" customFormat="false" ht="15" hidden="false" customHeight="true" outlineLevel="0" collapsed="false">
      <c r="A1329" s="3" t="s">
        <v>2173</v>
      </c>
      <c r="B1329" s="3" t="s">
        <v>2174</v>
      </c>
      <c r="C1329" s="3" t="s">
        <v>156</v>
      </c>
      <c r="D1329" s="3" t="s">
        <v>23</v>
      </c>
      <c r="E1329" s="3" t="s">
        <v>24</v>
      </c>
      <c r="F1329" s="3" t="s">
        <v>25</v>
      </c>
      <c r="G1329" s="3" t="s">
        <v>41</v>
      </c>
      <c r="H1329" s="3" t="s">
        <v>77</v>
      </c>
      <c r="I1329" s="3" t="s">
        <v>78</v>
      </c>
      <c r="J1329" s="3" t="n">
        <v>42</v>
      </c>
      <c r="K1329" s="3" t="n">
        <v>3472.55</v>
      </c>
      <c r="L1329" s="3" t="n">
        <v>145847.1</v>
      </c>
      <c r="M1329" s="3" t="n">
        <v>0.1937</v>
      </c>
      <c r="N1329" s="3" t="n">
        <v>28250.58</v>
      </c>
      <c r="O1329" s="3" t="n">
        <v>117596.52</v>
      </c>
      <c r="P1329" s="3" t="n">
        <v>99176.03</v>
      </c>
      <c r="Q1329" s="3" t="n">
        <v>18420.49</v>
      </c>
      <c r="R1329" s="3" t="n">
        <v>0.1566</v>
      </c>
      <c r="S1329" s="3" t="n">
        <v>0.1905</v>
      </c>
      <c r="T1329" s="3" t="n">
        <v>0.0032</v>
      </c>
    </row>
    <row r="1330" customFormat="false" ht="15" hidden="false" customHeight="true" outlineLevel="0" collapsed="false">
      <c r="A1330" s="3" t="s">
        <v>2175</v>
      </c>
      <c r="B1330" s="3" t="s">
        <v>490</v>
      </c>
      <c r="C1330" s="3" t="s">
        <v>22</v>
      </c>
      <c r="D1330" s="3" t="s">
        <v>97</v>
      </c>
      <c r="E1330" s="3" t="s">
        <v>48</v>
      </c>
      <c r="F1330" s="3" t="s">
        <v>40</v>
      </c>
      <c r="G1330" s="3" t="s">
        <v>41</v>
      </c>
      <c r="H1330" s="3" t="s">
        <v>64</v>
      </c>
      <c r="I1330" s="3" t="s">
        <v>108</v>
      </c>
      <c r="J1330" s="3" t="n">
        <v>8</v>
      </c>
      <c r="K1330" s="3" t="n">
        <v>3745.42</v>
      </c>
      <c r="L1330" s="3" t="n">
        <v>29963.36</v>
      </c>
      <c r="M1330" s="3" t="n">
        <v>0.0783</v>
      </c>
      <c r="N1330" s="3" t="n">
        <v>2346.13</v>
      </c>
      <c r="O1330" s="3" t="n">
        <v>27617.23</v>
      </c>
      <c r="P1330" s="3" t="n">
        <v>17378.75</v>
      </c>
      <c r="Q1330" s="3" t="n">
        <v>10238.48</v>
      </c>
      <c r="R1330" s="3" t="n">
        <v>0.3707</v>
      </c>
      <c r="S1330" s="3" t="n">
        <v>0.07</v>
      </c>
      <c r="T1330" s="3" t="n">
        <v>0.0083</v>
      </c>
    </row>
    <row r="1331" customFormat="false" ht="15" hidden="false" customHeight="true" outlineLevel="0" collapsed="false">
      <c r="A1331" s="3" t="s">
        <v>2176</v>
      </c>
      <c r="B1331" s="3" t="s">
        <v>290</v>
      </c>
      <c r="C1331" s="3" t="s">
        <v>37</v>
      </c>
      <c r="D1331" s="3" t="s">
        <v>107</v>
      </c>
      <c r="E1331" s="3" t="s">
        <v>33</v>
      </c>
      <c r="F1331" s="3" t="s">
        <v>70</v>
      </c>
      <c r="G1331" s="3" t="s">
        <v>71</v>
      </c>
      <c r="H1331" s="3" t="s">
        <v>42</v>
      </c>
      <c r="I1331" s="3" t="s">
        <v>43</v>
      </c>
      <c r="J1331" s="3" t="n">
        <v>2</v>
      </c>
      <c r="K1331" s="3" t="n">
        <v>2649.01</v>
      </c>
      <c r="L1331" s="3" t="n">
        <v>5298.02</v>
      </c>
      <c r="M1331" s="3" t="n">
        <v>0.0466</v>
      </c>
      <c r="N1331" s="3" t="n">
        <v>246.89</v>
      </c>
      <c r="O1331" s="3" t="n">
        <v>5051.13</v>
      </c>
      <c r="P1331" s="3" t="n">
        <v>2913.91</v>
      </c>
      <c r="Q1331" s="3" t="n">
        <v>2137.22</v>
      </c>
      <c r="R1331" s="3" t="n">
        <v>0.4231</v>
      </c>
      <c r="S1331" s="3" t="n">
        <v>0.0499</v>
      </c>
      <c r="T1331" s="3" t="n">
        <v>-0.0033</v>
      </c>
    </row>
    <row r="1332" customFormat="false" ht="15" hidden="false" customHeight="true" outlineLevel="0" collapsed="false">
      <c r="A1332" s="3" t="s">
        <v>2177</v>
      </c>
      <c r="B1332" s="3" t="s">
        <v>1817</v>
      </c>
      <c r="C1332" s="3" t="s">
        <v>22</v>
      </c>
      <c r="D1332" s="3" t="s">
        <v>75</v>
      </c>
      <c r="E1332" s="3" t="s">
        <v>39</v>
      </c>
      <c r="F1332" s="3" t="s">
        <v>25</v>
      </c>
      <c r="G1332" s="3" t="s">
        <v>49</v>
      </c>
      <c r="H1332" s="3" t="s">
        <v>56</v>
      </c>
      <c r="I1332" s="3" t="s">
        <v>121</v>
      </c>
      <c r="J1332" s="3" t="n">
        <v>43</v>
      </c>
      <c r="K1332" s="3" t="n">
        <v>10261.45</v>
      </c>
      <c r="L1332" s="3" t="n">
        <v>441242.35</v>
      </c>
      <c r="M1332" s="3" t="n">
        <v>0.1572</v>
      </c>
      <c r="N1332" s="3" t="n">
        <v>69363.3</v>
      </c>
      <c r="O1332" s="3" t="n">
        <v>371879.05</v>
      </c>
      <c r="P1332" s="3" t="n">
        <v>264745.41</v>
      </c>
      <c r="Q1332" s="3" t="n">
        <v>107133.64</v>
      </c>
      <c r="R1332" s="3" t="n">
        <v>0.2881</v>
      </c>
      <c r="S1332" s="3" t="n">
        <v>0.1288</v>
      </c>
      <c r="T1332" s="3" t="n">
        <v>0.0284</v>
      </c>
    </row>
    <row r="1333" customFormat="false" ht="15" hidden="false" customHeight="true" outlineLevel="0" collapsed="false">
      <c r="A1333" s="3" t="s">
        <v>2178</v>
      </c>
      <c r="B1333" s="3" t="s">
        <v>2179</v>
      </c>
      <c r="C1333" s="3" t="s">
        <v>68</v>
      </c>
      <c r="D1333" s="3" t="s">
        <v>107</v>
      </c>
      <c r="E1333" s="3" t="s">
        <v>33</v>
      </c>
      <c r="F1333" s="3" t="s">
        <v>70</v>
      </c>
      <c r="G1333" s="3" t="s">
        <v>116</v>
      </c>
      <c r="H1333" s="3" t="s">
        <v>64</v>
      </c>
      <c r="I1333" s="3" t="s">
        <v>145</v>
      </c>
      <c r="J1333" s="3" t="n">
        <v>3</v>
      </c>
      <c r="K1333" s="3" t="n">
        <v>4553.27</v>
      </c>
      <c r="L1333" s="3" t="n">
        <v>13659.81</v>
      </c>
      <c r="M1333" s="3" t="n">
        <v>0.0717</v>
      </c>
      <c r="N1333" s="3" t="n">
        <v>979.41</v>
      </c>
      <c r="O1333" s="3" t="n">
        <v>12680.4</v>
      </c>
      <c r="P1333" s="3" t="n">
        <v>7922.69</v>
      </c>
      <c r="Q1333" s="3" t="n">
        <v>4757.71</v>
      </c>
      <c r="R1333" s="3" t="n">
        <v>0.3752</v>
      </c>
      <c r="S1333" s="3" t="n">
        <v>0.0662</v>
      </c>
      <c r="T1333" s="3" t="n">
        <v>0.0055</v>
      </c>
    </row>
    <row r="1334" customFormat="false" ht="15" hidden="false" customHeight="true" outlineLevel="0" collapsed="false">
      <c r="A1334" s="3" t="s">
        <v>2180</v>
      </c>
      <c r="B1334" s="3" t="s">
        <v>447</v>
      </c>
      <c r="C1334" s="3" t="s">
        <v>22</v>
      </c>
      <c r="D1334" s="3" t="s">
        <v>23</v>
      </c>
      <c r="E1334" s="3" t="s">
        <v>24</v>
      </c>
      <c r="F1334" s="3" t="s">
        <v>25</v>
      </c>
      <c r="G1334" s="3" t="s">
        <v>76</v>
      </c>
      <c r="H1334" s="3" t="s">
        <v>27</v>
      </c>
      <c r="I1334" s="3" t="s">
        <v>50</v>
      </c>
      <c r="J1334" s="3" t="n">
        <v>8</v>
      </c>
      <c r="K1334" s="3" t="n">
        <v>25937.9</v>
      </c>
      <c r="L1334" s="3" t="n">
        <v>207503.2</v>
      </c>
      <c r="M1334" s="3" t="n">
        <v>0.1325</v>
      </c>
      <c r="N1334" s="3" t="n">
        <v>27494.17</v>
      </c>
      <c r="O1334" s="3" t="n">
        <v>180009.03</v>
      </c>
      <c r="P1334" s="3" t="n">
        <v>128651.98</v>
      </c>
      <c r="Q1334" s="3" t="n">
        <v>51357.05</v>
      </c>
      <c r="R1334" s="3" t="n">
        <v>0.2853</v>
      </c>
      <c r="S1334" s="3" t="n">
        <v>0.1285</v>
      </c>
      <c r="T1334" s="3" t="n">
        <v>0.004</v>
      </c>
    </row>
    <row r="1335" customFormat="false" ht="15" hidden="false" customHeight="true" outlineLevel="0" collapsed="false">
      <c r="A1335" s="3" t="s">
        <v>2181</v>
      </c>
      <c r="B1335" s="3" t="s">
        <v>783</v>
      </c>
      <c r="C1335" s="3" t="s">
        <v>156</v>
      </c>
      <c r="D1335" s="3" t="s">
        <v>83</v>
      </c>
      <c r="E1335" s="3" t="s">
        <v>48</v>
      </c>
      <c r="F1335" s="3" t="s">
        <v>62</v>
      </c>
      <c r="G1335" s="3" t="s">
        <v>116</v>
      </c>
      <c r="H1335" s="3" t="s">
        <v>27</v>
      </c>
      <c r="I1335" s="3" t="s">
        <v>28</v>
      </c>
      <c r="J1335" s="3" t="n">
        <v>6</v>
      </c>
      <c r="K1335" s="3" t="n">
        <v>13840.03</v>
      </c>
      <c r="L1335" s="3" t="n">
        <v>83040.18</v>
      </c>
      <c r="M1335" s="3" t="n">
        <v>0.0829</v>
      </c>
      <c r="N1335" s="3" t="n">
        <v>6884.03</v>
      </c>
      <c r="O1335" s="3" t="n">
        <v>76156.15</v>
      </c>
      <c r="P1335" s="3" t="n">
        <v>51484.91</v>
      </c>
      <c r="Q1335" s="3" t="n">
        <v>24671.24</v>
      </c>
      <c r="R1335" s="3" t="n">
        <v>0.324</v>
      </c>
      <c r="S1335" s="3" t="n">
        <v>0.0854</v>
      </c>
      <c r="T1335" s="3" t="n">
        <v>-0.0025</v>
      </c>
    </row>
    <row r="1336" customFormat="false" ht="15" hidden="false" customHeight="true" outlineLevel="0" collapsed="false">
      <c r="A1336" s="3" t="s">
        <v>2182</v>
      </c>
      <c r="B1336" s="3" t="s">
        <v>2168</v>
      </c>
      <c r="C1336" s="3" t="s">
        <v>113</v>
      </c>
      <c r="D1336" s="3" t="s">
        <v>32</v>
      </c>
      <c r="E1336" s="3" t="s">
        <v>33</v>
      </c>
      <c r="F1336" s="3" t="s">
        <v>25</v>
      </c>
      <c r="G1336" s="3" t="s">
        <v>84</v>
      </c>
      <c r="H1336" s="3" t="s">
        <v>64</v>
      </c>
      <c r="I1336" s="3" t="s">
        <v>145</v>
      </c>
      <c r="J1336" s="3" t="n">
        <v>47</v>
      </c>
      <c r="K1336" s="3" t="n">
        <v>3731.47</v>
      </c>
      <c r="L1336" s="3" t="n">
        <v>175379.09</v>
      </c>
      <c r="M1336" s="3" t="n">
        <v>0.1418</v>
      </c>
      <c r="N1336" s="3" t="n">
        <v>24868.75</v>
      </c>
      <c r="O1336" s="3" t="n">
        <v>150510.34</v>
      </c>
      <c r="P1336" s="3" t="n">
        <v>101719.87</v>
      </c>
      <c r="Q1336" s="3" t="n">
        <v>48790.47</v>
      </c>
      <c r="R1336" s="3" t="n">
        <v>0.3242</v>
      </c>
      <c r="S1336" s="3" t="n">
        <v>0.1452</v>
      </c>
      <c r="T1336" s="3" t="n">
        <v>-0.0034</v>
      </c>
    </row>
    <row r="1337" customFormat="false" ht="15" hidden="false" customHeight="true" outlineLevel="0" collapsed="false">
      <c r="A1337" s="3" t="s">
        <v>2183</v>
      </c>
      <c r="B1337" s="3" t="s">
        <v>1447</v>
      </c>
      <c r="C1337" s="3" t="s">
        <v>37</v>
      </c>
      <c r="D1337" s="3" t="s">
        <v>97</v>
      </c>
      <c r="E1337" s="3" t="s">
        <v>48</v>
      </c>
      <c r="F1337" s="3" t="s">
        <v>40</v>
      </c>
      <c r="G1337" s="3" t="s">
        <v>104</v>
      </c>
      <c r="H1337" s="3" t="s">
        <v>64</v>
      </c>
      <c r="I1337" s="3" t="s">
        <v>145</v>
      </c>
      <c r="J1337" s="3" t="n">
        <v>19</v>
      </c>
      <c r="K1337" s="3" t="n">
        <v>6413.79</v>
      </c>
      <c r="L1337" s="3" t="n">
        <v>121862.01</v>
      </c>
      <c r="M1337" s="3" t="n">
        <v>0.0645</v>
      </c>
      <c r="N1337" s="3" t="n">
        <v>7860.1</v>
      </c>
      <c r="O1337" s="3" t="n">
        <v>114001.91</v>
      </c>
      <c r="P1337" s="3" t="n">
        <v>70679.97</v>
      </c>
      <c r="Q1337" s="3" t="n">
        <v>43321.94</v>
      </c>
      <c r="R1337" s="3" t="n">
        <v>0.38</v>
      </c>
      <c r="S1337" s="3" t="n">
        <v>0.0596</v>
      </c>
      <c r="T1337" s="3" t="n">
        <v>0.0049</v>
      </c>
    </row>
    <row r="1338" customFormat="false" ht="15" hidden="false" customHeight="true" outlineLevel="0" collapsed="false">
      <c r="A1338" s="3" t="s">
        <v>2184</v>
      </c>
      <c r="B1338" s="3" t="s">
        <v>1050</v>
      </c>
      <c r="C1338" s="3" t="s">
        <v>93</v>
      </c>
      <c r="D1338" s="3" t="s">
        <v>69</v>
      </c>
      <c r="E1338" s="3" t="s">
        <v>39</v>
      </c>
      <c r="F1338" s="3" t="s">
        <v>70</v>
      </c>
      <c r="G1338" s="3" t="s">
        <v>41</v>
      </c>
      <c r="H1338" s="3" t="s">
        <v>42</v>
      </c>
      <c r="I1338" s="3" t="s">
        <v>43</v>
      </c>
      <c r="J1338" s="3" t="n">
        <v>17</v>
      </c>
      <c r="K1338" s="3" t="n">
        <v>3927.47</v>
      </c>
      <c r="L1338" s="3" t="n">
        <v>66766.99</v>
      </c>
      <c r="M1338" s="3" t="n">
        <v>0.0955</v>
      </c>
      <c r="N1338" s="3" t="n">
        <v>6376.25</v>
      </c>
      <c r="O1338" s="3" t="n">
        <v>60390.74</v>
      </c>
      <c r="P1338" s="3" t="n">
        <v>36721.84</v>
      </c>
      <c r="Q1338" s="3" t="n">
        <v>23668.9</v>
      </c>
      <c r="R1338" s="3" t="n">
        <v>0.3919</v>
      </c>
      <c r="S1338" s="3" t="n">
        <v>0.0865</v>
      </c>
      <c r="T1338" s="3" t="n">
        <v>0.009</v>
      </c>
    </row>
    <row r="1339" customFormat="false" ht="15" hidden="false" customHeight="true" outlineLevel="0" collapsed="false">
      <c r="A1339" s="3" t="s">
        <v>2185</v>
      </c>
      <c r="B1339" s="3" t="s">
        <v>1178</v>
      </c>
      <c r="C1339" s="3" t="s">
        <v>60</v>
      </c>
      <c r="D1339" s="3" t="s">
        <v>103</v>
      </c>
      <c r="E1339" s="3" t="s">
        <v>24</v>
      </c>
      <c r="F1339" s="3" t="s">
        <v>62</v>
      </c>
      <c r="G1339" s="3" t="s">
        <v>100</v>
      </c>
      <c r="H1339" s="3" t="s">
        <v>42</v>
      </c>
      <c r="I1339" s="3" t="s">
        <v>72</v>
      </c>
      <c r="J1339" s="3" t="n">
        <v>41</v>
      </c>
      <c r="K1339" s="3" t="n">
        <v>2073.86</v>
      </c>
      <c r="L1339" s="3" t="n">
        <v>85028.26</v>
      </c>
      <c r="M1339" s="3" t="n">
        <v>0.0644</v>
      </c>
      <c r="N1339" s="3" t="n">
        <v>5475.82</v>
      </c>
      <c r="O1339" s="3" t="n">
        <v>79552.44</v>
      </c>
      <c r="P1339" s="3" t="n">
        <v>46765.54</v>
      </c>
      <c r="Q1339" s="3" t="n">
        <v>32786.9</v>
      </c>
      <c r="R1339" s="3" t="n">
        <v>0.4121</v>
      </c>
      <c r="S1339" s="3" t="n">
        <v>0.0522</v>
      </c>
      <c r="T1339" s="3" t="n">
        <v>0.0122</v>
      </c>
    </row>
    <row r="1340" customFormat="false" ht="15" hidden="false" customHeight="true" outlineLevel="0" collapsed="false">
      <c r="A1340" s="3" t="s">
        <v>2186</v>
      </c>
      <c r="B1340" s="3" t="s">
        <v>258</v>
      </c>
      <c r="C1340" s="3" t="s">
        <v>126</v>
      </c>
      <c r="D1340" s="3" t="s">
        <v>38</v>
      </c>
      <c r="E1340" s="3" t="s">
        <v>39</v>
      </c>
      <c r="F1340" s="3" t="s">
        <v>40</v>
      </c>
      <c r="G1340" s="3" t="s">
        <v>100</v>
      </c>
      <c r="H1340" s="3" t="s">
        <v>77</v>
      </c>
      <c r="I1340" s="3" t="s">
        <v>131</v>
      </c>
      <c r="J1340" s="3" t="n">
        <v>45</v>
      </c>
      <c r="K1340" s="3" t="n">
        <v>3929.81</v>
      </c>
      <c r="L1340" s="3" t="n">
        <v>176841.45</v>
      </c>
      <c r="M1340" s="3" t="n">
        <v>0.0517</v>
      </c>
      <c r="N1340" s="3" t="n">
        <v>9142.7</v>
      </c>
      <c r="O1340" s="3" t="n">
        <v>167698.75</v>
      </c>
      <c r="P1340" s="3" t="n">
        <v>120252.19</v>
      </c>
      <c r="Q1340" s="3" t="n">
        <v>47446.56</v>
      </c>
      <c r="R1340" s="3" t="n">
        <v>0.2829</v>
      </c>
      <c r="S1340" s="3" t="n">
        <v>0.0446</v>
      </c>
      <c r="T1340" s="3" t="n">
        <v>0.0071</v>
      </c>
    </row>
    <row r="1341" customFormat="false" ht="15" hidden="false" customHeight="true" outlineLevel="0" collapsed="false">
      <c r="A1341" s="3" t="s">
        <v>2187</v>
      </c>
      <c r="B1341" s="3" t="s">
        <v>151</v>
      </c>
      <c r="C1341" s="3" t="s">
        <v>113</v>
      </c>
      <c r="D1341" s="3" t="s">
        <v>97</v>
      </c>
      <c r="E1341" s="3" t="s">
        <v>48</v>
      </c>
      <c r="F1341" s="3" t="s">
        <v>40</v>
      </c>
      <c r="G1341" s="3" t="s">
        <v>26</v>
      </c>
      <c r="H1341" s="3" t="s">
        <v>56</v>
      </c>
      <c r="I1341" s="3" t="s">
        <v>121</v>
      </c>
      <c r="J1341" s="3" t="n">
        <v>6</v>
      </c>
      <c r="K1341" s="3" t="n">
        <v>14708.72</v>
      </c>
      <c r="L1341" s="3" t="n">
        <v>88252.32</v>
      </c>
      <c r="M1341" s="3" t="n">
        <v>0.0557</v>
      </c>
      <c r="N1341" s="3" t="n">
        <v>4915.65</v>
      </c>
      <c r="O1341" s="3" t="n">
        <v>83336.67</v>
      </c>
      <c r="P1341" s="3" t="n">
        <v>52951.39</v>
      </c>
      <c r="Q1341" s="3" t="n">
        <v>30385.28</v>
      </c>
      <c r="R1341" s="3" t="n">
        <v>0.3646</v>
      </c>
      <c r="S1341" s="3" t="n">
        <v>0.0488</v>
      </c>
      <c r="T1341" s="3" t="n">
        <v>0.0069</v>
      </c>
    </row>
    <row r="1342" customFormat="false" ht="15" hidden="false" customHeight="true" outlineLevel="0" collapsed="false">
      <c r="A1342" s="3" t="s">
        <v>2188</v>
      </c>
      <c r="B1342" s="3" t="s">
        <v>374</v>
      </c>
      <c r="C1342" s="3" t="s">
        <v>37</v>
      </c>
      <c r="D1342" s="3" t="s">
        <v>83</v>
      </c>
      <c r="E1342" s="3" t="s">
        <v>48</v>
      </c>
      <c r="F1342" s="3" t="s">
        <v>62</v>
      </c>
      <c r="G1342" s="3" t="s">
        <v>116</v>
      </c>
      <c r="H1342" s="3" t="s">
        <v>42</v>
      </c>
      <c r="I1342" s="3" t="s">
        <v>43</v>
      </c>
      <c r="J1342" s="3" t="n">
        <v>41</v>
      </c>
      <c r="K1342" s="3" t="n">
        <v>2309.6</v>
      </c>
      <c r="L1342" s="3" t="n">
        <v>94693.6</v>
      </c>
      <c r="M1342" s="3" t="n">
        <v>0.0649</v>
      </c>
      <c r="N1342" s="3" t="n">
        <v>6145.61</v>
      </c>
      <c r="O1342" s="3" t="n">
        <v>88547.99</v>
      </c>
      <c r="P1342" s="3" t="n">
        <v>52081.48</v>
      </c>
      <c r="Q1342" s="3" t="n">
        <v>36466.51</v>
      </c>
      <c r="R1342" s="3" t="n">
        <v>0.4118</v>
      </c>
      <c r="S1342" s="3" t="n">
        <v>0.0592</v>
      </c>
      <c r="T1342" s="3" t="n">
        <v>0.0057</v>
      </c>
    </row>
    <row r="1343" customFormat="false" ht="15" hidden="false" customHeight="true" outlineLevel="0" collapsed="false">
      <c r="A1343" s="3" t="s">
        <v>2189</v>
      </c>
      <c r="B1343" s="3" t="s">
        <v>2190</v>
      </c>
      <c r="C1343" s="3" t="s">
        <v>60</v>
      </c>
      <c r="D1343" s="3" t="s">
        <v>47</v>
      </c>
      <c r="E1343" s="3" t="s">
        <v>48</v>
      </c>
      <c r="F1343" s="3" t="s">
        <v>25</v>
      </c>
      <c r="G1343" s="3" t="s">
        <v>49</v>
      </c>
      <c r="H1343" s="3" t="s">
        <v>56</v>
      </c>
      <c r="I1343" s="3" t="s">
        <v>188</v>
      </c>
      <c r="J1343" s="3" t="n">
        <v>41</v>
      </c>
      <c r="K1343" s="3" t="n">
        <v>13220.61</v>
      </c>
      <c r="L1343" s="3" t="n">
        <v>542045.01</v>
      </c>
      <c r="M1343" s="3" t="n">
        <v>0.16</v>
      </c>
      <c r="N1343" s="3" t="n">
        <v>86727.2</v>
      </c>
      <c r="O1343" s="3" t="n">
        <v>455317.81</v>
      </c>
      <c r="P1343" s="3" t="n">
        <v>325227.01</v>
      </c>
      <c r="Q1343" s="3" t="n">
        <v>130090.8</v>
      </c>
      <c r="R1343" s="3" t="n">
        <v>0.2857</v>
      </c>
      <c r="S1343" s="3" t="n">
        <v>0.1483</v>
      </c>
      <c r="T1343" s="3" t="n">
        <v>0.0117</v>
      </c>
    </row>
    <row r="1344" customFormat="false" ht="15" hidden="false" customHeight="true" outlineLevel="0" collapsed="false">
      <c r="A1344" s="3" t="s">
        <v>2191</v>
      </c>
      <c r="B1344" s="3" t="s">
        <v>517</v>
      </c>
      <c r="C1344" s="3" t="s">
        <v>113</v>
      </c>
      <c r="D1344" s="3" t="s">
        <v>103</v>
      </c>
      <c r="E1344" s="3" t="s">
        <v>24</v>
      </c>
      <c r="F1344" s="3" t="s">
        <v>62</v>
      </c>
      <c r="G1344" s="3" t="s">
        <v>116</v>
      </c>
      <c r="H1344" s="3" t="s">
        <v>42</v>
      </c>
      <c r="I1344" s="3" t="s">
        <v>72</v>
      </c>
      <c r="J1344" s="3" t="n">
        <v>23</v>
      </c>
      <c r="K1344" s="3" t="n">
        <v>1154.89</v>
      </c>
      <c r="L1344" s="3" t="n">
        <v>26562.47</v>
      </c>
      <c r="M1344" s="3" t="n">
        <v>0.084</v>
      </c>
      <c r="N1344" s="3" t="n">
        <v>2231.25</v>
      </c>
      <c r="O1344" s="3" t="n">
        <v>24331.22</v>
      </c>
      <c r="P1344" s="3" t="n">
        <v>14609.36</v>
      </c>
      <c r="Q1344" s="3" t="n">
        <v>9721.86</v>
      </c>
      <c r="R1344" s="3" t="n">
        <v>0.3996</v>
      </c>
      <c r="S1344" s="3" t="n">
        <v>0.0861</v>
      </c>
      <c r="T1344" s="3" t="n">
        <v>-0.0021</v>
      </c>
    </row>
    <row r="1345" customFormat="false" ht="15" hidden="false" customHeight="true" outlineLevel="0" collapsed="false">
      <c r="A1345" s="3" t="s">
        <v>2192</v>
      </c>
      <c r="B1345" s="3" t="s">
        <v>424</v>
      </c>
      <c r="C1345" s="3" t="s">
        <v>93</v>
      </c>
      <c r="D1345" s="3" t="s">
        <v>83</v>
      </c>
      <c r="E1345" s="3" t="s">
        <v>48</v>
      </c>
      <c r="F1345" s="3" t="s">
        <v>62</v>
      </c>
      <c r="G1345" s="3" t="s">
        <v>55</v>
      </c>
      <c r="H1345" s="3" t="s">
        <v>56</v>
      </c>
      <c r="I1345" s="3" t="s">
        <v>57</v>
      </c>
      <c r="J1345" s="3" t="n">
        <v>28</v>
      </c>
      <c r="K1345" s="3" t="n">
        <v>11215.44</v>
      </c>
      <c r="L1345" s="3" t="n">
        <v>314032.32</v>
      </c>
      <c r="M1345" s="3" t="n">
        <v>0.0665</v>
      </c>
      <c r="N1345" s="3" t="n">
        <v>20883.15</v>
      </c>
      <c r="O1345" s="3" t="n">
        <v>293149.17</v>
      </c>
      <c r="P1345" s="3" t="n">
        <v>188419.39</v>
      </c>
      <c r="Q1345" s="3" t="n">
        <v>104729.78</v>
      </c>
      <c r="R1345" s="3" t="n">
        <v>0.3573</v>
      </c>
      <c r="S1345" s="3" t="n">
        <v>0.0699</v>
      </c>
      <c r="T1345" s="3" t="n">
        <v>-0.0034</v>
      </c>
    </row>
    <row r="1346" customFormat="false" ht="15" hidden="false" customHeight="true" outlineLevel="0" collapsed="false">
      <c r="A1346" s="3" t="s">
        <v>2193</v>
      </c>
      <c r="B1346" s="3" t="s">
        <v>2194</v>
      </c>
      <c r="C1346" s="3" t="s">
        <v>53</v>
      </c>
      <c r="D1346" s="3" t="s">
        <v>54</v>
      </c>
      <c r="E1346" s="3" t="s">
        <v>24</v>
      </c>
      <c r="F1346" s="3" t="s">
        <v>40</v>
      </c>
      <c r="G1346" s="3" t="s">
        <v>49</v>
      </c>
      <c r="H1346" s="3" t="s">
        <v>42</v>
      </c>
      <c r="I1346" s="3" t="s">
        <v>72</v>
      </c>
      <c r="J1346" s="3" t="n">
        <v>26</v>
      </c>
      <c r="K1346" s="3" t="n">
        <v>2188.95</v>
      </c>
      <c r="L1346" s="3" t="n">
        <v>56912.7</v>
      </c>
      <c r="M1346" s="3" t="n">
        <v>0.045</v>
      </c>
      <c r="N1346" s="3" t="n">
        <v>2561.07</v>
      </c>
      <c r="O1346" s="3" t="n">
        <v>54351.63</v>
      </c>
      <c r="P1346" s="3" t="n">
        <v>31301.99</v>
      </c>
      <c r="Q1346" s="3" t="n">
        <v>23049.64</v>
      </c>
      <c r="R1346" s="3" t="n">
        <v>0.4241</v>
      </c>
      <c r="S1346" s="3" t="n">
        <v>0.0463</v>
      </c>
      <c r="T1346" s="3" t="n">
        <v>-0.0013</v>
      </c>
    </row>
    <row r="1347" customFormat="false" ht="15" hidden="false" customHeight="true" outlineLevel="0" collapsed="false">
      <c r="A1347" s="3" t="s">
        <v>2195</v>
      </c>
      <c r="B1347" s="3" t="s">
        <v>2196</v>
      </c>
      <c r="C1347" s="3" t="s">
        <v>156</v>
      </c>
      <c r="D1347" s="3" t="s">
        <v>107</v>
      </c>
      <c r="E1347" s="3" t="s">
        <v>33</v>
      </c>
      <c r="F1347" s="3" t="s">
        <v>70</v>
      </c>
      <c r="G1347" s="3" t="s">
        <v>63</v>
      </c>
      <c r="H1347" s="3" t="s">
        <v>27</v>
      </c>
      <c r="I1347" s="3" t="s">
        <v>173</v>
      </c>
      <c r="J1347" s="3" t="n">
        <v>37</v>
      </c>
      <c r="K1347" s="3" t="n">
        <v>32770.32</v>
      </c>
      <c r="L1347" s="3" t="n">
        <v>1212501.84</v>
      </c>
      <c r="M1347" s="3" t="n">
        <v>0.05</v>
      </c>
      <c r="N1347" s="3" t="n">
        <v>60625.09</v>
      </c>
      <c r="O1347" s="3" t="n">
        <v>1151876.75</v>
      </c>
      <c r="P1347" s="3" t="n">
        <v>751751.14</v>
      </c>
      <c r="Q1347" s="3" t="n">
        <v>400125.61</v>
      </c>
      <c r="R1347" s="3" t="n">
        <v>0.3474</v>
      </c>
      <c r="S1347" s="3" t="n">
        <v>0.0425</v>
      </c>
      <c r="T1347" s="3" t="n">
        <v>0.0075</v>
      </c>
    </row>
    <row r="1348" customFormat="false" ht="15" hidden="false" customHeight="true" outlineLevel="0" collapsed="false">
      <c r="A1348" s="3" t="s">
        <v>2197</v>
      </c>
      <c r="B1348" s="3" t="s">
        <v>647</v>
      </c>
      <c r="C1348" s="3" t="s">
        <v>60</v>
      </c>
      <c r="D1348" s="3" t="s">
        <v>75</v>
      </c>
      <c r="E1348" s="3" t="s">
        <v>39</v>
      </c>
      <c r="F1348" s="3" t="s">
        <v>25</v>
      </c>
      <c r="G1348" s="3" t="s">
        <v>26</v>
      </c>
      <c r="H1348" s="3" t="s">
        <v>42</v>
      </c>
      <c r="I1348" s="3" t="s">
        <v>72</v>
      </c>
      <c r="J1348" s="3" t="n">
        <v>13</v>
      </c>
      <c r="K1348" s="3" t="n">
        <v>3799.96</v>
      </c>
      <c r="L1348" s="3" t="n">
        <v>49399.48</v>
      </c>
      <c r="M1348" s="3" t="n">
        <v>0.163</v>
      </c>
      <c r="N1348" s="3" t="n">
        <v>8052.12</v>
      </c>
      <c r="O1348" s="3" t="n">
        <v>41347.36</v>
      </c>
      <c r="P1348" s="3" t="n">
        <v>27169.71</v>
      </c>
      <c r="Q1348" s="3" t="n">
        <v>14177.65</v>
      </c>
      <c r="R1348" s="3" t="n">
        <v>0.3429</v>
      </c>
      <c r="S1348" s="3" t="n">
        <v>0.1368</v>
      </c>
      <c r="T1348" s="3" t="n">
        <v>0.0262</v>
      </c>
    </row>
    <row r="1349" customFormat="false" ht="15" hidden="false" customHeight="true" outlineLevel="0" collapsed="false">
      <c r="A1349" s="3" t="s">
        <v>2198</v>
      </c>
      <c r="B1349" s="3" t="s">
        <v>1067</v>
      </c>
      <c r="C1349" s="3" t="s">
        <v>93</v>
      </c>
      <c r="D1349" s="3" t="s">
        <v>103</v>
      </c>
      <c r="E1349" s="3" t="s">
        <v>24</v>
      </c>
      <c r="F1349" s="3" t="s">
        <v>62</v>
      </c>
      <c r="G1349" s="3" t="s">
        <v>76</v>
      </c>
      <c r="H1349" s="3" t="s">
        <v>27</v>
      </c>
      <c r="I1349" s="3" t="s">
        <v>28</v>
      </c>
      <c r="J1349" s="3" t="n">
        <v>10</v>
      </c>
      <c r="K1349" s="3" t="n">
        <v>33371.63</v>
      </c>
      <c r="L1349" s="3" t="n">
        <v>333716.3</v>
      </c>
      <c r="M1349" s="3" t="n">
        <v>0.0701</v>
      </c>
      <c r="N1349" s="3" t="n">
        <v>23393.51</v>
      </c>
      <c r="O1349" s="3" t="n">
        <v>310322.79</v>
      </c>
      <c r="P1349" s="3" t="n">
        <v>206904.11</v>
      </c>
      <c r="Q1349" s="3" t="n">
        <v>103418.68</v>
      </c>
      <c r="R1349" s="3" t="n">
        <v>0.3333</v>
      </c>
      <c r="S1349" s="3" t="n">
        <v>0.0644</v>
      </c>
      <c r="T1349" s="3" t="n">
        <v>0.0057</v>
      </c>
    </row>
    <row r="1350" customFormat="false" ht="15" hidden="false" customHeight="true" outlineLevel="0" collapsed="false">
      <c r="A1350" s="3" t="s">
        <v>2199</v>
      </c>
      <c r="B1350" s="3" t="s">
        <v>2200</v>
      </c>
      <c r="C1350" s="3" t="s">
        <v>113</v>
      </c>
      <c r="D1350" s="3" t="s">
        <v>83</v>
      </c>
      <c r="E1350" s="3" t="s">
        <v>48</v>
      </c>
      <c r="F1350" s="3" t="s">
        <v>62</v>
      </c>
      <c r="G1350" s="3" t="s">
        <v>34</v>
      </c>
      <c r="H1350" s="3" t="s">
        <v>27</v>
      </c>
      <c r="I1350" s="3" t="s">
        <v>117</v>
      </c>
      <c r="J1350" s="3" t="n">
        <v>20</v>
      </c>
      <c r="K1350" s="3" t="n">
        <v>36254.55</v>
      </c>
      <c r="L1350" s="3" t="n">
        <v>725091</v>
      </c>
      <c r="M1350" s="3" t="n">
        <v>0.0728</v>
      </c>
      <c r="N1350" s="3" t="n">
        <v>52786.62</v>
      </c>
      <c r="O1350" s="3" t="n">
        <v>672304.38</v>
      </c>
      <c r="P1350" s="3" t="n">
        <v>449556.42</v>
      </c>
      <c r="Q1350" s="3" t="n">
        <v>222747.96</v>
      </c>
      <c r="R1350" s="3" t="n">
        <v>0.3313</v>
      </c>
      <c r="S1350" s="3" t="n">
        <v>0.0677</v>
      </c>
      <c r="T1350" s="3" t="n">
        <v>0.0051</v>
      </c>
    </row>
    <row r="1351" customFormat="false" ht="15" hidden="false" customHeight="true" outlineLevel="0" collapsed="false">
      <c r="A1351" s="3" t="s">
        <v>2201</v>
      </c>
      <c r="B1351" s="3" t="s">
        <v>521</v>
      </c>
      <c r="C1351" s="3" t="s">
        <v>93</v>
      </c>
      <c r="D1351" s="3" t="s">
        <v>97</v>
      </c>
      <c r="E1351" s="3" t="s">
        <v>48</v>
      </c>
      <c r="F1351" s="3" t="s">
        <v>40</v>
      </c>
      <c r="G1351" s="3" t="s">
        <v>71</v>
      </c>
      <c r="H1351" s="3" t="s">
        <v>64</v>
      </c>
      <c r="I1351" s="3" t="s">
        <v>108</v>
      </c>
      <c r="J1351" s="3" t="n">
        <v>50</v>
      </c>
      <c r="K1351" s="3" t="n">
        <v>7998.13</v>
      </c>
      <c r="L1351" s="3" t="n">
        <v>399906.5</v>
      </c>
      <c r="M1351" s="3" t="n">
        <v>0.0487</v>
      </c>
      <c r="N1351" s="3" t="n">
        <v>19475.45</v>
      </c>
      <c r="O1351" s="3" t="n">
        <v>380431.05</v>
      </c>
      <c r="P1351" s="3" t="n">
        <v>231945.77</v>
      </c>
      <c r="Q1351" s="3" t="n">
        <v>148485.28</v>
      </c>
      <c r="R1351" s="3" t="n">
        <v>0.3903</v>
      </c>
      <c r="S1351" s="3" t="n">
        <v>0.0413</v>
      </c>
      <c r="T1351" s="3" t="n">
        <v>0.0074</v>
      </c>
    </row>
    <row r="1352" customFormat="false" ht="15" hidden="false" customHeight="true" outlineLevel="0" collapsed="false">
      <c r="A1352" s="3" t="s">
        <v>2202</v>
      </c>
      <c r="B1352" s="3" t="s">
        <v>1378</v>
      </c>
      <c r="C1352" s="3" t="s">
        <v>46</v>
      </c>
      <c r="D1352" s="3" t="s">
        <v>61</v>
      </c>
      <c r="E1352" s="3" t="s">
        <v>33</v>
      </c>
      <c r="F1352" s="3" t="s">
        <v>62</v>
      </c>
      <c r="G1352" s="3" t="s">
        <v>71</v>
      </c>
      <c r="H1352" s="3" t="s">
        <v>77</v>
      </c>
      <c r="I1352" s="3" t="s">
        <v>85</v>
      </c>
      <c r="J1352" s="3" t="n">
        <v>14</v>
      </c>
      <c r="K1352" s="3" t="n">
        <v>3091.43</v>
      </c>
      <c r="L1352" s="3" t="n">
        <v>43280.02</v>
      </c>
      <c r="M1352" s="3" t="n">
        <v>0.0756</v>
      </c>
      <c r="N1352" s="3" t="n">
        <v>3271.97</v>
      </c>
      <c r="O1352" s="3" t="n">
        <v>40008.05</v>
      </c>
      <c r="P1352" s="3" t="n">
        <v>29430.41</v>
      </c>
      <c r="Q1352" s="3" t="n">
        <v>10577.64</v>
      </c>
      <c r="R1352" s="3" t="n">
        <v>0.2644</v>
      </c>
      <c r="S1352" s="3" t="n">
        <v>0.0794</v>
      </c>
      <c r="T1352" s="3" t="n">
        <v>-0.0038</v>
      </c>
    </row>
    <row r="1353" customFormat="false" ht="15" hidden="false" customHeight="true" outlineLevel="0" collapsed="false">
      <c r="A1353" s="3" t="s">
        <v>2203</v>
      </c>
      <c r="B1353" s="3" t="s">
        <v>2204</v>
      </c>
      <c r="C1353" s="3" t="s">
        <v>46</v>
      </c>
      <c r="D1353" s="3" t="s">
        <v>97</v>
      </c>
      <c r="E1353" s="3" t="s">
        <v>48</v>
      </c>
      <c r="F1353" s="3" t="s">
        <v>40</v>
      </c>
      <c r="G1353" s="3" t="s">
        <v>63</v>
      </c>
      <c r="H1353" s="3" t="s">
        <v>64</v>
      </c>
      <c r="I1353" s="3" t="s">
        <v>65</v>
      </c>
      <c r="J1353" s="3" t="n">
        <v>49</v>
      </c>
      <c r="K1353" s="3" t="n">
        <v>4156.52</v>
      </c>
      <c r="L1353" s="3" t="n">
        <v>203669.48</v>
      </c>
      <c r="M1353" s="3" t="n">
        <v>0.0768</v>
      </c>
      <c r="N1353" s="3" t="n">
        <v>15641.82</v>
      </c>
      <c r="O1353" s="3" t="n">
        <v>188027.66</v>
      </c>
      <c r="P1353" s="3" t="n">
        <v>118128.3</v>
      </c>
      <c r="Q1353" s="3" t="n">
        <v>69899.36</v>
      </c>
      <c r="R1353" s="3" t="n">
        <v>0.3718</v>
      </c>
      <c r="S1353" s="3" t="n">
        <v>0.0792</v>
      </c>
      <c r="T1353" s="3" t="n">
        <v>-0.0024</v>
      </c>
    </row>
    <row r="1354" customFormat="false" ht="15" hidden="false" customHeight="true" outlineLevel="0" collapsed="false">
      <c r="A1354" s="3" t="s">
        <v>2205</v>
      </c>
      <c r="B1354" s="3" t="s">
        <v>206</v>
      </c>
      <c r="C1354" s="3" t="s">
        <v>156</v>
      </c>
      <c r="D1354" s="3" t="s">
        <v>54</v>
      </c>
      <c r="E1354" s="3" t="s">
        <v>24</v>
      </c>
      <c r="F1354" s="3" t="s">
        <v>40</v>
      </c>
      <c r="G1354" s="3" t="s">
        <v>63</v>
      </c>
      <c r="H1354" s="3" t="s">
        <v>77</v>
      </c>
      <c r="I1354" s="3" t="s">
        <v>85</v>
      </c>
      <c r="J1354" s="3" t="n">
        <v>23</v>
      </c>
      <c r="K1354" s="3" t="n">
        <v>3763.75</v>
      </c>
      <c r="L1354" s="3" t="n">
        <v>86566.25</v>
      </c>
      <c r="M1354" s="3" t="n">
        <v>0.0544</v>
      </c>
      <c r="N1354" s="3" t="n">
        <v>4709.2</v>
      </c>
      <c r="O1354" s="3" t="n">
        <v>81857.05</v>
      </c>
      <c r="P1354" s="3" t="n">
        <v>58865.05</v>
      </c>
      <c r="Q1354" s="3" t="n">
        <v>22992</v>
      </c>
      <c r="R1354" s="3" t="n">
        <v>0.2809</v>
      </c>
      <c r="S1354" s="3" t="n">
        <v>0.0472</v>
      </c>
      <c r="T1354" s="3" t="n">
        <v>0.0072</v>
      </c>
    </row>
    <row r="1355" customFormat="false" ht="15" hidden="false" customHeight="true" outlineLevel="0" collapsed="false">
      <c r="A1355" s="3" t="s">
        <v>2206</v>
      </c>
      <c r="B1355" s="3" t="s">
        <v>587</v>
      </c>
      <c r="C1355" s="3" t="s">
        <v>46</v>
      </c>
      <c r="D1355" s="3" t="s">
        <v>38</v>
      </c>
      <c r="E1355" s="3" t="s">
        <v>39</v>
      </c>
      <c r="F1355" s="3" t="s">
        <v>40</v>
      </c>
      <c r="G1355" s="3" t="s">
        <v>49</v>
      </c>
      <c r="H1355" s="3" t="s">
        <v>64</v>
      </c>
      <c r="I1355" s="3" t="s">
        <v>108</v>
      </c>
      <c r="J1355" s="3" t="n">
        <v>33</v>
      </c>
      <c r="K1355" s="3" t="n">
        <v>6260.52</v>
      </c>
      <c r="L1355" s="3" t="n">
        <v>206597.16</v>
      </c>
      <c r="M1355" s="3" t="n">
        <v>0.0712</v>
      </c>
      <c r="N1355" s="3" t="n">
        <v>14709.72</v>
      </c>
      <c r="O1355" s="3" t="n">
        <v>191887.44</v>
      </c>
      <c r="P1355" s="3" t="n">
        <v>119826.35</v>
      </c>
      <c r="Q1355" s="3" t="n">
        <v>72061.09</v>
      </c>
      <c r="R1355" s="3" t="n">
        <v>0.3755</v>
      </c>
      <c r="S1355" s="3" t="n">
        <v>0.0765</v>
      </c>
      <c r="T1355" s="3" t="n">
        <v>-0.0053</v>
      </c>
    </row>
    <row r="1356" customFormat="false" ht="15" hidden="false" customHeight="true" outlineLevel="0" collapsed="false">
      <c r="A1356" s="3" t="s">
        <v>2207</v>
      </c>
      <c r="B1356" s="3" t="s">
        <v>1133</v>
      </c>
      <c r="C1356" s="3" t="s">
        <v>46</v>
      </c>
      <c r="D1356" s="3" t="s">
        <v>23</v>
      </c>
      <c r="E1356" s="3" t="s">
        <v>24</v>
      </c>
      <c r="F1356" s="3" t="s">
        <v>25</v>
      </c>
      <c r="G1356" s="3" t="s">
        <v>84</v>
      </c>
      <c r="H1356" s="3" t="s">
        <v>64</v>
      </c>
      <c r="I1356" s="3" t="s">
        <v>108</v>
      </c>
      <c r="J1356" s="3" t="n">
        <v>14</v>
      </c>
      <c r="K1356" s="3" t="n">
        <v>4691.73</v>
      </c>
      <c r="L1356" s="3" t="n">
        <v>65684.22</v>
      </c>
      <c r="M1356" s="3" t="n">
        <v>0.0925</v>
      </c>
      <c r="N1356" s="3" t="n">
        <v>6075.79</v>
      </c>
      <c r="O1356" s="3" t="n">
        <v>59608.43</v>
      </c>
      <c r="P1356" s="3" t="n">
        <v>38096.85</v>
      </c>
      <c r="Q1356" s="3" t="n">
        <v>21511.58</v>
      </c>
      <c r="R1356" s="3" t="n">
        <v>0.3609</v>
      </c>
      <c r="S1356" s="3" t="n">
        <v>0.0922</v>
      </c>
      <c r="T1356" s="3" t="n">
        <v>0.0003</v>
      </c>
    </row>
    <row r="1357" customFormat="false" ht="15" hidden="false" customHeight="true" outlineLevel="0" collapsed="false">
      <c r="A1357" s="3" t="s">
        <v>2208</v>
      </c>
      <c r="B1357" s="3" t="s">
        <v>1535</v>
      </c>
      <c r="C1357" s="3" t="s">
        <v>31</v>
      </c>
      <c r="D1357" s="3" t="s">
        <v>47</v>
      </c>
      <c r="E1357" s="3" t="s">
        <v>48</v>
      </c>
      <c r="F1357" s="3" t="s">
        <v>25</v>
      </c>
      <c r="G1357" s="3" t="s">
        <v>76</v>
      </c>
      <c r="H1357" s="3" t="s">
        <v>64</v>
      </c>
      <c r="I1357" s="3" t="s">
        <v>145</v>
      </c>
      <c r="J1357" s="3" t="n">
        <v>31</v>
      </c>
      <c r="K1357" s="3" t="n">
        <v>6481.34</v>
      </c>
      <c r="L1357" s="3" t="n">
        <v>200921.54</v>
      </c>
      <c r="M1357" s="3" t="n">
        <v>0.1484</v>
      </c>
      <c r="N1357" s="3" t="n">
        <v>29816.76</v>
      </c>
      <c r="O1357" s="3" t="n">
        <v>171104.78</v>
      </c>
      <c r="P1357" s="3" t="n">
        <v>116534.49</v>
      </c>
      <c r="Q1357" s="3" t="n">
        <v>54570.29</v>
      </c>
      <c r="R1357" s="3" t="n">
        <v>0.3189</v>
      </c>
      <c r="S1357" s="3" t="n">
        <v>0.1267</v>
      </c>
      <c r="T1357" s="3" t="n">
        <v>0.0217</v>
      </c>
    </row>
    <row r="1358" customFormat="false" ht="15" hidden="false" customHeight="true" outlineLevel="0" collapsed="false">
      <c r="A1358" s="3" t="s">
        <v>2209</v>
      </c>
      <c r="B1358" s="3" t="s">
        <v>364</v>
      </c>
      <c r="C1358" s="3" t="s">
        <v>31</v>
      </c>
      <c r="D1358" s="3" t="s">
        <v>47</v>
      </c>
      <c r="E1358" s="3" t="s">
        <v>48</v>
      </c>
      <c r="F1358" s="3" t="s">
        <v>25</v>
      </c>
      <c r="G1358" s="3" t="s">
        <v>84</v>
      </c>
      <c r="H1358" s="3" t="s">
        <v>56</v>
      </c>
      <c r="I1358" s="3" t="s">
        <v>188</v>
      </c>
      <c r="J1358" s="3" t="n">
        <v>23</v>
      </c>
      <c r="K1358" s="3" t="n">
        <v>14899.66</v>
      </c>
      <c r="L1358" s="3" t="n">
        <v>342692.18</v>
      </c>
      <c r="M1358" s="3" t="n">
        <v>0.1124</v>
      </c>
      <c r="N1358" s="3" t="n">
        <v>38518.6</v>
      </c>
      <c r="O1358" s="3" t="n">
        <v>304173.58</v>
      </c>
      <c r="P1358" s="3" t="n">
        <v>205615.31</v>
      </c>
      <c r="Q1358" s="3" t="n">
        <v>98558.27</v>
      </c>
      <c r="R1358" s="3" t="n">
        <v>0.324</v>
      </c>
      <c r="S1358" s="3" t="n">
        <v>0.117</v>
      </c>
      <c r="T1358" s="3" t="n">
        <v>-0.0046</v>
      </c>
    </row>
    <row r="1359" customFormat="false" ht="15" hidden="false" customHeight="true" outlineLevel="0" collapsed="false">
      <c r="A1359" s="3" t="s">
        <v>2210</v>
      </c>
      <c r="B1359" s="3" t="s">
        <v>781</v>
      </c>
      <c r="C1359" s="3" t="s">
        <v>31</v>
      </c>
      <c r="D1359" s="3" t="s">
        <v>32</v>
      </c>
      <c r="E1359" s="3" t="s">
        <v>33</v>
      </c>
      <c r="F1359" s="3" t="s">
        <v>25</v>
      </c>
      <c r="G1359" s="3" t="s">
        <v>41</v>
      </c>
      <c r="H1359" s="3" t="s">
        <v>64</v>
      </c>
      <c r="I1359" s="3" t="s">
        <v>145</v>
      </c>
      <c r="J1359" s="3" t="n">
        <v>25</v>
      </c>
      <c r="K1359" s="3" t="n">
        <v>8172.14</v>
      </c>
      <c r="L1359" s="3" t="n">
        <v>204303.5</v>
      </c>
      <c r="M1359" s="3" t="n">
        <v>0.1514</v>
      </c>
      <c r="N1359" s="3" t="n">
        <v>30931.55</v>
      </c>
      <c r="O1359" s="3" t="n">
        <v>173371.95</v>
      </c>
      <c r="P1359" s="3" t="n">
        <v>118496.03</v>
      </c>
      <c r="Q1359" s="3" t="n">
        <v>54875.92</v>
      </c>
      <c r="R1359" s="3" t="n">
        <v>0.3165</v>
      </c>
      <c r="S1359" s="3" t="n">
        <v>0.1403</v>
      </c>
      <c r="T1359" s="3" t="n">
        <v>0.0111</v>
      </c>
    </row>
    <row r="1360" customFormat="false" ht="15" hidden="false" customHeight="true" outlineLevel="0" collapsed="false">
      <c r="A1360" s="3" t="s">
        <v>2211</v>
      </c>
      <c r="B1360" s="3" t="s">
        <v>382</v>
      </c>
      <c r="C1360" s="3" t="s">
        <v>93</v>
      </c>
      <c r="D1360" s="3" t="s">
        <v>32</v>
      </c>
      <c r="E1360" s="3" t="s">
        <v>33</v>
      </c>
      <c r="F1360" s="3" t="s">
        <v>25</v>
      </c>
      <c r="G1360" s="3" t="s">
        <v>76</v>
      </c>
      <c r="H1360" s="3" t="s">
        <v>42</v>
      </c>
      <c r="I1360" s="3" t="s">
        <v>134</v>
      </c>
      <c r="J1360" s="3" t="n">
        <v>8</v>
      </c>
      <c r="K1360" s="3" t="n">
        <v>3097.23</v>
      </c>
      <c r="L1360" s="3" t="n">
        <v>24777.84</v>
      </c>
      <c r="M1360" s="3" t="n">
        <v>0.1644</v>
      </c>
      <c r="N1360" s="3" t="n">
        <v>4073.48</v>
      </c>
      <c r="O1360" s="3" t="n">
        <v>20704.36</v>
      </c>
      <c r="P1360" s="3" t="n">
        <v>13627.81</v>
      </c>
      <c r="Q1360" s="3" t="n">
        <v>7076.55</v>
      </c>
      <c r="R1360" s="3" t="n">
        <v>0.3418</v>
      </c>
      <c r="S1360" s="3" t="n">
        <v>0.1563</v>
      </c>
      <c r="T1360" s="3" t="n">
        <v>0.0081</v>
      </c>
    </row>
    <row r="1361" customFormat="false" ht="15" hidden="false" customHeight="true" outlineLevel="0" collapsed="false">
      <c r="A1361" s="3" t="s">
        <v>2212</v>
      </c>
      <c r="B1361" s="3" t="s">
        <v>1102</v>
      </c>
      <c r="C1361" s="3" t="s">
        <v>68</v>
      </c>
      <c r="D1361" s="3" t="s">
        <v>83</v>
      </c>
      <c r="E1361" s="3" t="s">
        <v>48</v>
      </c>
      <c r="F1361" s="3" t="s">
        <v>62</v>
      </c>
      <c r="G1361" s="3" t="s">
        <v>49</v>
      </c>
      <c r="H1361" s="3" t="s">
        <v>42</v>
      </c>
      <c r="I1361" s="3" t="s">
        <v>72</v>
      </c>
      <c r="J1361" s="3" t="n">
        <v>12</v>
      </c>
      <c r="K1361" s="3" t="n">
        <v>890.85</v>
      </c>
      <c r="L1361" s="3" t="n">
        <v>10690.2</v>
      </c>
      <c r="M1361" s="3" t="n">
        <v>0.079</v>
      </c>
      <c r="N1361" s="3" t="n">
        <v>844.53</v>
      </c>
      <c r="O1361" s="3" t="n">
        <v>9845.67</v>
      </c>
      <c r="P1361" s="3" t="n">
        <v>5879.61</v>
      </c>
      <c r="Q1361" s="3" t="n">
        <v>3966.06</v>
      </c>
      <c r="R1361" s="3" t="n">
        <v>0.4028</v>
      </c>
      <c r="S1361" s="3" t="n">
        <v>0.0812</v>
      </c>
      <c r="T1361" s="3" t="n">
        <v>-0.0022</v>
      </c>
    </row>
    <row r="1362" customFormat="false" ht="15" hidden="false" customHeight="true" outlineLevel="0" collapsed="false">
      <c r="A1362" s="3" t="s">
        <v>2213</v>
      </c>
      <c r="B1362" s="3" t="s">
        <v>268</v>
      </c>
      <c r="C1362" s="3" t="s">
        <v>93</v>
      </c>
      <c r="D1362" s="3" t="s">
        <v>23</v>
      </c>
      <c r="E1362" s="3" t="s">
        <v>24</v>
      </c>
      <c r="F1362" s="3" t="s">
        <v>25</v>
      </c>
      <c r="G1362" s="3" t="s">
        <v>104</v>
      </c>
      <c r="H1362" s="3" t="s">
        <v>27</v>
      </c>
      <c r="I1362" s="3" t="s">
        <v>117</v>
      </c>
      <c r="J1362" s="3" t="n">
        <v>46</v>
      </c>
      <c r="K1362" s="3" t="n">
        <v>18787.7</v>
      </c>
      <c r="L1362" s="3" t="n">
        <v>864234.2</v>
      </c>
      <c r="M1362" s="3" t="n">
        <v>0.1678</v>
      </c>
      <c r="N1362" s="3" t="n">
        <v>145018.5</v>
      </c>
      <c r="O1362" s="3" t="n">
        <v>719215.7</v>
      </c>
      <c r="P1362" s="3" t="n">
        <v>535825.2</v>
      </c>
      <c r="Q1362" s="3" t="n">
        <v>183390.5</v>
      </c>
      <c r="R1362" s="3" t="n">
        <v>0.255</v>
      </c>
      <c r="S1362" s="3" t="n">
        <v>0.1562</v>
      </c>
      <c r="T1362" s="3" t="n">
        <v>0.0116</v>
      </c>
    </row>
    <row r="1363" customFormat="false" ht="15" hidden="false" customHeight="true" outlineLevel="0" collapsed="false">
      <c r="A1363" s="3" t="s">
        <v>2214</v>
      </c>
      <c r="B1363" s="3" t="s">
        <v>1527</v>
      </c>
      <c r="C1363" s="3" t="s">
        <v>46</v>
      </c>
      <c r="D1363" s="3" t="s">
        <v>83</v>
      </c>
      <c r="E1363" s="3" t="s">
        <v>48</v>
      </c>
      <c r="F1363" s="3" t="s">
        <v>62</v>
      </c>
      <c r="G1363" s="3" t="s">
        <v>116</v>
      </c>
      <c r="H1363" s="3" t="s">
        <v>42</v>
      </c>
      <c r="I1363" s="3" t="s">
        <v>43</v>
      </c>
      <c r="J1363" s="3" t="n">
        <v>30</v>
      </c>
      <c r="K1363" s="3" t="n">
        <v>3537.64</v>
      </c>
      <c r="L1363" s="3" t="n">
        <v>106129.2</v>
      </c>
      <c r="M1363" s="3" t="n">
        <v>0.1039</v>
      </c>
      <c r="N1363" s="3" t="n">
        <v>11026.82</v>
      </c>
      <c r="O1363" s="3" t="n">
        <v>95102.38</v>
      </c>
      <c r="P1363" s="3" t="n">
        <v>58371.06</v>
      </c>
      <c r="Q1363" s="3" t="n">
        <v>36731.32</v>
      </c>
      <c r="R1363" s="3" t="n">
        <v>0.3862</v>
      </c>
      <c r="S1363" s="3" t="n">
        <v>0.091</v>
      </c>
      <c r="T1363" s="3" t="n">
        <v>0.0129</v>
      </c>
    </row>
    <row r="1364" customFormat="false" ht="15" hidden="false" customHeight="true" outlineLevel="0" collapsed="false">
      <c r="A1364" s="3" t="s">
        <v>2215</v>
      </c>
      <c r="B1364" s="3" t="s">
        <v>577</v>
      </c>
      <c r="C1364" s="3" t="s">
        <v>156</v>
      </c>
      <c r="D1364" s="3" t="s">
        <v>103</v>
      </c>
      <c r="E1364" s="3" t="s">
        <v>24</v>
      </c>
      <c r="F1364" s="3" t="s">
        <v>62</v>
      </c>
      <c r="G1364" s="3" t="s">
        <v>100</v>
      </c>
      <c r="H1364" s="3" t="s">
        <v>42</v>
      </c>
      <c r="I1364" s="3" t="s">
        <v>43</v>
      </c>
      <c r="J1364" s="3" t="n">
        <v>19</v>
      </c>
      <c r="K1364" s="3" t="n">
        <v>1435.32</v>
      </c>
      <c r="L1364" s="3" t="n">
        <v>27271.08</v>
      </c>
      <c r="M1364" s="3" t="n">
        <v>0.0478</v>
      </c>
      <c r="N1364" s="3" t="n">
        <v>1303.56</v>
      </c>
      <c r="O1364" s="3" t="n">
        <v>25967.52</v>
      </c>
      <c r="P1364" s="3" t="n">
        <v>14999.09</v>
      </c>
      <c r="Q1364" s="3" t="n">
        <v>10968.43</v>
      </c>
      <c r="R1364" s="3" t="n">
        <v>0.4224</v>
      </c>
      <c r="S1364" s="3" t="n">
        <v>0.0447</v>
      </c>
      <c r="T1364" s="3" t="n">
        <v>0.0031</v>
      </c>
    </row>
    <row r="1365" customFormat="false" ht="15" hidden="false" customHeight="true" outlineLevel="0" collapsed="false">
      <c r="A1365" s="3" t="s">
        <v>2216</v>
      </c>
      <c r="B1365" s="3" t="s">
        <v>977</v>
      </c>
      <c r="C1365" s="3" t="s">
        <v>60</v>
      </c>
      <c r="D1365" s="3" t="s">
        <v>54</v>
      </c>
      <c r="E1365" s="3" t="s">
        <v>24</v>
      </c>
      <c r="F1365" s="3" t="s">
        <v>40</v>
      </c>
      <c r="G1365" s="3" t="s">
        <v>116</v>
      </c>
      <c r="H1365" s="3" t="s">
        <v>27</v>
      </c>
      <c r="I1365" s="3" t="s">
        <v>94</v>
      </c>
      <c r="J1365" s="3" t="n">
        <v>3</v>
      </c>
      <c r="K1365" s="3" t="n">
        <v>19431.82</v>
      </c>
      <c r="L1365" s="3" t="n">
        <v>58295.46</v>
      </c>
      <c r="M1365" s="3" t="n">
        <v>0.0924</v>
      </c>
      <c r="N1365" s="3" t="n">
        <v>5386.5</v>
      </c>
      <c r="O1365" s="3" t="n">
        <v>52908.96</v>
      </c>
      <c r="P1365" s="3" t="n">
        <v>36143.19</v>
      </c>
      <c r="Q1365" s="3" t="n">
        <v>16765.77</v>
      </c>
      <c r="R1365" s="3" t="n">
        <v>0.3169</v>
      </c>
      <c r="S1365" s="3" t="n">
        <v>0.0763</v>
      </c>
      <c r="T1365" s="3" t="n">
        <v>0.0161</v>
      </c>
    </row>
    <row r="1366" customFormat="false" ht="15" hidden="false" customHeight="true" outlineLevel="0" collapsed="false">
      <c r="A1366" s="3" t="s">
        <v>2217</v>
      </c>
      <c r="B1366" s="3" t="s">
        <v>2218</v>
      </c>
      <c r="C1366" s="3" t="s">
        <v>93</v>
      </c>
      <c r="D1366" s="3" t="s">
        <v>61</v>
      </c>
      <c r="E1366" s="3" t="s">
        <v>33</v>
      </c>
      <c r="F1366" s="3" t="s">
        <v>62</v>
      </c>
      <c r="G1366" s="3" t="s">
        <v>71</v>
      </c>
      <c r="H1366" s="3" t="s">
        <v>64</v>
      </c>
      <c r="I1366" s="3" t="s">
        <v>108</v>
      </c>
      <c r="J1366" s="3" t="n">
        <v>18</v>
      </c>
      <c r="K1366" s="3" t="n">
        <v>7441.05</v>
      </c>
      <c r="L1366" s="3" t="n">
        <v>133938.9</v>
      </c>
      <c r="M1366" s="3" t="n">
        <v>0.0473</v>
      </c>
      <c r="N1366" s="3" t="n">
        <v>6335.31</v>
      </c>
      <c r="O1366" s="3" t="n">
        <v>127603.59</v>
      </c>
      <c r="P1366" s="3" t="n">
        <v>77684.56</v>
      </c>
      <c r="Q1366" s="3" t="n">
        <v>49919.03</v>
      </c>
      <c r="R1366" s="3" t="n">
        <v>0.3912</v>
      </c>
      <c r="S1366" s="3" t="n">
        <v>0.0476</v>
      </c>
      <c r="T1366" s="3" t="n">
        <v>-0.0003</v>
      </c>
    </row>
    <row r="1367" customFormat="false" ht="15" hidden="false" customHeight="true" outlineLevel="0" collapsed="false">
      <c r="A1367" s="3" t="s">
        <v>2219</v>
      </c>
      <c r="B1367" s="3" t="s">
        <v>2220</v>
      </c>
      <c r="C1367" s="3" t="s">
        <v>60</v>
      </c>
      <c r="D1367" s="3" t="s">
        <v>69</v>
      </c>
      <c r="E1367" s="3" t="s">
        <v>39</v>
      </c>
      <c r="F1367" s="3" t="s">
        <v>70</v>
      </c>
      <c r="G1367" s="3" t="s">
        <v>84</v>
      </c>
      <c r="H1367" s="3" t="s">
        <v>56</v>
      </c>
      <c r="I1367" s="3" t="s">
        <v>121</v>
      </c>
      <c r="J1367" s="3" t="n">
        <v>21</v>
      </c>
      <c r="K1367" s="3" t="n">
        <v>2650.26</v>
      </c>
      <c r="L1367" s="3" t="n">
        <v>55655.46</v>
      </c>
      <c r="M1367" s="3" t="n">
        <v>0.0486</v>
      </c>
      <c r="N1367" s="3" t="n">
        <v>2704.86</v>
      </c>
      <c r="O1367" s="3" t="n">
        <v>52950.6</v>
      </c>
      <c r="P1367" s="3" t="n">
        <v>33393.28</v>
      </c>
      <c r="Q1367" s="3" t="n">
        <v>19557.32</v>
      </c>
      <c r="R1367" s="3" t="n">
        <v>0.3694</v>
      </c>
      <c r="S1367" s="3" t="n">
        <v>0.0478</v>
      </c>
      <c r="T1367" s="3" t="n">
        <v>0.0008</v>
      </c>
    </row>
    <row r="1368" customFormat="false" ht="15" hidden="false" customHeight="true" outlineLevel="0" collapsed="false">
      <c r="A1368" s="3" t="s">
        <v>2221</v>
      </c>
      <c r="B1368" s="3" t="s">
        <v>300</v>
      </c>
      <c r="C1368" s="3" t="s">
        <v>126</v>
      </c>
      <c r="D1368" s="3" t="s">
        <v>97</v>
      </c>
      <c r="E1368" s="3" t="s">
        <v>48</v>
      </c>
      <c r="F1368" s="3" t="s">
        <v>40</v>
      </c>
      <c r="G1368" s="3" t="s">
        <v>100</v>
      </c>
      <c r="H1368" s="3" t="s">
        <v>27</v>
      </c>
      <c r="I1368" s="3" t="s">
        <v>173</v>
      </c>
      <c r="J1368" s="3" t="n">
        <v>6</v>
      </c>
      <c r="K1368" s="3" t="n">
        <v>39368.53</v>
      </c>
      <c r="L1368" s="3" t="n">
        <v>236211.18</v>
      </c>
      <c r="M1368" s="3" t="n">
        <v>0.0469</v>
      </c>
      <c r="N1368" s="3" t="n">
        <v>11078.3</v>
      </c>
      <c r="O1368" s="3" t="n">
        <v>225132.88</v>
      </c>
      <c r="P1368" s="3" t="n">
        <v>146450.93</v>
      </c>
      <c r="Q1368" s="3" t="n">
        <v>78681.95</v>
      </c>
      <c r="R1368" s="3" t="n">
        <v>0.3495</v>
      </c>
      <c r="S1368" s="3" t="n">
        <v>0.0435</v>
      </c>
      <c r="T1368" s="3" t="n">
        <v>0.0034</v>
      </c>
    </row>
    <row r="1369" customFormat="false" ht="15" hidden="false" customHeight="true" outlineLevel="0" collapsed="false">
      <c r="A1369" s="3" t="s">
        <v>2222</v>
      </c>
      <c r="B1369" s="3" t="s">
        <v>2223</v>
      </c>
      <c r="C1369" s="3" t="s">
        <v>120</v>
      </c>
      <c r="D1369" s="3" t="s">
        <v>32</v>
      </c>
      <c r="E1369" s="3" t="s">
        <v>33</v>
      </c>
      <c r="F1369" s="3" t="s">
        <v>25</v>
      </c>
      <c r="G1369" s="3" t="s">
        <v>26</v>
      </c>
      <c r="H1369" s="3" t="s">
        <v>64</v>
      </c>
      <c r="I1369" s="3" t="s">
        <v>145</v>
      </c>
      <c r="J1369" s="3" t="n">
        <v>6</v>
      </c>
      <c r="K1369" s="3" t="n">
        <v>8876.06</v>
      </c>
      <c r="L1369" s="3" t="n">
        <v>53256.36</v>
      </c>
      <c r="M1369" s="3" t="n">
        <v>0.1465</v>
      </c>
      <c r="N1369" s="3" t="n">
        <v>7802.06</v>
      </c>
      <c r="O1369" s="3" t="n">
        <v>45454.3</v>
      </c>
      <c r="P1369" s="3" t="n">
        <v>30888.69</v>
      </c>
      <c r="Q1369" s="3" t="n">
        <v>14565.61</v>
      </c>
      <c r="R1369" s="3" t="n">
        <v>0.3204</v>
      </c>
      <c r="S1369" s="3" t="n">
        <v>0.1521</v>
      </c>
      <c r="T1369" s="3" t="n">
        <v>-0.0056</v>
      </c>
    </row>
    <row r="1370" customFormat="false" ht="15" hidden="false" customHeight="true" outlineLevel="0" collapsed="false">
      <c r="A1370" s="3" t="s">
        <v>2224</v>
      </c>
      <c r="B1370" s="3" t="s">
        <v>716</v>
      </c>
      <c r="C1370" s="3" t="s">
        <v>22</v>
      </c>
      <c r="D1370" s="3" t="s">
        <v>38</v>
      </c>
      <c r="E1370" s="3" t="s">
        <v>39</v>
      </c>
      <c r="F1370" s="3" t="s">
        <v>40</v>
      </c>
      <c r="G1370" s="3" t="s">
        <v>55</v>
      </c>
      <c r="H1370" s="3" t="s">
        <v>42</v>
      </c>
      <c r="I1370" s="3" t="s">
        <v>134</v>
      </c>
      <c r="J1370" s="3" t="n">
        <v>16</v>
      </c>
      <c r="K1370" s="3" t="n">
        <v>2299.14</v>
      </c>
      <c r="L1370" s="3" t="n">
        <v>36786.24</v>
      </c>
      <c r="M1370" s="3" t="n">
        <v>0.0647</v>
      </c>
      <c r="N1370" s="3" t="n">
        <v>2380.07</v>
      </c>
      <c r="O1370" s="3" t="n">
        <v>34406.17</v>
      </c>
      <c r="P1370" s="3" t="n">
        <v>20232.43</v>
      </c>
      <c r="Q1370" s="3" t="n">
        <v>14173.74</v>
      </c>
      <c r="R1370" s="3" t="n">
        <v>0.412</v>
      </c>
      <c r="S1370" s="3" t="n">
        <v>0.059</v>
      </c>
      <c r="T1370" s="3" t="n">
        <v>0.0057</v>
      </c>
    </row>
    <row r="1371" customFormat="false" ht="15" hidden="false" customHeight="true" outlineLevel="0" collapsed="false">
      <c r="A1371" s="3" t="s">
        <v>2225</v>
      </c>
      <c r="B1371" s="3" t="s">
        <v>1084</v>
      </c>
      <c r="C1371" s="3" t="s">
        <v>68</v>
      </c>
      <c r="D1371" s="3" t="s">
        <v>83</v>
      </c>
      <c r="E1371" s="3" t="s">
        <v>48</v>
      </c>
      <c r="F1371" s="3" t="s">
        <v>62</v>
      </c>
      <c r="G1371" s="3" t="s">
        <v>76</v>
      </c>
      <c r="H1371" s="3" t="s">
        <v>64</v>
      </c>
      <c r="I1371" s="3" t="s">
        <v>90</v>
      </c>
      <c r="J1371" s="3" t="n">
        <v>50</v>
      </c>
      <c r="K1371" s="3" t="n">
        <v>9721.83</v>
      </c>
      <c r="L1371" s="3" t="n">
        <v>486091.5</v>
      </c>
      <c r="M1371" s="3" t="n">
        <v>0.0393</v>
      </c>
      <c r="N1371" s="3" t="n">
        <v>19103.4</v>
      </c>
      <c r="O1371" s="3" t="n">
        <v>466988.1</v>
      </c>
      <c r="P1371" s="3" t="n">
        <v>281933.07</v>
      </c>
      <c r="Q1371" s="3" t="n">
        <v>185055.03</v>
      </c>
      <c r="R1371" s="3" t="n">
        <v>0.3963</v>
      </c>
      <c r="S1371" s="3" t="n">
        <v>0.0393</v>
      </c>
      <c r="T1371" s="3" t="n">
        <v>0</v>
      </c>
    </row>
    <row r="1372" customFormat="false" ht="15" hidden="false" customHeight="true" outlineLevel="0" collapsed="false">
      <c r="A1372" s="3" t="s">
        <v>2226</v>
      </c>
      <c r="B1372" s="3" t="s">
        <v>2227</v>
      </c>
      <c r="C1372" s="3" t="s">
        <v>156</v>
      </c>
      <c r="D1372" s="3" t="s">
        <v>38</v>
      </c>
      <c r="E1372" s="3" t="s">
        <v>39</v>
      </c>
      <c r="F1372" s="3" t="s">
        <v>40</v>
      </c>
      <c r="G1372" s="3" t="s">
        <v>71</v>
      </c>
      <c r="H1372" s="3" t="s">
        <v>77</v>
      </c>
      <c r="I1372" s="3" t="s">
        <v>131</v>
      </c>
      <c r="J1372" s="3" t="n">
        <v>1</v>
      </c>
      <c r="K1372" s="3" t="n">
        <v>2567.58</v>
      </c>
      <c r="L1372" s="3" t="n">
        <v>2567.58</v>
      </c>
      <c r="M1372" s="3" t="n">
        <v>0.0504</v>
      </c>
      <c r="N1372" s="3" t="n">
        <v>129.41</v>
      </c>
      <c r="O1372" s="3" t="n">
        <v>2438.17</v>
      </c>
      <c r="P1372" s="3" t="n">
        <v>1745.95</v>
      </c>
      <c r="Q1372" s="3" t="n">
        <v>692.22</v>
      </c>
      <c r="R1372" s="3" t="n">
        <v>0.2839</v>
      </c>
      <c r="S1372" s="3" t="n">
        <v>0.0521</v>
      </c>
      <c r="T1372" s="3" t="n">
        <v>-0.0017</v>
      </c>
    </row>
    <row r="1373" customFormat="false" ht="15" hidden="false" customHeight="true" outlineLevel="0" collapsed="false">
      <c r="A1373" s="3" t="s">
        <v>2228</v>
      </c>
      <c r="B1373" s="3" t="s">
        <v>1097</v>
      </c>
      <c r="C1373" s="3" t="s">
        <v>156</v>
      </c>
      <c r="D1373" s="3" t="s">
        <v>23</v>
      </c>
      <c r="E1373" s="3" t="s">
        <v>24</v>
      </c>
      <c r="F1373" s="3" t="s">
        <v>25</v>
      </c>
      <c r="G1373" s="3" t="s">
        <v>76</v>
      </c>
      <c r="H1373" s="3" t="s">
        <v>64</v>
      </c>
      <c r="I1373" s="3" t="s">
        <v>145</v>
      </c>
      <c r="J1373" s="3" t="n">
        <v>41</v>
      </c>
      <c r="K1373" s="3" t="n">
        <v>7161.97</v>
      </c>
      <c r="L1373" s="3" t="n">
        <v>293640.77</v>
      </c>
      <c r="M1373" s="3" t="n">
        <v>0.1036</v>
      </c>
      <c r="N1373" s="3" t="n">
        <v>30421.18</v>
      </c>
      <c r="O1373" s="3" t="n">
        <v>263219.59</v>
      </c>
      <c r="P1373" s="3" t="n">
        <v>170311.65</v>
      </c>
      <c r="Q1373" s="3" t="n">
        <v>92907.94</v>
      </c>
      <c r="R1373" s="3" t="n">
        <v>0.353</v>
      </c>
      <c r="S1373" s="3" t="n">
        <v>0.1049</v>
      </c>
      <c r="T1373" s="3" t="n">
        <v>-0.0013</v>
      </c>
    </row>
    <row r="1374" customFormat="false" ht="15" hidden="false" customHeight="true" outlineLevel="0" collapsed="false">
      <c r="A1374" s="3" t="s">
        <v>2229</v>
      </c>
      <c r="B1374" s="3" t="s">
        <v>2230</v>
      </c>
      <c r="C1374" s="3" t="s">
        <v>31</v>
      </c>
      <c r="D1374" s="3" t="s">
        <v>69</v>
      </c>
      <c r="E1374" s="3" t="s">
        <v>39</v>
      </c>
      <c r="F1374" s="3" t="s">
        <v>70</v>
      </c>
      <c r="G1374" s="3" t="s">
        <v>76</v>
      </c>
      <c r="H1374" s="3" t="s">
        <v>27</v>
      </c>
      <c r="I1374" s="3" t="s">
        <v>94</v>
      </c>
      <c r="J1374" s="3" t="n">
        <v>39</v>
      </c>
      <c r="K1374" s="3" t="n">
        <v>31301.25</v>
      </c>
      <c r="L1374" s="3" t="n">
        <v>1220748.75</v>
      </c>
      <c r="M1374" s="3" t="n">
        <v>0.0713</v>
      </c>
      <c r="N1374" s="3" t="n">
        <v>87039.39</v>
      </c>
      <c r="O1374" s="3" t="n">
        <v>1133709.36</v>
      </c>
      <c r="P1374" s="3" t="n">
        <v>756864.22</v>
      </c>
      <c r="Q1374" s="3" t="n">
        <v>376845.14</v>
      </c>
      <c r="R1374" s="3" t="n">
        <v>0.3324</v>
      </c>
      <c r="S1374" s="3" t="n">
        <v>0.0707</v>
      </c>
      <c r="T1374" s="3" t="n">
        <v>0.0006</v>
      </c>
    </row>
    <row r="1375" customFormat="false" ht="15" hidden="false" customHeight="true" outlineLevel="0" collapsed="false">
      <c r="A1375" s="3" t="s">
        <v>2231</v>
      </c>
      <c r="B1375" s="3" t="s">
        <v>751</v>
      </c>
      <c r="C1375" s="3" t="s">
        <v>37</v>
      </c>
      <c r="D1375" s="3" t="s">
        <v>103</v>
      </c>
      <c r="E1375" s="3" t="s">
        <v>24</v>
      </c>
      <c r="F1375" s="3" t="s">
        <v>62</v>
      </c>
      <c r="G1375" s="3" t="s">
        <v>84</v>
      </c>
      <c r="H1375" s="3" t="s">
        <v>56</v>
      </c>
      <c r="I1375" s="3" t="s">
        <v>57</v>
      </c>
      <c r="J1375" s="3" t="n">
        <v>1</v>
      </c>
      <c r="K1375" s="3" t="n">
        <v>16877.96</v>
      </c>
      <c r="L1375" s="3" t="n">
        <v>16877.96</v>
      </c>
      <c r="M1375" s="3" t="n">
        <v>0.0471</v>
      </c>
      <c r="N1375" s="3" t="n">
        <v>794.95</v>
      </c>
      <c r="O1375" s="3" t="n">
        <v>16083.01</v>
      </c>
      <c r="P1375" s="3" t="n">
        <v>10126.78</v>
      </c>
      <c r="Q1375" s="3" t="n">
        <v>5956.23</v>
      </c>
      <c r="R1375" s="3" t="n">
        <v>0.3703</v>
      </c>
      <c r="S1375" s="3" t="n">
        <v>0.0426</v>
      </c>
      <c r="T1375" s="3" t="n">
        <v>0.0045</v>
      </c>
    </row>
    <row r="1376" customFormat="false" ht="15" hidden="false" customHeight="true" outlineLevel="0" collapsed="false">
      <c r="A1376" s="3" t="s">
        <v>2232</v>
      </c>
      <c r="B1376" s="3" t="s">
        <v>1551</v>
      </c>
      <c r="C1376" s="3" t="s">
        <v>46</v>
      </c>
      <c r="D1376" s="3" t="s">
        <v>83</v>
      </c>
      <c r="E1376" s="3" t="s">
        <v>48</v>
      </c>
      <c r="F1376" s="3" t="s">
        <v>62</v>
      </c>
      <c r="G1376" s="3" t="s">
        <v>26</v>
      </c>
      <c r="H1376" s="3" t="s">
        <v>64</v>
      </c>
      <c r="I1376" s="3" t="s">
        <v>90</v>
      </c>
      <c r="J1376" s="3" t="n">
        <v>35</v>
      </c>
      <c r="K1376" s="3" t="n">
        <v>7490.77</v>
      </c>
      <c r="L1376" s="3" t="n">
        <v>262176.95</v>
      </c>
      <c r="M1376" s="3" t="n">
        <v>0.0649</v>
      </c>
      <c r="N1376" s="3" t="n">
        <v>17015.28</v>
      </c>
      <c r="O1376" s="3" t="n">
        <v>245161.67</v>
      </c>
      <c r="P1376" s="3" t="n">
        <v>152062.63</v>
      </c>
      <c r="Q1376" s="3" t="n">
        <v>93099.04</v>
      </c>
      <c r="R1376" s="3" t="n">
        <v>0.3797</v>
      </c>
      <c r="S1376" s="3" t="n">
        <v>0.0569</v>
      </c>
      <c r="T1376" s="3" t="n">
        <v>0.008</v>
      </c>
    </row>
    <row r="1377" customFormat="false" ht="15" hidden="false" customHeight="true" outlineLevel="0" collapsed="false">
      <c r="A1377" s="3" t="s">
        <v>2233</v>
      </c>
      <c r="B1377" s="3" t="s">
        <v>1104</v>
      </c>
      <c r="C1377" s="3" t="s">
        <v>68</v>
      </c>
      <c r="D1377" s="3" t="s">
        <v>32</v>
      </c>
      <c r="E1377" s="3" t="s">
        <v>33</v>
      </c>
      <c r="F1377" s="3" t="s">
        <v>25</v>
      </c>
      <c r="G1377" s="3" t="s">
        <v>71</v>
      </c>
      <c r="H1377" s="3" t="s">
        <v>56</v>
      </c>
      <c r="I1377" s="3" t="s">
        <v>188</v>
      </c>
      <c r="J1377" s="3" t="n">
        <v>23</v>
      </c>
      <c r="K1377" s="3" t="n">
        <v>9784.62</v>
      </c>
      <c r="L1377" s="3" t="n">
        <v>225046.26</v>
      </c>
      <c r="M1377" s="3" t="n">
        <v>0.134</v>
      </c>
      <c r="N1377" s="3" t="n">
        <v>30156.2</v>
      </c>
      <c r="O1377" s="3" t="n">
        <v>194890.06</v>
      </c>
      <c r="P1377" s="3" t="n">
        <v>135027.76</v>
      </c>
      <c r="Q1377" s="3" t="n">
        <v>59862.3</v>
      </c>
      <c r="R1377" s="3" t="n">
        <v>0.3072</v>
      </c>
      <c r="S1377" s="3" t="n">
        <v>0.122</v>
      </c>
      <c r="T1377" s="3" t="n">
        <v>0.012</v>
      </c>
    </row>
    <row r="1378" customFormat="false" ht="15" hidden="false" customHeight="true" outlineLevel="0" collapsed="false">
      <c r="A1378" s="3" t="s">
        <v>2234</v>
      </c>
      <c r="B1378" s="3" t="s">
        <v>692</v>
      </c>
      <c r="C1378" s="3" t="s">
        <v>60</v>
      </c>
      <c r="D1378" s="3" t="s">
        <v>54</v>
      </c>
      <c r="E1378" s="3" t="s">
        <v>24</v>
      </c>
      <c r="F1378" s="3" t="s">
        <v>40</v>
      </c>
      <c r="G1378" s="3" t="s">
        <v>71</v>
      </c>
      <c r="H1378" s="3" t="s">
        <v>42</v>
      </c>
      <c r="I1378" s="3" t="s">
        <v>134</v>
      </c>
      <c r="J1378" s="3" t="n">
        <v>10</v>
      </c>
      <c r="K1378" s="3" t="n">
        <v>2135.83</v>
      </c>
      <c r="L1378" s="3" t="n">
        <v>21358.3</v>
      </c>
      <c r="M1378" s="3" t="n">
        <v>0.0612</v>
      </c>
      <c r="N1378" s="3" t="n">
        <v>1307.13</v>
      </c>
      <c r="O1378" s="3" t="n">
        <v>20051.17</v>
      </c>
      <c r="P1378" s="3" t="n">
        <v>11747.07</v>
      </c>
      <c r="Q1378" s="3" t="n">
        <v>8304.1</v>
      </c>
      <c r="R1378" s="3" t="n">
        <v>0.4141</v>
      </c>
      <c r="S1378" s="3" t="n">
        <v>0.0605</v>
      </c>
      <c r="T1378" s="3" t="n">
        <v>0.0007</v>
      </c>
    </row>
    <row r="1379" customFormat="false" ht="15" hidden="false" customHeight="true" outlineLevel="0" collapsed="false">
      <c r="A1379" s="3" t="s">
        <v>2235</v>
      </c>
      <c r="B1379" s="3" t="s">
        <v>1386</v>
      </c>
      <c r="C1379" s="3" t="s">
        <v>53</v>
      </c>
      <c r="D1379" s="3" t="s">
        <v>38</v>
      </c>
      <c r="E1379" s="3" t="s">
        <v>39</v>
      </c>
      <c r="F1379" s="3" t="s">
        <v>40</v>
      </c>
      <c r="G1379" s="3" t="s">
        <v>104</v>
      </c>
      <c r="H1379" s="3" t="s">
        <v>77</v>
      </c>
      <c r="I1379" s="3" t="s">
        <v>78</v>
      </c>
      <c r="J1379" s="3" t="n">
        <v>19</v>
      </c>
      <c r="K1379" s="3" t="n">
        <v>4806.66</v>
      </c>
      <c r="L1379" s="3" t="n">
        <v>91326.54</v>
      </c>
      <c r="M1379" s="3" t="n">
        <v>0.0975</v>
      </c>
      <c r="N1379" s="3" t="n">
        <v>8904.34</v>
      </c>
      <c r="O1379" s="3" t="n">
        <v>82422.2</v>
      </c>
      <c r="P1379" s="3" t="n">
        <v>62102.05</v>
      </c>
      <c r="Q1379" s="3" t="n">
        <v>20320.15</v>
      </c>
      <c r="R1379" s="3" t="n">
        <v>0.2465</v>
      </c>
      <c r="S1379" s="3" t="n">
        <v>0.0889</v>
      </c>
      <c r="T1379" s="3" t="n">
        <v>0.0086</v>
      </c>
    </row>
    <row r="1380" customFormat="false" ht="15" hidden="false" customHeight="true" outlineLevel="0" collapsed="false">
      <c r="A1380" s="3" t="s">
        <v>2236</v>
      </c>
      <c r="B1380" s="3" t="s">
        <v>2237</v>
      </c>
      <c r="C1380" s="3" t="s">
        <v>113</v>
      </c>
      <c r="D1380" s="3" t="s">
        <v>107</v>
      </c>
      <c r="E1380" s="3" t="s">
        <v>33</v>
      </c>
      <c r="F1380" s="3" t="s">
        <v>70</v>
      </c>
      <c r="G1380" s="3" t="s">
        <v>55</v>
      </c>
      <c r="H1380" s="3" t="s">
        <v>64</v>
      </c>
      <c r="I1380" s="3" t="s">
        <v>90</v>
      </c>
      <c r="J1380" s="3" t="n">
        <v>8</v>
      </c>
      <c r="K1380" s="3" t="n">
        <v>11539.37</v>
      </c>
      <c r="L1380" s="3" t="n">
        <v>92314.96</v>
      </c>
      <c r="M1380" s="3" t="n">
        <v>0.0348</v>
      </c>
      <c r="N1380" s="3" t="n">
        <v>3212.56</v>
      </c>
      <c r="O1380" s="3" t="n">
        <v>89102.4</v>
      </c>
      <c r="P1380" s="3" t="n">
        <v>53542.68</v>
      </c>
      <c r="Q1380" s="3" t="n">
        <v>35559.72</v>
      </c>
      <c r="R1380" s="3" t="n">
        <v>0.3991</v>
      </c>
      <c r="S1380" s="3" t="n">
        <v>0.0301</v>
      </c>
      <c r="T1380" s="3" t="n">
        <v>0.0047</v>
      </c>
    </row>
    <row r="1381" customFormat="false" ht="15" hidden="false" customHeight="true" outlineLevel="0" collapsed="false">
      <c r="A1381" s="3" t="s">
        <v>2238</v>
      </c>
      <c r="B1381" s="3" t="s">
        <v>1889</v>
      </c>
      <c r="C1381" s="3" t="s">
        <v>31</v>
      </c>
      <c r="D1381" s="3" t="s">
        <v>61</v>
      </c>
      <c r="E1381" s="3" t="s">
        <v>33</v>
      </c>
      <c r="F1381" s="3" t="s">
        <v>62</v>
      </c>
      <c r="G1381" s="3" t="s">
        <v>41</v>
      </c>
      <c r="H1381" s="3" t="s">
        <v>56</v>
      </c>
      <c r="I1381" s="3" t="s">
        <v>57</v>
      </c>
      <c r="J1381" s="3" t="n">
        <v>50</v>
      </c>
      <c r="K1381" s="3" t="n">
        <v>15838.29</v>
      </c>
      <c r="L1381" s="3" t="n">
        <v>791914.5</v>
      </c>
      <c r="M1381" s="3" t="n">
        <v>0.1183</v>
      </c>
      <c r="N1381" s="3" t="n">
        <v>93683.49</v>
      </c>
      <c r="O1381" s="3" t="n">
        <v>698231.01</v>
      </c>
      <c r="P1381" s="3" t="n">
        <v>475148.7</v>
      </c>
      <c r="Q1381" s="3" t="n">
        <v>223082.31</v>
      </c>
      <c r="R1381" s="3" t="n">
        <v>0.3195</v>
      </c>
      <c r="S1381" s="3" t="n">
        <v>0.1141</v>
      </c>
      <c r="T1381" s="3" t="n">
        <v>0.0042</v>
      </c>
    </row>
    <row r="1382" customFormat="false" ht="15" hidden="false" customHeight="true" outlineLevel="0" collapsed="false">
      <c r="A1382" s="3" t="s">
        <v>2239</v>
      </c>
      <c r="B1382" s="3" t="s">
        <v>2240</v>
      </c>
      <c r="C1382" s="3" t="s">
        <v>120</v>
      </c>
      <c r="D1382" s="3" t="s">
        <v>103</v>
      </c>
      <c r="E1382" s="3" t="s">
        <v>24</v>
      </c>
      <c r="F1382" s="3" t="s">
        <v>62</v>
      </c>
      <c r="G1382" s="3" t="s">
        <v>55</v>
      </c>
      <c r="H1382" s="3" t="s">
        <v>64</v>
      </c>
      <c r="I1382" s="3" t="s">
        <v>90</v>
      </c>
      <c r="J1382" s="3" t="n">
        <v>50</v>
      </c>
      <c r="K1382" s="3" t="n">
        <v>5509.92</v>
      </c>
      <c r="L1382" s="3" t="n">
        <v>275496</v>
      </c>
      <c r="M1382" s="3" t="n">
        <v>0.0482</v>
      </c>
      <c r="N1382" s="3" t="n">
        <v>13278.91</v>
      </c>
      <c r="O1382" s="3" t="n">
        <v>262217.09</v>
      </c>
      <c r="P1382" s="3" t="n">
        <v>159787.68</v>
      </c>
      <c r="Q1382" s="3" t="n">
        <v>102429.41</v>
      </c>
      <c r="R1382" s="3" t="n">
        <v>0.3906</v>
      </c>
      <c r="S1382" s="3" t="n">
        <v>0.0481</v>
      </c>
      <c r="T1382" s="3" t="n">
        <v>0.0001</v>
      </c>
    </row>
    <row r="1383" customFormat="false" ht="15" hidden="false" customHeight="true" outlineLevel="0" collapsed="false">
      <c r="A1383" s="3" t="s">
        <v>2241</v>
      </c>
      <c r="B1383" s="3" t="s">
        <v>2242</v>
      </c>
      <c r="C1383" s="3" t="s">
        <v>93</v>
      </c>
      <c r="D1383" s="3" t="s">
        <v>23</v>
      </c>
      <c r="E1383" s="3" t="s">
        <v>24</v>
      </c>
      <c r="F1383" s="3" t="s">
        <v>25</v>
      </c>
      <c r="G1383" s="3" t="s">
        <v>100</v>
      </c>
      <c r="H1383" s="3" t="s">
        <v>42</v>
      </c>
      <c r="I1383" s="3" t="s">
        <v>72</v>
      </c>
      <c r="J1383" s="3" t="n">
        <v>15</v>
      </c>
      <c r="K1383" s="3" t="n">
        <v>2363.78</v>
      </c>
      <c r="L1383" s="3" t="n">
        <v>35456.7</v>
      </c>
      <c r="M1383" s="3" t="n">
        <v>0.1525</v>
      </c>
      <c r="N1383" s="3" t="n">
        <v>5407.15</v>
      </c>
      <c r="O1383" s="3" t="n">
        <v>30049.55</v>
      </c>
      <c r="P1383" s="3" t="n">
        <v>19501.19</v>
      </c>
      <c r="Q1383" s="3" t="n">
        <v>10548.36</v>
      </c>
      <c r="R1383" s="3" t="n">
        <v>0.351</v>
      </c>
      <c r="S1383" s="3" t="n">
        <v>0.1351</v>
      </c>
      <c r="T1383" s="3" t="n">
        <v>0.0174</v>
      </c>
    </row>
    <row r="1384" customFormat="false" ht="15" hidden="false" customHeight="true" outlineLevel="0" collapsed="false">
      <c r="A1384" s="3" t="s">
        <v>2243</v>
      </c>
      <c r="B1384" s="3" t="s">
        <v>2242</v>
      </c>
      <c r="C1384" s="3" t="s">
        <v>93</v>
      </c>
      <c r="D1384" s="3" t="s">
        <v>83</v>
      </c>
      <c r="E1384" s="3" t="s">
        <v>48</v>
      </c>
      <c r="F1384" s="3" t="s">
        <v>62</v>
      </c>
      <c r="G1384" s="3" t="s">
        <v>63</v>
      </c>
      <c r="H1384" s="3" t="s">
        <v>64</v>
      </c>
      <c r="I1384" s="3" t="s">
        <v>108</v>
      </c>
      <c r="J1384" s="3" t="n">
        <v>35</v>
      </c>
      <c r="K1384" s="3" t="n">
        <v>5595.67</v>
      </c>
      <c r="L1384" s="3" t="n">
        <v>195848.45</v>
      </c>
      <c r="M1384" s="3" t="n">
        <v>0.0715</v>
      </c>
      <c r="N1384" s="3" t="n">
        <v>14003.16</v>
      </c>
      <c r="O1384" s="3" t="n">
        <v>181845.29</v>
      </c>
      <c r="P1384" s="3" t="n">
        <v>113592.1</v>
      </c>
      <c r="Q1384" s="3" t="n">
        <v>68253.19</v>
      </c>
      <c r="R1384" s="3" t="n">
        <v>0.3753</v>
      </c>
      <c r="S1384" s="3" t="n">
        <v>0.0713</v>
      </c>
      <c r="T1384" s="3" t="n">
        <v>0.0002</v>
      </c>
    </row>
    <row r="1385" customFormat="false" ht="15" hidden="false" customHeight="true" outlineLevel="0" collapsed="false">
      <c r="A1385" s="3" t="s">
        <v>2244</v>
      </c>
      <c r="B1385" s="3" t="s">
        <v>210</v>
      </c>
      <c r="C1385" s="3" t="s">
        <v>53</v>
      </c>
      <c r="D1385" s="3" t="s">
        <v>23</v>
      </c>
      <c r="E1385" s="3" t="s">
        <v>24</v>
      </c>
      <c r="F1385" s="3" t="s">
        <v>25</v>
      </c>
      <c r="G1385" s="3" t="s">
        <v>55</v>
      </c>
      <c r="H1385" s="3" t="s">
        <v>27</v>
      </c>
      <c r="I1385" s="3" t="s">
        <v>173</v>
      </c>
      <c r="J1385" s="3" t="n">
        <v>27</v>
      </c>
      <c r="K1385" s="3" t="n">
        <v>28899.34</v>
      </c>
      <c r="L1385" s="3" t="n">
        <v>780282.18</v>
      </c>
      <c r="M1385" s="3" t="n">
        <v>0.1414</v>
      </c>
      <c r="N1385" s="3" t="n">
        <v>110331.9</v>
      </c>
      <c r="O1385" s="3" t="n">
        <v>669950.28</v>
      </c>
      <c r="P1385" s="3" t="n">
        <v>483774.95</v>
      </c>
      <c r="Q1385" s="3" t="n">
        <v>186175.33</v>
      </c>
      <c r="R1385" s="3" t="n">
        <v>0.2779</v>
      </c>
      <c r="S1385" s="3" t="n">
        <v>0.119</v>
      </c>
      <c r="T1385" s="3" t="n">
        <v>0.0224</v>
      </c>
    </row>
    <row r="1386" customFormat="false" ht="15" hidden="false" customHeight="true" outlineLevel="0" collapsed="false">
      <c r="A1386" s="3" t="s">
        <v>2245</v>
      </c>
      <c r="B1386" s="3" t="s">
        <v>227</v>
      </c>
      <c r="C1386" s="3" t="s">
        <v>37</v>
      </c>
      <c r="D1386" s="3" t="s">
        <v>38</v>
      </c>
      <c r="E1386" s="3" t="s">
        <v>39</v>
      </c>
      <c r="F1386" s="3" t="s">
        <v>40</v>
      </c>
      <c r="G1386" s="3" t="s">
        <v>55</v>
      </c>
      <c r="H1386" s="3" t="s">
        <v>56</v>
      </c>
      <c r="I1386" s="3" t="s">
        <v>188</v>
      </c>
      <c r="J1386" s="3" t="n">
        <v>27</v>
      </c>
      <c r="K1386" s="3" t="n">
        <v>11129.36</v>
      </c>
      <c r="L1386" s="3" t="n">
        <v>300492.72</v>
      </c>
      <c r="M1386" s="3" t="n">
        <v>0.0773</v>
      </c>
      <c r="N1386" s="3" t="n">
        <v>23228.09</v>
      </c>
      <c r="O1386" s="3" t="n">
        <v>277264.63</v>
      </c>
      <c r="P1386" s="3" t="n">
        <v>180295.63</v>
      </c>
      <c r="Q1386" s="3" t="n">
        <v>96969</v>
      </c>
      <c r="R1386" s="3" t="n">
        <v>0.3497</v>
      </c>
      <c r="S1386" s="3" t="n">
        <v>0.076</v>
      </c>
      <c r="T1386" s="3" t="n">
        <v>0.0013</v>
      </c>
    </row>
    <row r="1387" customFormat="false" ht="15" hidden="false" customHeight="true" outlineLevel="0" collapsed="false">
      <c r="A1387" s="3" t="s">
        <v>2246</v>
      </c>
      <c r="B1387" s="3" t="s">
        <v>2247</v>
      </c>
      <c r="C1387" s="3" t="s">
        <v>46</v>
      </c>
      <c r="D1387" s="3" t="s">
        <v>75</v>
      </c>
      <c r="E1387" s="3" t="s">
        <v>39</v>
      </c>
      <c r="F1387" s="3" t="s">
        <v>25</v>
      </c>
      <c r="G1387" s="3" t="s">
        <v>84</v>
      </c>
      <c r="H1387" s="3" t="s">
        <v>56</v>
      </c>
      <c r="I1387" s="3" t="s">
        <v>121</v>
      </c>
      <c r="J1387" s="3" t="n">
        <v>24</v>
      </c>
      <c r="K1387" s="3" t="n">
        <v>12949.81</v>
      </c>
      <c r="L1387" s="3" t="n">
        <v>310795.44</v>
      </c>
      <c r="M1387" s="3" t="n">
        <v>0.1192</v>
      </c>
      <c r="N1387" s="3" t="n">
        <v>37046.82</v>
      </c>
      <c r="O1387" s="3" t="n">
        <v>273748.62</v>
      </c>
      <c r="P1387" s="3" t="n">
        <v>186477.26</v>
      </c>
      <c r="Q1387" s="3" t="n">
        <v>87271.36</v>
      </c>
      <c r="R1387" s="3" t="n">
        <v>0.3188</v>
      </c>
      <c r="S1387" s="3" t="n">
        <v>0.1151</v>
      </c>
      <c r="T1387" s="3" t="n">
        <v>0.0041</v>
      </c>
    </row>
    <row r="1388" customFormat="false" ht="15" hidden="false" customHeight="true" outlineLevel="0" collapsed="false">
      <c r="A1388" s="3" t="s">
        <v>2248</v>
      </c>
      <c r="B1388" s="3" t="s">
        <v>609</v>
      </c>
      <c r="C1388" s="3" t="s">
        <v>113</v>
      </c>
      <c r="D1388" s="3" t="s">
        <v>69</v>
      </c>
      <c r="E1388" s="3" t="s">
        <v>39</v>
      </c>
      <c r="F1388" s="3" t="s">
        <v>70</v>
      </c>
      <c r="G1388" s="3" t="s">
        <v>49</v>
      </c>
      <c r="H1388" s="3" t="s">
        <v>64</v>
      </c>
      <c r="I1388" s="3" t="s">
        <v>90</v>
      </c>
      <c r="J1388" s="3" t="n">
        <v>16</v>
      </c>
      <c r="K1388" s="3" t="n">
        <v>9507.54</v>
      </c>
      <c r="L1388" s="3" t="n">
        <v>152120.64</v>
      </c>
      <c r="M1388" s="3" t="n">
        <v>0.0388</v>
      </c>
      <c r="N1388" s="3" t="n">
        <v>5902.28</v>
      </c>
      <c r="O1388" s="3" t="n">
        <v>146218.36</v>
      </c>
      <c r="P1388" s="3" t="n">
        <v>88229.97</v>
      </c>
      <c r="Q1388" s="3" t="n">
        <v>57988.39</v>
      </c>
      <c r="R1388" s="3" t="n">
        <v>0.3966</v>
      </c>
      <c r="S1388" s="3" t="n">
        <v>0.0348</v>
      </c>
      <c r="T1388" s="3" t="n">
        <v>0.004</v>
      </c>
    </row>
    <row r="1389" customFormat="false" ht="15" hidden="false" customHeight="true" outlineLevel="0" collapsed="false">
      <c r="A1389" s="3" t="s">
        <v>2249</v>
      </c>
      <c r="B1389" s="3" t="s">
        <v>2250</v>
      </c>
      <c r="C1389" s="3" t="s">
        <v>53</v>
      </c>
      <c r="D1389" s="3" t="s">
        <v>54</v>
      </c>
      <c r="E1389" s="3" t="s">
        <v>24</v>
      </c>
      <c r="F1389" s="3" t="s">
        <v>40</v>
      </c>
      <c r="G1389" s="3" t="s">
        <v>34</v>
      </c>
      <c r="H1389" s="3" t="s">
        <v>27</v>
      </c>
      <c r="I1389" s="3" t="s">
        <v>28</v>
      </c>
      <c r="J1389" s="3" t="n">
        <v>30</v>
      </c>
      <c r="K1389" s="3" t="n">
        <v>26483.27</v>
      </c>
      <c r="L1389" s="3" t="n">
        <v>794498.1</v>
      </c>
      <c r="M1389" s="3" t="n">
        <v>0.0864</v>
      </c>
      <c r="N1389" s="3" t="n">
        <v>68644.64</v>
      </c>
      <c r="O1389" s="3" t="n">
        <v>725853.46</v>
      </c>
      <c r="P1389" s="3" t="n">
        <v>492588.82</v>
      </c>
      <c r="Q1389" s="3" t="n">
        <v>233264.64</v>
      </c>
      <c r="R1389" s="3" t="n">
        <v>0.3214</v>
      </c>
      <c r="S1389" s="3" t="n">
        <v>0.0898</v>
      </c>
      <c r="T1389" s="3" t="n">
        <v>-0.0034</v>
      </c>
    </row>
    <row r="1390" customFormat="false" ht="15" hidden="false" customHeight="true" outlineLevel="0" collapsed="false">
      <c r="A1390" s="3" t="s">
        <v>2251</v>
      </c>
      <c r="B1390" s="3" t="s">
        <v>459</v>
      </c>
      <c r="C1390" s="3" t="s">
        <v>53</v>
      </c>
      <c r="D1390" s="3" t="s">
        <v>83</v>
      </c>
      <c r="E1390" s="3" t="s">
        <v>48</v>
      </c>
      <c r="F1390" s="3" t="s">
        <v>62</v>
      </c>
      <c r="G1390" s="3" t="s">
        <v>116</v>
      </c>
      <c r="H1390" s="3" t="s">
        <v>56</v>
      </c>
      <c r="I1390" s="3" t="s">
        <v>121</v>
      </c>
      <c r="J1390" s="3" t="n">
        <v>22</v>
      </c>
      <c r="K1390" s="3" t="n">
        <v>14858.99</v>
      </c>
      <c r="L1390" s="3" t="n">
        <v>326897.78</v>
      </c>
      <c r="M1390" s="3" t="n">
        <v>0.13</v>
      </c>
      <c r="N1390" s="3" t="n">
        <v>42496.71</v>
      </c>
      <c r="O1390" s="3" t="n">
        <v>284401.07</v>
      </c>
      <c r="P1390" s="3" t="n">
        <v>196138.67</v>
      </c>
      <c r="Q1390" s="3" t="n">
        <v>88262.4</v>
      </c>
      <c r="R1390" s="3" t="n">
        <v>0.3103</v>
      </c>
      <c r="S1390" s="3" t="n">
        <v>0.122</v>
      </c>
      <c r="T1390" s="3" t="n">
        <v>0.008</v>
      </c>
    </row>
    <row r="1391" customFormat="false" ht="15" hidden="false" customHeight="true" outlineLevel="0" collapsed="false">
      <c r="A1391" s="3" t="s">
        <v>2252</v>
      </c>
      <c r="B1391" s="3" t="s">
        <v>2253</v>
      </c>
      <c r="C1391" s="3" t="s">
        <v>46</v>
      </c>
      <c r="D1391" s="3" t="s">
        <v>61</v>
      </c>
      <c r="E1391" s="3" t="s">
        <v>33</v>
      </c>
      <c r="F1391" s="3" t="s">
        <v>62</v>
      </c>
      <c r="G1391" s="3" t="s">
        <v>71</v>
      </c>
      <c r="H1391" s="3" t="s">
        <v>27</v>
      </c>
      <c r="I1391" s="3" t="s">
        <v>28</v>
      </c>
      <c r="J1391" s="3" t="n">
        <v>34</v>
      </c>
      <c r="K1391" s="3" t="n">
        <v>29659.92</v>
      </c>
      <c r="L1391" s="3" t="n">
        <v>1008437.28</v>
      </c>
      <c r="M1391" s="3" t="n">
        <v>0.0798</v>
      </c>
      <c r="N1391" s="3" t="n">
        <v>80473.29</v>
      </c>
      <c r="O1391" s="3" t="n">
        <v>927963.99</v>
      </c>
      <c r="P1391" s="3" t="n">
        <v>625231.11</v>
      </c>
      <c r="Q1391" s="3" t="n">
        <v>302732.88</v>
      </c>
      <c r="R1391" s="3" t="n">
        <v>0.3262</v>
      </c>
      <c r="S1391" s="3" t="n">
        <v>0.0655</v>
      </c>
      <c r="T1391" s="3" t="n">
        <v>0.0143</v>
      </c>
    </row>
    <row r="1392" customFormat="false" ht="15" hidden="false" customHeight="true" outlineLevel="0" collapsed="false">
      <c r="A1392" s="3" t="s">
        <v>2254</v>
      </c>
      <c r="B1392" s="3" t="s">
        <v>2255</v>
      </c>
      <c r="C1392" s="3" t="s">
        <v>156</v>
      </c>
      <c r="D1392" s="3" t="s">
        <v>47</v>
      </c>
      <c r="E1392" s="3" t="s">
        <v>48</v>
      </c>
      <c r="F1392" s="3" t="s">
        <v>25</v>
      </c>
      <c r="G1392" s="3" t="s">
        <v>100</v>
      </c>
      <c r="H1392" s="3" t="s">
        <v>42</v>
      </c>
      <c r="I1392" s="3" t="s">
        <v>72</v>
      </c>
      <c r="J1392" s="3" t="n">
        <v>50</v>
      </c>
      <c r="K1392" s="3" t="n">
        <v>923.44</v>
      </c>
      <c r="L1392" s="3" t="n">
        <v>46172</v>
      </c>
      <c r="M1392" s="3" t="n">
        <v>0.1795</v>
      </c>
      <c r="N1392" s="3" t="n">
        <v>8287.87</v>
      </c>
      <c r="O1392" s="3" t="n">
        <v>37884.13</v>
      </c>
      <c r="P1392" s="3" t="n">
        <v>25394.6</v>
      </c>
      <c r="Q1392" s="3" t="n">
        <v>12489.53</v>
      </c>
      <c r="R1392" s="3" t="n">
        <v>0.3297</v>
      </c>
      <c r="S1392" s="3" t="n">
        <v>0.1672</v>
      </c>
      <c r="T1392" s="3" t="n">
        <v>0.0123</v>
      </c>
    </row>
    <row r="1393" customFormat="false" ht="15" hidden="false" customHeight="true" outlineLevel="0" collapsed="false">
      <c r="A1393" s="3" t="s">
        <v>2256</v>
      </c>
      <c r="B1393" s="3" t="s">
        <v>1964</v>
      </c>
      <c r="C1393" s="3" t="s">
        <v>46</v>
      </c>
      <c r="D1393" s="3" t="s">
        <v>97</v>
      </c>
      <c r="E1393" s="3" t="s">
        <v>48</v>
      </c>
      <c r="F1393" s="3" t="s">
        <v>40</v>
      </c>
      <c r="G1393" s="3" t="s">
        <v>63</v>
      </c>
      <c r="H1393" s="3" t="s">
        <v>27</v>
      </c>
      <c r="I1393" s="3" t="s">
        <v>50</v>
      </c>
      <c r="J1393" s="3" t="n">
        <v>47</v>
      </c>
      <c r="K1393" s="3" t="n">
        <v>34505.85</v>
      </c>
      <c r="L1393" s="3" t="n">
        <v>1621774.95</v>
      </c>
      <c r="M1393" s="3" t="n">
        <v>0.0684</v>
      </c>
      <c r="N1393" s="3" t="n">
        <v>110929.41</v>
      </c>
      <c r="O1393" s="3" t="n">
        <v>1510845.54</v>
      </c>
      <c r="P1393" s="3" t="n">
        <v>1005500.47</v>
      </c>
      <c r="Q1393" s="3" t="n">
        <v>505345.07</v>
      </c>
      <c r="R1393" s="3" t="n">
        <v>0.3345</v>
      </c>
      <c r="S1393" s="3" t="n">
        <v>0.063</v>
      </c>
      <c r="T1393" s="3" t="n">
        <v>0.0054</v>
      </c>
    </row>
    <row r="1394" customFormat="false" ht="15" hidden="false" customHeight="true" outlineLevel="0" collapsed="false">
      <c r="A1394" s="3" t="s">
        <v>2257</v>
      </c>
      <c r="B1394" s="3" t="s">
        <v>2258</v>
      </c>
      <c r="C1394" s="3" t="s">
        <v>120</v>
      </c>
      <c r="D1394" s="3" t="s">
        <v>107</v>
      </c>
      <c r="E1394" s="3" t="s">
        <v>33</v>
      </c>
      <c r="F1394" s="3" t="s">
        <v>70</v>
      </c>
      <c r="G1394" s="3" t="s">
        <v>116</v>
      </c>
      <c r="H1394" s="3" t="s">
        <v>77</v>
      </c>
      <c r="I1394" s="3" t="s">
        <v>78</v>
      </c>
      <c r="J1394" s="3" t="n">
        <v>17</v>
      </c>
      <c r="K1394" s="3" t="n">
        <v>1697.39</v>
      </c>
      <c r="L1394" s="3" t="n">
        <v>28855.63</v>
      </c>
      <c r="M1394" s="3" t="n">
        <v>0.1111</v>
      </c>
      <c r="N1394" s="3" t="n">
        <v>3205.86</v>
      </c>
      <c r="O1394" s="3" t="n">
        <v>25649.77</v>
      </c>
      <c r="P1394" s="3" t="n">
        <v>19621.83</v>
      </c>
      <c r="Q1394" s="3" t="n">
        <v>6027.94</v>
      </c>
      <c r="R1394" s="3" t="n">
        <v>0.235</v>
      </c>
      <c r="S1394" s="3" t="n">
        <v>0.1129</v>
      </c>
      <c r="T1394" s="3" t="n">
        <v>-0.0018</v>
      </c>
    </row>
    <row r="1395" customFormat="false" ht="15" hidden="false" customHeight="true" outlineLevel="0" collapsed="false">
      <c r="A1395" s="3" t="s">
        <v>2259</v>
      </c>
      <c r="B1395" s="3" t="s">
        <v>2260</v>
      </c>
      <c r="C1395" s="3" t="s">
        <v>113</v>
      </c>
      <c r="D1395" s="3" t="s">
        <v>103</v>
      </c>
      <c r="E1395" s="3" t="s">
        <v>24</v>
      </c>
      <c r="F1395" s="3" t="s">
        <v>62</v>
      </c>
      <c r="G1395" s="3" t="s">
        <v>49</v>
      </c>
      <c r="H1395" s="3" t="s">
        <v>77</v>
      </c>
      <c r="I1395" s="3" t="s">
        <v>85</v>
      </c>
      <c r="J1395" s="3" t="n">
        <v>16</v>
      </c>
      <c r="K1395" s="3" t="n">
        <v>1881.36</v>
      </c>
      <c r="L1395" s="3" t="n">
        <v>30101.76</v>
      </c>
      <c r="M1395" s="3" t="n">
        <v>0.0698</v>
      </c>
      <c r="N1395" s="3" t="n">
        <v>2101.1</v>
      </c>
      <c r="O1395" s="3" t="n">
        <v>28000.66</v>
      </c>
      <c r="P1395" s="3" t="n">
        <v>20469.2</v>
      </c>
      <c r="Q1395" s="3" t="n">
        <v>7531.46</v>
      </c>
      <c r="R1395" s="3" t="n">
        <v>0.269</v>
      </c>
      <c r="S1395" s="3" t="n">
        <v>0.0614</v>
      </c>
      <c r="T1395" s="3" t="n">
        <v>0.0084</v>
      </c>
    </row>
    <row r="1396" customFormat="false" ht="15" hidden="false" customHeight="true" outlineLevel="0" collapsed="false">
      <c r="A1396" s="3" t="s">
        <v>2261</v>
      </c>
      <c r="B1396" s="3" t="s">
        <v>844</v>
      </c>
      <c r="C1396" s="3" t="s">
        <v>37</v>
      </c>
      <c r="D1396" s="3" t="s">
        <v>103</v>
      </c>
      <c r="E1396" s="3" t="s">
        <v>24</v>
      </c>
      <c r="F1396" s="3" t="s">
        <v>62</v>
      </c>
      <c r="G1396" s="3" t="s">
        <v>26</v>
      </c>
      <c r="H1396" s="3" t="s">
        <v>27</v>
      </c>
      <c r="I1396" s="3" t="s">
        <v>173</v>
      </c>
      <c r="J1396" s="3" t="n">
        <v>16</v>
      </c>
      <c r="K1396" s="3" t="n">
        <v>23730.46</v>
      </c>
      <c r="L1396" s="3" t="n">
        <v>379687.36</v>
      </c>
      <c r="M1396" s="3" t="n">
        <v>0.0678</v>
      </c>
      <c r="N1396" s="3" t="n">
        <v>25742.8</v>
      </c>
      <c r="O1396" s="3" t="n">
        <v>353944.56</v>
      </c>
      <c r="P1396" s="3" t="n">
        <v>235406.16</v>
      </c>
      <c r="Q1396" s="3" t="n">
        <v>118538.4</v>
      </c>
      <c r="R1396" s="3" t="n">
        <v>0.3349</v>
      </c>
      <c r="S1396" s="3" t="n">
        <v>0.0603</v>
      </c>
      <c r="T1396" s="3" t="n">
        <v>0.0075</v>
      </c>
    </row>
    <row r="1397" customFormat="false" ht="15" hidden="false" customHeight="true" outlineLevel="0" collapsed="false">
      <c r="A1397" s="3" t="s">
        <v>2262</v>
      </c>
      <c r="B1397" s="3" t="s">
        <v>1524</v>
      </c>
      <c r="C1397" s="3" t="s">
        <v>60</v>
      </c>
      <c r="D1397" s="3" t="s">
        <v>83</v>
      </c>
      <c r="E1397" s="3" t="s">
        <v>48</v>
      </c>
      <c r="F1397" s="3" t="s">
        <v>62</v>
      </c>
      <c r="G1397" s="3" t="s">
        <v>26</v>
      </c>
      <c r="H1397" s="3" t="s">
        <v>42</v>
      </c>
      <c r="I1397" s="3" t="s">
        <v>134</v>
      </c>
      <c r="J1397" s="3" t="n">
        <v>18</v>
      </c>
      <c r="K1397" s="3" t="n">
        <v>1402.73</v>
      </c>
      <c r="L1397" s="3" t="n">
        <v>25249.14</v>
      </c>
      <c r="M1397" s="3" t="n">
        <v>0.0597</v>
      </c>
      <c r="N1397" s="3" t="n">
        <v>1507.37</v>
      </c>
      <c r="O1397" s="3" t="n">
        <v>23741.77</v>
      </c>
      <c r="P1397" s="3" t="n">
        <v>13887.03</v>
      </c>
      <c r="Q1397" s="3" t="n">
        <v>9854.74</v>
      </c>
      <c r="R1397" s="3" t="n">
        <v>0.4151</v>
      </c>
      <c r="S1397" s="3" t="n">
        <v>0.0504</v>
      </c>
      <c r="T1397" s="3" t="n">
        <v>0.0093</v>
      </c>
    </row>
    <row r="1398" customFormat="false" ht="15" hidden="false" customHeight="true" outlineLevel="0" collapsed="false">
      <c r="A1398" s="3" t="s">
        <v>2263</v>
      </c>
      <c r="B1398" s="3" t="s">
        <v>1041</v>
      </c>
      <c r="C1398" s="3" t="s">
        <v>60</v>
      </c>
      <c r="D1398" s="3" t="s">
        <v>54</v>
      </c>
      <c r="E1398" s="3" t="s">
        <v>24</v>
      </c>
      <c r="F1398" s="3" t="s">
        <v>40</v>
      </c>
      <c r="G1398" s="3" t="s">
        <v>49</v>
      </c>
      <c r="H1398" s="3" t="s">
        <v>27</v>
      </c>
      <c r="I1398" s="3" t="s">
        <v>117</v>
      </c>
      <c r="J1398" s="3" t="n">
        <v>46</v>
      </c>
      <c r="K1398" s="3" t="n">
        <v>26033.26</v>
      </c>
      <c r="L1398" s="3" t="n">
        <v>1197529.96</v>
      </c>
      <c r="M1398" s="3" t="n">
        <v>0.0446</v>
      </c>
      <c r="N1398" s="3" t="n">
        <v>53409.84</v>
      </c>
      <c r="O1398" s="3" t="n">
        <v>1144120.12</v>
      </c>
      <c r="P1398" s="3" t="n">
        <v>742468.58</v>
      </c>
      <c r="Q1398" s="3" t="n">
        <v>401651.54</v>
      </c>
      <c r="R1398" s="3" t="n">
        <v>0.3511</v>
      </c>
      <c r="S1398" s="3" t="n">
        <v>0.0432</v>
      </c>
      <c r="T1398" s="3" t="n">
        <v>0.0014</v>
      </c>
    </row>
    <row r="1399" customFormat="false" ht="15" hidden="false" customHeight="true" outlineLevel="0" collapsed="false">
      <c r="A1399" s="3" t="s">
        <v>2264</v>
      </c>
      <c r="B1399" s="3" t="s">
        <v>2265</v>
      </c>
      <c r="C1399" s="3" t="s">
        <v>120</v>
      </c>
      <c r="D1399" s="3" t="s">
        <v>54</v>
      </c>
      <c r="E1399" s="3" t="s">
        <v>24</v>
      </c>
      <c r="F1399" s="3" t="s">
        <v>40</v>
      </c>
      <c r="G1399" s="3" t="s">
        <v>84</v>
      </c>
      <c r="H1399" s="3" t="s">
        <v>77</v>
      </c>
      <c r="I1399" s="3" t="s">
        <v>85</v>
      </c>
      <c r="J1399" s="3" t="n">
        <v>10</v>
      </c>
      <c r="K1399" s="3" t="n">
        <v>4431.74</v>
      </c>
      <c r="L1399" s="3" t="n">
        <v>44317.4</v>
      </c>
      <c r="M1399" s="3" t="n">
        <v>0.0672</v>
      </c>
      <c r="N1399" s="3" t="n">
        <v>2978.13</v>
      </c>
      <c r="O1399" s="3" t="n">
        <v>41339.27</v>
      </c>
      <c r="P1399" s="3" t="n">
        <v>30135.83</v>
      </c>
      <c r="Q1399" s="3" t="n">
        <v>11203.44</v>
      </c>
      <c r="R1399" s="3" t="n">
        <v>0.271</v>
      </c>
      <c r="S1399" s="3" t="n">
        <v>0.0567</v>
      </c>
      <c r="T1399" s="3" t="n">
        <v>0.0105</v>
      </c>
    </row>
    <row r="1400" customFormat="false" ht="15" hidden="false" customHeight="true" outlineLevel="0" collapsed="false">
      <c r="A1400" s="3" t="s">
        <v>2266</v>
      </c>
      <c r="B1400" s="3" t="s">
        <v>2267</v>
      </c>
      <c r="C1400" s="3" t="s">
        <v>60</v>
      </c>
      <c r="D1400" s="3" t="s">
        <v>54</v>
      </c>
      <c r="E1400" s="3" t="s">
        <v>24</v>
      </c>
      <c r="F1400" s="3" t="s">
        <v>40</v>
      </c>
      <c r="G1400" s="3" t="s">
        <v>71</v>
      </c>
      <c r="H1400" s="3" t="s">
        <v>77</v>
      </c>
      <c r="I1400" s="3" t="s">
        <v>78</v>
      </c>
      <c r="J1400" s="3" t="n">
        <v>14</v>
      </c>
      <c r="K1400" s="3" t="n">
        <v>2294.01</v>
      </c>
      <c r="L1400" s="3" t="n">
        <v>32116.14</v>
      </c>
      <c r="M1400" s="3" t="n">
        <v>0.0592</v>
      </c>
      <c r="N1400" s="3" t="n">
        <v>1901.28</v>
      </c>
      <c r="O1400" s="3" t="n">
        <v>30214.86</v>
      </c>
      <c r="P1400" s="3" t="n">
        <v>21838.98</v>
      </c>
      <c r="Q1400" s="3" t="n">
        <v>8375.88</v>
      </c>
      <c r="R1400" s="3" t="n">
        <v>0.2772</v>
      </c>
      <c r="S1400" s="3" t="n">
        <v>0.0577</v>
      </c>
      <c r="T1400" s="3" t="n">
        <v>0.0015</v>
      </c>
    </row>
    <row r="1401" customFormat="false" ht="15" hidden="false" customHeight="true" outlineLevel="0" collapsed="false">
      <c r="A1401" s="3" t="s">
        <v>2268</v>
      </c>
      <c r="B1401" s="3" t="s">
        <v>2269</v>
      </c>
      <c r="C1401" s="3" t="s">
        <v>60</v>
      </c>
      <c r="D1401" s="3" t="s">
        <v>54</v>
      </c>
      <c r="E1401" s="3" t="s">
        <v>24</v>
      </c>
      <c r="F1401" s="3" t="s">
        <v>40</v>
      </c>
      <c r="G1401" s="3" t="s">
        <v>100</v>
      </c>
      <c r="H1401" s="3" t="s">
        <v>42</v>
      </c>
      <c r="I1401" s="3" t="s">
        <v>72</v>
      </c>
      <c r="J1401" s="3" t="n">
        <v>34</v>
      </c>
      <c r="K1401" s="3" t="n">
        <v>3109.1</v>
      </c>
      <c r="L1401" s="3" t="n">
        <v>105709.4</v>
      </c>
      <c r="M1401" s="3" t="n">
        <v>0.0503</v>
      </c>
      <c r="N1401" s="3" t="n">
        <v>5317.18</v>
      </c>
      <c r="O1401" s="3" t="n">
        <v>100392.22</v>
      </c>
      <c r="P1401" s="3" t="n">
        <v>58140.17</v>
      </c>
      <c r="Q1401" s="3" t="n">
        <v>42252.05</v>
      </c>
      <c r="R1401" s="3" t="n">
        <v>0.4209</v>
      </c>
      <c r="S1401" s="3" t="n">
        <v>0.0549</v>
      </c>
      <c r="T1401" s="3" t="n">
        <v>-0.0046</v>
      </c>
    </row>
    <row r="1402" customFormat="false" ht="15" hidden="false" customHeight="true" outlineLevel="0" collapsed="false">
      <c r="A1402" s="3" t="s">
        <v>2270</v>
      </c>
      <c r="B1402" s="3" t="s">
        <v>2271</v>
      </c>
      <c r="C1402" s="3" t="s">
        <v>93</v>
      </c>
      <c r="D1402" s="3" t="s">
        <v>23</v>
      </c>
      <c r="E1402" s="3" t="s">
        <v>24</v>
      </c>
      <c r="F1402" s="3" t="s">
        <v>25</v>
      </c>
      <c r="G1402" s="3" t="s">
        <v>100</v>
      </c>
      <c r="H1402" s="3" t="s">
        <v>64</v>
      </c>
      <c r="I1402" s="3" t="s">
        <v>145</v>
      </c>
      <c r="J1402" s="3" t="n">
        <v>32</v>
      </c>
      <c r="K1402" s="3" t="n">
        <v>6369.26</v>
      </c>
      <c r="L1402" s="3" t="n">
        <v>203816.32</v>
      </c>
      <c r="M1402" s="3" t="n">
        <v>0.1721</v>
      </c>
      <c r="N1402" s="3" t="n">
        <v>35076.79</v>
      </c>
      <c r="O1402" s="3" t="n">
        <v>168739.53</v>
      </c>
      <c r="P1402" s="3" t="n">
        <v>118213.47</v>
      </c>
      <c r="Q1402" s="3" t="n">
        <v>50526.06</v>
      </c>
      <c r="R1402" s="3" t="n">
        <v>0.2994</v>
      </c>
      <c r="S1402" s="3" t="n">
        <v>0.1467</v>
      </c>
      <c r="T1402" s="3" t="n">
        <v>0.0254</v>
      </c>
    </row>
    <row r="1403" customFormat="false" ht="15" hidden="false" customHeight="true" outlineLevel="0" collapsed="false">
      <c r="A1403" s="3" t="s">
        <v>2272</v>
      </c>
      <c r="B1403" s="3" t="s">
        <v>2273</v>
      </c>
      <c r="C1403" s="3" t="s">
        <v>120</v>
      </c>
      <c r="D1403" s="3" t="s">
        <v>47</v>
      </c>
      <c r="E1403" s="3" t="s">
        <v>48</v>
      </c>
      <c r="F1403" s="3" t="s">
        <v>25</v>
      </c>
      <c r="G1403" s="3" t="s">
        <v>49</v>
      </c>
      <c r="H1403" s="3" t="s">
        <v>27</v>
      </c>
      <c r="I1403" s="3" t="s">
        <v>28</v>
      </c>
      <c r="J1403" s="3" t="n">
        <v>14</v>
      </c>
      <c r="K1403" s="3" t="n">
        <v>15194.41</v>
      </c>
      <c r="L1403" s="3" t="n">
        <v>212721.74</v>
      </c>
      <c r="M1403" s="3" t="n">
        <v>0.1035</v>
      </c>
      <c r="N1403" s="3" t="n">
        <v>22016.7</v>
      </c>
      <c r="O1403" s="3" t="n">
        <v>190705.04</v>
      </c>
      <c r="P1403" s="3" t="n">
        <v>131887.48</v>
      </c>
      <c r="Q1403" s="3" t="n">
        <v>58817.56</v>
      </c>
      <c r="R1403" s="3" t="n">
        <v>0.3084</v>
      </c>
      <c r="S1403" s="3" t="n">
        <v>0.103</v>
      </c>
      <c r="T1403" s="3" t="n">
        <v>0.0005</v>
      </c>
    </row>
    <row r="1404" customFormat="false" ht="15" hidden="false" customHeight="true" outlineLevel="0" collapsed="false">
      <c r="A1404" s="3" t="s">
        <v>2274</v>
      </c>
      <c r="B1404" s="3" t="s">
        <v>2275</v>
      </c>
      <c r="C1404" s="3" t="s">
        <v>68</v>
      </c>
      <c r="D1404" s="3" t="s">
        <v>103</v>
      </c>
      <c r="E1404" s="3" t="s">
        <v>24</v>
      </c>
      <c r="F1404" s="3" t="s">
        <v>62</v>
      </c>
      <c r="G1404" s="3" t="s">
        <v>55</v>
      </c>
      <c r="H1404" s="3" t="s">
        <v>77</v>
      </c>
      <c r="I1404" s="3" t="s">
        <v>78</v>
      </c>
      <c r="J1404" s="3" t="n">
        <v>1</v>
      </c>
      <c r="K1404" s="3" t="n">
        <v>5580.97</v>
      </c>
      <c r="L1404" s="3" t="n">
        <v>5580.97</v>
      </c>
      <c r="M1404" s="3" t="n">
        <v>0.072</v>
      </c>
      <c r="N1404" s="3" t="n">
        <v>401.83</v>
      </c>
      <c r="O1404" s="3" t="n">
        <v>5179.14</v>
      </c>
      <c r="P1404" s="3" t="n">
        <v>3795.06</v>
      </c>
      <c r="Q1404" s="3" t="n">
        <v>1384.08</v>
      </c>
      <c r="R1404" s="3" t="n">
        <v>0.2672</v>
      </c>
      <c r="S1404" s="3" t="n">
        <v>0.077</v>
      </c>
      <c r="T1404" s="3" t="n">
        <v>-0.005</v>
      </c>
    </row>
    <row r="1405" customFormat="false" ht="15" hidden="false" customHeight="true" outlineLevel="0" collapsed="false">
      <c r="A1405" s="3" t="s">
        <v>2276</v>
      </c>
      <c r="B1405" s="3" t="s">
        <v>1146</v>
      </c>
      <c r="C1405" s="3" t="s">
        <v>37</v>
      </c>
      <c r="D1405" s="3" t="s">
        <v>97</v>
      </c>
      <c r="E1405" s="3" t="s">
        <v>48</v>
      </c>
      <c r="F1405" s="3" t="s">
        <v>40</v>
      </c>
      <c r="G1405" s="3" t="s">
        <v>71</v>
      </c>
      <c r="H1405" s="3" t="s">
        <v>64</v>
      </c>
      <c r="I1405" s="3" t="s">
        <v>145</v>
      </c>
      <c r="J1405" s="3" t="n">
        <v>41</v>
      </c>
      <c r="K1405" s="3" t="n">
        <v>3295.56</v>
      </c>
      <c r="L1405" s="3" t="n">
        <v>135117.96</v>
      </c>
      <c r="M1405" s="3" t="n">
        <v>0.0349</v>
      </c>
      <c r="N1405" s="3" t="n">
        <v>4715.62</v>
      </c>
      <c r="O1405" s="3" t="n">
        <v>130402.34</v>
      </c>
      <c r="P1405" s="3" t="n">
        <v>78368.42</v>
      </c>
      <c r="Q1405" s="3" t="n">
        <v>52033.92</v>
      </c>
      <c r="R1405" s="3" t="n">
        <v>0.399</v>
      </c>
      <c r="S1405" s="3" t="n">
        <v>0.0333</v>
      </c>
      <c r="T1405" s="3" t="n">
        <v>0.0016</v>
      </c>
    </row>
    <row r="1406" customFormat="false" ht="15" hidden="false" customHeight="true" outlineLevel="0" collapsed="false">
      <c r="A1406" s="3" t="s">
        <v>2277</v>
      </c>
      <c r="B1406" s="3" t="s">
        <v>1158</v>
      </c>
      <c r="C1406" s="3" t="s">
        <v>22</v>
      </c>
      <c r="D1406" s="3" t="s">
        <v>54</v>
      </c>
      <c r="E1406" s="3" t="s">
        <v>24</v>
      </c>
      <c r="F1406" s="3" t="s">
        <v>40</v>
      </c>
      <c r="G1406" s="3" t="s">
        <v>26</v>
      </c>
      <c r="H1406" s="3" t="s">
        <v>56</v>
      </c>
      <c r="I1406" s="3" t="s">
        <v>121</v>
      </c>
      <c r="J1406" s="3" t="n">
        <v>6</v>
      </c>
      <c r="K1406" s="3" t="n">
        <v>10603.67</v>
      </c>
      <c r="L1406" s="3" t="n">
        <v>63622.02</v>
      </c>
      <c r="M1406" s="3" t="n">
        <v>0.0785</v>
      </c>
      <c r="N1406" s="3" t="n">
        <v>4994.33</v>
      </c>
      <c r="O1406" s="3" t="n">
        <v>58627.69</v>
      </c>
      <c r="P1406" s="3" t="n">
        <v>38173.21</v>
      </c>
      <c r="Q1406" s="3" t="n">
        <v>20454.48</v>
      </c>
      <c r="R1406" s="3" t="n">
        <v>0.3489</v>
      </c>
      <c r="S1406" s="3" t="n">
        <v>0.0733</v>
      </c>
      <c r="T1406" s="3" t="n">
        <v>0.0052</v>
      </c>
    </row>
    <row r="1407" customFormat="false" ht="15" hidden="false" customHeight="true" outlineLevel="0" collapsed="false">
      <c r="A1407" s="3" t="s">
        <v>2278</v>
      </c>
      <c r="B1407" s="3" t="s">
        <v>459</v>
      </c>
      <c r="C1407" s="3" t="s">
        <v>53</v>
      </c>
      <c r="D1407" s="3" t="s">
        <v>107</v>
      </c>
      <c r="E1407" s="3" t="s">
        <v>33</v>
      </c>
      <c r="F1407" s="3" t="s">
        <v>70</v>
      </c>
      <c r="G1407" s="3" t="s">
        <v>76</v>
      </c>
      <c r="H1407" s="3" t="s">
        <v>64</v>
      </c>
      <c r="I1407" s="3" t="s">
        <v>108</v>
      </c>
      <c r="J1407" s="3" t="n">
        <v>12</v>
      </c>
      <c r="K1407" s="3" t="n">
        <v>10175.43</v>
      </c>
      <c r="L1407" s="3" t="n">
        <v>122105.16</v>
      </c>
      <c r="M1407" s="3" t="n">
        <v>0.0645</v>
      </c>
      <c r="N1407" s="3" t="n">
        <v>7875.78</v>
      </c>
      <c r="O1407" s="3" t="n">
        <v>114229.38</v>
      </c>
      <c r="P1407" s="3" t="n">
        <v>70820.99</v>
      </c>
      <c r="Q1407" s="3" t="n">
        <v>43408.39</v>
      </c>
      <c r="R1407" s="3" t="n">
        <v>0.38</v>
      </c>
      <c r="S1407" s="3" t="n">
        <v>0.056</v>
      </c>
      <c r="T1407" s="3" t="n">
        <v>0.0085</v>
      </c>
    </row>
    <row r="1408" customFormat="false" ht="15" hidden="false" customHeight="true" outlineLevel="0" collapsed="false">
      <c r="A1408" s="3" t="s">
        <v>2279</v>
      </c>
      <c r="B1408" s="3" t="s">
        <v>2280</v>
      </c>
      <c r="C1408" s="3" t="s">
        <v>113</v>
      </c>
      <c r="D1408" s="3" t="s">
        <v>97</v>
      </c>
      <c r="E1408" s="3" t="s">
        <v>48</v>
      </c>
      <c r="F1408" s="3" t="s">
        <v>40</v>
      </c>
      <c r="G1408" s="3" t="s">
        <v>104</v>
      </c>
      <c r="H1408" s="3" t="s">
        <v>77</v>
      </c>
      <c r="I1408" s="3" t="s">
        <v>131</v>
      </c>
      <c r="J1408" s="3" t="n">
        <v>18</v>
      </c>
      <c r="K1408" s="3" t="n">
        <v>5901.01</v>
      </c>
      <c r="L1408" s="3" t="n">
        <v>106218.18</v>
      </c>
      <c r="M1408" s="3" t="n">
        <v>0.0813</v>
      </c>
      <c r="N1408" s="3" t="n">
        <v>8635.54</v>
      </c>
      <c r="O1408" s="3" t="n">
        <v>97582.64</v>
      </c>
      <c r="P1408" s="3" t="n">
        <v>72228.36</v>
      </c>
      <c r="Q1408" s="3" t="n">
        <v>25354.28</v>
      </c>
      <c r="R1408" s="3" t="n">
        <v>0.2598</v>
      </c>
      <c r="S1408" s="3" t="n">
        <v>0.0829</v>
      </c>
      <c r="T1408" s="3" t="n">
        <v>-0.0016</v>
      </c>
    </row>
    <row r="1409" customFormat="false" ht="15" hidden="false" customHeight="true" outlineLevel="0" collapsed="false">
      <c r="A1409" s="3" t="s">
        <v>2281</v>
      </c>
      <c r="B1409" s="3" t="s">
        <v>2242</v>
      </c>
      <c r="C1409" s="3" t="s">
        <v>93</v>
      </c>
      <c r="D1409" s="3" t="s">
        <v>61</v>
      </c>
      <c r="E1409" s="3" t="s">
        <v>33</v>
      </c>
      <c r="F1409" s="3" t="s">
        <v>62</v>
      </c>
      <c r="G1409" s="3" t="s">
        <v>104</v>
      </c>
      <c r="H1409" s="3" t="s">
        <v>64</v>
      </c>
      <c r="I1409" s="3" t="s">
        <v>145</v>
      </c>
      <c r="J1409" s="3" t="n">
        <v>16</v>
      </c>
      <c r="K1409" s="3" t="n">
        <v>4869.59</v>
      </c>
      <c r="L1409" s="3" t="n">
        <v>77913.44</v>
      </c>
      <c r="M1409" s="3" t="n">
        <v>0.1025</v>
      </c>
      <c r="N1409" s="3" t="n">
        <v>7986.13</v>
      </c>
      <c r="O1409" s="3" t="n">
        <v>69927.31</v>
      </c>
      <c r="P1409" s="3" t="n">
        <v>45189.8</v>
      </c>
      <c r="Q1409" s="3" t="n">
        <v>24737.51</v>
      </c>
      <c r="R1409" s="3" t="n">
        <v>0.3538</v>
      </c>
      <c r="S1409" s="3" t="n">
        <v>0.0851</v>
      </c>
      <c r="T1409" s="3" t="n">
        <v>0.0174</v>
      </c>
    </row>
    <row r="1410" customFormat="false" ht="15" hidden="false" customHeight="true" outlineLevel="0" collapsed="false">
      <c r="A1410" s="3" t="s">
        <v>2282</v>
      </c>
      <c r="B1410" s="3" t="s">
        <v>2125</v>
      </c>
      <c r="C1410" s="3" t="s">
        <v>113</v>
      </c>
      <c r="D1410" s="3" t="s">
        <v>32</v>
      </c>
      <c r="E1410" s="3" t="s">
        <v>33</v>
      </c>
      <c r="F1410" s="3" t="s">
        <v>25</v>
      </c>
      <c r="G1410" s="3" t="s">
        <v>116</v>
      </c>
      <c r="H1410" s="3" t="s">
        <v>42</v>
      </c>
      <c r="I1410" s="3" t="s">
        <v>72</v>
      </c>
      <c r="J1410" s="3" t="n">
        <v>8</v>
      </c>
      <c r="K1410" s="3" t="n">
        <v>1187.49</v>
      </c>
      <c r="L1410" s="3" t="n">
        <v>9499.92</v>
      </c>
      <c r="M1410" s="3" t="n">
        <v>0.1542</v>
      </c>
      <c r="N1410" s="3" t="n">
        <v>1464.89</v>
      </c>
      <c r="O1410" s="3" t="n">
        <v>8035.03</v>
      </c>
      <c r="P1410" s="3" t="n">
        <v>5224.96</v>
      </c>
      <c r="Q1410" s="3" t="n">
        <v>2810.07</v>
      </c>
      <c r="R1410" s="3" t="n">
        <v>0.3497</v>
      </c>
      <c r="S1410" s="3" t="n">
        <v>0.151</v>
      </c>
      <c r="T1410" s="3" t="n">
        <v>0.0032</v>
      </c>
    </row>
    <row r="1411" customFormat="false" ht="15" hidden="false" customHeight="true" outlineLevel="0" collapsed="false">
      <c r="A1411" s="3" t="s">
        <v>2283</v>
      </c>
      <c r="B1411" s="3" t="s">
        <v>192</v>
      </c>
      <c r="C1411" s="3" t="s">
        <v>31</v>
      </c>
      <c r="D1411" s="3" t="s">
        <v>54</v>
      </c>
      <c r="E1411" s="3" t="s">
        <v>24</v>
      </c>
      <c r="F1411" s="3" t="s">
        <v>40</v>
      </c>
      <c r="G1411" s="3" t="s">
        <v>55</v>
      </c>
      <c r="H1411" s="3" t="s">
        <v>56</v>
      </c>
      <c r="I1411" s="3" t="s">
        <v>188</v>
      </c>
      <c r="J1411" s="3" t="n">
        <v>8</v>
      </c>
      <c r="K1411" s="3" t="n">
        <v>8876.09</v>
      </c>
      <c r="L1411" s="3" t="n">
        <v>71008.72</v>
      </c>
      <c r="M1411" s="3" t="n">
        <v>0.066</v>
      </c>
      <c r="N1411" s="3" t="n">
        <v>4686.58</v>
      </c>
      <c r="O1411" s="3" t="n">
        <v>66322.14</v>
      </c>
      <c r="P1411" s="3" t="n">
        <v>42605.23</v>
      </c>
      <c r="Q1411" s="3" t="n">
        <v>23716.91</v>
      </c>
      <c r="R1411" s="3" t="n">
        <v>0.3576</v>
      </c>
      <c r="S1411" s="3" t="n">
        <v>0.0682</v>
      </c>
      <c r="T1411" s="3" t="n">
        <v>-0.0022</v>
      </c>
    </row>
    <row r="1412" customFormat="false" ht="15" hidden="false" customHeight="true" outlineLevel="0" collapsed="false">
      <c r="A1412" s="3" t="s">
        <v>2284</v>
      </c>
      <c r="B1412" s="3" t="s">
        <v>1409</v>
      </c>
      <c r="C1412" s="3" t="s">
        <v>31</v>
      </c>
      <c r="D1412" s="3" t="s">
        <v>69</v>
      </c>
      <c r="E1412" s="3" t="s">
        <v>39</v>
      </c>
      <c r="F1412" s="3" t="s">
        <v>70</v>
      </c>
      <c r="G1412" s="3" t="s">
        <v>55</v>
      </c>
      <c r="H1412" s="3" t="s">
        <v>56</v>
      </c>
      <c r="I1412" s="3" t="s">
        <v>121</v>
      </c>
      <c r="J1412" s="3" t="n">
        <v>1</v>
      </c>
      <c r="K1412" s="3" t="n">
        <v>14088.69</v>
      </c>
      <c r="L1412" s="3" t="n">
        <v>14088.69</v>
      </c>
      <c r="M1412" s="3" t="n">
        <v>0.0426</v>
      </c>
      <c r="N1412" s="3" t="n">
        <v>600.18</v>
      </c>
      <c r="O1412" s="3" t="n">
        <v>13488.51</v>
      </c>
      <c r="P1412" s="3" t="n">
        <v>8453.21</v>
      </c>
      <c r="Q1412" s="3" t="n">
        <v>5035.3</v>
      </c>
      <c r="R1412" s="3" t="n">
        <v>0.3733</v>
      </c>
      <c r="S1412" s="3" t="n">
        <v>0.0418</v>
      </c>
      <c r="T1412" s="3" t="n">
        <v>0.0008</v>
      </c>
    </row>
    <row r="1413" customFormat="false" ht="15" hidden="false" customHeight="true" outlineLevel="0" collapsed="false">
      <c r="A1413" s="3" t="s">
        <v>2285</v>
      </c>
      <c r="B1413" s="3" t="s">
        <v>149</v>
      </c>
      <c r="C1413" s="3" t="s">
        <v>126</v>
      </c>
      <c r="D1413" s="3" t="s">
        <v>83</v>
      </c>
      <c r="E1413" s="3" t="s">
        <v>48</v>
      </c>
      <c r="F1413" s="3" t="s">
        <v>62</v>
      </c>
      <c r="G1413" s="3" t="s">
        <v>100</v>
      </c>
      <c r="H1413" s="3" t="s">
        <v>64</v>
      </c>
      <c r="I1413" s="3" t="s">
        <v>145</v>
      </c>
      <c r="J1413" s="3" t="n">
        <v>19</v>
      </c>
      <c r="K1413" s="3" t="n">
        <v>7349.52</v>
      </c>
      <c r="L1413" s="3" t="n">
        <v>139640.88</v>
      </c>
      <c r="M1413" s="3" t="n">
        <v>0.0776</v>
      </c>
      <c r="N1413" s="3" t="n">
        <v>10836.13</v>
      </c>
      <c r="O1413" s="3" t="n">
        <v>128804.75</v>
      </c>
      <c r="P1413" s="3" t="n">
        <v>80991.71</v>
      </c>
      <c r="Q1413" s="3" t="n">
        <v>47813.04</v>
      </c>
      <c r="R1413" s="3" t="n">
        <v>0.3712</v>
      </c>
      <c r="S1413" s="3" t="n">
        <v>0.0682</v>
      </c>
      <c r="T1413" s="3" t="n">
        <v>0.0094</v>
      </c>
    </row>
    <row r="1414" customFormat="false" ht="15" hidden="false" customHeight="true" outlineLevel="0" collapsed="false">
      <c r="A1414" s="3" t="s">
        <v>2286</v>
      </c>
      <c r="B1414" s="3" t="s">
        <v>1529</v>
      </c>
      <c r="C1414" s="3" t="s">
        <v>31</v>
      </c>
      <c r="D1414" s="3" t="s">
        <v>107</v>
      </c>
      <c r="E1414" s="3" t="s">
        <v>33</v>
      </c>
      <c r="F1414" s="3" t="s">
        <v>70</v>
      </c>
      <c r="G1414" s="3" t="s">
        <v>76</v>
      </c>
      <c r="H1414" s="3" t="s">
        <v>64</v>
      </c>
      <c r="I1414" s="3" t="s">
        <v>145</v>
      </c>
      <c r="J1414" s="3" t="n">
        <v>33</v>
      </c>
      <c r="K1414" s="3" t="n">
        <v>9100.58</v>
      </c>
      <c r="L1414" s="3" t="n">
        <v>300319.14</v>
      </c>
      <c r="M1414" s="3" t="n">
        <v>0.0454</v>
      </c>
      <c r="N1414" s="3" t="n">
        <v>13634.49</v>
      </c>
      <c r="O1414" s="3" t="n">
        <v>286684.65</v>
      </c>
      <c r="P1414" s="3" t="n">
        <v>174185.1</v>
      </c>
      <c r="Q1414" s="3" t="n">
        <v>112499.55</v>
      </c>
      <c r="R1414" s="3" t="n">
        <v>0.3924</v>
      </c>
      <c r="S1414" s="3" t="n">
        <v>0.0379</v>
      </c>
      <c r="T1414" s="3" t="n">
        <v>0.0075</v>
      </c>
    </row>
    <row r="1415" customFormat="false" ht="15" hidden="false" customHeight="true" outlineLevel="0" collapsed="false">
      <c r="A1415" s="3" t="s">
        <v>2287</v>
      </c>
      <c r="B1415" s="3" t="s">
        <v>1554</v>
      </c>
      <c r="C1415" s="3" t="s">
        <v>22</v>
      </c>
      <c r="D1415" s="3" t="s">
        <v>75</v>
      </c>
      <c r="E1415" s="3" t="s">
        <v>39</v>
      </c>
      <c r="F1415" s="3" t="s">
        <v>25</v>
      </c>
      <c r="G1415" s="3" t="s">
        <v>49</v>
      </c>
      <c r="H1415" s="3" t="s">
        <v>77</v>
      </c>
      <c r="I1415" s="3" t="s">
        <v>131</v>
      </c>
      <c r="J1415" s="3" t="n">
        <v>33</v>
      </c>
      <c r="K1415" s="3" t="n">
        <v>5488.16</v>
      </c>
      <c r="L1415" s="3" t="n">
        <v>181109.28</v>
      </c>
      <c r="M1415" s="3" t="n">
        <v>0.1066</v>
      </c>
      <c r="N1415" s="3" t="n">
        <v>19306.25</v>
      </c>
      <c r="O1415" s="3" t="n">
        <v>161803.03</v>
      </c>
      <c r="P1415" s="3" t="n">
        <v>123154.31</v>
      </c>
      <c r="Q1415" s="3" t="n">
        <v>38648.72</v>
      </c>
      <c r="R1415" s="3" t="n">
        <v>0.2389</v>
      </c>
      <c r="S1415" s="3" t="n">
        <v>0.1096</v>
      </c>
      <c r="T1415" s="3" t="n">
        <v>-0.003</v>
      </c>
    </row>
    <row r="1416" customFormat="false" ht="15" hidden="false" customHeight="true" outlineLevel="0" collapsed="false">
      <c r="A1416" s="3" t="s">
        <v>2288</v>
      </c>
      <c r="B1416" s="3" t="s">
        <v>2289</v>
      </c>
      <c r="C1416" s="3" t="s">
        <v>120</v>
      </c>
      <c r="D1416" s="3" t="s">
        <v>23</v>
      </c>
      <c r="E1416" s="3" t="s">
        <v>24</v>
      </c>
      <c r="F1416" s="3" t="s">
        <v>25</v>
      </c>
      <c r="G1416" s="3" t="s">
        <v>84</v>
      </c>
      <c r="H1416" s="3" t="s">
        <v>42</v>
      </c>
      <c r="I1416" s="3" t="s">
        <v>43</v>
      </c>
      <c r="J1416" s="3" t="n">
        <v>44</v>
      </c>
      <c r="K1416" s="3" t="n">
        <v>1698.51</v>
      </c>
      <c r="L1416" s="3" t="n">
        <v>74734.44</v>
      </c>
      <c r="M1416" s="3" t="n">
        <v>0.1115</v>
      </c>
      <c r="N1416" s="3" t="n">
        <v>8332.89</v>
      </c>
      <c r="O1416" s="3" t="n">
        <v>66401.55</v>
      </c>
      <c r="P1416" s="3" t="n">
        <v>41103.94</v>
      </c>
      <c r="Q1416" s="3" t="n">
        <v>25297.61</v>
      </c>
      <c r="R1416" s="3" t="n">
        <v>0.381</v>
      </c>
      <c r="S1416" s="3" t="n">
        <v>0.1148</v>
      </c>
      <c r="T1416" s="3" t="n">
        <v>-0.0033</v>
      </c>
    </row>
    <row r="1417" customFormat="false" ht="15" hidden="false" customHeight="true" outlineLevel="0" collapsed="false">
      <c r="A1417" s="3" t="s">
        <v>2290</v>
      </c>
      <c r="B1417" s="3" t="s">
        <v>1699</v>
      </c>
      <c r="C1417" s="3" t="s">
        <v>126</v>
      </c>
      <c r="D1417" s="3" t="s">
        <v>69</v>
      </c>
      <c r="E1417" s="3" t="s">
        <v>39</v>
      </c>
      <c r="F1417" s="3" t="s">
        <v>70</v>
      </c>
      <c r="G1417" s="3" t="s">
        <v>76</v>
      </c>
      <c r="H1417" s="3" t="s">
        <v>42</v>
      </c>
      <c r="I1417" s="3" t="s">
        <v>72</v>
      </c>
      <c r="J1417" s="3" t="n">
        <v>34</v>
      </c>
      <c r="K1417" s="3" t="n">
        <v>1620.06</v>
      </c>
      <c r="L1417" s="3" t="n">
        <v>55082.04</v>
      </c>
      <c r="M1417" s="3" t="n">
        <v>0.0536</v>
      </c>
      <c r="N1417" s="3" t="n">
        <v>2952.4</v>
      </c>
      <c r="O1417" s="3" t="n">
        <v>52129.64</v>
      </c>
      <c r="P1417" s="3" t="n">
        <v>30295.12</v>
      </c>
      <c r="Q1417" s="3" t="n">
        <v>21834.52</v>
      </c>
      <c r="R1417" s="3" t="n">
        <v>0.4189</v>
      </c>
      <c r="S1417" s="3" t="n">
        <v>0.0578</v>
      </c>
      <c r="T1417" s="3" t="n">
        <v>-0.0042</v>
      </c>
    </row>
    <row r="1418" customFormat="false" ht="15" hidden="false" customHeight="true" outlineLevel="0" collapsed="false">
      <c r="A1418" s="3" t="s">
        <v>2291</v>
      </c>
      <c r="B1418" s="3" t="s">
        <v>147</v>
      </c>
      <c r="C1418" s="3" t="s">
        <v>60</v>
      </c>
      <c r="D1418" s="3" t="s">
        <v>69</v>
      </c>
      <c r="E1418" s="3" t="s">
        <v>39</v>
      </c>
      <c r="F1418" s="3" t="s">
        <v>70</v>
      </c>
      <c r="G1418" s="3" t="s">
        <v>41</v>
      </c>
      <c r="H1418" s="3" t="s">
        <v>56</v>
      </c>
      <c r="I1418" s="3" t="s">
        <v>121</v>
      </c>
      <c r="J1418" s="3" t="n">
        <v>13</v>
      </c>
      <c r="K1418" s="3" t="n">
        <v>7180.25</v>
      </c>
      <c r="L1418" s="3" t="n">
        <v>93343.25</v>
      </c>
      <c r="M1418" s="3" t="n">
        <v>0.1198</v>
      </c>
      <c r="N1418" s="3" t="n">
        <v>11182.52</v>
      </c>
      <c r="O1418" s="3" t="n">
        <v>82160.73</v>
      </c>
      <c r="P1418" s="3" t="n">
        <v>56005.95</v>
      </c>
      <c r="Q1418" s="3" t="n">
        <v>26154.78</v>
      </c>
      <c r="R1418" s="3" t="n">
        <v>0.3183</v>
      </c>
      <c r="S1418" s="3" t="n">
        <v>0.1177</v>
      </c>
      <c r="T1418" s="3" t="n">
        <v>0.0021</v>
      </c>
    </row>
    <row r="1419" customFormat="false" ht="15" hidden="false" customHeight="true" outlineLevel="0" collapsed="false">
      <c r="A1419" s="3" t="s">
        <v>2292</v>
      </c>
      <c r="B1419" s="3" t="s">
        <v>82</v>
      </c>
      <c r="C1419" s="3" t="s">
        <v>53</v>
      </c>
      <c r="D1419" s="3" t="s">
        <v>75</v>
      </c>
      <c r="E1419" s="3" t="s">
        <v>39</v>
      </c>
      <c r="F1419" s="3" t="s">
        <v>25</v>
      </c>
      <c r="G1419" s="3" t="s">
        <v>84</v>
      </c>
      <c r="H1419" s="3" t="s">
        <v>42</v>
      </c>
      <c r="I1419" s="3" t="s">
        <v>72</v>
      </c>
      <c r="J1419" s="3" t="n">
        <v>27</v>
      </c>
      <c r="K1419" s="3" t="n">
        <v>2787.22</v>
      </c>
      <c r="L1419" s="3" t="n">
        <v>75254.94</v>
      </c>
      <c r="M1419" s="3" t="n">
        <v>0.1305</v>
      </c>
      <c r="N1419" s="3" t="n">
        <v>9820.77</v>
      </c>
      <c r="O1419" s="3" t="n">
        <v>65434.17</v>
      </c>
      <c r="P1419" s="3" t="n">
        <v>41390.22</v>
      </c>
      <c r="Q1419" s="3" t="n">
        <v>24043.95</v>
      </c>
      <c r="R1419" s="3" t="n">
        <v>0.3675</v>
      </c>
      <c r="S1419" s="3" t="n">
        <v>0.1229</v>
      </c>
      <c r="T1419" s="3" t="n">
        <v>0.0076</v>
      </c>
    </row>
    <row r="1420" customFormat="false" ht="15" hidden="false" customHeight="true" outlineLevel="0" collapsed="false">
      <c r="A1420" s="3" t="s">
        <v>2293</v>
      </c>
      <c r="B1420" s="3" t="s">
        <v>2294</v>
      </c>
      <c r="C1420" s="3" t="s">
        <v>37</v>
      </c>
      <c r="D1420" s="3" t="s">
        <v>54</v>
      </c>
      <c r="E1420" s="3" t="s">
        <v>24</v>
      </c>
      <c r="F1420" s="3" t="s">
        <v>40</v>
      </c>
      <c r="G1420" s="3" t="s">
        <v>76</v>
      </c>
      <c r="H1420" s="3" t="s">
        <v>42</v>
      </c>
      <c r="I1420" s="3" t="s">
        <v>43</v>
      </c>
      <c r="J1420" s="3" t="n">
        <v>23</v>
      </c>
      <c r="K1420" s="3" t="n">
        <v>1668.03</v>
      </c>
      <c r="L1420" s="3" t="n">
        <v>38364.69</v>
      </c>
      <c r="M1420" s="3" t="n">
        <v>0.0715</v>
      </c>
      <c r="N1420" s="3" t="n">
        <v>2743.08</v>
      </c>
      <c r="O1420" s="3" t="n">
        <v>35621.61</v>
      </c>
      <c r="P1420" s="3" t="n">
        <v>21100.58</v>
      </c>
      <c r="Q1420" s="3" t="n">
        <v>14521.03</v>
      </c>
      <c r="R1420" s="3" t="n">
        <v>0.4076</v>
      </c>
      <c r="S1420" s="3" t="n">
        <v>0.0668</v>
      </c>
      <c r="T1420" s="3" t="n">
        <v>0.0047</v>
      </c>
    </row>
    <row r="1421" customFormat="false" ht="15" hidden="false" customHeight="true" outlineLevel="0" collapsed="false">
      <c r="A1421" s="3" t="s">
        <v>2295</v>
      </c>
      <c r="B1421" s="3" t="s">
        <v>1524</v>
      </c>
      <c r="C1421" s="3" t="s">
        <v>60</v>
      </c>
      <c r="D1421" s="3" t="s">
        <v>47</v>
      </c>
      <c r="E1421" s="3" t="s">
        <v>48</v>
      </c>
      <c r="F1421" s="3" t="s">
        <v>25</v>
      </c>
      <c r="G1421" s="3" t="s">
        <v>63</v>
      </c>
      <c r="H1421" s="3" t="s">
        <v>56</v>
      </c>
      <c r="I1421" s="3" t="s">
        <v>57</v>
      </c>
      <c r="J1421" s="3" t="n">
        <v>26</v>
      </c>
      <c r="K1421" s="3" t="n">
        <v>2090.76</v>
      </c>
      <c r="L1421" s="3" t="n">
        <v>54359.76</v>
      </c>
      <c r="M1421" s="3" t="n">
        <v>0.1055</v>
      </c>
      <c r="N1421" s="3" t="n">
        <v>5734.95</v>
      </c>
      <c r="O1421" s="3" t="n">
        <v>48624.81</v>
      </c>
      <c r="P1421" s="3" t="n">
        <v>32615.86</v>
      </c>
      <c r="Q1421" s="3" t="n">
        <v>16008.95</v>
      </c>
      <c r="R1421" s="3" t="n">
        <v>0.3292</v>
      </c>
      <c r="S1421" s="3" t="n">
        <v>0.1152</v>
      </c>
      <c r="T1421" s="3" t="n">
        <v>-0.0097</v>
      </c>
    </row>
    <row r="1422" customFormat="false" ht="15" hidden="false" customHeight="true" outlineLevel="0" collapsed="false">
      <c r="A1422" s="3" t="s">
        <v>2296</v>
      </c>
      <c r="B1422" s="3" t="s">
        <v>1726</v>
      </c>
      <c r="C1422" s="3" t="s">
        <v>37</v>
      </c>
      <c r="D1422" s="3" t="s">
        <v>54</v>
      </c>
      <c r="E1422" s="3" t="s">
        <v>24</v>
      </c>
      <c r="F1422" s="3" t="s">
        <v>40</v>
      </c>
      <c r="G1422" s="3" t="s">
        <v>34</v>
      </c>
      <c r="H1422" s="3" t="s">
        <v>27</v>
      </c>
      <c r="I1422" s="3" t="s">
        <v>117</v>
      </c>
      <c r="J1422" s="3" t="n">
        <v>17</v>
      </c>
      <c r="K1422" s="3" t="n">
        <v>29185.75</v>
      </c>
      <c r="L1422" s="3" t="n">
        <v>496157.75</v>
      </c>
      <c r="M1422" s="3" t="n">
        <v>0.0797</v>
      </c>
      <c r="N1422" s="3" t="n">
        <v>39543.77</v>
      </c>
      <c r="O1422" s="3" t="n">
        <v>456613.98</v>
      </c>
      <c r="P1422" s="3" t="n">
        <v>307617.8</v>
      </c>
      <c r="Q1422" s="3" t="n">
        <v>148996.18</v>
      </c>
      <c r="R1422" s="3" t="n">
        <v>0.3263</v>
      </c>
      <c r="S1422" s="3" t="n">
        <v>0.074</v>
      </c>
      <c r="T1422" s="3" t="n">
        <v>0.0057</v>
      </c>
    </row>
    <row r="1423" customFormat="false" ht="15" hidden="false" customHeight="true" outlineLevel="0" collapsed="false">
      <c r="A1423" s="3" t="s">
        <v>2297</v>
      </c>
      <c r="B1423" s="3" t="s">
        <v>1578</v>
      </c>
      <c r="C1423" s="3" t="s">
        <v>126</v>
      </c>
      <c r="D1423" s="3" t="s">
        <v>47</v>
      </c>
      <c r="E1423" s="3" t="s">
        <v>48</v>
      </c>
      <c r="F1423" s="3" t="s">
        <v>25</v>
      </c>
      <c r="G1423" s="3" t="s">
        <v>100</v>
      </c>
      <c r="H1423" s="3" t="s">
        <v>42</v>
      </c>
      <c r="I1423" s="3" t="s">
        <v>72</v>
      </c>
      <c r="J1423" s="3" t="n">
        <v>14</v>
      </c>
      <c r="K1423" s="3" t="n">
        <v>3086.56</v>
      </c>
      <c r="L1423" s="3" t="n">
        <v>43211.84</v>
      </c>
      <c r="M1423" s="3" t="n">
        <v>0.1361</v>
      </c>
      <c r="N1423" s="3" t="n">
        <v>5881.13</v>
      </c>
      <c r="O1423" s="3" t="n">
        <v>37330.71</v>
      </c>
      <c r="P1423" s="3" t="n">
        <v>23766.51</v>
      </c>
      <c r="Q1423" s="3" t="n">
        <v>13564.2</v>
      </c>
      <c r="R1423" s="3" t="n">
        <v>0.3634</v>
      </c>
      <c r="S1423" s="3" t="n">
        <v>0.1132</v>
      </c>
      <c r="T1423" s="3" t="n">
        <v>0.0229</v>
      </c>
    </row>
    <row r="1424" customFormat="false" ht="15" hidden="false" customHeight="true" outlineLevel="0" collapsed="false">
      <c r="A1424" s="3" t="s">
        <v>2298</v>
      </c>
      <c r="B1424" s="3" t="s">
        <v>2299</v>
      </c>
      <c r="C1424" s="3" t="s">
        <v>22</v>
      </c>
      <c r="D1424" s="3" t="s">
        <v>69</v>
      </c>
      <c r="E1424" s="3" t="s">
        <v>39</v>
      </c>
      <c r="F1424" s="3" t="s">
        <v>70</v>
      </c>
      <c r="G1424" s="3" t="s">
        <v>26</v>
      </c>
      <c r="H1424" s="3" t="s">
        <v>64</v>
      </c>
      <c r="I1424" s="3" t="s">
        <v>145</v>
      </c>
      <c r="J1424" s="3" t="n">
        <v>47</v>
      </c>
      <c r="K1424" s="3" t="n">
        <v>7317.14</v>
      </c>
      <c r="L1424" s="3" t="n">
        <v>343905.58</v>
      </c>
      <c r="M1424" s="3" t="n">
        <v>0.0596</v>
      </c>
      <c r="N1424" s="3" t="n">
        <v>20496.77</v>
      </c>
      <c r="O1424" s="3" t="n">
        <v>323408.81</v>
      </c>
      <c r="P1424" s="3" t="n">
        <v>199465.24</v>
      </c>
      <c r="Q1424" s="3" t="n">
        <v>123943.57</v>
      </c>
      <c r="R1424" s="3" t="n">
        <v>0.3832</v>
      </c>
      <c r="S1424" s="3" t="n">
        <v>0.0617</v>
      </c>
      <c r="T1424" s="3" t="n">
        <v>-0.0021</v>
      </c>
    </row>
    <row r="1425" customFormat="false" ht="15" hidden="false" customHeight="true" outlineLevel="0" collapsed="false">
      <c r="A1425" s="3" t="s">
        <v>2300</v>
      </c>
      <c r="B1425" s="3" t="s">
        <v>844</v>
      </c>
      <c r="C1425" s="3" t="s">
        <v>37</v>
      </c>
      <c r="D1425" s="3" t="s">
        <v>47</v>
      </c>
      <c r="E1425" s="3" t="s">
        <v>48</v>
      </c>
      <c r="F1425" s="3" t="s">
        <v>25</v>
      </c>
      <c r="G1425" s="3" t="s">
        <v>76</v>
      </c>
      <c r="H1425" s="3" t="s">
        <v>77</v>
      </c>
      <c r="I1425" s="3" t="s">
        <v>131</v>
      </c>
      <c r="J1425" s="3" t="n">
        <v>38</v>
      </c>
      <c r="K1425" s="3" t="n">
        <v>5937.26</v>
      </c>
      <c r="L1425" s="3" t="n">
        <v>225615.88</v>
      </c>
      <c r="M1425" s="3" t="n">
        <v>0.0969</v>
      </c>
      <c r="N1425" s="3" t="n">
        <v>21862.18</v>
      </c>
      <c r="O1425" s="3" t="n">
        <v>203753.7</v>
      </c>
      <c r="P1425" s="3" t="n">
        <v>153418.8</v>
      </c>
      <c r="Q1425" s="3" t="n">
        <v>50334.9</v>
      </c>
      <c r="R1425" s="3" t="n">
        <v>0.247</v>
      </c>
      <c r="S1425" s="3" t="n">
        <v>0.0855</v>
      </c>
      <c r="T1425" s="3" t="n">
        <v>0.0114</v>
      </c>
    </row>
    <row r="1426" customFormat="false" ht="15" hidden="false" customHeight="true" outlineLevel="0" collapsed="false">
      <c r="A1426" s="3" t="s">
        <v>2301</v>
      </c>
      <c r="B1426" s="3" t="s">
        <v>1116</v>
      </c>
      <c r="C1426" s="3" t="s">
        <v>31</v>
      </c>
      <c r="D1426" s="3" t="s">
        <v>103</v>
      </c>
      <c r="E1426" s="3" t="s">
        <v>24</v>
      </c>
      <c r="F1426" s="3" t="s">
        <v>62</v>
      </c>
      <c r="G1426" s="3" t="s">
        <v>116</v>
      </c>
      <c r="H1426" s="3" t="s">
        <v>77</v>
      </c>
      <c r="I1426" s="3" t="s">
        <v>78</v>
      </c>
      <c r="J1426" s="3" t="n">
        <v>48</v>
      </c>
      <c r="K1426" s="3" t="n">
        <v>3464.84</v>
      </c>
      <c r="L1426" s="3" t="n">
        <v>166312.32</v>
      </c>
      <c r="M1426" s="3" t="n">
        <v>0.0928</v>
      </c>
      <c r="N1426" s="3" t="n">
        <v>15433.78</v>
      </c>
      <c r="O1426" s="3" t="n">
        <v>150878.54</v>
      </c>
      <c r="P1426" s="3" t="n">
        <v>113092.38</v>
      </c>
      <c r="Q1426" s="3" t="n">
        <v>37786.16</v>
      </c>
      <c r="R1426" s="3" t="n">
        <v>0.2504</v>
      </c>
      <c r="S1426" s="3" t="n">
        <v>0.0972</v>
      </c>
      <c r="T1426" s="3" t="n">
        <v>-0.0044</v>
      </c>
    </row>
    <row r="1427" customFormat="false" ht="15" hidden="false" customHeight="true" outlineLevel="0" collapsed="false">
      <c r="A1427" s="3" t="s">
        <v>2302</v>
      </c>
      <c r="B1427" s="3" t="s">
        <v>440</v>
      </c>
      <c r="C1427" s="3" t="s">
        <v>53</v>
      </c>
      <c r="D1427" s="3" t="s">
        <v>75</v>
      </c>
      <c r="E1427" s="3" t="s">
        <v>39</v>
      </c>
      <c r="F1427" s="3" t="s">
        <v>25</v>
      </c>
      <c r="G1427" s="3" t="s">
        <v>55</v>
      </c>
      <c r="H1427" s="3" t="s">
        <v>56</v>
      </c>
      <c r="I1427" s="3" t="s">
        <v>57</v>
      </c>
      <c r="J1427" s="3" t="n">
        <v>6</v>
      </c>
      <c r="K1427" s="3" t="n">
        <v>5199.91</v>
      </c>
      <c r="L1427" s="3" t="n">
        <v>31199.46</v>
      </c>
      <c r="M1427" s="3" t="n">
        <v>0.1181</v>
      </c>
      <c r="N1427" s="3" t="n">
        <v>3684.66</v>
      </c>
      <c r="O1427" s="3" t="n">
        <v>27514.8</v>
      </c>
      <c r="P1427" s="3" t="n">
        <v>18719.68</v>
      </c>
      <c r="Q1427" s="3" t="n">
        <v>8795.12</v>
      </c>
      <c r="R1427" s="3" t="n">
        <v>0.3197</v>
      </c>
      <c r="S1427" s="3" t="n">
        <v>0.1142</v>
      </c>
      <c r="T1427" s="3" t="n">
        <v>0.0039</v>
      </c>
    </row>
    <row r="1428" customFormat="false" ht="15" hidden="false" customHeight="true" outlineLevel="0" collapsed="false">
      <c r="A1428" s="3" t="s">
        <v>2303</v>
      </c>
      <c r="B1428" s="3" t="s">
        <v>931</v>
      </c>
      <c r="C1428" s="3" t="s">
        <v>46</v>
      </c>
      <c r="D1428" s="3" t="s">
        <v>54</v>
      </c>
      <c r="E1428" s="3" t="s">
        <v>24</v>
      </c>
      <c r="F1428" s="3" t="s">
        <v>40</v>
      </c>
      <c r="G1428" s="3" t="s">
        <v>116</v>
      </c>
      <c r="H1428" s="3" t="s">
        <v>27</v>
      </c>
      <c r="I1428" s="3" t="s">
        <v>117</v>
      </c>
      <c r="J1428" s="3" t="n">
        <v>45</v>
      </c>
      <c r="K1428" s="3" t="n">
        <v>35863.21</v>
      </c>
      <c r="L1428" s="3" t="n">
        <v>1613844.45</v>
      </c>
      <c r="M1428" s="3" t="n">
        <v>0.0981</v>
      </c>
      <c r="N1428" s="3" t="n">
        <v>158318.14</v>
      </c>
      <c r="O1428" s="3" t="n">
        <v>1455526.31</v>
      </c>
      <c r="P1428" s="3" t="n">
        <v>1000583.56</v>
      </c>
      <c r="Q1428" s="3" t="n">
        <v>454942.75</v>
      </c>
      <c r="R1428" s="3" t="n">
        <v>0.3126</v>
      </c>
      <c r="S1428" s="3" t="n">
        <v>0.1051</v>
      </c>
      <c r="T1428" s="3" t="n">
        <v>-0.007</v>
      </c>
    </row>
    <row r="1429" customFormat="false" ht="15" hidden="false" customHeight="true" outlineLevel="0" collapsed="false">
      <c r="A1429" s="3" t="s">
        <v>2304</v>
      </c>
      <c r="B1429" s="3" t="s">
        <v>1008</v>
      </c>
      <c r="C1429" s="3" t="s">
        <v>113</v>
      </c>
      <c r="D1429" s="3" t="s">
        <v>83</v>
      </c>
      <c r="E1429" s="3" t="s">
        <v>48</v>
      </c>
      <c r="F1429" s="3" t="s">
        <v>62</v>
      </c>
      <c r="G1429" s="3" t="s">
        <v>49</v>
      </c>
      <c r="H1429" s="3" t="s">
        <v>64</v>
      </c>
      <c r="I1429" s="3" t="s">
        <v>108</v>
      </c>
      <c r="J1429" s="3" t="n">
        <v>30</v>
      </c>
      <c r="K1429" s="3" t="n">
        <v>7214.94</v>
      </c>
      <c r="L1429" s="3" t="n">
        <v>216448.2</v>
      </c>
      <c r="M1429" s="3" t="n">
        <v>0.0481</v>
      </c>
      <c r="N1429" s="3" t="n">
        <v>10411.16</v>
      </c>
      <c r="O1429" s="3" t="n">
        <v>206037.04</v>
      </c>
      <c r="P1429" s="3" t="n">
        <v>125539.96</v>
      </c>
      <c r="Q1429" s="3" t="n">
        <v>80497.08</v>
      </c>
      <c r="R1429" s="3" t="n">
        <v>0.3907</v>
      </c>
      <c r="S1429" s="3" t="n">
        <v>0.0483</v>
      </c>
      <c r="T1429" s="3" t="n">
        <v>-0.0002</v>
      </c>
    </row>
    <row r="1430" customFormat="false" ht="15" hidden="false" customHeight="true" outlineLevel="0" collapsed="false">
      <c r="A1430" s="3" t="s">
        <v>2305</v>
      </c>
      <c r="B1430" s="3" t="s">
        <v>939</v>
      </c>
      <c r="C1430" s="3" t="s">
        <v>31</v>
      </c>
      <c r="D1430" s="3" t="s">
        <v>97</v>
      </c>
      <c r="E1430" s="3" t="s">
        <v>48</v>
      </c>
      <c r="F1430" s="3" t="s">
        <v>40</v>
      </c>
      <c r="G1430" s="3" t="s">
        <v>55</v>
      </c>
      <c r="H1430" s="3" t="s">
        <v>42</v>
      </c>
      <c r="I1430" s="3" t="s">
        <v>134</v>
      </c>
      <c r="J1430" s="3" t="n">
        <v>2</v>
      </c>
      <c r="K1430" s="3" t="n">
        <v>3116.78</v>
      </c>
      <c r="L1430" s="3" t="n">
        <v>6233.56</v>
      </c>
      <c r="M1430" s="3" t="n">
        <v>0.037</v>
      </c>
      <c r="N1430" s="3" t="n">
        <v>230.64</v>
      </c>
      <c r="O1430" s="3" t="n">
        <v>6002.92</v>
      </c>
      <c r="P1430" s="3" t="n">
        <v>3428.46</v>
      </c>
      <c r="Q1430" s="3" t="n">
        <v>2574.46</v>
      </c>
      <c r="R1430" s="3" t="n">
        <v>0.4289</v>
      </c>
      <c r="S1430" s="3" t="n">
        <v>0.0344</v>
      </c>
      <c r="T1430" s="3" t="n">
        <v>0.0026</v>
      </c>
    </row>
    <row r="1431" customFormat="false" ht="15" hidden="false" customHeight="true" outlineLevel="0" collapsed="false">
      <c r="A1431" s="3" t="s">
        <v>2306</v>
      </c>
      <c r="B1431" s="3" t="s">
        <v>1866</v>
      </c>
      <c r="C1431" s="3" t="s">
        <v>156</v>
      </c>
      <c r="D1431" s="3" t="s">
        <v>83</v>
      </c>
      <c r="E1431" s="3" t="s">
        <v>48</v>
      </c>
      <c r="F1431" s="3" t="s">
        <v>62</v>
      </c>
      <c r="G1431" s="3" t="s">
        <v>104</v>
      </c>
      <c r="H1431" s="3" t="s">
        <v>27</v>
      </c>
      <c r="I1431" s="3" t="s">
        <v>94</v>
      </c>
      <c r="J1431" s="3" t="n">
        <v>33</v>
      </c>
      <c r="K1431" s="3" t="n">
        <v>37215.43</v>
      </c>
      <c r="L1431" s="3" t="n">
        <v>1228109.19</v>
      </c>
      <c r="M1431" s="3" t="n">
        <v>0.0913</v>
      </c>
      <c r="N1431" s="3" t="n">
        <v>112126.37</v>
      </c>
      <c r="O1431" s="3" t="n">
        <v>1115982.82</v>
      </c>
      <c r="P1431" s="3" t="n">
        <v>761427.7</v>
      </c>
      <c r="Q1431" s="3" t="n">
        <v>354555.12</v>
      </c>
      <c r="R1431" s="3" t="n">
        <v>0.3177</v>
      </c>
      <c r="S1431" s="3" t="n">
        <v>0.0993</v>
      </c>
      <c r="T1431" s="3" t="n">
        <v>-0.008</v>
      </c>
    </row>
    <row r="1432" customFormat="false" ht="15" hidden="false" customHeight="true" outlineLevel="0" collapsed="false">
      <c r="A1432" s="3" t="s">
        <v>2307</v>
      </c>
      <c r="B1432" s="3" t="s">
        <v>372</v>
      </c>
      <c r="C1432" s="3" t="s">
        <v>22</v>
      </c>
      <c r="D1432" s="3" t="s">
        <v>103</v>
      </c>
      <c r="E1432" s="3" t="s">
        <v>24</v>
      </c>
      <c r="F1432" s="3" t="s">
        <v>62</v>
      </c>
      <c r="G1432" s="3" t="s">
        <v>76</v>
      </c>
      <c r="H1432" s="3" t="s">
        <v>56</v>
      </c>
      <c r="I1432" s="3" t="s">
        <v>57</v>
      </c>
      <c r="J1432" s="3" t="n">
        <v>41</v>
      </c>
      <c r="K1432" s="3" t="n">
        <v>11197.05</v>
      </c>
      <c r="L1432" s="3" t="n">
        <v>459079.05</v>
      </c>
      <c r="M1432" s="3" t="n">
        <v>0.0334</v>
      </c>
      <c r="N1432" s="3" t="n">
        <v>15333.24</v>
      </c>
      <c r="O1432" s="3" t="n">
        <v>443745.81</v>
      </c>
      <c r="P1432" s="3" t="n">
        <v>275447.43</v>
      </c>
      <c r="Q1432" s="3" t="n">
        <v>168298.38</v>
      </c>
      <c r="R1432" s="3" t="n">
        <v>0.3793</v>
      </c>
      <c r="S1432" s="3" t="n">
        <v>0.0323</v>
      </c>
      <c r="T1432" s="3" t="n">
        <v>0.0011</v>
      </c>
    </row>
    <row r="1433" customFormat="false" ht="15" hidden="false" customHeight="true" outlineLevel="0" collapsed="false">
      <c r="A1433" s="3" t="s">
        <v>2308</v>
      </c>
      <c r="B1433" s="3" t="s">
        <v>1435</v>
      </c>
      <c r="C1433" s="3" t="s">
        <v>113</v>
      </c>
      <c r="D1433" s="3" t="s">
        <v>107</v>
      </c>
      <c r="E1433" s="3" t="s">
        <v>33</v>
      </c>
      <c r="F1433" s="3" t="s">
        <v>70</v>
      </c>
      <c r="G1433" s="3" t="s">
        <v>41</v>
      </c>
      <c r="H1433" s="3" t="s">
        <v>27</v>
      </c>
      <c r="I1433" s="3" t="s">
        <v>94</v>
      </c>
      <c r="J1433" s="3" t="n">
        <v>6</v>
      </c>
      <c r="K1433" s="3" t="n">
        <v>33554.91</v>
      </c>
      <c r="L1433" s="3" t="n">
        <v>201329.46</v>
      </c>
      <c r="M1433" s="3" t="n">
        <v>0.0974</v>
      </c>
      <c r="N1433" s="3" t="n">
        <v>19609.49</v>
      </c>
      <c r="O1433" s="3" t="n">
        <v>181719.97</v>
      </c>
      <c r="P1433" s="3" t="n">
        <v>124824.27</v>
      </c>
      <c r="Q1433" s="3" t="n">
        <v>56895.7</v>
      </c>
      <c r="R1433" s="3" t="n">
        <v>0.3131</v>
      </c>
      <c r="S1433" s="3" t="n">
        <v>0.0999</v>
      </c>
      <c r="T1433" s="3" t="n">
        <v>-0.0025</v>
      </c>
    </row>
    <row r="1434" customFormat="false" ht="15" hidden="false" customHeight="true" outlineLevel="0" collapsed="false">
      <c r="A1434" s="3" t="s">
        <v>2309</v>
      </c>
      <c r="B1434" s="3" t="s">
        <v>944</v>
      </c>
      <c r="C1434" s="3" t="s">
        <v>113</v>
      </c>
      <c r="D1434" s="3" t="s">
        <v>23</v>
      </c>
      <c r="E1434" s="3" t="s">
        <v>24</v>
      </c>
      <c r="F1434" s="3" t="s">
        <v>25</v>
      </c>
      <c r="G1434" s="3" t="s">
        <v>84</v>
      </c>
      <c r="H1434" s="3" t="s">
        <v>77</v>
      </c>
      <c r="I1434" s="3" t="s">
        <v>78</v>
      </c>
      <c r="J1434" s="3" t="n">
        <v>48</v>
      </c>
      <c r="K1434" s="3" t="n">
        <v>3366.19</v>
      </c>
      <c r="L1434" s="3" t="n">
        <v>161577.12</v>
      </c>
      <c r="M1434" s="3" t="n">
        <v>0.104</v>
      </c>
      <c r="N1434" s="3" t="n">
        <v>16804.02</v>
      </c>
      <c r="O1434" s="3" t="n">
        <v>144773.1</v>
      </c>
      <c r="P1434" s="3" t="n">
        <v>109872.44</v>
      </c>
      <c r="Q1434" s="3" t="n">
        <v>34900.66</v>
      </c>
      <c r="R1434" s="3" t="n">
        <v>0.2411</v>
      </c>
      <c r="S1434" s="3" t="n">
        <v>0.1035</v>
      </c>
      <c r="T1434" s="3" t="n">
        <v>0.0005</v>
      </c>
    </row>
    <row r="1435" customFormat="false" ht="15" hidden="false" customHeight="true" outlineLevel="0" collapsed="false">
      <c r="A1435" s="3" t="s">
        <v>2310</v>
      </c>
      <c r="B1435" s="3" t="s">
        <v>781</v>
      </c>
      <c r="C1435" s="3" t="s">
        <v>31</v>
      </c>
      <c r="D1435" s="3" t="s">
        <v>103</v>
      </c>
      <c r="E1435" s="3" t="s">
        <v>24</v>
      </c>
      <c r="F1435" s="3" t="s">
        <v>62</v>
      </c>
      <c r="G1435" s="3" t="s">
        <v>26</v>
      </c>
      <c r="H1435" s="3" t="s">
        <v>77</v>
      </c>
      <c r="I1435" s="3" t="s">
        <v>85</v>
      </c>
      <c r="J1435" s="3" t="n">
        <v>28</v>
      </c>
      <c r="K1435" s="3" t="n">
        <v>4749.4</v>
      </c>
      <c r="L1435" s="3" t="n">
        <v>132983.2</v>
      </c>
      <c r="M1435" s="3" t="n">
        <v>0.0745</v>
      </c>
      <c r="N1435" s="3" t="n">
        <v>9907.25</v>
      </c>
      <c r="O1435" s="3" t="n">
        <v>123075.95</v>
      </c>
      <c r="P1435" s="3" t="n">
        <v>90428.58</v>
      </c>
      <c r="Q1435" s="3" t="n">
        <v>32647.37</v>
      </c>
      <c r="R1435" s="3" t="n">
        <v>0.2653</v>
      </c>
      <c r="S1435" s="3" t="n">
        <v>0.0724</v>
      </c>
      <c r="T1435" s="3" t="n">
        <v>0.0021</v>
      </c>
    </row>
    <row r="1436" customFormat="false" ht="15" hidden="false" customHeight="true" outlineLevel="0" collapsed="false">
      <c r="A1436" s="3" t="s">
        <v>2311</v>
      </c>
      <c r="B1436" s="3" t="s">
        <v>593</v>
      </c>
      <c r="C1436" s="3" t="s">
        <v>37</v>
      </c>
      <c r="D1436" s="3" t="s">
        <v>32</v>
      </c>
      <c r="E1436" s="3" t="s">
        <v>33</v>
      </c>
      <c r="F1436" s="3" t="s">
        <v>25</v>
      </c>
      <c r="G1436" s="3" t="s">
        <v>104</v>
      </c>
      <c r="H1436" s="3" t="s">
        <v>56</v>
      </c>
      <c r="I1436" s="3" t="s">
        <v>57</v>
      </c>
      <c r="J1436" s="3" t="n">
        <v>21</v>
      </c>
      <c r="K1436" s="3" t="n">
        <v>2136.61</v>
      </c>
      <c r="L1436" s="3" t="n">
        <v>44868.81</v>
      </c>
      <c r="M1436" s="3" t="n">
        <v>0.141</v>
      </c>
      <c r="N1436" s="3" t="n">
        <v>6326.5</v>
      </c>
      <c r="O1436" s="3" t="n">
        <v>38542.31</v>
      </c>
      <c r="P1436" s="3" t="n">
        <v>26921.29</v>
      </c>
      <c r="Q1436" s="3" t="n">
        <v>11621.02</v>
      </c>
      <c r="R1436" s="3" t="n">
        <v>0.3015</v>
      </c>
      <c r="S1436" s="3" t="n">
        <v>0.1353</v>
      </c>
      <c r="T1436" s="3" t="n">
        <v>0.0057</v>
      </c>
    </row>
    <row r="1437" customFormat="false" ht="15" hidden="false" customHeight="true" outlineLevel="0" collapsed="false">
      <c r="A1437" s="3" t="s">
        <v>2312</v>
      </c>
      <c r="B1437" s="3" t="s">
        <v>358</v>
      </c>
      <c r="C1437" s="3" t="s">
        <v>126</v>
      </c>
      <c r="D1437" s="3" t="s">
        <v>23</v>
      </c>
      <c r="E1437" s="3" t="s">
        <v>24</v>
      </c>
      <c r="F1437" s="3" t="s">
        <v>25</v>
      </c>
      <c r="G1437" s="3" t="s">
        <v>26</v>
      </c>
      <c r="H1437" s="3" t="s">
        <v>64</v>
      </c>
      <c r="I1437" s="3" t="s">
        <v>145</v>
      </c>
      <c r="J1437" s="3" t="n">
        <v>10</v>
      </c>
      <c r="K1437" s="3" t="n">
        <v>10805.19</v>
      </c>
      <c r="L1437" s="3" t="n">
        <v>108051.9</v>
      </c>
      <c r="M1437" s="3" t="n">
        <v>0.0913</v>
      </c>
      <c r="N1437" s="3" t="n">
        <v>9865.14</v>
      </c>
      <c r="O1437" s="3" t="n">
        <v>98186.76</v>
      </c>
      <c r="P1437" s="3" t="n">
        <v>62670.1</v>
      </c>
      <c r="Q1437" s="3" t="n">
        <v>35516.66</v>
      </c>
      <c r="R1437" s="3" t="n">
        <v>0.3617</v>
      </c>
      <c r="S1437" s="3" t="n">
        <v>0.078</v>
      </c>
      <c r="T1437" s="3" t="n">
        <v>0.0133</v>
      </c>
    </row>
    <row r="1438" customFormat="false" ht="15" hidden="false" customHeight="true" outlineLevel="0" collapsed="false">
      <c r="A1438" s="3" t="s">
        <v>2313</v>
      </c>
      <c r="B1438" s="3" t="s">
        <v>304</v>
      </c>
      <c r="C1438" s="3" t="s">
        <v>53</v>
      </c>
      <c r="D1438" s="3" t="s">
        <v>32</v>
      </c>
      <c r="E1438" s="3" t="s">
        <v>33</v>
      </c>
      <c r="F1438" s="3" t="s">
        <v>25</v>
      </c>
      <c r="G1438" s="3" t="s">
        <v>104</v>
      </c>
      <c r="H1438" s="3" t="s">
        <v>56</v>
      </c>
      <c r="I1438" s="3" t="s">
        <v>121</v>
      </c>
      <c r="J1438" s="3" t="n">
        <v>35</v>
      </c>
      <c r="K1438" s="3" t="n">
        <v>14471.41</v>
      </c>
      <c r="L1438" s="3" t="n">
        <v>506499.35</v>
      </c>
      <c r="M1438" s="3" t="n">
        <v>0.1478</v>
      </c>
      <c r="N1438" s="3" t="n">
        <v>74860.6</v>
      </c>
      <c r="O1438" s="3" t="n">
        <v>431638.75</v>
      </c>
      <c r="P1438" s="3" t="n">
        <v>303899.61</v>
      </c>
      <c r="Q1438" s="3" t="n">
        <v>127739.14</v>
      </c>
      <c r="R1438" s="3" t="n">
        <v>0.2959</v>
      </c>
      <c r="S1438" s="3" t="n">
        <v>0.1474</v>
      </c>
      <c r="T1438" s="3" t="n">
        <v>0.0004</v>
      </c>
    </row>
    <row r="1439" customFormat="false" ht="15" hidden="false" customHeight="true" outlineLevel="0" collapsed="false">
      <c r="A1439" s="3" t="s">
        <v>2314</v>
      </c>
      <c r="B1439" s="3" t="s">
        <v>559</v>
      </c>
      <c r="C1439" s="3" t="s">
        <v>113</v>
      </c>
      <c r="D1439" s="3" t="s">
        <v>69</v>
      </c>
      <c r="E1439" s="3" t="s">
        <v>39</v>
      </c>
      <c r="F1439" s="3" t="s">
        <v>70</v>
      </c>
      <c r="G1439" s="3" t="s">
        <v>63</v>
      </c>
      <c r="H1439" s="3" t="s">
        <v>42</v>
      </c>
      <c r="I1439" s="3" t="s">
        <v>43</v>
      </c>
      <c r="J1439" s="3" t="n">
        <v>15</v>
      </c>
      <c r="K1439" s="3" t="n">
        <v>3968.51</v>
      </c>
      <c r="L1439" s="3" t="n">
        <v>59527.65</v>
      </c>
      <c r="M1439" s="3" t="n">
        <v>0.0768</v>
      </c>
      <c r="N1439" s="3" t="n">
        <v>4571.72</v>
      </c>
      <c r="O1439" s="3" t="n">
        <v>54955.93</v>
      </c>
      <c r="P1439" s="3" t="n">
        <v>32740.21</v>
      </c>
      <c r="Q1439" s="3" t="n">
        <v>22215.72</v>
      </c>
      <c r="R1439" s="3" t="n">
        <v>0.4042</v>
      </c>
      <c r="S1439" s="3" t="n">
        <v>0.0793</v>
      </c>
      <c r="T1439" s="3" t="n">
        <v>-0.0025</v>
      </c>
    </row>
    <row r="1440" customFormat="false" ht="15" hidden="false" customHeight="true" outlineLevel="0" collapsed="false">
      <c r="A1440" s="3" t="s">
        <v>2315</v>
      </c>
      <c r="B1440" s="3" t="s">
        <v>1060</v>
      </c>
      <c r="C1440" s="3" t="s">
        <v>113</v>
      </c>
      <c r="D1440" s="3" t="s">
        <v>32</v>
      </c>
      <c r="E1440" s="3" t="s">
        <v>33</v>
      </c>
      <c r="F1440" s="3" t="s">
        <v>25</v>
      </c>
      <c r="G1440" s="3" t="s">
        <v>116</v>
      </c>
      <c r="H1440" s="3" t="s">
        <v>64</v>
      </c>
      <c r="I1440" s="3" t="s">
        <v>90</v>
      </c>
      <c r="J1440" s="3" t="n">
        <v>25</v>
      </c>
      <c r="K1440" s="3" t="n">
        <v>10507.42</v>
      </c>
      <c r="L1440" s="3" t="n">
        <v>262685.5</v>
      </c>
      <c r="M1440" s="3" t="n">
        <v>0.1948</v>
      </c>
      <c r="N1440" s="3" t="n">
        <v>51171.14</v>
      </c>
      <c r="O1440" s="3" t="n">
        <v>211514.36</v>
      </c>
      <c r="P1440" s="3" t="n">
        <v>152357.59</v>
      </c>
      <c r="Q1440" s="3" t="n">
        <v>59156.77</v>
      </c>
      <c r="R1440" s="3" t="n">
        <v>0.2797</v>
      </c>
      <c r="S1440" s="3" t="n">
        <v>0.1781</v>
      </c>
      <c r="T1440" s="3" t="n">
        <v>0.0167</v>
      </c>
    </row>
    <row r="1441" customFormat="false" ht="15" hidden="false" customHeight="true" outlineLevel="0" collapsed="false">
      <c r="A1441" s="3" t="s">
        <v>2316</v>
      </c>
      <c r="B1441" s="3" t="s">
        <v>977</v>
      </c>
      <c r="C1441" s="3" t="s">
        <v>60</v>
      </c>
      <c r="D1441" s="3" t="s">
        <v>83</v>
      </c>
      <c r="E1441" s="3" t="s">
        <v>48</v>
      </c>
      <c r="F1441" s="3" t="s">
        <v>62</v>
      </c>
      <c r="G1441" s="3" t="s">
        <v>34</v>
      </c>
      <c r="H1441" s="3" t="s">
        <v>77</v>
      </c>
      <c r="I1441" s="3" t="s">
        <v>78</v>
      </c>
      <c r="J1441" s="3" t="n">
        <v>25</v>
      </c>
      <c r="K1441" s="3" t="n">
        <v>2187.03</v>
      </c>
      <c r="L1441" s="3" t="n">
        <v>54675.75</v>
      </c>
      <c r="M1441" s="3" t="n">
        <v>0.0845</v>
      </c>
      <c r="N1441" s="3" t="n">
        <v>4620.1</v>
      </c>
      <c r="O1441" s="3" t="n">
        <v>50055.65</v>
      </c>
      <c r="P1441" s="3" t="n">
        <v>37179.51</v>
      </c>
      <c r="Q1441" s="3" t="n">
        <v>12876.14</v>
      </c>
      <c r="R1441" s="3" t="n">
        <v>0.2572</v>
      </c>
      <c r="S1441" s="3" t="n">
        <v>0.0804</v>
      </c>
      <c r="T1441" s="3" t="n">
        <v>0.0041</v>
      </c>
    </row>
    <row r="1442" customFormat="false" ht="15" hidden="false" customHeight="true" outlineLevel="0" collapsed="false">
      <c r="A1442" s="3" t="s">
        <v>2317</v>
      </c>
      <c r="B1442" s="3" t="s">
        <v>2318</v>
      </c>
      <c r="C1442" s="3" t="s">
        <v>46</v>
      </c>
      <c r="D1442" s="3" t="s">
        <v>38</v>
      </c>
      <c r="E1442" s="3" t="s">
        <v>39</v>
      </c>
      <c r="F1442" s="3" t="s">
        <v>40</v>
      </c>
      <c r="G1442" s="3" t="s">
        <v>41</v>
      </c>
      <c r="H1442" s="3" t="s">
        <v>56</v>
      </c>
      <c r="I1442" s="3" t="s">
        <v>188</v>
      </c>
      <c r="J1442" s="3" t="n">
        <v>8</v>
      </c>
      <c r="K1442" s="3" t="n">
        <v>14105.7</v>
      </c>
      <c r="L1442" s="3" t="n">
        <v>112845.6</v>
      </c>
      <c r="M1442" s="3" t="n">
        <v>0.1267</v>
      </c>
      <c r="N1442" s="3" t="n">
        <v>14297.54</v>
      </c>
      <c r="O1442" s="3" t="n">
        <v>98548.06</v>
      </c>
      <c r="P1442" s="3" t="n">
        <v>67707.36</v>
      </c>
      <c r="Q1442" s="3" t="n">
        <v>30840.7</v>
      </c>
      <c r="R1442" s="3" t="n">
        <v>0.313</v>
      </c>
      <c r="S1442" s="3" t="n">
        <v>0.1298</v>
      </c>
      <c r="T1442" s="3" t="n">
        <v>-0.0031</v>
      </c>
    </row>
    <row r="1443" customFormat="false" ht="15" hidden="false" customHeight="true" outlineLevel="0" collapsed="false">
      <c r="A1443" s="3" t="s">
        <v>2319</v>
      </c>
      <c r="B1443" s="3" t="s">
        <v>2320</v>
      </c>
      <c r="C1443" s="3" t="s">
        <v>120</v>
      </c>
      <c r="D1443" s="3" t="s">
        <v>103</v>
      </c>
      <c r="E1443" s="3" t="s">
        <v>24</v>
      </c>
      <c r="F1443" s="3" t="s">
        <v>62</v>
      </c>
      <c r="G1443" s="3" t="s">
        <v>34</v>
      </c>
      <c r="H1443" s="3" t="s">
        <v>77</v>
      </c>
      <c r="I1443" s="3" t="s">
        <v>131</v>
      </c>
      <c r="J1443" s="3" t="n">
        <v>33</v>
      </c>
      <c r="K1443" s="3" t="n">
        <v>5928.73</v>
      </c>
      <c r="L1443" s="3" t="n">
        <v>195648.09</v>
      </c>
      <c r="M1443" s="3" t="n">
        <v>0.0782</v>
      </c>
      <c r="N1443" s="3" t="n">
        <v>15299.68</v>
      </c>
      <c r="O1443" s="3" t="n">
        <v>180348.41</v>
      </c>
      <c r="P1443" s="3" t="n">
        <v>133040.7</v>
      </c>
      <c r="Q1443" s="3" t="n">
        <v>47307.71</v>
      </c>
      <c r="R1443" s="3" t="n">
        <v>0.2623</v>
      </c>
      <c r="S1443" s="3" t="n">
        <v>0.0847</v>
      </c>
      <c r="T1443" s="3" t="n">
        <v>-0.0065</v>
      </c>
    </row>
    <row r="1444" customFormat="false" ht="15" hidden="false" customHeight="true" outlineLevel="0" collapsed="false">
      <c r="A1444" s="3" t="s">
        <v>2321</v>
      </c>
      <c r="B1444" s="3" t="s">
        <v>2322</v>
      </c>
      <c r="C1444" s="3" t="s">
        <v>22</v>
      </c>
      <c r="D1444" s="3" t="s">
        <v>32</v>
      </c>
      <c r="E1444" s="3" t="s">
        <v>33</v>
      </c>
      <c r="F1444" s="3" t="s">
        <v>25</v>
      </c>
      <c r="G1444" s="3" t="s">
        <v>63</v>
      </c>
      <c r="H1444" s="3" t="s">
        <v>27</v>
      </c>
      <c r="I1444" s="3" t="s">
        <v>173</v>
      </c>
      <c r="J1444" s="3" t="n">
        <v>7</v>
      </c>
      <c r="K1444" s="3" t="n">
        <v>20809.87</v>
      </c>
      <c r="L1444" s="3" t="n">
        <v>145669.09</v>
      </c>
      <c r="M1444" s="3" t="n">
        <v>0.1634</v>
      </c>
      <c r="N1444" s="3" t="n">
        <v>23802.33</v>
      </c>
      <c r="O1444" s="3" t="n">
        <v>121866.76</v>
      </c>
      <c r="P1444" s="3" t="n">
        <v>90314.84</v>
      </c>
      <c r="Q1444" s="3" t="n">
        <v>31551.92</v>
      </c>
      <c r="R1444" s="3" t="n">
        <v>0.2589</v>
      </c>
      <c r="S1444" s="3" t="n">
        <v>0.152</v>
      </c>
      <c r="T1444" s="3" t="n">
        <v>0.0114</v>
      </c>
    </row>
    <row r="1445" customFormat="false" ht="15" hidden="false" customHeight="true" outlineLevel="0" collapsed="false">
      <c r="A1445" s="3" t="s">
        <v>2323</v>
      </c>
      <c r="B1445" s="3" t="s">
        <v>545</v>
      </c>
      <c r="C1445" s="3" t="s">
        <v>156</v>
      </c>
      <c r="D1445" s="3" t="s">
        <v>23</v>
      </c>
      <c r="E1445" s="3" t="s">
        <v>24</v>
      </c>
      <c r="F1445" s="3" t="s">
        <v>25</v>
      </c>
      <c r="G1445" s="3" t="s">
        <v>26</v>
      </c>
      <c r="H1445" s="3" t="s">
        <v>42</v>
      </c>
      <c r="I1445" s="3" t="s">
        <v>43</v>
      </c>
      <c r="J1445" s="3" t="n">
        <v>42</v>
      </c>
      <c r="K1445" s="3" t="n">
        <v>795.58</v>
      </c>
      <c r="L1445" s="3" t="n">
        <v>33414.36</v>
      </c>
      <c r="M1445" s="3" t="n">
        <v>0.1806</v>
      </c>
      <c r="N1445" s="3" t="n">
        <v>6034.63</v>
      </c>
      <c r="O1445" s="3" t="n">
        <v>27379.73</v>
      </c>
      <c r="P1445" s="3" t="n">
        <v>18377.9</v>
      </c>
      <c r="Q1445" s="3" t="n">
        <v>9001.83</v>
      </c>
      <c r="R1445" s="3" t="n">
        <v>0.3288</v>
      </c>
      <c r="S1445" s="3" t="n">
        <v>0.196</v>
      </c>
      <c r="T1445" s="3" t="n">
        <v>-0.0154</v>
      </c>
    </row>
    <row r="1446" customFormat="false" ht="15" hidden="false" customHeight="true" outlineLevel="0" collapsed="false">
      <c r="A1446" s="3" t="s">
        <v>2324</v>
      </c>
      <c r="B1446" s="3" t="s">
        <v>2325</v>
      </c>
      <c r="C1446" s="3" t="s">
        <v>60</v>
      </c>
      <c r="D1446" s="3" t="s">
        <v>54</v>
      </c>
      <c r="E1446" s="3" t="s">
        <v>24</v>
      </c>
      <c r="F1446" s="3" t="s">
        <v>40</v>
      </c>
      <c r="G1446" s="3" t="s">
        <v>41</v>
      </c>
      <c r="H1446" s="3" t="s">
        <v>42</v>
      </c>
      <c r="I1446" s="3" t="s">
        <v>43</v>
      </c>
      <c r="J1446" s="3" t="n">
        <v>12</v>
      </c>
      <c r="K1446" s="3" t="n">
        <v>3465.95</v>
      </c>
      <c r="L1446" s="3" t="n">
        <v>41591.4</v>
      </c>
      <c r="M1446" s="3" t="n">
        <v>0.0833</v>
      </c>
      <c r="N1446" s="3" t="n">
        <v>3464.56</v>
      </c>
      <c r="O1446" s="3" t="n">
        <v>38126.84</v>
      </c>
      <c r="P1446" s="3" t="n">
        <v>22875.27</v>
      </c>
      <c r="Q1446" s="3" t="n">
        <v>15251.57</v>
      </c>
      <c r="R1446" s="3" t="n">
        <v>0.4</v>
      </c>
      <c r="S1446" s="3" t="n">
        <v>0.0702</v>
      </c>
      <c r="T1446" s="3" t="n">
        <v>0.0131</v>
      </c>
    </row>
    <row r="1447" customFormat="false" ht="15" hidden="false" customHeight="true" outlineLevel="0" collapsed="false">
      <c r="A1447" s="3" t="s">
        <v>2326</v>
      </c>
      <c r="B1447" s="3" t="s">
        <v>1941</v>
      </c>
      <c r="C1447" s="3" t="s">
        <v>46</v>
      </c>
      <c r="D1447" s="3" t="s">
        <v>83</v>
      </c>
      <c r="E1447" s="3" t="s">
        <v>48</v>
      </c>
      <c r="F1447" s="3" t="s">
        <v>62</v>
      </c>
      <c r="G1447" s="3" t="s">
        <v>55</v>
      </c>
      <c r="H1447" s="3" t="s">
        <v>27</v>
      </c>
      <c r="I1447" s="3" t="s">
        <v>28</v>
      </c>
      <c r="J1447" s="3" t="n">
        <v>48</v>
      </c>
      <c r="K1447" s="3" t="n">
        <v>33676.17</v>
      </c>
      <c r="L1447" s="3" t="n">
        <v>1616456.16</v>
      </c>
      <c r="M1447" s="3" t="n">
        <v>0.063</v>
      </c>
      <c r="N1447" s="3" t="n">
        <v>101836.74</v>
      </c>
      <c r="O1447" s="3" t="n">
        <v>1514619.42</v>
      </c>
      <c r="P1447" s="3" t="n">
        <v>1002202.82</v>
      </c>
      <c r="Q1447" s="3" t="n">
        <v>512416.6</v>
      </c>
      <c r="R1447" s="3" t="n">
        <v>0.3383</v>
      </c>
      <c r="S1447" s="3" t="n">
        <v>0.0621</v>
      </c>
      <c r="T1447" s="3" t="n">
        <v>0.0009</v>
      </c>
    </row>
    <row r="1448" customFormat="false" ht="15" hidden="false" customHeight="true" outlineLevel="0" collapsed="false">
      <c r="A1448" s="3" t="s">
        <v>2327</v>
      </c>
      <c r="B1448" s="3" t="s">
        <v>2328</v>
      </c>
      <c r="C1448" s="3" t="s">
        <v>120</v>
      </c>
      <c r="D1448" s="3" t="s">
        <v>75</v>
      </c>
      <c r="E1448" s="3" t="s">
        <v>39</v>
      </c>
      <c r="F1448" s="3" t="s">
        <v>25</v>
      </c>
      <c r="G1448" s="3" t="s">
        <v>41</v>
      </c>
      <c r="H1448" s="3" t="s">
        <v>77</v>
      </c>
      <c r="I1448" s="3" t="s">
        <v>131</v>
      </c>
      <c r="J1448" s="3" t="n">
        <v>10</v>
      </c>
      <c r="K1448" s="3" t="n">
        <v>5694.2</v>
      </c>
      <c r="L1448" s="3" t="n">
        <v>56942</v>
      </c>
      <c r="M1448" s="3" t="n">
        <v>0.1992</v>
      </c>
      <c r="N1448" s="3" t="n">
        <v>11342.85</v>
      </c>
      <c r="O1448" s="3" t="n">
        <v>45599.15</v>
      </c>
      <c r="P1448" s="3" t="n">
        <v>38720.56</v>
      </c>
      <c r="Q1448" s="3" t="n">
        <v>6878.59</v>
      </c>
      <c r="R1448" s="3" t="n">
        <v>0.1508</v>
      </c>
      <c r="S1448" s="3" t="n">
        <v>0.2064</v>
      </c>
      <c r="T1448" s="3" t="n">
        <v>-0.0072</v>
      </c>
    </row>
    <row r="1449" customFormat="false" ht="15" hidden="false" customHeight="true" outlineLevel="0" collapsed="false">
      <c r="A1449" s="3" t="s">
        <v>2329</v>
      </c>
      <c r="B1449" s="3" t="s">
        <v>2330</v>
      </c>
      <c r="C1449" s="3" t="s">
        <v>37</v>
      </c>
      <c r="D1449" s="3" t="s">
        <v>32</v>
      </c>
      <c r="E1449" s="3" t="s">
        <v>33</v>
      </c>
      <c r="F1449" s="3" t="s">
        <v>25</v>
      </c>
      <c r="G1449" s="3" t="s">
        <v>76</v>
      </c>
      <c r="H1449" s="3" t="s">
        <v>77</v>
      </c>
      <c r="I1449" s="3" t="s">
        <v>131</v>
      </c>
      <c r="J1449" s="3" t="n">
        <v>24</v>
      </c>
      <c r="K1449" s="3" t="n">
        <v>3137.54</v>
      </c>
      <c r="L1449" s="3" t="n">
        <v>75300.96</v>
      </c>
      <c r="M1449" s="3" t="n">
        <v>0.1367</v>
      </c>
      <c r="N1449" s="3" t="n">
        <v>10293.64</v>
      </c>
      <c r="O1449" s="3" t="n">
        <v>65007.32</v>
      </c>
      <c r="P1449" s="3" t="n">
        <v>51204.65</v>
      </c>
      <c r="Q1449" s="3" t="n">
        <v>13802.67</v>
      </c>
      <c r="R1449" s="3" t="n">
        <v>0.2123</v>
      </c>
      <c r="S1449" s="3" t="n">
        <v>0.1105</v>
      </c>
      <c r="T1449" s="3" t="n">
        <v>0.0262</v>
      </c>
    </row>
    <row r="1450" customFormat="false" ht="15" hidden="false" customHeight="true" outlineLevel="0" collapsed="false">
      <c r="A1450" s="3" t="s">
        <v>2331</v>
      </c>
      <c r="B1450" s="3" t="s">
        <v>2332</v>
      </c>
      <c r="C1450" s="3" t="s">
        <v>46</v>
      </c>
      <c r="D1450" s="3" t="s">
        <v>32</v>
      </c>
      <c r="E1450" s="3" t="s">
        <v>33</v>
      </c>
      <c r="F1450" s="3" t="s">
        <v>25</v>
      </c>
      <c r="G1450" s="3" t="s">
        <v>84</v>
      </c>
      <c r="H1450" s="3" t="s">
        <v>42</v>
      </c>
      <c r="I1450" s="3" t="s">
        <v>43</v>
      </c>
      <c r="J1450" s="3" t="n">
        <v>10</v>
      </c>
      <c r="K1450" s="3" t="n">
        <v>619.78</v>
      </c>
      <c r="L1450" s="3" t="n">
        <v>6197.8</v>
      </c>
      <c r="M1450" s="3" t="n">
        <v>0.1194</v>
      </c>
      <c r="N1450" s="3" t="n">
        <v>740.02</v>
      </c>
      <c r="O1450" s="3" t="n">
        <v>5457.78</v>
      </c>
      <c r="P1450" s="3" t="n">
        <v>3408.79</v>
      </c>
      <c r="Q1450" s="3" t="n">
        <v>2048.99</v>
      </c>
      <c r="R1450" s="3" t="n">
        <v>0.3754</v>
      </c>
      <c r="S1450" s="3" t="n">
        <v>0.1228</v>
      </c>
      <c r="T1450" s="3" t="n">
        <v>-0.0034</v>
      </c>
    </row>
    <row r="1451" customFormat="false" ht="15" hidden="false" customHeight="true" outlineLevel="0" collapsed="false">
      <c r="A1451" s="3" t="s">
        <v>2333</v>
      </c>
      <c r="B1451" s="3" t="s">
        <v>685</v>
      </c>
      <c r="C1451" s="3" t="s">
        <v>22</v>
      </c>
      <c r="D1451" s="3" t="s">
        <v>97</v>
      </c>
      <c r="E1451" s="3" t="s">
        <v>48</v>
      </c>
      <c r="F1451" s="3" t="s">
        <v>40</v>
      </c>
      <c r="G1451" s="3" t="s">
        <v>41</v>
      </c>
      <c r="H1451" s="3" t="s">
        <v>56</v>
      </c>
      <c r="I1451" s="3" t="s">
        <v>188</v>
      </c>
      <c r="J1451" s="3" t="n">
        <v>23</v>
      </c>
      <c r="K1451" s="3" t="n">
        <v>3601.84</v>
      </c>
      <c r="L1451" s="3" t="n">
        <v>82842.32</v>
      </c>
      <c r="M1451" s="3" t="n">
        <v>0.0985</v>
      </c>
      <c r="N1451" s="3" t="n">
        <v>8159.97</v>
      </c>
      <c r="O1451" s="3" t="n">
        <v>74682.35</v>
      </c>
      <c r="P1451" s="3" t="n">
        <v>49705.39</v>
      </c>
      <c r="Q1451" s="3" t="n">
        <v>24976.96</v>
      </c>
      <c r="R1451" s="3" t="n">
        <v>0.3344</v>
      </c>
      <c r="S1451" s="3" t="n">
        <v>0.0822</v>
      </c>
      <c r="T1451" s="3" t="n">
        <v>0.0163</v>
      </c>
    </row>
    <row r="1452" customFormat="false" ht="15" hidden="false" customHeight="true" outlineLevel="0" collapsed="false">
      <c r="A1452" s="3" t="s">
        <v>2334</v>
      </c>
      <c r="B1452" s="3" t="s">
        <v>1996</v>
      </c>
      <c r="C1452" s="3" t="s">
        <v>156</v>
      </c>
      <c r="D1452" s="3" t="s">
        <v>83</v>
      </c>
      <c r="E1452" s="3" t="s">
        <v>48</v>
      </c>
      <c r="F1452" s="3" t="s">
        <v>62</v>
      </c>
      <c r="G1452" s="3" t="s">
        <v>100</v>
      </c>
      <c r="H1452" s="3" t="s">
        <v>77</v>
      </c>
      <c r="I1452" s="3" t="s">
        <v>78</v>
      </c>
      <c r="J1452" s="3" t="n">
        <v>39</v>
      </c>
      <c r="K1452" s="3" t="n">
        <v>3314</v>
      </c>
      <c r="L1452" s="3" t="n">
        <v>129246</v>
      </c>
      <c r="M1452" s="3" t="n">
        <v>0.0705</v>
      </c>
      <c r="N1452" s="3" t="n">
        <v>9111.84</v>
      </c>
      <c r="O1452" s="3" t="n">
        <v>120134.16</v>
      </c>
      <c r="P1452" s="3" t="n">
        <v>87887.28</v>
      </c>
      <c r="Q1452" s="3" t="n">
        <v>32246.88</v>
      </c>
      <c r="R1452" s="3" t="n">
        <v>0.2684</v>
      </c>
      <c r="S1452" s="3" t="n">
        <v>0.063</v>
      </c>
      <c r="T1452" s="3" t="n">
        <v>0.0075</v>
      </c>
    </row>
    <row r="1453" customFormat="false" ht="15" hidden="false" customHeight="true" outlineLevel="0" collapsed="false">
      <c r="A1453" s="3" t="s">
        <v>2335</v>
      </c>
      <c r="B1453" s="3" t="s">
        <v>1355</v>
      </c>
      <c r="C1453" s="3" t="s">
        <v>120</v>
      </c>
      <c r="D1453" s="3" t="s">
        <v>83</v>
      </c>
      <c r="E1453" s="3" t="s">
        <v>48</v>
      </c>
      <c r="F1453" s="3" t="s">
        <v>62</v>
      </c>
      <c r="G1453" s="3" t="s">
        <v>49</v>
      </c>
      <c r="H1453" s="3" t="s">
        <v>42</v>
      </c>
      <c r="I1453" s="3" t="s">
        <v>43</v>
      </c>
      <c r="J1453" s="3" t="n">
        <v>24</v>
      </c>
      <c r="K1453" s="3" t="n">
        <v>2797.31</v>
      </c>
      <c r="L1453" s="3" t="n">
        <v>67135.44</v>
      </c>
      <c r="M1453" s="3" t="n">
        <v>0.0778</v>
      </c>
      <c r="N1453" s="3" t="n">
        <v>5223.14</v>
      </c>
      <c r="O1453" s="3" t="n">
        <v>61912.3</v>
      </c>
      <c r="P1453" s="3" t="n">
        <v>36924.49</v>
      </c>
      <c r="Q1453" s="3" t="n">
        <v>24987.81</v>
      </c>
      <c r="R1453" s="3" t="n">
        <v>0.4036</v>
      </c>
      <c r="S1453" s="3" t="n">
        <v>0.0734</v>
      </c>
      <c r="T1453" s="3" t="n">
        <v>0.0044</v>
      </c>
    </row>
    <row r="1454" customFormat="false" ht="15" hidden="false" customHeight="true" outlineLevel="0" collapsed="false">
      <c r="A1454" s="3" t="s">
        <v>2336</v>
      </c>
      <c r="B1454" s="3" t="s">
        <v>663</v>
      </c>
      <c r="C1454" s="3" t="s">
        <v>22</v>
      </c>
      <c r="D1454" s="3" t="s">
        <v>97</v>
      </c>
      <c r="E1454" s="3" t="s">
        <v>48</v>
      </c>
      <c r="F1454" s="3" t="s">
        <v>40</v>
      </c>
      <c r="G1454" s="3" t="s">
        <v>41</v>
      </c>
      <c r="H1454" s="3" t="s">
        <v>56</v>
      </c>
      <c r="I1454" s="3" t="s">
        <v>188</v>
      </c>
      <c r="J1454" s="3" t="n">
        <v>9</v>
      </c>
      <c r="K1454" s="3" t="n">
        <v>5508.98</v>
      </c>
      <c r="L1454" s="3" t="n">
        <v>49580.82</v>
      </c>
      <c r="M1454" s="3" t="n">
        <v>0.096</v>
      </c>
      <c r="N1454" s="3" t="n">
        <v>4759.76</v>
      </c>
      <c r="O1454" s="3" t="n">
        <v>44821.06</v>
      </c>
      <c r="P1454" s="3" t="n">
        <v>29748.49</v>
      </c>
      <c r="Q1454" s="3" t="n">
        <v>15072.57</v>
      </c>
      <c r="R1454" s="3" t="n">
        <v>0.3363</v>
      </c>
      <c r="S1454" s="3" t="n">
        <v>0.0982</v>
      </c>
      <c r="T1454" s="3" t="n">
        <v>-0.0022</v>
      </c>
    </row>
    <row r="1455" customFormat="false" ht="15" hidden="false" customHeight="true" outlineLevel="0" collapsed="false">
      <c r="A1455" s="3" t="s">
        <v>2337</v>
      </c>
      <c r="B1455" s="3" t="s">
        <v>179</v>
      </c>
      <c r="C1455" s="3" t="s">
        <v>126</v>
      </c>
      <c r="D1455" s="3" t="s">
        <v>97</v>
      </c>
      <c r="E1455" s="3" t="s">
        <v>48</v>
      </c>
      <c r="F1455" s="3" t="s">
        <v>40</v>
      </c>
      <c r="G1455" s="3" t="s">
        <v>55</v>
      </c>
      <c r="H1455" s="3" t="s">
        <v>77</v>
      </c>
      <c r="I1455" s="3" t="s">
        <v>78</v>
      </c>
      <c r="J1455" s="3" t="n">
        <v>15</v>
      </c>
      <c r="K1455" s="3" t="n">
        <v>1705.1</v>
      </c>
      <c r="L1455" s="3" t="n">
        <v>25576.5</v>
      </c>
      <c r="M1455" s="3" t="n">
        <v>0.0425</v>
      </c>
      <c r="N1455" s="3" t="n">
        <v>1087</v>
      </c>
      <c r="O1455" s="3" t="n">
        <v>24489.5</v>
      </c>
      <c r="P1455" s="3" t="n">
        <v>17392.02</v>
      </c>
      <c r="Q1455" s="3" t="n">
        <v>7097.48</v>
      </c>
      <c r="R1455" s="3" t="n">
        <v>0.2898</v>
      </c>
      <c r="S1455" s="3" t="n">
        <v>0.0382</v>
      </c>
      <c r="T1455" s="3" t="n">
        <v>0.0043</v>
      </c>
    </row>
    <row r="1456" customFormat="false" ht="15" hidden="false" customHeight="true" outlineLevel="0" collapsed="false">
      <c r="A1456" s="3" t="s">
        <v>2338</v>
      </c>
      <c r="B1456" s="3" t="s">
        <v>2339</v>
      </c>
      <c r="C1456" s="3" t="s">
        <v>120</v>
      </c>
      <c r="D1456" s="3" t="s">
        <v>83</v>
      </c>
      <c r="E1456" s="3" t="s">
        <v>48</v>
      </c>
      <c r="F1456" s="3" t="s">
        <v>62</v>
      </c>
      <c r="G1456" s="3" t="s">
        <v>100</v>
      </c>
      <c r="H1456" s="3" t="s">
        <v>56</v>
      </c>
      <c r="I1456" s="3" t="s">
        <v>121</v>
      </c>
      <c r="J1456" s="3" t="n">
        <v>18</v>
      </c>
      <c r="K1456" s="3" t="n">
        <v>11234.67</v>
      </c>
      <c r="L1456" s="3" t="n">
        <v>202224.06</v>
      </c>
      <c r="M1456" s="3" t="n">
        <v>0.068</v>
      </c>
      <c r="N1456" s="3" t="n">
        <v>13751.24</v>
      </c>
      <c r="O1456" s="3" t="n">
        <v>188472.82</v>
      </c>
      <c r="P1456" s="3" t="n">
        <v>121334.44</v>
      </c>
      <c r="Q1456" s="3" t="n">
        <v>67138.38</v>
      </c>
      <c r="R1456" s="3" t="n">
        <v>0.3562</v>
      </c>
      <c r="S1456" s="3" t="n">
        <v>0.0611</v>
      </c>
      <c r="T1456" s="3" t="n">
        <v>0.0069</v>
      </c>
    </row>
    <row r="1457" customFormat="false" ht="15" hidden="false" customHeight="true" outlineLevel="0" collapsed="false">
      <c r="A1457" s="3" t="s">
        <v>2340</v>
      </c>
      <c r="B1457" s="3" t="s">
        <v>2093</v>
      </c>
      <c r="C1457" s="3" t="s">
        <v>113</v>
      </c>
      <c r="D1457" s="3" t="s">
        <v>103</v>
      </c>
      <c r="E1457" s="3" t="s">
        <v>24</v>
      </c>
      <c r="F1457" s="3" t="s">
        <v>62</v>
      </c>
      <c r="G1457" s="3" t="s">
        <v>26</v>
      </c>
      <c r="H1457" s="3" t="s">
        <v>64</v>
      </c>
      <c r="I1457" s="3" t="s">
        <v>65</v>
      </c>
      <c r="J1457" s="3" t="n">
        <v>25</v>
      </c>
      <c r="K1457" s="3" t="n">
        <v>11154.13</v>
      </c>
      <c r="L1457" s="3" t="n">
        <v>278853.25</v>
      </c>
      <c r="M1457" s="3" t="n">
        <v>0.0616</v>
      </c>
      <c r="N1457" s="3" t="n">
        <v>17177.36</v>
      </c>
      <c r="O1457" s="3" t="n">
        <v>261675.89</v>
      </c>
      <c r="P1457" s="3" t="n">
        <v>161734.88</v>
      </c>
      <c r="Q1457" s="3" t="n">
        <v>99941.01</v>
      </c>
      <c r="R1457" s="3" t="n">
        <v>0.3819</v>
      </c>
      <c r="S1457" s="3" t="n">
        <v>0.0674</v>
      </c>
      <c r="T1457" s="3" t="n">
        <v>-0.0058</v>
      </c>
    </row>
    <row r="1458" customFormat="false" ht="15" hidden="false" customHeight="true" outlineLevel="0" collapsed="false">
      <c r="A1458" s="3" t="s">
        <v>2341</v>
      </c>
      <c r="B1458" s="3" t="s">
        <v>786</v>
      </c>
      <c r="C1458" s="3" t="s">
        <v>113</v>
      </c>
      <c r="D1458" s="3" t="s">
        <v>32</v>
      </c>
      <c r="E1458" s="3" t="s">
        <v>33</v>
      </c>
      <c r="F1458" s="3" t="s">
        <v>25</v>
      </c>
      <c r="G1458" s="3" t="s">
        <v>34</v>
      </c>
      <c r="H1458" s="3" t="s">
        <v>64</v>
      </c>
      <c r="I1458" s="3" t="s">
        <v>65</v>
      </c>
      <c r="J1458" s="3" t="n">
        <v>21</v>
      </c>
      <c r="K1458" s="3" t="n">
        <v>4456.97</v>
      </c>
      <c r="L1458" s="3" t="n">
        <v>93596.37</v>
      </c>
      <c r="M1458" s="3" t="n">
        <v>0.1634</v>
      </c>
      <c r="N1458" s="3" t="n">
        <v>15293.65</v>
      </c>
      <c r="O1458" s="3" t="n">
        <v>78302.72</v>
      </c>
      <c r="P1458" s="3" t="n">
        <v>54285.89</v>
      </c>
      <c r="Q1458" s="3" t="n">
        <v>24016.83</v>
      </c>
      <c r="R1458" s="3" t="n">
        <v>0.3067</v>
      </c>
      <c r="S1458" s="3" t="n">
        <v>0.1615</v>
      </c>
      <c r="T1458" s="3" t="n">
        <v>0.0019</v>
      </c>
    </row>
    <row r="1459" customFormat="false" ht="15" hidden="false" customHeight="true" outlineLevel="0" collapsed="false">
      <c r="A1459" s="3" t="s">
        <v>2342</v>
      </c>
      <c r="B1459" s="3" t="s">
        <v>475</v>
      </c>
      <c r="C1459" s="3" t="s">
        <v>126</v>
      </c>
      <c r="D1459" s="3" t="s">
        <v>38</v>
      </c>
      <c r="E1459" s="3" t="s">
        <v>39</v>
      </c>
      <c r="F1459" s="3" t="s">
        <v>40</v>
      </c>
      <c r="G1459" s="3" t="s">
        <v>34</v>
      </c>
      <c r="H1459" s="3" t="s">
        <v>77</v>
      </c>
      <c r="I1459" s="3" t="s">
        <v>78</v>
      </c>
      <c r="J1459" s="3" t="n">
        <v>17</v>
      </c>
      <c r="K1459" s="3" t="n">
        <v>3375.33</v>
      </c>
      <c r="L1459" s="3" t="n">
        <v>57380.61</v>
      </c>
      <c r="M1459" s="3" t="n">
        <v>0.082</v>
      </c>
      <c r="N1459" s="3" t="n">
        <v>4705.21</v>
      </c>
      <c r="O1459" s="3" t="n">
        <v>52675.4</v>
      </c>
      <c r="P1459" s="3" t="n">
        <v>39018.81</v>
      </c>
      <c r="Q1459" s="3" t="n">
        <v>13656.59</v>
      </c>
      <c r="R1459" s="3" t="n">
        <v>0.2593</v>
      </c>
      <c r="S1459" s="3" t="n">
        <v>0.0817</v>
      </c>
      <c r="T1459" s="3" t="n">
        <v>0.0003</v>
      </c>
    </row>
    <row r="1460" customFormat="false" ht="15" hidden="false" customHeight="true" outlineLevel="0" collapsed="false">
      <c r="A1460" s="3" t="s">
        <v>2343</v>
      </c>
      <c r="B1460" s="3" t="s">
        <v>1355</v>
      </c>
      <c r="C1460" s="3" t="s">
        <v>120</v>
      </c>
      <c r="D1460" s="3" t="s">
        <v>107</v>
      </c>
      <c r="E1460" s="3" t="s">
        <v>33</v>
      </c>
      <c r="F1460" s="3" t="s">
        <v>70</v>
      </c>
      <c r="G1460" s="3" t="s">
        <v>41</v>
      </c>
      <c r="H1460" s="3" t="s">
        <v>42</v>
      </c>
      <c r="I1460" s="3" t="s">
        <v>134</v>
      </c>
      <c r="J1460" s="3" t="n">
        <v>32</v>
      </c>
      <c r="K1460" s="3" t="n">
        <v>1393.5</v>
      </c>
      <c r="L1460" s="3" t="n">
        <v>44592</v>
      </c>
      <c r="M1460" s="3" t="n">
        <v>0.1069</v>
      </c>
      <c r="N1460" s="3" t="n">
        <v>4766.88</v>
      </c>
      <c r="O1460" s="3" t="n">
        <v>39825.12</v>
      </c>
      <c r="P1460" s="3" t="n">
        <v>24525.6</v>
      </c>
      <c r="Q1460" s="3" t="n">
        <v>15299.52</v>
      </c>
      <c r="R1460" s="3" t="n">
        <v>0.3842</v>
      </c>
      <c r="S1460" s="3" t="n">
        <v>0.1069</v>
      </c>
      <c r="T1460" s="3" t="n">
        <v>0</v>
      </c>
    </row>
    <row r="1461" customFormat="false" ht="15" hidden="false" customHeight="true" outlineLevel="0" collapsed="false">
      <c r="A1461" s="3" t="s">
        <v>2344</v>
      </c>
      <c r="B1461" s="3" t="s">
        <v>1514</v>
      </c>
      <c r="C1461" s="3" t="s">
        <v>120</v>
      </c>
      <c r="D1461" s="3" t="s">
        <v>103</v>
      </c>
      <c r="E1461" s="3" t="s">
        <v>24</v>
      </c>
      <c r="F1461" s="3" t="s">
        <v>62</v>
      </c>
      <c r="G1461" s="3" t="s">
        <v>116</v>
      </c>
      <c r="H1461" s="3" t="s">
        <v>56</v>
      </c>
      <c r="I1461" s="3" t="s">
        <v>57</v>
      </c>
      <c r="J1461" s="3" t="n">
        <v>28</v>
      </c>
      <c r="K1461" s="3" t="n">
        <v>14511.27</v>
      </c>
      <c r="L1461" s="3" t="n">
        <v>406315.56</v>
      </c>
      <c r="M1461" s="3" t="n">
        <v>0.1207</v>
      </c>
      <c r="N1461" s="3" t="n">
        <v>49042.29</v>
      </c>
      <c r="O1461" s="3" t="n">
        <v>357273.27</v>
      </c>
      <c r="P1461" s="3" t="n">
        <v>243789.34</v>
      </c>
      <c r="Q1461" s="3" t="n">
        <v>113483.93</v>
      </c>
      <c r="R1461" s="3" t="n">
        <v>0.3176</v>
      </c>
      <c r="S1461" s="3" t="n">
        <v>0.1</v>
      </c>
      <c r="T1461" s="3" t="n">
        <v>0.0207</v>
      </c>
    </row>
    <row r="1462" customFormat="false" ht="15" hidden="false" customHeight="true" outlineLevel="0" collapsed="false">
      <c r="A1462" s="3" t="s">
        <v>2345</v>
      </c>
      <c r="B1462" s="3" t="s">
        <v>2346</v>
      </c>
      <c r="C1462" s="3" t="s">
        <v>126</v>
      </c>
      <c r="D1462" s="3" t="s">
        <v>83</v>
      </c>
      <c r="E1462" s="3" t="s">
        <v>48</v>
      </c>
      <c r="F1462" s="3" t="s">
        <v>62</v>
      </c>
      <c r="G1462" s="3" t="s">
        <v>100</v>
      </c>
      <c r="H1462" s="3" t="s">
        <v>27</v>
      </c>
      <c r="I1462" s="3" t="s">
        <v>28</v>
      </c>
      <c r="J1462" s="3" t="n">
        <v>9</v>
      </c>
      <c r="K1462" s="3" t="n">
        <v>30806.25</v>
      </c>
      <c r="L1462" s="3" t="n">
        <v>277256.25</v>
      </c>
      <c r="M1462" s="3" t="n">
        <v>0.0737</v>
      </c>
      <c r="N1462" s="3" t="n">
        <v>20433.79</v>
      </c>
      <c r="O1462" s="3" t="n">
        <v>256822.46</v>
      </c>
      <c r="P1462" s="3" t="n">
        <v>171898.88</v>
      </c>
      <c r="Q1462" s="3" t="n">
        <v>84923.58</v>
      </c>
      <c r="R1462" s="3" t="n">
        <v>0.3307</v>
      </c>
      <c r="S1462" s="3" t="n">
        <v>0.0689</v>
      </c>
      <c r="T1462" s="3" t="n">
        <v>0.0048</v>
      </c>
    </row>
    <row r="1463" customFormat="false" ht="15" hidden="false" customHeight="true" outlineLevel="0" collapsed="false">
      <c r="A1463" s="3" t="s">
        <v>2347</v>
      </c>
      <c r="B1463" s="3" t="s">
        <v>2348</v>
      </c>
      <c r="C1463" s="3" t="s">
        <v>113</v>
      </c>
      <c r="D1463" s="3" t="s">
        <v>107</v>
      </c>
      <c r="E1463" s="3" t="s">
        <v>33</v>
      </c>
      <c r="F1463" s="3" t="s">
        <v>70</v>
      </c>
      <c r="G1463" s="3" t="s">
        <v>41</v>
      </c>
      <c r="H1463" s="3" t="s">
        <v>27</v>
      </c>
      <c r="I1463" s="3" t="s">
        <v>94</v>
      </c>
      <c r="J1463" s="3" t="n">
        <v>33</v>
      </c>
      <c r="K1463" s="3" t="n">
        <v>20721.86</v>
      </c>
      <c r="L1463" s="3" t="n">
        <v>683821.38</v>
      </c>
      <c r="M1463" s="3" t="n">
        <v>0.0933</v>
      </c>
      <c r="N1463" s="3" t="n">
        <v>63800.53</v>
      </c>
      <c r="O1463" s="3" t="n">
        <v>620020.85</v>
      </c>
      <c r="P1463" s="3" t="n">
        <v>423969.26</v>
      </c>
      <c r="Q1463" s="3" t="n">
        <v>196051.59</v>
      </c>
      <c r="R1463" s="3" t="n">
        <v>0.3162</v>
      </c>
      <c r="S1463" s="3" t="n">
        <v>0.0964</v>
      </c>
      <c r="T1463" s="3" t="n">
        <v>-0.0031</v>
      </c>
    </row>
    <row r="1464" customFormat="false" ht="15" hidden="false" customHeight="true" outlineLevel="0" collapsed="false">
      <c r="A1464" s="3" t="s">
        <v>2349</v>
      </c>
      <c r="B1464" s="3" t="s">
        <v>1126</v>
      </c>
      <c r="C1464" s="3" t="s">
        <v>68</v>
      </c>
      <c r="D1464" s="3" t="s">
        <v>69</v>
      </c>
      <c r="E1464" s="3" t="s">
        <v>39</v>
      </c>
      <c r="F1464" s="3" t="s">
        <v>70</v>
      </c>
      <c r="G1464" s="3" t="s">
        <v>55</v>
      </c>
      <c r="H1464" s="3" t="s">
        <v>42</v>
      </c>
      <c r="I1464" s="3" t="s">
        <v>72</v>
      </c>
      <c r="J1464" s="3" t="n">
        <v>37</v>
      </c>
      <c r="K1464" s="3" t="n">
        <v>3229.78</v>
      </c>
      <c r="L1464" s="3" t="n">
        <v>119501.86</v>
      </c>
      <c r="M1464" s="3" t="n">
        <v>0.073</v>
      </c>
      <c r="N1464" s="3" t="n">
        <v>8723.64</v>
      </c>
      <c r="O1464" s="3" t="n">
        <v>110778.22</v>
      </c>
      <c r="P1464" s="3" t="n">
        <v>65726.02</v>
      </c>
      <c r="Q1464" s="3" t="n">
        <v>45052.2</v>
      </c>
      <c r="R1464" s="3" t="n">
        <v>0.4067</v>
      </c>
      <c r="S1464" s="3" t="n">
        <v>0.0594</v>
      </c>
      <c r="T1464" s="3" t="n">
        <v>0.0136</v>
      </c>
    </row>
    <row r="1465" customFormat="false" ht="15" hidden="false" customHeight="true" outlineLevel="0" collapsed="false">
      <c r="A1465" s="3" t="s">
        <v>2350</v>
      </c>
      <c r="B1465" s="3" t="s">
        <v>396</v>
      </c>
      <c r="C1465" s="3" t="s">
        <v>60</v>
      </c>
      <c r="D1465" s="3" t="s">
        <v>107</v>
      </c>
      <c r="E1465" s="3" t="s">
        <v>33</v>
      </c>
      <c r="F1465" s="3" t="s">
        <v>70</v>
      </c>
      <c r="G1465" s="3" t="s">
        <v>34</v>
      </c>
      <c r="H1465" s="3" t="s">
        <v>42</v>
      </c>
      <c r="I1465" s="3" t="s">
        <v>72</v>
      </c>
      <c r="J1465" s="3" t="n">
        <v>34</v>
      </c>
      <c r="K1465" s="3" t="n">
        <v>2927.93</v>
      </c>
      <c r="L1465" s="3" t="n">
        <v>99549.62</v>
      </c>
      <c r="M1465" s="3" t="n">
        <v>0.0647</v>
      </c>
      <c r="N1465" s="3" t="n">
        <v>6440.86</v>
      </c>
      <c r="O1465" s="3" t="n">
        <v>93108.76</v>
      </c>
      <c r="P1465" s="3" t="n">
        <v>54752.29</v>
      </c>
      <c r="Q1465" s="3" t="n">
        <v>38356.47</v>
      </c>
      <c r="R1465" s="3" t="n">
        <v>0.412</v>
      </c>
      <c r="S1465" s="3" t="n">
        <v>0.0641</v>
      </c>
      <c r="T1465" s="3" t="n">
        <v>0.0006</v>
      </c>
    </row>
    <row r="1466" customFormat="false" ht="15" hidden="false" customHeight="true" outlineLevel="0" collapsed="false">
      <c r="A1466" s="3" t="s">
        <v>2351</v>
      </c>
      <c r="B1466" s="3" t="s">
        <v>530</v>
      </c>
      <c r="C1466" s="3" t="s">
        <v>113</v>
      </c>
      <c r="D1466" s="3" t="s">
        <v>38</v>
      </c>
      <c r="E1466" s="3" t="s">
        <v>39</v>
      </c>
      <c r="F1466" s="3" t="s">
        <v>40</v>
      </c>
      <c r="G1466" s="3" t="s">
        <v>100</v>
      </c>
      <c r="H1466" s="3" t="s">
        <v>64</v>
      </c>
      <c r="I1466" s="3" t="s">
        <v>108</v>
      </c>
      <c r="J1466" s="3" t="n">
        <v>40</v>
      </c>
      <c r="K1466" s="3" t="n">
        <v>11479.73</v>
      </c>
      <c r="L1466" s="3" t="n">
        <v>459189.2</v>
      </c>
      <c r="M1466" s="3" t="n">
        <v>0.0512</v>
      </c>
      <c r="N1466" s="3" t="n">
        <v>23510.49</v>
      </c>
      <c r="O1466" s="3" t="n">
        <v>435678.71</v>
      </c>
      <c r="P1466" s="3" t="n">
        <v>266329.74</v>
      </c>
      <c r="Q1466" s="3" t="n">
        <v>169348.97</v>
      </c>
      <c r="R1466" s="3" t="n">
        <v>0.3887</v>
      </c>
      <c r="S1466" s="3" t="n">
        <v>0.0452</v>
      </c>
      <c r="T1466" s="3" t="n">
        <v>0.006</v>
      </c>
    </row>
    <row r="1467" customFormat="false" ht="15" hidden="false" customHeight="true" outlineLevel="0" collapsed="false">
      <c r="A1467" s="3" t="s">
        <v>2352</v>
      </c>
      <c r="B1467" s="3" t="s">
        <v>1699</v>
      </c>
      <c r="C1467" s="3" t="s">
        <v>126</v>
      </c>
      <c r="D1467" s="3" t="s">
        <v>47</v>
      </c>
      <c r="E1467" s="3" t="s">
        <v>48</v>
      </c>
      <c r="F1467" s="3" t="s">
        <v>25</v>
      </c>
      <c r="G1467" s="3" t="s">
        <v>100</v>
      </c>
      <c r="H1467" s="3" t="s">
        <v>42</v>
      </c>
      <c r="I1467" s="3" t="s">
        <v>134</v>
      </c>
      <c r="J1467" s="3" t="n">
        <v>31</v>
      </c>
      <c r="K1467" s="3" t="n">
        <v>3902.03</v>
      </c>
      <c r="L1467" s="3" t="n">
        <v>120962.93</v>
      </c>
      <c r="M1467" s="3" t="n">
        <v>0.1043</v>
      </c>
      <c r="N1467" s="3" t="n">
        <v>12616.43</v>
      </c>
      <c r="O1467" s="3" t="n">
        <v>108346.5</v>
      </c>
      <c r="P1467" s="3" t="n">
        <v>66529.61</v>
      </c>
      <c r="Q1467" s="3" t="n">
        <v>41816.89</v>
      </c>
      <c r="R1467" s="3" t="n">
        <v>0.386</v>
      </c>
      <c r="S1467" s="3" t="n">
        <v>0.0834</v>
      </c>
      <c r="T1467" s="3" t="n">
        <v>0.0209</v>
      </c>
    </row>
    <row r="1468" customFormat="false" ht="15" hidden="false" customHeight="true" outlineLevel="0" collapsed="false">
      <c r="A1468" s="3" t="s">
        <v>2353</v>
      </c>
      <c r="B1468" s="3" t="s">
        <v>1057</v>
      </c>
      <c r="C1468" s="3" t="s">
        <v>22</v>
      </c>
      <c r="D1468" s="3" t="s">
        <v>54</v>
      </c>
      <c r="E1468" s="3" t="s">
        <v>24</v>
      </c>
      <c r="F1468" s="3" t="s">
        <v>40</v>
      </c>
      <c r="G1468" s="3" t="s">
        <v>76</v>
      </c>
      <c r="H1468" s="3" t="s">
        <v>56</v>
      </c>
      <c r="I1468" s="3" t="s">
        <v>121</v>
      </c>
      <c r="J1468" s="3" t="n">
        <v>47</v>
      </c>
      <c r="K1468" s="3" t="n">
        <v>5340.08</v>
      </c>
      <c r="L1468" s="3" t="n">
        <v>250983.76</v>
      </c>
      <c r="M1468" s="3" t="n">
        <v>0.0607</v>
      </c>
      <c r="N1468" s="3" t="n">
        <v>15234.71</v>
      </c>
      <c r="O1468" s="3" t="n">
        <v>235749.05</v>
      </c>
      <c r="P1468" s="3" t="n">
        <v>150590.26</v>
      </c>
      <c r="Q1468" s="3" t="n">
        <v>85158.79</v>
      </c>
      <c r="R1468" s="3" t="n">
        <v>0.3612</v>
      </c>
      <c r="S1468" s="3" t="n">
        <v>0.0496</v>
      </c>
      <c r="T1468" s="3" t="n">
        <v>0.0111</v>
      </c>
    </row>
    <row r="1469" customFormat="false" ht="15" hidden="false" customHeight="true" outlineLevel="0" collapsed="false">
      <c r="A1469" s="3" t="s">
        <v>2354</v>
      </c>
      <c r="B1469" s="3" t="s">
        <v>1960</v>
      </c>
      <c r="C1469" s="3" t="s">
        <v>53</v>
      </c>
      <c r="D1469" s="3" t="s">
        <v>47</v>
      </c>
      <c r="E1469" s="3" t="s">
        <v>48</v>
      </c>
      <c r="F1469" s="3" t="s">
        <v>25</v>
      </c>
      <c r="G1469" s="3" t="s">
        <v>84</v>
      </c>
      <c r="H1469" s="3" t="s">
        <v>64</v>
      </c>
      <c r="I1469" s="3" t="s">
        <v>108</v>
      </c>
      <c r="J1469" s="3" t="n">
        <v>49</v>
      </c>
      <c r="K1469" s="3" t="n">
        <v>10401.97</v>
      </c>
      <c r="L1469" s="3" t="n">
        <v>509696.53</v>
      </c>
      <c r="M1469" s="3" t="n">
        <v>0.1967</v>
      </c>
      <c r="N1469" s="3" t="n">
        <v>100257.31</v>
      </c>
      <c r="O1469" s="3" t="n">
        <v>409439.22</v>
      </c>
      <c r="P1469" s="3" t="n">
        <v>295623.99</v>
      </c>
      <c r="Q1469" s="3" t="n">
        <v>113815.23</v>
      </c>
      <c r="R1469" s="3" t="n">
        <v>0.278</v>
      </c>
      <c r="S1469" s="3" t="n">
        <v>0.1805</v>
      </c>
      <c r="T1469" s="3" t="n">
        <v>0.0162</v>
      </c>
    </row>
    <row r="1470" customFormat="false" ht="15" hidden="false" customHeight="true" outlineLevel="0" collapsed="false">
      <c r="A1470" s="3" t="s">
        <v>2355</v>
      </c>
      <c r="B1470" s="3" t="s">
        <v>229</v>
      </c>
      <c r="C1470" s="3" t="s">
        <v>126</v>
      </c>
      <c r="D1470" s="3" t="s">
        <v>75</v>
      </c>
      <c r="E1470" s="3" t="s">
        <v>39</v>
      </c>
      <c r="F1470" s="3" t="s">
        <v>25</v>
      </c>
      <c r="G1470" s="3" t="s">
        <v>55</v>
      </c>
      <c r="H1470" s="3" t="s">
        <v>77</v>
      </c>
      <c r="I1470" s="3" t="s">
        <v>78</v>
      </c>
      <c r="J1470" s="3" t="n">
        <v>23</v>
      </c>
      <c r="K1470" s="3" t="n">
        <v>2128.18</v>
      </c>
      <c r="L1470" s="3" t="n">
        <v>48948.14</v>
      </c>
      <c r="M1470" s="3" t="n">
        <v>0.1506</v>
      </c>
      <c r="N1470" s="3" t="n">
        <v>7371.59</v>
      </c>
      <c r="O1470" s="3" t="n">
        <v>41576.55</v>
      </c>
      <c r="P1470" s="3" t="n">
        <v>33284.74</v>
      </c>
      <c r="Q1470" s="3" t="n">
        <v>8291.81</v>
      </c>
      <c r="R1470" s="3" t="n">
        <v>0.1994</v>
      </c>
      <c r="S1470" s="3" t="n">
        <v>0.1268</v>
      </c>
      <c r="T1470" s="3" t="n">
        <v>0.0238</v>
      </c>
    </row>
    <row r="1471" customFormat="false" ht="15" hidden="false" customHeight="true" outlineLevel="0" collapsed="false">
      <c r="A1471" s="3" t="s">
        <v>2356</v>
      </c>
      <c r="B1471" s="3" t="s">
        <v>1430</v>
      </c>
      <c r="C1471" s="3" t="s">
        <v>37</v>
      </c>
      <c r="D1471" s="3" t="s">
        <v>47</v>
      </c>
      <c r="E1471" s="3" t="s">
        <v>48</v>
      </c>
      <c r="F1471" s="3" t="s">
        <v>25</v>
      </c>
      <c r="G1471" s="3" t="s">
        <v>71</v>
      </c>
      <c r="H1471" s="3" t="s">
        <v>27</v>
      </c>
      <c r="I1471" s="3" t="s">
        <v>94</v>
      </c>
      <c r="J1471" s="3" t="n">
        <v>29</v>
      </c>
      <c r="K1471" s="3" t="n">
        <v>12859.08</v>
      </c>
      <c r="L1471" s="3" t="n">
        <v>372913.32</v>
      </c>
      <c r="M1471" s="3" t="n">
        <v>0.0992</v>
      </c>
      <c r="N1471" s="3" t="n">
        <v>36993</v>
      </c>
      <c r="O1471" s="3" t="n">
        <v>335920.32</v>
      </c>
      <c r="P1471" s="3" t="n">
        <v>231206.26</v>
      </c>
      <c r="Q1471" s="3" t="n">
        <v>104714.06</v>
      </c>
      <c r="R1471" s="3" t="n">
        <v>0.3117</v>
      </c>
      <c r="S1471" s="3" t="n">
        <v>0.0796</v>
      </c>
      <c r="T1471" s="3" t="n">
        <v>0.0196</v>
      </c>
    </row>
    <row r="1472" customFormat="false" ht="15" hidden="false" customHeight="true" outlineLevel="0" collapsed="false">
      <c r="A1472" s="3" t="s">
        <v>2357</v>
      </c>
      <c r="B1472" s="3" t="s">
        <v>509</v>
      </c>
      <c r="C1472" s="3" t="s">
        <v>53</v>
      </c>
      <c r="D1472" s="3" t="s">
        <v>61</v>
      </c>
      <c r="E1472" s="3" t="s">
        <v>33</v>
      </c>
      <c r="F1472" s="3" t="s">
        <v>62</v>
      </c>
      <c r="G1472" s="3" t="s">
        <v>100</v>
      </c>
      <c r="H1472" s="3" t="s">
        <v>56</v>
      </c>
      <c r="I1472" s="3" t="s">
        <v>57</v>
      </c>
      <c r="J1472" s="3" t="n">
        <v>41</v>
      </c>
      <c r="K1472" s="3" t="n">
        <v>3641.8</v>
      </c>
      <c r="L1472" s="3" t="n">
        <v>149313.8</v>
      </c>
      <c r="M1472" s="3" t="n">
        <v>0.0599</v>
      </c>
      <c r="N1472" s="3" t="n">
        <v>8943.9</v>
      </c>
      <c r="O1472" s="3" t="n">
        <v>140369.9</v>
      </c>
      <c r="P1472" s="3" t="n">
        <v>89588.28</v>
      </c>
      <c r="Q1472" s="3" t="n">
        <v>50781.62</v>
      </c>
      <c r="R1472" s="3" t="n">
        <v>0.3618</v>
      </c>
      <c r="S1472" s="3" t="n">
        <v>0.0598</v>
      </c>
      <c r="T1472" s="3" t="n">
        <v>0.0001</v>
      </c>
    </row>
    <row r="1473" customFormat="false" ht="15" hidden="false" customHeight="true" outlineLevel="0" collapsed="false">
      <c r="A1473" s="3" t="s">
        <v>2358</v>
      </c>
      <c r="B1473" s="3" t="s">
        <v>1566</v>
      </c>
      <c r="C1473" s="3" t="s">
        <v>37</v>
      </c>
      <c r="D1473" s="3" t="s">
        <v>54</v>
      </c>
      <c r="E1473" s="3" t="s">
        <v>24</v>
      </c>
      <c r="F1473" s="3" t="s">
        <v>40</v>
      </c>
      <c r="G1473" s="3" t="s">
        <v>26</v>
      </c>
      <c r="H1473" s="3" t="s">
        <v>27</v>
      </c>
      <c r="I1473" s="3" t="s">
        <v>94</v>
      </c>
      <c r="J1473" s="3" t="n">
        <v>10</v>
      </c>
      <c r="K1473" s="3" t="n">
        <v>27521.14</v>
      </c>
      <c r="L1473" s="3" t="n">
        <v>275211.4</v>
      </c>
      <c r="M1473" s="3" t="n">
        <v>0.0335</v>
      </c>
      <c r="N1473" s="3" t="n">
        <v>9219.58</v>
      </c>
      <c r="O1473" s="3" t="n">
        <v>265991.82</v>
      </c>
      <c r="P1473" s="3" t="n">
        <v>170631.07</v>
      </c>
      <c r="Q1473" s="3" t="n">
        <v>95360.75</v>
      </c>
      <c r="R1473" s="3" t="n">
        <v>0.3585</v>
      </c>
      <c r="S1473" s="3" t="n">
        <v>0.0356</v>
      </c>
      <c r="T1473" s="3" t="n">
        <v>-0.0021</v>
      </c>
    </row>
    <row r="1474" customFormat="false" ht="15" hidden="false" customHeight="true" outlineLevel="0" collapsed="false">
      <c r="A1474" s="3" t="s">
        <v>2359</v>
      </c>
      <c r="B1474" s="3" t="s">
        <v>921</v>
      </c>
      <c r="C1474" s="3" t="s">
        <v>93</v>
      </c>
      <c r="D1474" s="3" t="s">
        <v>32</v>
      </c>
      <c r="E1474" s="3" t="s">
        <v>33</v>
      </c>
      <c r="F1474" s="3" t="s">
        <v>25</v>
      </c>
      <c r="G1474" s="3" t="s">
        <v>116</v>
      </c>
      <c r="H1474" s="3" t="s">
        <v>77</v>
      </c>
      <c r="I1474" s="3" t="s">
        <v>78</v>
      </c>
      <c r="J1474" s="3" t="n">
        <v>28</v>
      </c>
      <c r="K1474" s="3" t="n">
        <v>4209.11</v>
      </c>
      <c r="L1474" s="3" t="n">
        <v>117855.08</v>
      </c>
      <c r="M1474" s="3" t="n">
        <v>0.217</v>
      </c>
      <c r="N1474" s="3" t="n">
        <v>25574.55</v>
      </c>
      <c r="O1474" s="3" t="n">
        <v>92280.53</v>
      </c>
      <c r="P1474" s="3" t="n">
        <v>80141.45</v>
      </c>
      <c r="Q1474" s="3" t="n">
        <v>12139.08</v>
      </c>
      <c r="R1474" s="3" t="n">
        <v>0.1315</v>
      </c>
      <c r="S1474" s="3" t="n">
        <v>0.223</v>
      </c>
      <c r="T1474" s="3" t="n">
        <v>-0.006</v>
      </c>
    </row>
    <row r="1475" customFormat="false" ht="15" hidden="false" customHeight="true" outlineLevel="0" collapsed="false">
      <c r="A1475" s="3" t="s">
        <v>2360</v>
      </c>
      <c r="B1475" s="3" t="s">
        <v>2361</v>
      </c>
      <c r="C1475" s="3" t="s">
        <v>53</v>
      </c>
      <c r="D1475" s="3" t="s">
        <v>69</v>
      </c>
      <c r="E1475" s="3" t="s">
        <v>39</v>
      </c>
      <c r="F1475" s="3" t="s">
        <v>70</v>
      </c>
      <c r="G1475" s="3" t="s">
        <v>116</v>
      </c>
      <c r="H1475" s="3" t="s">
        <v>56</v>
      </c>
      <c r="I1475" s="3" t="s">
        <v>188</v>
      </c>
      <c r="J1475" s="3" t="n">
        <v>39</v>
      </c>
      <c r="K1475" s="3" t="n">
        <v>17961.68</v>
      </c>
      <c r="L1475" s="3" t="n">
        <v>700505.52</v>
      </c>
      <c r="M1475" s="3" t="n">
        <v>0.1326</v>
      </c>
      <c r="N1475" s="3" t="n">
        <v>92887.03</v>
      </c>
      <c r="O1475" s="3" t="n">
        <v>607618.49</v>
      </c>
      <c r="P1475" s="3" t="n">
        <v>420303.31</v>
      </c>
      <c r="Q1475" s="3" t="n">
        <v>187315.18</v>
      </c>
      <c r="R1475" s="3" t="n">
        <v>0.3083</v>
      </c>
      <c r="S1475" s="3" t="n">
        <v>0.1407</v>
      </c>
      <c r="T1475" s="3" t="n">
        <v>-0.0081</v>
      </c>
    </row>
    <row r="1476" customFormat="false" ht="15" hidden="false" customHeight="true" outlineLevel="0" collapsed="false">
      <c r="A1476" s="3" t="s">
        <v>2362</v>
      </c>
      <c r="B1476" s="3" t="s">
        <v>960</v>
      </c>
      <c r="C1476" s="3" t="s">
        <v>126</v>
      </c>
      <c r="D1476" s="3" t="s">
        <v>23</v>
      </c>
      <c r="E1476" s="3" t="s">
        <v>24</v>
      </c>
      <c r="F1476" s="3" t="s">
        <v>25</v>
      </c>
      <c r="G1476" s="3" t="s">
        <v>63</v>
      </c>
      <c r="H1476" s="3" t="s">
        <v>77</v>
      </c>
      <c r="I1476" s="3" t="s">
        <v>85</v>
      </c>
      <c r="J1476" s="3" t="n">
        <v>41</v>
      </c>
      <c r="K1476" s="3" t="n">
        <v>3224.04</v>
      </c>
      <c r="L1476" s="3" t="n">
        <v>132185.64</v>
      </c>
      <c r="M1476" s="3" t="n">
        <v>0.1369</v>
      </c>
      <c r="N1476" s="3" t="n">
        <v>18096.21</v>
      </c>
      <c r="O1476" s="3" t="n">
        <v>114089.43</v>
      </c>
      <c r="P1476" s="3" t="n">
        <v>89886.24</v>
      </c>
      <c r="Q1476" s="3" t="n">
        <v>24203.19</v>
      </c>
      <c r="R1476" s="3" t="n">
        <v>0.2121</v>
      </c>
      <c r="S1476" s="3" t="n">
        <v>0.1466</v>
      </c>
      <c r="T1476" s="3" t="n">
        <v>-0.0097</v>
      </c>
    </row>
    <row r="1477" customFormat="false" ht="15" hidden="false" customHeight="true" outlineLevel="0" collapsed="false">
      <c r="A1477" s="3" t="s">
        <v>2363</v>
      </c>
      <c r="B1477" s="3" t="s">
        <v>1799</v>
      </c>
      <c r="C1477" s="3" t="s">
        <v>120</v>
      </c>
      <c r="D1477" s="3" t="s">
        <v>23</v>
      </c>
      <c r="E1477" s="3" t="s">
        <v>24</v>
      </c>
      <c r="F1477" s="3" t="s">
        <v>25</v>
      </c>
      <c r="G1477" s="3" t="s">
        <v>63</v>
      </c>
      <c r="H1477" s="3" t="s">
        <v>56</v>
      </c>
      <c r="I1477" s="3" t="s">
        <v>57</v>
      </c>
      <c r="J1477" s="3" t="n">
        <v>17</v>
      </c>
      <c r="K1477" s="3" t="n">
        <v>12671.66</v>
      </c>
      <c r="L1477" s="3" t="n">
        <v>215418.22</v>
      </c>
      <c r="M1477" s="3" t="n">
        <v>0.1258</v>
      </c>
      <c r="N1477" s="3" t="n">
        <v>27099.61</v>
      </c>
      <c r="O1477" s="3" t="n">
        <v>188318.61</v>
      </c>
      <c r="P1477" s="3" t="n">
        <v>129250.93</v>
      </c>
      <c r="Q1477" s="3" t="n">
        <v>59067.68</v>
      </c>
      <c r="R1477" s="3" t="n">
        <v>0.3137</v>
      </c>
      <c r="S1477" s="3" t="n">
        <v>0.1276</v>
      </c>
      <c r="T1477" s="3" t="n">
        <v>-0.0018</v>
      </c>
    </row>
    <row r="1478" customFormat="false" ht="15" hidden="false" customHeight="true" outlineLevel="0" collapsed="false">
      <c r="A1478" s="3" t="s">
        <v>2364</v>
      </c>
      <c r="B1478" s="3" t="s">
        <v>575</v>
      </c>
      <c r="C1478" s="3" t="s">
        <v>93</v>
      </c>
      <c r="D1478" s="3" t="s">
        <v>83</v>
      </c>
      <c r="E1478" s="3" t="s">
        <v>48</v>
      </c>
      <c r="F1478" s="3" t="s">
        <v>62</v>
      </c>
      <c r="G1478" s="3" t="s">
        <v>34</v>
      </c>
      <c r="H1478" s="3" t="s">
        <v>64</v>
      </c>
      <c r="I1478" s="3" t="s">
        <v>90</v>
      </c>
      <c r="J1478" s="3" t="n">
        <v>43</v>
      </c>
      <c r="K1478" s="3" t="n">
        <v>8319.76</v>
      </c>
      <c r="L1478" s="3" t="n">
        <v>357749.68</v>
      </c>
      <c r="M1478" s="3" t="n">
        <v>0.1032</v>
      </c>
      <c r="N1478" s="3" t="n">
        <v>36919.77</v>
      </c>
      <c r="O1478" s="3" t="n">
        <v>320829.91</v>
      </c>
      <c r="P1478" s="3" t="n">
        <v>207494.81</v>
      </c>
      <c r="Q1478" s="3" t="n">
        <v>113335.1</v>
      </c>
      <c r="R1478" s="3" t="n">
        <v>0.3533</v>
      </c>
      <c r="S1478" s="3" t="n">
        <v>0.0999</v>
      </c>
      <c r="T1478" s="3" t="n">
        <v>0.0033</v>
      </c>
    </row>
    <row r="1479" customFormat="false" ht="15" hidden="false" customHeight="true" outlineLevel="0" collapsed="false">
      <c r="A1479" s="3" t="s">
        <v>2365</v>
      </c>
      <c r="B1479" s="3" t="s">
        <v>1100</v>
      </c>
      <c r="C1479" s="3" t="s">
        <v>120</v>
      </c>
      <c r="D1479" s="3" t="s">
        <v>38</v>
      </c>
      <c r="E1479" s="3" t="s">
        <v>39</v>
      </c>
      <c r="F1479" s="3" t="s">
        <v>40</v>
      </c>
      <c r="G1479" s="3" t="s">
        <v>100</v>
      </c>
      <c r="H1479" s="3" t="s">
        <v>77</v>
      </c>
      <c r="I1479" s="3" t="s">
        <v>85</v>
      </c>
      <c r="J1479" s="3" t="n">
        <v>43</v>
      </c>
      <c r="K1479" s="3" t="n">
        <v>5377.89</v>
      </c>
      <c r="L1479" s="3" t="n">
        <v>231249.27</v>
      </c>
      <c r="M1479" s="3" t="n">
        <v>0.0491</v>
      </c>
      <c r="N1479" s="3" t="n">
        <v>11354.34</v>
      </c>
      <c r="O1479" s="3" t="n">
        <v>219894.93</v>
      </c>
      <c r="P1479" s="3" t="n">
        <v>157249.5</v>
      </c>
      <c r="Q1479" s="3" t="n">
        <v>62645.43</v>
      </c>
      <c r="R1479" s="3" t="n">
        <v>0.2849</v>
      </c>
      <c r="S1479" s="3" t="n">
        <v>0.048</v>
      </c>
      <c r="T1479" s="3" t="n">
        <v>0.0011</v>
      </c>
    </row>
    <row r="1480" customFormat="false" ht="15" hidden="false" customHeight="true" outlineLevel="0" collapsed="false">
      <c r="A1480" s="3" t="s">
        <v>2366</v>
      </c>
      <c r="B1480" s="3" t="s">
        <v>1535</v>
      </c>
      <c r="C1480" s="3" t="s">
        <v>31</v>
      </c>
      <c r="D1480" s="3" t="s">
        <v>23</v>
      </c>
      <c r="E1480" s="3" t="s">
        <v>24</v>
      </c>
      <c r="F1480" s="3" t="s">
        <v>25</v>
      </c>
      <c r="G1480" s="3" t="s">
        <v>116</v>
      </c>
      <c r="H1480" s="3" t="s">
        <v>27</v>
      </c>
      <c r="I1480" s="3" t="s">
        <v>94</v>
      </c>
      <c r="J1480" s="3" t="n">
        <v>49</v>
      </c>
      <c r="K1480" s="3" t="n">
        <v>11759.15</v>
      </c>
      <c r="L1480" s="3" t="n">
        <v>576198.35</v>
      </c>
      <c r="M1480" s="3" t="n">
        <v>0.1767</v>
      </c>
      <c r="N1480" s="3" t="n">
        <v>101814.25</v>
      </c>
      <c r="O1480" s="3" t="n">
        <v>474384.1</v>
      </c>
      <c r="P1480" s="3" t="n">
        <v>357242.98</v>
      </c>
      <c r="Q1480" s="3" t="n">
        <v>117141.12</v>
      </c>
      <c r="R1480" s="3" t="n">
        <v>0.2469</v>
      </c>
      <c r="S1480" s="3" t="n">
        <v>0.1846</v>
      </c>
      <c r="T1480" s="3" t="n">
        <v>-0.0079</v>
      </c>
    </row>
    <row r="1481" customFormat="false" ht="15" hidden="false" customHeight="true" outlineLevel="0" collapsed="false">
      <c r="A1481" s="3" t="s">
        <v>2367</v>
      </c>
      <c r="B1481" s="3" t="s">
        <v>249</v>
      </c>
      <c r="C1481" s="3" t="s">
        <v>68</v>
      </c>
      <c r="D1481" s="3" t="s">
        <v>97</v>
      </c>
      <c r="E1481" s="3" t="s">
        <v>48</v>
      </c>
      <c r="F1481" s="3" t="s">
        <v>40</v>
      </c>
      <c r="G1481" s="3" t="s">
        <v>71</v>
      </c>
      <c r="H1481" s="3" t="s">
        <v>27</v>
      </c>
      <c r="I1481" s="3" t="s">
        <v>50</v>
      </c>
      <c r="J1481" s="3" t="n">
        <v>30</v>
      </c>
      <c r="K1481" s="3" t="n">
        <v>33220.36</v>
      </c>
      <c r="L1481" s="3" t="n">
        <v>996610.8</v>
      </c>
      <c r="M1481" s="3" t="n">
        <v>0.0587</v>
      </c>
      <c r="N1481" s="3" t="n">
        <v>58501.05</v>
      </c>
      <c r="O1481" s="3" t="n">
        <v>938109.75</v>
      </c>
      <c r="P1481" s="3" t="n">
        <v>617898.7</v>
      </c>
      <c r="Q1481" s="3" t="n">
        <v>320211.05</v>
      </c>
      <c r="R1481" s="3" t="n">
        <v>0.3413</v>
      </c>
      <c r="S1481" s="3" t="n">
        <v>0.0476</v>
      </c>
      <c r="T1481" s="3" t="n">
        <v>0.0111</v>
      </c>
    </row>
    <row r="1482" customFormat="false" ht="15" hidden="false" customHeight="true" outlineLevel="0" collapsed="false">
      <c r="A1482" s="3" t="s">
        <v>2368</v>
      </c>
      <c r="B1482" s="3" t="s">
        <v>1402</v>
      </c>
      <c r="C1482" s="3" t="s">
        <v>31</v>
      </c>
      <c r="D1482" s="3" t="s">
        <v>47</v>
      </c>
      <c r="E1482" s="3" t="s">
        <v>48</v>
      </c>
      <c r="F1482" s="3" t="s">
        <v>25</v>
      </c>
      <c r="G1482" s="3" t="s">
        <v>104</v>
      </c>
      <c r="H1482" s="3" t="s">
        <v>77</v>
      </c>
      <c r="I1482" s="3" t="s">
        <v>85</v>
      </c>
      <c r="J1482" s="3" t="n">
        <v>12</v>
      </c>
      <c r="K1482" s="3" t="n">
        <v>2236.99</v>
      </c>
      <c r="L1482" s="3" t="n">
        <v>26843.88</v>
      </c>
      <c r="M1482" s="3" t="n">
        <v>0.1708</v>
      </c>
      <c r="N1482" s="3" t="n">
        <v>4584.93</v>
      </c>
      <c r="O1482" s="3" t="n">
        <v>22258.95</v>
      </c>
      <c r="P1482" s="3" t="n">
        <v>18253.84</v>
      </c>
      <c r="Q1482" s="3" t="n">
        <v>4005.11</v>
      </c>
      <c r="R1482" s="3" t="n">
        <v>0.1799</v>
      </c>
      <c r="S1482" s="3" t="n">
        <v>0.1778</v>
      </c>
      <c r="T1482" s="3" t="n">
        <v>-0.007</v>
      </c>
    </row>
    <row r="1483" customFormat="false" ht="15" hidden="false" customHeight="true" outlineLevel="0" collapsed="false">
      <c r="A1483" s="3" t="s">
        <v>2369</v>
      </c>
      <c r="B1483" s="3" t="s">
        <v>1065</v>
      </c>
      <c r="C1483" s="3" t="s">
        <v>53</v>
      </c>
      <c r="D1483" s="3" t="s">
        <v>97</v>
      </c>
      <c r="E1483" s="3" t="s">
        <v>48</v>
      </c>
      <c r="F1483" s="3" t="s">
        <v>40</v>
      </c>
      <c r="G1483" s="3" t="s">
        <v>49</v>
      </c>
      <c r="H1483" s="3" t="s">
        <v>77</v>
      </c>
      <c r="I1483" s="3" t="s">
        <v>78</v>
      </c>
      <c r="J1483" s="3" t="n">
        <v>23</v>
      </c>
      <c r="K1483" s="3" t="n">
        <v>5128.17</v>
      </c>
      <c r="L1483" s="3" t="n">
        <v>117947.91</v>
      </c>
      <c r="M1483" s="3" t="n">
        <v>0.0476</v>
      </c>
      <c r="N1483" s="3" t="n">
        <v>5614.32</v>
      </c>
      <c r="O1483" s="3" t="n">
        <v>112333.59</v>
      </c>
      <c r="P1483" s="3" t="n">
        <v>80204.58</v>
      </c>
      <c r="Q1483" s="3" t="n">
        <v>32129.01</v>
      </c>
      <c r="R1483" s="3" t="n">
        <v>0.286</v>
      </c>
      <c r="S1483" s="3" t="n">
        <v>0.042</v>
      </c>
      <c r="T1483" s="3" t="n">
        <v>0.0056</v>
      </c>
    </row>
    <row r="1484" customFormat="false" ht="15" hidden="false" customHeight="true" outlineLevel="0" collapsed="false">
      <c r="A1484" s="3" t="s">
        <v>2370</v>
      </c>
      <c r="B1484" s="3" t="s">
        <v>1726</v>
      </c>
      <c r="C1484" s="3" t="s">
        <v>37</v>
      </c>
      <c r="D1484" s="3" t="s">
        <v>32</v>
      </c>
      <c r="E1484" s="3" t="s">
        <v>33</v>
      </c>
      <c r="F1484" s="3" t="s">
        <v>25</v>
      </c>
      <c r="G1484" s="3" t="s">
        <v>26</v>
      </c>
      <c r="H1484" s="3" t="s">
        <v>42</v>
      </c>
      <c r="I1484" s="3" t="s">
        <v>134</v>
      </c>
      <c r="J1484" s="3" t="n">
        <v>17</v>
      </c>
      <c r="K1484" s="3" t="n">
        <v>3968.41</v>
      </c>
      <c r="L1484" s="3" t="n">
        <v>67462.97</v>
      </c>
      <c r="M1484" s="3" t="n">
        <v>0.1213</v>
      </c>
      <c r="N1484" s="3" t="n">
        <v>8183.26</v>
      </c>
      <c r="O1484" s="3" t="n">
        <v>59279.71</v>
      </c>
      <c r="P1484" s="3" t="n">
        <v>37104.63</v>
      </c>
      <c r="Q1484" s="3" t="n">
        <v>22175.08</v>
      </c>
      <c r="R1484" s="3" t="n">
        <v>0.3741</v>
      </c>
      <c r="S1484" s="3" t="n">
        <v>0.124</v>
      </c>
      <c r="T1484" s="3" t="n">
        <v>-0.0027</v>
      </c>
    </row>
    <row r="1485" customFormat="false" ht="15" hidden="false" customHeight="true" outlineLevel="0" collapsed="false">
      <c r="A1485" s="3" t="s">
        <v>2371</v>
      </c>
      <c r="B1485" s="3" t="s">
        <v>52</v>
      </c>
      <c r="C1485" s="3" t="s">
        <v>53</v>
      </c>
      <c r="D1485" s="3" t="s">
        <v>103</v>
      </c>
      <c r="E1485" s="3" t="s">
        <v>24</v>
      </c>
      <c r="F1485" s="3" t="s">
        <v>62</v>
      </c>
      <c r="G1485" s="3" t="s">
        <v>116</v>
      </c>
      <c r="H1485" s="3" t="s">
        <v>64</v>
      </c>
      <c r="I1485" s="3" t="s">
        <v>90</v>
      </c>
      <c r="J1485" s="3" t="n">
        <v>40</v>
      </c>
      <c r="K1485" s="3" t="n">
        <v>6003.87</v>
      </c>
      <c r="L1485" s="3" t="n">
        <v>240154.8</v>
      </c>
      <c r="M1485" s="3" t="n">
        <v>0.1091</v>
      </c>
      <c r="N1485" s="3" t="n">
        <v>26200.89</v>
      </c>
      <c r="O1485" s="3" t="n">
        <v>213953.91</v>
      </c>
      <c r="P1485" s="3" t="n">
        <v>139289.78</v>
      </c>
      <c r="Q1485" s="3" t="n">
        <v>74664.13</v>
      </c>
      <c r="R1485" s="3" t="n">
        <v>0.349</v>
      </c>
      <c r="S1485" s="3" t="n">
        <v>0.0977</v>
      </c>
      <c r="T1485" s="3" t="n">
        <v>0.0114</v>
      </c>
    </row>
    <row r="1486" customFormat="false" ht="15" hidden="false" customHeight="true" outlineLevel="0" collapsed="false">
      <c r="A1486" s="3" t="s">
        <v>2372</v>
      </c>
      <c r="B1486" s="3" t="s">
        <v>517</v>
      </c>
      <c r="C1486" s="3" t="s">
        <v>113</v>
      </c>
      <c r="D1486" s="3" t="s">
        <v>54</v>
      </c>
      <c r="E1486" s="3" t="s">
        <v>24</v>
      </c>
      <c r="F1486" s="3" t="s">
        <v>40</v>
      </c>
      <c r="G1486" s="3" t="s">
        <v>71</v>
      </c>
      <c r="H1486" s="3" t="s">
        <v>27</v>
      </c>
      <c r="I1486" s="3" t="s">
        <v>28</v>
      </c>
      <c r="J1486" s="3" t="n">
        <v>40</v>
      </c>
      <c r="K1486" s="3" t="n">
        <v>20994.09</v>
      </c>
      <c r="L1486" s="3" t="n">
        <v>839763.6</v>
      </c>
      <c r="M1486" s="3" t="n">
        <v>0.0549</v>
      </c>
      <c r="N1486" s="3" t="n">
        <v>46103.02</v>
      </c>
      <c r="O1486" s="3" t="n">
        <v>793660.58</v>
      </c>
      <c r="P1486" s="3" t="n">
        <v>520653.43</v>
      </c>
      <c r="Q1486" s="3" t="n">
        <v>273007.15</v>
      </c>
      <c r="R1486" s="3" t="n">
        <v>0.344</v>
      </c>
      <c r="S1486" s="3" t="n">
        <v>0.0563</v>
      </c>
      <c r="T1486" s="3" t="n">
        <v>-0.0014</v>
      </c>
    </row>
    <row r="1487" customFormat="false" ht="15" hidden="false" customHeight="true" outlineLevel="0" collapsed="false">
      <c r="A1487" s="3" t="s">
        <v>2373</v>
      </c>
      <c r="B1487" s="3" t="s">
        <v>2374</v>
      </c>
      <c r="C1487" s="3" t="s">
        <v>60</v>
      </c>
      <c r="D1487" s="3" t="s">
        <v>69</v>
      </c>
      <c r="E1487" s="3" t="s">
        <v>39</v>
      </c>
      <c r="F1487" s="3" t="s">
        <v>70</v>
      </c>
      <c r="G1487" s="3" t="s">
        <v>84</v>
      </c>
      <c r="H1487" s="3" t="s">
        <v>42</v>
      </c>
      <c r="I1487" s="3" t="s">
        <v>72</v>
      </c>
      <c r="J1487" s="3" t="n">
        <v>29</v>
      </c>
      <c r="K1487" s="3" t="n">
        <v>1727.08</v>
      </c>
      <c r="L1487" s="3" t="n">
        <v>50085.32</v>
      </c>
      <c r="M1487" s="3" t="n">
        <v>0.0748</v>
      </c>
      <c r="N1487" s="3" t="n">
        <v>3746.38</v>
      </c>
      <c r="O1487" s="3" t="n">
        <v>46338.94</v>
      </c>
      <c r="P1487" s="3" t="n">
        <v>27546.93</v>
      </c>
      <c r="Q1487" s="3" t="n">
        <v>18792.01</v>
      </c>
      <c r="R1487" s="3" t="n">
        <v>0.4055</v>
      </c>
      <c r="S1487" s="3" t="n">
        <v>0.0814</v>
      </c>
      <c r="T1487" s="3" t="n">
        <v>-0.0066</v>
      </c>
    </row>
    <row r="1488" customFormat="false" ht="15" hidden="false" customHeight="true" outlineLevel="0" collapsed="false">
      <c r="A1488" s="3" t="s">
        <v>2375</v>
      </c>
      <c r="B1488" s="3" t="s">
        <v>2376</v>
      </c>
      <c r="C1488" s="3" t="s">
        <v>60</v>
      </c>
      <c r="D1488" s="3" t="s">
        <v>103</v>
      </c>
      <c r="E1488" s="3" t="s">
        <v>24</v>
      </c>
      <c r="F1488" s="3" t="s">
        <v>62</v>
      </c>
      <c r="G1488" s="3" t="s">
        <v>34</v>
      </c>
      <c r="H1488" s="3" t="s">
        <v>27</v>
      </c>
      <c r="I1488" s="3" t="s">
        <v>28</v>
      </c>
      <c r="J1488" s="3" t="n">
        <v>33</v>
      </c>
      <c r="K1488" s="3" t="n">
        <v>26619.1</v>
      </c>
      <c r="L1488" s="3" t="n">
        <v>878430.3</v>
      </c>
      <c r="M1488" s="3" t="n">
        <v>0.1074</v>
      </c>
      <c r="N1488" s="3" t="n">
        <v>94343.41</v>
      </c>
      <c r="O1488" s="3" t="n">
        <v>784086.89</v>
      </c>
      <c r="P1488" s="3" t="n">
        <v>544626.79</v>
      </c>
      <c r="Q1488" s="3" t="n">
        <v>239460.1</v>
      </c>
      <c r="R1488" s="3" t="n">
        <v>0.3054</v>
      </c>
      <c r="S1488" s="3" t="n">
        <v>0.0988</v>
      </c>
      <c r="T1488" s="3" t="n">
        <v>0.0086</v>
      </c>
    </row>
    <row r="1489" customFormat="false" ht="15" hidden="false" customHeight="true" outlineLevel="0" collapsed="false">
      <c r="A1489" s="3" t="s">
        <v>2377</v>
      </c>
      <c r="B1489" s="3" t="s">
        <v>984</v>
      </c>
      <c r="C1489" s="3" t="s">
        <v>53</v>
      </c>
      <c r="D1489" s="3" t="s">
        <v>97</v>
      </c>
      <c r="E1489" s="3" t="s">
        <v>48</v>
      </c>
      <c r="F1489" s="3" t="s">
        <v>40</v>
      </c>
      <c r="G1489" s="3" t="s">
        <v>116</v>
      </c>
      <c r="H1489" s="3" t="s">
        <v>27</v>
      </c>
      <c r="I1489" s="3" t="s">
        <v>117</v>
      </c>
      <c r="J1489" s="3" t="n">
        <v>39</v>
      </c>
      <c r="K1489" s="3" t="n">
        <v>10897.35</v>
      </c>
      <c r="L1489" s="3" t="n">
        <v>424996.65</v>
      </c>
      <c r="M1489" s="3" t="n">
        <v>0.1223</v>
      </c>
      <c r="N1489" s="3" t="n">
        <v>51977.09</v>
      </c>
      <c r="O1489" s="3" t="n">
        <v>373019.56</v>
      </c>
      <c r="P1489" s="3" t="n">
        <v>263497.92</v>
      </c>
      <c r="Q1489" s="3" t="n">
        <v>109521.64</v>
      </c>
      <c r="R1489" s="3" t="n">
        <v>0.2936</v>
      </c>
      <c r="S1489" s="3" t="n">
        <v>0.1032</v>
      </c>
      <c r="T1489" s="3" t="n">
        <v>0.0191</v>
      </c>
    </row>
    <row r="1490" customFormat="false" ht="15" hidden="false" customHeight="true" outlineLevel="0" collapsed="false">
      <c r="A1490" s="3" t="s">
        <v>2378</v>
      </c>
      <c r="B1490" s="3" t="s">
        <v>2379</v>
      </c>
      <c r="C1490" s="3" t="s">
        <v>126</v>
      </c>
      <c r="D1490" s="3" t="s">
        <v>103</v>
      </c>
      <c r="E1490" s="3" t="s">
        <v>24</v>
      </c>
      <c r="F1490" s="3" t="s">
        <v>62</v>
      </c>
      <c r="G1490" s="3" t="s">
        <v>63</v>
      </c>
      <c r="H1490" s="3" t="s">
        <v>56</v>
      </c>
      <c r="I1490" s="3" t="s">
        <v>57</v>
      </c>
      <c r="J1490" s="3" t="n">
        <v>25</v>
      </c>
      <c r="K1490" s="3" t="n">
        <v>4128.52</v>
      </c>
      <c r="L1490" s="3" t="n">
        <v>103213</v>
      </c>
      <c r="M1490" s="3" t="n">
        <v>0.0352</v>
      </c>
      <c r="N1490" s="3" t="n">
        <v>3633.1</v>
      </c>
      <c r="O1490" s="3" t="n">
        <v>99579.9</v>
      </c>
      <c r="P1490" s="3" t="n">
        <v>61927.8</v>
      </c>
      <c r="Q1490" s="3" t="n">
        <v>37652.1</v>
      </c>
      <c r="R1490" s="3" t="n">
        <v>0.3781</v>
      </c>
      <c r="S1490" s="3" t="n">
        <v>0.0346</v>
      </c>
      <c r="T1490" s="3" t="n">
        <v>0.0006</v>
      </c>
    </row>
    <row r="1491" customFormat="false" ht="15" hidden="false" customHeight="true" outlineLevel="0" collapsed="false">
      <c r="A1491" s="3" t="s">
        <v>2380</v>
      </c>
      <c r="B1491" s="3" t="s">
        <v>933</v>
      </c>
      <c r="C1491" s="3" t="s">
        <v>126</v>
      </c>
      <c r="D1491" s="3" t="s">
        <v>61</v>
      </c>
      <c r="E1491" s="3" t="s">
        <v>33</v>
      </c>
      <c r="F1491" s="3" t="s">
        <v>62</v>
      </c>
      <c r="G1491" s="3" t="s">
        <v>84</v>
      </c>
      <c r="H1491" s="3" t="s">
        <v>42</v>
      </c>
      <c r="I1491" s="3" t="s">
        <v>43</v>
      </c>
      <c r="J1491" s="3" t="n">
        <v>16</v>
      </c>
      <c r="K1491" s="3" t="n">
        <v>3391.47</v>
      </c>
      <c r="L1491" s="3" t="n">
        <v>54263.52</v>
      </c>
      <c r="M1491" s="3" t="n">
        <v>0.0574</v>
      </c>
      <c r="N1491" s="3" t="n">
        <v>3114.73</v>
      </c>
      <c r="O1491" s="3" t="n">
        <v>51148.79</v>
      </c>
      <c r="P1491" s="3" t="n">
        <v>29844.94</v>
      </c>
      <c r="Q1491" s="3" t="n">
        <v>21303.85</v>
      </c>
      <c r="R1491" s="3" t="n">
        <v>0.4165</v>
      </c>
      <c r="S1491" s="3" t="n">
        <v>0.0464</v>
      </c>
      <c r="T1491" s="3" t="n">
        <v>0.011</v>
      </c>
    </row>
    <row r="1492" customFormat="false" ht="15" hidden="false" customHeight="true" outlineLevel="0" collapsed="false">
      <c r="A1492" s="3" t="s">
        <v>2381</v>
      </c>
      <c r="B1492" s="3" t="s">
        <v>262</v>
      </c>
      <c r="C1492" s="3" t="s">
        <v>156</v>
      </c>
      <c r="D1492" s="3" t="s">
        <v>69</v>
      </c>
      <c r="E1492" s="3" t="s">
        <v>39</v>
      </c>
      <c r="F1492" s="3" t="s">
        <v>70</v>
      </c>
      <c r="G1492" s="3" t="s">
        <v>34</v>
      </c>
      <c r="H1492" s="3" t="s">
        <v>64</v>
      </c>
      <c r="I1492" s="3" t="s">
        <v>108</v>
      </c>
      <c r="J1492" s="3" t="n">
        <v>14</v>
      </c>
      <c r="K1492" s="3" t="n">
        <v>6963.2</v>
      </c>
      <c r="L1492" s="3" t="n">
        <v>97484.8</v>
      </c>
      <c r="M1492" s="3" t="n">
        <v>0.0691</v>
      </c>
      <c r="N1492" s="3" t="n">
        <v>6736.2</v>
      </c>
      <c r="O1492" s="3" t="n">
        <v>90748.6</v>
      </c>
      <c r="P1492" s="3" t="n">
        <v>56541.18</v>
      </c>
      <c r="Q1492" s="3" t="n">
        <v>34207.42</v>
      </c>
      <c r="R1492" s="3" t="n">
        <v>0.3769</v>
      </c>
      <c r="S1492" s="3" t="n">
        <v>0.0731</v>
      </c>
      <c r="T1492" s="3" t="n">
        <v>-0.004</v>
      </c>
    </row>
    <row r="1493" customFormat="false" ht="15" hidden="false" customHeight="true" outlineLevel="0" collapsed="false">
      <c r="A1493" s="3" t="s">
        <v>2382</v>
      </c>
      <c r="B1493" s="3" t="s">
        <v>517</v>
      </c>
      <c r="C1493" s="3" t="s">
        <v>113</v>
      </c>
      <c r="D1493" s="3" t="s">
        <v>83</v>
      </c>
      <c r="E1493" s="3" t="s">
        <v>48</v>
      </c>
      <c r="F1493" s="3" t="s">
        <v>62</v>
      </c>
      <c r="G1493" s="3" t="s">
        <v>100</v>
      </c>
      <c r="H1493" s="3" t="s">
        <v>77</v>
      </c>
      <c r="I1493" s="3" t="s">
        <v>78</v>
      </c>
      <c r="J1493" s="3" t="n">
        <v>37</v>
      </c>
      <c r="K1493" s="3" t="n">
        <v>3845.89</v>
      </c>
      <c r="L1493" s="3" t="n">
        <v>142297.93</v>
      </c>
      <c r="M1493" s="3" t="n">
        <v>0.0396</v>
      </c>
      <c r="N1493" s="3" t="n">
        <v>5635</v>
      </c>
      <c r="O1493" s="3" t="n">
        <v>136662.93</v>
      </c>
      <c r="P1493" s="3" t="n">
        <v>96762.59</v>
      </c>
      <c r="Q1493" s="3" t="n">
        <v>39900.34</v>
      </c>
      <c r="R1493" s="3" t="n">
        <v>0.292</v>
      </c>
      <c r="S1493" s="3" t="n">
        <v>0.0418</v>
      </c>
      <c r="T1493" s="3" t="n">
        <v>-0.0022</v>
      </c>
    </row>
    <row r="1494" customFormat="false" ht="15" hidden="false" customHeight="true" outlineLevel="0" collapsed="false">
      <c r="A1494" s="3" t="s">
        <v>2383</v>
      </c>
      <c r="B1494" s="3" t="s">
        <v>2384</v>
      </c>
      <c r="C1494" s="3" t="s">
        <v>46</v>
      </c>
      <c r="D1494" s="3" t="s">
        <v>38</v>
      </c>
      <c r="E1494" s="3" t="s">
        <v>39</v>
      </c>
      <c r="F1494" s="3" t="s">
        <v>40</v>
      </c>
      <c r="G1494" s="3" t="s">
        <v>55</v>
      </c>
      <c r="H1494" s="3" t="s">
        <v>77</v>
      </c>
      <c r="I1494" s="3" t="s">
        <v>85</v>
      </c>
      <c r="J1494" s="3" t="n">
        <v>25</v>
      </c>
      <c r="K1494" s="3" t="n">
        <v>5465.3</v>
      </c>
      <c r="L1494" s="3" t="n">
        <v>136632.5</v>
      </c>
      <c r="M1494" s="3" t="n">
        <v>0.0673</v>
      </c>
      <c r="N1494" s="3" t="n">
        <v>9195.37</v>
      </c>
      <c r="O1494" s="3" t="n">
        <v>127437.13</v>
      </c>
      <c r="P1494" s="3" t="n">
        <v>92910.1</v>
      </c>
      <c r="Q1494" s="3" t="n">
        <v>34527.03</v>
      </c>
      <c r="R1494" s="3" t="n">
        <v>0.2709</v>
      </c>
      <c r="S1494" s="3" t="n">
        <v>0.0701</v>
      </c>
      <c r="T1494" s="3" t="n">
        <v>-0.0028</v>
      </c>
    </row>
    <row r="1495" customFormat="false" ht="15" hidden="false" customHeight="true" outlineLevel="0" collapsed="false">
      <c r="A1495" s="3" t="s">
        <v>2385</v>
      </c>
      <c r="B1495" s="3" t="s">
        <v>2059</v>
      </c>
      <c r="C1495" s="3" t="s">
        <v>46</v>
      </c>
      <c r="D1495" s="3" t="s">
        <v>54</v>
      </c>
      <c r="E1495" s="3" t="s">
        <v>24</v>
      </c>
      <c r="F1495" s="3" t="s">
        <v>40</v>
      </c>
      <c r="G1495" s="3" t="s">
        <v>49</v>
      </c>
      <c r="H1495" s="3" t="s">
        <v>77</v>
      </c>
      <c r="I1495" s="3" t="s">
        <v>78</v>
      </c>
      <c r="J1495" s="3" t="n">
        <v>16</v>
      </c>
      <c r="K1495" s="3" t="n">
        <v>5520.25</v>
      </c>
      <c r="L1495" s="3" t="n">
        <v>88324</v>
      </c>
      <c r="M1495" s="3" t="n">
        <v>0.046</v>
      </c>
      <c r="N1495" s="3" t="n">
        <v>4062.9</v>
      </c>
      <c r="O1495" s="3" t="n">
        <v>84261.1</v>
      </c>
      <c r="P1495" s="3" t="n">
        <v>60060.32</v>
      </c>
      <c r="Q1495" s="3" t="n">
        <v>24200.78</v>
      </c>
      <c r="R1495" s="3" t="n">
        <v>0.2872</v>
      </c>
      <c r="S1495" s="3" t="n">
        <v>0.0379</v>
      </c>
      <c r="T1495" s="3" t="n">
        <v>0.0081</v>
      </c>
    </row>
    <row r="1496" customFormat="false" ht="15" hidden="false" customHeight="true" outlineLevel="0" collapsed="false">
      <c r="A1496" s="3" t="s">
        <v>2386</v>
      </c>
      <c r="B1496" s="3" t="s">
        <v>1355</v>
      </c>
      <c r="C1496" s="3" t="s">
        <v>120</v>
      </c>
      <c r="D1496" s="3" t="s">
        <v>97</v>
      </c>
      <c r="E1496" s="3" t="s">
        <v>48</v>
      </c>
      <c r="F1496" s="3" t="s">
        <v>40</v>
      </c>
      <c r="G1496" s="3" t="s">
        <v>26</v>
      </c>
      <c r="H1496" s="3" t="s">
        <v>64</v>
      </c>
      <c r="I1496" s="3" t="s">
        <v>145</v>
      </c>
      <c r="J1496" s="3" t="n">
        <v>35</v>
      </c>
      <c r="K1496" s="3" t="n">
        <v>5222.06</v>
      </c>
      <c r="L1496" s="3" t="n">
        <v>182772.1</v>
      </c>
      <c r="M1496" s="3" t="n">
        <v>0.0589</v>
      </c>
      <c r="N1496" s="3" t="n">
        <v>10765.28</v>
      </c>
      <c r="O1496" s="3" t="n">
        <v>172006.82</v>
      </c>
      <c r="P1496" s="3" t="n">
        <v>106007.82</v>
      </c>
      <c r="Q1496" s="3" t="n">
        <v>65999</v>
      </c>
      <c r="R1496" s="3" t="n">
        <v>0.3837</v>
      </c>
      <c r="S1496" s="3" t="n">
        <v>0.0645</v>
      </c>
      <c r="T1496" s="3" t="n">
        <v>-0.0056</v>
      </c>
    </row>
    <row r="1497" customFormat="false" ht="15" hidden="false" customHeight="true" outlineLevel="0" collapsed="false">
      <c r="A1497" s="3" t="s">
        <v>2387</v>
      </c>
      <c r="B1497" s="3" t="s">
        <v>1704</v>
      </c>
      <c r="C1497" s="3" t="s">
        <v>37</v>
      </c>
      <c r="D1497" s="3" t="s">
        <v>107</v>
      </c>
      <c r="E1497" s="3" t="s">
        <v>33</v>
      </c>
      <c r="F1497" s="3" t="s">
        <v>70</v>
      </c>
      <c r="G1497" s="3" t="s">
        <v>49</v>
      </c>
      <c r="H1497" s="3" t="s">
        <v>77</v>
      </c>
      <c r="I1497" s="3" t="s">
        <v>85</v>
      </c>
      <c r="J1497" s="3" t="n">
        <v>39</v>
      </c>
      <c r="K1497" s="3" t="n">
        <v>1703.08</v>
      </c>
      <c r="L1497" s="3" t="n">
        <v>66420.12</v>
      </c>
      <c r="M1497" s="3" t="n">
        <v>0.0414</v>
      </c>
      <c r="N1497" s="3" t="n">
        <v>2749.79</v>
      </c>
      <c r="O1497" s="3" t="n">
        <v>63670.33</v>
      </c>
      <c r="P1497" s="3" t="n">
        <v>45165.68</v>
      </c>
      <c r="Q1497" s="3" t="n">
        <v>18504.65</v>
      </c>
      <c r="R1497" s="3" t="n">
        <v>0.2906</v>
      </c>
      <c r="S1497" s="3" t="n">
        <v>0.042</v>
      </c>
      <c r="T1497" s="3" t="n">
        <v>-0.0006</v>
      </c>
    </row>
    <row r="1498" customFormat="false" ht="15" hidden="false" customHeight="true" outlineLevel="0" collapsed="false">
      <c r="A1498" s="3" t="s">
        <v>2388</v>
      </c>
      <c r="B1498" s="3" t="s">
        <v>170</v>
      </c>
      <c r="C1498" s="3" t="s">
        <v>31</v>
      </c>
      <c r="D1498" s="3" t="s">
        <v>23</v>
      </c>
      <c r="E1498" s="3" t="s">
        <v>24</v>
      </c>
      <c r="F1498" s="3" t="s">
        <v>25</v>
      </c>
      <c r="G1498" s="3" t="s">
        <v>84</v>
      </c>
      <c r="H1498" s="3" t="s">
        <v>56</v>
      </c>
      <c r="I1498" s="3" t="s">
        <v>188</v>
      </c>
      <c r="J1498" s="3" t="n">
        <v>4</v>
      </c>
      <c r="K1498" s="3" t="n">
        <v>6306.14</v>
      </c>
      <c r="L1498" s="3" t="n">
        <v>25224.56</v>
      </c>
      <c r="M1498" s="3" t="n">
        <v>0.128</v>
      </c>
      <c r="N1498" s="3" t="n">
        <v>3228.74</v>
      </c>
      <c r="O1498" s="3" t="n">
        <v>21995.82</v>
      </c>
      <c r="P1498" s="3" t="n">
        <v>15134.74</v>
      </c>
      <c r="Q1498" s="3" t="n">
        <v>6861.08</v>
      </c>
      <c r="R1498" s="3" t="n">
        <v>0.3119</v>
      </c>
      <c r="S1498" s="3" t="n">
        <v>0.1049</v>
      </c>
      <c r="T1498" s="3" t="n">
        <v>0.0231</v>
      </c>
    </row>
    <row r="1499" customFormat="false" ht="15" hidden="false" customHeight="true" outlineLevel="0" collapsed="false">
      <c r="A1499" s="3" t="s">
        <v>2389</v>
      </c>
      <c r="B1499" s="3" t="s">
        <v>775</v>
      </c>
      <c r="C1499" s="3" t="s">
        <v>60</v>
      </c>
      <c r="D1499" s="3" t="s">
        <v>75</v>
      </c>
      <c r="E1499" s="3" t="s">
        <v>39</v>
      </c>
      <c r="F1499" s="3" t="s">
        <v>25</v>
      </c>
      <c r="G1499" s="3" t="s">
        <v>84</v>
      </c>
      <c r="H1499" s="3" t="s">
        <v>27</v>
      </c>
      <c r="I1499" s="3" t="s">
        <v>94</v>
      </c>
      <c r="J1499" s="3" t="n">
        <v>4</v>
      </c>
      <c r="K1499" s="3" t="n">
        <v>25887.87</v>
      </c>
      <c r="L1499" s="3" t="n">
        <v>103551.48</v>
      </c>
      <c r="M1499" s="3" t="n">
        <v>0.1529</v>
      </c>
      <c r="N1499" s="3" t="n">
        <v>15833.02</v>
      </c>
      <c r="O1499" s="3" t="n">
        <v>87718.46</v>
      </c>
      <c r="P1499" s="3" t="n">
        <v>64201.92</v>
      </c>
      <c r="Q1499" s="3" t="n">
        <v>23516.54</v>
      </c>
      <c r="R1499" s="3" t="n">
        <v>0.2681</v>
      </c>
      <c r="S1499" s="3" t="n">
        <v>0.1253</v>
      </c>
      <c r="T1499" s="3" t="n">
        <v>0.0276</v>
      </c>
    </row>
    <row r="1500" customFormat="false" ht="15" hidden="false" customHeight="true" outlineLevel="0" collapsed="false">
      <c r="A1500" s="3" t="s">
        <v>2390</v>
      </c>
      <c r="B1500" s="3" t="s">
        <v>2391</v>
      </c>
      <c r="C1500" s="3" t="s">
        <v>68</v>
      </c>
      <c r="D1500" s="3" t="s">
        <v>103</v>
      </c>
      <c r="E1500" s="3" t="s">
        <v>24</v>
      </c>
      <c r="F1500" s="3" t="s">
        <v>62</v>
      </c>
      <c r="G1500" s="3" t="s">
        <v>55</v>
      </c>
      <c r="H1500" s="3" t="s">
        <v>27</v>
      </c>
      <c r="I1500" s="3" t="s">
        <v>50</v>
      </c>
      <c r="J1500" s="3" t="n">
        <v>47</v>
      </c>
      <c r="K1500" s="3" t="n">
        <v>16064.39</v>
      </c>
      <c r="L1500" s="3" t="n">
        <v>755026.33</v>
      </c>
      <c r="M1500" s="3" t="n">
        <v>0.0314</v>
      </c>
      <c r="N1500" s="3" t="n">
        <v>23707.83</v>
      </c>
      <c r="O1500" s="3" t="n">
        <v>731318.5</v>
      </c>
      <c r="P1500" s="3" t="n">
        <v>468116.32</v>
      </c>
      <c r="Q1500" s="3" t="n">
        <v>263202.18</v>
      </c>
      <c r="R1500" s="3" t="n">
        <v>0.3599</v>
      </c>
      <c r="S1500" s="3" t="n">
        <v>0.0292</v>
      </c>
      <c r="T1500" s="3" t="n">
        <v>0.0022</v>
      </c>
    </row>
    <row r="1501" customFormat="false" ht="15" hidden="false" customHeight="true" outlineLevel="0" collapsed="false">
      <c r="A1501" s="3" t="s">
        <v>2392</v>
      </c>
      <c r="B1501" s="3" t="s">
        <v>1034</v>
      </c>
      <c r="C1501" s="3" t="s">
        <v>53</v>
      </c>
      <c r="D1501" s="3" t="s">
        <v>75</v>
      </c>
      <c r="E1501" s="3" t="s">
        <v>39</v>
      </c>
      <c r="F1501" s="3" t="s">
        <v>25</v>
      </c>
      <c r="G1501" s="3" t="s">
        <v>71</v>
      </c>
      <c r="H1501" s="3" t="s">
        <v>77</v>
      </c>
      <c r="I1501" s="3" t="s">
        <v>131</v>
      </c>
      <c r="J1501" s="3" t="n">
        <v>35</v>
      </c>
      <c r="K1501" s="3" t="n">
        <v>3370.14</v>
      </c>
      <c r="L1501" s="3" t="n">
        <v>117954.9</v>
      </c>
      <c r="M1501" s="3" t="n">
        <v>0.1292</v>
      </c>
      <c r="N1501" s="3" t="n">
        <v>15239.77</v>
      </c>
      <c r="O1501" s="3" t="n">
        <v>102715.13</v>
      </c>
      <c r="P1501" s="3" t="n">
        <v>80209.33</v>
      </c>
      <c r="Q1501" s="3" t="n">
        <v>22505.8</v>
      </c>
      <c r="R1501" s="3" t="n">
        <v>0.2191</v>
      </c>
      <c r="S1501" s="3" t="n">
        <v>0.1255</v>
      </c>
      <c r="T1501" s="3" t="n">
        <v>0.0037</v>
      </c>
    </row>
    <row r="1502" customFormat="false" ht="15" hidden="false" customHeight="true" outlineLevel="0" collapsed="false">
      <c r="A1502" s="3" t="s">
        <v>2393</v>
      </c>
      <c r="B1502" s="3" t="s">
        <v>936</v>
      </c>
      <c r="C1502" s="3" t="s">
        <v>156</v>
      </c>
      <c r="D1502" s="3" t="s">
        <v>107</v>
      </c>
      <c r="E1502" s="3" t="s">
        <v>33</v>
      </c>
      <c r="F1502" s="3" t="s">
        <v>70</v>
      </c>
      <c r="G1502" s="3" t="s">
        <v>100</v>
      </c>
      <c r="H1502" s="3" t="s">
        <v>77</v>
      </c>
      <c r="I1502" s="3" t="s">
        <v>131</v>
      </c>
      <c r="J1502" s="3" t="n">
        <v>38</v>
      </c>
      <c r="K1502" s="3" t="n">
        <v>5904.86</v>
      </c>
      <c r="L1502" s="3" t="n">
        <v>224384.68</v>
      </c>
      <c r="M1502" s="3" t="n">
        <v>0.0457</v>
      </c>
      <c r="N1502" s="3" t="n">
        <v>10254.38</v>
      </c>
      <c r="O1502" s="3" t="n">
        <v>214130.3</v>
      </c>
      <c r="P1502" s="3" t="n">
        <v>152581.58</v>
      </c>
      <c r="Q1502" s="3" t="n">
        <v>61548.72</v>
      </c>
      <c r="R1502" s="3" t="n">
        <v>0.2874</v>
      </c>
      <c r="S1502" s="3" t="n">
        <v>0.0499</v>
      </c>
      <c r="T1502" s="3" t="n">
        <v>-0.0042</v>
      </c>
    </row>
    <row r="1503" customFormat="false" ht="15" hidden="false" customHeight="true" outlineLevel="0" collapsed="false">
      <c r="A1503" s="3" t="s">
        <v>2394</v>
      </c>
      <c r="B1503" s="3" t="s">
        <v>2395</v>
      </c>
      <c r="C1503" s="3" t="s">
        <v>113</v>
      </c>
      <c r="D1503" s="3" t="s">
        <v>32</v>
      </c>
      <c r="E1503" s="3" t="s">
        <v>33</v>
      </c>
      <c r="F1503" s="3" t="s">
        <v>25</v>
      </c>
      <c r="G1503" s="3" t="s">
        <v>116</v>
      </c>
      <c r="H1503" s="3" t="s">
        <v>42</v>
      </c>
      <c r="I1503" s="3" t="s">
        <v>72</v>
      </c>
      <c r="J1503" s="3" t="n">
        <v>5</v>
      </c>
      <c r="K1503" s="3" t="n">
        <v>3211.17</v>
      </c>
      <c r="L1503" s="3" t="n">
        <v>16055.85</v>
      </c>
      <c r="M1503" s="3" t="n">
        <v>0.1923</v>
      </c>
      <c r="N1503" s="3" t="n">
        <v>3087.54</v>
      </c>
      <c r="O1503" s="3" t="n">
        <v>12968.31</v>
      </c>
      <c r="P1503" s="3" t="n">
        <v>8830.72</v>
      </c>
      <c r="Q1503" s="3" t="n">
        <v>4137.59</v>
      </c>
      <c r="R1503" s="3" t="n">
        <v>0.3191</v>
      </c>
      <c r="S1503" s="3" t="n">
        <v>0.1682</v>
      </c>
      <c r="T1503" s="3" t="n">
        <v>0.0241</v>
      </c>
    </row>
    <row r="1504" customFormat="false" ht="15" hidden="false" customHeight="true" outlineLevel="0" collapsed="false">
      <c r="A1504" s="3" t="s">
        <v>2396</v>
      </c>
      <c r="B1504" s="3" t="s">
        <v>2170</v>
      </c>
      <c r="C1504" s="3" t="s">
        <v>120</v>
      </c>
      <c r="D1504" s="3" t="s">
        <v>38</v>
      </c>
      <c r="E1504" s="3" t="s">
        <v>39</v>
      </c>
      <c r="F1504" s="3" t="s">
        <v>40</v>
      </c>
      <c r="G1504" s="3" t="s">
        <v>104</v>
      </c>
      <c r="H1504" s="3" t="s">
        <v>64</v>
      </c>
      <c r="I1504" s="3" t="s">
        <v>108</v>
      </c>
      <c r="J1504" s="3" t="n">
        <v>32</v>
      </c>
      <c r="K1504" s="3" t="n">
        <v>8844.66</v>
      </c>
      <c r="L1504" s="3" t="n">
        <v>283029.12</v>
      </c>
      <c r="M1504" s="3" t="n">
        <v>0.0997</v>
      </c>
      <c r="N1504" s="3" t="n">
        <v>28218</v>
      </c>
      <c r="O1504" s="3" t="n">
        <v>254811.12</v>
      </c>
      <c r="P1504" s="3" t="n">
        <v>164156.89</v>
      </c>
      <c r="Q1504" s="3" t="n">
        <v>90654.23</v>
      </c>
      <c r="R1504" s="3" t="n">
        <v>0.3558</v>
      </c>
      <c r="S1504" s="3" t="n">
        <v>0.1081</v>
      </c>
      <c r="T1504" s="3" t="n">
        <v>-0.0084</v>
      </c>
    </row>
    <row r="1505" customFormat="false" ht="15" hidden="false" customHeight="true" outlineLevel="0" collapsed="false">
      <c r="A1505" s="3" t="s">
        <v>2397</v>
      </c>
      <c r="B1505" s="3" t="s">
        <v>2398</v>
      </c>
      <c r="C1505" s="3" t="s">
        <v>113</v>
      </c>
      <c r="D1505" s="3" t="s">
        <v>38</v>
      </c>
      <c r="E1505" s="3" t="s">
        <v>39</v>
      </c>
      <c r="F1505" s="3" t="s">
        <v>40</v>
      </c>
      <c r="G1505" s="3" t="s">
        <v>63</v>
      </c>
      <c r="H1505" s="3" t="s">
        <v>77</v>
      </c>
      <c r="I1505" s="3" t="s">
        <v>78</v>
      </c>
      <c r="J1505" s="3" t="n">
        <v>9</v>
      </c>
      <c r="K1505" s="3" t="n">
        <v>4542.79</v>
      </c>
      <c r="L1505" s="3" t="n">
        <v>40885.11</v>
      </c>
      <c r="M1505" s="3" t="n">
        <v>0.0724</v>
      </c>
      <c r="N1505" s="3" t="n">
        <v>2960.08</v>
      </c>
      <c r="O1505" s="3" t="n">
        <v>37925.03</v>
      </c>
      <c r="P1505" s="3" t="n">
        <v>27801.87</v>
      </c>
      <c r="Q1505" s="3" t="n">
        <v>10123.16</v>
      </c>
      <c r="R1505" s="3" t="n">
        <v>0.2669</v>
      </c>
      <c r="S1505" s="3" t="n">
        <v>0.06</v>
      </c>
      <c r="T1505" s="3" t="n">
        <v>0.0124</v>
      </c>
    </row>
    <row r="1506" customFormat="false" ht="15" hidden="false" customHeight="true" outlineLevel="0" collapsed="false">
      <c r="A1506" s="3" t="s">
        <v>2399</v>
      </c>
      <c r="B1506" s="3" t="s">
        <v>2400</v>
      </c>
      <c r="C1506" s="3" t="s">
        <v>113</v>
      </c>
      <c r="D1506" s="3" t="s">
        <v>103</v>
      </c>
      <c r="E1506" s="3" t="s">
        <v>24</v>
      </c>
      <c r="F1506" s="3" t="s">
        <v>62</v>
      </c>
      <c r="G1506" s="3" t="s">
        <v>76</v>
      </c>
      <c r="H1506" s="3" t="s">
        <v>64</v>
      </c>
      <c r="I1506" s="3" t="s">
        <v>90</v>
      </c>
      <c r="J1506" s="3" t="n">
        <v>12</v>
      </c>
      <c r="K1506" s="3" t="n">
        <v>7497.14</v>
      </c>
      <c r="L1506" s="3" t="n">
        <v>89965.68</v>
      </c>
      <c r="M1506" s="3" t="n">
        <v>0.043</v>
      </c>
      <c r="N1506" s="3" t="n">
        <v>3868.52</v>
      </c>
      <c r="O1506" s="3" t="n">
        <v>86097.16</v>
      </c>
      <c r="P1506" s="3" t="n">
        <v>52180.09</v>
      </c>
      <c r="Q1506" s="3" t="n">
        <v>33917.07</v>
      </c>
      <c r="R1506" s="3" t="n">
        <v>0.3939</v>
      </c>
      <c r="S1506" s="3" t="n">
        <v>0.0373</v>
      </c>
      <c r="T1506" s="3" t="n">
        <v>0.0057</v>
      </c>
    </row>
    <row r="1507" customFormat="false" ht="15" hidden="false" customHeight="true" outlineLevel="0" collapsed="false">
      <c r="A1507" s="3" t="s">
        <v>2401</v>
      </c>
      <c r="B1507" s="3" t="s">
        <v>2402</v>
      </c>
      <c r="C1507" s="3" t="s">
        <v>22</v>
      </c>
      <c r="D1507" s="3" t="s">
        <v>23</v>
      </c>
      <c r="E1507" s="3" t="s">
        <v>24</v>
      </c>
      <c r="F1507" s="3" t="s">
        <v>25</v>
      </c>
      <c r="G1507" s="3" t="s">
        <v>84</v>
      </c>
      <c r="H1507" s="3" t="s">
        <v>27</v>
      </c>
      <c r="I1507" s="3" t="s">
        <v>50</v>
      </c>
      <c r="J1507" s="3" t="n">
        <v>34</v>
      </c>
      <c r="K1507" s="3" t="n">
        <v>32058.09</v>
      </c>
      <c r="L1507" s="3" t="n">
        <v>1089975.06</v>
      </c>
      <c r="M1507" s="3" t="n">
        <v>0.1532</v>
      </c>
      <c r="N1507" s="3" t="n">
        <v>166984.18</v>
      </c>
      <c r="O1507" s="3" t="n">
        <v>922990.88</v>
      </c>
      <c r="P1507" s="3" t="n">
        <v>675784.54</v>
      </c>
      <c r="Q1507" s="3" t="n">
        <v>247206.34</v>
      </c>
      <c r="R1507" s="3" t="n">
        <v>0.2678</v>
      </c>
      <c r="S1507" s="3" t="n">
        <v>0.1677</v>
      </c>
      <c r="T1507" s="3" t="n">
        <v>-0.0145</v>
      </c>
    </row>
    <row r="1508" customFormat="false" ht="15" hidden="false" customHeight="true" outlineLevel="0" collapsed="false">
      <c r="A1508" s="3" t="s">
        <v>2403</v>
      </c>
      <c r="B1508" s="3" t="s">
        <v>1415</v>
      </c>
      <c r="C1508" s="3" t="s">
        <v>46</v>
      </c>
      <c r="D1508" s="3" t="s">
        <v>32</v>
      </c>
      <c r="E1508" s="3" t="s">
        <v>33</v>
      </c>
      <c r="F1508" s="3" t="s">
        <v>25</v>
      </c>
      <c r="G1508" s="3" t="s">
        <v>41</v>
      </c>
      <c r="H1508" s="3" t="s">
        <v>42</v>
      </c>
      <c r="I1508" s="3" t="s">
        <v>43</v>
      </c>
      <c r="J1508" s="3" t="n">
        <v>34</v>
      </c>
      <c r="K1508" s="3" t="n">
        <v>506.05</v>
      </c>
      <c r="L1508" s="3" t="n">
        <v>17205.7</v>
      </c>
      <c r="M1508" s="3" t="n">
        <v>0.129</v>
      </c>
      <c r="N1508" s="3" t="n">
        <v>2219.54</v>
      </c>
      <c r="O1508" s="3" t="n">
        <v>14986.16</v>
      </c>
      <c r="P1508" s="3" t="n">
        <v>9463.14</v>
      </c>
      <c r="Q1508" s="3" t="n">
        <v>5523.02</v>
      </c>
      <c r="R1508" s="3" t="n">
        <v>0.3685</v>
      </c>
      <c r="S1508" s="3" t="n">
        <v>0.1365</v>
      </c>
      <c r="T1508" s="3" t="n">
        <v>-0.0075</v>
      </c>
    </row>
    <row r="1509" customFormat="false" ht="15" hidden="false" customHeight="true" outlineLevel="0" collapsed="false">
      <c r="A1509" s="3" t="s">
        <v>2404</v>
      </c>
      <c r="B1509" s="3" t="s">
        <v>1626</v>
      </c>
      <c r="C1509" s="3" t="s">
        <v>46</v>
      </c>
      <c r="D1509" s="3" t="s">
        <v>75</v>
      </c>
      <c r="E1509" s="3" t="s">
        <v>39</v>
      </c>
      <c r="F1509" s="3" t="s">
        <v>25</v>
      </c>
      <c r="G1509" s="3" t="s">
        <v>41</v>
      </c>
      <c r="H1509" s="3" t="s">
        <v>64</v>
      </c>
      <c r="I1509" s="3" t="s">
        <v>90</v>
      </c>
      <c r="J1509" s="3" t="n">
        <v>23</v>
      </c>
      <c r="K1509" s="3" t="n">
        <v>7816.93</v>
      </c>
      <c r="L1509" s="3" t="n">
        <v>179789.39</v>
      </c>
      <c r="M1509" s="3" t="n">
        <v>0.1557</v>
      </c>
      <c r="N1509" s="3" t="n">
        <v>27993.21</v>
      </c>
      <c r="O1509" s="3" t="n">
        <v>151796.18</v>
      </c>
      <c r="P1509" s="3" t="n">
        <v>104277.85</v>
      </c>
      <c r="Q1509" s="3" t="n">
        <v>47518.33</v>
      </c>
      <c r="R1509" s="3" t="n">
        <v>0.313</v>
      </c>
      <c r="S1509" s="3" t="n">
        <v>0.1514</v>
      </c>
      <c r="T1509" s="3" t="n">
        <v>0.0043</v>
      </c>
    </row>
    <row r="1510" customFormat="false" ht="15" hidden="false" customHeight="true" outlineLevel="0" collapsed="false">
      <c r="A1510" s="3" t="s">
        <v>2405</v>
      </c>
      <c r="B1510" s="3" t="s">
        <v>2166</v>
      </c>
      <c r="C1510" s="3" t="s">
        <v>120</v>
      </c>
      <c r="D1510" s="3" t="s">
        <v>83</v>
      </c>
      <c r="E1510" s="3" t="s">
        <v>48</v>
      </c>
      <c r="F1510" s="3" t="s">
        <v>62</v>
      </c>
      <c r="G1510" s="3" t="s">
        <v>84</v>
      </c>
      <c r="H1510" s="3" t="s">
        <v>64</v>
      </c>
      <c r="I1510" s="3" t="s">
        <v>108</v>
      </c>
      <c r="J1510" s="3" t="n">
        <v>3</v>
      </c>
      <c r="K1510" s="3" t="n">
        <v>3273.08</v>
      </c>
      <c r="L1510" s="3" t="n">
        <v>9819.24</v>
      </c>
      <c r="M1510" s="3" t="n">
        <v>0.0768</v>
      </c>
      <c r="N1510" s="3" t="n">
        <v>754.12</v>
      </c>
      <c r="O1510" s="3" t="n">
        <v>9065.12</v>
      </c>
      <c r="P1510" s="3" t="n">
        <v>5695.16</v>
      </c>
      <c r="Q1510" s="3" t="n">
        <v>3369.96</v>
      </c>
      <c r="R1510" s="3" t="n">
        <v>0.3718</v>
      </c>
      <c r="S1510" s="3" t="n">
        <v>0.08</v>
      </c>
      <c r="T1510" s="3" t="n">
        <v>-0.0032</v>
      </c>
    </row>
    <row r="1511" customFormat="false" ht="15" hidden="false" customHeight="true" outlineLevel="0" collapsed="false">
      <c r="A1511" s="3" t="s">
        <v>2406</v>
      </c>
      <c r="B1511" s="3" t="s">
        <v>144</v>
      </c>
      <c r="C1511" s="3" t="s">
        <v>120</v>
      </c>
      <c r="D1511" s="3" t="s">
        <v>54</v>
      </c>
      <c r="E1511" s="3" t="s">
        <v>24</v>
      </c>
      <c r="F1511" s="3" t="s">
        <v>40</v>
      </c>
      <c r="G1511" s="3" t="s">
        <v>49</v>
      </c>
      <c r="H1511" s="3" t="s">
        <v>42</v>
      </c>
      <c r="I1511" s="3" t="s">
        <v>43</v>
      </c>
      <c r="J1511" s="3" t="n">
        <v>38</v>
      </c>
      <c r="K1511" s="3" t="n">
        <v>2890.61</v>
      </c>
      <c r="L1511" s="3" t="n">
        <v>109843.18</v>
      </c>
      <c r="M1511" s="3" t="n">
        <v>0.0559</v>
      </c>
      <c r="N1511" s="3" t="n">
        <v>6140.23</v>
      </c>
      <c r="O1511" s="3" t="n">
        <v>103702.95</v>
      </c>
      <c r="P1511" s="3" t="n">
        <v>60413.75</v>
      </c>
      <c r="Q1511" s="3" t="n">
        <v>43289.2</v>
      </c>
      <c r="R1511" s="3" t="n">
        <v>0.4174</v>
      </c>
      <c r="S1511" s="3" t="n">
        <v>0.0531</v>
      </c>
      <c r="T1511" s="3" t="n">
        <v>0.0028</v>
      </c>
    </row>
    <row r="1512" customFormat="false" ht="15" hidden="false" customHeight="true" outlineLevel="0" collapsed="false">
      <c r="A1512" s="3" t="s">
        <v>2407</v>
      </c>
      <c r="B1512" s="3" t="s">
        <v>2408</v>
      </c>
      <c r="C1512" s="3" t="s">
        <v>93</v>
      </c>
      <c r="D1512" s="3" t="s">
        <v>38</v>
      </c>
      <c r="E1512" s="3" t="s">
        <v>39</v>
      </c>
      <c r="F1512" s="3" t="s">
        <v>40</v>
      </c>
      <c r="G1512" s="3" t="s">
        <v>84</v>
      </c>
      <c r="H1512" s="3" t="s">
        <v>64</v>
      </c>
      <c r="I1512" s="3" t="s">
        <v>145</v>
      </c>
      <c r="J1512" s="3" t="n">
        <v>36</v>
      </c>
      <c r="K1512" s="3" t="n">
        <v>11357.46</v>
      </c>
      <c r="L1512" s="3" t="n">
        <v>408868.56</v>
      </c>
      <c r="M1512" s="3" t="n">
        <v>0.0716</v>
      </c>
      <c r="N1512" s="3" t="n">
        <v>29274.99</v>
      </c>
      <c r="O1512" s="3" t="n">
        <v>379593.57</v>
      </c>
      <c r="P1512" s="3" t="n">
        <v>237143.76</v>
      </c>
      <c r="Q1512" s="3" t="n">
        <v>142449.81</v>
      </c>
      <c r="R1512" s="3" t="n">
        <v>0.3753</v>
      </c>
      <c r="S1512" s="3" t="n">
        <v>0.0775</v>
      </c>
      <c r="T1512" s="3" t="n">
        <v>-0.0059</v>
      </c>
    </row>
    <row r="1513" customFormat="false" ht="15" hidden="false" customHeight="true" outlineLevel="0" collapsed="false">
      <c r="A1513" s="3" t="s">
        <v>2409</v>
      </c>
      <c r="B1513" s="3" t="s">
        <v>1738</v>
      </c>
      <c r="C1513" s="3" t="s">
        <v>113</v>
      </c>
      <c r="D1513" s="3" t="s">
        <v>23</v>
      </c>
      <c r="E1513" s="3" t="s">
        <v>24</v>
      </c>
      <c r="F1513" s="3" t="s">
        <v>25</v>
      </c>
      <c r="G1513" s="3" t="s">
        <v>49</v>
      </c>
      <c r="H1513" s="3" t="s">
        <v>56</v>
      </c>
      <c r="I1513" s="3" t="s">
        <v>188</v>
      </c>
      <c r="J1513" s="3" t="n">
        <v>10</v>
      </c>
      <c r="K1513" s="3" t="n">
        <v>5939.55</v>
      </c>
      <c r="L1513" s="3" t="n">
        <v>59395.5</v>
      </c>
      <c r="M1513" s="3" t="n">
        <v>0.1474</v>
      </c>
      <c r="N1513" s="3" t="n">
        <v>8754.9</v>
      </c>
      <c r="O1513" s="3" t="n">
        <v>50640.6</v>
      </c>
      <c r="P1513" s="3" t="n">
        <v>35637.3</v>
      </c>
      <c r="Q1513" s="3" t="n">
        <v>15003.3</v>
      </c>
      <c r="R1513" s="3" t="n">
        <v>0.2963</v>
      </c>
      <c r="S1513" s="3" t="n">
        <v>0.153</v>
      </c>
      <c r="T1513" s="3" t="n">
        <v>-0.0056</v>
      </c>
    </row>
    <row r="1514" customFormat="false" ht="15" hidden="false" customHeight="true" outlineLevel="0" collapsed="false">
      <c r="A1514" s="3" t="s">
        <v>2410</v>
      </c>
      <c r="B1514" s="3" t="s">
        <v>321</v>
      </c>
      <c r="C1514" s="3" t="s">
        <v>120</v>
      </c>
      <c r="D1514" s="3" t="s">
        <v>32</v>
      </c>
      <c r="E1514" s="3" t="s">
        <v>33</v>
      </c>
      <c r="F1514" s="3" t="s">
        <v>25</v>
      </c>
      <c r="G1514" s="3" t="s">
        <v>84</v>
      </c>
      <c r="H1514" s="3" t="s">
        <v>42</v>
      </c>
      <c r="I1514" s="3" t="s">
        <v>43</v>
      </c>
      <c r="J1514" s="3" t="n">
        <v>43</v>
      </c>
      <c r="K1514" s="3" t="n">
        <v>3338.18</v>
      </c>
      <c r="L1514" s="3" t="n">
        <v>143541.74</v>
      </c>
      <c r="M1514" s="3" t="n">
        <v>0.1725</v>
      </c>
      <c r="N1514" s="3" t="n">
        <v>24760.95</v>
      </c>
      <c r="O1514" s="3" t="n">
        <v>118780.79</v>
      </c>
      <c r="P1514" s="3" t="n">
        <v>78947.96</v>
      </c>
      <c r="Q1514" s="3" t="n">
        <v>39832.83</v>
      </c>
      <c r="R1514" s="3" t="n">
        <v>0.3353</v>
      </c>
      <c r="S1514" s="3" t="n">
        <v>0.1819</v>
      </c>
      <c r="T1514" s="3" t="n">
        <v>-0.0094</v>
      </c>
    </row>
    <row r="1515" customFormat="false" ht="15" hidden="false" customHeight="true" outlineLevel="0" collapsed="false">
      <c r="A1515" s="3" t="s">
        <v>2411</v>
      </c>
      <c r="B1515" s="3" t="s">
        <v>2412</v>
      </c>
      <c r="C1515" s="3" t="s">
        <v>113</v>
      </c>
      <c r="D1515" s="3" t="s">
        <v>61</v>
      </c>
      <c r="E1515" s="3" t="s">
        <v>33</v>
      </c>
      <c r="F1515" s="3" t="s">
        <v>62</v>
      </c>
      <c r="G1515" s="3" t="s">
        <v>55</v>
      </c>
      <c r="H1515" s="3" t="s">
        <v>42</v>
      </c>
      <c r="I1515" s="3" t="s">
        <v>72</v>
      </c>
      <c r="J1515" s="3" t="n">
        <v>35</v>
      </c>
      <c r="K1515" s="3" t="n">
        <v>2512.8</v>
      </c>
      <c r="L1515" s="3" t="n">
        <v>87948</v>
      </c>
      <c r="M1515" s="3" t="n">
        <v>0.0561</v>
      </c>
      <c r="N1515" s="3" t="n">
        <v>4933.88</v>
      </c>
      <c r="O1515" s="3" t="n">
        <v>83014.12</v>
      </c>
      <c r="P1515" s="3" t="n">
        <v>48371.4</v>
      </c>
      <c r="Q1515" s="3" t="n">
        <v>34642.72</v>
      </c>
      <c r="R1515" s="3" t="n">
        <v>0.4173</v>
      </c>
      <c r="S1515" s="3" t="n">
        <v>0.0496</v>
      </c>
      <c r="T1515" s="3" t="n">
        <v>0.0065</v>
      </c>
    </row>
    <row r="1516" customFormat="false" ht="15" hidden="false" customHeight="true" outlineLevel="0" collapsed="false">
      <c r="A1516" s="3" t="s">
        <v>2413</v>
      </c>
      <c r="B1516" s="3" t="s">
        <v>2414</v>
      </c>
      <c r="C1516" s="3" t="s">
        <v>68</v>
      </c>
      <c r="D1516" s="3" t="s">
        <v>75</v>
      </c>
      <c r="E1516" s="3" t="s">
        <v>39</v>
      </c>
      <c r="F1516" s="3" t="s">
        <v>25</v>
      </c>
      <c r="G1516" s="3" t="s">
        <v>76</v>
      </c>
      <c r="H1516" s="3" t="s">
        <v>77</v>
      </c>
      <c r="I1516" s="3" t="s">
        <v>131</v>
      </c>
      <c r="J1516" s="3" t="n">
        <v>28</v>
      </c>
      <c r="K1516" s="3" t="n">
        <v>5732.39</v>
      </c>
      <c r="L1516" s="3" t="n">
        <v>160506.92</v>
      </c>
      <c r="M1516" s="3" t="n">
        <v>0.1204</v>
      </c>
      <c r="N1516" s="3" t="n">
        <v>19325.03</v>
      </c>
      <c r="O1516" s="3" t="n">
        <v>141181.89</v>
      </c>
      <c r="P1516" s="3" t="n">
        <v>109144.71</v>
      </c>
      <c r="Q1516" s="3" t="n">
        <v>32037.18</v>
      </c>
      <c r="R1516" s="3" t="n">
        <v>0.2269</v>
      </c>
      <c r="S1516" s="3" t="n">
        <v>0.0972</v>
      </c>
      <c r="T1516" s="3" t="n">
        <v>0.0232</v>
      </c>
    </row>
    <row r="1517" customFormat="false" ht="15" hidden="false" customHeight="true" outlineLevel="0" collapsed="false">
      <c r="A1517" s="3" t="s">
        <v>2415</v>
      </c>
      <c r="B1517" s="3" t="s">
        <v>292</v>
      </c>
      <c r="C1517" s="3" t="s">
        <v>126</v>
      </c>
      <c r="D1517" s="3" t="s">
        <v>61</v>
      </c>
      <c r="E1517" s="3" t="s">
        <v>33</v>
      </c>
      <c r="F1517" s="3" t="s">
        <v>62</v>
      </c>
      <c r="G1517" s="3" t="s">
        <v>84</v>
      </c>
      <c r="H1517" s="3" t="s">
        <v>42</v>
      </c>
      <c r="I1517" s="3" t="s">
        <v>72</v>
      </c>
      <c r="J1517" s="3" t="n">
        <v>20</v>
      </c>
      <c r="K1517" s="3" t="n">
        <v>2633.82</v>
      </c>
      <c r="L1517" s="3" t="n">
        <v>52676.4</v>
      </c>
      <c r="M1517" s="3" t="n">
        <v>0.0549</v>
      </c>
      <c r="N1517" s="3" t="n">
        <v>2891.93</v>
      </c>
      <c r="O1517" s="3" t="n">
        <v>49784.47</v>
      </c>
      <c r="P1517" s="3" t="n">
        <v>28972.02</v>
      </c>
      <c r="Q1517" s="3" t="n">
        <v>20812.45</v>
      </c>
      <c r="R1517" s="3" t="n">
        <v>0.4181</v>
      </c>
      <c r="S1517" s="3" t="n">
        <v>0.0566</v>
      </c>
      <c r="T1517" s="3" t="n">
        <v>-0.0017</v>
      </c>
    </row>
    <row r="1518" customFormat="false" ht="15" hidden="false" customHeight="true" outlineLevel="0" collapsed="false">
      <c r="A1518" s="3" t="s">
        <v>2416</v>
      </c>
      <c r="B1518" s="3" t="s">
        <v>736</v>
      </c>
      <c r="C1518" s="3" t="s">
        <v>60</v>
      </c>
      <c r="D1518" s="3" t="s">
        <v>97</v>
      </c>
      <c r="E1518" s="3" t="s">
        <v>48</v>
      </c>
      <c r="F1518" s="3" t="s">
        <v>40</v>
      </c>
      <c r="G1518" s="3" t="s">
        <v>104</v>
      </c>
      <c r="H1518" s="3" t="s">
        <v>27</v>
      </c>
      <c r="I1518" s="3" t="s">
        <v>94</v>
      </c>
      <c r="J1518" s="3" t="n">
        <v>6</v>
      </c>
      <c r="K1518" s="3" t="n">
        <v>14018.52</v>
      </c>
      <c r="L1518" s="3" t="n">
        <v>84111.12</v>
      </c>
      <c r="M1518" s="3" t="n">
        <v>0.0889</v>
      </c>
      <c r="N1518" s="3" t="n">
        <v>7477.48</v>
      </c>
      <c r="O1518" s="3" t="n">
        <v>76633.64</v>
      </c>
      <c r="P1518" s="3" t="n">
        <v>52148.89</v>
      </c>
      <c r="Q1518" s="3" t="n">
        <v>24484.75</v>
      </c>
      <c r="R1518" s="3" t="n">
        <v>0.3195</v>
      </c>
      <c r="S1518" s="3" t="n">
        <v>0.0882</v>
      </c>
      <c r="T1518" s="3" t="n">
        <v>0.0007</v>
      </c>
    </row>
    <row r="1519" customFormat="false" ht="15" hidden="false" customHeight="true" outlineLevel="0" collapsed="false">
      <c r="A1519" s="3" t="s">
        <v>2417</v>
      </c>
      <c r="B1519" s="3" t="s">
        <v>1669</v>
      </c>
      <c r="C1519" s="3" t="s">
        <v>22</v>
      </c>
      <c r="D1519" s="3" t="s">
        <v>97</v>
      </c>
      <c r="E1519" s="3" t="s">
        <v>48</v>
      </c>
      <c r="F1519" s="3" t="s">
        <v>40</v>
      </c>
      <c r="G1519" s="3" t="s">
        <v>104</v>
      </c>
      <c r="H1519" s="3" t="s">
        <v>27</v>
      </c>
      <c r="I1519" s="3" t="s">
        <v>94</v>
      </c>
      <c r="J1519" s="3" t="n">
        <v>20</v>
      </c>
      <c r="K1519" s="3" t="n">
        <v>9510.64</v>
      </c>
      <c r="L1519" s="3" t="n">
        <v>190212.8</v>
      </c>
      <c r="M1519" s="3" t="n">
        <v>0.0833</v>
      </c>
      <c r="N1519" s="3" t="n">
        <v>15844.73</v>
      </c>
      <c r="O1519" s="3" t="n">
        <v>174368.07</v>
      </c>
      <c r="P1519" s="3" t="n">
        <v>117931.94</v>
      </c>
      <c r="Q1519" s="3" t="n">
        <v>56436.13</v>
      </c>
      <c r="R1519" s="3" t="n">
        <v>0.3237</v>
      </c>
      <c r="S1519" s="3" t="n">
        <v>0.0872</v>
      </c>
      <c r="T1519" s="3" t="n">
        <v>-0.0039</v>
      </c>
    </row>
    <row r="1520" customFormat="false" ht="15" hidden="false" customHeight="true" outlineLevel="0" collapsed="false">
      <c r="A1520" s="3" t="s">
        <v>2418</v>
      </c>
      <c r="B1520" s="3" t="s">
        <v>623</v>
      </c>
      <c r="C1520" s="3" t="s">
        <v>22</v>
      </c>
      <c r="D1520" s="3" t="s">
        <v>23</v>
      </c>
      <c r="E1520" s="3" t="s">
        <v>24</v>
      </c>
      <c r="F1520" s="3" t="s">
        <v>25</v>
      </c>
      <c r="G1520" s="3" t="s">
        <v>100</v>
      </c>
      <c r="H1520" s="3" t="s">
        <v>77</v>
      </c>
      <c r="I1520" s="3" t="s">
        <v>85</v>
      </c>
      <c r="J1520" s="3" t="n">
        <v>12</v>
      </c>
      <c r="K1520" s="3" t="n">
        <v>3715.13</v>
      </c>
      <c r="L1520" s="3" t="n">
        <v>44581.56</v>
      </c>
      <c r="M1520" s="3" t="n">
        <v>0.1499</v>
      </c>
      <c r="N1520" s="3" t="n">
        <v>6682.78</v>
      </c>
      <c r="O1520" s="3" t="n">
        <v>37898.78</v>
      </c>
      <c r="P1520" s="3" t="n">
        <v>30315.46</v>
      </c>
      <c r="Q1520" s="3" t="n">
        <v>7583.32</v>
      </c>
      <c r="R1520" s="3" t="n">
        <v>0.2001</v>
      </c>
      <c r="S1520" s="3" t="n">
        <v>0.1609</v>
      </c>
      <c r="T1520" s="3" t="n">
        <v>-0.011</v>
      </c>
    </row>
    <row r="1521" customFormat="false" ht="15" hidden="false" customHeight="true" outlineLevel="0" collapsed="false">
      <c r="A1521" s="3" t="s">
        <v>2419</v>
      </c>
      <c r="B1521" s="3" t="s">
        <v>974</v>
      </c>
      <c r="C1521" s="3" t="s">
        <v>156</v>
      </c>
      <c r="D1521" s="3" t="s">
        <v>61</v>
      </c>
      <c r="E1521" s="3" t="s">
        <v>33</v>
      </c>
      <c r="F1521" s="3" t="s">
        <v>62</v>
      </c>
      <c r="G1521" s="3" t="s">
        <v>34</v>
      </c>
      <c r="H1521" s="3" t="s">
        <v>77</v>
      </c>
      <c r="I1521" s="3" t="s">
        <v>131</v>
      </c>
      <c r="J1521" s="3" t="n">
        <v>5</v>
      </c>
      <c r="K1521" s="3" t="n">
        <v>4619.57</v>
      </c>
      <c r="L1521" s="3" t="n">
        <v>23097.85</v>
      </c>
      <c r="M1521" s="3" t="n">
        <v>0.1055</v>
      </c>
      <c r="N1521" s="3" t="n">
        <v>2436.82</v>
      </c>
      <c r="O1521" s="3" t="n">
        <v>20661.03</v>
      </c>
      <c r="P1521" s="3" t="n">
        <v>15706.54</v>
      </c>
      <c r="Q1521" s="3" t="n">
        <v>4954.49</v>
      </c>
      <c r="R1521" s="3" t="n">
        <v>0.2398</v>
      </c>
      <c r="S1521" s="3" t="n">
        <v>0.0858</v>
      </c>
      <c r="T1521" s="3" t="n">
        <v>0.0197</v>
      </c>
    </row>
    <row r="1522" customFormat="false" ht="15" hidden="false" customHeight="true" outlineLevel="0" collapsed="false">
      <c r="A1522" s="3" t="s">
        <v>2420</v>
      </c>
      <c r="B1522" s="3" t="s">
        <v>854</v>
      </c>
      <c r="C1522" s="3" t="s">
        <v>37</v>
      </c>
      <c r="D1522" s="3" t="s">
        <v>47</v>
      </c>
      <c r="E1522" s="3" t="s">
        <v>48</v>
      </c>
      <c r="F1522" s="3" t="s">
        <v>25</v>
      </c>
      <c r="G1522" s="3" t="s">
        <v>76</v>
      </c>
      <c r="H1522" s="3" t="s">
        <v>64</v>
      </c>
      <c r="I1522" s="3" t="s">
        <v>65</v>
      </c>
      <c r="J1522" s="3" t="n">
        <v>16</v>
      </c>
      <c r="K1522" s="3" t="n">
        <v>3042.65</v>
      </c>
      <c r="L1522" s="3" t="n">
        <v>48682.4</v>
      </c>
      <c r="M1522" s="3" t="n">
        <v>0.1762</v>
      </c>
      <c r="N1522" s="3" t="n">
        <v>8577.84</v>
      </c>
      <c r="O1522" s="3" t="n">
        <v>40104.56</v>
      </c>
      <c r="P1522" s="3" t="n">
        <v>28235.79</v>
      </c>
      <c r="Q1522" s="3" t="n">
        <v>11868.77</v>
      </c>
      <c r="R1522" s="3" t="n">
        <v>0.2959</v>
      </c>
      <c r="S1522" s="3" t="n">
        <v>0.193</v>
      </c>
      <c r="T1522" s="3" t="n">
        <v>-0.0168</v>
      </c>
    </row>
    <row r="1523" customFormat="false" ht="15" hidden="false" customHeight="true" outlineLevel="0" collapsed="false">
      <c r="A1523" s="3" t="s">
        <v>2421</v>
      </c>
      <c r="B1523" s="3" t="s">
        <v>1868</v>
      </c>
      <c r="C1523" s="3" t="s">
        <v>53</v>
      </c>
      <c r="D1523" s="3" t="s">
        <v>47</v>
      </c>
      <c r="E1523" s="3" t="s">
        <v>48</v>
      </c>
      <c r="F1523" s="3" t="s">
        <v>25</v>
      </c>
      <c r="G1523" s="3" t="s">
        <v>63</v>
      </c>
      <c r="H1523" s="3" t="s">
        <v>64</v>
      </c>
      <c r="I1523" s="3" t="s">
        <v>145</v>
      </c>
      <c r="J1523" s="3" t="n">
        <v>10</v>
      </c>
      <c r="K1523" s="3" t="n">
        <v>3402.81</v>
      </c>
      <c r="L1523" s="3" t="n">
        <v>34028.1</v>
      </c>
      <c r="M1523" s="3" t="n">
        <v>0.1497</v>
      </c>
      <c r="N1523" s="3" t="n">
        <v>5094.01</v>
      </c>
      <c r="O1523" s="3" t="n">
        <v>28934.09</v>
      </c>
      <c r="P1523" s="3" t="n">
        <v>19736.3</v>
      </c>
      <c r="Q1523" s="3" t="n">
        <v>9197.79</v>
      </c>
      <c r="R1523" s="3" t="n">
        <v>0.3179</v>
      </c>
      <c r="S1523" s="3" t="n">
        <v>0.1593</v>
      </c>
      <c r="T1523" s="3" t="n">
        <v>-0.0096</v>
      </c>
    </row>
    <row r="1524" customFormat="false" ht="15" hidden="false" customHeight="true" outlineLevel="0" collapsed="false">
      <c r="A1524" s="3" t="s">
        <v>2422</v>
      </c>
      <c r="B1524" s="3" t="s">
        <v>2054</v>
      </c>
      <c r="C1524" s="3" t="s">
        <v>156</v>
      </c>
      <c r="D1524" s="3" t="s">
        <v>47</v>
      </c>
      <c r="E1524" s="3" t="s">
        <v>48</v>
      </c>
      <c r="F1524" s="3" t="s">
        <v>25</v>
      </c>
      <c r="G1524" s="3" t="s">
        <v>71</v>
      </c>
      <c r="H1524" s="3" t="s">
        <v>56</v>
      </c>
      <c r="I1524" s="3" t="s">
        <v>121</v>
      </c>
      <c r="J1524" s="3" t="n">
        <v>42</v>
      </c>
      <c r="K1524" s="3" t="n">
        <v>6955.83</v>
      </c>
      <c r="L1524" s="3" t="n">
        <v>292144.86</v>
      </c>
      <c r="M1524" s="3" t="n">
        <v>0.1286</v>
      </c>
      <c r="N1524" s="3" t="n">
        <v>37569.83</v>
      </c>
      <c r="O1524" s="3" t="n">
        <v>254575.03</v>
      </c>
      <c r="P1524" s="3" t="n">
        <v>175286.92</v>
      </c>
      <c r="Q1524" s="3" t="n">
        <v>79288.11</v>
      </c>
      <c r="R1524" s="3" t="n">
        <v>0.3115</v>
      </c>
      <c r="S1524" s="3" t="n">
        <v>0.119</v>
      </c>
      <c r="T1524" s="3" t="n">
        <v>0.0096</v>
      </c>
    </row>
    <row r="1525" customFormat="false" ht="15" hidden="false" customHeight="true" outlineLevel="0" collapsed="false">
      <c r="A1525" s="3" t="s">
        <v>2423</v>
      </c>
      <c r="B1525" s="3" t="s">
        <v>158</v>
      </c>
      <c r="C1525" s="3" t="s">
        <v>156</v>
      </c>
      <c r="D1525" s="3" t="s">
        <v>47</v>
      </c>
      <c r="E1525" s="3" t="s">
        <v>48</v>
      </c>
      <c r="F1525" s="3" t="s">
        <v>25</v>
      </c>
      <c r="G1525" s="3" t="s">
        <v>34</v>
      </c>
      <c r="H1525" s="3" t="s">
        <v>77</v>
      </c>
      <c r="I1525" s="3" t="s">
        <v>78</v>
      </c>
      <c r="J1525" s="3" t="n">
        <v>32</v>
      </c>
      <c r="K1525" s="3" t="n">
        <v>5120.28</v>
      </c>
      <c r="L1525" s="3" t="n">
        <v>163848.96</v>
      </c>
      <c r="M1525" s="3" t="n">
        <v>0.1312</v>
      </c>
      <c r="N1525" s="3" t="n">
        <v>21496.98</v>
      </c>
      <c r="O1525" s="3" t="n">
        <v>142351.98</v>
      </c>
      <c r="P1525" s="3" t="n">
        <v>111417.29</v>
      </c>
      <c r="Q1525" s="3" t="n">
        <v>30934.69</v>
      </c>
      <c r="R1525" s="3" t="n">
        <v>0.2173</v>
      </c>
      <c r="S1525" s="3" t="n">
        <v>0.1324</v>
      </c>
      <c r="T1525" s="3" t="n">
        <v>-0.0012</v>
      </c>
    </row>
    <row r="1526" customFormat="false" ht="15" hidden="false" customHeight="true" outlineLevel="0" collapsed="false">
      <c r="A1526" s="3" t="s">
        <v>2424</v>
      </c>
      <c r="B1526" s="3" t="s">
        <v>1057</v>
      </c>
      <c r="C1526" s="3" t="s">
        <v>22</v>
      </c>
      <c r="D1526" s="3" t="s">
        <v>83</v>
      </c>
      <c r="E1526" s="3" t="s">
        <v>48</v>
      </c>
      <c r="F1526" s="3" t="s">
        <v>62</v>
      </c>
      <c r="G1526" s="3" t="s">
        <v>116</v>
      </c>
      <c r="H1526" s="3" t="s">
        <v>64</v>
      </c>
      <c r="I1526" s="3" t="s">
        <v>108</v>
      </c>
      <c r="J1526" s="3" t="n">
        <v>8</v>
      </c>
      <c r="K1526" s="3" t="n">
        <v>8738.37</v>
      </c>
      <c r="L1526" s="3" t="n">
        <v>69906.96</v>
      </c>
      <c r="M1526" s="3" t="n">
        <v>0.0896</v>
      </c>
      <c r="N1526" s="3" t="n">
        <v>6263.66</v>
      </c>
      <c r="O1526" s="3" t="n">
        <v>63643.3</v>
      </c>
      <c r="P1526" s="3" t="n">
        <v>40546.04</v>
      </c>
      <c r="Q1526" s="3" t="n">
        <v>23097.26</v>
      </c>
      <c r="R1526" s="3" t="n">
        <v>0.3629</v>
      </c>
      <c r="S1526" s="3" t="n">
        <v>0.0766</v>
      </c>
      <c r="T1526" s="3" t="n">
        <v>0.013</v>
      </c>
    </row>
    <row r="1527" customFormat="false" ht="15" hidden="false" customHeight="true" outlineLevel="0" collapsed="false">
      <c r="A1527" s="3" t="s">
        <v>2425</v>
      </c>
      <c r="B1527" s="3" t="s">
        <v>2426</v>
      </c>
      <c r="C1527" s="3" t="s">
        <v>126</v>
      </c>
      <c r="D1527" s="3" t="s">
        <v>103</v>
      </c>
      <c r="E1527" s="3" t="s">
        <v>24</v>
      </c>
      <c r="F1527" s="3" t="s">
        <v>62</v>
      </c>
      <c r="G1527" s="3" t="s">
        <v>71</v>
      </c>
      <c r="H1527" s="3" t="s">
        <v>64</v>
      </c>
      <c r="I1527" s="3" t="s">
        <v>145</v>
      </c>
      <c r="J1527" s="3" t="n">
        <v>45</v>
      </c>
      <c r="K1527" s="3" t="n">
        <v>9435.21</v>
      </c>
      <c r="L1527" s="3" t="n">
        <v>424584.45</v>
      </c>
      <c r="M1527" s="3" t="n">
        <v>0.0499</v>
      </c>
      <c r="N1527" s="3" t="n">
        <v>21186.76</v>
      </c>
      <c r="O1527" s="3" t="n">
        <v>403397.69</v>
      </c>
      <c r="P1527" s="3" t="n">
        <v>246258.98</v>
      </c>
      <c r="Q1527" s="3" t="n">
        <v>157138.71</v>
      </c>
      <c r="R1527" s="3" t="n">
        <v>0.3895</v>
      </c>
      <c r="S1527" s="3" t="n">
        <v>0.0442</v>
      </c>
      <c r="T1527" s="3" t="n">
        <v>0.0057</v>
      </c>
    </row>
    <row r="1528" customFormat="false" ht="15" hidden="false" customHeight="true" outlineLevel="0" collapsed="false">
      <c r="A1528" s="3" t="s">
        <v>2427</v>
      </c>
      <c r="B1528" s="3" t="s">
        <v>2428</v>
      </c>
      <c r="C1528" s="3" t="s">
        <v>68</v>
      </c>
      <c r="D1528" s="3" t="s">
        <v>38</v>
      </c>
      <c r="E1528" s="3" t="s">
        <v>39</v>
      </c>
      <c r="F1528" s="3" t="s">
        <v>40</v>
      </c>
      <c r="G1528" s="3" t="s">
        <v>116</v>
      </c>
      <c r="H1528" s="3" t="s">
        <v>42</v>
      </c>
      <c r="I1528" s="3" t="s">
        <v>43</v>
      </c>
      <c r="J1528" s="3" t="n">
        <v>13</v>
      </c>
      <c r="K1528" s="3" t="n">
        <v>1882.17</v>
      </c>
      <c r="L1528" s="3" t="n">
        <v>24468.21</v>
      </c>
      <c r="M1528" s="3" t="n">
        <v>0.1197</v>
      </c>
      <c r="N1528" s="3" t="n">
        <v>2928.84</v>
      </c>
      <c r="O1528" s="3" t="n">
        <v>21539.37</v>
      </c>
      <c r="P1528" s="3" t="n">
        <v>13457.52</v>
      </c>
      <c r="Q1528" s="3" t="n">
        <v>8081.85</v>
      </c>
      <c r="R1528" s="3" t="n">
        <v>0.3752</v>
      </c>
      <c r="S1528" s="3" t="n">
        <v>0.103</v>
      </c>
      <c r="T1528" s="3" t="n">
        <v>0.0167</v>
      </c>
    </row>
    <row r="1529" customFormat="false" ht="15" hidden="false" customHeight="true" outlineLevel="0" collapsed="false">
      <c r="A1529" s="3" t="s">
        <v>2429</v>
      </c>
      <c r="B1529" s="3" t="s">
        <v>2097</v>
      </c>
      <c r="C1529" s="3" t="s">
        <v>46</v>
      </c>
      <c r="D1529" s="3" t="s">
        <v>107</v>
      </c>
      <c r="E1529" s="3" t="s">
        <v>33</v>
      </c>
      <c r="F1529" s="3" t="s">
        <v>70</v>
      </c>
      <c r="G1529" s="3" t="s">
        <v>84</v>
      </c>
      <c r="H1529" s="3" t="s">
        <v>27</v>
      </c>
      <c r="I1529" s="3" t="s">
        <v>173</v>
      </c>
      <c r="J1529" s="3" t="n">
        <v>15</v>
      </c>
      <c r="K1529" s="3" t="n">
        <v>11499</v>
      </c>
      <c r="L1529" s="3" t="n">
        <v>172485</v>
      </c>
      <c r="M1529" s="3" t="n">
        <v>0.0319</v>
      </c>
      <c r="N1529" s="3" t="n">
        <v>5502.27</v>
      </c>
      <c r="O1529" s="3" t="n">
        <v>166982.73</v>
      </c>
      <c r="P1529" s="3" t="n">
        <v>106940.7</v>
      </c>
      <c r="Q1529" s="3" t="n">
        <v>60042.03</v>
      </c>
      <c r="R1529" s="3" t="n">
        <v>0.3596</v>
      </c>
      <c r="S1529" s="3" t="n">
        <v>0.0273</v>
      </c>
      <c r="T1529" s="3" t="n">
        <v>0.0046</v>
      </c>
    </row>
    <row r="1530" customFormat="false" ht="15" hidden="false" customHeight="true" outlineLevel="0" collapsed="false">
      <c r="A1530" s="3" t="s">
        <v>2430</v>
      </c>
      <c r="B1530" s="3" t="s">
        <v>1512</v>
      </c>
      <c r="C1530" s="3" t="s">
        <v>31</v>
      </c>
      <c r="D1530" s="3" t="s">
        <v>97</v>
      </c>
      <c r="E1530" s="3" t="s">
        <v>48</v>
      </c>
      <c r="F1530" s="3" t="s">
        <v>40</v>
      </c>
      <c r="G1530" s="3" t="s">
        <v>63</v>
      </c>
      <c r="H1530" s="3" t="s">
        <v>27</v>
      </c>
      <c r="I1530" s="3" t="s">
        <v>117</v>
      </c>
      <c r="J1530" s="3" t="n">
        <v>29</v>
      </c>
      <c r="K1530" s="3" t="n">
        <v>27690.27</v>
      </c>
      <c r="L1530" s="3" t="n">
        <v>803017.83</v>
      </c>
      <c r="M1530" s="3" t="n">
        <v>0.0669</v>
      </c>
      <c r="N1530" s="3" t="n">
        <v>53721.89</v>
      </c>
      <c r="O1530" s="3" t="n">
        <v>749295.94</v>
      </c>
      <c r="P1530" s="3" t="n">
        <v>497871.05</v>
      </c>
      <c r="Q1530" s="3" t="n">
        <v>251424.89</v>
      </c>
      <c r="R1530" s="3" t="n">
        <v>0.3355</v>
      </c>
      <c r="S1530" s="3" t="n">
        <v>0.0655</v>
      </c>
      <c r="T1530" s="3" t="n">
        <v>0.0014</v>
      </c>
    </row>
    <row r="1531" customFormat="false" ht="15" hidden="false" customHeight="true" outlineLevel="0" collapsed="false">
      <c r="A1531" s="3" t="s">
        <v>2431</v>
      </c>
      <c r="B1531" s="3" t="s">
        <v>2071</v>
      </c>
      <c r="C1531" s="3" t="s">
        <v>53</v>
      </c>
      <c r="D1531" s="3" t="s">
        <v>32</v>
      </c>
      <c r="E1531" s="3" t="s">
        <v>33</v>
      </c>
      <c r="F1531" s="3" t="s">
        <v>25</v>
      </c>
      <c r="G1531" s="3" t="s">
        <v>34</v>
      </c>
      <c r="H1531" s="3" t="s">
        <v>56</v>
      </c>
      <c r="I1531" s="3" t="s">
        <v>188</v>
      </c>
      <c r="J1531" s="3" t="n">
        <v>3</v>
      </c>
      <c r="K1531" s="3" t="n">
        <v>13598.56</v>
      </c>
      <c r="L1531" s="3" t="n">
        <v>40795.68</v>
      </c>
      <c r="M1531" s="3" t="n">
        <v>0.208</v>
      </c>
      <c r="N1531" s="3" t="n">
        <v>8485.5</v>
      </c>
      <c r="O1531" s="3" t="n">
        <v>32310.18</v>
      </c>
      <c r="P1531" s="3" t="n">
        <v>24477.41</v>
      </c>
      <c r="Q1531" s="3" t="n">
        <v>7832.77</v>
      </c>
      <c r="R1531" s="3" t="n">
        <v>0.2424</v>
      </c>
      <c r="S1531" s="3" t="n">
        <v>0.2239</v>
      </c>
      <c r="T1531" s="3" t="n">
        <v>-0.0159</v>
      </c>
    </row>
    <row r="1532" customFormat="false" ht="15" hidden="false" customHeight="true" outlineLevel="0" collapsed="false">
      <c r="A1532" s="3" t="s">
        <v>2432</v>
      </c>
      <c r="B1532" s="3" t="s">
        <v>2433</v>
      </c>
      <c r="C1532" s="3" t="s">
        <v>126</v>
      </c>
      <c r="D1532" s="3" t="s">
        <v>103</v>
      </c>
      <c r="E1532" s="3" t="s">
        <v>24</v>
      </c>
      <c r="F1532" s="3" t="s">
        <v>62</v>
      </c>
      <c r="G1532" s="3" t="s">
        <v>71</v>
      </c>
      <c r="H1532" s="3" t="s">
        <v>77</v>
      </c>
      <c r="I1532" s="3" t="s">
        <v>131</v>
      </c>
      <c r="J1532" s="3" t="n">
        <v>25</v>
      </c>
      <c r="K1532" s="3" t="n">
        <v>1470.86</v>
      </c>
      <c r="L1532" s="3" t="n">
        <v>36771.5</v>
      </c>
      <c r="M1532" s="3" t="n">
        <v>0.0377</v>
      </c>
      <c r="N1532" s="3" t="n">
        <v>1386.29</v>
      </c>
      <c r="O1532" s="3" t="n">
        <v>35385.21</v>
      </c>
      <c r="P1532" s="3" t="n">
        <v>25004.62</v>
      </c>
      <c r="Q1532" s="3" t="n">
        <v>10380.59</v>
      </c>
      <c r="R1532" s="3" t="n">
        <v>0.2934</v>
      </c>
      <c r="S1532" s="3" t="n">
        <v>0.0358</v>
      </c>
      <c r="T1532" s="3" t="n">
        <v>0.0019</v>
      </c>
    </row>
    <row r="1533" customFormat="false" ht="15" hidden="false" customHeight="true" outlineLevel="0" collapsed="false">
      <c r="A1533" s="3" t="s">
        <v>2434</v>
      </c>
      <c r="B1533" s="3" t="s">
        <v>2435</v>
      </c>
      <c r="C1533" s="3" t="s">
        <v>31</v>
      </c>
      <c r="D1533" s="3" t="s">
        <v>69</v>
      </c>
      <c r="E1533" s="3" t="s">
        <v>39</v>
      </c>
      <c r="F1533" s="3" t="s">
        <v>70</v>
      </c>
      <c r="G1533" s="3" t="s">
        <v>49</v>
      </c>
      <c r="H1533" s="3" t="s">
        <v>64</v>
      </c>
      <c r="I1533" s="3" t="s">
        <v>108</v>
      </c>
      <c r="J1533" s="3" t="n">
        <v>29</v>
      </c>
      <c r="K1533" s="3" t="n">
        <v>8922.11</v>
      </c>
      <c r="L1533" s="3" t="n">
        <v>258741.19</v>
      </c>
      <c r="M1533" s="3" t="n">
        <v>0.0313</v>
      </c>
      <c r="N1533" s="3" t="n">
        <v>8098.6</v>
      </c>
      <c r="O1533" s="3" t="n">
        <v>250642.59</v>
      </c>
      <c r="P1533" s="3" t="n">
        <v>150069.89</v>
      </c>
      <c r="Q1533" s="3" t="n">
        <v>100572.7</v>
      </c>
      <c r="R1533" s="3" t="n">
        <v>0.4013</v>
      </c>
      <c r="S1533" s="3" t="n">
        <v>0.0257</v>
      </c>
      <c r="T1533" s="3" t="n">
        <v>0.0056</v>
      </c>
    </row>
    <row r="1534" customFormat="false" ht="15" hidden="false" customHeight="true" outlineLevel="0" collapsed="false">
      <c r="A1534" s="3" t="s">
        <v>2436</v>
      </c>
      <c r="B1534" s="3" t="s">
        <v>1918</v>
      </c>
      <c r="C1534" s="3" t="s">
        <v>37</v>
      </c>
      <c r="D1534" s="3" t="s">
        <v>69</v>
      </c>
      <c r="E1534" s="3" t="s">
        <v>39</v>
      </c>
      <c r="F1534" s="3" t="s">
        <v>70</v>
      </c>
      <c r="G1534" s="3" t="s">
        <v>76</v>
      </c>
      <c r="H1534" s="3" t="s">
        <v>56</v>
      </c>
      <c r="I1534" s="3" t="s">
        <v>121</v>
      </c>
      <c r="J1534" s="3" t="n">
        <v>10</v>
      </c>
      <c r="K1534" s="3" t="n">
        <v>10909.65</v>
      </c>
      <c r="L1534" s="3" t="n">
        <v>109096.5</v>
      </c>
      <c r="M1534" s="3" t="n">
        <v>0.0574</v>
      </c>
      <c r="N1534" s="3" t="n">
        <v>6262.14</v>
      </c>
      <c r="O1534" s="3" t="n">
        <v>102834.36</v>
      </c>
      <c r="P1534" s="3" t="n">
        <v>65457.9</v>
      </c>
      <c r="Q1534" s="3" t="n">
        <v>37376.46</v>
      </c>
      <c r="R1534" s="3" t="n">
        <v>0.3635</v>
      </c>
      <c r="S1534" s="3" t="n">
        <v>0.0469</v>
      </c>
      <c r="T1534" s="3" t="n">
        <v>0.0105</v>
      </c>
    </row>
    <row r="1535" customFormat="false" ht="15" hidden="false" customHeight="true" outlineLevel="0" collapsed="false">
      <c r="A1535" s="3" t="s">
        <v>2437</v>
      </c>
      <c r="B1535" s="3" t="s">
        <v>2438</v>
      </c>
      <c r="C1535" s="3" t="s">
        <v>37</v>
      </c>
      <c r="D1535" s="3" t="s">
        <v>23</v>
      </c>
      <c r="E1535" s="3" t="s">
        <v>24</v>
      </c>
      <c r="F1535" s="3" t="s">
        <v>25</v>
      </c>
      <c r="G1535" s="3" t="s">
        <v>100</v>
      </c>
      <c r="H1535" s="3" t="s">
        <v>27</v>
      </c>
      <c r="I1535" s="3" t="s">
        <v>173</v>
      </c>
      <c r="J1535" s="3" t="n">
        <v>40</v>
      </c>
      <c r="K1535" s="3" t="n">
        <v>25096.76</v>
      </c>
      <c r="L1535" s="3" t="n">
        <v>1003870.4</v>
      </c>
      <c r="M1535" s="3" t="n">
        <v>0.164</v>
      </c>
      <c r="N1535" s="3" t="n">
        <v>164634.75</v>
      </c>
      <c r="O1535" s="3" t="n">
        <v>839235.65</v>
      </c>
      <c r="P1535" s="3" t="n">
        <v>622399.65</v>
      </c>
      <c r="Q1535" s="3" t="n">
        <v>216836</v>
      </c>
      <c r="R1535" s="3" t="n">
        <v>0.2584</v>
      </c>
      <c r="S1535" s="3" t="n">
        <v>0.1494</v>
      </c>
      <c r="T1535" s="3" t="n">
        <v>0.0146</v>
      </c>
    </row>
    <row r="1536" customFormat="false" ht="15" hidden="false" customHeight="true" outlineLevel="0" collapsed="false">
      <c r="A1536" s="3" t="s">
        <v>2439</v>
      </c>
      <c r="B1536" s="3" t="s">
        <v>210</v>
      </c>
      <c r="C1536" s="3" t="s">
        <v>53</v>
      </c>
      <c r="D1536" s="3" t="s">
        <v>75</v>
      </c>
      <c r="E1536" s="3" t="s">
        <v>39</v>
      </c>
      <c r="F1536" s="3" t="s">
        <v>25</v>
      </c>
      <c r="G1536" s="3" t="s">
        <v>104</v>
      </c>
      <c r="H1536" s="3" t="s">
        <v>27</v>
      </c>
      <c r="I1536" s="3" t="s">
        <v>117</v>
      </c>
      <c r="J1536" s="3" t="n">
        <v>37</v>
      </c>
      <c r="K1536" s="3" t="n">
        <v>20198.83</v>
      </c>
      <c r="L1536" s="3" t="n">
        <v>747356.71</v>
      </c>
      <c r="M1536" s="3" t="n">
        <v>0.1466</v>
      </c>
      <c r="N1536" s="3" t="n">
        <v>109562.49</v>
      </c>
      <c r="O1536" s="3" t="n">
        <v>637794.22</v>
      </c>
      <c r="P1536" s="3" t="n">
        <v>463361.16</v>
      </c>
      <c r="Q1536" s="3" t="n">
        <v>174433.06</v>
      </c>
      <c r="R1536" s="3" t="n">
        <v>0.2735</v>
      </c>
      <c r="S1536" s="3" t="n">
        <v>0.1508</v>
      </c>
      <c r="T1536" s="3" t="n">
        <v>-0.0042</v>
      </c>
    </row>
    <row r="1537" customFormat="false" ht="15" hidden="false" customHeight="true" outlineLevel="0" collapsed="false">
      <c r="A1537" s="3" t="s">
        <v>2440</v>
      </c>
      <c r="B1537" s="3" t="s">
        <v>2441</v>
      </c>
      <c r="C1537" s="3" t="s">
        <v>46</v>
      </c>
      <c r="D1537" s="3" t="s">
        <v>32</v>
      </c>
      <c r="E1537" s="3" t="s">
        <v>33</v>
      </c>
      <c r="F1537" s="3" t="s">
        <v>25</v>
      </c>
      <c r="G1537" s="3" t="s">
        <v>116</v>
      </c>
      <c r="H1537" s="3" t="s">
        <v>56</v>
      </c>
      <c r="I1537" s="3" t="s">
        <v>121</v>
      </c>
      <c r="J1537" s="3" t="n">
        <v>31</v>
      </c>
      <c r="K1537" s="3" t="n">
        <v>2316.69</v>
      </c>
      <c r="L1537" s="3" t="n">
        <v>71817.39</v>
      </c>
      <c r="M1537" s="3" t="n">
        <v>0.1997</v>
      </c>
      <c r="N1537" s="3" t="n">
        <v>14341.93</v>
      </c>
      <c r="O1537" s="3" t="n">
        <v>57475.46</v>
      </c>
      <c r="P1537" s="3" t="n">
        <v>43090.43</v>
      </c>
      <c r="Q1537" s="3" t="n">
        <v>14385.03</v>
      </c>
      <c r="R1537" s="3" t="n">
        <v>0.2503</v>
      </c>
      <c r="S1537" s="3" t="n">
        <v>0.1867</v>
      </c>
      <c r="T1537" s="3" t="n">
        <v>0.013</v>
      </c>
    </row>
    <row r="1538" customFormat="false" ht="15" hidden="false" customHeight="true" outlineLevel="0" collapsed="false">
      <c r="A1538" s="3" t="s">
        <v>2442</v>
      </c>
      <c r="B1538" s="3" t="s">
        <v>221</v>
      </c>
      <c r="C1538" s="3" t="s">
        <v>60</v>
      </c>
      <c r="D1538" s="3" t="s">
        <v>97</v>
      </c>
      <c r="E1538" s="3" t="s">
        <v>48</v>
      </c>
      <c r="F1538" s="3" t="s">
        <v>40</v>
      </c>
      <c r="G1538" s="3" t="s">
        <v>55</v>
      </c>
      <c r="H1538" s="3" t="s">
        <v>64</v>
      </c>
      <c r="I1538" s="3" t="s">
        <v>90</v>
      </c>
      <c r="J1538" s="3" t="n">
        <v>41</v>
      </c>
      <c r="K1538" s="3" t="n">
        <v>5250.38</v>
      </c>
      <c r="L1538" s="3" t="n">
        <v>215265.58</v>
      </c>
      <c r="M1538" s="3" t="n">
        <v>0.0527</v>
      </c>
      <c r="N1538" s="3" t="n">
        <v>11344.5</v>
      </c>
      <c r="O1538" s="3" t="n">
        <v>203921.08</v>
      </c>
      <c r="P1538" s="3" t="n">
        <v>124854.04</v>
      </c>
      <c r="Q1538" s="3" t="n">
        <v>79067.04</v>
      </c>
      <c r="R1538" s="3" t="n">
        <v>0.3877</v>
      </c>
      <c r="S1538" s="3" t="n">
        <v>0.0494</v>
      </c>
      <c r="T1538" s="3" t="n">
        <v>0.0033</v>
      </c>
    </row>
    <row r="1539" customFormat="false" ht="15" hidden="false" customHeight="true" outlineLevel="0" collapsed="false">
      <c r="A1539" s="3" t="s">
        <v>2443</v>
      </c>
      <c r="B1539" s="3" t="s">
        <v>2444</v>
      </c>
      <c r="C1539" s="3" t="s">
        <v>46</v>
      </c>
      <c r="D1539" s="3" t="s">
        <v>103</v>
      </c>
      <c r="E1539" s="3" t="s">
        <v>24</v>
      </c>
      <c r="F1539" s="3" t="s">
        <v>62</v>
      </c>
      <c r="G1539" s="3" t="s">
        <v>76</v>
      </c>
      <c r="H1539" s="3" t="s">
        <v>64</v>
      </c>
      <c r="I1539" s="3" t="s">
        <v>108</v>
      </c>
      <c r="J1539" s="3" t="n">
        <v>12</v>
      </c>
      <c r="K1539" s="3" t="n">
        <v>8733.84</v>
      </c>
      <c r="L1539" s="3" t="n">
        <v>104806.08</v>
      </c>
      <c r="M1539" s="3" t="n">
        <v>0.0782</v>
      </c>
      <c r="N1539" s="3" t="n">
        <v>8195.84</v>
      </c>
      <c r="O1539" s="3" t="n">
        <v>96610.24</v>
      </c>
      <c r="P1539" s="3" t="n">
        <v>60787.53</v>
      </c>
      <c r="Q1539" s="3" t="n">
        <v>35822.71</v>
      </c>
      <c r="R1539" s="3" t="n">
        <v>0.3708</v>
      </c>
      <c r="S1539" s="3" t="n">
        <v>0.0859</v>
      </c>
      <c r="T1539" s="3" t="n">
        <v>-0.0077</v>
      </c>
    </row>
    <row r="1540" customFormat="false" ht="15" hidden="false" customHeight="true" outlineLevel="0" collapsed="false">
      <c r="A1540" s="3" t="s">
        <v>2445</v>
      </c>
      <c r="B1540" s="3" t="s">
        <v>2446</v>
      </c>
      <c r="C1540" s="3" t="s">
        <v>53</v>
      </c>
      <c r="D1540" s="3" t="s">
        <v>75</v>
      </c>
      <c r="E1540" s="3" t="s">
        <v>39</v>
      </c>
      <c r="F1540" s="3" t="s">
        <v>25</v>
      </c>
      <c r="G1540" s="3" t="s">
        <v>104</v>
      </c>
      <c r="H1540" s="3" t="s">
        <v>42</v>
      </c>
      <c r="I1540" s="3" t="s">
        <v>72</v>
      </c>
      <c r="J1540" s="3" t="n">
        <v>20</v>
      </c>
      <c r="K1540" s="3" t="n">
        <v>2011.08</v>
      </c>
      <c r="L1540" s="3" t="n">
        <v>40221.6</v>
      </c>
      <c r="M1540" s="3" t="n">
        <v>0.1624</v>
      </c>
      <c r="N1540" s="3" t="n">
        <v>6531.99</v>
      </c>
      <c r="O1540" s="3" t="n">
        <v>33689.61</v>
      </c>
      <c r="P1540" s="3" t="n">
        <v>22121.88</v>
      </c>
      <c r="Q1540" s="3" t="n">
        <v>11567.73</v>
      </c>
      <c r="R1540" s="3" t="n">
        <v>0.3434</v>
      </c>
      <c r="S1540" s="3" t="n">
        <v>0.1781</v>
      </c>
      <c r="T1540" s="3" t="n">
        <v>-0.0157</v>
      </c>
    </row>
    <row r="1541" customFormat="false" ht="15" hidden="false" customHeight="true" outlineLevel="0" collapsed="false">
      <c r="A1541" s="3" t="s">
        <v>2447</v>
      </c>
      <c r="B1541" s="3" t="s">
        <v>2444</v>
      </c>
      <c r="C1541" s="3" t="s">
        <v>46</v>
      </c>
      <c r="D1541" s="3" t="s">
        <v>75</v>
      </c>
      <c r="E1541" s="3" t="s">
        <v>39</v>
      </c>
      <c r="F1541" s="3" t="s">
        <v>25</v>
      </c>
      <c r="G1541" s="3" t="s">
        <v>63</v>
      </c>
      <c r="H1541" s="3" t="s">
        <v>42</v>
      </c>
      <c r="I1541" s="3" t="s">
        <v>43</v>
      </c>
      <c r="J1541" s="3" t="n">
        <v>27</v>
      </c>
      <c r="K1541" s="3" t="n">
        <v>1973.99</v>
      </c>
      <c r="L1541" s="3" t="n">
        <v>53297.73</v>
      </c>
      <c r="M1541" s="3" t="n">
        <v>0.1292</v>
      </c>
      <c r="N1541" s="3" t="n">
        <v>6886.07</v>
      </c>
      <c r="O1541" s="3" t="n">
        <v>46411.66</v>
      </c>
      <c r="P1541" s="3" t="n">
        <v>29313.75</v>
      </c>
      <c r="Q1541" s="3" t="n">
        <v>17097.91</v>
      </c>
      <c r="R1541" s="3" t="n">
        <v>0.3684</v>
      </c>
      <c r="S1541" s="3" t="n">
        <v>0.1213</v>
      </c>
      <c r="T1541" s="3" t="n">
        <v>0.0079</v>
      </c>
    </row>
    <row r="1542" customFormat="false" ht="15" hidden="false" customHeight="true" outlineLevel="0" collapsed="false">
      <c r="A1542" s="3" t="s">
        <v>2448</v>
      </c>
      <c r="B1542" s="3" t="s">
        <v>559</v>
      </c>
      <c r="C1542" s="3" t="s">
        <v>113</v>
      </c>
      <c r="D1542" s="3" t="s">
        <v>103</v>
      </c>
      <c r="E1542" s="3" t="s">
        <v>24</v>
      </c>
      <c r="F1542" s="3" t="s">
        <v>62</v>
      </c>
      <c r="G1542" s="3" t="s">
        <v>63</v>
      </c>
      <c r="H1542" s="3" t="s">
        <v>42</v>
      </c>
      <c r="I1542" s="3" t="s">
        <v>72</v>
      </c>
      <c r="J1542" s="3" t="n">
        <v>34</v>
      </c>
      <c r="K1542" s="3" t="n">
        <v>965.9</v>
      </c>
      <c r="L1542" s="3" t="n">
        <v>32840.6</v>
      </c>
      <c r="M1542" s="3" t="n">
        <v>0.0403</v>
      </c>
      <c r="N1542" s="3" t="n">
        <v>1323.48</v>
      </c>
      <c r="O1542" s="3" t="n">
        <v>31517.12</v>
      </c>
      <c r="P1542" s="3" t="n">
        <v>18062.33</v>
      </c>
      <c r="Q1542" s="3" t="n">
        <v>13454.79</v>
      </c>
      <c r="R1542" s="3" t="n">
        <v>0.4269</v>
      </c>
      <c r="S1542" s="3" t="n">
        <v>0.0409</v>
      </c>
      <c r="T1542" s="3" t="n">
        <v>-0.0006</v>
      </c>
    </row>
    <row r="1543" customFormat="false" ht="15" hidden="false" customHeight="true" outlineLevel="0" collapsed="false">
      <c r="A1543" s="3" t="s">
        <v>2449</v>
      </c>
      <c r="B1543" s="3" t="s">
        <v>1415</v>
      </c>
      <c r="C1543" s="3" t="s">
        <v>46</v>
      </c>
      <c r="D1543" s="3" t="s">
        <v>38</v>
      </c>
      <c r="E1543" s="3" t="s">
        <v>39</v>
      </c>
      <c r="F1543" s="3" t="s">
        <v>40</v>
      </c>
      <c r="G1543" s="3" t="s">
        <v>84</v>
      </c>
      <c r="H1543" s="3" t="s">
        <v>64</v>
      </c>
      <c r="I1543" s="3" t="s">
        <v>145</v>
      </c>
      <c r="J1543" s="3" t="n">
        <v>49</v>
      </c>
      <c r="K1543" s="3" t="n">
        <v>7933.85</v>
      </c>
      <c r="L1543" s="3" t="n">
        <v>388758.65</v>
      </c>
      <c r="M1543" s="3" t="n">
        <v>0.0696</v>
      </c>
      <c r="N1543" s="3" t="n">
        <v>27057.6</v>
      </c>
      <c r="O1543" s="3" t="n">
        <v>361701.05</v>
      </c>
      <c r="P1543" s="3" t="n">
        <v>225480.02</v>
      </c>
      <c r="Q1543" s="3" t="n">
        <v>136221.03</v>
      </c>
      <c r="R1543" s="3" t="n">
        <v>0.3766</v>
      </c>
      <c r="S1543" s="3" t="n">
        <v>0.0691</v>
      </c>
      <c r="T1543" s="3" t="n">
        <v>0.0005</v>
      </c>
    </row>
    <row r="1544" customFormat="false" ht="15" hidden="false" customHeight="true" outlineLevel="0" collapsed="false">
      <c r="A1544" s="3" t="s">
        <v>2450</v>
      </c>
      <c r="B1544" s="3" t="s">
        <v>1402</v>
      </c>
      <c r="C1544" s="3" t="s">
        <v>31</v>
      </c>
      <c r="D1544" s="3" t="s">
        <v>69</v>
      </c>
      <c r="E1544" s="3" t="s">
        <v>39</v>
      </c>
      <c r="F1544" s="3" t="s">
        <v>70</v>
      </c>
      <c r="G1544" s="3" t="s">
        <v>84</v>
      </c>
      <c r="H1544" s="3" t="s">
        <v>77</v>
      </c>
      <c r="I1544" s="3" t="s">
        <v>131</v>
      </c>
      <c r="J1544" s="3" t="n">
        <v>42</v>
      </c>
      <c r="K1544" s="3" t="n">
        <v>1721.52</v>
      </c>
      <c r="L1544" s="3" t="n">
        <v>72303.84</v>
      </c>
      <c r="M1544" s="3" t="n">
        <v>0.0526</v>
      </c>
      <c r="N1544" s="3" t="n">
        <v>3803.18</v>
      </c>
      <c r="O1544" s="3" t="n">
        <v>68500.66</v>
      </c>
      <c r="P1544" s="3" t="n">
        <v>49166.61</v>
      </c>
      <c r="Q1544" s="3" t="n">
        <v>19334.05</v>
      </c>
      <c r="R1544" s="3" t="n">
        <v>0.2822</v>
      </c>
      <c r="S1544" s="3" t="n">
        <v>0.0429</v>
      </c>
      <c r="T1544" s="3" t="n">
        <v>0.0097</v>
      </c>
    </row>
    <row r="1545" customFormat="false" ht="15" hidden="false" customHeight="true" outlineLevel="0" collapsed="false">
      <c r="A1545" s="3" t="s">
        <v>2451</v>
      </c>
      <c r="B1545" s="3" t="s">
        <v>2255</v>
      </c>
      <c r="C1545" s="3" t="s">
        <v>156</v>
      </c>
      <c r="D1545" s="3" t="s">
        <v>69</v>
      </c>
      <c r="E1545" s="3" t="s">
        <v>39</v>
      </c>
      <c r="F1545" s="3" t="s">
        <v>70</v>
      </c>
      <c r="G1545" s="3" t="s">
        <v>41</v>
      </c>
      <c r="H1545" s="3" t="s">
        <v>42</v>
      </c>
      <c r="I1545" s="3" t="s">
        <v>72</v>
      </c>
      <c r="J1545" s="3" t="n">
        <v>34</v>
      </c>
      <c r="K1545" s="3" t="n">
        <v>2808.78</v>
      </c>
      <c r="L1545" s="3" t="n">
        <v>95498.52</v>
      </c>
      <c r="M1545" s="3" t="n">
        <v>0.1093</v>
      </c>
      <c r="N1545" s="3" t="n">
        <v>10437.99</v>
      </c>
      <c r="O1545" s="3" t="n">
        <v>85060.53</v>
      </c>
      <c r="P1545" s="3" t="n">
        <v>52524.19</v>
      </c>
      <c r="Q1545" s="3" t="n">
        <v>32536.34</v>
      </c>
      <c r="R1545" s="3" t="n">
        <v>0.3825</v>
      </c>
      <c r="S1545" s="3" t="n">
        <v>0.1102</v>
      </c>
      <c r="T1545" s="3" t="n">
        <v>-0.0009</v>
      </c>
    </row>
    <row r="1546" customFormat="false" ht="15" hidden="false" customHeight="true" outlineLevel="0" collapsed="false">
      <c r="A1546" s="3" t="s">
        <v>2452</v>
      </c>
      <c r="B1546" s="3" t="s">
        <v>2093</v>
      </c>
      <c r="C1546" s="3" t="s">
        <v>113</v>
      </c>
      <c r="D1546" s="3" t="s">
        <v>47</v>
      </c>
      <c r="E1546" s="3" t="s">
        <v>48</v>
      </c>
      <c r="F1546" s="3" t="s">
        <v>25</v>
      </c>
      <c r="G1546" s="3" t="s">
        <v>41</v>
      </c>
      <c r="H1546" s="3" t="s">
        <v>56</v>
      </c>
      <c r="I1546" s="3" t="s">
        <v>121</v>
      </c>
      <c r="J1546" s="3" t="n">
        <v>48</v>
      </c>
      <c r="K1546" s="3" t="n">
        <v>6373.12</v>
      </c>
      <c r="L1546" s="3" t="n">
        <v>305909.76</v>
      </c>
      <c r="M1546" s="3" t="n">
        <v>0.2112</v>
      </c>
      <c r="N1546" s="3" t="n">
        <v>64608.14</v>
      </c>
      <c r="O1546" s="3" t="n">
        <v>241301.62</v>
      </c>
      <c r="P1546" s="3" t="n">
        <v>183545.86</v>
      </c>
      <c r="Q1546" s="3" t="n">
        <v>57755.76</v>
      </c>
      <c r="R1546" s="3" t="n">
        <v>0.2394</v>
      </c>
      <c r="S1546" s="3" t="n">
        <v>0.1785</v>
      </c>
      <c r="T1546" s="3" t="n">
        <v>0.0327</v>
      </c>
    </row>
    <row r="1547" customFormat="false" ht="15" hidden="false" customHeight="true" outlineLevel="0" collapsed="false">
      <c r="A1547" s="3" t="s">
        <v>2453</v>
      </c>
      <c r="B1547" s="3" t="s">
        <v>1444</v>
      </c>
      <c r="C1547" s="3" t="s">
        <v>68</v>
      </c>
      <c r="D1547" s="3" t="s">
        <v>103</v>
      </c>
      <c r="E1547" s="3" t="s">
        <v>24</v>
      </c>
      <c r="F1547" s="3" t="s">
        <v>62</v>
      </c>
      <c r="G1547" s="3" t="s">
        <v>26</v>
      </c>
      <c r="H1547" s="3" t="s">
        <v>77</v>
      </c>
      <c r="I1547" s="3" t="s">
        <v>131</v>
      </c>
      <c r="J1547" s="3" t="n">
        <v>32</v>
      </c>
      <c r="K1547" s="3" t="n">
        <v>1826.66</v>
      </c>
      <c r="L1547" s="3" t="n">
        <v>58453.12</v>
      </c>
      <c r="M1547" s="3" t="n">
        <v>0.0458</v>
      </c>
      <c r="N1547" s="3" t="n">
        <v>2677.15</v>
      </c>
      <c r="O1547" s="3" t="n">
        <v>55775.97</v>
      </c>
      <c r="P1547" s="3" t="n">
        <v>39748.12</v>
      </c>
      <c r="Q1547" s="3" t="n">
        <v>16027.85</v>
      </c>
      <c r="R1547" s="3" t="n">
        <v>0.2874</v>
      </c>
      <c r="S1547" s="3" t="n">
        <v>0.0468</v>
      </c>
      <c r="T1547" s="3" t="n">
        <v>-0.001</v>
      </c>
    </row>
    <row r="1548" customFormat="false" ht="15" hidden="false" customHeight="true" outlineLevel="0" collapsed="false">
      <c r="A1548" s="3" t="s">
        <v>2454</v>
      </c>
      <c r="B1548" s="3" t="s">
        <v>747</v>
      </c>
      <c r="C1548" s="3" t="s">
        <v>37</v>
      </c>
      <c r="D1548" s="3" t="s">
        <v>32</v>
      </c>
      <c r="E1548" s="3" t="s">
        <v>33</v>
      </c>
      <c r="F1548" s="3" t="s">
        <v>25</v>
      </c>
      <c r="G1548" s="3" t="s">
        <v>116</v>
      </c>
      <c r="H1548" s="3" t="s">
        <v>27</v>
      </c>
      <c r="I1548" s="3" t="s">
        <v>28</v>
      </c>
      <c r="J1548" s="3" t="n">
        <v>4</v>
      </c>
      <c r="K1548" s="3" t="n">
        <v>8686.91</v>
      </c>
      <c r="L1548" s="3" t="n">
        <v>34747.64</v>
      </c>
      <c r="M1548" s="3" t="n">
        <v>0.151</v>
      </c>
      <c r="N1548" s="3" t="n">
        <v>5246.89</v>
      </c>
      <c r="O1548" s="3" t="n">
        <v>29500.75</v>
      </c>
      <c r="P1548" s="3" t="n">
        <v>21543.54</v>
      </c>
      <c r="Q1548" s="3" t="n">
        <v>7957.21</v>
      </c>
      <c r="R1548" s="3" t="n">
        <v>0.2697</v>
      </c>
      <c r="S1548" s="3" t="n">
        <v>0.13</v>
      </c>
      <c r="T1548" s="3" t="n">
        <v>0.021</v>
      </c>
    </row>
    <row r="1549" customFormat="false" ht="15" hidden="false" customHeight="true" outlineLevel="0" collapsed="false">
      <c r="A1549" s="3" t="s">
        <v>2455</v>
      </c>
      <c r="B1549" s="3" t="s">
        <v>977</v>
      </c>
      <c r="C1549" s="3" t="s">
        <v>60</v>
      </c>
      <c r="D1549" s="3" t="s">
        <v>75</v>
      </c>
      <c r="E1549" s="3" t="s">
        <v>39</v>
      </c>
      <c r="F1549" s="3" t="s">
        <v>25</v>
      </c>
      <c r="G1549" s="3" t="s">
        <v>116</v>
      </c>
      <c r="H1549" s="3" t="s">
        <v>64</v>
      </c>
      <c r="I1549" s="3" t="s">
        <v>145</v>
      </c>
      <c r="J1549" s="3" t="n">
        <v>21</v>
      </c>
      <c r="K1549" s="3" t="n">
        <v>6266.46</v>
      </c>
      <c r="L1549" s="3" t="n">
        <v>131595.66</v>
      </c>
      <c r="M1549" s="3" t="n">
        <v>0.2044</v>
      </c>
      <c r="N1549" s="3" t="n">
        <v>26898.15</v>
      </c>
      <c r="O1549" s="3" t="n">
        <v>104697.51</v>
      </c>
      <c r="P1549" s="3" t="n">
        <v>76325.48</v>
      </c>
      <c r="Q1549" s="3" t="n">
        <v>28372.03</v>
      </c>
      <c r="R1549" s="3" t="n">
        <v>0.271</v>
      </c>
      <c r="S1549" s="3" t="n">
        <v>0.1813</v>
      </c>
      <c r="T1549" s="3" t="n">
        <v>0.0231</v>
      </c>
    </row>
    <row r="1550" customFormat="false" ht="15" hidden="false" customHeight="true" outlineLevel="0" collapsed="false">
      <c r="A1550" s="3" t="s">
        <v>2456</v>
      </c>
      <c r="B1550" s="3" t="s">
        <v>1041</v>
      </c>
      <c r="C1550" s="3" t="s">
        <v>60</v>
      </c>
      <c r="D1550" s="3" t="s">
        <v>61</v>
      </c>
      <c r="E1550" s="3" t="s">
        <v>33</v>
      </c>
      <c r="F1550" s="3" t="s">
        <v>62</v>
      </c>
      <c r="G1550" s="3" t="s">
        <v>41</v>
      </c>
      <c r="H1550" s="3" t="s">
        <v>56</v>
      </c>
      <c r="I1550" s="3" t="s">
        <v>188</v>
      </c>
      <c r="J1550" s="3" t="n">
        <v>8</v>
      </c>
      <c r="K1550" s="3" t="n">
        <v>4612.11</v>
      </c>
      <c r="L1550" s="3" t="n">
        <v>36896.88</v>
      </c>
      <c r="M1550" s="3" t="n">
        <v>0.1013</v>
      </c>
      <c r="N1550" s="3" t="n">
        <v>3737.65</v>
      </c>
      <c r="O1550" s="3" t="n">
        <v>33159.23</v>
      </c>
      <c r="P1550" s="3" t="n">
        <v>22138.13</v>
      </c>
      <c r="Q1550" s="3" t="n">
        <v>11021.1</v>
      </c>
      <c r="R1550" s="3" t="n">
        <v>0.3324</v>
      </c>
      <c r="S1550" s="3" t="n">
        <v>0.0982</v>
      </c>
      <c r="T1550" s="3" t="n">
        <v>0.0031</v>
      </c>
    </row>
    <row r="1551" customFormat="false" ht="15" hidden="false" customHeight="true" outlineLevel="0" collapsed="false">
      <c r="A1551" s="3" t="s">
        <v>2457</v>
      </c>
      <c r="B1551" s="3" t="s">
        <v>2220</v>
      </c>
      <c r="C1551" s="3" t="s">
        <v>60</v>
      </c>
      <c r="D1551" s="3" t="s">
        <v>23</v>
      </c>
      <c r="E1551" s="3" t="s">
        <v>24</v>
      </c>
      <c r="F1551" s="3" t="s">
        <v>25</v>
      </c>
      <c r="G1551" s="3" t="s">
        <v>76</v>
      </c>
      <c r="H1551" s="3" t="s">
        <v>77</v>
      </c>
      <c r="I1551" s="3" t="s">
        <v>85</v>
      </c>
      <c r="J1551" s="3" t="n">
        <v>16</v>
      </c>
      <c r="K1551" s="3" t="n">
        <v>4511.83</v>
      </c>
      <c r="L1551" s="3" t="n">
        <v>72189.28</v>
      </c>
      <c r="M1551" s="3" t="n">
        <v>0.1719</v>
      </c>
      <c r="N1551" s="3" t="n">
        <v>12409.34</v>
      </c>
      <c r="O1551" s="3" t="n">
        <v>59779.94</v>
      </c>
      <c r="P1551" s="3" t="n">
        <v>49088.71</v>
      </c>
      <c r="Q1551" s="3" t="n">
        <v>10691.23</v>
      </c>
      <c r="R1551" s="3" t="n">
        <v>0.1788</v>
      </c>
      <c r="S1551" s="3" t="n">
        <v>0.1844</v>
      </c>
      <c r="T1551" s="3" t="n">
        <v>-0.0125</v>
      </c>
    </row>
    <row r="1552" customFormat="false" ht="15" hidden="false" customHeight="true" outlineLevel="0" collapsed="false">
      <c r="A1552" s="3" t="s">
        <v>2458</v>
      </c>
      <c r="B1552" s="3" t="s">
        <v>200</v>
      </c>
      <c r="C1552" s="3" t="s">
        <v>156</v>
      </c>
      <c r="D1552" s="3" t="s">
        <v>61</v>
      </c>
      <c r="E1552" s="3" t="s">
        <v>33</v>
      </c>
      <c r="F1552" s="3" t="s">
        <v>62</v>
      </c>
      <c r="G1552" s="3" t="s">
        <v>63</v>
      </c>
      <c r="H1552" s="3" t="s">
        <v>27</v>
      </c>
      <c r="I1552" s="3" t="s">
        <v>117</v>
      </c>
      <c r="J1552" s="3" t="n">
        <v>31</v>
      </c>
      <c r="K1552" s="3" t="n">
        <v>23130.02</v>
      </c>
      <c r="L1552" s="3" t="n">
        <v>717030.62</v>
      </c>
      <c r="M1552" s="3" t="n">
        <v>0.0385</v>
      </c>
      <c r="N1552" s="3" t="n">
        <v>27605.68</v>
      </c>
      <c r="O1552" s="3" t="n">
        <v>689424.94</v>
      </c>
      <c r="P1552" s="3" t="n">
        <v>444558.98</v>
      </c>
      <c r="Q1552" s="3" t="n">
        <v>244865.96</v>
      </c>
      <c r="R1552" s="3" t="n">
        <v>0.3552</v>
      </c>
      <c r="S1552" s="3" t="n">
        <v>0.0376</v>
      </c>
      <c r="T1552" s="3" t="n">
        <v>0.0009</v>
      </c>
    </row>
    <row r="1553" customFormat="false" ht="15" hidden="false" customHeight="true" outlineLevel="0" collapsed="false">
      <c r="A1553" s="3" t="s">
        <v>2459</v>
      </c>
      <c r="B1553" s="3" t="s">
        <v>914</v>
      </c>
      <c r="C1553" s="3" t="s">
        <v>37</v>
      </c>
      <c r="D1553" s="3" t="s">
        <v>103</v>
      </c>
      <c r="E1553" s="3" t="s">
        <v>24</v>
      </c>
      <c r="F1553" s="3" t="s">
        <v>62</v>
      </c>
      <c r="G1553" s="3" t="s">
        <v>55</v>
      </c>
      <c r="H1553" s="3" t="s">
        <v>77</v>
      </c>
      <c r="I1553" s="3" t="s">
        <v>85</v>
      </c>
      <c r="J1553" s="3" t="n">
        <v>2</v>
      </c>
      <c r="K1553" s="3" t="n">
        <v>2072.8</v>
      </c>
      <c r="L1553" s="3" t="n">
        <v>4145.6</v>
      </c>
      <c r="M1553" s="3" t="n">
        <v>0.0785</v>
      </c>
      <c r="N1553" s="3" t="n">
        <v>325.43</v>
      </c>
      <c r="O1553" s="3" t="n">
        <v>3820.17</v>
      </c>
      <c r="P1553" s="3" t="n">
        <v>2819.01</v>
      </c>
      <c r="Q1553" s="3" t="n">
        <v>1001.16</v>
      </c>
      <c r="R1553" s="3" t="n">
        <v>0.2621</v>
      </c>
      <c r="S1553" s="3" t="n">
        <v>0.0837</v>
      </c>
      <c r="T1553" s="3" t="n">
        <v>-0.0052</v>
      </c>
    </row>
    <row r="1554" customFormat="false" ht="15" hidden="false" customHeight="true" outlineLevel="0" collapsed="false">
      <c r="A1554" s="3" t="s">
        <v>2460</v>
      </c>
      <c r="B1554" s="3" t="s">
        <v>744</v>
      </c>
      <c r="C1554" s="3" t="s">
        <v>120</v>
      </c>
      <c r="D1554" s="3" t="s">
        <v>61</v>
      </c>
      <c r="E1554" s="3" t="s">
        <v>33</v>
      </c>
      <c r="F1554" s="3" t="s">
        <v>62</v>
      </c>
      <c r="G1554" s="3" t="s">
        <v>41</v>
      </c>
      <c r="H1554" s="3" t="s">
        <v>42</v>
      </c>
      <c r="I1554" s="3" t="s">
        <v>43</v>
      </c>
      <c r="J1554" s="3" t="n">
        <v>20</v>
      </c>
      <c r="K1554" s="3" t="n">
        <v>972.3</v>
      </c>
      <c r="L1554" s="3" t="n">
        <v>19446</v>
      </c>
      <c r="M1554" s="3" t="n">
        <v>0.1205</v>
      </c>
      <c r="N1554" s="3" t="n">
        <v>2343.24</v>
      </c>
      <c r="O1554" s="3" t="n">
        <v>17102.76</v>
      </c>
      <c r="P1554" s="3" t="n">
        <v>10695.3</v>
      </c>
      <c r="Q1554" s="3" t="n">
        <v>6407.46</v>
      </c>
      <c r="R1554" s="3" t="n">
        <v>0.3746</v>
      </c>
      <c r="S1554" s="3" t="n">
        <v>0.1323</v>
      </c>
      <c r="T1554" s="3" t="n">
        <v>-0.0118</v>
      </c>
    </row>
    <row r="1555" customFormat="false" ht="15" hidden="false" customHeight="true" outlineLevel="0" collapsed="false">
      <c r="A1555" s="3" t="s">
        <v>2461</v>
      </c>
      <c r="B1555" s="3" t="s">
        <v>1623</v>
      </c>
      <c r="C1555" s="3" t="s">
        <v>68</v>
      </c>
      <c r="D1555" s="3" t="s">
        <v>23</v>
      </c>
      <c r="E1555" s="3" t="s">
        <v>24</v>
      </c>
      <c r="F1555" s="3" t="s">
        <v>25</v>
      </c>
      <c r="G1555" s="3" t="s">
        <v>76</v>
      </c>
      <c r="H1555" s="3" t="s">
        <v>64</v>
      </c>
      <c r="I1555" s="3" t="s">
        <v>145</v>
      </c>
      <c r="J1555" s="3" t="n">
        <v>6</v>
      </c>
      <c r="K1555" s="3" t="n">
        <v>9402.67</v>
      </c>
      <c r="L1555" s="3" t="n">
        <v>56416.02</v>
      </c>
      <c r="M1555" s="3" t="n">
        <v>0.1664</v>
      </c>
      <c r="N1555" s="3" t="n">
        <v>9387.63</v>
      </c>
      <c r="O1555" s="3" t="n">
        <v>47028.39</v>
      </c>
      <c r="P1555" s="3" t="n">
        <v>32721.29</v>
      </c>
      <c r="Q1555" s="3" t="n">
        <v>14307.1</v>
      </c>
      <c r="R1555" s="3" t="n">
        <v>0.3042</v>
      </c>
      <c r="S1555" s="3" t="n">
        <v>0.1339</v>
      </c>
      <c r="T1555" s="3" t="n">
        <v>0.0325</v>
      </c>
    </row>
    <row r="1556" customFormat="false" ht="15" hidden="false" customHeight="true" outlineLevel="0" collapsed="false">
      <c r="A1556" s="3" t="s">
        <v>2462</v>
      </c>
      <c r="B1556" s="3" t="s">
        <v>1729</v>
      </c>
      <c r="C1556" s="3" t="s">
        <v>68</v>
      </c>
      <c r="D1556" s="3" t="s">
        <v>38</v>
      </c>
      <c r="E1556" s="3" t="s">
        <v>39</v>
      </c>
      <c r="F1556" s="3" t="s">
        <v>40</v>
      </c>
      <c r="G1556" s="3" t="s">
        <v>49</v>
      </c>
      <c r="H1556" s="3" t="s">
        <v>77</v>
      </c>
      <c r="I1556" s="3" t="s">
        <v>131</v>
      </c>
      <c r="J1556" s="3" t="n">
        <v>13</v>
      </c>
      <c r="K1556" s="3" t="n">
        <v>5286.01</v>
      </c>
      <c r="L1556" s="3" t="n">
        <v>68718.13</v>
      </c>
      <c r="M1556" s="3" t="n">
        <v>0.0557</v>
      </c>
      <c r="N1556" s="3" t="n">
        <v>3827.6</v>
      </c>
      <c r="O1556" s="3" t="n">
        <v>64890.53</v>
      </c>
      <c r="P1556" s="3" t="n">
        <v>46728.33</v>
      </c>
      <c r="Q1556" s="3" t="n">
        <v>18162.2</v>
      </c>
      <c r="R1556" s="3" t="n">
        <v>0.2799</v>
      </c>
      <c r="S1556" s="3" t="n">
        <v>0.0596</v>
      </c>
      <c r="T1556" s="3" t="n">
        <v>-0.0039</v>
      </c>
    </row>
    <row r="1557" customFormat="false" ht="15" hidden="false" customHeight="true" outlineLevel="0" collapsed="false">
      <c r="A1557" s="3" t="s">
        <v>2463</v>
      </c>
      <c r="B1557" s="3" t="s">
        <v>456</v>
      </c>
      <c r="C1557" s="3" t="s">
        <v>37</v>
      </c>
      <c r="D1557" s="3" t="s">
        <v>32</v>
      </c>
      <c r="E1557" s="3" t="s">
        <v>33</v>
      </c>
      <c r="F1557" s="3" t="s">
        <v>25</v>
      </c>
      <c r="G1557" s="3" t="s">
        <v>41</v>
      </c>
      <c r="H1557" s="3" t="s">
        <v>77</v>
      </c>
      <c r="I1557" s="3" t="s">
        <v>78</v>
      </c>
      <c r="J1557" s="3" t="n">
        <v>16</v>
      </c>
      <c r="K1557" s="3" t="n">
        <v>1449.65</v>
      </c>
      <c r="L1557" s="3" t="n">
        <v>23194.4</v>
      </c>
      <c r="M1557" s="3" t="n">
        <v>0.1859</v>
      </c>
      <c r="N1557" s="3" t="n">
        <v>4311.84</v>
      </c>
      <c r="O1557" s="3" t="n">
        <v>18882.56</v>
      </c>
      <c r="P1557" s="3" t="n">
        <v>15772.19</v>
      </c>
      <c r="Q1557" s="3" t="n">
        <v>3110.37</v>
      </c>
      <c r="R1557" s="3" t="n">
        <v>0.1647</v>
      </c>
      <c r="S1557" s="3" t="n">
        <v>0.151</v>
      </c>
      <c r="T1557" s="3" t="n">
        <v>0.0349</v>
      </c>
    </row>
    <row r="1558" customFormat="false" ht="15" hidden="false" customHeight="true" outlineLevel="0" collapsed="false">
      <c r="A1558" s="3" t="s">
        <v>2464</v>
      </c>
      <c r="B1558" s="3" t="s">
        <v>1025</v>
      </c>
      <c r="C1558" s="3" t="s">
        <v>156</v>
      </c>
      <c r="D1558" s="3" t="s">
        <v>97</v>
      </c>
      <c r="E1558" s="3" t="s">
        <v>48</v>
      </c>
      <c r="F1558" s="3" t="s">
        <v>40</v>
      </c>
      <c r="G1558" s="3" t="s">
        <v>116</v>
      </c>
      <c r="H1558" s="3" t="s">
        <v>77</v>
      </c>
      <c r="I1558" s="3" t="s">
        <v>85</v>
      </c>
      <c r="J1558" s="3" t="n">
        <v>3</v>
      </c>
      <c r="K1558" s="3" t="n">
        <v>2798.01</v>
      </c>
      <c r="L1558" s="3" t="n">
        <v>8394.03</v>
      </c>
      <c r="M1558" s="3" t="n">
        <v>0.0957</v>
      </c>
      <c r="N1558" s="3" t="n">
        <v>803.31</v>
      </c>
      <c r="O1558" s="3" t="n">
        <v>7590.72</v>
      </c>
      <c r="P1558" s="3" t="n">
        <v>5707.94</v>
      </c>
      <c r="Q1558" s="3" t="n">
        <v>1882.78</v>
      </c>
      <c r="R1558" s="3" t="n">
        <v>0.248</v>
      </c>
      <c r="S1558" s="3" t="n">
        <v>0.0976</v>
      </c>
      <c r="T1558" s="3" t="n">
        <v>-0.0019</v>
      </c>
    </row>
    <row r="1559" customFormat="false" ht="15" hidden="false" customHeight="true" outlineLevel="0" collapsed="false">
      <c r="A1559" s="3" t="s">
        <v>2465</v>
      </c>
      <c r="B1559" s="3" t="s">
        <v>215</v>
      </c>
      <c r="C1559" s="3" t="s">
        <v>46</v>
      </c>
      <c r="D1559" s="3" t="s">
        <v>32</v>
      </c>
      <c r="E1559" s="3" t="s">
        <v>33</v>
      </c>
      <c r="F1559" s="3" t="s">
        <v>25</v>
      </c>
      <c r="G1559" s="3" t="s">
        <v>34</v>
      </c>
      <c r="H1559" s="3" t="s">
        <v>42</v>
      </c>
      <c r="I1559" s="3" t="s">
        <v>134</v>
      </c>
      <c r="J1559" s="3" t="n">
        <v>25</v>
      </c>
      <c r="K1559" s="3" t="n">
        <v>3665.87</v>
      </c>
      <c r="L1559" s="3" t="n">
        <v>91646.75</v>
      </c>
      <c r="M1559" s="3" t="n">
        <v>0.1759</v>
      </c>
      <c r="N1559" s="3" t="n">
        <v>16120.66</v>
      </c>
      <c r="O1559" s="3" t="n">
        <v>75526.09</v>
      </c>
      <c r="P1559" s="3" t="n">
        <v>50405.71</v>
      </c>
      <c r="Q1559" s="3" t="n">
        <v>25120.38</v>
      </c>
      <c r="R1559" s="3" t="n">
        <v>0.3326</v>
      </c>
      <c r="S1559" s="3" t="n">
        <v>0.1584</v>
      </c>
      <c r="T1559" s="3" t="n">
        <v>0.0175</v>
      </c>
    </row>
    <row r="1560" customFormat="false" ht="15" hidden="false" customHeight="true" outlineLevel="0" collapsed="false">
      <c r="A1560" s="3" t="s">
        <v>2466</v>
      </c>
      <c r="B1560" s="3" t="s">
        <v>1572</v>
      </c>
      <c r="C1560" s="3" t="s">
        <v>113</v>
      </c>
      <c r="D1560" s="3" t="s">
        <v>107</v>
      </c>
      <c r="E1560" s="3" t="s">
        <v>33</v>
      </c>
      <c r="F1560" s="3" t="s">
        <v>70</v>
      </c>
      <c r="G1560" s="3" t="s">
        <v>26</v>
      </c>
      <c r="H1560" s="3" t="s">
        <v>77</v>
      </c>
      <c r="I1560" s="3" t="s">
        <v>78</v>
      </c>
      <c r="J1560" s="3" t="n">
        <v>23</v>
      </c>
      <c r="K1560" s="3" t="n">
        <v>2842.22</v>
      </c>
      <c r="L1560" s="3" t="n">
        <v>65371.06</v>
      </c>
      <c r="M1560" s="3" t="n">
        <v>0.066</v>
      </c>
      <c r="N1560" s="3" t="n">
        <v>4314.49</v>
      </c>
      <c r="O1560" s="3" t="n">
        <v>61056.57</v>
      </c>
      <c r="P1560" s="3" t="n">
        <v>44452.32</v>
      </c>
      <c r="Q1560" s="3" t="n">
        <v>16604.25</v>
      </c>
      <c r="R1560" s="3" t="n">
        <v>0.2719</v>
      </c>
      <c r="S1560" s="3" t="n">
        <v>0.0624</v>
      </c>
      <c r="T1560" s="3" t="n">
        <v>0.0036</v>
      </c>
    </row>
    <row r="1561" customFormat="false" ht="15" hidden="false" customHeight="true" outlineLevel="0" collapsed="false">
      <c r="A1561" s="3" t="s">
        <v>2467</v>
      </c>
      <c r="B1561" s="3" t="s">
        <v>1621</v>
      </c>
      <c r="C1561" s="3" t="s">
        <v>68</v>
      </c>
      <c r="D1561" s="3" t="s">
        <v>54</v>
      </c>
      <c r="E1561" s="3" t="s">
        <v>24</v>
      </c>
      <c r="F1561" s="3" t="s">
        <v>40</v>
      </c>
      <c r="G1561" s="3" t="s">
        <v>71</v>
      </c>
      <c r="H1561" s="3" t="s">
        <v>27</v>
      </c>
      <c r="I1561" s="3" t="s">
        <v>173</v>
      </c>
      <c r="J1561" s="3" t="n">
        <v>43</v>
      </c>
      <c r="K1561" s="3" t="n">
        <v>10713.45</v>
      </c>
      <c r="L1561" s="3" t="n">
        <v>460678.35</v>
      </c>
      <c r="M1561" s="3" t="n">
        <v>0.0757</v>
      </c>
      <c r="N1561" s="3" t="n">
        <v>34873.35</v>
      </c>
      <c r="O1561" s="3" t="n">
        <v>425805</v>
      </c>
      <c r="P1561" s="3" t="n">
        <v>285620.58</v>
      </c>
      <c r="Q1561" s="3" t="n">
        <v>140184.42</v>
      </c>
      <c r="R1561" s="3" t="n">
        <v>0.3292</v>
      </c>
      <c r="S1561" s="3" t="n">
        <v>0.0809</v>
      </c>
      <c r="T1561" s="3" t="n">
        <v>-0.0052</v>
      </c>
    </row>
    <row r="1562" customFormat="false" ht="15" hidden="false" customHeight="true" outlineLevel="0" collapsed="false">
      <c r="A1562" s="3" t="s">
        <v>2468</v>
      </c>
      <c r="B1562" s="3" t="s">
        <v>21</v>
      </c>
      <c r="C1562" s="3" t="s">
        <v>22</v>
      </c>
      <c r="D1562" s="3" t="s">
        <v>32</v>
      </c>
      <c r="E1562" s="3" t="s">
        <v>33</v>
      </c>
      <c r="F1562" s="3" t="s">
        <v>25</v>
      </c>
      <c r="G1562" s="3" t="s">
        <v>34</v>
      </c>
      <c r="H1562" s="3" t="s">
        <v>64</v>
      </c>
      <c r="I1562" s="3" t="s">
        <v>65</v>
      </c>
      <c r="J1562" s="3" t="n">
        <v>24</v>
      </c>
      <c r="K1562" s="3" t="n">
        <v>3669.73</v>
      </c>
      <c r="L1562" s="3" t="n">
        <v>88073.52</v>
      </c>
      <c r="M1562" s="3" t="n">
        <v>0.1485</v>
      </c>
      <c r="N1562" s="3" t="n">
        <v>13078.92</v>
      </c>
      <c r="O1562" s="3" t="n">
        <v>74994.6</v>
      </c>
      <c r="P1562" s="3" t="n">
        <v>51082.64</v>
      </c>
      <c r="Q1562" s="3" t="n">
        <v>23911.96</v>
      </c>
      <c r="R1562" s="3" t="n">
        <v>0.3188</v>
      </c>
      <c r="S1562" s="3" t="n">
        <v>0.1573</v>
      </c>
      <c r="T1562" s="3" t="n">
        <v>-0.0088</v>
      </c>
    </row>
    <row r="1563" customFormat="false" ht="15" hidden="false" customHeight="true" outlineLevel="0" collapsed="false">
      <c r="A1563" s="3" t="s">
        <v>2469</v>
      </c>
      <c r="B1563" s="3" t="s">
        <v>2470</v>
      </c>
      <c r="C1563" s="3" t="s">
        <v>93</v>
      </c>
      <c r="D1563" s="3" t="s">
        <v>32</v>
      </c>
      <c r="E1563" s="3" t="s">
        <v>33</v>
      </c>
      <c r="F1563" s="3" t="s">
        <v>25</v>
      </c>
      <c r="G1563" s="3" t="s">
        <v>55</v>
      </c>
      <c r="H1563" s="3" t="s">
        <v>27</v>
      </c>
      <c r="I1563" s="3" t="s">
        <v>50</v>
      </c>
      <c r="J1563" s="3" t="n">
        <v>38</v>
      </c>
      <c r="K1563" s="3" t="n">
        <v>10252.25</v>
      </c>
      <c r="L1563" s="3" t="n">
        <v>389585.5</v>
      </c>
      <c r="M1563" s="3" t="n">
        <v>0.171</v>
      </c>
      <c r="N1563" s="3" t="n">
        <v>66619.12</v>
      </c>
      <c r="O1563" s="3" t="n">
        <v>322966.38</v>
      </c>
      <c r="P1563" s="3" t="n">
        <v>241543.01</v>
      </c>
      <c r="Q1563" s="3" t="n">
        <v>81423.37</v>
      </c>
      <c r="R1563" s="3" t="n">
        <v>0.2521</v>
      </c>
      <c r="S1563" s="3" t="n">
        <v>0.1692</v>
      </c>
      <c r="T1563" s="3" t="n">
        <v>0.0018</v>
      </c>
    </row>
    <row r="1564" customFormat="false" ht="15" hidden="false" customHeight="true" outlineLevel="0" collapsed="false">
      <c r="A1564" s="3" t="s">
        <v>2471</v>
      </c>
      <c r="B1564" s="3" t="s">
        <v>1569</v>
      </c>
      <c r="C1564" s="3" t="s">
        <v>22</v>
      </c>
      <c r="D1564" s="3" t="s">
        <v>103</v>
      </c>
      <c r="E1564" s="3" t="s">
        <v>24</v>
      </c>
      <c r="F1564" s="3" t="s">
        <v>62</v>
      </c>
      <c r="G1564" s="3" t="s">
        <v>116</v>
      </c>
      <c r="H1564" s="3" t="s">
        <v>27</v>
      </c>
      <c r="I1564" s="3" t="s">
        <v>94</v>
      </c>
      <c r="J1564" s="3" t="n">
        <v>9</v>
      </c>
      <c r="K1564" s="3" t="n">
        <v>9797.33</v>
      </c>
      <c r="L1564" s="3" t="n">
        <v>88175.97</v>
      </c>
      <c r="M1564" s="3" t="n">
        <v>0.0898</v>
      </c>
      <c r="N1564" s="3" t="n">
        <v>7918.2</v>
      </c>
      <c r="O1564" s="3" t="n">
        <v>80257.77</v>
      </c>
      <c r="P1564" s="3" t="n">
        <v>54669.1</v>
      </c>
      <c r="Q1564" s="3" t="n">
        <v>25588.67</v>
      </c>
      <c r="R1564" s="3" t="n">
        <v>0.3188</v>
      </c>
      <c r="S1564" s="3" t="n">
        <v>0.0769</v>
      </c>
      <c r="T1564" s="3" t="n">
        <v>0.0129</v>
      </c>
    </row>
    <row r="1565" customFormat="false" ht="15" hidden="false" customHeight="true" outlineLevel="0" collapsed="false">
      <c r="A1565" s="3" t="s">
        <v>2472</v>
      </c>
      <c r="B1565" s="3" t="s">
        <v>410</v>
      </c>
      <c r="C1565" s="3" t="s">
        <v>22</v>
      </c>
      <c r="D1565" s="3" t="s">
        <v>97</v>
      </c>
      <c r="E1565" s="3" t="s">
        <v>48</v>
      </c>
      <c r="F1565" s="3" t="s">
        <v>40</v>
      </c>
      <c r="G1565" s="3" t="s">
        <v>63</v>
      </c>
      <c r="H1565" s="3" t="s">
        <v>27</v>
      </c>
      <c r="I1565" s="3" t="s">
        <v>28</v>
      </c>
      <c r="J1565" s="3" t="n">
        <v>15</v>
      </c>
      <c r="K1565" s="3" t="n">
        <v>33330.97</v>
      </c>
      <c r="L1565" s="3" t="n">
        <v>499964.55</v>
      </c>
      <c r="M1565" s="3" t="n">
        <v>0.0405</v>
      </c>
      <c r="N1565" s="3" t="n">
        <v>20248.56</v>
      </c>
      <c r="O1565" s="3" t="n">
        <v>479715.99</v>
      </c>
      <c r="P1565" s="3" t="n">
        <v>309978.02</v>
      </c>
      <c r="Q1565" s="3" t="n">
        <v>169737.97</v>
      </c>
      <c r="R1565" s="3" t="n">
        <v>0.3538</v>
      </c>
      <c r="S1565" s="3" t="n">
        <v>0.0371</v>
      </c>
      <c r="T1565" s="3" t="n">
        <v>0.0034</v>
      </c>
    </row>
    <row r="1566" customFormat="false" ht="15" hidden="false" customHeight="true" outlineLevel="0" collapsed="false">
      <c r="A1566" s="3" t="s">
        <v>2473</v>
      </c>
      <c r="B1566" s="3" t="s">
        <v>517</v>
      </c>
      <c r="C1566" s="3" t="s">
        <v>113</v>
      </c>
      <c r="D1566" s="3" t="s">
        <v>23</v>
      </c>
      <c r="E1566" s="3" t="s">
        <v>24</v>
      </c>
      <c r="F1566" s="3" t="s">
        <v>25</v>
      </c>
      <c r="G1566" s="3" t="s">
        <v>84</v>
      </c>
      <c r="H1566" s="3" t="s">
        <v>56</v>
      </c>
      <c r="I1566" s="3" t="s">
        <v>188</v>
      </c>
      <c r="J1566" s="3" t="n">
        <v>46</v>
      </c>
      <c r="K1566" s="3" t="n">
        <v>15080.81</v>
      </c>
      <c r="L1566" s="3" t="n">
        <v>693717.26</v>
      </c>
      <c r="M1566" s="3" t="n">
        <v>0.1678</v>
      </c>
      <c r="N1566" s="3" t="n">
        <v>116405.76</v>
      </c>
      <c r="O1566" s="3" t="n">
        <v>577311.5</v>
      </c>
      <c r="P1566" s="3" t="n">
        <v>416230.36</v>
      </c>
      <c r="Q1566" s="3" t="n">
        <v>161081.14</v>
      </c>
      <c r="R1566" s="3" t="n">
        <v>0.279</v>
      </c>
      <c r="S1566" s="3" t="n">
        <v>0.1579</v>
      </c>
      <c r="T1566" s="3" t="n">
        <v>0.0099</v>
      </c>
    </row>
    <row r="1567" customFormat="false" ht="15" hidden="false" customHeight="true" outlineLevel="0" collapsed="false">
      <c r="A1567" s="3" t="s">
        <v>2474</v>
      </c>
      <c r="B1567" s="3" t="s">
        <v>1693</v>
      </c>
      <c r="C1567" s="3" t="s">
        <v>113</v>
      </c>
      <c r="D1567" s="3" t="s">
        <v>97</v>
      </c>
      <c r="E1567" s="3" t="s">
        <v>48</v>
      </c>
      <c r="F1567" s="3" t="s">
        <v>40</v>
      </c>
      <c r="G1567" s="3" t="s">
        <v>84</v>
      </c>
      <c r="H1567" s="3" t="s">
        <v>56</v>
      </c>
      <c r="I1567" s="3" t="s">
        <v>188</v>
      </c>
      <c r="J1567" s="3" t="n">
        <v>1</v>
      </c>
      <c r="K1567" s="3" t="n">
        <v>4958.85</v>
      </c>
      <c r="L1567" s="3" t="n">
        <v>4958.85</v>
      </c>
      <c r="M1567" s="3" t="n">
        <v>0.034</v>
      </c>
      <c r="N1567" s="3" t="n">
        <v>168.6</v>
      </c>
      <c r="O1567" s="3" t="n">
        <v>4790.25</v>
      </c>
      <c r="P1567" s="3" t="n">
        <v>2975.31</v>
      </c>
      <c r="Q1567" s="3" t="n">
        <v>1814.94</v>
      </c>
      <c r="R1567" s="3" t="n">
        <v>0.3789</v>
      </c>
      <c r="S1567" s="3" t="n">
        <v>0.0299</v>
      </c>
      <c r="T1567" s="3" t="n">
        <v>0.0041</v>
      </c>
    </row>
    <row r="1568" customFormat="false" ht="15" hidden="false" customHeight="true" outlineLevel="0" collapsed="false">
      <c r="A1568" s="3" t="s">
        <v>2475</v>
      </c>
      <c r="B1568" s="3" t="s">
        <v>1475</v>
      </c>
      <c r="C1568" s="3" t="s">
        <v>113</v>
      </c>
      <c r="D1568" s="3" t="s">
        <v>107</v>
      </c>
      <c r="E1568" s="3" t="s">
        <v>33</v>
      </c>
      <c r="F1568" s="3" t="s">
        <v>70</v>
      </c>
      <c r="G1568" s="3" t="s">
        <v>26</v>
      </c>
      <c r="H1568" s="3" t="s">
        <v>56</v>
      </c>
      <c r="I1568" s="3" t="s">
        <v>188</v>
      </c>
      <c r="J1568" s="3" t="n">
        <v>49</v>
      </c>
      <c r="K1568" s="3" t="n">
        <v>3984.16</v>
      </c>
      <c r="L1568" s="3" t="n">
        <v>195223.84</v>
      </c>
      <c r="M1568" s="3" t="n">
        <v>0.0338</v>
      </c>
      <c r="N1568" s="3" t="n">
        <v>6598.57</v>
      </c>
      <c r="O1568" s="3" t="n">
        <v>188625.27</v>
      </c>
      <c r="P1568" s="3" t="n">
        <v>117134.3</v>
      </c>
      <c r="Q1568" s="3" t="n">
        <v>71490.97</v>
      </c>
      <c r="R1568" s="3" t="n">
        <v>0.379</v>
      </c>
      <c r="S1568" s="3" t="n">
        <v>0.0356</v>
      </c>
      <c r="T1568" s="3" t="n">
        <v>-0.0018</v>
      </c>
    </row>
    <row r="1569" customFormat="false" ht="15" hidden="false" customHeight="true" outlineLevel="0" collapsed="false">
      <c r="A1569" s="3" t="s">
        <v>2476</v>
      </c>
      <c r="B1569" s="3" t="s">
        <v>788</v>
      </c>
      <c r="C1569" s="3" t="s">
        <v>68</v>
      </c>
      <c r="D1569" s="3" t="s">
        <v>69</v>
      </c>
      <c r="E1569" s="3" t="s">
        <v>39</v>
      </c>
      <c r="F1569" s="3" t="s">
        <v>70</v>
      </c>
      <c r="G1569" s="3" t="s">
        <v>71</v>
      </c>
      <c r="H1569" s="3" t="s">
        <v>64</v>
      </c>
      <c r="I1569" s="3" t="s">
        <v>90</v>
      </c>
      <c r="J1569" s="3" t="n">
        <v>19</v>
      </c>
      <c r="K1569" s="3" t="n">
        <v>10524.36</v>
      </c>
      <c r="L1569" s="3" t="n">
        <v>199962.84</v>
      </c>
      <c r="M1569" s="3" t="n">
        <v>0.0601</v>
      </c>
      <c r="N1569" s="3" t="n">
        <v>12017.77</v>
      </c>
      <c r="O1569" s="3" t="n">
        <v>187945.07</v>
      </c>
      <c r="P1569" s="3" t="n">
        <v>115978.45</v>
      </c>
      <c r="Q1569" s="3" t="n">
        <v>71966.62</v>
      </c>
      <c r="R1569" s="3" t="n">
        <v>0.3829</v>
      </c>
      <c r="S1569" s="3" t="n">
        <v>0.0596</v>
      </c>
      <c r="T1569" s="3" t="n">
        <v>0.0005</v>
      </c>
    </row>
    <row r="1570" customFormat="false" ht="15" hidden="false" customHeight="true" outlineLevel="0" collapsed="false">
      <c r="A1570" s="3" t="s">
        <v>2477</v>
      </c>
      <c r="B1570" s="3" t="s">
        <v>905</v>
      </c>
      <c r="C1570" s="3" t="s">
        <v>53</v>
      </c>
      <c r="D1570" s="3" t="s">
        <v>69</v>
      </c>
      <c r="E1570" s="3" t="s">
        <v>39</v>
      </c>
      <c r="F1570" s="3" t="s">
        <v>70</v>
      </c>
      <c r="G1570" s="3" t="s">
        <v>49</v>
      </c>
      <c r="H1570" s="3" t="s">
        <v>77</v>
      </c>
      <c r="I1570" s="3" t="s">
        <v>78</v>
      </c>
      <c r="J1570" s="3" t="n">
        <v>34</v>
      </c>
      <c r="K1570" s="3" t="n">
        <v>4730.13</v>
      </c>
      <c r="L1570" s="3" t="n">
        <v>160824.42</v>
      </c>
      <c r="M1570" s="3" t="n">
        <v>0.0303</v>
      </c>
      <c r="N1570" s="3" t="n">
        <v>4872.98</v>
      </c>
      <c r="O1570" s="3" t="n">
        <v>155951.44</v>
      </c>
      <c r="P1570" s="3" t="n">
        <v>109360.61</v>
      </c>
      <c r="Q1570" s="3" t="n">
        <v>46590.83</v>
      </c>
      <c r="R1570" s="3" t="n">
        <v>0.2988</v>
      </c>
      <c r="S1570" s="3" t="n">
        <v>0.0268</v>
      </c>
      <c r="T1570" s="3" t="n">
        <v>0.0035</v>
      </c>
    </row>
    <row r="1571" customFormat="false" ht="15" hidden="false" customHeight="true" outlineLevel="0" collapsed="false">
      <c r="A1571" s="3" t="s">
        <v>2478</v>
      </c>
      <c r="B1571" s="3" t="s">
        <v>1137</v>
      </c>
      <c r="C1571" s="3" t="s">
        <v>93</v>
      </c>
      <c r="D1571" s="3" t="s">
        <v>75</v>
      </c>
      <c r="E1571" s="3" t="s">
        <v>39</v>
      </c>
      <c r="F1571" s="3" t="s">
        <v>25</v>
      </c>
      <c r="G1571" s="3" t="s">
        <v>116</v>
      </c>
      <c r="H1571" s="3" t="s">
        <v>27</v>
      </c>
      <c r="I1571" s="3" t="s">
        <v>28</v>
      </c>
      <c r="J1571" s="3" t="n">
        <v>47</v>
      </c>
      <c r="K1571" s="3" t="n">
        <v>23805.54</v>
      </c>
      <c r="L1571" s="3" t="n">
        <v>1118860.38</v>
      </c>
      <c r="M1571" s="3" t="n">
        <v>0.1707</v>
      </c>
      <c r="N1571" s="3" t="n">
        <v>190989.47</v>
      </c>
      <c r="O1571" s="3" t="n">
        <v>927870.91</v>
      </c>
      <c r="P1571" s="3" t="n">
        <v>693693.44</v>
      </c>
      <c r="Q1571" s="3" t="n">
        <v>234177.47</v>
      </c>
      <c r="R1571" s="3" t="n">
        <v>0.2524</v>
      </c>
      <c r="S1571" s="3" t="n">
        <v>0.1372</v>
      </c>
      <c r="T1571" s="3" t="n">
        <v>0.0335</v>
      </c>
    </row>
    <row r="1572" customFormat="false" ht="15" hidden="false" customHeight="true" outlineLevel="0" collapsed="false">
      <c r="A1572" s="3" t="s">
        <v>2479</v>
      </c>
      <c r="B1572" s="3" t="s">
        <v>1554</v>
      </c>
      <c r="C1572" s="3" t="s">
        <v>22</v>
      </c>
      <c r="D1572" s="3" t="s">
        <v>97</v>
      </c>
      <c r="E1572" s="3" t="s">
        <v>48</v>
      </c>
      <c r="F1572" s="3" t="s">
        <v>40</v>
      </c>
      <c r="G1572" s="3" t="s">
        <v>55</v>
      </c>
      <c r="H1572" s="3" t="s">
        <v>27</v>
      </c>
      <c r="I1572" s="3" t="s">
        <v>50</v>
      </c>
      <c r="J1572" s="3" t="n">
        <v>24</v>
      </c>
      <c r="K1572" s="3" t="n">
        <v>32684.36</v>
      </c>
      <c r="L1572" s="3" t="n">
        <v>784424.64</v>
      </c>
      <c r="M1572" s="3" t="n">
        <v>0.0649</v>
      </c>
      <c r="N1572" s="3" t="n">
        <v>50909.16</v>
      </c>
      <c r="O1572" s="3" t="n">
        <v>733515.48</v>
      </c>
      <c r="P1572" s="3" t="n">
        <v>486343.28</v>
      </c>
      <c r="Q1572" s="3" t="n">
        <v>247172.2</v>
      </c>
      <c r="R1572" s="3" t="n">
        <v>0.337</v>
      </c>
      <c r="S1572" s="3" t="n">
        <v>0.063</v>
      </c>
      <c r="T1572" s="3" t="n">
        <v>0.0019</v>
      </c>
    </row>
    <row r="1573" customFormat="false" ht="15" hidden="false" customHeight="true" outlineLevel="0" collapsed="false">
      <c r="A1573" s="3" t="s">
        <v>2480</v>
      </c>
      <c r="B1573" s="3" t="s">
        <v>1699</v>
      </c>
      <c r="C1573" s="3" t="s">
        <v>126</v>
      </c>
      <c r="D1573" s="3" t="s">
        <v>97</v>
      </c>
      <c r="E1573" s="3" t="s">
        <v>48</v>
      </c>
      <c r="F1573" s="3" t="s">
        <v>40</v>
      </c>
      <c r="G1573" s="3" t="s">
        <v>49</v>
      </c>
      <c r="H1573" s="3" t="s">
        <v>42</v>
      </c>
      <c r="I1573" s="3" t="s">
        <v>134</v>
      </c>
      <c r="J1573" s="3" t="n">
        <v>31</v>
      </c>
      <c r="K1573" s="3" t="n">
        <v>3097.67</v>
      </c>
      <c r="L1573" s="3" t="n">
        <v>96027.77</v>
      </c>
      <c r="M1573" s="3" t="n">
        <v>0.0485</v>
      </c>
      <c r="N1573" s="3" t="n">
        <v>4657.35</v>
      </c>
      <c r="O1573" s="3" t="n">
        <v>91370.42</v>
      </c>
      <c r="P1573" s="3" t="n">
        <v>52815.27</v>
      </c>
      <c r="Q1573" s="3" t="n">
        <v>38555.15</v>
      </c>
      <c r="R1573" s="3" t="n">
        <v>0.422</v>
      </c>
      <c r="S1573" s="3" t="n">
        <v>0.0499</v>
      </c>
      <c r="T1573" s="3" t="n">
        <v>-0.0014</v>
      </c>
    </row>
    <row r="1574" customFormat="false" ht="15" hidden="false" customHeight="true" outlineLevel="0" collapsed="false">
      <c r="A1574" s="3" t="s">
        <v>2481</v>
      </c>
      <c r="B1574" s="3" t="s">
        <v>223</v>
      </c>
      <c r="C1574" s="3" t="s">
        <v>93</v>
      </c>
      <c r="D1574" s="3" t="s">
        <v>103</v>
      </c>
      <c r="E1574" s="3" t="s">
        <v>24</v>
      </c>
      <c r="F1574" s="3" t="s">
        <v>62</v>
      </c>
      <c r="G1574" s="3" t="s">
        <v>34</v>
      </c>
      <c r="H1574" s="3" t="s">
        <v>56</v>
      </c>
      <c r="I1574" s="3" t="s">
        <v>121</v>
      </c>
      <c r="J1574" s="3" t="n">
        <v>11</v>
      </c>
      <c r="K1574" s="3" t="n">
        <v>5649.79</v>
      </c>
      <c r="L1574" s="3" t="n">
        <v>62147.69</v>
      </c>
      <c r="M1574" s="3" t="n">
        <v>0.0663</v>
      </c>
      <c r="N1574" s="3" t="n">
        <v>4120.39</v>
      </c>
      <c r="O1574" s="3" t="n">
        <v>58027.3</v>
      </c>
      <c r="P1574" s="3" t="n">
        <v>37288.61</v>
      </c>
      <c r="Q1574" s="3" t="n">
        <v>20738.69</v>
      </c>
      <c r="R1574" s="3" t="n">
        <v>0.3574</v>
      </c>
      <c r="S1574" s="3" t="n">
        <v>0.0705</v>
      </c>
      <c r="T1574" s="3" t="n">
        <v>-0.0042</v>
      </c>
    </row>
    <row r="1575" customFormat="false" ht="15" hidden="false" customHeight="true" outlineLevel="0" collapsed="false">
      <c r="A1575" s="3" t="s">
        <v>2482</v>
      </c>
      <c r="B1575" s="3" t="s">
        <v>2253</v>
      </c>
      <c r="C1575" s="3" t="s">
        <v>46</v>
      </c>
      <c r="D1575" s="3" t="s">
        <v>103</v>
      </c>
      <c r="E1575" s="3" t="s">
        <v>24</v>
      </c>
      <c r="F1575" s="3" t="s">
        <v>62</v>
      </c>
      <c r="G1575" s="3" t="s">
        <v>84</v>
      </c>
      <c r="H1575" s="3" t="s">
        <v>77</v>
      </c>
      <c r="I1575" s="3" t="s">
        <v>78</v>
      </c>
      <c r="J1575" s="3" t="n">
        <v>10</v>
      </c>
      <c r="K1575" s="3" t="n">
        <v>3370.45</v>
      </c>
      <c r="L1575" s="3" t="n">
        <v>33704.5</v>
      </c>
      <c r="M1575" s="3" t="n">
        <v>0.0669</v>
      </c>
      <c r="N1575" s="3" t="n">
        <v>2254.83</v>
      </c>
      <c r="O1575" s="3" t="n">
        <v>31449.67</v>
      </c>
      <c r="P1575" s="3" t="n">
        <v>22919.06</v>
      </c>
      <c r="Q1575" s="3" t="n">
        <v>8530.61</v>
      </c>
      <c r="R1575" s="3" t="n">
        <v>0.2712</v>
      </c>
      <c r="S1575" s="3" t="n">
        <v>0.0619</v>
      </c>
      <c r="T1575" s="3" t="n">
        <v>0.005</v>
      </c>
    </row>
    <row r="1576" customFormat="false" ht="15" hidden="false" customHeight="true" outlineLevel="0" collapsed="false">
      <c r="A1576" s="3" t="s">
        <v>2483</v>
      </c>
      <c r="B1576" s="3" t="s">
        <v>2484</v>
      </c>
      <c r="C1576" s="3" t="s">
        <v>31</v>
      </c>
      <c r="D1576" s="3" t="s">
        <v>32</v>
      </c>
      <c r="E1576" s="3" t="s">
        <v>33</v>
      </c>
      <c r="F1576" s="3" t="s">
        <v>25</v>
      </c>
      <c r="G1576" s="3" t="s">
        <v>63</v>
      </c>
      <c r="H1576" s="3" t="s">
        <v>64</v>
      </c>
      <c r="I1576" s="3" t="s">
        <v>145</v>
      </c>
      <c r="J1576" s="3" t="n">
        <v>41</v>
      </c>
      <c r="K1576" s="3" t="n">
        <v>11907.86</v>
      </c>
      <c r="L1576" s="3" t="n">
        <v>488222.26</v>
      </c>
      <c r="M1576" s="3" t="n">
        <v>0.1067</v>
      </c>
      <c r="N1576" s="3" t="n">
        <v>52093.32</v>
      </c>
      <c r="O1576" s="3" t="n">
        <v>436128.94</v>
      </c>
      <c r="P1576" s="3" t="n">
        <v>283168.91</v>
      </c>
      <c r="Q1576" s="3" t="n">
        <v>152960.03</v>
      </c>
      <c r="R1576" s="3" t="n">
        <v>0.3507</v>
      </c>
      <c r="S1576" s="3" t="n">
        <v>0.1107</v>
      </c>
      <c r="T1576" s="3" t="n">
        <v>-0.004</v>
      </c>
    </row>
    <row r="1577" customFormat="false" ht="15" hidden="false" customHeight="true" outlineLevel="0" collapsed="false">
      <c r="A1577" s="3" t="s">
        <v>2485</v>
      </c>
      <c r="B1577" s="3" t="s">
        <v>2486</v>
      </c>
      <c r="C1577" s="3" t="s">
        <v>60</v>
      </c>
      <c r="D1577" s="3" t="s">
        <v>23</v>
      </c>
      <c r="E1577" s="3" t="s">
        <v>24</v>
      </c>
      <c r="F1577" s="3" t="s">
        <v>25</v>
      </c>
      <c r="G1577" s="3" t="s">
        <v>55</v>
      </c>
      <c r="H1577" s="3" t="s">
        <v>64</v>
      </c>
      <c r="I1577" s="3" t="s">
        <v>108</v>
      </c>
      <c r="J1577" s="3" t="n">
        <v>14</v>
      </c>
      <c r="K1577" s="3" t="n">
        <v>11514.39</v>
      </c>
      <c r="L1577" s="3" t="n">
        <v>161201.46</v>
      </c>
      <c r="M1577" s="3" t="n">
        <v>0.106</v>
      </c>
      <c r="N1577" s="3" t="n">
        <v>17087.35</v>
      </c>
      <c r="O1577" s="3" t="n">
        <v>144114.11</v>
      </c>
      <c r="P1577" s="3" t="n">
        <v>93496.85</v>
      </c>
      <c r="Q1577" s="3" t="n">
        <v>50617.26</v>
      </c>
      <c r="R1577" s="3" t="n">
        <v>0.3512</v>
      </c>
      <c r="S1577" s="3" t="n">
        <v>0.0935</v>
      </c>
      <c r="T1577" s="3" t="n">
        <v>0.0125</v>
      </c>
    </row>
    <row r="1578" customFormat="false" ht="15" hidden="false" customHeight="true" outlineLevel="0" collapsed="false">
      <c r="A1578" s="3" t="s">
        <v>2487</v>
      </c>
      <c r="B1578" s="3" t="s">
        <v>2280</v>
      </c>
      <c r="C1578" s="3" t="s">
        <v>113</v>
      </c>
      <c r="D1578" s="3" t="s">
        <v>69</v>
      </c>
      <c r="E1578" s="3" t="s">
        <v>39</v>
      </c>
      <c r="F1578" s="3" t="s">
        <v>70</v>
      </c>
      <c r="G1578" s="3" t="s">
        <v>63</v>
      </c>
      <c r="H1578" s="3" t="s">
        <v>27</v>
      </c>
      <c r="I1578" s="3" t="s">
        <v>173</v>
      </c>
      <c r="J1578" s="3" t="n">
        <v>36</v>
      </c>
      <c r="K1578" s="3" t="n">
        <v>13066.12</v>
      </c>
      <c r="L1578" s="3" t="n">
        <v>470380.32</v>
      </c>
      <c r="M1578" s="3" t="n">
        <v>0.0439</v>
      </c>
      <c r="N1578" s="3" t="n">
        <v>20649.7</v>
      </c>
      <c r="O1578" s="3" t="n">
        <v>449730.62</v>
      </c>
      <c r="P1578" s="3" t="n">
        <v>291635.8</v>
      </c>
      <c r="Q1578" s="3" t="n">
        <v>158094.82</v>
      </c>
      <c r="R1578" s="3" t="n">
        <v>0.3515</v>
      </c>
      <c r="S1578" s="3" t="n">
        <v>0.0415</v>
      </c>
      <c r="T1578" s="3" t="n">
        <v>0.0024</v>
      </c>
    </row>
    <row r="1579" customFormat="false" ht="15" hidden="false" customHeight="true" outlineLevel="0" collapsed="false">
      <c r="A1579" s="3" t="s">
        <v>2488</v>
      </c>
      <c r="B1579" s="3" t="s">
        <v>2489</v>
      </c>
      <c r="C1579" s="3" t="s">
        <v>22</v>
      </c>
      <c r="D1579" s="3" t="s">
        <v>97</v>
      </c>
      <c r="E1579" s="3" t="s">
        <v>48</v>
      </c>
      <c r="F1579" s="3" t="s">
        <v>40</v>
      </c>
      <c r="G1579" s="3" t="s">
        <v>63</v>
      </c>
      <c r="H1579" s="3" t="s">
        <v>77</v>
      </c>
      <c r="I1579" s="3" t="s">
        <v>78</v>
      </c>
      <c r="J1579" s="3" t="n">
        <v>11</v>
      </c>
      <c r="K1579" s="3" t="n">
        <v>5747.19</v>
      </c>
      <c r="L1579" s="3" t="n">
        <v>63219.09</v>
      </c>
      <c r="M1579" s="3" t="n">
        <v>0.0544</v>
      </c>
      <c r="N1579" s="3" t="n">
        <v>3439.12</v>
      </c>
      <c r="O1579" s="3" t="n">
        <v>59779.97</v>
      </c>
      <c r="P1579" s="3" t="n">
        <v>42988.98</v>
      </c>
      <c r="Q1579" s="3" t="n">
        <v>16790.99</v>
      </c>
      <c r="R1579" s="3" t="n">
        <v>0.2809</v>
      </c>
      <c r="S1579" s="3" t="n">
        <v>0.0493</v>
      </c>
      <c r="T1579" s="3" t="n">
        <v>0.0051</v>
      </c>
    </row>
    <row r="1580" customFormat="false" ht="15" hidden="false" customHeight="true" outlineLevel="0" collapsed="false">
      <c r="A1580" s="3" t="s">
        <v>2490</v>
      </c>
      <c r="B1580" s="3" t="s">
        <v>452</v>
      </c>
      <c r="C1580" s="3" t="s">
        <v>68</v>
      </c>
      <c r="D1580" s="3" t="s">
        <v>61</v>
      </c>
      <c r="E1580" s="3" t="s">
        <v>33</v>
      </c>
      <c r="F1580" s="3" t="s">
        <v>62</v>
      </c>
      <c r="G1580" s="3" t="s">
        <v>26</v>
      </c>
      <c r="H1580" s="3" t="s">
        <v>27</v>
      </c>
      <c r="I1580" s="3" t="s">
        <v>50</v>
      </c>
      <c r="J1580" s="3" t="n">
        <v>19</v>
      </c>
      <c r="K1580" s="3" t="n">
        <v>23254.41</v>
      </c>
      <c r="L1580" s="3" t="n">
        <v>441833.79</v>
      </c>
      <c r="M1580" s="3" t="n">
        <v>0.0371</v>
      </c>
      <c r="N1580" s="3" t="n">
        <v>16392.03</v>
      </c>
      <c r="O1580" s="3" t="n">
        <v>425441.76</v>
      </c>
      <c r="P1580" s="3" t="n">
        <v>273936.95</v>
      </c>
      <c r="Q1580" s="3" t="n">
        <v>151504.81</v>
      </c>
      <c r="R1580" s="3" t="n">
        <v>0.3561</v>
      </c>
      <c r="S1580" s="3" t="n">
        <v>0.0402</v>
      </c>
      <c r="T1580" s="3" t="n">
        <v>-0.0031</v>
      </c>
    </row>
    <row r="1581" customFormat="false" ht="15" hidden="false" customHeight="true" outlineLevel="0" collapsed="false">
      <c r="A1581" s="3" t="s">
        <v>2491</v>
      </c>
      <c r="B1581" s="3" t="s">
        <v>952</v>
      </c>
      <c r="C1581" s="3" t="s">
        <v>31</v>
      </c>
      <c r="D1581" s="3" t="s">
        <v>69</v>
      </c>
      <c r="E1581" s="3" t="s">
        <v>39</v>
      </c>
      <c r="F1581" s="3" t="s">
        <v>70</v>
      </c>
      <c r="G1581" s="3" t="s">
        <v>104</v>
      </c>
      <c r="H1581" s="3" t="s">
        <v>77</v>
      </c>
      <c r="I1581" s="3" t="s">
        <v>78</v>
      </c>
      <c r="J1581" s="3" t="n">
        <v>41</v>
      </c>
      <c r="K1581" s="3" t="n">
        <v>5792.91</v>
      </c>
      <c r="L1581" s="3" t="n">
        <v>237509.31</v>
      </c>
      <c r="M1581" s="3" t="n">
        <v>0.0831</v>
      </c>
      <c r="N1581" s="3" t="n">
        <v>19737.02</v>
      </c>
      <c r="O1581" s="3" t="n">
        <v>217772.29</v>
      </c>
      <c r="P1581" s="3" t="n">
        <v>161506.33</v>
      </c>
      <c r="Q1581" s="3" t="n">
        <v>56265.96</v>
      </c>
      <c r="R1581" s="3" t="n">
        <v>0.2584</v>
      </c>
      <c r="S1581" s="3" t="n">
        <v>0.0818</v>
      </c>
      <c r="T1581" s="3" t="n">
        <v>0.0013</v>
      </c>
    </row>
    <row r="1582" customFormat="false" ht="15" hidden="false" customHeight="true" outlineLevel="0" collapsed="false">
      <c r="A1582" s="3" t="s">
        <v>2492</v>
      </c>
      <c r="B1582" s="3" t="s">
        <v>1527</v>
      </c>
      <c r="C1582" s="3" t="s">
        <v>46</v>
      </c>
      <c r="D1582" s="3" t="s">
        <v>38</v>
      </c>
      <c r="E1582" s="3" t="s">
        <v>39</v>
      </c>
      <c r="F1582" s="3" t="s">
        <v>40</v>
      </c>
      <c r="G1582" s="3" t="s">
        <v>49</v>
      </c>
      <c r="H1582" s="3" t="s">
        <v>64</v>
      </c>
      <c r="I1582" s="3" t="s">
        <v>145</v>
      </c>
      <c r="J1582" s="3" t="n">
        <v>45</v>
      </c>
      <c r="K1582" s="3" t="n">
        <v>9522.81</v>
      </c>
      <c r="L1582" s="3" t="n">
        <v>428526.45</v>
      </c>
      <c r="M1582" s="3" t="n">
        <v>0.0732</v>
      </c>
      <c r="N1582" s="3" t="n">
        <v>31368.14</v>
      </c>
      <c r="O1582" s="3" t="n">
        <v>397158.31</v>
      </c>
      <c r="P1582" s="3" t="n">
        <v>248545.34</v>
      </c>
      <c r="Q1582" s="3" t="n">
        <v>148612.97</v>
      </c>
      <c r="R1582" s="3" t="n">
        <v>0.3742</v>
      </c>
      <c r="S1582" s="3" t="n">
        <v>0.071</v>
      </c>
      <c r="T1582" s="3" t="n">
        <v>0.0022</v>
      </c>
    </row>
    <row r="1583" customFormat="false" ht="15" hidden="false" customHeight="true" outlineLevel="0" collapsed="false">
      <c r="A1583" s="3" t="s">
        <v>2493</v>
      </c>
      <c r="B1583" s="3" t="s">
        <v>593</v>
      </c>
      <c r="C1583" s="3" t="s">
        <v>37</v>
      </c>
      <c r="D1583" s="3" t="s">
        <v>83</v>
      </c>
      <c r="E1583" s="3" t="s">
        <v>48</v>
      </c>
      <c r="F1583" s="3" t="s">
        <v>62</v>
      </c>
      <c r="G1583" s="3" t="s">
        <v>84</v>
      </c>
      <c r="H1583" s="3" t="s">
        <v>27</v>
      </c>
      <c r="I1583" s="3" t="s">
        <v>28</v>
      </c>
      <c r="J1583" s="3" t="n">
        <v>16</v>
      </c>
      <c r="K1583" s="3" t="n">
        <v>19840.27</v>
      </c>
      <c r="L1583" s="3" t="n">
        <v>317444.32</v>
      </c>
      <c r="M1583" s="3" t="n">
        <v>0.0405</v>
      </c>
      <c r="N1583" s="3" t="n">
        <v>12856.49</v>
      </c>
      <c r="O1583" s="3" t="n">
        <v>304587.83</v>
      </c>
      <c r="P1583" s="3" t="n">
        <v>196815.48</v>
      </c>
      <c r="Q1583" s="3" t="n">
        <v>107772.35</v>
      </c>
      <c r="R1583" s="3" t="n">
        <v>0.3538</v>
      </c>
      <c r="S1583" s="3" t="n">
        <v>0.0407</v>
      </c>
      <c r="T1583" s="3" t="n">
        <v>-0.0002</v>
      </c>
    </row>
    <row r="1584" customFormat="false" ht="15" hidden="false" customHeight="true" outlineLevel="0" collapsed="false">
      <c r="A1584" s="3" t="s">
        <v>2494</v>
      </c>
      <c r="B1584" s="3" t="s">
        <v>1808</v>
      </c>
      <c r="C1584" s="3" t="s">
        <v>120</v>
      </c>
      <c r="D1584" s="3" t="s">
        <v>103</v>
      </c>
      <c r="E1584" s="3" t="s">
        <v>24</v>
      </c>
      <c r="F1584" s="3" t="s">
        <v>62</v>
      </c>
      <c r="G1584" s="3" t="s">
        <v>100</v>
      </c>
      <c r="H1584" s="3" t="s">
        <v>77</v>
      </c>
      <c r="I1584" s="3" t="s">
        <v>78</v>
      </c>
      <c r="J1584" s="3" t="n">
        <v>22</v>
      </c>
      <c r="K1584" s="3" t="n">
        <v>2835.64</v>
      </c>
      <c r="L1584" s="3" t="n">
        <v>62384.08</v>
      </c>
      <c r="M1584" s="3" t="n">
        <v>0.0649</v>
      </c>
      <c r="N1584" s="3" t="n">
        <v>4048.73</v>
      </c>
      <c r="O1584" s="3" t="n">
        <v>58335.35</v>
      </c>
      <c r="P1584" s="3" t="n">
        <v>42421.17</v>
      </c>
      <c r="Q1584" s="3" t="n">
        <v>15914.18</v>
      </c>
      <c r="R1584" s="3" t="n">
        <v>0.2728</v>
      </c>
      <c r="S1584" s="3" t="n">
        <v>0.0707</v>
      </c>
      <c r="T1584" s="3" t="n">
        <v>-0.0058</v>
      </c>
    </row>
    <row r="1585" customFormat="false" ht="15" hidden="false" customHeight="true" outlineLevel="0" collapsed="false">
      <c r="A1585" s="3" t="s">
        <v>2495</v>
      </c>
      <c r="B1585" s="3" t="s">
        <v>1381</v>
      </c>
      <c r="C1585" s="3" t="s">
        <v>93</v>
      </c>
      <c r="D1585" s="3" t="s">
        <v>23</v>
      </c>
      <c r="E1585" s="3" t="s">
        <v>24</v>
      </c>
      <c r="F1585" s="3" t="s">
        <v>25</v>
      </c>
      <c r="G1585" s="3" t="s">
        <v>26</v>
      </c>
      <c r="H1585" s="3" t="s">
        <v>56</v>
      </c>
      <c r="I1585" s="3" t="s">
        <v>188</v>
      </c>
      <c r="J1585" s="3" t="n">
        <v>16</v>
      </c>
      <c r="K1585" s="3" t="n">
        <v>11485.36</v>
      </c>
      <c r="L1585" s="3" t="n">
        <v>183765.76</v>
      </c>
      <c r="M1585" s="3" t="n">
        <v>0.1306</v>
      </c>
      <c r="N1585" s="3" t="n">
        <v>23999.81</v>
      </c>
      <c r="O1585" s="3" t="n">
        <v>159765.95</v>
      </c>
      <c r="P1585" s="3" t="n">
        <v>110259.46</v>
      </c>
      <c r="Q1585" s="3" t="n">
        <v>49506.49</v>
      </c>
      <c r="R1585" s="3" t="n">
        <v>0.3099</v>
      </c>
      <c r="S1585" s="3" t="n">
        <v>0.1394</v>
      </c>
      <c r="T1585" s="3" t="n">
        <v>-0.0088</v>
      </c>
    </row>
    <row r="1586" customFormat="false" ht="15" hidden="false" customHeight="true" outlineLevel="0" collapsed="false">
      <c r="A1586" s="3" t="s">
        <v>2496</v>
      </c>
      <c r="B1586" s="3" t="s">
        <v>1148</v>
      </c>
      <c r="C1586" s="3" t="s">
        <v>68</v>
      </c>
      <c r="D1586" s="3" t="s">
        <v>103</v>
      </c>
      <c r="E1586" s="3" t="s">
        <v>24</v>
      </c>
      <c r="F1586" s="3" t="s">
        <v>62</v>
      </c>
      <c r="G1586" s="3" t="s">
        <v>63</v>
      </c>
      <c r="H1586" s="3" t="s">
        <v>56</v>
      </c>
      <c r="I1586" s="3" t="s">
        <v>188</v>
      </c>
      <c r="J1586" s="3" t="n">
        <v>40</v>
      </c>
      <c r="K1586" s="3" t="n">
        <v>14003.08</v>
      </c>
      <c r="L1586" s="3" t="n">
        <v>560123.2</v>
      </c>
      <c r="M1586" s="3" t="n">
        <v>0.0461</v>
      </c>
      <c r="N1586" s="3" t="n">
        <v>25821.68</v>
      </c>
      <c r="O1586" s="3" t="n">
        <v>534301.52</v>
      </c>
      <c r="P1586" s="3" t="n">
        <v>336073.92</v>
      </c>
      <c r="Q1586" s="3" t="n">
        <v>198227.6</v>
      </c>
      <c r="R1586" s="3" t="n">
        <v>0.371</v>
      </c>
      <c r="S1586" s="3" t="n">
        <v>0.0437</v>
      </c>
      <c r="T1586" s="3" t="n">
        <v>0.0024</v>
      </c>
    </row>
    <row r="1587" customFormat="false" ht="15" hidden="false" customHeight="true" outlineLevel="0" collapsed="false">
      <c r="A1587" s="3" t="s">
        <v>2497</v>
      </c>
      <c r="B1587" s="3" t="s">
        <v>229</v>
      </c>
      <c r="C1587" s="3" t="s">
        <v>126</v>
      </c>
      <c r="D1587" s="3" t="s">
        <v>38</v>
      </c>
      <c r="E1587" s="3" t="s">
        <v>39</v>
      </c>
      <c r="F1587" s="3" t="s">
        <v>40</v>
      </c>
      <c r="G1587" s="3" t="s">
        <v>84</v>
      </c>
      <c r="H1587" s="3" t="s">
        <v>42</v>
      </c>
      <c r="I1587" s="3" t="s">
        <v>43</v>
      </c>
      <c r="J1587" s="3" t="n">
        <v>13</v>
      </c>
      <c r="K1587" s="3" t="n">
        <v>1863.52</v>
      </c>
      <c r="L1587" s="3" t="n">
        <v>24225.76</v>
      </c>
      <c r="M1587" s="3" t="n">
        <v>0.0696</v>
      </c>
      <c r="N1587" s="3" t="n">
        <v>1686.11</v>
      </c>
      <c r="O1587" s="3" t="n">
        <v>22539.65</v>
      </c>
      <c r="P1587" s="3" t="n">
        <v>13324.17</v>
      </c>
      <c r="Q1587" s="3" t="n">
        <v>9215.48</v>
      </c>
      <c r="R1587" s="3" t="n">
        <v>0.4089</v>
      </c>
      <c r="S1587" s="3" t="n">
        <v>0.0705</v>
      </c>
      <c r="T1587" s="3" t="n">
        <v>-0.0009</v>
      </c>
    </row>
    <row r="1588" customFormat="false" ht="15" hidden="false" customHeight="true" outlineLevel="0" collapsed="false">
      <c r="A1588" s="3" t="s">
        <v>2498</v>
      </c>
      <c r="B1588" s="3" t="s">
        <v>278</v>
      </c>
      <c r="C1588" s="3" t="s">
        <v>93</v>
      </c>
      <c r="D1588" s="3" t="s">
        <v>103</v>
      </c>
      <c r="E1588" s="3" t="s">
        <v>24</v>
      </c>
      <c r="F1588" s="3" t="s">
        <v>62</v>
      </c>
      <c r="G1588" s="3" t="s">
        <v>34</v>
      </c>
      <c r="H1588" s="3" t="s">
        <v>27</v>
      </c>
      <c r="I1588" s="3" t="s">
        <v>173</v>
      </c>
      <c r="J1588" s="3" t="n">
        <v>1</v>
      </c>
      <c r="K1588" s="3" t="n">
        <v>15146.67</v>
      </c>
      <c r="L1588" s="3" t="n">
        <v>15146.67</v>
      </c>
      <c r="M1588" s="3" t="n">
        <v>0.0994</v>
      </c>
      <c r="N1588" s="3" t="n">
        <v>1505.58</v>
      </c>
      <c r="O1588" s="3" t="n">
        <v>13641.09</v>
      </c>
      <c r="P1588" s="3" t="n">
        <v>9390.94</v>
      </c>
      <c r="Q1588" s="3" t="n">
        <v>4250.15</v>
      </c>
      <c r="R1588" s="3" t="n">
        <v>0.3116</v>
      </c>
      <c r="S1588" s="3" t="n">
        <v>0.0962</v>
      </c>
      <c r="T1588" s="3" t="n">
        <v>0.0032</v>
      </c>
    </row>
    <row r="1589" customFormat="false" ht="15" hidden="false" customHeight="true" outlineLevel="0" collapsed="false">
      <c r="A1589" s="3" t="s">
        <v>2499</v>
      </c>
      <c r="B1589" s="3" t="s">
        <v>1738</v>
      </c>
      <c r="C1589" s="3" t="s">
        <v>113</v>
      </c>
      <c r="D1589" s="3" t="s">
        <v>54</v>
      </c>
      <c r="E1589" s="3" t="s">
        <v>24</v>
      </c>
      <c r="F1589" s="3" t="s">
        <v>40</v>
      </c>
      <c r="G1589" s="3" t="s">
        <v>49</v>
      </c>
      <c r="H1589" s="3" t="s">
        <v>42</v>
      </c>
      <c r="I1589" s="3" t="s">
        <v>134</v>
      </c>
      <c r="J1589" s="3" t="n">
        <v>35</v>
      </c>
      <c r="K1589" s="3" t="n">
        <v>2616.7</v>
      </c>
      <c r="L1589" s="3" t="n">
        <v>91584.5</v>
      </c>
      <c r="M1589" s="3" t="n">
        <v>0.04</v>
      </c>
      <c r="N1589" s="3" t="n">
        <v>3663.38</v>
      </c>
      <c r="O1589" s="3" t="n">
        <v>87921.12</v>
      </c>
      <c r="P1589" s="3" t="n">
        <v>50371.48</v>
      </c>
      <c r="Q1589" s="3" t="n">
        <v>37549.64</v>
      </c>
      <c r="R1589" s="3" t="n">
        <v>0.4271</v>
      </c>
      <c r="S1589" s="3" t="n">
        <v>0.0435</v>
      </c>
      <c r="T1589" s="3" t="n">
        <v>-0.0035</v>
      </c>
    </row>
    <row r="1590" customFormat="false" ht="15" hidden="false" customHeight="true" outlineLevel="0" collapsed="false">
      <c r="A1590" s="3" t="s">
        <v>2500</v>
      </c>
      <c r="B1590" s="3" t="s">
        <v>1792</v>
      </c>
      <c r="C1590" s="3" t="s">
        <v>68</v>
      </c>
      <c r="D1590" s="3" t="s">
        <v>38</v>
      </c>
      <c r="E1590" s="3" t="s">
        <v>39</v>
      </c>
      <c r="F1590" s="3" t="s">
        <v>40</v>
      </c>
      <c r="G1590" s="3" t="s">
        <v>76</v>
      </c>
      <c r="H1590" s="3" t="s">
        <v>56</v>
      </c>
      <c r="I1590" s="3" t="s">
        <v>188</v>
      </c>
      <c r="J1590" s="3" t="n">
        <v>48</v>
      </c>
      <c r="K1590" s="3" t="n">
        <v>13734.72</v>
      </c>
      <c r="L1590" s="3" t="n">
        <v>659266.56</v>
      </c>
      <c r="M1590" s="3" t="n">
        <v>0.0742</v>
      </c>
      <c r="N1590" s="3" t="n">
        <v>48917.58</v>
      </c>
      <c r="O1590" s="3" t="n">
        <v>610348.98</v>
      </c>
      <c r="P1590" s="3" t="n">
        <v>395559.94</v>
      </c>
      <c r="Q1590" s="3" t="n">
        <v>214789.04</v>
      </c>
      <c r="R1590" s="3" t="n">
        <v>0.3519</v>
      </c>
      <c r="S1590" s="3" t="n">
        <v>0.0772</v>
      </c>
      <c r="T1590" s="3" t="n">
        <v>-0.003</v>
      </c>
    </row>
    <row r="1591" customFormat="false" ht="15" hidden="false" customHeight="true" outlineLevel="0" collapsed="false">
      <c r="A1591" s="3" t="s">
        <v>2501</v>
      </c>
      <c r="B1591" s="3" t="s">
        <v>1307</v>
      </c>
      <c r="C1591" s="3" t="s">
        <v>113</v>
      </c>
      <c r="D1591" s="3" t="s">
        <v>54</v>
      </c>
      <c r="E1591" s="3" t="s">
        <v>24</v>
      </c>
      <c r="F1591" s="3" t="s">
        <v>40</v>
      </c>
      <c r="G1591" s="3" t="s">
        <v>63</v>
      </c>
      <c r="H1591" s="3" t="s">
        <v>64</v>
      </c>
      <c r="I1591" s="3" t="s">
        <v>90</v>
      </c>
      <c r="J1591" s="3" t="n">
        <v>1</v>
      </c>
      <c r="K1591" s="3" t="n">
        <v>9305.81</v>
      </c>
      <c r="L1591" s="3" t="n">
        <v>9305.81</v>
      </c>
      <c r="M1591" s="3" t="n">
        <v>0.0449</v>
      </c>
      <c r="N1591" s="3" t="n">
        <v>417.83</v>
      </c>
      <c r="O1591" s="3" t="n">
        <v>8887.98</v>
      </c>
      <c r="P1591" s="3" t="n">
        <v>5397.37</v>
      </c>
      <c r="Q1591" s="3" t="n">
        <v>3490.61</v>
      </c>
      <c r="R1591" s="3" t="n">
        <v>0.3927</v>
      </c>
      <c r="S1591" s="3" t="n">
        <v>0.0379</v>
      </c>
      <c r="T1591" s="3" t="n">
        <v>0.007</v>
      </c>
    </row>
    <row r="1592" customFormat="false" ht="15" hidden="false" customHeight="true" outlineLevel="0" collapsed="false">
      <c r="A1592" s="3" t="s">
        <v>2502</v>
      </c>
      <c r="B1592" s="3" t="s">
        <v>759</v>
      </c>
      <c r="C1592" s="3" t="s">
        <v>60</v>
      </c>
      <c r="D1592" s="3" t="s">
        <v>32</v>
      </c>
      <c r="E1592" s="3" t="s">
        <v>33</v>
      </c>
      <c r="F1592" s="3" t="s">
        <v>25</v>
      </c>
      <c r="G1592" s="3" t="s">
        <v>116</v>
      </c>
      <c r="H1592" s="3" t="s">
        <v>27</v>
      </c>
      <c r="I1592" s="3" t="s">
        <v>173</v>
      </c>
      <c r="J1592" s="3" t="n">
        <v>50</v>
      </c>
      <c r="K1592" s="3" t="n">
        <v>19796.21</v>
      </c>
      <c r="L1592" s="3" t="n">
        <v>989810.5</v>
      </c>
      <c r="M1592" s="3" t="n">
        <v>0.1723</v>
      </c>
      <c r="N1592" s="3" t="n">
        <v>170544.35</v>
      </c>
      <c r="O1592" s="3" t="n">
        <v>819266.15</v>
      </c>
      <c r="P1592" s="3" t="n">
        <v>613682.51</v>
      </c>
      <c r="Q1592" s="3" t="n">
        <v>205583.64</v>
      </c>
      <c r="R1592" s="3" t="n">
        <v>0.2509</v>
      </c>
      <c r="S1592" s="3" t="n">
        <v>0.1686</v>
      </c>
      <c r="T1592" s="3" t="n">
        <v>0.0037</v>
      </c>
    </row>
    <row r="1593" customFormat="false" ht="15" hidden="false" customHeight="true" outlineLevel="0" collapsed="false">
      <c r="A1593" s="3" t="s">
        <v>2503</v>
      </c>
      <c r="B1593" s="3" t="s">
        <v>674</v>
      </c>
      <c r="C1593" s="3" t="s">
        <v>126</v>
      </c>
      <c r="D1593" s="3" t="s">
        <v>103</v>
      </c>
      <c r="E1593" s="3" t="s">
        <v>24</v>
      </c>
      <c r="F1593" s="3" t="s">
        <v>62</v>
      </c>
      <c r="G1593" s="3" t="s">
        <v>84</v>
      </c>
      <c r="H1593" s="3" t="s">
        <v>27</v>
      </c>
      <c r="I1593" s="3" t="s">
        <v>50</v>
      </c>
      <c r="J1593" s="3" t="n">
        <v>46</v>
      </c>
      <c r="K1593" s="3" t="n">
        <v>16830.38</v>
      </c>
      <c r="L1593" s="3" t="n">
        <v>774197.48</v>
      </c>
      <c r="M1593" s="3" t="n">
        <v>0.0603</v>
      </c>
      <c r="N1593" s="3" t="n">
        <v>46684.11</v>
      </c>
      <c r="O1593" s="3" t="n">
        <v>727513.37</v>
      </c>
      <c r="P1593" s="3" t="n">
        <v>480002.44</v>
      </c>
      <c r="Q1593" s="3" t="n">
        <v>247510.93</v>
      </c>
      <c r="R1593" s="3" t="n">
        <v>0.3402</v>
      </c>
      <c r="S1593" s="3" t="n">
        <v>0.0512</v>
      </c>
      <c r="T1593" s="3" t="n">
        <v>0.0091</v>
      </c>
    </row>
    <row r="1594" customFormat="false" ht="15" hidden="false" customHeight="true" outlineLevel="0" collapsed="false">
      <c r="A1594" s="3" t="s">
        <v>2504</v>
      </c>
      <c r="B1594" s="3" t="s">
        <v>215</v>
      </c>
      <c r="C1594" s="3" t="s">
        <v>46</v>
      </c>
      <c r="D1594" s="3" t="s">
        <v>75</v>
      </c>
      <c r="E1594" s="3" t="s">
        <v>39</v>
      </c>
      <c r="F1594" s="3" t="s">
        <v>25</v>
      </c>
      <c r="G1594" s="3" t="s">
        <v>116</v>
      </c>
      <c r="H1594" s="3" t="s">
        <v>42</v>
      </c>
      <c r="I1594" s="3" t="s">
        <v>43</v>
      </c>
      <c r="J1594" s="3" t="n">
        <v>21</v>
      </c>
      <c r="K1594" s="3" t="n">
        <v>683.48</v>
      </c>
      <c r="L1594" s="3" t="n">
        <v>14353.08</v>
      </c>
      <c r="M1594" s="3" t="n">
        <v>0.1597</v>
      </c>
      <c r="N1594" s="3" t="n">
        <v>2292.19</v>
      </c>
      <c r="O1594" s="3" t="n">
        <v>12060.89</v>
      </c>
      <c r="P1594" s="3" t="n">
        <v>7894.19</v>
      </c>
      <c r="Q1594" s="3" t="n">
        <v>4166.7</v>
      </c>
      <c r="R1594" s="3" t="n">
        <v>0.3455</v>
      </c>
      <c r="S1594" s="3" t="n">
        <v>0.1542</v>
      </c>
      <c r="T1594" s="3" t="n">
        <v>0.0055</v>
      </c>
    </row>
    <row r="1595" customFormat="false" ht="15" hidden="false" customHeight="true" outlineLevel="0" collapsed="false">
      <c r="A1595" s="3" t="s">
        <v>2505</v>
      </c>
      <c r="B1595" s="3" t="s">
        <v>239</v>
      </c>
      <c r="C1595" s="3" t="s">
        <v>126</v>
      </c>
      <c r="D1595" s="3" t="s">
        <v>23</v>
      </c>
      <c r="E1595" s="3" t="s">
        <v>24</v>
      </c>
      <c r="F1595" s="3" t="s">
        <v>25</v>
      </c>
      <c r="G1595" s="3" t="s">
        <v>49</v>
      </c>
      <c r="H1595" s="3" t="s">
        <v>77</v>
      </c>
      <c r="I1595" s="3" t="s">
        <v>85</v>
      </c>
      <c r="J1595" s="3" t="n">
        <v>21</v>
      </c>
      <c r="K1595" s="3" t="n">
        <v>3098.58</v>
      </c>
      <c r="L1595" s="3" t="n">
        <v>65070.18</v>
      </c>
      <c r="M1595" s="3" t="n">
        <v>0.1615</v>
      </c>
      <c r="N1595" s="3" t="n">
        <v>10508.83</v>
      </c>
      <c r="O1595" s="3" t="n">
        <v>54561.35</v>
      </c>
      <c r="P1595" s="3" t="n">
        <v>44247.72</v>
      </c>
      <c r="Q1595" s="3" t="n">
        <v>10313.63</v>
      </c>
      <c r="R1595" s="3" t="n">
        <v>0.189</v>
      </c>
      <c r="S1595" s="3" t="n">
        <v>0.1449</v>
      </c>
      <c r="T1595" s="3" t="n">
        <v>0.0166</v>
      </c>
    </row>
    <row r="1596" customFormat="false" ht="15" hidden="false" customHeight="true" outlineLevel="0" collapsed="false">
      <c r="A1596" s="3" t="s">
        <v>2506</v>
      </c>
      <c r="B1596" s="3" t="s">
        <v>138</v>
      </c>
      <c r="C1596" s="3" t="s">
        <v>22</v>
      </c>
      <c r="D1596" s="3" t="s">
        <v>38</v>
      </c>
      <c r="E1596" s="3" t="s">
        <v>39</v>
      </c>
      <c r="F1596" s="3" t="s">
        <v>40</v>
      </c>
      <c r="G1596" s="3" t="s">
        <v>104</v>
      </c>
      <c r="H1596" s="3" t="s">
        <v>27</v>
      </c>
      <c r="I1596" s="3" t="s">
        <v>94</v>
      </c>
      <c r="J1596" s="3" t="n">
        <v>46</v>
      </c>
      <c r="K1596" s="3" t="n">
        <v>31128.85</v>
      </c>
      <c r="L1596" s="3" t="n">
        <v>1431927.1</v>
      </c>
      <c r="M1596" s="3" t="n">
        <v>0.0591</v>
      </c>
      <c r="N1596" s="3" t="n">
        <v>84626.89</v>
      </c>
      <c r="O1596" s="3" t="n">
        <v>1347300.21</v>
      </c>
      <c r="P1596" s="3" t="n">
        <v>887794.8</v>
      </c>
      <c r="Q1596" s="3" t="n">
        <v>459505.41</v>
      </c>
      <c r="R1596" s="3" t="n">
        <v>0.3411</v>
      </c>
      <c r="S1596" s="3" t="n">
        <v>0.0498</v>
      </c>
      <c r="T1596" s="3" t="n">
        <v>0.0093</v>
      </c>
    </row>
    <row r="1597" customFormat="false" ht="15" hidden="false" customHeight="true" outlineLevel="0" collapsed="false">
      <c r="A1597" s="3" t="s">
        <v>2507</v>
      </c>
      <c r="B1597" s="3" t="s">
        <v>2059</v>
      </c>
      <c r="C1597" s="3" t="s">
        <v>46</v>
      </c>
      <c r="D1597" s="3" t="s">
        <v>61</v>
      </c>
      <c r="E1597" s="3" t="s">
        <v>33</v>
      </c>
      <c r="F1597" s="3" t="s">
        <v>62</v>
      </c>
      <c r="G1597" s="3" t="s">
        <v>26</v>
      </c>
      <c r="H1597" s="3" t="s">
        <v>56</v>
      </c>
      <c r="I1597" s="3" t="s">
        <v>188</v>
      </c>
      <c r="J1597" s="3" t="n">
        <v>49</v>
      </c>
      <c r="K1597" s="3" t="n">
        <v>5760.22</v>
      </c>
      <c r="L1597" s="3" t="n">
        <v>282250.78</v>
      </c>
      <c r="M1597" s="3" t="n">
        <v>0.048</v>
      </c>
      <c r="N1597" s="3" t="n">
        <v>13548.04</v>
      </c>
      <c r="O1597" s="3" t="n">
        <v>268702.74</v>
      </c>
      <c r="P1597" s="3" t="n">
        <v>169350.47</v>
      </c>
      <c r="Q1597" s="3" t="n">
        <v>99352.27</v>
      </c>
      <c r="R1597" s="3" t="n">
        <v>0.3697</v>
      </c>
      <c r="S1597" s="3" t="n">
        <v>0.0433</v>
      </c>
      <c r="T1597" s="3" t="n">
        <v>0.0047</v>
      </c>
    </row>
    <row r="1598" customFormat="false" ht="15" hidden="false" customHeight="true" outlineLevel="0" collapsed="false">
      <c r="A1598" s="3" t="s">
        <v>2508</v>
      </c>
      <c r="B1598" s="3" t="s">
        <v>302</v>
      </c>
      <c r="C1598" s="3" t="s">
        <v>46</v>
      </c>
      <c r="D1598" s="3" t="s">
        <v>47</v>
      </c>
      <c r="E1598" s="3" t="s">
        <v>48</v>
      </c>
      <c r="F1598" s="3" t="s">
        <v>25</v>
      </c>
      <c r="G1598" s="3" t="s">
        <v>84</v>
      </c>
      <c r="H1598" s="3" t="s">
        <v>42</v>
      </c>
      <c r="I1598" s="3" t="s">
        <v>43</v>
      </c>
      <c r="J1598" s="3" t="n">
        <v>4</v>
      </c>
      <c r="K1598" s="3" t="n">
        <v>1901.96</v>
      </c>
      <c r="L1598" s="3" t="n">
        <v>7607.84</v>
      </c>
      <c r="M1598" s="3" t="n">
        <v>0.1476</v>
      </c>
      <c r="N1598" s="3" t="n">
        <v>1122.92</v>
      </c>
      <c r="O1598" s="3" t="n">
        <v>6484.92</v>
      </c>
      <c r="P1598" s="3" t="n">
        <v>4184.31</v>
      </c>
      <c r="Q1598" s="3" t="n">
        <v>2300.61</v>
      </c>
      <c r="R1598" s="3" t="n">
        <v>0.3548</v>
      </c>
      <c r="S1598" s="3" t="n">
        <v>0.1488</v>
      </c>
      <c r="T1598" s="3" t="n">
        <v>-0.0012</v>
      </c>
    </row>
    <row r="1599" customFormat="false" ht="15" hidden="false" customHeight="true" outlineLevel="0" collapsed="false">
      <c r="A1599" s="3" t="s">
        <v>2509</v>
      </c>
      <c r="B1599" s="3" t="s">
        <v>2510</v>
      </c>
      <c r="C1599" s="3" t="s">
        <v>53</v>
      </c>
      <c r="D1599" s="3" t="s">
        <v>107</v>
      </c>
      <c r="E1599" s="3" t="s">
        <v>33</v>
      </c>
      <c r="F1599" s="3" t="s">
        <v>70</v>
      </c>
      <c r="G1599" s="3" t="s">
        <v>84</v>
      </c>
      <c r="H1599" s="3" t="s">
        <v>27</v>
      </c>
      <c r="I1599" s="3" t="s">
        <v>117</v>
      </c>
      <c r="J1599" s="3" t="n">
        <v>49</v>
      </c>
      <c r="K1599" s="3" t="n">
        <v>13089.93</v>
      </c>
      <c r="L1599" s="3" t="n">
        <v>641406.57</v>
      </c>
      <c r="M1599" s="3" t="n">
        <v>0.0756</v>
      </c>
      <c r="N1599" s="3" t="n">
        <v>48490.34</v>
      </c>
      <c r="O1599" s="3" t="n">
        <v>592916.23</v>
      </c>
      <c r="P1599" s="3" t="n">
        <v>397672.07</v>
      </c>
      <c r="Q1599" s="3" t="n">
        <v>195244.16</v>
      </c>
      <c r="R1599" s="3" t="n">
        <v>0.3293</v>
      </c>
      <c r="S1599" s="3" t="n">
        <v>0.0656</v>
      </c>
      <c r="T1599" s="3" t="n">
        <v>0.01</v>
      </c>
    </row>
    <row r="1600" customFormat="false" ht="15" hidden="false" customHeight="true" outlineLevel="0" collapsed="false">
      <c r="A1600" s="3" t="s">
        <v>2511</v>
      </c>
      <c r="B1600" s="3" t="s">
        <v>1034</v>
      </c>
      <c r="C1600" s="3" t="s">
        <v>53</v>
      </c>
      <c r="D1600" s="3" t="s">
        <v>32</v>
      </c>
      <c r="E1600" s="3" t="s">
        <v>33</v>
      </c>
      <c r="F1600" s="3" t="s">
        <v>25</v>
      </c>
      <c r="G1600" s="3" t="s">
        <v>104</v>
      </c>
      <c r="H1600" s="3" t="s">
        <v>56</v>
      </c>
      <c r="I1600" s="3" t="s">
        <v>188</v>
      </c>
      <c r="J1600" s="3" t="n">
        <v>45</v>
      </c>
      <c r="K1600" s="3" t="n">
        <v>12286.44</v>
      </c>
      <c r="L1600" s="3" t="n">
        <v>552889.8</v>
      </c>
      <c r="M1600" s="3" t="n">
        <v>0.1134</v>
      </c>
      <c r="N1600" s="3" t="n">
        <v>62697.7</v>
      </c>
      <c r="O1600" s="3" t="n">
        <v>490192.1</v>
      </c>
      <c r="P1600" s="3" t="n">
        <v>331733.88</v>
      </c>
      <c r="Q1600" s="3" t="n">
        <v>158458.22</v>
      </c>
      <c r="R1600" s="3" t="n">
        <v>0.3233</v>
      </c>
      <c r="S1600" s="3" t="n">
        <v>0.1231</v>
      </c>
      <c r="T1600" s="3" t="n">
        <v>-0.0097</v>
      </c>
    </row>
    <row r="1601" customFormat="false" ht="15" hidden="false" customHeight="true" outlineLevel="0" collapsed="false">
      <c r="A1601" s="3" t="s">
        <v>2512</v>
      </c>
      <c r="B1601" s="3" t="s">
        <v>1031</v>
      </c>
      <c r="C1601" s="3" t="s">
        <v>126</v>
      </c>
      <c r="D1601" s="3" t="s">
        <v>75</v>
      </c>
      <c r="E1601" s="3" t="s">
        <v>39</v>
      </c>
      <c r="F1601" s="3" t="s">
        <v>25</v>
      </c>
      <c r="G1601" s="3" t="s">
        <v>49</v>
      </c>
      <c r="H1601" s="3" t="s">
        <v>56</v>
      </c>
      <c r="I1601" s="3" t="s">
        <v>57</v>
      </c>
      <c r="J1601" s="3" t="n">
        <v>41</v>
      </c>
      <c r="K1601" s="3" t="n">
        <v>8200.4</v>
      </c>
      <c r="L1601" s="3" t="n">
        <v>336216.4</v>
      </c>
      <c r="M1601" s="3" t="n">
        <v>0.1051</v>
      </c>
      <c r="N1601" s="3" t="n">
        <v>35336.34</v>
      </c>
      <c r="O1601" s="3" t="n">
        <v>300880.06</v>
      </c>
      <c r="P1601" s="3" t="n">
        <v>201729.84</v>
      </c>
      <c r="Q1601" s="3" t="n">
        <v>99150.22</v>
      </c>
      <c r="R1601" s="3" t="n">
        <v>0.3295</v>
      </c>
      <c r="S1601" s="3" t="n">
        <v>0.0996</v>
      </c>
      <c r="T1601" s="3" t="n">
        <v>0.0055</v>
      </c>
    </row>
    <row r="1602" customFormat="false" ht="15" hidden="false" customHeight="true" outlineLevel="0" collapsed="false">
      <c r="A1602" s="3" t="s">
        <v>2513</v>
      </c>
      <c r="B1602" s="3" t="s">
        <v>370</v>
      </c>
      <c r="C1602" s="3" t="s">
        <v>37</v>
      </c>
      <c r="D1602" s="3" t="s">
        <v>23</v>
      </c>
      <c r="E1602" s="3" t="s">
        <v>24</v>
      </c>
      <c r="F1602" s="3" t="s">
        <v>25</v>
      </c>
      <c r="G1602" s="3" t="s">
        <v>116</v>
      </c>
      <c r="H1602" s="3" t="s">
        <v>77</v>
      </c>
      <c r="I1602" s="3" t="s">
        <v>85</v>
      </c>
      <c r="J1602" s="3" t="n">
        <v>38</v>
      </c>
      <c r="K1602" s="3" t="n">
        <v>1392.62</v>
      </c>
      <c r="L1602" s="3" t="n">
        <v>52919.56</v>
      </c>
      <c r="M1602" s="3" t="n">
        <v>0.1298</v>
      </c>
      <c r="N1602" s="3" t="n">
        <v>6868.96</v>
      </c>
      <c r="O1602" s="3" t="n">
        <v>46050.6</v>
      </c>
      <c r="P1602" s="3" t="n">
        <v>35985.3</v>
      </c>
      <c r="Q1602" s="3" t="n">
        <v>10065.3</v>
      </c>
      <c r="R1602" s="3" t="n">
        <v>0.2186</v>
      </c>
      <c r="S1602" s="3" t="n">
        <v>0.1312</v>
      </c>
      <c r="T1602" s="3" t="n">
        <v>-0.0014</v>
      </c>
    </row>
    <row r="1603" customFormat="false" ht="15" hidden="false" customHeight="true" outlineLevel="0" collapsed="false">
      <c r="A1603" s="3" t="s">
        <v>2514</v>
      </c>
      <c r="B1603" s="3" t="s">
        <v>1154</v>
      </c>
      <c r="C1603" s="3" t="s">
        <v>126</v>
      </c>
      <c r="D1603" s="3" t="s">
        <v>38</v>
      </c>
      <c r="E1603" s="3" t="s">
        <v>39</v>
      </c>
      <c r="F1603" s="3" t="s">
        <v>40</v>
      </c>
      <c r="G1603" s="3" t="s">
        <v>41</v>
      </c>
      <c r="H1603" s="3" t="s">
        <v>42</v>
      </c>
      <c r="I1603" s="3" t="s">
        <v>72</v>
      </c>
      <c r="J1603" s="3" t="n">
        <v>10</v>
      </c>
      <c r="K1603" s="3" t="n">
        <v>1890.14</v>
      </c>
      <c r="L1603" s="3" t="n">
        <v>18901.4</v>
      </c>
      <c r="M1603" s="3" t="n">
        <v>0.1134</v>
      </c>
      <c r="N1603" s="3" t="n">
        <v>2143.42</v>
      </c>
      <c r="O1603" s="3" t="n">
        <v>16757.98</v>
      </c>
      <c r="P1603" s="3" t="n">
        <v>10395.77</v>
      </c>
      <c r="Q1603" s="3" t="n">
        <v>6362.21</v>
      </c>
      <c r="R1603" s="3" t="n">
        <v>0.3797</v>
      </c>
      <c r="S1603" s="3" t="n">
        <v>0.0998</v>
      </c>
      <c r="T1603" s="3" t="n">
        <v>0.0136</v>
      </c>
    </row>
    <row r="1604" customFormat="false" ht="15" hidden="false" customHeight="true" outlineLevel="0" collapsed="false">
      <c r="A1604" s="3" t="s">
        <v>2515</v>
      </c>
      <c r="B1604" s="3" t="s">
        <v>1424</v>
      </c>
      <c r="C1604" s="3" t="s">
        <v>37</v>
      </c>
      <c r="D1604" s="3" t="s">
        <v>103</v>
      </c>
      <c r="E1604" s="3" t="s">
        <v>24</v>
      </c>
      <c r="F1604" s="3" t="s">
        <v>62</v>
      </c>
      <c r="G1604" s="3" t="s">
        <v>41</v>
      </c>
      <c r="H1604" s="3" t="s">
        <v>56</v>
      </c>
      <c r="I1604" s="3" t="s">
        <v>57</v>
      </c>
      <c r="J1604" s="3" t="n">
        <v>49</v>
      </c>
      <c r="K1604" s="3" t="n">
        <v>15357.16</v>
      </c>
      <c r="L1604" s="3" t="n">
        <v>752500.84</v>
      </c>
      <c r="M1604" s="3" t="n">
        <v>0.0938</v>
      </c>
      <c r="N1604" s="3" t="n">
        <v>70584.58</v>
      </c>
      <c r="O1604" s="3" t="n">
        <v>681916.26</v>
      </c>
      <c r="P1604" s="3" t="n">
        <v>451500.5</v>
      </c>
      <c r="Q1604" s="3" t="n">
        <v>230415.76</v>
      </c>
      <c r="R1604" s="3" t="n">
        <v>0.3379</v>
      </c>
      <c r="S1604" s="3" t="n">
        <v>0.1003</v>
      </c>
      <c r="T1604" s="3" t="n">
        <v>-0.0065</v>
      </c>
    </row>
    <row r="1605" customFormat="false" ht="15" hidden="false" customHeight="true" outlineLevel="0" collapsed="false">
      <c r="A1605" s="3" t="s">
        <v>2516</v>
      </c>
      <c r="B1605" s="3" t="s">
        <v>519</v>
      </c>
      <c r="C1605" s="3" t="s">
        <v>31</v>
      </c>
      <c r="D1605" s="3" t="s">
        <v>47</v>
      </c>
      <c r="E1605" s="3" t="s">
        <v>48</v>
      </c>
      <c r="F1605" s="3" t="s">
        <v>25</v>
      </c>
      <c r="G1605" s="3" t="s">
        <v>84</v>
      </c>
      <c r="H1605" s="3" t="s">
        <v>27</v>
      </c>
      <c r="I1605" s="3" t="s">
        <v>50</v>
      </c>
      <c r="J1605" s="3" t="n">
        <v>39</v>
      </c>
      <c r="K1605" s="3" t="n">
        <v>8922.16</v>
      </c>
      <c r="L1605" s="3" t="n">
        <v>347964.24</v>
      </c>
      <c r="M1605" s="3" t="n">
        <v>0.1721</v>
      </c>
      <c r="N1605" s="3" t="n">
        <v>59884.65</v>
      </c>
      <c r="O1605" s="3" t="n">
        <v>288079.59</v>
      </c>
      <c r="P1605" s="3" t="n">
        <v>215737.83</v>
      </c>
      <c r="Q1605" s="3" t="n">
        <v>72341.76</v>
      </c>
      <c r="R1605" s="3" t="n">
        <v>0.2511</v>
      </c>
      <c r="S1605" s="3" t="n">
        <v>0.1483</v>
      </c>
      <c r="T1605" s="3" t="n">
        <v>0.0238</v>
      </c>
    </row>
    <row r="1606" customFormat="false" ht="15" hidden="false" customHeight="true" outlineLevel="0" collapsed="false">
      <c r="A1606" s="3" t="s">
        <v>2517</v>
      </c>
      <c r="B1606" s="3" t="s">
        <v>541</v>
      </c>
      <c r="C1606" s="3" t="s">
        <v>126</v>
      </c>
      <c r="D1606" s="3" t="s">
        <v>61</v>
      </c>
      <c r="E1606" s="3" t="s">
        <v>33</v>
      </c>
      <c r="F1606" s="3" t="s">
        <v>62</v>
      </c>
      <c r="G1606" s="3" t="s">
        <v>116</v>
      </c>
      <c r="H1606" s="3" t="s">
        <v>27</v>
      </c>
      <c r="I1606" s="3" t="s">
        <v>173</v>
      </c>
      <c r="J1606" s="3" t="n">
        <v>14</v>
      </c>
      <c r="K1606" s="3" t="n">
        <v>31770.03</v>
      </c>
      <c r="L1606" s="3" t="n">
        <v>444780.42</v>
      </c>
      <c r="M1606" s="3" t="n">
        <v>0.0828</v>
      </c>
      <c r="N1606" s="3" t="n">
        <v>36827.82</v>
      </c>
      <c r="O1606" s="3" t="n">
        <v>407952.6</v>
      </c>
      <c r="P1606" s="3" t="n">
        <v>275763.86</v>
      </c>
      <c r="Q1606" s="3" t="n">
        <v>132188.74</v>
      </c>
      <c r="R1606" s="3" t="n">
        <v>0.324</v>
      </c>
      <c r="S1606" s="3" t="n">
        <v>0.0869</v>
      </c>
      <c r="T1606" s="3" t="n">
        <v>-0.0041</v>
      </c>
    </row>
    <row r="1607" customFormat="false" ht="15" hidden="false" customHeight="true" outlineLevel="0" collapsed="false">
      <c r="A1607" s="3" t="s">
        <v>2518</v>
      </c>
      <c r="B1607" s="3" t="s">
        <v>2144</v>
      </c>
      <c r="C1607" s="3" t="s">
        <v>53</v>
      </c>
      <c r="D1607" s="3" t="s">
        <v>23</v>
      </c>
      <c r="E1607" s="3" t="s">
        <v>24</v>
      </c>
      <c r="F1607" s="3" t="s">
        <v>25</v>
      </c>
      <c r="G1607" s="3" t="s">
        <v>49</v>
      </c>
      <c r="H1607" s="3" t="s">
        <v>64</v>
      </c>
      <c r="I1607" s="3" t="s">
        <v>145</v>
      </c>
      <c r="J1607" s="3" t="n">
        <v>42</v>
      </c>
      <c r="K1607" s="3" t="n">
        <v>7174.02</v>
      </c>
      <c r="L1607" s="3" t="n">
        <v>301308.84</v>
      </c>
      <c r="M1607" s="3" t="n">
        <v>0.1467</v>
      </c>
      <c r="N1607" s="3" t="n">
        <v>44202.01</v>
      </c>
      <c r="O1607" s="3" t="n">
        <v>257106.83</v>
      </c>
      <c r="P1607" s="3" t="n">
        <v>174759.13</v>
      </c>
      <c r="Q1607" s="3" t="n">
        <v>82347.7</v>
      </c>
      <c r="R1607" s="3" t="n">
        <v>0.3203</v>
      </c>
      <c r="S1607" s="3" t="n">
        <v>0.1269</v>
      </c>
      <c r="T1607" s="3" t="n">
        <v>0.0198</v>
      </c>
    </row>
    <row r="1608" customFormat="false" ht="15" hidden="false" customHeight="true" outlineLevel="0" collapsed="false">
      <c r="A1608" s="3" t="s">
        <v>2519</v>
      </c>
      <c r="B1608" s="3" t="s">
        <v>1430</v>
      </c>
      <c r="C1608" s="3" t="s">
        <v>37</v>
      </c>
      <c r="D1608" s="3" t="s">
        <v>32</v>
      </c>
      <c r="E1608" s="3" t="s">
        <v>33</v>
      </c>
      <c r="F1608" s="3" t="s">
        <v>25</v>
      </c>
      <c r="G1608" s="3" t="s">
        <v>34</v>
      </c>
      <c r="H1608" s="3" t="s">
        <v>42</v>
      </c>
      <c r="I1608" s="3" t="s">
        <v>43</v>
      </c>
      <c r="J1608" s="3" t="n">
        <v>22</v>
      </c>
      <c r="K1608" s="3" t="n">
        <v>3403.56</v>
      </c>
      <c r="L1608" s="3" t="n">
        <v>74878.32</v>
      </c>
      <c r="M1608" s="3" t="n">
        <v>0.1916</v>
      </c>
      <c r="N1608" s="3" t="n">
        <v>14346.69</v>
      </c>
      <c r="O1608" s="3" t="n">
        <v>60531.63</v>
      </c>
      <c r="P1608" s="3" t="n">
        <v>41183.08</v>
      </c>
      <c r="Q1608" s="3" t="n">
        <v>19348.55</v>
      </c>
      <c r="R1608" s="3" t="n">
        <v>0.3196</v>
      </c>
      <c r="S1608" s="3" t="n">
        <v>0.1796</v>
      </c>
      <c r="T1608" s="3" t="n">
        <v>0.012</v>
      </c>
    </row>
    <row r="1609" customFormat="false" ht="15" hidden="false" customHeight="true" outlineLevel="0" collapsed="false">
      <c r="A1609" s="3" t="s">
        <v>2520</v>
      </c>
      <c r="B1609" s="3" t="s">
        <v>871</v>
      </c>
      <c r="C1609" s="3" t="s">
        <v>53</v>
      </c>
      <c r="D1609" s="3" t="s">
        <v>47</v>
      </c>
      <c r="E1609" s="3" t="s">
        <v>48</v>
      </c>
      <c r="F1609" s="3" t="s">
        <v>25</v>
      </c>
      <c r="G1609" s="3" t="s">
        <v>84</v>
      </c>
      <c r="H1609" s="3" t="s">
        <v>56</v>
      </c>
      <c r="I1609" s="3" t="s">
        <v>188</v>
      </c>
      <c r="J1609" s="3" t="n">
        <v>39</v>
      </c>
      <c r="K1609" s="3" t="n">
        <v>9682.81</v>
      </c>
      <c r="L1609" s="3" t="n">
        <v>377629.59</v>
      </c>
      <c r="M1609" s="3" t="n">
        <v>0.1632</v>
      </c>
      <c r="N1609" s="3" t="n">
        <v>61629.15</v>
      </c>
      <c r="O1609" s="3" t="n">
        <v>316000.44</v>
      </c>
      <c r="P1609" s="3" t="n">
        <v>226577.75</v>
      </c>
      <c r="Q1609" s="3" t="n">
        <v>89422.69</v>
      </c>
      <c r="R1609" s="3" t="n">
        <v>0.283</v>
      </c>
      <c r="S1609" s="3" t="n">
        <v>0.1344</v>
      </c>
      <c r="T1609" s="3" t="n">
        <v>0.0288</v>
      </c>
    </row>
    <row r="1610" customFormat="false" ht="15" hidden="false" customHeight="true" outlineLevel="0" collapsed="false">
      <c r="A1610" s="3" t="s">
        <v>2521</v>
      </c>
      <c r="B1610" s="3" t="s">
        <v>2522</v>
      </c>
      <c r="C1610" s="3" t="s">
        <v>156</v>
      </c>
      <c r="D1610" s="3" t="s">
        <v>61</v>
      </c>
      <c r="E1610" s="3" t="s">
        <v>33</v>
      </c>
      <c r="F1610" s="3" t="s">
        <v>62</v>
      </c>
      <c r="G1610" s="3" t="s">
        <v>55</v>
      </c>
      <c r="H1610" s="3" t="s">
        <v>27</v>
      </c>
      <c r="I1610" s="3" t="s">
        <v>28</v>
      </c>
      <c r="J1610" s="3" t="n">
        <v>1</v>
      </c>
      <c r="K1610" s="3" t="n">
        <v>9600.9</v>
      </c>
      <c r="L1610" s="3" t="n">
        <v>9600.9</v>
      </c>
      <c r="M1610" s="3" t="n">
        <v>0.0773</v>
      </c>
      <c r="N1610" s="3" t="n">
        <v>742.15</v>
      </c>
      <c r="O1610" s="3" t="n">
        <v>8858.75</v>
      </c>
      <c r="P1610" s="3" t="n">
        <v>5952.56</v>
      </c>
      <c r="Q1610" s="3" t="n">
        <v>2906.19</v>
      </c>
      <c r="R1610" s="3" t="n">
        <v>0.3281</v>
      </c>
      <c r="S1610" s="3" t="n">
        <v>0.0689</v>
      </c>
      <c r="T1610" s="3" t="n">
        <v>0.0084</v>
      </c>
    </row>
    <row r="1611" customFormat="false" ht="15" hidden="false" customHeight="true" outlineLevel="0" collapsed="false">
      <c r="A1611" s="3" t="s">
        <v>2523</v>
      </c>
      <c r="B1611" s="3" t="s">
        <v>2524</v>
      </c>
      <c r="C1611" s="3" t="s">
        <v>46</v>
      </c>
      <c r="D1611" s="3" t="s">
        <v>47</v>
      </c>
      <c r="E1611" s="3" t="s">
        <v>48</v>
      </c>
      <c r="F1611" s="3" t="s">
        <v>25</v>
      </c>
      <c r="G1611" s="3" t="s">
        <v>116</v>
      </c>
      <c r="H1611" s="3" t="s">
        <v>56</v>
      </c>
      <c r="I1611" s="3" t="s">
        <v>188</v>
      </c>
      <c r="J1611" s="3" t="n">
        <v>14</v>
      </c>
      <c r="K1611" s="3" t="n">
        <v>2856.61</v>
      </c>
      <c r="L1611" s="3" t="n">
        <v>39992.54</v>
      </c>
      <c r="M1611" s="3" t="n">
        <v>0.2296</v>
      </c>
      <c r="N1611" s="3" t="n">
        <v>9182.29</v>
      </c>
      <c r="O1611" s="3" t="n">
        <v>30810.25</v>
      </c>
      <c r="P1611" s="3" t="n">
        <v>23995.52</v>
      </c>
      <c r="Q1611" s="3" t="n">
        <v>6814.73</v>
      </c>
      <c r="R1611" s="3" t="n">
        <v>0.2212</v>
      </c>
      <c r="S1611" s="3" t="n">
        <v>0.189</v>
      </c>
      <c r="T1611" s="3" t="n">
        <v>0.0406</v>
      </c>
    </row>
    <row r="1612" customFormat="false" ht="15" hidden="false" customHeight="true" outlineLevel="0" collapsed="false">
      <c r="A1612" s="3" t="s">
        <v>2525</v>
      </c>
      <c r="B1612" s="3" t="s">
        <v>2526</v>
      </c>
      <c r="C1612" s="3" t="s">
        <v>113</v>
      </c>
      <c r="D1612" s="3" t="s">
        <v>47</v>
      </c>
      <c r="E1612" s="3" t="s">
        <v>48</v>
      </c>
      <c r="F1612" s="3" t="s">
        <v>25</v>
      </c>
      <c r="G1612" s="3" t="s">
        <v>104</v>
      </c>
      <c r="H1612" s="3" t="s">
        <v>27</v>
      </c>
      <c r="I1612" s="3" t="s">
        <v>50</v>
      </c>
      <c r="J1612" s="3" t="n">
        <v>20</v>
      </c>
      <c r="K1612" s="3" t="n">
        <v>36752.69</v>
      </c>
      <c r="L1612" s="3" t="n">
        <v>735053.8</v>
      </c>
      <c r="M1612" s="3" t="n">
        <v>0.1709</v>
      </c>
      <c r="N1612" s="3" t="n">
        <v>125620.69</v>
      </c>
      <c r="O1612" s="3" t="n">
        <v>609433.11</v>
      </c>
      <c r="P1612" s="3" t="n">
        <v>455733.36</v>
      </c>
      <c r="Q1612" s="3" t="n">
        <v>153699.75</v>
      </c>
      <c r="R1612" s="3" t="n">
        <v>0.2522</v>
      </c>
      <c r="S1612" s="3" t="n">
        <v>0.1429</v>
      </c>
      <c r="T1612" s="3" t="n">
        <v>0.028</v>
      </c>
    </row>
    <row r="1613" customFormat="false" ht="15" hidden="false" customHeight="true" outlineLevel="0" collapsed="false">
      <c r="A1613" s="3" t="s">
        <v>2527</v>
      </c>
      <c r="B1613" s="3" t="s">
        <v>1776</v>
      </c>
      <c r="C1613" s="3" t="s">
        <v>126</v>
      </c>
      <c r="D1613" s="3" t="s">
        <v>23</v>
      </c>
      <c r="E1613" s="3" t="s">
        <v>24</v>
      </c>
      <c r="F1613" s="3" t="s">
        <v>25</v>
      </c>
      <c r="G1613" s="3" t="s">
        <v>41</v>
      </c>
      <c r="H1613" s="3" t="s">
        <v>27</v>
      </c>
      <c r="I1613" s="3" t="s">
        <v>173</v>
      </c>
      <c r="J1613" s="3" t="n">
        <v>6</v>
      </c>
      <c r="K1613" s="3" t="n">
        <v>8459.01</v>
      </c>
      <c r="L1613" s="3" t="n">
        <v>50754.06</v>
      </c>
      <c r="M1613" s="3" t="n">
        <v>0.1981</v>
      </c>
      <c r="N1613" s="3" t="n">
        <v>10054.38</v>
      </c>
      <c r="O1613" s="3" t="n">
        <v>40699.68</v>
      </c>
      <c r="P1613" s="3" t="n">
        <v>31467.52</v>
      </c>
      <c r="Q1613" s="3" t="n">
        <v>9232.16</v>
      </c>
      <c r="R1613" s="3" t="n">
        <v>0.2268</v>
      </c>
      <c r="S1613" s="3" t="n">
        <v>0.1745</v>
      </c>
      <c r="T1613" s="3" t="n">
        <v>0.0236</v>
      </c>
    </row>
    <row r="1614" customFormat="false" ht="15" hidden="false" customHeight="true" outlineLevel="0" collapsed="false">
      <c r="A1614" s="3" t="s">
        <v>2528</v>
      </c>
      <c r="B1614" s="3" t="s">
        <v>2332</v>
      </c>
      <c r="C1614" s="3" t="s">
        <v>46</v>
      </c>
      <c r="D1614" s="3" t="s">
        <v>97</v>
      </c>
      <c r="E1614" s="3" t="s">
        <v>48</v>
      </c>
      <c r="F1614" s="3" t="s">
        <v>40</v>
      </c>
      <c r="G1614" s="3" t="s">
        <v>116</v>
      </c>
      <c r="H1614" s="3" t="s">
        <v>56</v>
      </c>
      <c r="I1614" s="3" t="s">
        <v>57</v>
      </c>
      <c r="J1614" s="3" t="n">
        <v>10</v>
      </c>
      <c r="K1614" s="3" t="n">
        <v>13702.94</v>
      </c>
      <c r="L1614" s="3" t="n">
        <v>137029.4</v>
      </c>
      <c r="M1614" s="3" t="n">
        <v>0.0767</v>
      </c>
      <c r="N1614" s="3" t="n">
        <v>10510.15</v>
      </c>
      <c r="O1614" s="3" t="n">
        <v>126519.25</v>
      </c>
      <c r="P1614" s="3" t="n">
        <v>82217.64</v>
      </c>
      <c r="Q1614" s="3" t="n">
        <v>44301.61</v>
      </c>
      <c r="R1614" s="3" t="n">
        <v>0.3502</v>
      </c>
      <c r="S1614" s="3" t="n">
        <v>0.062</v>
      </c>
      <c r="T1614" s="3" t="n">
        <v>0.0147</v>
      </c>
    </row>
    <row r="1615" customFormat="false" ht="15" hidden="false" customHeight="true" outlineLevel="0" collapsed="false">
      <c r="A1615" s="3" t="s">
        <v>2529</v>
      </c>
      <c r="B1615" s="3" t="s">
        <v>547</v>
      </c>
      <c r="C1615" s="3" t="s">
        <v>22</v>
      </c>
      <c r="D1615" s="3" t="s">
        <v>83</v>
      </c>
      <c r="E1615" s="3" t="s">
        <v>48</v>
      </c>
      <c r="F1615" s="3" t="s">
        <v>62</v>
      </c>
      <c r="G1615" s="3" t="s">
        <v>63</v>
      </c>
      <c r="H1615" s="3" t="s">
        <v>77</v>
      </c>
      <c r="I1615" s="3" t="s">
        <v>78</v>
      </c>
      <c r="J1615" s="3" t="n">
        <v>1</v>
      </c>
      <c r="K1615" s="3" t="n">
        <v>2040.11</v>
      </c>
      <c r="L1615" s="3" t="n">
        <v>2040.11</v>
      </c>
      <c r="M1615" s="3" t="n">
        <v>0.0588</v>
      </c>
      <c r="N1615" s="3" t="n">
        <v>119.96</v>
      </c>
      <c r="O1615" s="3" t="n">
        <v>1920.15</v>
      </c>
      <c r="P1615" s="3" t="n">
        <v>1387.27</v>
      </c>
      <c r="Q1615" s="3" t="n">
        <v>532.88</v>
      </c>
      <c r="R1615" s="3" t="n">
        <v>0.2775</v>
      </c>
      <c r="S1615" s="3" t="n">
        <v>0.0587</v>
      </c>
      <c r="T1615" s="3" t="n">
        <v>0.0001</v>
      </c>
    </row>
    <row r="1616" customFormat="false" ht="15" hidden="false" customHeight="true" outlineLevel="0" collapsed="false">
      <c r="A1616" s="3" t="s">
        <v>2530</v>
      </c>
      <c r="B1616" s="3" t="s">
        <v>1029</v>
      </c>
      <c r="C1616" s="3" t="s">
        <v>126</v>
      </c>
      <c r="D1616" s="3" t="s">
        <v>54</v>
      </c>
      <c r="E1616" s="3" t="s">
        <v>24</v>
      </c>
      <c r="F1616" s="3" t="s">
        <v>40</v>
      </c>
      <c r="G1616" s="3" t="s">
        <v>84</v>
      </c>
      <c r="H1616" s="3" t="s">
        <v>42</v>
      </c>
      <c r="I1616" s="3" t="s">
        <v>72</v>
      </c>
      <c r="J1616" s="3" t="n">
        <v>18</v>
      </c>
      <c r="K1616" s="3" t="n">
        <v>1209.45</v>
      </c>
      <c r="L1616" s="3" t="n">
        <v>21770.1</v>
      </c>
      <c r="M1616" s="3" t="n">
        <v>0.0312</v>
      </c>
      <c r="N1616" s="3" t="n">
        <v>679.23</v>
      </c>
      <c r="O1616" s="3" t="n">
        <v>21090.87</v>
      </c>
      <c r="P1616" s="3" t="n">
        <v>11973.56</v>
      </c>
      <c r="Q1616" s="3" t="n">
        <v>9117.31</v>
      </c>
      <c r="R1616" s="3" t="n">
        <v>0.4323</v>
      </c>
      <c r="S1616" s="3" t="n">
        <v>0.034</v>
      </c>
      <c r="T1616" s="3" t="n">
        <v>-0.0028</v>
      </c>
    </row>
    <row r="1617" customFormat="false" ht="15" hidden="false" customHeight="true" outlineLevel="0" collapsed="false">
      <c r="A1617" s="3" t="s">
        <v>2531</v>
      </c>
      <c r="B1617" s="3" t="s">
        <v>1183</v>
      </c>
      <c r="C1617" s="3" t="s">
        <v>31</v>
      </c>
      <c r="D1617" s="3" t="s">
        <v>69</v>
      </c>
      <c r="E1617" s="3" t="s">
        <v>39</v>
      </c>
      <c r="F1617" s="3" t="s">
        <v>70</v>
      </c>
      <c r="G1617" s="3" t="s">
        <v>104</v>
      </c>
      <c r="H1617" s="3" t="s">
        <v>64</v>
      </c>
      <c r="I1617" s="3" t="s">
        <v>90</v>
      </c>
      <c r="J1617" s="3" t="n">
        <v>3</v>
      </c>
      <c r="K1617" s="3" t="n">
        <v>11962.54</v>
      </c>
      <c r="L1617" s="3" t="n">
        <v>35887.62</v>
      </c>
      <c r="M1617" s="3" t="n">
        <v>0.1271</v>
      </c>
      <c r="N1617" s="3" t="n">
        <v>4561.32</v>
      </c>
      <c r="O1617" s="3" t="n">
        <v>31326.3</v>
      </c>
      <c r="P1617" s="3" t="n">
        <v>20814.82</v>
      </c>
      <c r="Q1617" s="3" t="n">
        <v>10511.48</v>
      </c>
      <c r="R1617" s="3" t="n">
        <v>0.3355</v>
      </c>
      <c r="S1617" s="3" t="n">
        <v>0.123</v>
      </c>
      <c r="T1617" s="3" t="n">
        <v>0.0041</v>
      </c>
    </row>
    <row r="1618" customFormat="false" ht="15" hidden="false" customHeight="true" outlineLevel="0" collapsed="false">
      <c r="A1618" s="3" t="s">
        <v>2532</v>
      </c>
      <c r="B1618" s="3" t="s">
        <v>2533</v>
      </c>
      <c r="C1618" s="3" t="s">
        <v>120</v>
      </c>
      <c r="D1618" s="3" t="s">
        <v>97</v>
      </c>
      <c r="E1618" s="3" t="s">
        <v>48</v>
      </c>
      <c r="F1618" s="3" t="s">
        <v>40</v>
      </c>
      <c r="G1618" s="3" t="s">
        <v>26</v>
      </c>
      <c r="H1618" s="3" t="s">
        <v>77</v>
      </c>
      <c r="I1618" s="3" t="s">
        <v>131</v>
      </c>
      <c r="J1618" s="3" t="n">
        <v>4</v>
      </c>
      <c r="K1618" s="3" t="n">
        <v>5272.59</v>
      </c>
      <c r="L1618" s="3" t="n">
        <v>21090.36</v>
      </c>
      <c r="M1618" s="3" t="n">
        <v>0.0443</v>
      </c>
      <c r="N1618" s="3" t="n">
        <v>934.3</v>
      </c>
      <c r="O1618" s="3" t="n">
        <v>20156.06</v>
      </c>
      <c r="P1618" s="3" t="n">
        <v>14341.44</v>
      </c>
      <c r="Q1618" s="3" t="n">
        <v>5814.62</v>
      </c>
      <c r="R1618" s="3" t="n">
        <v>0.2885</v>
      </c>
      <c r="S1618" s="3" t="n">
        <v>0.0434</v>
      </c>
      <c r="T1618" s="3" t="n">
        <v>0.0009</v>
      </c>
    </row>
    <row r="1619" customFormat="false" ht="15" hidden="false" customHeight="true" outlineLevel="0" collapsed="false">
      <c r="A1619" s="3" t="s">
        <v>2534</v>
      </c>
      <c r="B1619" s="3" t="s">
        <v>2535</v>
      </c>
      <c r="C1619" s="3" t="s">
        <v>37</v>
      </c>
      <c r="D1619" s="3" t="s">
        <v>83</v>
      </c>
      <c r="E1619" s="3" t="s">
        <v>48</v>
      </c>
      <c r="F1619" s="3" t="s">
        <v>62</v>
      </c>
      <c r="G1619" s="3" t="s">
        <v>41</v>
      </c>
      <c r="H1619" s="3" t="s">
        <v>77</v>
      </c>
      <c r="I1619" s="3" t="s">
        <v>85</v>
      </c>
      <c r="J1619" s="3" t="n">
        <v>24</v>
      </c>
      <c r="K1619" s="3" t="n">
        <v>2991.68</v>
      </c>
      <c r="L1619" s="3" t="n">
        <v>71800.32</v>
      </c>
      <c r="M1619" s="3" t="n">
        <v>0.1079</v>
      </c>
      <c r="N1619" s="3" t="n">
        <v>7747.25</v>
      </c>
      <c r="O1619" s="3" t="n">
        <v>64053.07</v>
      </c>
      <c r="P1619" s="3" t="n">
        <v>48824.22</v>
      </c>
      <c r="Q1619" s="3" t="n">
        <v>15228.85</v>
      </c>
      <c r="R1619" s="3" t="n">
        <v>0.2378</v>
      </c>
      <c r="S1619" s="3" t="n">
        <v>0.1102</v>
      </c>
      <c r="T1619" s="3" t="n">
        <v>-0.0023</v>
      </c>
    </row>
    <row r="1620" customFormat="false" ht="15" hidden="false" customHeight="true" outlineLevel="0" collapsed="false">
      <c r="A1620" s="3" t="s">
        <v>2536</v>
      </c>
      <c r="B1620" s="3" t="s">
        <v>2057</v>
      </c>
      <c r="C1620" s="3" t="s">
        <v>126</v>
      </c>
      <c r="D1620" s="3" t="s">
        <v>103</v>
      </c>
      <c r="E1620" s="3" t="s">
        <v>24</v>
      </c>
      <c r="F1620" s="3" t="s">
        <v>62</v>
      </c>
      <c r="G1620" s="3" t="s">
        <v>55</v>
      </c>
      <c r="H1620" s="3" t="s">
        <v>77</v>
      </c>
      <c r="I1620" s="3" t="s">
        <v>131</v>
      </c>
      <c r="J1620" s="3" t="n">
        <v>30</v>
      </c>
      <c r="K1620" s="3" t="n">
        <v>3128.54</v>
      </c>
      <c r="L1620" s="3" t="n">
        <v>93856.2</v>
      </c>
      <c r="M1620" s="3" t="n">
        <v>0.0792</v>
      </c>
      <c r="N1620" s="3" t="n">
        <v>7433.41</v>
      </c>
      <c r="O1620" s="3" t="n">
        <v>86422.79</v>
      </c>
      <c r="P1620" s="3" t="n">
        <v>63822.22</v>
      </c>
      <c r="Q1620" s="3" t="n">
        <v>22600.57</v>
      </c>
      <c r="R1620" s="3" t="n">
        <v>0.2615</v>
      </c>
      <c r="S1620" s="3" t="n">
        <v>0.0668</v>
      </c>
      <c r="T1620" s="3" t="n">
        <v>0.0124</v>
      </c>
    </row>
    <row r="1621" customFormat="false" ht="15" hidden="false" customHeight="true" outlineLevel="0" collapsed="false">
      <c r="A1621" s="3" t="s">
        <v>2537</v>
      </c>
      <c r="B1621" s="3" t="s">
        <v>506</v>
      </c>
      <c r="C1621" s="3" t="s">
        <v>60</v>
      </c>
      <c r="D1621" s="3" t="s">
        <v>23</v>
      </c>
      <c r="E1621" s="3" t="s">
        <v>24</v>
      </c>
      <c r="F1621" s="3" t="s">
        <v>25</v>
      </c>
      <c r="G1621" s="3" t="s">
        <v>100</v>
      </c>
      <c r="H1621" s="3" t="s">
        <v>77</v>
      </c>
      <c r="I1621" s="3" t="s">
        <v>85</v>
      </c>
      <c r="J1621" s="3" t="n">
        <v>28</v>
      </c>
      <c r="K1621" s="3" t="n">
        <v>3157.56</v>
      </c>
      <c r="L1621" s="3" t="n">
        <v>88411.68</v>
      </c>
      <c r="M1621" s="3" t="n">
        <v>0.0946</v>
      </c>
      <c r="N1621" s="3" t="n">
        <v>8363.74</v>
      </c>
      <c r="O1621" s="3" t="n">
        <v>80047.94</v>
      </c>
      <c r="P1621" s="3" t="n">
        <v>60119.94</v>
      </c>
      <c r="Q1621" s="3" t="n">
        <v>19928</v>
      </c>
      <c r="R1621" s="3" t="n">
        <v>0.249</v>
      </c>
      <c r="S1621" s="3" t="n">
        <v>0.0851</v>
      </c>
      <c r="T1621" s="3" t="n">
        <v>0.0095</v>
      </c>
    </row>
    <row r="1622" customFormat="false" ht="15" hidden="false" customHeight="true" outlineLevel="0" collapsed="false">
      <c r="A1622" s="3" t="s">
        <v>2538</v>
      </c>
      <c r="B1622" s="3" t="s">
        <v>666</v>
      </c>
      <c r="C1622" s="3" t="s">
        <v>37</v>
      </c>
      <c r="D1622" s="3" t="s">
        <v>103</v>
      </c>
      <c r="E1622" s="3" t="s">
        <v>24</v>
      </c>
      <c r="F1622" s="3" t="s">
        <v>62</v>
      </c>
      <c r="G1622" s="3" t="s">
        <v>100</v>
      </c>
      <c r="H1622" s="3" t="s">
        <v>77</v>
      </c>
      <c r="I1622" s="3" t="s">
        <v>78</v>
      </c>
      <c r="J1622" s="3" t="n">
        <v>11</v>
      </c>
      <c r="K1622" s="3" t="n">
        <v>5336.64</v>
      </c>
      <c r="L1622" s="3" t="n">
        <v>58703.04</v>
      </c>
      <c r="M1622" s="3" t="n">
        <v>0.0745</v>
      </c>
      <c r="N1622" s="3" t="n">
        <v>4373.38</v>
      </c>
      <c r="O1622" s="3" t="n">
        <v>54329.66</v>
      </c>
      <c r="P1622" s="3" t="n">
        <v>39918.07</v>
      </c>
      <c r="Q1622" s="3" t="n">
        <v>14411.59</v>
      </c>
      <c r="R1622" s="3" t="n">
        <v>0.2653</v>
      </c>
      <c r="S1622" s="3" t="n">
        <v>0.0709</v>
      </c>
      <c r="T1622" s="3" t="n">
        <v>0.0036</v>
      </c>
    </row>
    <row r="1623" customFormat="false" ht="15" hidden="false" customHeight="true" outlineLevel="0" collapsed="false">
      <c r="A1623" s="3" t="s">
        <v>2539</v>
      </c>
      <c r="B1623" s="3" t="s">
        <v>647</v>
      </c>
      <c r="C1623" s="3" t="s">
        <v>60</v>
      </c>
      <c r="D1623" s="3" t="s">
        <v>23</v>
      </c>
      <c r="E1623" s="3" t="s">
        <v>24</v>
      </c>
      <c r="F1623" s="3" t="s">
        <v>25</v>
      </c>
      <c r="G1623" s="3" t="s">
        <v>100</v>
      </c>
      <c r="H1623" s="3" t="s">
        <v>64</v>
      </c>
      <c r="I1623" s="3" t="s">
        <v>145</v>
      </c>
      <c r="J1623" s="3" t="n">
        <v>48</v>
      </c>
      <c r="K1623" s="3" t="n">
        <v>8694.28</v>
      </c>
      <c r="L1623" s="3" t="n">
        <v>417325.44</v>
      </c>
      <c r="M1623" s="3" t="n">
        <v>0.1419</v>
      </c>
      <c r="N1623" s="3" t="n">
        <v>59218.48</v>
      </c>
      <c r="O1623" s="3" t="n">
        <v>358106.96</v>
      </c>
      <c r="P1623" s="3" t="n">
        <v>242048.76</v>
      </c>
      <c r="Q1623" s="3" t="n">
        <v>116058.2</v>
      </c>
      <c r="R1623" s="3" t="n">
        <v>0.3241</v>
      </c>
      <c r="S1623" s="3" t="n">
        <v>0.1551</v>
      </c>
      <c r="T1623" s="3" t="n">
        <v>-0.0132</v>
      </c>
    </row>
    <row r="1624" customFormat="false" ht="15" hidden="false" customHeight="true" outlineLevel="0" collapsed="false">
      <c r="A1624" s="3" t="s">
        <v>2540</v>
      </c>
      <c r="B1624" s="3" t="s">
        <v>1375</v>
      </c>
      <c r="C1624" s="3" t="s">
        <v>68</v>
      </c>
      <c r="D1624" s="3" t="s">
        <v>69</v>
      </c>
      <c r="E1624" s="3" t="s">
        <v>39</v>
      </c>
      <c r="F1624" s="3" t="s">
        <v>70</v>
      </c>
      <c r="G1624" s="3" t="s">
        <v>63</v>
      </c>
      <c r="H1624" s="3" t="s">
        <v>77</v>
      </c>
      <c r="I1624" s="3" t="s">
        <v>131</v>
      </c>
      <c r="J1624" s="3" t="n">
        <v>33</v>
      </c>
      <c r="K1624" s="3" t="n">
        <v>5427.47</v>
      </c>
      <c r="L1624" s="3" t="n">
        <v>179106.51</v>
      </c>
      <c r="M1624" s="3" t="n">
        <v>0.0572</v>
      </c>
      <c r="N1624" s="3" t="n">
        <v>10244.89</v>
      </c>
      <c r="O1624" s="3" t="n">
        <v>168861.62</v>
      </c>
      <c r="P1624" s="3" t="n">
        <v>121792.43</v>
      </c>
      <c r="Q1624" s="3" t="n">
        <v>47069.19</v>
      </c>
      <c r="R1624" s="3" t="n">
        <v>0.2787</v>
      </c>
      <c r="S1624" s="3" t="n">
        <v>0.0475</v>
      </c>
      <c r="T1624" s="3" t="n">
        <v>0.0097</v>
      </c>
    </row>
    <row r="1625" customFormat="false" ht="15" hidden="false" customHeight="true" outlineLevel="0" collapsed="false">
      <c r="A1625" s="3" t="s">
        <v>2541</v>
      </c>
      <c r="B1625" s="3" t="s">
        <v>2542</v>
      </c>
      <c r="C1625" s="3" t="s">
        <v>37</v>
      </c>
      <c r="D1625" s="3" t="s">
        <v>32</v>
      </c>
      <c r="E1625" s="3" t="s">
        <v>33</v>
      </c>
      <c r="F1625" s="3" t="s">
        <v>25</v>
      </c>
      <c r="G1625" s="3" t="s">
        <v>71</v>
      </c>
      <c r="H1625" s="3" t="s">
        <v>42</v>
      </c>
      <c r="I1625" s="3" t="s">
        <v>72</v>
      </c>
      <c r="J1625" s="3" t="n">
        <v>48</v>
      </c>
      <c r="K1625" s="3" t="n">
        <v>3798.01</v>
      </c>
      <c r="L1625" s="3" t="n">
        <v>182304.48</v>
      </c>
      <c r="M1625" s="3" t="n">
        <v>0.1381</v>
      </c>
      <c r="N1625" s="3" t="n">
        <v>25176.25</v>
      </c>
      <c r="O1625" s="3" t="n">
        <v>157128.23</v>
      </c>
      <c r="P1625" s="3" t="n">
        <v>100267.46</v>
      </c>
      <c r="Q1625" s="3" t="n">
        <v>56860.77</v>
      </c>
      <c r="R1625" s="3" t="n">
        <v>0.3619</v>
      </c>
      <c r="S1625" s="3" t="n">
        <v>0.1308</v>
      </c>
      <c r="T1625" s="3" t="n">
        <v>0.0073</v>
      </c>
    </row>
    <row r="1626" customFormat="false" ht="15" hidden="false" customHeight="true" outlineLevel="0" collapsed="false">
      <c r="A1626" s="3" t="s">
        <v>2543</v>
      </c>
      <c r="B1626" s="3" t="s">
        <v>2544</v>
      </c>
      <c r="C1626" s="3" t="s">
        <v>37</v>
      </c>
      <c r="D1626" s="3" t="s">
        <v>103</v>
      </c>
      <c r="E1626" s="3" t="s">
        <v>24</v>
      </c>
      <c r="F1626" s="3" t="s">
        <v>62</v>
      </c>
      <c r="G1626" s="3" t="s">
        <v>63</v>
      </c>
      <c r="H1626" s="3" t="s">
        <v>42</v>
      </c>
      <c r="I1626" s="3" t="s">
        <v>72</v>
      </c>
      <c r="J1626" s="3" t="n">
        <v>26</v>
      </c>
      <c r="K1626" s="3" t="n">
        <v>2330.92</v>
      </c>
      <c r="L1626" s="3" t="n">
        <v>60603.92</v>
      </c>
      <c r="M1626" s="3" t="n">
        <v>0.041</v>
      </c>
      <c r="N1626" s="3" t="n">
        <v>2484.76</v>
      </c>
      <c r="O1626" s="3" t="n">
        <v>58119.16</v>
      </c>
      <c r="P1626" s="3" t="n">
        <v>33332.16</v>
      </c>
      <c r="Q1626" s="3" t="n">
        <v>24787</v>
      </c>
      <c r="R1626" s="3" t="n">
        <v>0.4265</v>
      </c>
      <c r="S1626" s="3" t="n">
        <v>0.042</v>
      </c>
      <c r="T1626" s="3" t="n">
        <v>-0.001</v>
      </c>
    </row>
    <row r="1627" customFormat="false" ht="15" hidden="false" customHeight="true" outlineLevel="0" collapsed="false">
      <c r="A1627" s="3" t="s">
        <v>2545</v>
      </c>
      <c r="B1627" s="3" t="s">
        <v>1738</v>
      </c>
      <c r="C1627" s="3" t="s">
        <v>113</v>
      </c>
      <c r="D1627" s="3" t="s">
        <v>97</v>
      </c>
      <c r="E1627" s="3" t="s">
        <v>48</v>
      </c>
      <c r="F1627" s="3" t="s">
        <v>40</v>
      </c>
      <c r="G1627" s="3" t="s">
        <v>71</v>
      </c>
      <c r="H1627" s="3" t="s">
        <v>27</v>
      </c>
      <c r="I1627" s="3" t="s">
        <v>117</v>
      </c>
      <c r="J1627" s="3" t="n">
        <v>10</v>
      </c>
      <c r="K1627" s="3" t="n">
        <v>28604.87</v>
      </c>
      <c r="L1627" s="3" t="n">
        <v>286048.7</v>
      </c>
      <c r="M1627" s="3" t="n">
        <v>0.0717</v>
      </c>
      <c r="N1627" s="3" t="n">
        <v>20509.69</v>
      </c>
      <c r="O1627" s="3" t="n">
        <v>265539.01</v>
      </c>
      <c r="P1627" s="3" t="n">
        <v>177350.19</v>
      </c>
      <c r="Q1627" s="3" t="n">
        <v>88188.82</v>
      </c>
      <c r="R1627" s="3" t="n">
        <v>0.3321</v>
      </c>
      <c r="S1627" s="3" t="n">
        <v>0.0728</v>
      </c>
      <c r="T1627" s="3" t="n">
        <v>-0.0011</v>
      </c>
    </row>
    <row r="1628" customFormat="false" ht="15" hidden="false" customHeight="true" outlineLevel="0" collapsed="false">
      <c r="A1628" s="3" t="s">
        <v>2546</v>
      </c>
      <c r="B1628" s="3" t="s">
        <v>1186</v>
      </c>
      <c r="C1628" s="3" t="s">
        <v>31</v>
      </c>
      <c r="D1628" s="3" t="s">
        <v>107</v>
      </c>
      <c r="E1628" s="3" t="s">
        <v>33</v>
      </c>
      <c r="F1628" s="3" t="s">
        <v>70</v>
      </c>
      <c r="G1628" s="3" t="s">
        <v>41</v>
      </c>
      <c r="H1628" s="3" t="s">
        <v>27</v>
      </c>
      <c r="I1628" s="3" t="s">
        <v>173</v>
      </c>
      <c r="J1628" s="3" t="n">
        <v>45</v>
      </c>
      <c r="K1628" s="3" t="n">
        <v>37307</v>
      </c>
      <c r="L1628" s="3" t="n">
        <v>1678815</v>
      </c>
      <c r="M1628" s="3" t="n">
        <v>0.1072</v>
      </c>
      <c r="N1628" s="3" t="n">
        <v>179968.97</v>
      </c>
      <c r="O1628" s="3" t="n">
        <v>1498846.03</v>
      </c>
      <c r="P1628" s="3" t="n">
        <v>1040865.3</v>
      </c>
      <c r="Q1628" s="3" t="n">
        <v>457980.73</v>
      </c>
      <c r="R1628" s="3" t="n">
        <v>0.3056</v>
      </c>
      <c r="S1628" s="3" t="n">
        <v>0.0955</v>
      </c>
      <c r="T1628" s="3" t="n">
        <v>0.0117</v>
      </c>
    </row>
    <row r="1629" customFormat="false" ht="15" hidden="false" customHeight="true" outlineLevel="0" collapsed="false">
      <c r="A1629" s="3" t="s">
        <v>2547</v>
      </c>
      <c r="B1629" s="3" t="s">
        <v>1411</v>
      </c>
      <c r="C1629" s="3" t="s">
        <v>120</v>
      </c>
      <c r="D1629" s="3" t="s">
        <v>69</v>
      </c>
      <c r="E1629" s="3" t="s">
        <v>39</v>
      </c>
      <c r="F1629" s="3" t="s">
        <v>70</v>
      </c>
      <c r="G1629" s="3" t="s">
        <v>116</v>
      </c>
      <c r="H1629" s="3" t="s">
        <v>56</v>
      </c>
      <c r="I1629" s="3" t="s">
        <v>121</v>
      </c>
      <c r="J1629" s="3" t="n">
        <v>13</v>
      </c>
      <c r="K1629" s="3" t="n">
        <v>17224.81</v>
      </c>
      <c r="L1629" s="3" t="n">
        <v>223922.53</v>
      </c>
      <c r="M1629" s="3" t="n">
        <v>0.0524</v>
      </c>
      <c r="N1629" s="3" t="n">
        <v>11733.54</v>
      </c>
      <c r="O1629" s="3" t="n">
        <v>212188.99</v>
      </c>
      <c r="P1629" s="3" t="n">
        <v>134353.52</v>
      </c>
      <c r="Q1629" s="3" t="n">
        <v>77835.47</v>
      </c>
      <c r="R1629" s="3" t="n">
        <v>0.3668</v>
      </c>
      <c r="S1629" s="3" t="n">
        <v>0.0452</v>
      </c>
      <c r="T1629" s="3" t="n">
        <v>0.0072</v>
      </c>
    </row>
    <row r="1630" customFormat="false" ht="15" hidden="false" customHeight="true" outlineLevel="0" collapsed="false">
      <c r="A1630" s="3" t="s">
        <v>2548</v>
      </c>
      <c r="B1630" s="3" t="s">
        <v>2142</v>
      </c>
      <c r="C1630" s="3" t="s">
        <v>31</v>
      </c>
      <c r="D1630" s="3" t="s">
        <v>23</v>
      </c>
      <c r="E1630" s="3" t="s">
        <v>24</v>
      </c>
      <c r="F1630" s="3" t="s">
        <v>25</v>
      </c>
      <c r="G1630" s="3" t="s">
        <v>76</v>
      </c>
      <c r="H1630" s="3" t="s">
        <v>27</v>
      </c>
      <c r="I1630" s="3" t="s">
        <v>28</v>
      </c>
      <c r="J1630" s="3" t="n">
        <v>8</v>
      </c>
      <c r="K1630" s="3" t="n">
        <v>22483.18</v>
      </c>
      <c r="L1630" s="3" t="n">
        <v>179865.44</v>
      </c>
      <c r="M1630" s="3" t="n">
        <v>0.1197</v>
      </c>
      <c r="N1630" s="3" t="n">
        <v>21529.89</v>
      </c>
      <c r="O1630" s="3" t="n">
        <v>158335.55</v>
      </c>
      <c r="P1630" s="3" t="n">
        <v>111516.57</v>
      </c>
      <c r="Q1630" s="3" t="n">
        <v>46818.98</v>
      </c>
      <c r="R1630" s="3" t="n">
        <v>0.2957</v>
      </c>
      <c r="S1630" s="3" t="n">
        <v>0.0961</v>
      </c>
      <c r="T1630" s="3" t="n">
        <v>0.0236</v>
      </c>
    </row>
    <row r="1631" customFormat="false" ht="15" hidden="false" customHeight="true" outlineLevel="0" collapsed="false">
      <c r="A1631" s="3" t="s">
        <v>2549</v>
      </c>
      <c r="B1631" s="3" t="s">
        <v>1855</v>
      </c>
      <c r="C1631" s="3" t="s">
        <v>93</v>
      </c>
      <c r="D1631" s="3" t="s">
        <v>38</v>
      </c>
      <c r="E1631" s="3" t="s">
        <v>39</v>
      </c>
      <c r="F1631" s="3" t="s">
        <v>40</v>
      </c>
      <c r="G1631" s="3" t="s">
        <v>63</v>
      </c>
      <c r="H1631" s="3" t="s">
        <v>42</v>
      </c>
      <c r="I1631" s="3" t="s">
        <v>134</v>
      </c>
      <c r="J1631" s="3" t="n">
        <v>20</v>
      </c>
      <c r="K1631" s="3" t="n">
        <v>1812.21</v>
      </c>
      <c r="L1631" s="3" t="n">
        <v>36244.2</v>
      </c>
      <c r="M1631" s="3" t="n">
        <v>0.0514</v>
      </c>
      <c r="N1631" s="3" t="n">
        <v>1862.95</v>
      </c>
      <c r="O1631" s="3" t="n">
        <v>34381.25</v>
      </c>
      <c r="P1631" s="3" t="n">
        <v>19934.31</v>
      </c>
      <c r="Q1631" s="3" t="n">
        <v>14446.94</v>
      </c>
      <c r="R1631" s="3" t="n">
        <v>0.4202</v>
      </c>
      <c r="S1631" s="3" t="n">
        <v>0.0509</v>
      </c>
      <c r="T1631" s="3" t="n">
        <v>0.0005</v>
      </c>
    </row>
    <row r="1632" customFormat="false" ht="15" hidden="false" customHeight="true" outlineLevel="0" collapsed="false">
      <c r="A1632" s="3" t="s">
        <v>2550</v>
      </c>
      <c r="B1632" s="3" t="s">
        <v>2551</v>
      </c>
      <c r="C1632" s="3" t="s">
        <v>46</v>
      </c>
      <c r="D1632" s="3" t="s">
        <v>38</v>
      </c>
      <c r="E1632" s="3" t="s">
        <v>39</v>
      </c>
      <c r="F1632" s="3" t="s">
        <v>40</v>
      </c>
      <c r="G1632" s="3" t="s">
        <v>104</v>
      </c>
      <c r="H1632" s="3" t="s">
        <v>27</v>
      </c>
      <c r="I1632" s="3" t="s">
        <v>173</v>
      </c>
      <c r="J1632" s="3" t="n">
        <v>23</v>
      </c>
      <c r="K1632" s="3" t="n">
        <v>23999.84</v>
      </c>
      <c r="L1632" s="3" t="n">
        <v>551996.32</v>
      </c>
      <c r="M1632" s="3" t="n">
        <v>0.0796</v>
      </c>
      <c r="N1632" s="3" t="n">
        <v>43938.91</v>
      </c>
      <c r="O1632" s="3" t="n">
        <v>508057.41</v>
      </c>
      <c r="P1632" s="3" t="n">
        <v>342237.72</v>
      </c>
      <c r="Q1632" s="3" t="n">
        <v>165819.69</v>
      </c>
      <c r="R1632" s="3" t="n">
        <v>0.3264</v>
      </c>
      <c r="S1632" s="3" t="n">
        <v>0.0816</v>
      </c>
      <c r="T1632" s="3" t="n">
        <v>-0.002</v>
      </c>
    </row>
    <row r="1633" customFormat="false" ht="15" hidden="false" customHeight="true" outlineLevel="0" collapsed="false">
      <c r="A1633" s="3" t="s">
        <v>2552</v>
      </c>
      <c r="B1633" s="3" t="s">
        <v>2414</v>
      </c>
      <c r="C1633" s="3" t="s">
        <v>68</v>
      </c>
      <c r="D1633" s="3" t="s">
        <v>61</v>
      </c>
      <c r="E1633" s="3" t="s">
        <v>33</v>
      </c>
      <c r="F1633" s="3" t="s">
        <v>62</v>
      </c>
      <c r="G1633" s="3" t="s">
        <v>55</v>
      </c>
      <c r="H1633" s="3" t="s">
        <v>77</v>
      </c>
      <c r="I1633" s="3" t="s">
        <v>85</v>
      </c>
      <c r="J1633" s="3" t="n">
        <v>23</v>
      </c>
      <c r="K1633" s="3" t="n">
        <v>4177.11</v>
      </c>
      <c r="L1633" s="3" t="n">
        <v>96073.53</v>
      </c>
      <c r="M1633" s="3" t="n">
        <v>0.0775</v>
      </c>
      <c r="N1633" s="3" t="n">
        <v>7445.7</v>
      </c>
      <c r="O1633" s="3" t="n">
        <v>88627.83</v>
      </c>
      <c r="P1633" s="3" t="n">
        <v>65330</v>
      </c>
      <c r="Q1633" s="3" t="n">
        <v>23297.83</v>
      </c>
      <c r="R1633" s="3" t="n">
        <v>0.2629</v>
      </c>
      <c r="S1633" s="3" t="n">
        <v>0.0851</v>
      </c>
      <c r="T1633" s="3" t="n">
        <v>-0.0076</v>
      </c>
    </row>
    <row r="1634" customFormat="false" ht="15" hidden="false" customHeight="true" outlineLevel="0" collapsed="false">
      <c r="A1634" s="3" t="s">
        <v>2553</v>
      </c>
      <c r="B1634" s="3" t="s">
        <v>2170</v>
      </c>
      <c r="C1634" s="3" t="s">
        <v>120</v>
      </c>
      <c r="D1634" s="3" t="s">
        <v>47</v>
      </c>
      <c r="E1634" s="3" t="s">
        <v>48</v>
      </c>
      <c r="F1634" s="3" t="s">
        <v>25</v>
      </c>
      <c r="G1634" s="3" t="s">
        <v>116</v>
      </c>
      <c r="H1634" s="3" t="s">
        <v>27</v>
      </c>
      <c r="I1634" s="3" t="s">
        <v>173</v>
      </c>
      <c r="J1634" s="3" t="n">
        <v>35</v>
      </c>
      <c r="K1634" s="3" t="n">
        <v>23195.9</v>
      </c>
      <c r="L1634" s="3" t="n">
        <v>811856.5</v>
      </c>
      <c r="M1634" s="3" t="n">
        <v>0.1475</v>
      </c>
      <c r="N1634" s="3" t="n">
        <v>119748.83</v>
      </c>
      <c r="O1634" s="3" t="n">
        <v>692107.67</v>
      </c>
      <c r="P1634" s="3" t="n">
        <v>503351.03</v>
      </c>
      <c r="Q1634" s="3" t="n">
        <v>188756.64</v>
      </c>
      <c r="R1634" s="3" t="n">
        <v>0.2727</v>
      </c>
      <c r="S1634" s="3" t="n">
        <v>0.1381</v>
      </c>
      <c r="T1634" s="3" t="n">
        <v>0.0094</v>
      </c>
    </row>
    <row r="1635" customFormat="false" ht="15" hidden="false" customHeight="true" outlineLevel="0" collapsed="false">
      <c r="A1635" s="3" t="s">
        <v>2554</v>
      </c>
      <c r="B1635" s="3" t="s">
        <v>1647</v>
      </c>
      <c r="C1635" s="3" t="s">
        <v>93</v>
      </c>
      <c r="D1635" s="3" t="s">
        <v>97</v>
      </c>
      <c r="E1635" s="3" t="s">
        <v>48</v>
      </c>
      <c r="F1635" s="3" t="s">
        <v>40</v>
      </c>
      <c r="G1635" s="3" t="s">
        <v>55</v>
      </c>
      <c r="H1635" s="3" t="s">
        <v>42</v>
      </c>
      <c r="I1635" s="3" t="s">
        <v>43</v>
      </c>
      <c r="J1635" s="3" t="n">
        <v>3</v>
      </c>
      <c r="K1635" s="3" t="n">
        <v>3944</v>
      </c>
      <c r="L1635" s="3" t="n">
        <v>11832</v>
      </c>
      <c r="M1635" s="3" t="n">
        <v>0.0461</v>
      </c>
      <c r="N1635" s="3" t="n">
        <v>545.46</v>
      </c>
      <c r="O1635" s="3" t="n">
        <v>11286.54</v>
      </c>
      <c r="P1635" s="3" t="n">
        <v>6507.6</v>
      </c>
      <c r="Q1635" s="3" t="n">
        <v>4778.94</v>
      </c>
      <c r="R1635" s="3" t="n">
        <v>0.4234</v>
      </c>
      <c r="S1635" s="3" t="n">
        <v>0.0399</v>
      </c>
      <c r="T1635" s="3" t="n">
        <v>0.0062</v>
      </c>
    </row>
    <row r="1636" customFormat="false" ht="15" hidden="false" customHeight="true" outlineLevel="0" collapsed="false">
      <c r="A1636" s="3" t="s">
        <v>2555</v>
      </c>
      <c r="B1636" s="3" t="s">
        <v>2022</v>
      </c>
      <c r="C1636" s="3" t="s">
        <v>31</v>
      </c>
      <c r="D1636" s="3" t="s">
        <v>47</v>
      </c>
      <c r="E1636" s="3" t="s">
        <v>48</v>
      </c>
      <c r="F1636" s="3" t="s">
        <v>25</v>
      </c>
      <c r="G1636" s="3" t="s">
        <v>71</v>
      </c>
      <c r="H1636" s="3" t="s">
        <v>27</v>
      </c>
      <c r="I1636" s="3" t="s">
        <v>28</v>
      </c>
      <c r="J1636" s="3" t="n">
        <v>44</v>
      </c>
      <c r="K1636" s="3" t="n">
        <v>12108.29</v>
      </c>
      <c r="L1636" s="3" t="n">
        <v>532764.76</v>
      </c>
      <c r="M1636" s="3" t="n">
        <v>0.1839</v>
      </c>
      <c r="N1636" s="3" t="n">
        <v>97975.44</v>
      </c>
      <c r="O1636" s="3" t="n">
        <v>434789.32</v>
      </c>
      <c r="P1636" s="3" t="n">
        <v>330314.15</v>
      </c>
      <c r="Q1636" s="3" t="n">
        <v>104475.17</v>
      </c>
      <c r="R1636" s="3" t="n">
        <v>0.2403</v>
      </c>
      <c r="S1636" s="3" t="n">
        <v>0.1509</v>
      </c>
      <c r="T1636" s="3" t="n">
        <v>0.033</v>
      </c>
    </row>
    <row r="1637" customFormat="false" ht="15" hidden="false" customHeight="true" outlineLevel="0" collapsed="false">
      <c r="A1637" s="3" t="s">
        <v>2556</v>
      </c>
      <c r="B1637" s="3" t="s">
        <v>645</v>
      </c>
      <c r="C1637" s="3" t="s">
        <v>120</v>
      </c>
      <c r="D1637" s="3" t="s">
        <v>75</v>
      </c>
      <c r="E1637" s="3" t="s">
        <v>39</v>
      </c>
      <c r="F1637" s="3" t="s">
        <v>25</v>
      </c>
      <c r="G1637" s="3" t="s">
        <v>26</v>
      </c>
      <c r="H1637" s="3" t="s">
        <v>77</v>
      </c>
      <c r="I1637" s="3" t="s">
        <v>78</v>
      </c>
      <c r="J1637" s="3" t="n">
        <v>35</v>
      </c>
      <c r="K1637" s="3" t="n">
        <v>3912.24</v>
      </c>
      <c r="L1637" s="3" t="n">
        <v>136928.4</v>
      </c>
      <c r="M1637" s="3" t="n">
        <v>0.1066</v>
      </c>
      <c r="N1637" s="3" t="n">
        <v>14596.57</v>
      </c>
      <c r="O1637" s="3" t="n">
        <v>122331.83</v>
      </c>
      <c r="P1637" s="3" t="n">
        <v>93111.31</v>
      </c>
      <c r="Q1637" s="3" t="n">
        <v>29220.52</v>
      </c>
      <c r="R1637" s="3" t="n">
        <v>0.2389</v>
      </c>
      <c r="S1637" s="3" t="n">
        <v>0.1076</v>
      </c>
      <c r="T1637" s="3" t="n">
        <v>-0.001</v>
      </c>
    </row>
    <row r="1638" customFormat="false" ht="15" hidden="false" customHeight="true" outlineLevel="0" collapsed="false">
      <c r="A1638" s="3" t="s">
        <v>2557</v>
      </c>
      <c r="B1638" s="3" t="s">
        <v>811</v>
      </c>
      <c r="C1638" s="3" t="s">
        <v>37</v>
      </c>
      <c r="D1638" s="3" t="s">
        <v>83</v>
      </c>
      <c r="E1638" s="3" t="s">
        <v>48</v>
      </c>
      <c r="F1638" s="3" t="s">
        <v>62</v>
      </c>
      <c r="G1638" s="3" t="s">
        <v>76</v>
      </c>
      <c r="H1638" s="3" t="s">
        <v>64</v>
      </c>
      <c r="I1638" s="3" t="s">
        <v>90</v>
      </c>
      <c r="J1638" s="3" t="n">
        <v>3</v>
      </c>
      <c r="K1638" s="3" t="n">
        <v>10682</v>
      </c>
      <c r="L1638" s="3" t="n">
        <v>32046</v>
      </c>
      <c r="M1638" s="3" t="n">
        <v>0.0445</v>
      </c>
      <c r="N1638" s="3" t="n">
        <v>1426.05</v>
      </c>
      <c r="O1638" s="3" t="n">
        <v>30619.95</v>
      </c>
      <c r="P1638" s="3" t="n">
        <v>18586.68</v>
      </c>
      <c r="Q1638" s="3" t="n">
        <v>12033.27</v>
      </c>
      <c r="R1638" s="3" t="n">
        <v>0.393</v>
      </c>
      <c r="S1638" s="3" t="n">
        <v>0.0413</v>
      </c>
      <c r="T1638" s="3" t="n">
        <v>0.0032</v>
      </c>
    </row>
    <row r="1639" customFormat="false" ht="15" hidden="false" customHeight="true" outlineLevel="0" collapsed="false">
      <c r="A1639" s="3" t="s">
        <v>2558</v>
      </c>
      <c r="B1639" s="3" t="s">
        <v>1274</v>
      </c>
      <c r="C1639" s="3" t="s">
        <v>60</v>
      </c>
      <c r="D1639" s="3" t="s">
        <v>23</v>
      </c>
      <c r="E1639" s="3" t="s">
        <v>24</v>
      </c>
      <c r="F1639" s="3" t="s">
        <v>25</v>
      </c>
      <c r="G1639" s="3" t="s">
        <v>34</v>
      </c>
      <c r="H1639" s="3" t="s">
        <v>64</v>
      </c>
      <c r="I1639" s="3" t="s">
        <v>65</v>
      </c>
      <c r="J1639" s="3" t="n">
        <v>16</v>
      </c>
      <c r="K1639" s="3" t="n">
        <v>7339.32</v>
      </c>
      <c r="L1639" s="3" t="n">
        <v>117429.12</v>
      </c>
      <c r="M1639" s="3" t="n">
        <v>0.1846</v>
      </c>
      <c r="N1639" s="3" t="n">
        <v>21677.42</v>
      </c>
      <c r="O1639" s="3" t="n">
        <v>95751.7</v>
      </c>
      <c r="P1639" s="3" t="n">
        <v>68108.89</v>
      </c>
      <c r="Q1639" s="3" t="n">
        <v>27642.81</v>
      </c>
      <c r="R1639" s="3" t="n">
        <v>0.2887</v>
      </c>
      <c r="S1639" s="3" t="n">
        <v>0.1905</v>
      </c>
      <c r="T1639" s="3" t="n">
        <v>-0.0059</v>
      </c>
    </row>
    <row r="1640" customFormat="false" ht="15" hidden="false" customHeight="true" outlineLevel="0" collapsed="false">
      <c r="A1640" s="3" t="s">
        <v>2559</v>
      </c>
      <c r="B1640" s="3" t="s">
        <v>831</v>
      </c>
      <c r="C1640" s="3" t="s">
        <v>120</v>
      </c>
      <c r="D1640" s="3" t="s">
        <v>32</v>
      </c>
      <c r="E1640" s="3" t="s">
        <v>33</v>
      </c>
      <c r="F1640" s="3" t="s">
        <v>25</v>
      </c>
      <c r="G1640" s="3" t="s">
        <v>34</v>
      </c>
      <c r="H1640" s="3" t="s">
        <v>42</v>
      </c>
      <c r="I1640" s="3" t="s">
        <v>43</v>
      </c>
      <c r="J1640" s="3" t="n">
        <v>44</v>
      </c>
      <c r="K1640" s="3" t="n">
        <v>1690.25</v>
      </c>
      <c r="L1640" s="3" t="n">
        <v>74371</v>
      </c>
      <c r="M1640" s="3" t="n">
        <v>0.1872</v>
      </c>
      <c r="N1640" s="3" t="n">
        <v>13922.25</v>
      </c>
      <c r="O1640" s="3" t="n">
        <v>60448.75</v>
      </c>
      <c r="P1640" s="3" t="n">
        <v>40904.05</v>
      </c>
      <c r="Q1640" s="3" t="n">
        <v>19544.7</v>
      </c>
      <c r="R1640" s="3" t="n">
        <v>0.3233</v>
      </c>
      <c r="S1640" s="3" t="n">
        <v>0.1555</v>
      </c>
      <c r="T1640" s="3" t="n">
        <v>0.0317</v>
      </c>
    </row>
    <row r="1641" customFormat="false" ht="15" hidden="false" customHeight="true" outlineLevel="0" collapsed="false">
      <c r="A1641" s="3" t="s">
        <v>2560</v>
      </c>
      <c r="B1641" s="3" t="s">
        <v>2561</v>
      </c>
      <c r="C1641" s="3" t="s">
        <v>46</v>
      </c>
      <c r="D1641" s="3" t="s">
        <v>75</v>
      </c>
      <c r="E1641" s="3" t="s">
        <v>39</v>
      </c>
      <c r="F1641" s="3" t="s">
        <v>25</v>
      </c>
      <c r="G1641" s="3" t="s">
        <v>84</v>
      </c>
      <c r="H1641" s="3" t="s">
        <v>64</v>
      </c>
      <c r="I1641" s="3" t="s">
        <v>65</v>
      </c>
      <c r="J1641" s="3" t="n">
        <v>45</v>
      </c>
      <c r="K1641" s="3" t="n">
        <v>7465.31</v>
      </c>
      <c r="L1641" s="3" t="n">
        <v>335938.95</v>
      </c>
      <c r="M1641" s="3" t="n">
        <v>0.1482</v>
      </c>
      <c r="N1641" s="3" t="n">
        <v>49786.15</v>
      </c>
      <c r="O1641" s="3" t="n">
        <v>286152.8</v>
      </c>
      <c r="P1641" s="3" t="n">
        <v>194844.59</v>
      </c>
      <c r="Q1641" s="3" t="n">
        <v>91308.21</v>
      </c>
      <c r="R1641" s="3" t="n">
        <v>0.3191</v>
      </c>
      <c r="S1641" s="3" t="n">
        <v>0.1468</v>
      </c>
      <c r="T1641" s="3" t="n">
        <v>0.0014</v>
      </c>
    </row>
    <row r="1642" customFormat="false" ht="15" hidden="false" customHeight="true" outlineLevel="0" collapsed="false">
      <c r="A1642" s="3" t="s">
        <v>2562</v>
      </c>
      <c r="B1642" s="3" t="s">
        <v>21</v>
      </c>
      <c r="C1642" s="3" t="s">
        <v>22</v>
      </c>
      <c r="D1642" s="3" t="s">
        <v>61</v>
      </c>
      <c r="E1642" s="3" t="s">
        <v>33</v>
      </c>
      <c r="F1642" s="3" t="s">
        <v>62</v>
      </c>
      <c r="G1642" s="3" t="s">
        <v>104</v>
      </c>
      <c r="H1642" s="3" t="s">
        <v>77</v>
      </c>
      <c r="I1642" s="3" t="s">
        <v>78</v>
      </c>
      <c r="J1642" s="3" t="n">
        <v>36</v>
      </c>
      <c r="K1642" s="3" t="n">
        <v>2538.73</v>
      </c>
      <c r="L1642" s="3" t="n">
        <v>91394.28</v>
      </c>
      <c r="M1642" s="3" t="n">
        <v>0.0878</v>
      </c>
      <c r="N1642" s="3" t="n">
        <v>8024.42</v>
      </c>
      <c r="O1642" s="3" t="n">
        <v>83369.86</v>
      </c>
      <c r="P1642" s="3" t="n">
        <v>62148.11</v>
      </c>
      <c r="Q1642" s="3" t="n">
        <v>21221.75</v>
      </c>
      <c r="R1642" s="3" t="n">
        <v>0.2545</v>
      </c>
      <c r="S1642" s="3" t="n">
        <v>0.0771</v>
      </c>
      <c r="T1642" s="3" t="n">
        <v>0.0107</v>
      </c>
    </row>
    <row r="1643" customFormat="false" ht="15" hidden="false" customHeight="true" outlineLevel="0" collapsed="false">
      <c r="A1643" s="3" t="s">
        <v>2563</v>
      </c>
      <c r="B1643" s="3" t="s">
        <v>1411</v>
      </c>
      <c r="C1643" s="3" t="s">
        <v>120</v>
      </c>
      <c r="D1643" s="3" t="s">
        <v>23</v>
      </c>
      <c r="E1643" s="3" t="s">
        <v>24</v>
      </c>
      <c r="F1643" s="3" t="s">
        <v>25</v>
      </c>
      <c r="G1643" s="3" t="s">
        <v>63</v>
      </c>
      <c r="H1643" s="3" t="s">
        <v>42</v>
      </c>
      <c r="I1643" s="3" t="s">
        <v>134</v>
      </c>
      <c r="J1643" s="3" t="n">
        <v>16</v>
      </c>
      <c r="K1643" s="3" t="n">
        <v>2274.9</v>
      </c>
      <c r="L1643" s="3" t="n">
        <v>36398.4</v>
      </c>
      <c r="M1643" s="3" t="n">
        <v>0.1854</v>
      </c>
      <c r="N1643" s="3" t="n">
        <v>6748.26</v>
      </c>
      <c r="O1643" s="3" t="n">
        <v>29650.14</v>
      </c>
      <c r="P1643" s="3" t="n">
        <v>20019.12</v>
      </c>
      <c r="Q1643" s="3" t="n">
        <v>9631.02</v>
      </c>
      <c r="R1643" s="3" t="n">
        <v>0.3248</v>
      </c>
      <c r="S1643" s="3" t="n">
        <v>0.1496</v>
      </c>
      <c r="T1643" s="3" t="n">
        <v>0.0358</v>
      </c>
    </row>
    <row r="1644" customFormat="false" ht="15" hidden="false" customHeight="true" outlineLevel="0" collapsed="false">
      <c r="A1644" s="3" t="s">
        <v>2564</v>
      </c>
      <c r="B1644" s="3" t="s">
        <v>1340</v>
      </c>
      <c r="C1644" s="3" t="s">
        <v>46</v>
      </c>
      <c r="D1644" s="3" t="s">
        <v>61</v>
      </c>
      <c r="E1644" s="3" t="s">
        <v>33</v>
      </c>
      <c r="F1644" s="3" t="s">
        <v>62</v>
      </c>
      <c r="G1644" s="3" t="s">
        <v>71</v>
      </c>
      <c r="H1644" s="3" t="s">
        <v>56</v>
      </c>
      <c r="I1644" s="3" t="s">
        <v>188</v>
      </c>
      <c r="J1644" s="3" t="n">
        <v>43</v>
      </c>
      <c r="K1644" s="3" t="n">
        <v>5144.27</v>
      </c>
      <c r="L1644" s="3" t="n">
        <v>221203.61</v>
      </c>
      <c r="M1644" s="3" t="n">
        <v>0.0798</v>
      </c>
      <c r="N1644" s="3" t="n">
        <v>17652.05</v>
      </c>
      <c r="O1644" s="3" t="n">
        <v>203551.56</v>
      </c>
      <c r="P1644" s="3" t="n">
        <v>132722.17</v>
      </c>
      <c r="Q1644" s="3" t="n">
        <v>70829.39</v>
      </c>
      <c r="R1644" s="3" t="n">
        <v>0.348</v>
      </c>
      <c r="S1644" s="3" t="n">
        <v>0.0772</v>
      </c>
      <c r="T1644" s="3" t="n">
        <v>0.0026</v>
      </c>
    </row>
    <row r="1645" customFormat="false" ht="15" hidden="false" customHeight="true" outlineLevel="0" collapsed="false">
      <c r="A1645" s="3" t="s">
        <v>2565</v>
      </c>
      <c r="B1645" s="3" t="s">
        <v>530</v>
      </c>
      <c r="C1645" s="3" t="s">
        <v>113</v>
      </c>
      <c r="D1645" s="3" t="s">
        <v>83</v>
      </c>
      <c r="E1645" s="3" t="s">
        <v>48</v>
      </c>
      <c r="F1645" s="3" t="s">
        <v>62</v>
      </c>
      <c r="G1645" s="3" t="s">
        <v>55</v>
      </c>
      <c r="H1645" s="3" t="s">
        <v>27</v>
      </c>
      <c r="I1645" s="3" t="s">
        <v>117</v>
      </c>
      <c r="J1645" s="3" t="n">
        <v>36</v>
      </c>
      <c r="K1645" s="3" t="n">
        <v>21224.18</v>
      </c>
      <c r="L1645" s="3" t="n">
        <v>764070.48</v>
      </c>
      <c r="M1645" s="3" t="n">
        <v>0.032</v>
      </c>
      <c r="N1645" s="3" t="n">
        <v>24450.26</v>
      </c>
      <c r="O1645" s="3" t="n">
        <v>739620.22</v>
      </c>
      <c r="P1645" s="3" t="n">
        <v>473723.7</v>
      </c>
      <c r="Q1645" s="3" t="n">
        <v>265896.52</v>
      </c>
      <c r="R1645" s="3" t="n">
        <v>0.3595</v>
      </c>
      <c r="S1645" s="3" t="n">
        <v>0.027</v>
      </c>
      <c r="T1645" s="3" t="n">
        <v>0.005</v>
      </c>
    </row>
    <row r="1646" customFormat="false" ht="15" hidden="false" customHeight="true" outlineLevel="0" collapsed="false">
      <c r="A1646" s="3" t="s">
        <v>2566</v>
      </c>
      <c r="B1646" s="3" t="s">
        <v>1444</v>
      </c>
      <c r="C1646" s="3" t="s">
        <v>68</v>
      </c>
      <c r="D1646" s="3" t="s">
        <v>75</v>
      </c>
      <c r="E1646" s="3" t="s">
        <v>39</v>
      </c>
      <c r="F1646" s="3" t="s">
        <v>25</v>
      </c>
      <c r="G1646" s="3" t="s">
        <v>49</v>
      </c>
      <c r="H1646" s="3" t="s">
        <v>77</v>
      </c>
      <c r="I1646" s="3" t="s">
        <v>131</v>
      </c>
      <c r="J1646" s="3" t="n">
        <v>1</v>
      </c>
      <c r="K1646" s="3" t="n">
        <v>1487.97</v>
      </c>
      <c r="L1646" s="3" t="n">
        <v>1487.97</v>
      </c>
      <c r="M1646" s="3" t="n">
        <v>0.1289</v>
      </c>
      <c r="N1646" s="3" t="n">
        <v>191.8</v>
      </c>
      <c r="O1646" s="3" t="n">
        <v>1296.17</v>
      </c>
      <c r="P1646" s="3" t="n">
        <v>1011.82</v>
      </c>
      <c r="Q1646" s="3" t="n">
        <v>284.35</v>
      </c>
      <c r="R1646" s="3" t="n">
        <v>0.2194</v>
      </c>
      <c r="S1646" s="3" t="n">
        <v>0.1035</v>
      </c>
      <c r="T1646" s="3" t="n">
        <v>0.0254</v>
      </c>
    </row>
    <row r="1647" customFormat="false" ht="15" hidden="false" customHeight="true" outlineLevel="0" collapsed="false">
      <c r="A1647" s="3" t="s">
        <v>2567</v>
      </c>
      <c r="B1647" s="3" t="s">
        <v>198</v>
      </c>
      <c r="C1647" s="3" t="s">
        <v>113</v>
      </c>
      <c r="D1647" s="3" t="s">
        <v>75</v>
      </c>
      <c r="E1647" s="3" t="s">
        <v>39</v>
      </c>
      <c r="F1647" s="3" t="s">
        <v>25</v>
      </c>
      <c r="G1647" s="3" t="s">
        <v>84</v>
      </c>
      <c r="H1647" s="3" t="s">
        <v>42</v>
      </c>
      <c r="I1647" s="3" t="s">
        <v>43</v>
      </c>
      <c r="J1647" s="3" t="n">
        <v>13</v>
      </c>
      <c r="K1647" s="3" t="n">
        <v>3304.29</v>
      </c>
      <c r="L1647" s="3" t="n">
        <v>42955.77</v>
      </c>
      <c r="M1647" s="3" t="n">
        <v>0.1415</v>
      </c>
      <c r="N1647" s="3" t="n">
        <v>6078.24</v>
      </c>
      <c r="O1647" s="3" t="n">
        <v>36877.53</v>
      </c>
      <c r="P1647" s="3" t="n">
        <v>23625.67</v>
      </c>
      <c r="Q1647" s="3" t="n">
        <v>13251.86</v>
      </c>
      <c r="R1647" s="3" t="n">
        <v>0.3593</v>
      </c>
      <c r="S1647" s="3" t="n">
        <v>0.1174</v>
      </c>
      <c r="T1647" s="3" t="n">
        <v>0.0241</v>
      </c>
    </row>
    <row r="1648" customFormat="false" ht="15" hidden="false" customHeight="true" outlineLevel="0" collapsed="false">
      <c r="A1648" s="3" t="s">
        <v>2568</v>
      </c>
      <c r="B1648" s="3" t="s">
        <v>2569</v>
      </c>
      <c r="C1648" s="3" t="s">
        <v>68</v>
      </c>
      <c r="D1648" s="3" t="s">
        <v>47</v>
      </c>
      <c r="E1648" s="3" t="s">
        <v>48</v>
      </c>
      <c r="F1648" s="3" t="s">
        <v>25</v>
      </c>
      <c r="G1648" s="3" t="s">
        <v>71</v>
      </c>
      <c r="H1648" s="3" t="s">
        <v>56</v>
      </c>
      <c r="I1648" s="3" t="s">
        <v>121</v>
      </c>
      <c r="J1648" s="3" t="n">
        <v>5</v>
      </c>
      <c r="K1648" s="3" t="n">
        <v>10662.45</v>
      </c>
      <c r="L1648" s="3" t="n">
        <v>53312.25</v>
      </c>
      <c r="M1648" s="3" t="n">
        <v>0.0875</v>
      </c>
      <c r="N1648" s="3" t="n">
        <v>4664.82</v>
      </c>
      <c r="O1648" s="3" t="n">
        <v>48647.43</v>
      </c>
      <c r="P1648" s="3" t="n">
        <v>31987.35</v>
      </c>
      <c r="Q1648" s="3" t="n">
        <v>16660.08</v>
      </c>
      <c r="R1648" s="3" t="n">
        <v>0.3425</v>
      </c>
      <c r="S1648" s="3" t="n">
        <v>0.0738</v>
      </c>
      <c r="T1648" s="3" t="n">
        <v>0.0137</v>
      </c>
    </row>
    <row r="1649" customFormat="false" ht="15" hidden="false" customHeight="true" outlineLevel="0" collapsed="false">
      <c r="A1649" s="3" t="s">
        <v>2570</v>
      </c>
      <c r="B1649" s="3" t="s">
        <v>1338</v>
      </c>
      <c r="C1649" s="3" t="s">
        <v>46</v>
      </c>
      <c r="D1649" s="3" t="s">
        <v>61</v>
      </c>
      <c r="E1649" s="3" t="s">
        <v>33</v>
      </c>
      <c r="F1649" s="3" t="s">
        <v>62</v>
      </c>
      <c r="G1649" s="3" t="s">
        <v>116</v>
      </c>
      <c r="H1649" s="3" t="s">
        <v>77</v>
      </c>
      <c r="I1649" s="3" t="s">
        <v>85</v>
      </c>
      <c r="J1649" s="3" t="n">
        <v>16</v>
      </c>
      <c r="K1649" s="3" t="n">
        <v>3917.56</v>
      </c>
      <c r="L1649" s="3" t="n">
        <v>62680.96</v>
      </c>
      <c r="M1649" s="3" t="n">
        <v>0.0979</v>
      </c>
      <c r="N1649" s="3" t="n">
        <v>6136.47</v>
      </c>
      <c r="O1649" s="3" t="n">
        <v>56544.49</v>
      </c>
      <c r="P1649" s="3" t="n">
        <v>42623.05</v>
      </c>
      <c r="Q1649" s="3" t="n">
        <v>13921.44</v>
      </c>
      <c r="R1649" s="3" t="n">
        <v>0.2462</v>
      </c>
      <c r="S1649" s="3" t="n">
        <v>0.1058</v>
      </c>
      <c r="T1649" s="3" t="n">
        <v>-0.0079</v>
      </c>
    </row>
    <row r="1650" customFormat="false" ht="15" hidden="false" customHeight="true" outlineLevel="0" collapsed="false">
      <c r="A1650" s="3" t="s">
        <v>2571</v>
      </c>
      <c r="B1650" s="3" t="s">
        <v>168</v>
      </c>
      <c r="C1650" s="3" t="s">
        <v>156</v>
      </c>
      <c r="D1650" s="3" t="s">
        <v>54</v>
      </c>
      <c r="E1650" s="3" t="s">
        <v>24</v>
      </c>
      <c r="F1650" s="3" t="s">
        <v>40</v>
      </c>
      <c r="G1650" s="3" t="s">
        <v>63</v>
      </c>
      <c r="H1650" s="3" t="s">
        <v>77</v>
      </c>
      <c r="I1650" s="3" t="s">
        <v>131</v>
      </c>
      <c r="J1650" s="3" t="n">
        <v>21</v>
      </c>
      <c r="K1650" s="3" t="n">
        <v>1405.96</v>
      </c>
      <c r="L1650" s="3" t="n">
        <v>29525.16</v>
      </c>
      <c r="M1650" s="3" t="n">
        <v>0.069</v>
      </c>
      <c r="N1650" s="3" t="n">
        <v>2037.24</v>
      </c>
      <c r="O1650" s="3" t="n">
        <v>27487.92</v>
      </c>
      <c r="P1650" s="3" t="n">
        <v>20077.11</v>
      </c>
      <c r="Q1650" s="3" t="n">
        <v>7410.81</v>
      </c>
      <c r="R1650" s="3" t="n">
        <v>0.2696</v>
      </c>
      <c r="S1650" s="3" t="n">
        <v>0.0592</v>
      </c>
      <c r="T1650" s="3" t="n">
        <v>0.0098</v>
      </c>
    </row>
    <row r="1651" customFormat="false" ht="15" hidden="false" customHeight="true" outlineLevel="0" collapsed="false">
      <c r="A1651" s="3" t="s">
        <v>2572</v>
      </c>
      <c r="B1651" s="3" t="s">
        <v>1808</v>
      </c>
      <c r="C1651" s="3" t="s">
        <v>120</v>
      </c>
      <c r="D1651" s="3" t="s">
        <v>97</v>
      </c>
      <c r="E1651" s="3" t="s">
        <v>48</v>
      </c>
      <c r="F1651" s="3" t="s">
        <v>40</v>
      </c>
      <c r="G1651" s="3" t="s">
        <v>84</v>
      </c>
      <c r="H1651" s="3" t="s">
        <v>42</v>
      </c>
      <c r="I1651" s="3" t="s">
        <v>134</v>
      </c>
      <c r="J1651" s="3" t="n">
        <v>15</v>
      </c>
      <c r="K1651" s="3" t="n">
        <v>2622.53</v>
      </c>
      <c r="L1651" s="3" t="n">
        <v>39337.95</v>
      </c>
      <c r="M1651" s="3" t="n">
        <v>0.0674</v>
      </c>
      <c r="N1651" s="3" t="n">
        <v>2651.38</v>
      </c>
      <c r="O1651" s="3" t="n">
        <v>36686.57</v>
      </c>
      <c r="P1651" s="3" t="n">
        <v>21635.87</v>
      </c>
      <c r="Q1651" s="3" t="n">
        <v>15050.7</v>
      </c>
      <c r="R1651" s="3" t="n">
        <v>0.4103</v>
      </c>
      <c r="S1651" s="3" t="n">
        <v>0.0636</v>
      </c>
      <c r="T1651" s="3" t="n">
        <v>0.0038</v>
      </c>
    </row>
    <row r="1652" customFormat="false" ht="15" hidden="false" customHeight="true" outlineLevel="0" collapsed="false">
      <c r="A1652" s="3" t="s">
        <v>2573</v>
      </c>
      <c r="B1652" s="3" t="s">
        <v>428</v>
      </c>
      <c r="C1652" s="3" t="s">
        <v>68</v>
      </c>
      <c r="D1652" s="3" t="s">
        <v>107</v>
      </c>
      <c r="E1652" s="3" t="s">
        <v>33</v>
      </c>
      <c r="F1652" s="3" t="s">
        <v>70</v>
      </c>
      <c r="G1652" s="3" t="s">
        <v>71</v>
      </c>
      <c r="H1652" s="3" t="s">
        <v>77</v>
      </c>
      <c r="I1652" s="3" t="s">
        <v>85</v>
      </c>
      <c r="J1652" s="3" t="n">
        <v>39</v>
      </c>
      <c r="K1652" s="3" t="n">
        <v>1954.97</v>
      </c>
      <c r="L1652" s="3" t="n">
        <v>76243.83</v>
      </c>
      <c r="M1652" s="3" t="n">
        <v>0.0561</v>
      </c>
      <c r="N1652" s="3" t="n">
        <v>4277.28</v>
      </c>
      <c r="O1652" s="3" t="n">
        <v>71966.55</v>
      </c>
      <c r="P1652" s="3" t="n">
        <v>51845.8</v>
      </c>
      <c r="Q1652" s="3" t="n">
        <v>20120.75</v>
      </c>
      <c r="R1652" s="3" t="n">
        <v>0.2796</v>
      </c>
      <c r="S1652" s="3" t="n">
        <v>0.0579</v>
      </c>
      <c r="T1652" s="3" t="n">
        <v>-0.0018</v>
      </c>
    </row>
    <row r="1653" customFormat="false" ht="15" hidden="false" customHeight="true" outlineLevel="0" collapsed="false">
      <c r="A1653" s="3" t="s">
        <v>2574</v>
      </c>
      <c r="B1653" s="3" t="s">
        <v>896</v>
      </c>
      <c r="C1653" s="3" t="s">
        <v>156</v>
      </c>
      <c r="D1653" s="3" t="s">
        <v>47</v>
      </c>
      <c r="E1653" s="3" t="s">
        <v>48</v>
      </c>
      <c r="F1653" s="3" t="s">
        <v>25</v>
      </c>
      <c r="G1653" s="3" t="s">
        <v>63</v>
      </c>
      <c r="H1653" s="3" t="s">
        <v>56</v>
      </c>
      <c r="I1653" s="3" t="s">
        <v>188</v>
      </c>
      <c r="J1653" s="3" t="n">
        <v>6</v>
      </c>
      <c r="K1653" s="3" t="n">
        <v>3061.34</v>
      </c>
      <c r="L1653" s="3" t="n">
        <v>18368.04</v>
      </c>
      <c r="M1653" s="3" t="n">
        <v>0.1674</v>
      </c>
      <c r="N1653" s="3" t="n">
        <v>3074.81</v>
      </c>
      <c r="O1653" s="3" t="n">
        <v>15293.23</v>
      </c>
      <c r="P1653" s="3" t="n">
        <v>11020.82</v>
      </c>
      <c r="Q1653" s="3" t="n">
        <v>4272.41</v>
      </c>
      <c r="R1653" s="3" t="n">
        <v>0.2794</v>
      </c>
      <c r="S1653" s="3" t="n">
        <v>0.1525</v>
      </c>
      <c r="T1653" s="3" t="n">
        <v>0.0149</v>
      </c>
    </row>
    <row r="1654" customFormat="false" ht="15" hidden="false" customHeight="true" outlineLevel="0" collapsed="false">
      <c r="A1654" s="3" t="s">
        <v>2575</v>
      </c>
      <c r="B1654" s="3" t="s">
        <v>1424</v>
      </c>
      <c r="C1654" s="3" t="s">
        <v>37</v>
      </c>
      <c r="D1654" s="3" t="s">
        <v>47</v>
      </c>
      <c r="E1654" s="3" t="s">
        <v>48</v>
      </c>
      <c r="F1654" s="3" t="s">
        <v>25</v>
      </c>
      <c r="G1654" s="3" t="s">
        <v>71</v>
      </c>
      <c r="H1654" s="3" t="s">
        <v>42</v>
      </c>
      <c r="I1654" s="3" t="s">
        <v>134</v>
      </c>
      <c r="J1654" s="3" t="n">
        <v>22</v>
      </c>
      <c r="K1654" s="3" t="n">
        <v>3323.84</v>
      </c>
      <c r="L1654" s="3" t="n">
        <v>73124.48</v>
      </c>
      <c r="M1654" s="3" t="n">
        <v>0.128</v>
      </c>
      <c r="N1654" s="3" t="n">
        <v>9359.93</v>
      </c>
      <c r="O1654" s="3" t="n">
        <v>63764.55</v>
      </c>
      <c r="P1654" s="3" t="n">
        <v>40218.46</v>
      </c>
      <c r="Q1654" s="3" t="n">
        <v>23546.09</v>
      </c>
      <c r="R1654" s="3" t="n">
        <v>0.3693</v>
      </c>
      <c r="S1654" s="3" t="n">
        <v>0.1377</v>
      </c>
      <c r="T1654" s="3" t="n">
        <v>-0.0097</v>
      </c>
    </row>
    <row r="1655" customFormat="false" ht="15" hidden="false" customHeight="true" outlineLevel="0" collapsed="false">
      <c r="A1655" s="3" t="s">
        <v>2576</v>
      </c>
      <c r="B1655" s="3" t="s">
        <v>506</v>
      </c>
      <c r="C1655" s="3" t="s">
        <v>60</v>
      </c>
      <c r="D1655" s="3" t="s">
        <v>83</v>
      </c>
      <c r="E1655" s="3" t="s">
        <v>48</v>
      </c>
      <c r="F1655" s="3" t="s">
        <v>62</v>
      </c>
      <c r="G1655" s="3" t="s">
        <v>63</v>
      </c>
      <c r="H1655" s="3" t="s">
        <v>56</v>
      </c>
      <c r="I1655" s="3" t="s">
        <v>57</v>
      </c>
      <c r="J1655" s="3" t="n">
        <v>45</v>
      </c>
      <c r="K1655" s="3" t="n">
        <v>14118.68</v>
      </c>
      <c r="L1655" s="3" t="n">
        <v>635340.6</v>
      </c>
      <c r="M1655" s="3" t="n">
        <v>0.0595</v>
      </c>
      <c r="N1655" s="3" t="n">
        <v>37802.77</v>
      </c>
      <c r="O1655" s="3" t="n">
        <v>597537.83</v>
      </c>
      <c r="P1655" s="3" t="n">
        <v>381204.36</v>
      </c>
      <c r="Q1655" s="3" t="n">
        <v>216333.47</v>
      </c>
      <c r="R1655" s="3" t="n">
        <v>0.362</v>
      </c>
      <c r="S1655" s="3" t="n">
        <v>0.056</v>
      </c>
      <c r="T1655" s="3" t="n">
        <v>0.0035</v>
      </c>
    </row>
    <row r="1656" customFormat="false" ht="15" hidden="false" customHeight="true" outlineLevel="0" collapsed="false">
      <c r="A1656" s="3" t="s">
        <v>2577</v>
      </c>
      <c r="B1656" s="3" t="s">
        <v>2146</v>
      </c>
      <c r="C1656" s="3" t="s">
        <v>126</v>
      </c>
      <c r="D1656" s="3" t="s">
        <v>61</v>
      </c>
      <c r="E1656" s="3" t="s">
        <v>33</v>
      </c>
      <c r="F1656" s="3" t="s">
        <v>62</v>
      </c>
      <c r="G1656" s="3" t="s">
        <v>100</v>
      </c>
      <c r="H1656" s="3" t="s">
        <v>77</v>
      </c>
      <c r="I1656" s="3" t="s">
        <v>78</v>
      </c>
      <c r="J1656" s="3" t="n">
        <v>41</v>
      </c>
      <c r="K1656" s="3" t="n">
        <v>3681.59</v>
      </c>
      <c r="L1656" s="3" t="n">
        <v>150945.19</v>
      </c>
      <c r="M1656" s="3" t="n">
        <v>0.0331</v>
      </c>
      <c r="N1656" s="3" t="n">
        <v>4996.29</v>
      </c>
      <c r="O1656" s="3" t="n">
        <v>145948.9</v>
      </c>
      <c r="P1656" s="3" t="n">
        <v>102642.73</v>
      </c>
      <c r="Q1656" s="3" t="n">
        <v>43306.17</v>
      </c>
      <c r="R1656" s="3" t="n">
        <v>0.2967</v>
      </c>
      <c r="S1656" s="3" t="n">
        <v>0.0358</v>
      </c>
      <c r="T1656" s="3" t="n">
        <v>-0.0027</v>
      </c>
    </row>
    <row r="1657" customFormat="false" ht="15" hidden="false" customHeight="true" outlineLevel="0" collapsed="false">
      <c r="A1657" s="3" t="s">
        <v>2578</v>
      </c>
      <c r="B1657" s="3" t="s">
        <v>1704</v>
      </c>
      <c r="C1657" s="3" t="s">
        <v>37</v>
      </c>
      <c r="D1657" s="3" t="s">
        <v>54</v>
      </c>
      <c r="E1657" s="3" t="s">
        <v>24</v>
      </c>
      <c r="F1657" s="3" t="s">
        <v>40</v>
      </c>
      <c r="G1657" s="3" t="s">
        <v>34</v>
      </c>
      <c r="H1657" s="3" t="s">
        <v>56</v>
      </c>
      <c r="I1657" s="3" t="s">
        <v>121</v>
      </c>
      <c r="J1657" s="3" t="n">
        <v>21</v>
      </c>
      <c r="K1657" s="3" t="n">
        <v>7008.83</v>
      </c>
      <c r="L1657" s="3" t="n">
        <v>147185.43</v>
      </c>
      <c r="M1657" s="3" t="n">
        <v>0.118</v>
      </c>
      <c r="N1657" s="3" t="n">
        <v>17367.88</v>
      </c>
      <c r="O1657" s="3" t="n">
        <v>129817.55</v>
      </c>
      <c r="P1657" s="3" t="n">
        <v>88311.26</v>
      </c>
      <c r="Q1657" s="3" t="n">
        <v>41506.29</v>
      </c>
      <c r="R1657" s="3" t="n">
        <v>0.3197</v>
      </c>
      <c r="S1657" s="3" t="n">
        <v>0.1288</v>
      </c>
      <c r="T1657" s="3" t="n">
        <v>-0.0108</v>
      </c>
    </row>
    <row r="1658" customFormat="false" ht="15" hidden="false" customHeight="true" outlineLevel="0" collapsed="false">
      <c r="A1658" s="3" t="s">
        <v>2579</v>
      </c>
      <c r="B1658" s="3" t="s">
        <v>1738</v>
      </c>
      <c r="C1658" s="3" t="s">
        <v>113</v>
      </c>
      <c r="D1658" s="3" t="s">
        <v>69</v>
      </c>
      <c r="E1658" s="3" t="s">
        <v>39</v>
      </c>
      <c r="F1658" s="3" t="s">
        <v>70</v>
      </c>
      <c r="G1658" s="3" t="s">
        <v>71</v>
      </c>
      <c r="H1658" s="3" t="s">
        <v>42</v>
      </c>
      <c r="I1658" s="3" t="s">
        <v>72</v>
      </c>
      <c r="J1658" s="3" t="n">
        <v>17</v>
      </c>
      <c r="K1658" s="3" t="n">
        <v>1940.39</v>
      </c>
      <c r="L1658" s="3" t="n">
        <v>32986.63</v>
      </c>
      <c r="M1658" s="3" t="n">
        <v>0.0599</v>
      </c>
      <c r="N1658" s="3" t="n">
        <v>1975.9</v>
      </c>
      <c r="O1658" s="3" t="n">
        <v>31010.73</v>
      </c>
      <c r="P1658" s="3" t="n">
        <v>18142.65</v>
      </c>
      <c r="Q1658" s="3" t="n">
        <v>12868.08</v>
      </c>
      <c r="R1658" s="3" t="n">
        <v>0.415</v>
      </c>
      <c r="S1658" s="3" t="n">
        <v>0.0617</v>
      </c>
      <c r="T1658" s="3" t="n">
        <v>-0.0018</v>
      </c>
    </row>
    <row r="1659" customFormat="false" ht="15" hidden="false" customHeight="true" outlineLevel="0" collapsed="false">
      <c r="A1659" s="3" t="s">
        <v>2580</v>
      </c>
      <c r="B1659" s="3" t="s">
        <v>2581</v>
      </c>
      <c r="C1659" s="3" t="s">
        <v>93</v>
      </c>
      <c r="D1659" s="3" t="s">
        <v>75</v>
      </c>
      <c r="E1659" s="3" t="s">
        <v>39</v>
      </c>
      <c r="F1659" s="3" t="s">
        <v>25</v>
      </c>
      <c r="G1659" s="3" t="s">
        <v>71</v>
      </c>
      <c r="H1659" s="3" t="s">
        <v>42</v>
      </c>
      <c r="I1659" s="3" t="s">
        <v>43</v>
      </c>
      <c r="J1659" s="3" t="n">
        <v>46</v>
      </c>
      <c r="K1659" s="3" t="n">
        <v>2900.93</v>
      </c>
      <c r="L1659" s="3" t="n">
        <v>133442.78</v>
      </c>
      <c r="M1659" s="3" t="n">
        <v>0.1228</v>
      </c>
      <c r="N1659" s="3" t="n">
        <v>16386.77</v>
      </c>
      <c r="O1659" s="3" t="n">
        <v>117056.01</v>
      </c>
      <c r="P1659" s="3" t="n">
        <v>73393.53</v>
      </c>
      <c r="Q1659" s="3" t="n">
        <v>43662.48</v>
      </c>
      <c r="R1659" s="3" t="n">
        <v>0.373</v>
      </c>
      <c r="S1659" s="3" t="n">
        <v>0.1197</v>
      </c>
      <c r="T1659" s="3" t="n">
        <v>0.0031</v>
      </c>
    </row>
    <row r="1660" customFormat="false" ht="15" hidden="false" customHeight="true" outlineLevel="0" collapsed="false">
      <c r="A1660" s="3" t="s">
        <v>2582</v>
      </c>
      <c r="B1660" s="3" t="s">
        <v>2398</v>
      </c>
      <c r="C1660" s="3" t="s">
        <v>113</v>
      </c>
      <c r="D1660" s="3" t="s">
        <v>75</v>
      </c>
      <c r="E1660" s="3" t="s">
        <v>39</v>
      </c>
      <c r="F1660" s="3" t="s">
        <v>25</v>
      </c>
      <c r="G1660" s="3" t="s">
        <v>71</v>
      </c>
      <c r="H1660" s="3" t="s">
        <v>27</v>
      </c>
      <c r="I1660" s="3" t="s">
        <v>50</v>
      </c>
      <c r="J1660" s="3" t="n">
        <v>39</v>
      </c>
      <c r="K1660" s="3" t="n">
        <v>15904.87</v>
      </c>
      <c r="L1660" s="3" t="n">
        <v>620289.93</v>
      </c>
      <c r="M1660" s="3" t="n">
        <v>0.1759</v>
      </c>
      <c r="N1660" s="3" t="n">
        <v>109109</v>
      </c>
      <c r="O1660" s="3" t="n">
        <v>511180.93</v>
      </c>
      <c r="P1660" s="3" t="n">
        <v>384579.76</v>
      </c>
      <c r="Q1660" s="3" t="n">
        <v>126601.17</v>
      </c>
      <c r="R1660" s="3" t="n">
        <v>0.2477</v>
      </c>
      <c r="S1660" s="3" t="n">
        <v>0.1876</v>
      </c>
      <c r="T1660" s="3" t="n">
        <v>-0.0117</v>
      </c>
    </row>
    <row r="1661" customFormat="false" ht="15" hidden="false" customHeight="true" outlineLevel="0" collapsed="false">
      <c r="A1661" s="3" t="s">
        <v>2583</v>
      </c>
      <c r="B1661" s="3" t="s">
        <v>2584</v>
      </c>
      <c r="C1661" s="3" t="s">
        <v>93</v>
      </c>
      <c r="D1661" s="3" t="s">
        <v>83</v>
      </c>
      <c r="E1661" s="3" t="s">
        <v>48</v>
      </c>
      <c r="F1661" s="3" t="s">
        <v>62</v>
      </c>
      <c r="G1661" s="3" t="s">
        <v>63</v>
      </c>
      <c r="H1661" s="3" t="s">
        <v>42</v>
      </c>
      <c r="I1661" s="3" t="s">
        <v>43</v>
      </c>
      <c r="J1661" s="3" t="n">
        <v>18</v>
      </c>
      <c r="K1661" s="3" t="n">
        <v>2195.2</v>
      </c>
      <c r="L1661" s="3" t="n">
        <v>39513.6</v>
      </c>
      <c r="M1661" s="3" t="n">
        <v>0.0766</v>
      </c>
      <c r="N1661" s="3" t="n">
        <v>3026.74</v>
      </c>
      <c r="O1661" s="3" t="n">
        <v>36486.86</v>
      </c>
      <c r="P1661" s="3" t="n">
        <v>21732.48</v>
      </c>
      <c r="Q1661" s="3" t="n">
        <v>14754.38</v>
      </c>
      <c r="R1661" s="3" t="n">
        <v>0.4044</v>
      </c>
      <c r="S1661" s="3" t="n">
        <v>0.0737</v>
      </c>
      <c r="T1661" s="3" t="n">
        <v>0.0029</v>
      </c>
    </row>
    <row r="1662" customFormat="false" ht="15" hidden="false" customHeight="true" outlineLevel="0" collapsed="false">
      <c r="A1662" s="3" t="s">
        <v>2585</v>
      </c>
      <c r="B1662" s="3" t="s">
        <v>2586</v>
      </c>
      <c r="C1662" s="3" t="s">
        <v>113</v>
      </c>
      <c r="D1662" s="3" t="s">
        <v>75</v>
      </c>
      <c r="E1662" s="3" t="s">
        <v>39</v>
      </c>
      <c r="F1662" s="3" t="s">
        <v>25</v>
      </c>
      <c r="G1662" s="3" t="s">
        <v>116</v>
      </c>
      <c r="H1662" s="3" t="s">
        <v>42</v>
      </c>
      <c r="I1662" s="3" t="s">
        <v>72</v>
      </c>
      <c r="J1662" s="3" t="n">
        <v>25</v>
      </c>
      <c r="K1662" s="3" t="n">
        <v>1383.87</v>
      </c>
      <c r="L1662" s="3" t="n">
        <v>34596.75</v>
      </c>
      <c r="M1662" s="3" t="n">
        <v>0.2095</v>
      </c>
      <c r="N1662" s="3" t="n">
        <v>7248.02</v>
      </c>
      <c r="O1662" s="3" t="n">
        <v>27348.73</v>
      </c>
      <c r="P1662" s="3" t="n">
        <v>19028.21</v>
      </c>
      <c r="Q1662" s="3" t="n">
        <v>8320.52</v>
      </c>
      <c r="R1662" s="3" t="n">
        <v>0.3042</v>
      </c>
      <c r="S1662" s="3" t="n">
        <v>0.2186</v>
      </c>
      <c r="T1662" s="3" t="n">
        <v>-0.0091</v>
      </c>
    </row>
    <row r="1663" customFormat="false" ht="15" hidden="false" customHeight="true" outlineLevel="0" collapsed="false">
      <c r="A1663" s="3" t="s">
        <v>2587</v>
      </c>
      <c r="B1663" s="3" t="s">
        <v>2230</v>
      </c>
      <c r="C1663" s="3" t="s">
        <v>31</v>
      </c>
      <c r="D1663" s="3" t="s">
        <v>54</v>
      </c>
      <c r="E1663" s="3" t="s">
        <v>24</v>
      </c>
      <c r="F1663" s="3" t="s">
        <v>40</v>
      </c>
      <c r="G1663" s="3" t="s">
        <v>100</v>
      </c>
      <c r="H1663" s="3" t="s">
        <v>77</v>
      </c>
      <c r="I1663" s="3" t="s">
        <v>78</v>
      </c>
      <c r="J1663" s="3" t="n">
        <v>18</v>
      </c>
      <c r="K1663" s="3" t="n">
        <v>4001.2</v>
      </c>
      <c r="L1663" s="3" t="n">
        <v>72021.6</v>
      </c>
      <c r="M1663" s="3" t="n">
        <v>0.0556</v>
      </c>
      <c r="N1663" s="3" t="n">
        <v>4004.4</v>
      </c>
      <c r="O1663" s="3" t="n">
        <v>68017.2</v>
      </c>
      <c r="P1663" s="3" t="n">
        <v>48974.69</v>
      </c>
      <c r="Q1663" s="3" t="n">
        <v>19042.51</v>
      </c>
      <c r="R1663" s="3" t="n">
        <v>0.28</v>
      </c>
      <c r="S1663" s="3" t="n">
        <v>0.0478</v>
      </c>
      <c r="T1663" s="3" t="n">
        <v>0.0078</v>
      </c>
    </row>
    <row r="1664" customFormat="false" ht="15" hidden="false" customHeight="true" outlineLevel="0" collapsed="false">
      <c r="A1664" s="3" t="s">
        <v>2588</v>
      </c>
      <c r="B1664" s="3" t="s">
        <v>1524</v>
      </c>
      <c r="C1664" s="3" t="s">
        <v>60</v>
      </c>
      <c r="D1664" s="3" t="s">
        <v>32</v>
      </c>
      <c r="E1664" s="3" t="s">
        <v>33</v>
      </c>
      <c r="F1664" s="3" t="s">
        <v>25</v>
      </c>
      <c r="G1664" s="3" t="s">
        <v>84</v>
      </c>
      <c r="H1664" s="3" t="s">
        <v>77</v>
      </c>
      <c r="I1664" s="3" t="s">
        <v>85</v>
      </c>
      <c r="J1664" s="3" t="n">
        <v>31</v>
      </c>
      <c r="K1664" s="3" t="n">
        <v>4057.3</v>
      </c>
      <c r="L1664" s="3" t="n">
        <v>125776.3</v>
      </c>
      <c r="M1664" s="3" t="n">
        <v>0.1169</v>
      </c>
      <c r="N1664" s="3" t="n">
        <v>14703.25</v>
      </c>
      <c r="O1664" s="3" t="n">
        <v>111073.05</v>
      </c>
      <c r="P1664" s="3" t="n">
        <v>85527.88</v>
      </c>
      <c r="Q1664" s="3" t="n">
        <v>25545.17</v>
      </c>
      <c r="R1664" s="3" t="n">
        <v>0.23</v>
      </c>
      <c r="S1664" s="3" t="n">
        <v>0.0999</v>
      </c>
      <c r="T1664" s="3" t="n">
        <v>0.017</v>
      </c>
    </row>
    <row r="1665" customFormat="false" ht="15" hidden="false" customHeight="true" outlineLevel="0" collapsed="false">
      <c r="A1665" s="3" t="s">
        <v>2589</v>
      </c>
      <c r="B1665" s="3" t="s">
        <v>1463</v>
      </c>
      <c r="C1665" s="3" t="s">
        <v>120</v>
      </c>
      <c r="D1665" s="3" t="s">
        <v>103</v>
      </c>
      <c r="E1665" s="3" t="s">
        <v>24</v>
      </c>
      <c r="F1665" s="3" t="s">
        <v>62</v>
      </c>
      <c r="G1665" s="3" t="s">
        <v>116</v>
      </c>
      <c r="H1665" s="3" t="s">
        <v>27</v>
      </c>
      <c r="I1665" s="3" t="s">
        <v>28</v>
      </c>
      <c r="J1665" s="3" t="n">
        <v>36</v>
      </c>
      <c r="K1665" s="3" t="n">
        <v>16875.39</v>
      </c>
      <c r="L1665" s="3" t="n">
        <v>607514.04</v>
      </c>
      <c r="M1665" s="3" t="n">
        <v>0.0819</v>
      </c>
      <c r="N1665" s="3" t="n">
        <v>49755.4</v>
      </c>
      <c r="O1665" s="3" t="n">
        <v>557758.64</v>
      </c>
      <c r="P1665" s="3" t="n">
        <v>376658.7</v>
      </c>
      <c r="Q1665" s="3" t="n">
        <v>181099.94</v>
      </c>
      <c r="R1665" s="3" t="n">
        <v>0.3247</v>
      </c>
      <c r="S1665" s="3" t="n">
        <v>0.0882</v>
      </c>
      <c r="T1665" s="3" t="n">
        <v>-0.0063</v>
      </c>
    </row>
    <row r="1666" customFormat="false" ht="15" hidden="false" customHeight="true" outlineLevel="0" collapsed="false">
      <c r="A1666" s="3" t="s">
        <v>2590</v>
      </c>
      <c r="B1666" s="3" t="s">
        <v>328</v>
      </c>
      <c r="C1666" s="3" t="s">
        <v>126</v>
      </c>
      <c r="D1666" s="3" t="s">
        <v>23</v>
      </c>
      <c r="E1666" s="3" t="s">
        <v>24</v>
      </c>
      <c r="F1666" s="3" t="s">
        <v>25</v>
      </c>
      <c r="G1666" s="3" t="s">
        <v>104</v>
      </c>
      <c r="H1666" s="3" t="s">
        <v>77</v>
      </c>
      <c r="I1666" s="3" t="s">
        <v>131</v>
      </c>
      <c r="J1666" s="3" t="n">
        <v>37</v>
      </c>
      <c r="K1666" s="3" t="n">
        <v>5478.3</v>
      </c>
      <c r="L1666" s="3" t="n">
        <v>202697.1</v>
      </c>
      <c r="M1666" s="3" t="n">
        <v>0.141</v>
      </c>
      <c r="N1666" s="3" t="n">
        <v>28580.29</v>
      </c>
      <c r="O1666" s="3" t="n">
        <v>174116.81</v>
      </c>
      <c r="P1666" s="3" t="n">
        <v>137834.03</v>
      </c>
      <c r="Q1666" s="3" t="n">
        <v>36282.78</v>
      </c>
      <c r="R1666" s="3" t="n">
        <v>0.2084</v>
      </c>
      <c r="S1666" s="3" t="n">
        <v>0.1248</v>
      </c>
      <c r="T1666" s="3" t="n">
        <v>0.0162</v>
      </c>
    </row>
    <row r="1667" customFormat="false" ht="15" hidden="false" customHeight="true" outlineLevel="0" collapsed="false">
      <c r="A1667" s="3" t="s">
        <v>2591</v>
      </c>
      <c r="B1667" s="3" t="s">
        <v>1150</v>
      </c>
      <c r="C1667" s="3" t="s">
        <v>37</v>
      </c>
      <c r="D1667" s="3" t="s">
        <v>69</v>
      </c>
      <c r="E1667" s="3" t="s">
        <v>39</v>
      </c>
      <c r="F1667" s="3" t="s">
        <v>70</v>
      </c>
      <c r="G1667" s="3" t="s">
        <v>55</v>
      </c>
      <c r="H1667" s="3" t="s">
        <v>64</v>
      </c>
      <c r="I1667" s="3" t="s">
        <v>108</v>
      </c>
      <c r="J1667" s="3" t="n">
        <v>49</v>
      </c>
      <c r="K1667" s="3" t="n">
        <v>8432.95</v>
      </c>
      <c r="L1667" s="3" t="n">
        <v>413214.55</v>
      </c>
      <c r="M1667" s="3" t="n">
        <v>0.0433</v>
      </c>
      <c r="N1667" s="3" t="n">
        <v>17892.19</v>
      </c>
      <c r="O1667" s="3" t="n">
        <v>395322.36</v>
      </c>
      <c r="P1667" s="3" t="n">
        <v>239664.44</v>
      </c>
      <c r="Q1667" s="3" t="n">
        <v>155657.92</v>
      </c>
      <c r="R1667" s="3" t="n">
        <v>0.3937</v>
      </c>
      <c r="S1667" s="3" t="n">
        <v>0.0456</v>
      </c>
      <c r="T1667" s="3" t="n">
        <v>-0.0023</v>
      </c>
    </row>
    <row r="1668" customFormat="false" ht="15" hidden="false" customHeight="true" outlineLevel="0" collapsed="false">
      <c r="A1668" s="3" t="s">
        <v>2592</v>
      </c>
      <c r="B1668" s="3" t="s">
        <v>2593</v>
      </c>
      <c r="C1668" s="3" t="s">
        <v>46</v>
      </c>
      <c r="D1668" s="3" t="s">
        <v>75</v>
      </c>
      <c r="E1668" s="3" t="s">
        <v>39</v>
      </c>
      <c r="F1668" s="3" t="s">
        <v>25</v>
      </c>
      <c r="G1668" s="3" t="s">
        <v>55</v>
      </c>
      <c r="H1668" s="3" t="s">
        <v>27</v>
      </c>
      <c r="I1668" s="3" t="s">
        <v>94</v>
      </c>
      <c r="J1668" s="3" t="n">
        <v>15</v>
      </c>
      <c r="K1668" s="3" t="n">
        <v>18134.97</v>
      </c>
      <c r="L1668" s="3" t="n">
        <v>272024.55</v>
      </c>
      <c r="M1668" s="3" t="n">
        <v>0.1559</v>
      </c>
      <c r="N1668" s="3" t="n">
        <v>42408.63</v>
      </c>
      <c r="O1668" s="3" t="n">
        <v>229615.92</v>
      </c>
      <c r="P1668" s="3" t="n">
        <v>168655.22</v>
      </c>
      <c r="Q1668" s="3" t="n">
        <v>60960.7</v>
      </c>
      <c r="R1668" s="3" t="n">
        <v>0.2655</v>
      </c>
      <c r="S1668" s="3" t="n">
        <v>0.1342</v>
      </c>
      <c r="T1668" s="3" t="n">
        <v>0.0217</v>
      </c>
    </row>
    <row r="1669" customFormat="false" ht="15" hidden="false" customHeight="true" outlineLevel="0" collapsed="false">
      <c r="A1669" s="3" t="s">
        <v>2594</v>
      </c>
      <c r="B1669" s="3" t="s">
        <v>102</v>
      </c>
      <c r="C1669" s="3" t="s">
        <v>93</v>
      </c>
      <c r="D1669" s="3" t="s">
        <v>38</v>
      </c>
      <c r="E1669" s="3" t="s">
        <v>39</v>
      </c>
      <c r="F1669" s="3" t="s">
        <v>40</v>
      </c>
      <c r="G1669" s="3" t="s">
        <v>116</v>
      </c>
      <c r="H1669" s="3" t="s">
        <v>27</v>
      </c>
      <c r="I1669" s="3" t="s">
        <v>117</v>
      </c>
      <c r="J1669" s="3" t="n">
        <v>40</v>
      </c>
      <c r="K1669" s="3" t="n">
        <v>26279.69</v>
      </c>
      <c r="L1669" s="3" t="n">
        <v>1051187.6</v>
      </c>
      <c r="M1669" s="3" t="n">
        <v>0.1097</v>
      </c>
      <c r="N1669" s="3" t="n">
        <v>115315.28</v>
      </c>
      <c r="O1669" s="3" t="n">
        <v>935872.32</v>
      </c>
      <c r="P1669" s="3" t="n">
        <v>651736.31</v>
      </c>
      <c r="Q1669" s="3" t="n">
        <v>284136.01</v>
      </c>
      <c r="R1669" s="3" t="n">
        <v>0.3036</v>
      </c>
      <c r="S1669" s="3" t="n">
        <v>0.0919</v>
      </c>
      <c r="T1669" s="3" t="n">
        <v>0.0178</v>
      </c>
    </row>
    <row r="1670" customFormat="false" ht="15" hidden="false" customHeight="true" outlineLevel="0" collapsed="false">
      <c r="A1670" s="3" t="s">
        <v>2595</v>
      </c>
      <c r="B1670" s="3" t="s">
        <v>475</v>
      </c>
      <c r="C1670" s="3" t="s">
        <v>126</v>
      </c>
      <c r="D1670" s="3" t="s">
        <v>69</v>
      </c>
      <c r="E1670" s="3" t="s">
        <v>39</v>
      </c>
      <c r="F1670" s="3" t="s">
        <v>70</v>
      </c>
      <c r="G1670" s="3" t="s">
        <v>34</v>
      </c>
      <c r="H1670" s="3" t="s">
        <v>77</v>
      </c>
      <c r="I1670" s="3" t="s">
        <v>131</v>
      </c>
      <c r="J1670" s="3" t="n">
        <v>11</v>
      </c>
      <c r="K1670" s="3" t="n">
        <v>3405.63</v>
      </c>
      <c r="L1670" s="3" t="n">
        <v>37461.93</v>
      </c>
      <c r="M1670" s="3" t="n">
        <v>0.1313</v>
      </c>
      <c r="N1670" s="3" t="n">
        <v>4918.75</v>
      </c>
      <c r="O1670" s="3" t="n">
        <v>32543.18</v>
      </c>
      <c r="P1670" s="3" t="n">
        <v>25474.11</v>
      </c>
      <c r="Q1670" s="3" t="n">
        <v>7069.07</v>
      </c>
      <c r="R1670" s="3" t="n">
        <v>0.2172</v>
      </c>
      <c r="S1670" s="3" t="n">
        <v>0.1093</v>
      </c>
      <c r="T1670" s="3" t="n">
        <v>0.022</v>
      </c>
    </row>
    <row r="1671" customFormat="false" ht="15" hidden="false" customHeight="true" outlineLevel="0" collapsed="false">
      <c r="A1671" s="3" t="s">
        <v>2596</v>
      </c>
      <c r="B1671" s="3" t="s">
        <v>509</v>
      </c>
      <c r="C1671" s="3" t="s">
        <v>53</v>
      </c>
      <c r="D1671" s="3" t="s">
        <v>69</v>
      </c>
      <c r="E1671" s="3" t="s">
        <v>39</v>
      </c>
      <c r="F1671" s="3" t="s">
        <v>70</v>
      </c>
      <c r="G1671" s="3" t="s">
        <v>55</v>
      </c>
      <c r="H1671" s="3" t="s">
        <v>42</v>
      </c>
      <c r="I1671" s="3" t="s">
        <v>134</v>
      </c>
      <c r="J1671" s="3" t="n">
        <v>25</v>
      </c>
      <c r="K1671" s="3" t="n">
        <v>3513.13</v>
      </c>
      <c r="L1671" s="3" t="n">
        <v>87828.25</v>
      </c>
      <c r="M1671" s="3" t="n">
        <v>0.0523</v>
      </c>
      <c r="N1671" s="3" t="n">
        <v>4593.42</v>
      </c>
      <c r="O1671" s="3" t="n">
        <v>83234.83</v>
      </c>
      <c r="P1671" s="3" t="n">
        <v>48305.54</v>
      </c>
      <c r="Q1671" s="3" t="n">
        <v>34929.29</v>
      </c>
      <c r="R1671" s="3" t="n">
        <v>0.4196</v>
      </c>
      <c r="S1671" s="3" t="n">
        <v>0.0434</v>
      </c>
      <c r="T1671" s="3" t="n">
        <v>0.0089</v>
      </c>
    </row>
    <row r="1672" customFormat="false" ht="15" hidden="false" customHeight="true" outlineLevel="0" collapsed="false">
      <c r="A1672" s="3" t="s">
        <v>2597</v>
      </c>
      <c r="B1672" s="3" t="s">
        <v>486</v>
      </c>
      <c r="C1672" s="3" t="s">
        <v>46</v>
      </c>
      <c r="D1672" s="3" t="s">
        <v>61</v>
      </c>
      <c r="E1672" s="3" t="s">
        <v>33</v>
      </c>
      <c r="F1672" s="3" t="s">
        <v>62</v>
      </c>
      <c r="G1672" s="3" t="s">
        <v>84</v>
      </c>
      <c r="H1672" s="3" t="s">
        <v>77</v>
      </c>
      <c r="I1672" s="3" t="s">
        <v>85</v>
      </c>
      <c r="J1672" s="3" t="n">
        <v>48</v>
      </c>
      <c r="K1672" s="3" t="n">
        <v>3324.13</v>
      </c>
      <c r="L1672" s="3" t="n">
        <v>159558.24</v>
      </c>
      <c r="M1672" s="3" t="n">
        <v>0.0744</v>
      </c>
      <c r="N1672" s="3" t="n">
        <v>11871.13</v>
      </c>
      <c r="O1672" s="3" t="n">
        <v>147687.11</v>
      </c>
      <c r="P1672" s="3" t="n">
        <v>108499.6</v>
      </c>
      <c r="Q1672" s="3" t="n">
        <v>39187.51</v>
      </c>
      <c r="R1672" s="3" t="n">
        <v>0.2653</v>
      </c>
      <c r="S1672" s="3" t="n">
        <v>0.06</v>
      </c>
      <c r="T1672" s="3" t="n">
        <v>0.0144</v>
      </c>
    </row>
    <row r="1673" customFormat="false" ht="15" hidden="false" customHeight="true" outlineLevel="0" collapsed="false">
      <c r="A1673" s="3" t="s">
        <v>2598</v>
      </c>
      <c r="B1673" s="3" t="s">
        <v>262</v>
      </c>
      <c r="C1673" s="3" t="s">
        <v>156</v>
      </c>
      <c r="D1673" s="3" t="s">
        <v>54</v>
      </c>
      <c r="E1673" s="3" t="s">
        <v>24</v>
      </c>
      <c r="F1673" s="3" t="s">
        <v>40</v>
      </c>
      <c r="G1673" s="3" t="s">
        <v>63</v>
      </c>
      <c r="H1673" s="3" t="s">
        <v>64</v>
      </c>
      <c r="I1673" s="3" t="s">
        <v>90</v>
      </c>
      <c r="J1673" s="3" t="n">
        <v>34</v>
      </c>
      <c r="K1673" s="3" t="n">
        <v>10106.29</v>
      </c>
      <c r="L1673" s="3" t="n">
        <v>343613.86</v>
      </c>
      <c r="M1673" s="3" t="n">
        <v>0.0471</v>
      </c>
      <c r="N1673" s="3" t="n">
        <v>16184.21</v>
      </c>
      <c r="O1673" s="3" t="n">
        <v>327429.65</v>
      </c>
      <c r="P1673" s="3" t="n">
        <v>199296.04</v>
      </c>
      <c r="Q1673" s="3" t="n">
        <v>128133.61</v>
      </c>
      <c r="R1673" s="3" t="n">
        <v>0.3913</v>
      </c>
      <c r="S1673" s="3" t="n">
        <v>0.0447</v>
      </c>
      <c r="T1673" s="3" t="n">
        <v>0.0024</v>
      </c>
    </row>
    <row r="1674" customFormat="false" ht="15" hidden="false" customHeight="true" outlineLevel="0" collapsed="false">
      <c r="A1674" s="3" t="s">
        <v>2599</v>
      </c>
      <c r="B1674" s="3" t="s">
        <v>1870</v>
      </c>
      <c r="C1674" s="3" t="s">
        <v>46</v>
      </c>
      <c r="D1674" s="3" t="s">
        <v>38</v>
      </c>
      <c r="E1674" s="3" t="s">
        <v>39</v>
      </c>
      <c r="F1674" s="3" t="s">
        <v>40</v>
      </c>
      <c r="G1674" s="3" t="s">
        <v>55</v>
      </c>
      <c r="H1674" s="3" t="s">
        <v>77</v>
      </c>
      <c r="I1674" s="3" t="s">
        <v>78</v>
      </c>
      <c r="J1674" s="3" t="n">
        <v>10</v>
      </c>
      <c r="K1674" s="3" t="n">
        <v>2186.25</v>
      </c>
      <c r="L1674" s="3" t="n">
        <v>21862.5</v>
      </c>
      <c r="M1674" s="3" t="n">
        <v>0.0652</v>
      </c>
      <c r="N1674" s="3" t="n">
        <v>1425.43</v>
      </c>
      <c r="O1674" s="3" t="n">
        <v>20437.07</v>
      </c>
      <c r="P1674" s="3" t="n">
        <v>14866.5</v>
      </c>
      <c r="Q1674" s="3" t="n">
        <v>5570.57</v>
      </c>
      <c r="R1674" s="3" t="n">
        <v>0.2726</v>
      </c>
      <c r="S1674" s="3" t="n">
        <v>0.0554</v>
      </c>
      <c r="T1674" s="3" t="n">
        <v>0.0098</v>
      </c>
    </row>
    <row r="1675" customFormat="false" ht="15" hidden="false" customHeight="true" outlineLevel="0" collapsed="false">
      <c r="A1675" s="3" t="s">
        <v>2600</v>
      </c>
      <c r="B1675" s="3" t="s">
        <v>1119</v>
      </c>
      <c r="C1675" s="3" t="s">
        <v>53</v>
      </c>
      <c r="D1675" s="3" t="s">
        <v>47</v>
      </c>
      <c r="E1675" s="3" t="s">
        <v>48</v>
      </c>
      <c r="F1675" s="3" t="s">
        <v>25</v>
      </c>
      <c r="G1675" s="3" t="s">
        <v>49</v>
      </c>
      <c r="H1675" s="3" t="s">
        <v>64</v>
      </c>
      <c r="I1675" s="3" t="s">
        <v>108</v>
      </c>
      <c r="J1675" s="3" t="n">
        <v>18</v>
      </c>
      <c r="K1675" s="3" t="n">
        <v>6179.39</v>
      </c>
      <c r="L1675" s="3" t="n">
        <v>111229.02</v>
      </c>
      <c r="M1675" s="3" t="n">
        <v>0.1057</v>
      </c>
      <c r="N1675" s="3" t="n">
        <v>11756.91</v>
      </c>
      <c r="O1675" s="3" t="n">
        <v>99472.11</v>
      </c>
      <c r="P1675" s="3" t="n">
        <v>64512.83</v>
      </c>
      <c r="Q1675" s="3" t="n">
        <v>34959.28</v>
      </c>
      <c r="R1675" s="3" t="n">
        <v>0.3514</v>
      </c>
      <c r="S1675" s="3" t="n">
        <v>0.0966</v>
      </c>
      <c r="T1675" s="3" t="n">
        <v>0.0091</v>
      </c>
    </row>
    <row r="1676" customFormat="false" ht="15" hidden="false" customHeight="true" outlineLevel="0" collapsed="false">
      <c r="A1676" s="3" t="s">
        <v>2601</v>
      </c>
      <c r="B1676" s="3" t="s">
        <v>1253</v>
      </c>
      <c r="C1676" s="3" t="s">
        <v>46</v>
      </c>
      <c r="D1676" s="3" t="s">
        <v>83</v>
      </c>
      <c r="E1676" s="3" t="s">
        <v>48</v>
      </c>
      <c r="F1676" s="3" t="s">
        <v>62</v>
      </c>
      <c r="G1676" s="3" t="s">
        <v>34</v>
      </c>
      <c r="H1676" s="3" t="s">
        <v>27</v>
      </c>
      <c r="I1676" s="3" t="s">
        <v>94</v>
      </c>
      <c r="J1676" s="3" t="n">
        <v>5</v>
      </c>
      <c r="K1676" s="3" t="n">
        <v>28655.27</v>
      </c>
      <c r="L1676" s="3" t="n">
        <v>143276.35</v>
      </c>
      <c r="M1676" s="3" t="n">
        <v>0.1046</v>
      </c>
      <c r="N1676" s="3" t="n">
        <v>14986.71</v>
      </c>
      <c r="O1676" s="3" t="n">
        <v>128289.64</v>
      </c>
      <c r="P1676" s="3" t="n">
        <v>88831.34</v>
      </c>
      <c r="Q1676" s="3" t="n">
        <v>39458.3</v>
      </c>
      <c r="R1676" s="3" t="n">
        <v>0.3076</v>
      </c>
      <c r="S1676" s="3" t="n">
        <v>0.1016</v>
      </c>
      <c r="T1676" s="3" t="n">
        <v>0.003</v>
      </c>
    </row>
    <row r="1677" customFormat="false" ht="15" hidden="false" customHeight="true" outlineLevel="0" collapsed="false">
      <c r="A1677" s="3" t="s">
        <v>2602</v>
      </c>
      <c r="B1677" s="3" t="s">
        <v>1088</v>
      </c>
      <c r="C1677" s="3" t="s">
        <v>120</v>
      </c>
      <c r="D1677" s="3" t="s">
        <v>103</v>
      </c>
      <c r="E1677" s="3" t="s">
        <v>24</v>
      </c>
      <c r="F1677" s="3" t="s">
        <v>62</v>
      </c>
      <c r="G1677" s="3" t="s">
        <v>84</v>
      </c>
      <c r="H1677" s="3" t="s">
        <v>77</v>
      </c>
      <c r="I1677" s="3" t="s">
        <v>131</v>
      </c>
      <c r="J1677" s="3" t="n">
        <v>29</v>
      </c>
      <c r="K1677" s="3" t="n">
        <v>3294.2</v>
      </c>
      <c r="L1677" s="3" t="n">
        <v>95531.8</v>
      </c>
      <c r="M1677" s="3" t="n">
        <v>0.0755</v>
      </c>
      <c r="N1677" s="3" t="n">
        <v>7212.65</v>
      </c>
      <c r="O1677" s="3" t="n">
        <v>88319.15</v>
      </c>
      <c r="P1677" s="3" t="n">
        <v>64961.62</v>
      </c>
      <c r="Q1677" s="3" t="n">
        <v>23357.53</v>
      </c>
      <c r="R1677" s="3" t="n">
        <v>0.2645</v>
      </c>
      <c r="S1677" s="3" t="n">
        <v>0.0703</v>
      </c>
      <c r="T1677" s="3" t="n">
        <v>0.0052</v>
      </c>
    </row>
    <row r="1678" customFormat="false" ht="15" hidden="false" customHeight="true" outlineLevel="0" collapsed="false">
      <c r="A1678" s="3" t="s">
        <v>2603</v>
      </c>
      <c r="B1678" s="3" t="s">
        <v>818</v>
      </c>
      <c r="C1678" s="3" t="s">
        <v>60</v>
      </c>
      <c r="D1678" s="3" t="s">
        <v>103</v>
      </c>
      <c r="E1678" s="3" t="s">
        <v>24</v>
      </c>
      <c r="F1678" s="3" t="s">
        <v>62</v>
      </c>
      <c r="G1678" s="3" t="s">
        <v>49</v>
      </c>
      <c r="H1678" s="3" t="s">
        <v>64</v>
      </c>
      <c r="I1678" s="3" t="s">
        <v>145</v>
      </c>
      <c r="J1678" s="3" t="n">
        <v>17</v>
      </c>
      <c r="K1678" s="3" t="n">
        <v>11204.39</v>
      </c>
      <c r="L1678" s="3" t="n">
        <v>190474.63</v>
      </c>
      <c r="M1678" s="3" t="n">
        <v>0.0539</v>
      </c>
      <c r="N1678" s="3" t="n">
        <v>10266.58</v>
      </c>
      <c r="O1678" s="3" t="n">
        <v>180208.05</v>
      </c>
      <c r="P1678" s="3" t="n">
        <v>110475.29</v>
      </c>
      <c r="Q1678" s="3" t="n">
        <v>69732.76</v>
      </c>
      <c r="R1678" s="3" t="n">
        <v>0.387</v>
      </c>
      <c r="S1678" s="3" t="n">
        <v>0.0467</v>
      </c>
      <c r="T1678" s="3" t="n">
        <v>0.0072</v>
      </c>
    </row>
    <row r="1679" customFormat="false" ht="15" hidden="false" customHeight="true" outlineLevel="0" collapsed="false">
      <c r="A1679" s="3" t="s">
        <v>2604</v>
      </c>
      <c r="B1679" s="3" t="s">
        <v>1400</v>
      </c>
      <c r="C1679" s="3" t="s">
        <v>46</v>
      </c>
      <c r="D1679" s="3" t="s">
        <v>38</v>
      </c>
      <c r="E1679" s="3" t="s">
        <v>39</v>
      </c>
      <c r="F1679" s="3" t="s">
        <v>40</v>
      </c>
      <c r="G1679" s="3" t="s">
        <v>100</v>
      </c>
      <c r="H1679" s="3" t="s">
        <v>56</v>
      </c>
      <c r="I1679" s="3" t="s">
        <v>121</v>
      </c>
      <c r="J1679" s="3" t="n">
        <v>3</v>
      </c>
      <c r="K1679" s="3" t="n">
        <v>14962.27</v>
      </c>
      <c r="L1679" s="3" t="n">
        <v>44886.81</v>
      </c>
      <c r="M1679" s="3" t="n">
        <v>0.079</v>
      </c>
      <c r="N1679" s="3" t="n">
        <v>3546.06</v>
      </c>
      <c r="O1679" s="3" t="n">
        <v>41340.75</v>
      </c>
      <c r="P1679" s="3" t="n">
        <v>26932.09</v>
      </c>
      <c r="Q1679" s="3" t="n">
        <v>14408.66</v>
      </c>
      <c r="R1679" s="3" t="n">
        <v>0.3485</v>
      </c>
      <c r="S1679" s="3" t="n">
        <v>0.0643</v>
      </c>
      <c r="T1679" s="3" t="n">
        <v>0.0147</v>
      </c>
    </row>
    <row r="1680" customFormat="false" ht="15" hidden="false" customHeight="true" outlineLevel="0" collapsed="false">
      <c r="A1680" s="3" t="s">
        <v>2605</v>
      </c>
      <c r="B1680" s="3" t="s">
        <v>1771</v>
      </c>
      <c r="C1680" s="3" t="s">
        <v>53</v>
      </c>
      <c r="D1680" s="3" t="s">
        <v>69</v>
      </c>
      <c r="E1680" s="3" t="s">
        <v>39</v>
      </c>
      <c r="F1680" s="3" t="s">
        <v>70</v>
      </c>
      <c r="G1680" s="3" t="s">
        <v>116</v>
      </c>
      <c r="H1680" s="3" t="s">
        <v>27</v>
      </c>
      <c r="I1680" s="3" t="s">
        <v>117</v>
      </c>
      <c r="J1680" s="3" t="n">
        <v>36</v>
      </c>
      <c r="K1680" s="3" t="n">
        <v>27694.4</v>
      </c>
      <c r="L1680" s="3" t="n">
        <v>996998.4</v>
      </c>
      <c r="M1680" s="3" t="n">
        <v>0.0557</v>
      </c>
      <c r="N1680" s="3" t="n">
        <v>55532.81</v>
      </c>
      <c r="O1680" s="3" t="n">
        <v>941465.59</v>
      </c>
      <c r="P1680" s="3" t="n">
        <v>618139.01</v>
      </c>
      <c r="Q1680" s="3" t="n">
        <v>323326.58</v>
      </c>
      <c r="R1680" s="3" t="n">
        <v>0.3434</v>
      </c>
      <c r="S1680" s="3" t="n">
        <v>0.0521</v>
      </c>
      <c r="T1680" s="3" t="n">
        <v>0.0036</v>
      </c>
    </row>
    <row r="1681" customFormat="false" ht="15" hidden="false" customHeight="true" outlineLevel="0" collapsed="false">
      <c r="A1681" s="3" t="s">
        <v>2606</v>
      </c>
      <c r="B1681" s="3" t="s">
        <v>1935</v>
      </c>
      <c r="C1681" s="3" t="s">
        <v>126</v>
      </c>
      <c r="D1681" s="3" t="s">
        <v>54</v>
      </c>
      <c r="E1681" s="3" t="s">
        <v>24</v>
      </c>
      <c r="F1681" s="3" t="s">
        <v>40</v>
      </c>
      <c r="G1681" s="3" t="s">
        <v>76</v>
      </c>
      <c r="H1681" s="3" t="s">
        <v>64</v>
      </c>
      <c r="I1681" s="3" t="s">
        <v>90</v>
      </c>
      <c r="J1681" s="3" t="n">
        <v>12</v>
      </c>
      <c r="K1681" s="3" t="n">
        <v>10839.08</v>
      </c>
      <c r="L1681" s="3" t="n">
        <v>130068.96</v>
      </c>
      <c r="M1681" s="3" t="n">
        <v>0.0415</v>
      </c>
      <c r="N1681" s="3" t="n">
        <v>5397.86</v>
      </c>
      <c r="O1681" s="3" t="n">
        <v>124671.1</v>
      </c>
      <c r="P1681" s="3" t="n">
        <v>75440</v>
      </c>
      <c r="Q1681" s="3" t="n">
        <v>49231.1</v>
      </c>
      <c r="R1681" s="3" t="n">
        <v>0.3949</v>
      </c>
      <c r="S1681" s="3" t="n">
        <v>0.0352</v>
      </c>
      <c r="T1681" s="3" t="n">
        <v>0.0063</v>
      </c>
    </row>
    <row r="1682" customFormat="false" ht="15" hidden="false" customHeight="true" outlineLevel="0" collapsed="false">
      <c r="A1682" s="3" t="s">
        <v>2607</v>
      </c>
      <c r="B1682" s="3" t="s">
        <v>1407</v>
      </c>
      <c r="C1682" s="3" t="s">
        <v>60</v>
      </c>
      <c r="D1682" s="3" t="s">
        <v>61</v>
      </c>
      <c r="E1682" s="3" t="s">
        <v>33</v>
      </c>
      <c r="F1682" s="3" t="s">
        <v>62</v>
      </c>
      <c r="G1682" s="3" t="s">
        <v>55</v>
      </c>
      <c r="H1682" s="3" t="s">
        <v>64</v>
      </c>
      <c r="I1682" s="3" t="s">
        <v>65</v>
      </c>
      <c r="J1682" s="3" t="n">
        <v>42</v>
      </c>
      <c r="K1682" s="3" t="n">
        <v>3469.32</v>
      </c>
      <c r="L1682" s="3" t="n">
        <v>145711.44</v>
      </c>
      <c r="M1682" s="3" t="n">
        <v>0.0692</v>
      </c>
      <c r="N1682" s="3" t="n">
        <v>10083.23</v>
      </c>
      <c r="O1682" s="3" t="n">
        <v>135628.21</v>
      </c>
      <c r="P1682" s="3" t="n">
        <v>84512.64</v>
      </c>
      <c r="Q1682" s="3" t="n">
        <v>51115.57</v>
      </c>
      <c r="R1682" s="3" t="n">
        <v>0.3769</v>
      </c>
      <c r="S1682" s="3" t="n">
        <v>0.0613</v>
      </c>
      <c r="T1682" s="3" t="n">
        <v>0.0079</v>
      </c>
    </row>
    <row r="1683" customFormat="false" ht="15" hidden="false" customHeight="true" outlineLevel="0" collapsed="false">
      <c r="A1683" s="3" t="s">
        <v>2608</v>
      </c>
      <c r="B1683" s="3" t="s">
        <v>1799</v>
      </c>
      <c r="C1683" s="3" t="s">
        <v>120</v>
      </c>
      <c r="D1683" s="3" t="s">
        <v>83</v>
      </c>
      <c r="E1683" s="3" t="s">
        <v>48</v>
      </c>
      <c r="F1683" s="3" t="s">
        <v>62</v>
      </c>
      <c r="G1683" s="3" t="s">
        <v>34</v>
      </c>
      <c r="H1683" s="3" t="s">
        <v>77</v>
      </c>
      <c r="I1683" s="3" t="s">
        <v>131</v>
      </c>
      <c r="J1683" s="3" t="n">
        <v>13</v>
      </c>
      <c r="K1683" s="3" t="n">
        <v>1282.47</v>
      </c>
      <c r="L1683" s="3" t="n">
        <v>16672.11</v>
      </c>
      <c r="M1683" s="3" t="n">
        <v>0.0832</v>
      </c>
      <c r="N1683" s="3" t="n">
        <v>1387.12</v>
      </c>
      <c r="O1683" s="3" t="n">
        <v>15284.99</v>
      </c>
      <c r="P1683" s="3" t="n">
        <v>11337.03</v>
      </c>
      <c r="Q1683" s="3" t="n">
        <v>3947.96</v>
      </c>
      <c r="R1683" s="3" t="n">
        <v>0.2583</v>
      </c>
      <c r="S1683" s="3" t="n">
        <v>0.0733</v>
      </c>
      <c r="T1683" s="3" t="n">
        <v>0.0099</v>
      </c>
    </row>
    <row r="1684" customFormat="false" ht="15" hidden="false" customHeight="true" outlineLevel="0" collapsed="false">
      <c r="A1684" s="3" t="s">
        <v>2609</v>
      </c>
      <c r="B1684" s="3" t="s">
        <v>2610</v>
      </c>
      <c r="C1684" s="3" t="s">
        <v>113</v>
      </c>
      <c r="D1684" s="3" t="s">
        <v>75</v>
      </c>
      <c r="E1684" s="3" t="s">
        <v>39</v>
      </c>
      <c r="F1684" s="3" t="s">
        <v>25</v>
      </c>
      <c r="G1684" s="3" t="s">
        <v>84</v>
      </c>
      <c r="H1684" s="3" t="s">
        <v>56</v>
      </c>
      <c r="I1684" s="3" t="s">
        <v>188</v>
      </c>
      <c r="J1684" s="3" t="n">
        <v>24</v>
      </c>
      <c r="K1684" s="3" t="n">
        <v>10855.02</v>
      </c>
      <c r="L1684" s="3" t="n">
        <v>260520.48</v>
      </c>
      <c r="M1684" s="3" t="n">
        <v>0.1184</v>
      </c>
      <c r="N1684" s="3" t="n">
        <v>30845.62</v>
      </c>
      <c r="O1684" s="3" t="n">
        <v>229674.86</v>
      </c>
      <c r="P1684" s="3" t="n">
        <v>156312.29</v>
      </c>
      <c r="Q1684" s="3" t="n">
        <v>73362.57</v>
      </c>
      <c r="R1684" s="3" t="n">
        <v>0.3194</v>
      </c>
      <c r="S1684" s="3" t="n">
        <v>0.1034</v>
      </c>
      <c r="T1684" s="3" t="n">
        <v>0.015</v>
      </c>
    </row>
    <row r="1685" customFormat="false" ht="15" hidden="false" customHeight="true" outlineLevel="0" collapsed="false">
      <c r="A1685" s="3" t="s">
        <v>2611</v>
      </c>
      <c r="B1685" s="3" t="s">
        <v>1795</v>
      </c>
      <c r="C1685" s="3" t="s">
        <v>46</v>
      </c>
      <c r="D1685" s="3" t="s">
        <v>32</v>
      </c>
      <c r="E1685" s="3" t="s">
        <v>33</v>
      </c>
      <c r="F1685" s="3" t="s">
        <v>25</v>
      </c>
      <c r="G1685" s="3" t="s">
        <v>76</v>
      </c>
      <c r="H1685" s="3" t="s">
        <v>42</v>
      </c>
      <c r="I1685" s="3" t="s">
        <v>43</v>
      </c>
      <c r="J1685" s="3" t="n">
        <v>2</v>
      </c>
      <c r="K1685" s="3" t="n">
        <v>2296.36</v>
      </c>
      <c r="L1685" s="3" t="n">
        <v>4592.72</v>
      </c>
      <c r="M1685" s="3" t="n">
        <v>0.1666</v>
      </c>
      <c r="N1685" s="3" t="n">
        <v>765.15</v>
      </c>
      <c r="O1685" s="3" t="n">
        <v>3827.57</v>
      </c>
      <c r="P1685" s="3" t="n">
        <v>2526</v>
      </c>
      <c r="Q1685" s="3" t="n">
        <v>1301.57</v>
      </c>
      <c r="R1685" s="3" t="n">
        <v>0.3401</v>
      </c>
      <c r="S1685" s="3" t="n">
        <v>0.1401</v>
      </c>
      <c r="T1685" s="3" t="n">
        <v>0.0265</v>
      </c>
    </row>
    <row r="1686" customFormat="false" ht="15" hidden="false" customHeight="true" outlineLevel="0" collapsed="false">
      <c r="A1686" s="3" t="s">
        <v>2612</v>
      </c>
      <c r="B1686" s="3" t="s">
        <v>2613</v>
      </c>
      <c r="C1686" s="3" t="s">
        <v>53</v>
      </c>
      <c r="D1686" s="3" t="s">
        <v>32</v>
      </c>
      <c r="E1686" s="3" t="s">
        <v>33</v>
      </c>
      <c r="F1686" s="3" t="s">
        <v>25</v>
      </c>
      <c r="G1686" s="3" t="s">
        <v>41</v>
      </c>
      <c r="H1686" s="3" t="s">
        <v>77</v>
      </c>
      <c r="I1686" s="3" t="s">
        <v>131</v>
      </c>
      <c r="J1686" s="3" t="n">
        <v>39</v>
      </c>
      <c r="K1686" s="3" t="n">
        <v>2361.24</v>
      </c>
      <c r="L1686" s="3" t="n">
        <v>92088.36</v>
      </c>
      <c r="M1686" s="3" t="n">
        <v>0.1888</v>
      </c>
      <c r="N1686" s="3" t="n">
        <v>17386.28</v>
      </c>
      <c r="O1686" s="3" t="n">
        <v>74702.08</v>
      </c>
      <c r="P1686" s="3" t="n">
        <v>62620.08</v>
      </c>
      <c r="Q1686" s="3" t="n">
        <v>12082</v>
      </c>
      <c r="R1686" s="3" t="n">
        <v>0.1617</v>
      </c>
      <c r="S1686" s="3" t="n">
        <v>0.1768</v>
      </c>
      <c r="T1686" s="3" t="n">
        <v>0.012</v>
      </c>
    </row>
    <row r="1687" customFormat="false" ht="15" hidden="false" customHeight="true" outlineLevel="0" collapsed="false">
      <c r="A1687" s="3" t="s">
        <v>2614</v>
      </c>
      <c r="B1687" s="3" t="s">
        <v>605</v>
      </c>
      <c r="C1687" s="3" t="s">
        <v>60</v>
      </c>
      <c r="D1687" s="3" t="s">
        <v>97</v>
      </c>
      <c r="E1687" s="3" t="s">
        <v>48</v>
      </c>
      <c r="F1687" s="3" t="s">
        <v>40</v>
      </c>
      <c r="G1687" s="3" t="s">
        <v>41</v>
      </c>
      <c r="H1687" s="3" t="s">
        <v>27</v>
      </c>
      <c r="I1687" s="3" t="s">
        <v>117</v>
      </c>
      <c r="J1687" s="3" t="n">
        <v>49</v>
      </c>
      <c r="K1687" s="3" t="n">
        <v>28484.36</v>
      </c>
      <c r="L1687" s="3" t="n">
        <v>1395733.64</v>
      </c>
      <c r="M1687" s="3" t="n">
        <v>0.0914</v>
      </c>
      <c r="N1687" s="3" t="n">
        <v>127570.05</v>
      </c>
      <c r="O1687" s="3" t="n">
        <v>1268163.59</v>
      </c>
      <c r="P1687" s="3" t="n">
        <v>865354.86</v>
      </c>
      <c r="Q1687" s="3" t="n">
        <v>402808.73</v>
      </c>
      <c r="R1687" s="3" t="n">
        <v>0.3176</v>
      </c>
      <c r="S1687" s="3" t="n">
        <v>0.0732</v>
      </c>
      <c r="T1687" s="3" t="n">
        <v>0.0182</v>
      </c>
    </row>
    <row r="1688" customFormat="false" ht="15" hidden="false" customHeight="true" outlineLevel="0" collapsed="false">
      <c r="A1688" s="3" t="s">
        <v>2615</v>
      </c>
      <c r="B1688" s="3" t="s">
        <v>1635</v>
      </c>
      <c r="C1688" s="3" t="s">
        <v>31</v>
      </c>
      <c r="D1688" s="3" t="s">
        <v>83</v>
      </c>
      <c r="E1688" s="3" t="s">
        <v>48</v>
      </c>
      <c r="F1688" s="3" t="s">
        <v>62</v>
      </c>
      <c r="G1688" s="3" t="s">
        <v>71</v>
      </c>
      <c r="H1688" s="3" t="s">
        <v>56</v>
      </c>
      <c r="I1688" s="3" t="s">
        <v>57</v>
      </c>
      <c r="J1688" s="3" t="n">
        <v>36</v>
      </c>
      <c r="K1688" s="3" t="n">
        <v>14068.14</v>
      </c>
      <c r="L1688" s="3" t="n">
        <v>506453.04</v>
      </c>
      <c r="M1688" s="3" t="n">
        <v>0.0571</v>
      </c>
      <c r="N1688" s="3" t="n">
        <v>28918.47</v>
      </c>
      <c r="O1688" s="3" t="n">
        <v>477534.57</v>
      </c>
      <c r="P1688" s="3" t="n">
        <v>303871.82</v>
      </c>
      <c r="Q1688" s="3" t="n">
        <v>173662.75</v>
      </c>
      <c r="R1688" s="3" t="n">
        <v>0.3637</v>
      </c>
      <c r="S1688" s="3" t="n">
        <v>0.0609</v>
      </c>
      <c r="T1688" s="3" t="n">
        <v>-0.0038</v>
      </c>
    </row>
    <row r="1689" customFormat="false" ht="15" hidden="false" customHeight="true" outlineLevel="0" collapsed="false">
      <c r="A1689" s="3" t="s">
        <v>2616</v>
      </c>
      <c r="B1689" s="3" t="s">
        <v>89</v>
      </c>
      <c r="C1689" s="3" t="s">
        <v>53</v>
      </c>
      <c r="D1689" s="3" t="s">
        <v>83</v>
      </c>
      <c r="E1689" s="3" t="s">
        <v>48</v>
      </c>
      <c r="F1689" s="3" t="s">
        <v>62</v>
      </c>
      <c r="G1689" s="3" t="s">
        <v>55</v>
      </c>
      <c r="H1689" s="3" t="s">
        <v>56</v>
      </c>
      <c r="I1689" s="3" t="s">
        <v>57</v>
      </c>
      <c r="J1689" s="3" t="n">
        <v>48</v>
      </c>
      <c r="K1689" s="3" t="n">
        <v>11239.55</v>
      </c>
      <c r="L1689" s="3" t="n">
        <v>539498.4</v>
      </c>
      <c r="M1689" s="3" t="n">
        <v>0.0503</v>
      </c>
      <c r="N1689" s="3" t="n">
        <v>27136.77</v>
      </c>
      <c r="O1689" s="3" t="n">
        <v>512361.63</v>
      </c>
      <c r="P1689" s="3" t="n">
        <v>323699.04</v>
      </c>
      <c r="Q1689" s="3" t="n">
        <v>188662.59</v>
      </c>
      <c r="R1689" s="3" t="n">
        <v>0.3682</v>
      </c>
      <c r="S1689" s="3" t="n">
        <v>0.0481</v>
      </c>
      <c r="T1689" s="3" t="n">
        <v>0.0022</v>
      </c>
    </row>
    <row r="1690" customFormat="false" ht="15" hidden="false" customHeight="true" outlineLevel="0" collapsed="false">
      <c r="A1690" s="3" t="s">
        <v>2617</v>
      </c>
      <c r="B1690" s="3" t="s">
        <v>2618</v>
      </c>
      <c r="C1690" s="3" t="s">
        <v>120</v>
      </c>
      <c r="D1690" s="3" t="s">
        <v>47</v>
      </c>
      <c r="E1690" s="3" t="s">
        <v>48</v>
      </c>
      <c r="F1690" s="3" t="s">
        <v>25</v>
      </c>
      <c r="G1690" s="3" t="s">
        <v>41</v>
      </c>
      <c r="H1690" s="3" t="s">
        <v>64</v>
      </c>
      <c r="I1690" s="3" t="s">
        <v>90</v>
      </c>
      <c r="J1690" s="3" t="n">
        <v>14</v>
      </c>
      <c r="K1690" s="3" t="n">
        <v>10243.55</v>
      </c>
      <c r="L1690" s="3" t="n">
        <v>143409.7</v>
      </c>
      <c r="M1690" s="3" t="n">
        <v>0.2069</v>
      </c>
      <c r="N1690" s="3" t="n">
        <v>29671.47</v>
      </c>
      <c r="O1690" s="3" t="n">
        <v>113738.23</v>
      </c>
      <c r="P1690" s="3" t="n">
        <v>83177.63</v>
      </c>
      <c r="Q1690" s="3" t="n">
        <v>30560.6</v>
      </c>
      <c r="R1690" s="3" t="n">
        <v>0.2687</v>
      </c>
      <c r="S1690" s="3" t="n">
        <v>0.2031</v>
      </c>
      <c r="T1690" s="3" t="n">
        <v>0.0038</v>
      </c>
    </row>
    <row r="1691" customFormat="false" ht="15" hidden="false" customHeight="true" outlineLevel="0" collapsed="false">
      <c r="A1691" s="3" t="s">
        <v>2619</v>
      </c>
      <c r="B1691" s="3" t="s">
        <v>356</v>
      </c>
      <c r="C1691" s="3" t="s">
        <v>113</v>
      </c>
      <c r="D1691" s="3" t="s">
        <v>47</v>
      </c>
      <c r="E1691" s="3" t="s">
        <v>48</v>
      </c>
      <c r="F1691" s="3" t="s">
        <v>25</v>
      </c>
      <c r="G1691" s="3" t="s">
        <v>76</v>
      </c>
      <c r="H1691" s="3" t="s">
        <v>77</v>
      </c>
      <c r="I1691" s="3" t="s">
        <v>78</v>
      </c>
      <c r="J1691" s="3" t="n">
        <v>21</v>
      </c>
      <c r="K1691" s="3" t="n">
        <v>2993.39</v>
      </c>
      <c r="L1691" s="3" t="n">
        <v>62861.19</v>
      </c>
      <c r="M1691" s="3" t="n">
        <v>0.1544</v>
      </c>
      <c r="N1691" s="3" t="n">
        <v>9705.77</v>
      </c>
      <c r="O1691" s="3" t="n">
        <v>53155.42</v>
      </c>
      <c r="P1691" s="3" t="n">
        <v>42745.61</v>
      </c>
      <c r="Q1691" s="3" t="n">
        <v>10409.81</v>
      </c>
      <c r="R1691" s="3" t="n">
        <v>0.1958</v>
      </c>
      <c r="S1691" s="3" t="n">
        <v>0.1437</v>
      </c>
      <c r="T1691" s="3" t="n">
        <v>0.0107</v>
      </c>
    </row>
    <row r="1692" customFormat="false" ht="15" hidden="false" customHeight="true" outlineLevel="0" collapsed="false">
      <c r="A1692" s="3" t="s">
        <v>2620</v>
      </c>
      <c r="B1692" s="3" t="s">
        <v>2621</v>
      </c>
      <c r="C1692" s="3" t="s">
        <v>46</v>
      </c>
      <c r="D1692" s="3" t="s">
        <v>23</v>
      </c>
      <c r="E1692" s="3" t="s">
        <v>24</v>
      </c>
      <c r="F1692" s="3" t="s">
        <v>25</v>
      </c>
      <c r="G1692" s="3" t="s">
        <v>55</v>
      </c>
      <c r="H1692" s="3" t="s">
        <v>64</v>
      </c>
      <c r="I1692" s="3" t="s">
        <v>90</v>
      </c>
      <c r="J1692" s="3" t="n">
        <v>48</v>
      </c>
      <c r="K1692" s="3" t="n">
        <v>10114.72</v>
      </c>
      <c r="L1692" s="3" t="n">
        <v>485506.56</v>
      </c>
      <c r="M1692" s="3" t="n">
        <v>0.1405</v>
      </c>
      <c r="N1692" s="3" t="n">
        <v>68213.67</v>
      </c>
      <c r="O1692" s="3" t="n">
        <v>417292.89</v>
      </c>
      <c r="P1692" s="3" t="n">
        <v>281593.8</v>
      </c>
      <c r="Q1692" s="3" t="n">
        <v>135699.09</v>
      </c>
      <c r="R1692" s="3" t="n">
        <v>0.3252</v>
      </c>
      <c r="S1692" s="3" t="n">
        <v>0.1227</v>
      </c>
      <c r="T1692" s="3" t="n">
        <v>0.0178</v>
      </c>
    </row>
    <row r="1693" customFormat="false" ht="15" hidden="false" customHeight="true" outlineLevel="0" collapsed="false">
      <c r="A1693" s="3" t="s">
        <v>2622</v>
      </c>
      <c r="B1693" s="3" t="s">
        <v>2526</v>
      </c>
      <c r="C1693" s="3" t="s">
        <v>113</v>
      </c>
      <c r="D1693" s="3" t="s">
        <v>32</v>
      </c>
      <c r="E1693" s="3" t="s">
        <v>33</v>
      </c>
      <c r="F1693" s="3" t="s">
        <v>25</v>
      </c>
      <c r="G1693" s="3" t="s">
        <v>76</v>
      </c>
      <c r="H1693" s="3" t="s">
        <v>64</v>
      </c>
      <c r="I1693" s="3" t="s">
        <v>90</v>
      </c>
      <c r="J1693" s="3" t="n">
        <v>30</v>
      </c>
      <c r="K1693" s="3" t="n">
        <v>7380.98</v>
      </c>
      <c r="L1693" s="3" t="n">
        <v>221429.4</v>
      </c>
      <c r="M1693" s="3" t="n">
        <v>0.1354</v>
      </c>
      <c r="N1693" s="3" t="n">
        <v>29981.54</v>
      </c>
      <c r="O1693" s="3" t="n">
        <v>191447.86</v>
      </c>
      <c r="P1693" s="3" t="n">
        <v>128429.05</v>
      </c>
      <c r="Q1693" s="3" t="n">
        <v>63018.81</v>
      </c>
      <c r="R1693" s="3" t="n">
        <v>0.3292</v>
      </c>
      <c r="S1693" s="3" t="n">
        <v>0.1271</v>
      </c>
      <c r="T1693" s="3" t="n">
        <v>0.0083</v>
      </c>
    </row>
    <row r="1694" customFormat="false" ht="15" hidden="false" customHeight="true" outlineLevel="0" collapsed="false">
      <c r="A1694" s="3" t="s">
        <v>2623</v>
      </c>
      <c r="B1694" s="3" t="s">
        <v>2624</v>
      </c>
      <c r="C1694" s="3" t="s">
        <v>46</v>
      </c>
      <c r="D1694" s="3" t="s">
        <v>47</v>
      </c>
      <c r="E1694" s="3" t="s">
        <v>48</v>
      </c>
      <c r="F1694" s="3" t="s">
        <v>25</v>
      </c>
      <c r="G1694" s="3" t="s">
        <v>41</v>
      </c>
      <c r="H1694" s="3" t="s">
        <v>27</v>
      </c>
      <c r="I1694" s="3" t="s">
        <v>117</v>
      </c>
      <c r="J1694" s="3" t="n">
        <v>7</v>
      </c>
      <c r="K1694" s="3" t="n">
        <v>36705.24</v>
      </c>
      <c r="L1694" s="3" t="n">
        <v>256936.68</v>
      </c>
      <c r="M1694" s="3" t="n">
        <v>0.1276</v>
      </c>
      <c r="N1694" s="3" t="n">
        <v>32785.12</v>
      </c>
      <c r="O1694" s="3" t="n">
        <v>224151.56</v>
      </c>
      <c r="P1694" s="3" t="n">
        <v>159300.74</v>
      </c>
      <c r="Q1694" s="3" t="n">
        <v>64850.82</v>
      </c>
      <c r="R1694" s="3" t="n">
        <v>0.2893</v>
      </c>
      <c r="S1694" s="3" t="n">
        <v>0.1361</v>
      </c>
      <c r="T1694" s="3" t="n">
        <v>-0.0085</v>
      </c>
    </row>
    <row r="1695" customFormat="false" ht="15" hidden="false" customHeight="true" outlineLevel="0" collapsed="false">
      <c r="A1695" s="3" t="s">
        <v>2625</v>
      </c>
      <c r="B1695" s="3" t="s">
        <v>726</v>
      </c>
      <c r="C1695" s="3" t="s">
        <v>93</v>
      </c>
      <c r="D1695" s="3" t="s">
        <v>47</v>
      </c>
      <c r="E1695" s="3" t="s">
        <v>48</v>
      </c>
      <c r="F1695" s="3" t="s">
        <v>25</v>
      </c>
      <c r="G1695" s="3" t="s">
        <v>76</v>
      </c>
      <c r="H1695" s="3" t="s">
        <v>27</v>
      </c>
      <c r="I1695" s="3" t="s">
        <v>94</v>
      </c>
      <c r="J1695" s="3" t="n">
        <v>33</v>
      </c>
      <c r="K1695" s="3" t="n">
        <v>19352.78</v>
      </c>
      <c r="L1695" s="3" t="n">
        <v>638641.74</v>
      </c>
      <c r="M1695" s="3" t="n">
        <v>0.1008</v>
      </c>
      <c r="N1695" s="3" t="n">
        <v>64375.09</v>
      </c>
      <c r="O1695" s="3" t="n">
        <v>574266.65</v>
      </c>
      <c r="P1695" s="3" t="n">
        <v>395957.88</v>
      </c>
      <c r="Q1695" s="3" t="n">
        <v>178308.77</v>
      </c>
      <c r="R1695" s="3" t="n">
        <v>0.3105</v>
      </c>
      <c r="S1695" s="3" t="n">
        <v>0.0827</v>
      </c>
      <c r="T1695" s="3" t="n">
        <v>0.0181</v>
      </c>
    </row>
    <row r="1696" customFormat="false" ht="15" hidden="false" customHeight="true" outlineLevel="0" collapsed="false">
      <c r="A1696" s="3" t="s">
        <v>2626</v>
      </c>
      <c r="B1696" s="3" t="s">
        <v>1123</v>
      </c>
      <c r="C1696" s="3" t="s">
        <v>126</v>
      </c>
      <c r="D1696" s="3" t="s">
        <v>103</v>
      </c>
      <c r="E1696" s="3" t="s">
        <v>24</v>
      </c>
      <c r="F1696" s="3" t="s">
        <v>62</v>
      </c>
      <c r="G1696" s="3" t="s">
        <v>100</v>
      </c>
      <c r="H1696" s="3" t="s">
        <v>64</v>
      </c>
      <c r="I1696" s="3" t="s">
        <v>145</v>
      </c>
      <c r="J1696" s="3" t="n">
        <v>7</v>
      </c>
      <c r="K1696" s="3" t="n">
        <v>4493.51</v>
      </c>
      <c r="L1696" s="3" t="n">
        <v>31454.57</v>
      </c>
      <c r="M1696" s="3" t="n">
        <v>0.0373</v>
      </c>
      <c r="N1696" s="3" t="n">
        <v>1173.26</v>
      </c>
      <c r="O1696" s="3" t="n">
        <v>30281.31</v>
      </c>
      <c r="P1696" s="3" t="n">
        <v>18243.65</v>
      </c>
      <c r="Q1696" s="3" t="n">
        <v>12037.66</v>
      </c>
      <c r="R1696" s="3" t="n">
        <v>0.3975</v>
      </c>
      <c r="S1696" s="3" t="n">
        <v>0.0305</v>
      </c>
      <c r="T1696" s="3" t="n">
        <v>0.0068</v>
      </c>
    </row>
    <row r="1697" customFormat="false" ht="15" hidden="false" customHeight="true" outlineLevel="0" collapsed="false">
      <c r="A1697" s="3" t="s">
        <v>2627</v>
      </c>
      <c r="B1697" s="3" t="s">
        <v>593</v>
      </c>
      <c r="C1697" s="3" t="s">
        <v>37</v>
      </c>
      <c r="D1697" s="3" t="s">
        <v>107</v>
      </c>
      <c r="E1697" s="3" t="s">
        <v>33</v>
      </c>
      <c r="F1697" s="3" t="s">
        <v>70</v>
      </c>
      <c r="G1697" s="3" t="s">
        <v>104</v>
      </c>
      <c r="H1697" s="3" t="s">
        <v>64</v>
      </c>
      <c r="I1697" s="3" t="s">
        <v>145</v>
      </c>
      <c r="J1697" s="3" t="n">
        <v>22</v>
      </c>
      <c r="K1697" s="3" t="n">
        <v>7035.23</v>
      </c>
      <c r="L1697" s="3" t="n">
        <v>154775.06</v>
      </c>
      <c r="M1697" s="3" t="n">
        <v>0.1083</v>
      </c>
      <c r="N1697" s="3" t="n">
        <v>16762.14</v>
      </c>
      <c r="O1697" s="3" t="n">
        <v>138012.92</v>
      </c>
      <c r="P1697" s="3" t="n">
        <v>89769.53</v>
      </c>
      <c r="Q1697" s="3" t="n">
        <v>48243.39</v>
      </c>
      <c r="R1697" s="3" t="n">
        <v>0.3496</v>
      </c>
      <c r="S1697" s="3" t="n">
        <v>0.0959</v>
      </c>
      <c r="T1697" s="3" t="n">
        <v>0.0124</v>
      </c>
    </row>
    <row r="1698" customFormat="false" ht="15" hidden="false" customHeight="true" outlineLevel="0" collapsed="false">
      <c r="A1698" s="3" t="s">
        <v>2628</v>
      </c>
      <c r="B1698" s="3" t="s">
        <v>2629</v>
      </c>
      <c r="C1698" s="3" t="s">
        <v>68</v>
      </c>
      <c r="D1698" s="3" t="s">
        <v>32</v>
      </c>
      <c r="E1698" s="3" t="s">
        <v>33</v>
      </c>
      <c r="F1698" s="3" t="s">
        <v>25</v>
      </c>
      <c r="G1698" s="3" t="s">
        <v>116</v>
      </c>
      <c r="H1698" s="3" t="s">
        <v>56</v>
      </c>
      <c r="I1698" s="3" t="s">
        <v>121</v>
      </c>
      <c r="J1698" s="3" t="n">
        <v>49</v>
      </c>
      <c r="K1698" s="3" t="n">
        <v>16136.53</v>
      </c>
      <c r="L1698" s="3" t="n">
        <v>790689.97</v>
      </c>
      <c r="M1698" s="3" t="n">
        <v>0.1769</v>
      </c>
      <c r="N1698" s="3" t="n">
        <v>139873.06</v>
      </c>
      <c r="O1698" s="3" t="n">
        <v>650816.91</v>
      </c>
      <c r="P1698" s="3" t="n">
        <v>474413.98</v>
      </c>
      <c r="Q1698" s="3" t="n">
        <v>176402.93</v>
      </c>
      <c r="R1698" s="3" t="n">
        <v>0.271</v>
      </c>
      <c r="S1698" s="3" t="n">
        <v>0.1451</v>
      </c>
      <c r="T1698" s="3" t="n">
        <v>0.0318</v>
      </c>
    </row>
    <row r="1699" customFormat="false" ht="15" hidden="false" customHeight="true" outlineLevel="0" collapsed="false">
      <c r="A1699" s="3" t="s">
        <v>2630</v>
      </c>
      <c r="B1699" s="3" t="s">
        <v>706</v>
      </c>
      <c r="C1699" s="3" t="s">
        <v>60</v>
      </c>
      <c r="D1699" s="3" t="s">
        <v>75</v>
      </c>
      <c r="E1699" s="3" t="s">
        <v>39</v>
      </c>
      <c r="F1699" s="3" t="s">
        <v>25</v>
      </c>
      <c r="G1699" s="3" t="s">
        <v>71</v>
      </c>
      <c r="H1699" s="3" t="s">
        <v>77</v>
      </c>
      <c r="I1699" s="3" t="s">
        <v>78</v>
      </c>
      <c r="J1699" s="3" t="n">
        <v>47</v>
      </c>
      <c r="K1699" s="3" t="n">
        <v>4628.5</v>
      </c>
      <c r="L1699" s="3" t="n">
        <v>217539.5</v>
      </c>
      <c r="M1699" s="3" t="n">
        <v>0.1275</v>
      </c>
      <c r="N1699" s="3" t="n">
        <v>27736.29</v>
      </c>
      <c r="O1699" s="3" t="n">
        <v>189803.21</v>
      </c>
      <c r="P1699" s="3" t="n">
        <v>147926.86</v>
      </c>
      <c r="Q1699" s="3" t="n">
        <v>41876.35</v>
      </c>
      <c r="R1699" s="3" t="n">
        <v>0.2206</v>
      </c>
      <c r="S1699" s="3" t="n">
        <v>0.1311</v>
      </c>
      <c r="T1699" s="3" t="n">
        <v>-0.0036</v>
      </c>
    </row>
    <row r="1700" customFormat="false" ht="15" hidden="false" customHeight="true" outlineLevel="0" collapsed="false">
      <c r="A1700" s="3" t="s">
        <v>2631</v>
      </c>
      <c r="B1700" s="3" t="s">
        <v>454</v>
      </c>
      <c r="C1700" s="3" t="s">
        <v>126</v>
      </c>
      <c r="D1700" s="3" t="s">
        <v>69</v>
      </c>
      <c r="E1700" s="3" t="s">
        <v>39</v>
      </c>
      <c r="F1700" s="3" t="s">
        <v>70</v>
      </c>
      <c r="G1700" s="3" t="s">
        <v>63</v>
      </c>
      <c r="H1700" s="3" t="s">
        <v>27</v>
      </c>
      <c r="I1700" s="3" t="s">
        <v>94</v>
      </c>
      <c r="J1700" s="3" t="n">
        <v>15</v>
      </c>
      <c r="K1700" s="3" t="n">
        <v>16824.31</v>
      </c>
      <c r="L1700" s="3" t="n">
        <v>252364.65</v>
      </c>
      <c r="M1700" s="3" t="n">
        <v>0.0321</v>
      </c>
      <c r="N1700" s="3" t="n">
        <v>8100.91</v>
      </c>
      <c r="O1700" s="3" t="n">
        <v>244263.74</v>
      </c>
      <c r="P1700" s="3" t="n">
        <v>156466.08</v>
      </c>
      <c r="Q1700" s="3" t="n">
        <v>87797.66</v>
      </c>
      <c r="R1700" s="3" t="n">
        <v>0.3594</v>
      </c>
      <c r="S1700" s="3" t="n">
        <v>0.0258</v>
      </c>
      <c r="T1700" s="3" t="n">
        <v>0.0063</v>
      </c>
    </row>
    <row r="1701" customFormat="false" ht="15" hidden="false" customHeight="true" outlineLevel="0" collapsed="false">
      <c r="A1701" s="3" t="s">
        <v>2632</v>
      </c>
      <c r="B1701" s="3" t="s">
        <v>151</v>
      </c>
      <c r="C1701" s="3" t="s">
        <v>113</v>
      </c>
      <c r="D1701" s="3" t="s">
        <v>75</v>
      </c>
      <c r="E1701" s="3" t="s">
        <v>39</v>
      </c>
      <c r="F1701" s="3" t="s">
        <v>25</v>
      </c>
      <c r="G1701" s="3" t="s">
        <v>55</v>
      </c>
      <c r="H1701" s="3" t="s">
        <v>64</v>
      </c>
      <c r="I1701" s="3" t="s">
        <v>90</v>
      </c>
      <c r="J1701" s="3" t="n">
        <v>10</v>
      </c>
      <c r="K1701" s="3" t="n">
        <v>4742.98</v>
      </c>
      <c r="L1701" s="3" t="n">
        <v>47429.8</v>
      </c>
      <c r="M1701" s="3" t="n">
        <v>0.1368</v>
      </c>
      <c r="N1701" s="3" t="n">
        <v>6488.4</v>
      </c>
      <c r="O1701" s="3" t="n">
        <v>40941.4</v>
      </c>
      <c r="P1701" s="3" t="n">
        <v>27509.28</v>
      </c>
      <c r="Q1701" s="3" t="n">
        <v>13432.12</v>
      </c>
      <c r="R1701" s="3" t="n">
        <v>0.3281</v>
      </c>
      <c r="S1701" s="3" t="n">
        <v>0.1095</v>
      </c>
      <c r="T1701" s="3" t="n">
        <v>0.0273</v>
      </c>
    </row>
    <row r="1702" customFormat="false" ht="15" hidden="false" customHeight="true" outlineLevel="0" collapsed="false">
      <c r="A1702" s="3" t="s">
        <v>2633</v>
      </c>
      <c r="B1702" s="3" t="s">
        <v>396</v>
      </c>
      <c r="C1702" s="3" t="s">
        <v>60</v>
      </c>
      <c r="D1702" s="3" t="s">
        <v>61</v>
      </c>
      <c r="E1702" s="3" t="s">
        <v>33</v>
      </c>
      <c r="F1702" s="3" t="s">
        <v>62</v>
      </c>
      <c r="G1702" s="3" t="s">
        <v>76</v>
      </c>
      <c r="H1702" s="3" t="s">
        <v>64</v>
      </c>
      <c r="I1702" s="3" t="s">
        <v>65</v>
      </c>
      <c r="J1702" s="3" t="n">
        <v>5</v>
      </c>
      <c r="K1702" s="3" t="n">
        <v>9545.14</v>
      </c>
      <c r="L1702" s="3" t="n">
        <v>47725.7</v>
      </c>
      <c r="M1702" s="3" t="n">
        <v>0.041</v>
      </c>
      <c r="N1702" s="3" t="n">
        <v>1956.75</v>
      </c>
      <c r="O1702" s="3" t="n">
        <v>45768.95</v>
      </c>
      <c r="P1702" s="3" t="n">
        <v>27680.91</v>
      </c>
      <c r="Q1702" s="3" t="n">
        <v>18088.04</v>
      </c>
      <c r="R1702" s="3" t="n">
        <v>0.3952</v>
      </c>
      <c r="S1702" s="3" t="n">
        <v>0.0441</v>
      </c>
      <c r="T1702" s="3" t="n">
        <v>-0.0031</v>
      </c>
    </row>
    <row r="1703" customFormat="false" ht="15" hidden="false" customHeight="true" outlineLevel="0" collapsed="false">
      <c r="A1703" s="3" t="s">
        <v>2634</v>
      </c>
      <c r="B1703" s="3" t="s">
        <v>1001</v>
      </c>
      <c r="C1703" s="3" t="s">
        <v>46</v>
      </c>
      <c r="D1703" s="3" t="s">
        <v>83</v>
      </c>
      <c r="E1703" s="3" t="s">
        <v>48</v>
      </c>
      <c r="F1703" s="3" t="s">
        <v>62</v>
      </c>
      <c r="G1703" s="3" t="s">
        <v>71</v>
      </c>
      <c r="H1703" s="3" t="s">
        <v>27</v>
      </c>
      <c r="I1703" s="3" t="s">
        <v>28</v>
      </c>
      <c r="J1703" s="3" t="n">
        <v>22</v>
      </c>
      <c r="K1703" s="3" t="n">
        <v>22707.4</v>
      </c>
      <c r="L1703" s="3" t="n">
        <v>499562.8</v>
      </c>
      <c r="M1703" s="3" t="n">
        <v>0.0608</v>
      </c>
      <c r="N1703" s="3" t="n">
        <v>30373.42</v>
      </c>
      <c r="O1703" s="3" t="n">
        <v>469189.38</v>
      </c>
      <c r="P1703" s="3" t="n">
        <v>309728.94</v>
      </c>
      <c r="Q1703" s="3" t="n">
        <v>159460.44</v>
      </c>
      <c r="R1703" s="3" t="n">
        <v>0.3399</v>
      </c>
      <c r="S1703" s="3" t="n">
        <v>0.0642</v>
      </c>
      <c r="T1703" s="3" t="n">
        <v>-0.0034</v>
      </c>
    </row>
    <row r="1704" customFormat="false" ht="15" hidden="false" customHeight="true" outlineLevel="0" collapsed="false">
      <c r="A1704" s="3" t="s">
        <v>2635</v>
      </c>
      <c r="B1704" s="3" t="s">
        <v>593</v>
      </c>
      <c r="C1704" s="3" t="s">
        <v>37</v>
      </c>
      <c r="D1704" s="3" t="s">
        <v>54</v>
      </c>
      <c r="E1704" s="3" t="s">
        <v>24</v>
      </c>
      <c r="F1704" s="3" t="s">
        <v>40</v>
      </c>
      <c r="G1704" s="3" t="s">
        <v>100</v>
      </c>
      <c r="H1704" s="3" t="s">
        <v>56</v>
      </c>
      <c r="I1704" s="3" t="s">
        <v>121</v>
      </c>
      <c r="J1704" s="3" t="n">
        <v>48</v>
      </c>
      <c r="K1704" s="3" t="n">
        <v>16226.72</v>
      </c>
      <c r="L1704" s="3" t="n">
        <v>778882.56</v>
      </c>
      <c r="M1704" s="3" t="n">
        <v>0.0465</v>
      </c>
      <c r="N1704" s="3" t="n">
        <v>36218.04</v>
      </c>
      <c r="O1704" s="3" t="n">
        <v>742664.52</v>
      </c>
      <c r="P1704" s="3" t="n">
        <v>467329.54</v>
      </c>
      <c r="Q1704" s="3" t="n">
        <v>275334.98</v>
      </c>
      <c r="R1704" s="3" t="n">
        <v>0.3707</v>
      </c>
      <c r="S1704" s="3" t="n">
        <v>0.0446</v>
      </c>
      <c r="T1704" s="3" t="n">
        <v>0.0019</v>
      </c>
    </row>
    <row r="1705" customFormat="false" ht="15" hidden="false" customHeight="true" outlineLevel="0" collapsed="false">
      <c r="A1705" s="3" t="s">
        <v>2636</v>
      </c>
      <c r="B1705" s="3" t="s">
        <v>1389</v>
      </c>
      <c r="C1705" s="3" t="s">
        <v>156</v>
      </c>
      <c r="D1705" s="3" t="s">
        <v>23</v>
      </c>
      <c r="E1705" s="3" t="s">
        <v>24</v>
      </c>
      <c r="F1705" s="3" t="s">
        <v>25</v>
      </c>
      <c r="G1705" s="3" t="s">
        <v>71</v>
      </c>
      <c r="H1705" s="3" t="s">
        <v>56</v>
      </c>
      <c r="I1705" s="3" t="s">
        <v>121</v>
      </c>
      <c r="J1705" s="3" t="n">
        <v>39</v>
      </c>
      <c r="K1705" s="3" t="n">
        <v>6463.43</v>
      </c>
      <c r="L1705" s="3" t="n">
        <v>252073.77</v>
      </c>
      <c r="M1705" s="3" t="n">
        <v>0.1285</v>
      </c>
      <c r="N1705" s="3" t="n">
        <v>32391.48</v>
      </c>
      <c r="O1705" s="3" t="n">
        <v>219682.29</v>
      </c>
      <c r="P1705" s="3" t="n">
        <v>151244.26</v>
      </c>
      <c r="Q1705" s="3" t="n">
        <v>68438.03</v>
      </c>
      <c r="R1705" s="3" t="n">
        <v>0.3115</v>
      </c>
      <c r="S1705" s="3" t="n">
        <v>0.1196</v>
      </c>
      <c r="T1705" s="3" t="n">
        <v>0.0089</v>
      </c>
    </row>
    <row r="1706" customFormat="false" ht="15" hidden="false" customHeight="true" outlineLevel="0" collapsed="false">
      <c r="A1706" s="3" t="s">
        <v>2637</v>
      </c>
      <c r="B1706" s="3" t="s">
        <v>272</v>
      </c>
      <c r="C1706" s="3" t="s">
        <v>22</v>
      </c>
      <c r="D1706" s="3" t="s">
        <v>54</v>
      </c>
      <c r="E1706" s="3" t="s">
        <v>24</v>
      </c>
      <c r="F1706" s="3" t="s">
        <v>40</v>
      </c>
      <c r="G1706" s="3" t="s">
        <v>76</v>
      </c>
      <c r="H1706" s="3" t="s">
        <v>42</v>
      </c>
      <c r="I1706" s="3" t="s">
        <v>72</v>
      </c>
      <c r="J1706" s="3" t="n">
        <v>47</v>
      </c>
      <c r="K1706" s="3" t="n">
        <v>2246.06</v>
      </c>
      <c r="L1706" s="3" t="n">
        <v>105564.82</v>
      </c>
      <c r="M1706" s="3" t="n">
        <v>0.0796</v>
      </c>
      <c r="N1706" s="3" t="n">
        <v>8402.96</v>
      </c>
      <c r="O1706" s="3" t="n">
        <v>97161.86</v>
      </c>
      <c r="P1706" s="3" t="n">
        <v>58060.65</v>
      </c>
      <c r="Q1706" s="3" t="n">
        <v>39101.21</v>
      </c>
      <c r="R1706" s="3" t="n">
        <v>0.4024</v>
      </c>
      <c r="S1706" s="3" t="n">
        <v>0.0864</v>
      </c>
      <c r="T1706" s="3" t="n">
        <v>-0.0068</v>
      </c>
    </row>
    <row r="1707" customFormat="false" ht="15" hidden="false" customHeight="true" outlineLevel="0" collapsed="false">
      <c r="A1707" s="3" t="s">
        <v>2638</v>
      </c>
      <c r="B1707" s="3" t="s">
        <v>221</v>
      </c>
      <c r="C1707" s="3" t="s">
        <v>60</v>
      </c>
      <c r="D1707" s="3" t="s">
        <v>54</v>
      </c>
      <c r="E1707" s="3" t="s">
        <v>24</v>
      </c>
      <c r="F1707" s="3" t="s">
        <v>40</v>
      </c>
      <c r="G1707" s="3" t="s">
        <v>41</v>
      </c>
      <c r="H1707" s="3" t="s">
        <v>42</v>
      </c>
      <c r="I1707" s="3" t="s">
        <v>43</v>
      </c>
      <c r="J1707" s="3" t="n">
        <v>15</v>
      </c>
      <c r="K1707" s="3" t="n">
        <v>2442.55</v>
      </c>
      <c r="L1707" s="3" t="n">
        <v>36638.25</v>
      </c>
      <c r="M1707" s="3" t="n">
        <v>0.104</v>
      </c>
      <c r="N1707" s="3" t="n">
        <v>3810.38</v>
      </c>
      <c r="O1707" s="3" t="n">
        <v>32827.87</v>
      </c>
      <c r="P1707" s="3" t="n">
        <v>20151.04</v>
      </c>
      <c r="Q1707" s="3" t="n">
        <v>12676.83</v>
      </c>
      <c r="R1707" s="3" t="n">
        <v>0.3862</v>
      </c>
      <c r="S1707" s="3" t="n">
        <v>0.1121</v>
      </c>
      <c r="T1707" s="3" t="n">
        <v>-0.0081</v>
      </c>
    </row>
    <row r="1708" customFormat="false" ht="15" hidden="false" customHeight="true" outlineLevel="0" collapsed="false">
      <c r="A1708" s="3" t="s">
        <v>2639</v>
      </c>
      <c r="B1708" s="3" t="s">
        <v>811</v>
      </c>
      <c r="C1708" s="3" t="s">
        <v>37</v>
      </c>
      <c r="D1708" s="3" t="s">
        <v>97</v>
      </c>
      <c r="E1708" s="3" t="s">
        <v>48</v>
      </c>
      <c r="F1708" s="3" t="s">
        <v>40</v>
      </c>
      <c r="G1708" s="3" t="s">
        <v>49</v>
      </c>
      <c r="H1708" s="3" t="s">
        <v>56</v>
      </c>
      <c r="I1708" s="3" t="s">
        <v>121</v>
      </c>
      <c r="J1708" s="3" t="n">
        <v>26</v>
      </c>
      <c r="K1708" s="3" t="n">
        <v>8602.32</v>
      </c>
      <c r="L1708" s="3" t="n">
        <v>223660.32</v>
      </c>
      <c r="M1708" s="3" t="n">
        <v>0.051</v>
      </c>
      <c r="N1708" s="3" t="n">
        <v>11406.68</v>
      </c>
      <c r="O1708" s="3" t="n">
        <v>212253.64</v>
      </c>
      <c r="P1708" s="3" t="n">
        <v>134196.19</v>
      </c>
      <c r="Q1708" s="3" t="n">
        <v>78057.45</v>
      </c>
      <c r="R1708" s="3" t="n">
        <v>0.3678</v>
      </c>
      <c r="S1708" s="3" t="n">
        <v>0.0453</v>
      </c>
      <c r="T1708" s="3" t="n">
        <v>0.0057</v>
      </c>
    </row>
    <row r="1709" customFormat="false" ht="15" hidden="false" customHeight="true" outlineLevel="0" collapsed="false">
      <c r="A1709" s="3" t="s">
        <v>2640</v>
      </c>
      <c r="B1709" s="3" t="s">
        <v>1892</v>
      </c>
      <c r="C1709" s="3" t="s">
        <v>22</v>
      </c>
      <c r="D1709" s="3" t="s">
        <v>69</v>
      </c>
      <c r="E1709" s="3" t="s">
        <v>39</v>
      </c>
      <c r="F1709" s="3" t="s">
        <v>70</v>
      </c>
      <c r="G1709" s="3" t="s">
        <v>71</v>
      </c>
      <c r="H1709" s="3" t="s">
        <v>64</v>
      </c>
      <c r="I1709" s="3" t="s">
        <v>90</v>
      </c>
      <c r="J1709" s="3" t="n">
        <v>21</v>
      </c>
      <c r="K1709" s="3" t="n">
        <v>3596.89</v>
      </c>
      <c r="L1709" s="3" t="n">
        <v>75534.69</v>
      </c>
      <c r="M1709" s="3" t="n">
        <v>0.0763</v>
      </c>
      <c r="N1709" s="3" t="n">
        <v>5763.3</v>
      </c>
      <c r="O1709" s="3" t="n">
        <v>69771.39</v>
      </c>
      <c r="P1709" s="3" t="n">
        <v>43810.12</v>
      </c>
      <c r="Q1709" s="3" t="n">
        <v>25961.27</v>
      </c>
      <c r="R1709" s="3" t="n">
        <v>0.3721</v>
      </c>
      <c r="S1709" s="3" t="n">
        <v>0.071</v>
      </c>
      <c r="T1709" s="3" t="n">
        <v>0.0053</v>
      </c>
    </row>
    <row r="1710" customFormat="false" ht="15" hidden="false" customHeight="true" outlineLevel="0" collapsed="false">
      <c r="A1710" s="3" t="s">
        <v>2641</v>
      </c>
      <c r="B1710" s="3" t="s">
        <v>1003</v>
      </c>
      <c r="C1710" s="3" t="s">
        <v>53</v>
      </c>
      <c r="D1710" s="3" t="s">
        <v>47</v>
      </c>
      <c r="E1710" s="3" t="s">
        <v>48</v>
      </c>
      <c r="F1710" s="3" t="s">
        <v>25</v>
      </c>
      <c r="G1710" s="3" t="s">
        <v>84</v>
      </c>
      <c r="H1710" s="3" t="s">
        <v>64</v>
      </c>
      <c r="I1710" s="3" t="s">
        <v>90</v>
      </c>
      <c r="J1710" s="3" t="n">
        <v>22</v>
      </c>
      <c r="K1710" s="3" t="n">
        <v>11805.23</v>
      </c>
      <c r="L1710" s="3" t="n">
        <v>259715.06</v>
      </c>
      <c r="M1710" s="3" t="n">
        <v>0.1263</v>
      </c>
      <c r="N1710" s="3" t="n">
        <v>32802.01</v>
      </c>
      <c r="O1710" s="3" t="n">
        <v>226913.05</v>
      </c>
      <c r="P1710" s="3" t="n">
        <v>150634.73</v>
      </c>
      <c r="Q1710" s="3" t="n">
        <v>76278.32</v>
      </c>
      <c r="R1710" s="3" t="n">
        <v>0.3362</v>
      </c>
      <c r="S1710" s="3" t="n">
        <v>0.1195</v>
      </c>
      <c r="T1710" s="3" t="n">
        <v>0.0068</v>
      </c>
    </row>
    <row r="1711" customFormat="false" ht="15" hidden="false" customHeight="true" outlineLevel="0" collapsed="false">
      <c r="A1711" s="3" t="s">
        <v>2642</v>
      </c>
      <c r="B1711" s="3" t="s">
        <v>2643</v>
      </c>
      <c r="C1711" s="3" t="s">
        <v>60</v>
      </c>
      <c r="D1711" s="3" t="s">
        <v>83</v>
      </c>
      <c r="E1711" s="3" t="s">
        <v>48</v>
      </c>
      <c r="F1711" s="3" t="s">
        <v>62</v>
      </c>
      <c r="G1711" s="3" t="s">
        <v>34</v>
      </c>
      <c r="H1711" s="3" t="s">
        <v>77</v>
      </c>
      <c r="I1711" s="3" t="s">
        <v>85</v>
      </c>
      <c r="J1711" s="3" t="n">
        <v>16</v>
      </c>
      <c r="K1711" s="3" t="n">
        <v>3145.52</v>
      </c>
      <c r="L1711" s="3" t="n">
        <v>50328.32</v>
      </c>
      <c r="M1711" s="3" t="n">
        <v>0.0887</v>
      </c>
      <c r="N1711" s="3" t="n">
        <v>4464.12</v>
      </c>
      <c r="O1711" s="3" t="n">
        <v>45864.2</v>
      </c>
      <c r="P1711" s="3" t="n">
        <v>34223.26</v>
      </c>
      <c r="Q1711" s="3" t="n">
        <v>11640.94</v>
      </c>
      <c r="R1711" s="3" t="n">
        <v>0.2538</v>
      </c>
      <c r="S1711" s="3" t="n">
        <v>0.0799</v>
      </c>
      <c r="T1711" s="3" t="n">
        <v>0.0088</v>
      </c>
    </row>
    <row r="1712" customFormat="false" ht="15" hidden="false" customHeight="true" outlineLevel="0" collapsed="false">
      <c r="A1712" s="3" t="s">
        <v>2644</v>
      </c>
      <c r="B1712" s="3" t="s">
        <v>2645</v>
      </c>
      <c r="C1712" s="3" t="s">
        <v>156</v>
      </c>
      <c r="D1712" s="3" t="s">
        <v>38</v>
      </c>
      <c r="E1712" s="3" t="s">
        <v>39</v>
      </c>
      <c r="F1712" s="3" t="s">
        <v>40</v>
      </c>
      <c r="G1712" s="3" t="s">
        <v>63</v>
      </c>
      <c r="H1712" s="3" t="s">
        <v>42</v>
      </c>
      <c r="I1712" s="3" t="s">
        <v>72</v>
      </c>
      <c r="J1712" s="3" t="n">
        <v>7</v>
      </c>
      <c r="K1712" s="3" t="n">
        <v>3486.2</v>
      </c>
      <c r="L1712" s="3" t="n">
        <v>24403.4</v>
      </c>
      <c r="M1712" s="3" t="n">
        <v>0.0341</v>
      </c>
      <c r="N1712" s="3" t="n">
        <v>832.16</v>
      </c>
      <c r="O1712" s="3" t="n">
        <v>23571.24</v>
      </c>
      <c r="P1712" s="3" t="n">
        <v>13421.87</v>
      </c>
      <c r="Q1712" s="3" t="n">
        <v>10149.37</v>
      </c>
      <c r="R1712" s="3" t="n">
        <v>0.4306</v>
      </c>
      <c r="S1712" s="3" t="n">
        <v>0.0288</v>
      </c>
      <c r="T1712" s="3" t="n">
        <v>0.0053</v>
      </c>
    </row>
    <row r="1713" customFormat="false" ht="15" hidden="false" customHeight="true" outlineLevel="0" collapsed="false">
      <c r="A1713" s="3" t="s">
        <v>2646</v>
      </c>
      <c r="B1713" s="3" t="s">
        <v>2647</v>
      </c>
      <c r="C1713" s="3" t="s">
        <v>60</v>
      </c>
      <c r="D1713" s="3" t="s">
        <v>47</v>
      </c>
      <c r="E1713" s="3" t="s">
        <v>48</v>
      </c>
      <c r="F1713" s="3" t="s">
        <v>25</v>
      </c>
      <c r="G1713" s="3" t="s">
        <v>26</v>
      </c>
      <c r="H1713" s="3" t="s">
        <v>77</v>
      </c>
      <c r="I1713" s="3" t="s">
        <v>131</v>
      </c>
      <c r="J1713" s="3" t="n">
        <v>4</v>
      </c>
      <c r="K1713" s="3" t="n">
        <v>4310.25</v>
      </c>
      <c r="L1713" s="3" t="n">
        <v>17241</v>
      </c>
      <c r="M1713" s="3" t="n">
        <v>0.0843</v>
      </c>
      <c r="N1713" s="3" t="n">
        <v>1453.42</v>
      </c>
      <c r="O1713" s="3" t="n">
        <v>15787.58</v>
      </c>
      <c r="P1713" s="3" t="n">
        <v>11723.88</v>
      </c>
      <c r="Q1713" s="3" t="n">
        <v>4063.7</v>
      </c>
      <c r="R1713" s="3" t="n">
        <v>0.2574</v>
      </c>
      <c r="S1713" s="3" t="n">
        <v>0.0748</v>
      </c>
      <c r="T1713" s="3" t="n">
        <v>0.0095</v>
      </c>
    </row>
    <row r="1714" customFormat="false" ht="15" hidden="false" customHeight="true" outlineLevel="0" collapsed="false">
      <c r="A1714" s="3" t="s">
        <v>2648</v>
      </c>
      <c r="B1714" s="3" t="s">
        <v>889</v>
      </c>
      <c r="C1714" s="3" t="s">
        <v>37</v>
      </c>
      <c r="D1714" s="3" t="s">
        <v>103</v>
      </c>
      <c r="E1714" s="3" t="s">
        <v>24</v>
      </c>
      <c r="F1714" s="3" t="s">
        <v>62</v>
      </c>
      <c r="G1714" s="3" t="s">
        <v>55</v>
      </c>
      <c r="H1714" s="3" t="s">
        <v>42</v>
      </c>
      <c r="I1714" s="3" t="s">
        <v>72</v>
      </c>
      <c r="J1714" s="3" t="n">
        <v>11</v>
      </c>
      <c r="K1714" s="3" t="n">
        <v>806.32</v>
      </c>
      <c r="L1714" s="3" t="n">
        <v>8869.52</v>
      </c>
      <c r="M1714" s="3" t="n">
        <v>0.0746</v>
      </c>
      <c r="N1714" s="3" t="n">
        <v>661.67</v>
      </c>
      <c r="O1714" s="3" t="n">
        <v>8207.85</v>
      </c>
      <c r="P1714" s="3" t="n">
        <v>4878.24</v>
      </c>
      <c r="Q1714" s="3" t="n">
        <v>3329.61</v>
      </c>
      <c r="R1714" s="3" t="n">
        <v>0.4057</v>
      </c>
      <c r="S1714" s="3" t="n">
        <v>0.062</v>
      </c>
      <c r="T1714" s="3" t="n">
        <v>0.0126</v>
      </c>
    </row>
    <row r="1715" customFormat="false" ht="15" hidden="false" customHeight="true" outlineLevel="0" collapsed="false">
      <c r="A1715" s="3" t="s">
        <v>2649</v>
      </c>
      <c r="B1715" s="3" t="s">
        <v>1645</v>
      </c>
      <c r="C1715" s="3" t="s">
        <v>46</v>
      </c>
      <c r="D1715" s="3" t="s">
        <v>38</v>
      </c>
      <c r="E1715" s="3" t="s">
        <v>39</v>
      </c>
      <c r="F1715" s="3" t="s">
        <v>40</v>
      </c>
      <c r="G1715" s="3" t="s">
        <v>55</v>
      </c>
      <c r="H1715" s="3" t="s">
        <v>27</v>
      </c>
      <c r="I1715" s="3" t="s">
        <v>28</v>
      </c>
      <c r="J1715" s="3" t="n">
        <v>13</v>
      </c>
      <c r="K1715" s="3" t="n">
        <v>8006.82</v>
      </c>
      <c r="L1715" s="3" t="n">
        <v>104088.66</v>
      </c>
      <c r="M1715" s="3" t="n">
        <v>0.0695</v>
      </c>
      <c r="N1715" s="3" t="n">
        <v>7234.16</v>
      </c>
      <c r="O1715" s="3" t="n">
        <v>96854.5</v>
      </c>
      <c r="P1715" s="3" t="n">
        <v>64534.97</v>
      </c>
      <c r="Q1715" s="3" t="n">
        <v>32319.53</v>
      </c>
      <c r="R1715" s="3" t="n">
        <v>0.3337</v>
      </c>
      <c r="S1715" s="3" t="n">
        <v>0.0728</v>
      </c>
      <c r="T1715" s="3" t="n">
        <v>-0.0033</v>
      </c>
    </row>
    <row r="1716" customFormat="false" ht="15" hidden="false" customHeight="true" outlineLevel="0" collapsed="false">
      <c r="A1716" s="3" t="s">
        <v>2650</v>
      </c>
      <c r="B1716" s="3" t="s">
        <v>2651</v>
      </c>
      <c r="C1716" s="3" t="s">
        <v>126</v>
      </c>
      <c r="D1716" s="3" t="s">
        <v>83</v>
      </c>
      <c r="E1716" s="3" t="s">
        <v>48</v>
      </c>
      <c r="F1716" s="3" t="s">
        <v>62</v>
      </c>
      <c r="G1716" s="3" t="s">
        <v>55</v>
      </c>
      <c r="H1716" s="3" t="s">
        <v>27</v>
      </c>
      <c r="I1716" s="3" t="s">
        <v>50</v>
      </c>
      <c r="J1716" s="3" t="n">
        <v>34</v>
      </c>
      <c r="K1716" s="3" t="n">
        <v>17325.71</v>
      </c>
      <c r="L1716" s="3" t="n">
        <v>589074.14</v>
      </c>
      <c r="M1716" s="3" t="n">
        <v>0.0336</v>
      </c>
      <c r="N1716" s="3" t="n">
        <v>19792.89</v>
      </c>
      <c r="O1716" s="3" t="n">
        <v>569281.25</v>
      </c>
      <c r="P1716" s="3" t="n">
        <v>365225.97</v>
      </c>
      <c r="Q1716" s="3" t="n">
        <v>204055.28</v>
      </c>
      <c r="R1716" s="3" t="n">
        <v>0.3584</v>
      </c>
      <c r="S1716" s="3" t="n">
        <v>0.0283</v>
      </c>
      <c r="T1716" s="3" t="n">
        <v>0.0053</v>
      </c>
    </row>
    <row r="1717" customFormat="false" ht="15" hidden="false" customHeight="true" outlineLevel="0" collapsed="false">
      <c r="A1717" s="3" t="s">
        <v>2652</v>
      </c>
      <c r="B1717" s="3" t="s">
        <v>1735</v>
      </c>
      <c r="C1717" s="3" t="s">
        <v>53</v>
      </c>
      <c r="D1717" s="3" t="s">
        <v>83</v>
      </c>
      <c r="E1717" s="3" t="s">
        <v>48</v>
      </c>
      <c r="F1717" s="3" t="s">
        <v>62</v>
      </c>
      <c r="G1717" s="3" t="s">
        <v>41</v>
      </c>
      <c r="H1717" s="3" t="s">
        <v>56</v>
      </c>
      <c r="I1717" s="3" t="s">
        <v>57</v>
      </c>
      <c r="J1717" s="3" t="n">
        <v>45</v>
      </c>
      <c r="K1717" s="3" t="n">
        <v>12295.42</v>
      </c>
      <c r="L1717" s="3" t="n">
        <v>553293.9</v>
      </c>
      <c r="M1717" s="3" t="n">
        <v>0.0956</v>
      </c>
      <c r="N1717" s="3" t="n">
        <v>52894.9</v>
      </c>
      <c r="O1717" s="3" t="n">
        <v>500399</v>
      </c>
      <c r="P1717" s="3" t="n">
        <v>331976.34</v>
      </c>
      <c r="Q1717" s="3" t="n">
        <v>168422.66</v>
      </c>
      <c r="R1717" s="3" t="n">
        <v>0.3366</v>
      </c>
      <c r="S1717" s="3" t="n">
        <v>0.0962</v>
      </c>
      <c r="T1717" s="3" t="n">
        <v>-0.0006</v>
      </c>
    </row>
    <row r="1718" customFormat="false" ht="15" hidden="false" customHeight="true" outlineLevel="0" collapsed="false">
      <c r="A1718" s="3" t="s">
        <v>2653</v>
      </c>
      <c r="B1718" s="3" t="s">
        <v>1621</v>
      </c>
      <c r="C1718" s="3" t="s">
        <v>68</v>
      </c>
      <c r="D1718" s="3" t="s">
        <v>32</v>
      </c>
      <c r="E1718" s="3" t="s">
        <v>33</v>
      </c>
      <c r="F1718" s="3" t="s">
        <v>25</v>
      </c>
      <c r="G1718" s="3" t="s">
        <v>71</v>
      </c>
      <c r="H1718" s="3" t="s">
        <v>77</v>
      </c>
      <c r="I1718" s="3" t="s">
        <v>78</v>
      </c>
      <c r="J1718" s="3" t="n">
        <v>31</v>
      </c>
      <c r="K1718" s="3" t="n">
        <v>1981.47</v>
      </c>
      <c r="L1718" s="3" t="n">
        <v>61425.57</v>
      </c>
      <c r="M1718" s="3" t="n">
        <v>0.1392</v>
      </c>
      <c r="N1718" s="3" t="n">
        <v>8550.44</v>
      </c>
      <c r="O1718" s="3" t="n">
        <v>52875.13</v>
      </c>
      <c r="P1718" s="3" t="n">
        <v>41769.39</v>
      </c>
      <c r="Q1718" s="3" t="n">
        <v>11105.74</v>
      </c>
      <c r="R1718" s="3" t="n">
        <v>0.21</v>
      </c>
      <c r="S1718" s="3" t="n">
        <v>0.1242</v>
      </c>
      <c r="T1718" s="3" t="n">
        <v>0.015</v>
      </c>
    </row>
    <row r="1719" customFormat="false" ht="15" hidden="false" customHeight="true" outlineLevel="0" collapsed="false">
      <c r="A1719" s="3" t="s">
        <v>2654</v>
      </c>
      <c r="B1719" s="3" t="s">
        <v>2655</v>
      </c>
      <c r="C1719" s="3" t="s">
        <v>60</v>
      </c>
      <c r="D1719" s="3" t="s">
        <v>23</v>
      </c>
      <c r="E1719" s="3" t="s">
        <v>24</v>
      </c>
      <c r="F1719" s="3" t="s">
        <v>25</v>
      </c>
      <c r="G1719" s="3" t="s">
        <v>34</v>
      </c>
      <c r="H1719" s="3" t="s">
        <v>77</v>
      </c>
      <c r="I1719" s="3" t="s">
        <v>78</v>
      </c>
      <c r="J1719" s="3" t="n">
        <v>20</v>
      </c>
      <c r="K1719" s="3" t="n">
        <v>5012.44</v>
      </c>
      <c r="L1719" s="3" t="n">
        <v>100248.8</v>
      </c>
      <c r="M1719" s="3" t="n">
        <v>0.1586</v>
      </c>
      <c r="N1719" s="3" t="n">
        <v>15899.46</v>
      </c>
      <c r="O1719" s="3" t="n">
        <v>84349.34</v>
      </c>
      <c r="P1719" s="3" t="n">
        <v>68169.18</v>
      </c>
      <c r="Q1719" s="3" t="n">
        <v>16180.16</v>
      </c>
      <c r="R1719" s="3" t="n">
        <v>0.1918</v>
      </c>
      <c r="S1719" s="3" t="n">
        <v>0.1286</v>
      </c>
      <c r="T1719" s="3" t="n">
        <v>0.03</v>
      </c>
    </row>
    <row r="1720" customFormat="false" ht="15" hidden="false" customHeight="true" outlineLevel="0" collapsed="false">
      <c r="A1720" s="3" t="s">
        <v>2656</v>
      </c>
      <c r="B1720" s="3" t="s">
        <v>1240</v>
      </c>
      <c r="C1720" s="3" t="s">
        <v>37</v>
      </c>
      <c r="D1720" s="3" t="s">
        <v>32</v>
      </c>
      <c r="E1720" s="3" t="s">
        <v>33</v>
      </c>
      <c r="F1720" s="3" t="s">
        <v>25</v>
      </c>
      <c r="G1720" s="3" t="s">
        <v>41</v>
      </c>
      <c r="H1720" s="3" t="s">
        <v>56</v>
      </c>
      <c r="I1720" s="3" t="s">
        <v>188</v>
      </c>
      <c r="J1720" s="3" t="n">
        <v>29</v>
      </c>
      <c r="K1720" s="3" t="n">
        <v>3722.79</v>
      </c>
      <c r="L1720" s="3" t="n">
        <v>107960.91</v>
      </c>
      <c r="M1720" s="3" t="n">
        <v>0.1654</v>
      </c>
      <c r="N1720" s="3" t="n">
        <v>17856.73</v>
      </c>
      <c r="O1720" s="3" t="n">
        <v>90104.18</v>
      </c>
      <c r="P1720" s="3" t="n">
        <v>64776.55</v>
      </c>
      <c r="Q1720" s="3" t="n">
        <v>25327.63</v>
      </c>
      <c r="R1720" s="3" t="n">
        <v>0.2811</v>
      </c>
      <c r="S1720" s="3" t="n">
        <v>0.1665</v>
      </c>
      <c r="T1720" s="3" t="n">
        <v>-0.0011</v>
      </c>
    </row>
    <row r="1721" customFormat="false" ht="15" hidden="false" customHeight="true" outlineLevel="0" collapsed="false">
      <c r="A1721" s="3" t="s">
        <v>2657</v>
      </c>
      <c r="B1721" s="3" t="s">
        <v>1163</v>
      </c>
      <c r="C1721" s="3" t="s">
        <v>126</v>
      </c>
      <c r="D1721" s="3" t="s">
        <v>38</v>
      </c>
      <c r="E1721" s="3" t="s">
        <v>39</v>
      </c>
      <c r="F1721" s="3" t="s">
        <v>40</v>
      </c>
      <c r="G1721" s="3" t="s">
        <v>63</v>
      </c>
      <c r="H1721" s="3" t="s">
        <v>64</v>
      </c>
      <c r="I1721" s="3" t="s">
        <v>90</v>
      </c>
      <c r="J1721" s="3" t="n">
        <v>42</v>
      </c>
      <c r="K1721" s="3" t="n">
        <v>6688.93</v>
      </c>
      <c r="L1721" s="3" t="n">
        <v>280935.06</v>
      </c>
      <c r="M1721" s="3" t="n">
        <v>0.0634</v>
      </c>
      <c r="N1721" s="3" t="n">
        <v>17811.28</v>
      </c>
      <c r="O1721" s="3" t="n">
        <v>263123.78</v>
      </c>
      <c r="P1721" s="3" t="n">
        <v>162942.33</v>
      </c>
      <c r="Q1721" s="3" t="n">
        <v>100181.45</v>
      </c>
      <c r="R1721" s="3" t="n">
        <v>0.3807</v>
      </c>
      <c r="S1721" s="3" t="n">
        <v>0.0686</v>
      </c>
      <c r="T1721" s="3" t="n">
        <v>-0.0052</v>
      </c>
    </row>
    <row r="1722" customFormat="false" ht="15" hidden="false" customHeight="true" outlineLevel="0" collapsed="false">
      <c r="A1722" s="3" t="s">
        <v>2658</v>
      </c>
      <c r="B1722" s="3" t="s">
        <v>1036</v>
      </c>
      <c r="C1722" s="3" t="s">
        <v>156</v>
      </c>
      <c r="D1722" s="3" t="s">
        <v>69</v>
      </c>
      <c r="E1722" s="3" t="s">
        <v>39</v>
      </c>
      <c r="F1722" s="3" t="s">
        <v>70</v>
      </c>
      <c r="G1722" s="3" t="s">
        <v>104</v>
      </c>
      <c r="H1722" s="3" t="s">
        <v>77</v>
      </c>
      <c r="I1722" s="3" t="s">
        <v>85</v>
      </c>
      <c r="J1722" s="3" t="n">
        <v>26</v>
      </c>
      <c r="K1722" s="3" t="n">
        <v>2948.2</v>
      </c>
      <c r="L1722" s="3" t="n">
        <v>76653.2</v>
      </c>
      <c r="M1722" s="3" t="n">
        <v>0.0622</v>
      </c>
      <c r="N1722" s="3" t="n">
        <v>4767.83</v>
      </c>
      <c r="O1722" s="3" t="n">
        <v>71885.37</v>
      </c>
      <c r="P1722" s="3" t="n">
        <v>52124.18</v>
      </c>
      <c r="Q1722" s="3" t="n">
        <v>19761.19</v>
      </c>
      <c r="R1722" s="3" t="n">
        <v>0.2749</v>
      </c>
      <c r="S1722" s="3" t="n">
        <v>0.0655</v>
      </c>
      <c r="T1722" s="3" t="n">
        <v>-0.0033</v>
      </c>
    </row>
    <row r="1723" customFormat="false" ht="15" hidden="false" customHeight="true" outlineLevel="0" collapsed="false">
      <c r="A1723" s="3" t="s">
        <v>2659</v>
      </c>
      <c r="B1723" s="3" t="s">
        <v>649</v>
      </c>
      <c r="C1723" s="3" t="s">
        <v>37</v>
      </c>
      <c r="D1723" s="3" t="s">
        <v>54</v>
      </c>
      <c r="E1723" s="3" t="s">
        <v>24</v>
      </c>
      <c r="F1723" s="3" t="s">
        <v>40</v>
      </c>
      <c r="G1723" s="3" t="s">
        <v>84</v>
      </c>
      <c r="H1723" s="3" t="s">
        <v>77</v>
      </c>
      <c r="I1723" s="3" t="s">
        <v>131</v>
      </c>
      <c r="J1723" s="3" t="n">
        <v>26</v>
      </c>
      <c r="K1723" s="3" t="n">
        <v>3424.82</v>
      </c>
      <c r="L1723" s="3" t="n">
        <v>89045.32</v>
      </c>
      <c r="M1723" s="3" t="n">
        <v>0.0692</v>
      </c>
      <c r="N1723" s="3" t="n">
        <v>6161.94</v>
      </c>
      <c r="O1723" s="3" t="n">
        <v>82883.38</v>
      </c>
      <c r="P1723" s="3" t="n">
        <v>60550.82</v>
      </c>
      <c r="Q1723" s="3" t="n">
        <v>22332.56</v>
      </c>
      <c r="R1723" s="3" t="n">
        <v>0.2694</v>
      </c>
      <c r="S1723" s="3" t="n">
        <v>0.0647</v>
      </c>
      <c r="T1723" s="3" t="n">
        <v>0.0045</v>
      </c>
    </row>
    <row r="1724" customFormat="false" ht="15" hidden="false" customHeight="true" outlineLevel="0" collapsed="false">
      <c r="A1724" s="3" t="s">
        <v>2660</v>
      </c>
      <c r="B1724" s="3" t="s">
        <v>1121</v>
      </c>
      <c r="C1724" s="3" t="s">
        <v>113</v>
      </c>
      <c r="D1724" s="3" t="s">
        <v>103</v>
      </c>
      <c r="E1724" s="3" t="s">
        <v>24</v>
      </c>
      <c r="F1724" s="3" t="s">
        <v>62</v>
      </c>
      <c r="G1724" s="3" t="s">
        <v>49</v>
      </c>
      <c r="H1724" s="3" t="s">
        <v>77</v>
      </c>
      <c r="I1724" s="3" t="s">
        <v>85</v>
      </c>
      <c r="J1724" s="3" t="n">
        <v>49</v>
      </c>
      <c r="K1724" s="3" t="n">
        <v>5798.71</v>
      </c>
      <c r="L1724" s="3" t="n">
        <v>284136.79</v>
      </c>
      <c r="M1724" s="3" t="n">
        <v>0.0583</v>
      </c>
      <c r="N1724" s="3" t="n">
        <v>16565.17</v>
      </c>
      <c r="O1724" s="3" t="n">
        <v>267571.62</v>
      </c>
      <c r="P1724" s="3" t="n">
        <v>193213.02</v>
      </c>
      <c r="Q1724" s="3" t="n">
        <v>74358.6</v>
      </c>
      <c r="R1724" s="3" t="n">
        <v>0.2779</v>
      </c>
      <c r="S1724" s="3" t="n">
        <v>0.0468</v>
      </c>
      <c r="T1724" s="3" t="n">
        <v>0.0115</v>
      </c>
    </row>
    <row r="1725" customFormat="false" ht="15" hidden="false" customHeight="true" outlineLevel="0" collapsed="false">
      <c r="A1725" s="3" t="s">
        <v>2661</v>
      </c>
      <c r="B1725" s="3" t="s">
        <v>2662</v>
      </c>
      <c r="C1725" s="3" t="s">
        <v>68</v>
      </c>
      <c r="D1725" s="3" t="s">
        <v>75</v>
      </c>
      <c r="E1725" s="3" t="s">
        <v>39</v>
      </c>
      <c r="F1725" s="3" t="s">
        <v>25</v>
      </c>
      <c r="G1725" s="3" t="s">
        <v>116</v>
      </c>
      <c r="H1725" s="3" t="s">
        <v>42</v>
      </c>
      <c r="I1725" s="3" t="s">
        <v>134</v>
      </c>
      <c r="J1725" s="3" t="n">
        <v>22</v>
      </c>
      <c r="K1725" s="3" t="n">
        <v>2204.13</v>
      </c>
      <c r="L1725" s="3" t="n">
        <v>48490.86</v>
      </c>
      <c r="M1725" s="3" t="n">
        <v>0.1777</v>
      </c>
      <c r="N1725" s="3" t="n">
        <v>8616.83</v>
      </c>
      <c r="O1725" s="3" t="n">
        <v>39874.03</v>
      </c>
      <c r="P1725" s="3" t="n">
        <v>26669.97</v>
      </c>
      <c r="Q1725" s="3" t="n">
        <v>13204.06</v>
      </c>
      <c r="R1725" s="3" t="n">
        <v>0.3311</v>
      </c>
      <c r="S1725" s="3" t="n">
        <v>0.1932</v>
      </c>
      <c r="T1725" s="3" t="n">
        <v>-0.0155</v>
      </c>
    </row>
    <row r="1726" customFormat="false" ht="15" hidden="false" customHeight="true" outlineLevel="0" collapsed="false">
      <c r="A1726" s="3" t="s">
        <v>2663</v>
      </c>
      <c r="B1726" s="3" t="s">
        <v>2524</v>
      </c>
      <c r="C1726" s="3" t="s">
        <v>46</v>
      </c>
      <c r="D1726" s="3" t="s">
        <v>69</v>
      </c>
      <c r="E1726" s="3" t="s">
        <v>39</v>
      </c>
      <c r="F1726" s="3" t="s">
        <v>70</v>
      </c>
      <c r="G1726" s="3" t="s">
        <v>104</v>
      </c>
      <c r="H1726" s="3" t="s">
        <v>64</v>
      </c>
      <c r="I1726" s="3" t="s">
        <v>90</v>
      </c>
      <c r="J1726" s="3" t="n">
        <v>41</v>
      </c>
      <c r="K1726" s="3" t="n">
        <v>9937.74</v>
      </c>
      <c r="L1726" s="3" t="n">
        <v>407447.34</v>
      </c>
      <c r="M1726" s="3" t="n">
        <v>0.0818</v>
      </c>
      <c r="N1726" s="3" t="n">
        <v>33329.19</v>
      </c>
      <c r="O1726" s="3" t="n">
        <v>374118.15</v>
      </c>
      <c r="P1726" s="3" t="n">
        <v>236319.46</v>
      </c>
      <c r="Q1726" s="3" t="n">
        <v>137798.69</v>
      </c>
      <c r="R1726" s="3" t="n">
        <v>0.3683</v>
      </c>
      <c r="S1726" s="3" t="n">
        <v>0.0737</v>
      </c>
      <c r="T1726" s="3" t="n">
        <v>0.0081</v>
      </c>
    </row>
    <row r="1727" customFormat="false" ht="15" hidden="false" customHeight="true" outlineLevel="0" collapsed="false">
      <c r="A1727" s="3" t="s">
        <v>2664</v>
      </c>
      <c r="B1727" s="3" t="s">
        <v>2665</v>
      </c>
      <c r="C1727" s="3" t="s">
        <v>68</v>
      </c>
      <c r="D1727" s="3" t="s">
        <v>61</v>
      </c>
      <c r="E1727" s="3" t="s">
        <v>33</v>
      </c>
      <c r="F1727" s="3" t="s">
        <v>62</v>
      </c>
      <c r="G1727" s="3" t="s">
        <v>34</v>
      </c>
      <c r="H1727" s="3" t="s">
        <v>77</v>
      </c>
      <c r="I1727" s="3" t="s">
        <v>85</v>
      </c>
      <c r="J1727" s="3" t="n">
        <v>22</v>
      </c>
      <c r="K1727" s="3" t="n">
        <v>2213.1</v>
      </c>
      <c r="L1727" s="3" t="n">
        <v>48688.2</v>
      </c>
      <c r="M1727" s="3" t="n">
        <v>0.1183</v>
      </c>
      <c r="N1727" s="3" t="n">
        <v>5759.81</v>
      </c>
      <c r="O1727" s="3" t="n">
        <v>42928.39</v>
      </c>
      <c r="P1727" s="3" t="n">
        <v>33107.98</v>
      </c>
      <c r="Q1727" s="3" t="n">
        <v>9820.41</v>
      </c>
      <c r="R1727" s="3" t="n">
        <v>0.2288</v>
      </c>
      <c r="S1727" s="3" t="n">
        <v>0.1044</v>
      </c>
      <c r="T1727" s="3" t="n">
        <v>0.0139</v>
      </c>
    </row>
    <row r="1728" customFormat="false" ht="15" hidden="false" customHeight="true" outlineLevel="0" collapsed="false">
      <c r="A1728" s="3" t="s">
        <v>2666</v>
      </c>
      <c r="B1728" s="3" t="s">
        <v>1655</v>
      </c>
      <c r="C1728" s="3" t="s">
        <v>156</v>
      </c>
      <c r="D1728" s="3" t="s">
        <v>47</v>
      </c>
      <c r="E1728" s="3" t="s">
        <v>48</v>
      </c>
      <c r="F1728" s="3" t="s">
        <v>25</v>
      </c>
      <c r="G1728" s="3" t="s">
        <v>55</v>
      </c>
      <c r="H1728" s="3" t="s">
        <v>56</v>
      </c>
      <c r="I1728" s="3" t="s">
        <v>121</v>
      </c>
      <c r="J1728" s="3" t="n">
        <v>13</v>
      </c>
      <c r="K1728" s="3" t="n">
        <v>16825.25</v>
      </c>
      <c r="L1728" s="3" t="n">
        <v>218728.25</v>
      </c>
      <c r="M1728" s="3" t="n">
        <v>0.1677</v>
      </c>
      <c r="N1728" s="3" t="n">
        <v>36680.73</v>
      </c>
      <c r="O1728" s="3" t="n">
        <v>182047.52</v>
      </c>
      <c r="P1728" s="3" t="n">
        <v>131236.95</v>
      </c>
      <c r="Q1728" s="3" t="n">
        <v>50810.57</v>
      </c>
      <c r="R1728" s="3" t="n">
        <v>0.2791</v>
      </c>
      <c r="S1728" s="3" t="n">
        <v>0.1571</v>
      </c>
      <c r="T1728" s="3" t="n">
        <v>0.0106</v>
      </c>
    </row>
    <row r="1729" customFormat="false" ht="15" hidden="false" customHeight="true" outlineLevel="0" collapsed="false">
      <c r="A1729" s="3" t="s">
        <v>2667</v>
      </c>
      <c r="B1729" s="3" t="s">
        <v>2651</v>
      </c>
      <c r="C1729" s="3" t="s">
        <v>126</v>
      </c>
      <c r="D1729" s="3" t="s">
        <v>97</v>
      </c>
      <c r="E1729" s="3" t="s">
        <v>48</v>
      </c>
      <c r="F1729" s="3" t="s">
        <v>40</v>
      </c>
      <c r="G1729" s="3" t="s">
        <v>76</v>
      </c>
      <c r="H1729" s="3" t="s">
        <v>56</v>
      </c>
      <c r="I1729" s="3" t="s">
        <v>121</v>
      </c>
      <c r="J1729" s="3" t="n">
        <v>49</v>
      </c>
      <c r="K1729" s="3" t="n">
        <v>10620.68</v>
      </c>
      <c r="L1729" s="3" t="n">
        <v>520413.32</v>
      </c>
      <c r="M1729" s="3" t="n">
        <v>0.0528</v>
      </c>
      <c r="N1729" s="3" t="n">
        <v>27477.82</v>
      </c>
      <c r="O1729" s="3" t="n">
        <v>492935.5</v>
      </c>
      <c r="P1729" s="3" t="n">
        <v>312247.99</v>
      </c>
      <c r="Q1729" s="3" t="n">
        <v>180687.51</v>
      </c>
      <c r="R1729" s="3" t="n">
        <v>0.3666</v>
      </c>
      <c r="S1729" s="3" t="n">
        <v>0.0475</v>
      </c>
      <c r="T1729" s="3" t="n">
        <v>0.0053</v>
      </c>
    </row>
    <row r="1730" customFormat="false" ht="15" hidden="false" customHeight="true" outlineLevel="0" collapsed="false">
      <c r="A1730" s="3" t="s">
        <v>2668</v>
      </c>
      <c r="B1730" s="3" t="s">
        <v>1119</v>
      </c>
      <c r="C1730" s="3" t="s">
        <v>53</v>
      </c>
      <c r="D1730" s="3" t="s">
        <v>47</v>
      </c>
      <c r="E1730" s="3" t="s">
        <v>48</v>
      </c>
      <c r="F1730" s="3" t="s">
        <v>25</v>
      </c>
      <c r="G1730" s="3" t="s">
        <v>116</v>
      </c>
      <c r="H1730" s="3" t="s">
        <v>56</v>
      </c>
      <c r="I1730" s="3" t="s">
        <v>121</v>
      </c>
      <c r="J1730" s="3" t="n">
        <v>27</v>
      </c>
      <c r="K1730" s="3" t="n">
        <v>9592.28</v>
      </c>
      <c r="L1730" s="3" t="n">
        <v>258991.56</v>
      </c>
      <c r="M1730" s="3" t="n">
        <v>0.2339</v>
      </c>
      <c r="N1730" s="3" t="n">
        <v>60578.13</v>
      </c>
      <c r="O1730" s="3" t="n">
        <v>198413.43</v>
      </c>
      <c r="P1730" s="3" t="n">
        <v>155394.94</v>
      </c>
      <c r="Q1730" s="3" t="n">
        <v>43018.49</v>
      </c>
      <c r="R1730" s="3" t="n">
        <v>0.2168</v>
      </c>
      <c r="S1730" s="3" t="n">
        <v>0.2519</v>
      </c>
      <c r="T1730" s="3" t="n">
        <v>-0.018</v>
      </c>
    </row>
    <row r="1731" customFormat="false" ht="15" hidden="false" customHeight="true" outlineLevel="0" collapsed="false">
      <c r="A1731" s="3" t="s">
        <v>2669</v>
      </c>
      <c r="B1731" s="3" t="s">
        <v>2670</v>
      </c>
      <c r="C1731" s="3" t="s">
        <v>53</v>
      </c>
      <c r="D1731" s="3" t="s">
        <v>38</v>
      </c>
      <c r="E1731" s="3" t="s">
        <v>39</v>
      </c>
      <c r="F1731" s="3" t="s">
        <v>40</v>
      </c>
      <c r="G1731" s="3" t="s">
        <v>76</v>
      </c>
      <c r="H1731" s="3" t="s">
        <v>64</v>
      </c>
      <c r="I1731" s="3" t="s">
        <v>90</v>
      </c>
      <c r="J1731" s="3" t="n">
        <v>42</v>
      </c>
      <c r="K1731" s="3" t="n">
        <v>5702.54</v>
      </c>
      <c r="L1731" s="3" t="n">
        <v>239506.68</v>
      </c>
      <c r="M1731" s="3" t="n">
        <v>0.0726</v>
      </c>
      <c r="N1731" s="3" t="n">
        <v>17388.18</v>
      </c>
      <c r="O1731" s="3" t="n">
        <v>222118.5</v>
      </c>
      <c r="P1731" s="3" t="n">
        <v>138913.87</v>
      </c>
      <c r="Q1731" s="3" t="n">
        <v>83204.63</v>
      </c>
      <c r="R1731" s="3" t="n">
        <v>0.3746</v>
      </c>
      <c r="S1731" s="3" t="n">
        <v>0.0726</v>
      </c>
      <c r="T1731" s="3" t="n">
        <v>0</v>
      </c>
    </row>
    <row r="1732" customFormat="false" ht="15" hidden="false" customHeight="true" outlineLevel="0" collapsed="false">
      <c r="A1732" s="3" t="s">
        <v>2671</v>
      </c>
      <c r="B1732" s="3" t="s">
        <v>1938</v>
      </c>
      <c r="C1732" s="3" t="s">
        <v>93</v>
      </c>
      <c r="D1732" s="3" t="s">
        <v>38</v>
      </c>
      <c r="E1732" s="3" t="s">
        <v>39</v>
      </c>
      <c r="F1732" s="3" t="s">
        <v>40</v>
      </c>
      <c r="G1732" s="3" t="s">
        <v>76</v>
      </c>
      <c r="H1732" s="3" t="s">
        <v>42</v>
      </c>
      <c r="I1732" s="3" t="s">
        <v>134</v>
      </c>
      <c r="J1732" s="3" t="n">
        <v>15</v>
      </c>
      <c r="K1732" s="3" t="n">
        <v>515</v>
      </c>
      <c r="L1732" s="3" t="n">
        <v>7725</v>
      </c>
      <c r="M1732" s="3" t="n">
        <v>0.032</v>
      </c>
      <c r="N1732" s="3" t="n">
        <v>247.2</v>
      </c>
      <c r="O1732" s="3" t="n">
        <v>7477.8</v>
      </c>
      <c r="P1732" s="3" t="n">
        <v>4248.75</v>
      </c>
      <c r="Q1732" s="3" t="n">
        <v>3229.05</v>
      </c>
      <c r="R1732" s="3" t="n">
        <v>0.4318</v>
      </c>
      <c r="S1732" s="3" t="n">
        <v>0.0279</v>
      </c>
      <c r="T1732" s="3" t="n">
        <v>0.0041</v>
      </c>
    </row>
    <row r="1733" customFormat="false" ht="15" hidden="false" customHeight="true" outlineLevel="0" collapsed="false">
      <c r="A1733" s="3" t="s">
        <v>2672</v>
      </c>
      <c r="B1733" s="3" t="s">
        <v>1255</v>
      </c>
      <c r="C1733" s="3" t="s">
        <v>156</v>
      </c>
      <c r="D1733" s="3" t="s">
        <v>32</v>
      </c>
      <c r="E1733" s="3" t="s">
        <v>33</v>
      </c>
      <c r="F1733" s="3" t="s">
        <v>25</v>
      </c>
      <c r="G1733" s="3" t="s">
        <v>116</v>
      </c>
      <c r="H1733" s="3" t="s">
        <v>77</v>
      </c>
      <c r="I1733" s="3" t="s">
        <v>131</v>
      </c>
      <c r="J1733" s="3" t="n">
        <v>18</v>
      </c>
      <c r="K1733" s="3" t="n">
        <v>5051.48</v>
      </c>
      <c r="L1733" s="3" t="n">
        <v>90926.64</v>
      </c>
      <c r="M1733" s="3" t="n">
        <v>0.2263</v>
      </c>
      <c r="N1733" s="3" t="n">
        <v>20576.7</v>
      </c>
      <c r="O1733" s="3" t="n">
        <v>70349.94</v>
      </c>
      <c r="P1733" s="3" t="n">
        <v>61830.12</v>
      </c>
      <c r="Q1733" s="3" t="n">
        <v>8519.82</v>
      </c>
      <c r="R1733" s="3" t="n">
        <v>0.1211</v>
      </c>
      <c r="S1733" s="3" t="n">
        <v>0.2151</v>
      </c>
      <c r="T1733" s="3" t="n">
        <v>0.0112</v>
      </c>
    </row>
    <row r="1734" customFormat="false" ht="15" hidden="false" customHeight="true" outlineLevel="0" collapsed="false">
      <c r="A1734" s="3" t="s">
        <v>2673</v>
      </c>
      <c r="B1734" s="3" t="s">
        <v>292</v>
      </c>
      <c r="C1734" s="3" t="s">
        <v>126</v>
      </c>
      <c r="D1734" s="3" t="s">
        <v>97</v>
      </c>
      <c r="E1734" s="3" t="s">
        <v>48</v>
      </c>
      <c r="F1734" s="3" t="s">
        <v>40</v>
      </c>
      <c r="G1734" s="3" t="s">
        <v>71</v>
      </c>
      <c r="H1734" s="3" t="s">
        <v>42</v>
      </c>
      <c r="I1734" s="3" t="s">
        <v>72</v>
      </c>
      <c r="J1734" s="3" t="n">
        <v>38</v>
      </c>
      <c r="K1734" s="3" t="n">
        <v>679.18</v>
      </c>
      <c r="L1734" s="3" t="n">
        <v>25808.84</v>
      </c>
      <c r="M1734" s="3" t="n">
        <v>0.0407</v>
      </c>
      <c r="N1734" s="3" t="n">
        <v>1050.42</v>
      </c>
      <c r="O1734" s="3" t="n">
        <v>24758.42</v>
      </c>
      <c r="P1734" s="3" t="n">
        <v>14194.86</v>
      </c>
      <c r="Q1734" s="3" t="n">
        <v>10563.56</v>
      </c>
      <c r="R1734" s="3" t="n">
        <v>0.4267</v>
      </c>
      <c r="S1734" s="3" t="n">
        <v>0.042</v>
      </c>
      <c r="T1734" s="3" t="n">
        <v>-0.0013</v>
      </c>
    </row>
    <row r="1735" customFormat="false" ht="15" hidden="false" customHeight="true" outlineLevel="0" collapsed="false">
      <c r="A1735" s="3" t="s">
        <v>2674</v>
      </c>
      <c r="B1735" s="3" t="s">
        <v>1671</v>
      </c>
      <c r="C1735" s="3" t="s">
        <v>156</v>
      </c>
      <c r="D1735" s="3" t="s">
        <v>69</v>
      </c>
      <c r="E1735" s="3" t="s">
        <v>39</v>
      </c>
      <c r="F1735" s="3" t="s">
        <v>70</v>
      </c>
      <c r="G1735" s="3" t="s">
        <v>26</v>
      </c>
      <c r="H1735" s="3" t="s">
        <v>77</v>
      </c>
      <c r="I1735" s="3" t="s">
        <v>85</v>
      </c>
      <c r="J1735" s="3" t="n">
        <v>35</v>
      </c>
      <c r="K1735" s="3" t="n">
        <v>2777.22</v>
      </c>
      <c r="L1735" s="3" t="n">
        <v>97202.7</v>
      </c>
      <c r="M1735" s="3" t="n">
        <v>0.0628</v>
      </c>
      <c r="N1735" s="3" t="n">
        <v>6104.33</v>
      </c>
      <c r="O1735" s="3" t="n">
        <v>91098.37</v>
      </c>
      <c r="P1735" s="3" t="n">
        <v>66097.84</v>
      </c>
      <c r="Q1735" s="3" t="n">
        <v>25000.53</v>
      </c>
      <c r="R1735" s="3" t="n">
        <v>0.2744</v>
      </c>
      <c r="S1735" s="3" t="n">
        <v>0.0632</v>
      </c>
      <c r="T1735" s="3" t="n">
        <v>-0.0004</v>
      </c>
    </row>
    <row r="1736" customFormat="false" ht="15" hidden="false" customHeight="true" outlineLevel="0" collapsed="false">
      <c r="A1736" s="3" t="s">
        <v>2675</v>
      </c>
      <c r="B1736" s="3" t="s">
        <v>1868</v>
      </c>
      <c r="C1736" s="3" t="s">
        <v>53</v>
      </c>
      <c r="D1736" s="3" t="s">
        <v>61</v>
      </c>
      <c r="E1736" s="3" t="s">
        <v>33</v>
      </c>
      <c r="F1736" s="3" t="s">
        <v>62</v>
      </c>
      <c r="G1736" s="3" t="s">
        <v>34</v>
      </c>
      <c r="H1736" s="3" t="s">
        <v>42</v>
      </c>
      <c r="I1736" s="3" t="s">
        <v>72</v>
      </c>
      <c r="J1736" s="3" t="n">
        <v>2</v>
      </c>
      <c r="K1736" s="3" t="n">
        <v>3813.02</v>
      </c>
      <c r="L1736" s="3" t="n">
        <v>7626.04</v>
      </c>
      <c r="M1736" s="3" t="n">
        <v>0.0922</v>
      </c>
      <c r="N1736" s="3" t="n">
        <v>703.12</v>
      </c>
      <c r="O1736" s="3" t="n">
        <v>6922.92</v>
      </c>
      <c r="P1736" s="3" t="n">
        <v>4194.32</v>
      </c>
      <c r="Q1736" s="3" t="n">
        <v>2728.6</v>
      </c>
      <c r="R1736" s="3" t="n">
        <v>0.3941</v>
      </c>
      <c r="S1736" s="3" t="n">
        <v>0.0784</v>
      </c>
      <c r="T1736" s="3" t="n">
        <v>0.0138</v>
      </c>
    </row>
    <row r="1737" customFormat="false" ht="15" hidden="false" customHeight="true" outlineLevel="0" collapsed="false">
      <c r="A1737" s="3" t="s">
        <v>2676</v>
      </c>
      <c r="B1737" s="3" t="s">
        <v>258</v>
      </c>
      <c r="C1737" s="3" t="s">
        <v>126</v>
      </c>
      <c r="D1737" s="3" t="s">
        <v>54</v>
      </c>
      <c r="E1737" s="3" t="s">
        <v>24</v>
      </c>
      <c r="F1737" s="3" t="s">
        <v>40</v>
      </c>
      <c r="G1737" s="3" t="s">
        <v>41</v>
      </c>
      <c r="H1737" s="3" t="s">
        <v>42</v>
      </c>
      <c r="I1737" s="3" t="s">
        <v>134</v>
      </c>
      <c r="J1737" s="3" t="n">
        <v>14</v>
      </c>
      <c r="K1737" s="3" t="n">
        <v>3670.84</v>
      </c>
      <c r="L1737" s="3" t="n">
        <v>51391.76</v>
      </c>
      <c r="M1737" s="3" t="n">
        <v>0.1009</v>
      </c>
      <c r="N1737" s="3" t="n">
        <v>5185.43</v>
      </c>
      <c r="O1737" s="3" t="n">
        <v>46206.33</v>
      </c>
      <c r="P1737" s="3" t="n">
        <v>28265.47</v>
      </c>
      <c r="Q1737" s="3" t="n">
        <v>17940.86</v>
      </c>
      <c r="R1737" s="3" t="n">
        <v>0.3883</v>
      </c>
      <c r="S1737" s="3" t="n">
        <v>0.0901</v>
      </c>
      <c r="T1737" s="3" t="n">
        <v>0.0108</v>
      </c>
    </row>
    <row r="1738" customFormat="false" ht="15" hidden="false" customHeight="true" outlineLevel="0" collapsed="false">
      <c r="A1738" s="3" t="s">
        <v>2677</v>
      </c>
      <c r="B1738" s="3" t="s">
        <v>1723</v>
      </c>
      <c r="C1738" s="3" t="s">
        <v>156</v>
      </c>
      <c r="D1738" s="3" t="s">
        <v>107</v>
      </c>
      <c r="E1738" s="3" t="s">
        <v>33</v>
      </c>
      <c r="F1738" s="3" t="s">
        <v>70</v>
      </c>
      <c r="G1738" s="3" t="s">
        <v>116</v>
      </c>
      <c r="H1738" s="3" t="s">
        <v>56</v>
      </c>
      <c r="I1738" s="3" t="s">
        <v>121</v>
      </c>
      <c r="J1738" s="3" t="n">
        <v>10</v>
      </c>
      <c r="K1738" s="3" t="n">
        <v>3219.61</v>
      </c>
      <c r="L1738" s="3" t="n">
        <v>32196.1</v>
      </c>
      <c r="M1738" s="3" t="n">
        <v>0.1278</v>
      </c>
      <c r="N1738" s="3" t="n">
        <v>4114.66</v>
      </c>
      <c r="O1738" s="3" t="n">
        <v>28081.44</v>
      </c>
      <c r="P1738" s="3" t="n">
        <v>19317.66</v>
      </c>
      <c r="Q1738" s="3" t="n">
        <v>8763.78</v>
      </c>
      <c r="R1738" s="3" t="n">
        <v>0.3121</v>
      </c>
      <c r="S1738" s="3" t="n">
        <v>0.1388</v>
      </c>
      <c r="T1738" s="3" t="n">
        <v>-0.011</v>
      </c>
    </row>
    <row r="1739" customFormat="false" ht="15" hidden="false" customHeight="true" outlineLevel="0" collapsed="false">
      <c r="A1739" s="3" t="s">
        <v>2678</v>
      </c>
      <c r="B1739" s="3" t="s">
        <v>657</v>
      </c>
      <c r="C1739" s="3" t="s">
        <v>68</v>
      </c>
      <c r="D1739" s="3" t="s">
        <v>61</v>
      </c>
      <c r="E1739" s="3" t="s">
        <v>33</v>
      </c>
      <c r="F1739" s="3" t="s">
        <v>62</v>
      </c>
      <c r="G1739" s="3" t="s">
        <v>116</v>
      </c>
      <c r="H1739" s="3" t="s">
        <v>42</v>
      </c>
      <c r="I1739" s="3" t="s">
        <v>43</v>
      </c>
      <c r="J1739" s="3" t="n">
        <v>22</v>
      </c>
      <c r="K1739" s="3" t="n">
        <v>3177.15</v>
      </c>
      <c r="L1739" s="3" t="n">
        <v>69897.3</v>
      </c>
      <c r="M1739" s="3" t="n">
        <v>0.0867</v>
      </c>
      <c r="N1739" s="3" t="n">
        <v>6060.1</v>
      </c>
      <c r="O1739" s="3" t="n">
        <v>63837.2</v>
      </c>
      <c r="P1739" s="3" t="n">
        <v>38443.52</v>
      </c>
      <c r="Q1739" s="3" t="n">
        <v>25393.68</v>
      </c>
      <c r="R1739" s="3" t="n">
        <v>0.3978</v>
      </c>
      <c r="S1739" s="3" t="n">
        <v>0.0815</v>
      </c>
      <c r="T1739" s="3" t="n">
        <v>0.0052</v>
      </c>
    </row>
    <row r="1740" customFormat="false" ht="15" hidden="false" customHeight="true" outlineLevel="0" collapsed="false">
      <c r="A1740" s="3" t="s">
        <v>2679</v>
      </c>
      <c r="B1740" s="3" t="s">
        <v>2680</v>
      </c>
      <c r="C1740" s="3" t="s">
        <v>120</v>
      </c>
      <c r="D1740" s="3" t="s">
        <v>61</v>
      </c>
      <c r="E1740" s="3" t="s">
        <v>33</v>
      </c>
      <c r="F1740" s="3" t="s">
        <v>62</v>
      </c>
      <c r="G1740" s="3" t="s">
        <v>55</v>
      </c>
      <c r="H1740" s="3" t="s">
        <v>77</v>
      </c>
      <c r="I1740" s="3" t="s">
        <v>85</v>
      </c>
      <c r="J1740" s="3" t="n">
        <v>6</v>
      </c>
      <c r="K1740" s="3" t="n">
        <v>2535.84</v>
      </c>
      <c r="L1740" s="3" t="n">
        <v>15215.04</v>
      </c>
      <c r="M1740" s="3" t="n">
        <v>0.0478</v>
      </c>
      <c r="N1740" s="3" t="n">
        <v>727.28</v>
      </c>
      <c r="O1740" s="3" t="n">
        <v>14487.76</v>
      </c>
      <c r="P1740" s="3" t="n">
        <v>10346.23</v>
      </c>
      <c r="Q1740" s="3" t="n">
        <v>4141.53</v>
      </c>
      <c r="R1740" s="3" t="n">
        <v>0.2859</v>
      </c>
      <c r="S1740" s="3" t="n">
        <v>0.0433</v>
      </c>
      <c r="T1740" s="3" t="n">
        <v>0.0045</v>
      </c>
    </row>
    <row r="1741" customFormat="false" ht="15" hidden="false" customHeight="true" outlineLevel="0" collapsed="false">
      <c r="A1741" s="3" t="s">
        <v>2681</v>
      </c>
      <c r="B1741" s="3" t="s">
        <v>447</v>
      </c>
      <c r="C1741" s="3" t="s">
        <v>22</v>
      </c>
      <c r="D1741" s="3" t="s">
        <v>47</v>
      </c>
      <c r="E1741" s="3" t="s">
        <v>48</v>
      </c>
      <c r="F1741" s="3" t="s">
        <v>25</v>
      </c>
      <c r="G1741" s="3" t="s">
        <v>26</v>
      </c>
      <c r="H1741" s="3" t="s">
        <v>64</v>
      </c>
      <c r="I1741" s="3" t="s">
        <v>145</v>
      </c>
      <c r="J1741" s="3" t="n">
        <v>40</v>
      </c>
      <c r="K1741" s="3" t="n">
        <v>3164.05</v>
      </c>
      <c r="L1741" s="3" t="n">
        <v>126562</v>
      </c>
      <c r="M1741" s="3" t="n">
        <v>0.1737</v>
      </c>
      <c r="N1741" s="3" t="n">
        <v>21983.82</v>
      </c>
      <c r="O1741" s="3" t="n">
        <v>104578.18</v>
      </c>
      <c r="P1741" s="3" t="n">
        <v>73405.96</v>
      </c>
      <c r="Q1741" s="3" t="n">
        <v>31172.22</v>
      </c>
      <c r="R1741" s="3" t="n">
        <v>0.2981</v>
      </c>
      <c r="S1741" s="3" t="n">
        <v>0.1906</v>
      </c>
      <c r="T1741" s="3" t="n">
        <v>-0.0169</v>
      </c>
    </row>
    <row r="1742" customFormat="false" ht="15" hidden="false" customHeight="true" outlineLevel="0" collapsed="false">
      <c r="A1742" s="3" t="s">
        <v>2682</v>
      </c>
      <c r="B1742" s="3" t="s">
        <v>2544</v>
      </c>
      <c r="C1742" s="3" t="s">
        <v>37</v>
      </c>
      <c r="D1742" s="3" t="s">
        <v>75</v>
      </c>
      <c r="E1742" s="3" t="s">
        <v>39</v>
      </c>
      <c r="F1742" s="3" t="s">
        <v>25</v>
      </c>
      <c r="G1742" s="3" t="s">
        <v>41</v>
      </c>
      <c r="H1742" s="3" t="s">
        <v>64</v>
      </c>
      <c r="I1742" s="3" t="s">
        <v>145</v>
      </c>
      <c r="J1742" s="3" t="n">
        <v>45</v>
      </c>
      <c r="K1742" s="3" t="n">
        <v>7698.78</v>
      </c>
      <c r="L1742" s="3" t="n">
        <v>346445.1</v>
      </c>
      <c r="M1742" s="3" t="n">
        <v>0.192</v>
      </c>
      <c r="N1742" s="3" t="n">
        <v>66517.46</v>
      </c>
      <c r="O1742" s="3" t="n">
        <v>279927.64</v>
      </c>
      <c r="P1742" s="3" t="n">
        <v>200938.16</v>
      </c>
      <c r="Q1742" s="3" t="n">
        <v>78989.48</v>
      </c>
      <c r="R1742" s="3" t="n">
        <v>0.2822</v>
      </c>
      <c r="S1742" s="3" t="n">
        <v>0.1553</v>
      </c>
      <c r="T1742" s="3" t="n">
        <v>0.0367</v>
      </c>
    </row>
    <row r="1743" customFormat="false" ht="15" hidden="false" customHeight="true" outlineLevel="0" collapsed="false">
      <c r="A1743" s="3" t="s">
        <v>2683</v>
      </c>
      <c r="B1743" s="3" t="s">
        <v>929</v>
      </c>
      <c r="C1743" s="3" t="s">
        <v>93</v>
      </c>
      <c r="D1743" s="3" t="s">
        <v>47</v>
      </c>
      <c r="E1743" s="3" t="s">
        <v>48</v>
      </c>
      <c r="F1743" s="3" t="s">
        <v>25</v>
      </c>
      <c r="G1743" s="3" t="s">
        <v>100</v>
      </c>
      <c r="H1743" s="3" t="s">
        <v>77</v>
      </c>
      <c r="I1743" s="3" t="s">
        <v>131</v>
      </c>
      <c r="J1743" s="3" t="n">
        <v>26</v>
      </c>
      <c r="K1743" s="3" t="n">
        <v>4924.14</v>
      </c>
      <c r="L1743" s="3" t="n">
        <v>128027.64</v>
      </c>
      <c r="M1743" s="3" t="n">
        <v>0.0958</v>
      </c>
      <c r="N1743" s="3" t="n">
        <v>12265.05</v>
      </c>
      <c r="O1743" s="3" t="n">
        <v>115762.59</v>
      </c>
      <c r="P1743" s="3" t="n">
        <v>87058.8</v>
      </c>
      <c r="Q1743" s="3" t="n">
        <v>28703.79</v>
      </c>
      <c r="R1743" s="3" t="n">
        <v>0.248</v>
      </c>
      <c r="S1743" s="3" t="n">
        <v>0.0989</v>
      </c>
      <c r="T1743" s="3" t="n">
        <v>-0.0031</v>
      </c>
    </row>
    <row r="1744" customFormat="false" ht="15" hidden="false" customHeight="true" outlineLevel="0" collapsed="false">
      <c r="A1744" s="3" t="s">
        <v>2684</v>
      </c>
      <c r="B1744" s="3" t="s">
        <v>422</v>
      </c>
      <c r="C1744" s="3" t="s">
        <v>93</v>
      </c>
      <c r="D1744" s="3" t="s">
        <v>97</v>
      </c>
      <c r="E1744" s="3" t="s">
        <v>48</v>
      </c>
      <c r="F1744" s="3" t="s">
        <v>40</v>
      </c>
      <c r="G1744" s="3" t="s">
        <v>71</v>
      </c>
      <c r="H1744" s="3" t="s">
        <v>27</v>
      </c>
      <c r="I1744" s="3" t="s">
        <v>117</v>
      </c>
      <c r="J1744" s="3" t="n">
        <v>50</v>
      </c>
      <c r="K1744" s="3" t="n">
        <v>37881.48</v>
      </c>
      <c r="L1744" s="3" t="n">
        <v>1894074</v>
      </c>
      <c r="M1744" s="3" t="n">
        <v>0.0547</v>
      </c>
      <c r="N1744" s="3" t="n">
        <v>103605.85</v>
      </c>
      <c r="O1744" s="3" t="n">
        <v>1790468.15</v>
      </c>
      <c r="P1744" s="3" t="n">
        <v>1174325.88</v>
      </c>
      <c r="Q1744" s="3" t="n">
        <v>616142.27</v>
      </c>
      <c r="R1744" s="3" t="n">
        <v>0.3441</v>
      </c>
      <c r="S1744" s="3" t="n">
        <v>0.0501</v>
      </c>
      <c r="T1744" s="3" t="n">
        <v>0.0046</v>
      </c>
    </row>
    <row r="1745" customFormat="false" ht="15" hidden="false" customHeight="true" outlineLevel="0" collapsed="false">
      <c r="A1745" s="3" t="s">
        <v>2685</v>
      </c>
      <c r="B1745" s="3" t="s">
        <v>1001</v>
      </c>
      <c r="C1745" s="3" t="s">
        <v>46</v>
      </c>
      <c r="D1745" s="3" t="s">
        <v>23</v>
      </c>
      <c r="E1745" s="3" t="s">
        <v>24</v>
      </c>
      <c r="F1745" s="3" t="s">
        <v>25</v>
      </c>
      <c r="G1745" s="3" t="s">
        <v>104</v>
      </c>
      <c r="H1745" s="3" t="s">
        <v>42</v>
      </c>
      <c r="I1745" s="3" t="s">
        <v>43</v>
      </c>
      <c r="J1745" s="3" t="n">
        <v>13</v>
      </c>
      <c r="K1745" s="3" t="n">
        <v>627.33</v>
      </c>
      <c r="L1745" s="3" t="n">
        <v>8155.29</v>
      </c>
      <c r="M1745" s="3" t="n">
        <v>0.1581</v>
      </c>
      <c r="N1745" s="3" t="n">
        <v>1289.35</v>
      </c>
      <c r="O1745" s="3" t="n">
        <v>6865.94</v>
      </c>
      <c r="P1745" s="3" t="n">
        <v>4485.41</v>
      </c>
      <c r="Q1745" s="3" t="n">
        <v>2380.53</v>
      </c>
      <c r="R1745" s="3" t="n">
        <v>0.3467</v>
      </c>
      <c r="S1745" s="3" t="n">
        <v>0.1573</v>
      </c>
      <c r="T1745" s="3" t="n">
        <v>0.0008</v>
      </c>
    </row>
    <row r="1746" customFormat="false" ht="15" hidden="false" customHeight="true" outlineLevel="0" collapsed="false">
      <c r="A1746" s="3" t="s">
        <v>2686</v>
      </c>
      <c r="B1746" s="3" t="s">
        <v>2223</v>
      </c>
      <c r="C1746" s="3" t="s">
        <v>120</v>
      </c>
      <c r="D1746" s="3" t="s">
        <v>47</v>
      </c>
      <c r="E1746" s="3" t="s">
        <v>48</v>
      </c>
      <c r="F1746" s="3" t="s">
        <v>25</v>
      </c>
      <c r="G1746" s="3" t="s">
        <v>84</v>
      </c>
      <c r="H1746" s="3" t="s">
        <v>27</v>
      </c>
      <c r="I1746" s="3" t="s">
        <v>50</v>
      </c>
      <c r="J1746" s="3" t="n">
        <v>7</v>
      </c>
      <c r="K1746" s="3" t="n">
        <v>10727.21</v>
      </c>
      <c r="L1746" s="3" t="n">
        <v>75090.47</v>
      </c>
      <c r="M1746" s="3" t="n">
        <v>0.1446</v>
      </c>
      <c r="N1746" s="3" t="n">
        <v>10858.08</v>
      </c>
      <c r="O1746" s="3" t="n">
        <v>64232.39</v>
      </c>
      <c r="P1746" s="3" t="n">
        <v>46556.09</v>
      </c>
      <c r="Q1746" s="3" t="n">
        <v>17676.3</v>
      </c>
      <c r="R1746" s="3" t="n">
        <v>0.2752</v>
      </c>
      <c r="S1746" s="3" t="n">
        <v>0.1414</v>
      </c>
      <c r="T1746" s="3" t="n">
        <v>0.0032</v>
      </c>
    </row>
    <row r="1747" customFormat="false" ht="15" hidden="false" customHeight="true" outlineLevel="0" collapsed="false">
      <c r="A1747" s="3" t="s">
        <v>2687</v>
      </c>
      <c r="B1747" s="3" t="s">
        <v>995</v>
      </c>
      <c r="C1747" s="3" t="s">
        <v>156</v>
      </c>
      <c r="D1747" s="3" t="s">
        <v>83</v>
      </c>
      <c r="E1747" s="3" t="s">
        <v>48</v>
      </c>
      <c r="F1747" s="3" t="s">
        <v>62</v>
      </c>
      <c r="G1747" s="3" t="s">
        <v>100</v>
      </c>
      <c r="H1747" s="3" t="s">
        <v>77</v>
      </c>
      <c r="I1747" s="3" t="s">
        <v>85</v>
      </c>
      <c r="J1747" s="3" t="n">
        <v>22</v>
      </c>
      <c r="K1747" s="3" t="n">
        <v>4684.34</v>
      </c>
      <c r="L1747" s="3" t="n">
        <v>103055.48</v>
      </c>
      <c r="M1747" s="3" t="n">
        <v>0.036</v>
      </c>
      <c r="N1747" s="3" t="n">
        <v>3710</v>
      </c>
      <c r="O1747" s="3" t="n">
        <v>99345.48</v>
      </c>
      <c r="P1747" s="3" t="n">
        <v>70077.73</v>
      </c>
      <c r="Q1747" s="3" t="n">
        <v>29267.75</v>
      </c>
      <c r="R1747" s="3" t="n">
        <v>0.2946</v>
      </c>
      <c r="S1747" s="3" t="n">
        <v>0.0373</v>
      </c>
      <c r="T1747" s="3" t="n">
        <v>-0.0013</v>
      </c>
    </row>
    <row r="1748" customFormat="false" ht="15" hidden="false" customHeight="true" outlineLevel="0" collapsed="false">
      <c r="A1748" s="3" t="s">
        <v>2688</v>
      </c>
      <c r="B1748" s="3" t="s">
        <v>1297</v>
      </c>
      <c r="C1748" s="3" t="s">
        <v>22</v>
      </c>
      <c r="D1748" s="3" t="s">
        <v>23</v>
      </c>
      <c r="E1748" s="3" t="s">
        <v>24</v>
      </c>
      <c r="F1748" s="3" t="s">
        <v>25</v>
      </c>
      <c r="G1748" s="3" t="s">
        <v>76</v>
      </c>
      <c r="H1748" s="3" t="s">
        <v>42</v>
      </c>
      <c r="I1748" s="3" t="s">
        <v>43</v>
      </c>
      <c r="J1748" s="3" t="n">
        <v>28</v>
      </c>
      <c r="K1748" s="3" t="n">
        <v>2379.79</v>
      </c>
      <c r="L1748" s="3" t="n">
        <v>66634.12</v>
      </c>
      <c r="M1748" s="3" t="n">
        <v>0.1534</v>
      </c>
      <c r="N1748" s="3" t="n">
        <v>10221.67</v>
      </c>
      <c r="O1748" s="3" t="n">
        <v>56412.45</v>
      </c>
      <c r="P1748" s="3" t="n">
        <v>36648.77</v>
      </c>
      <c r="Q1748" s="3" t="n">
        <v>19763.68</v>
      </c>
      <c r="R1748" s="3" t="n">
        <v>0.3503</v>
      </c>
      <c r="S1748" s="3" t="n">
        <v>0.1659</v>
      </c>
      <c r="T1748" s="3" t="n">
        <v>-0.0125</v>
      </c>
    </row>
    <row r="1749" customFormat="false" ht="15" hidden="false" customHeight="true" outlineLevel="0" collapsed="false">
      <c r="A1749" s="3" t="s">
        <v>2689</v>
      </c>
      <c r="B1749" s="3" t="s">
        <v>710</v>
      </c>
      <c r="C1749" s="3" t="s">
        <v>22</v>
      </c>
      <c r="D1749" s="3" t="s">
        <v>23</v>
      </c>
      <c r="E1749" s="3" t="s">
        <v>24</v>
      </c>
      <c r="F1749" s="3" t="s">
        <v>25</v>
      </c>
      <c r="G1749" s="3" t="s">
        <v>63</v>
      </c>
      <c r="H1749" s="3" t="s">
        <v>64</v>
      </c>
      <c r="I1749" s="3" t="s">
        <v>145</v>
      </c>
      <c r="J1749" s="3" t="n">
        <v>18</v>
      </c>
      <c r="K1749" s="3" t="n">
        <v>11993.53</v>
      </c>
      <c r="L1749" s="3" t="n">
        <v>215883.54</v>
      </c>
      <c r="M1749" s="3" t="n">
        <v>0.12</v>
      </c>
      <c r="N1749" s="3" t="n">
        <v>25906.02</v>
      </c>
      <c r="O1749" s="3" t="n">
        <v>189977.52</v>
      </c>
      <c r="P1749" s="3" t="n">
        <v>125212.45</v>
      </c>
      <c r="Q1749" s="3" t="n">
        <v>64765.07</v>
      </c>
      <c r="R1749" s="3" t="n">
        <v>0.3409</v>
      </c>
      <c r="S1749" s="3" t="n">
        <v>0.1311</v>
      </c>
      <c r="T1749" s="3" t="n">
        <v>-0.0111</v>
      </c>
    </row>
    <row r="1750" customFormat="false" ht="15" hidden="false" customHeight="true" outlineLevel="0" collapsed="false">
      <c r="A1750" s="3" t="s">
        <v>2690</v>
      </c>
      <c r="B1750" s="3" t="s">
        <v>674</v>
      </c>
      <c r="C1750" s="3" t="s">
        <v>126</v>
      </c>
      <c r="D1750" s="3" t="s">
        <v>103</v>
      </c>
      <c r="E1750" s="3" t="s">
        <v>24</v>
      </c>
      <c r="F1750" s="3" t="s">
        <v>62</v>
      </c>
      <c r="G1750" s="3" t="s">
        <v>76</v>
      </c>
      <c r="H1750" s="3" t="s">
        <v>27</v>
      </c>
      <c r="I1750" s="3" t="s">
        <v>173</v>
      </c>
      <c r="J1750" s="3" t="n">
        <v>27</v>
      </c>
      <c r="K1750" s="3" t="n">
        <v>31636.11</v>
      </c>
      <c r="L1750" s="3" t="n">
        <v>854174.97</v>
      </c>
      <c r="M1750" s="3" t="n">
        <v>0.0311</v>
      </c>
      <c r="N1750" s="3" t="n">
        <v>26564.84</v>
      </c>
      <c r="O1750" s="3" t="n">
        <v>827610.13</v>
      </c>
      <c r="P1750" s="3" t="n">
        <v>529588.48</v>
      </c>
      <c r="Q1750" s="3" t="n">
        <v>298021.65</v>
      </c>
      <c r="R1750" s="3" t="n">
        <v>0.3601</v>
      </c>
      <c r="S1750" s="3" t="n">
        <v>0.028</v>
      </c>
      <c r="T1750" s="3" t="n">
        <v>0.0031</v>
      </c>
    </row>
    <row r="1751" customFormat="false" ht="15" hidden="false" customHeight="true" outlineLevel="0" collapsed="false">
      <c r="A1751" s="3" t="s">
        <v>2691</v>
      </c>
      <c r="B1751" s="3" t="s">
        <v>339</v>
      </c>
      <c r="C1751" s="3" t="s">
        <v>120</v>
      </c>
      <c r="D1751" s="3" t="s">
        <v>97</v>
      </c>
      <c r="E1751" s="3" t="s">
        <v>48</v>
      </c>
      <c r="F1751" s="3" t="s">
        <v>40</v>
      </c>
      <c r="G1751" s="3" t="s">
        <v>100</v>
      </c>
      <c r="H1751" s="3" t="s">
        <v>27</v>
      </c>
      <c r="I1751" s="3" t="s">
        <v>117</v>
      </c>
      <c r="J1751" s="3" t="n">
        <v>7</v>
      </c>
      <c r="K1751" s="3" t="n">
        <v>27293.01</v>
      </c>
      <c r="L1751" s="3" t="n">
        <v>191051.07</v>
      </c>
      <c r="M1751" s="3" t="n">
        <v>0.0481</v>
      </c>
      <c r="N1751" s="3" t="n">
        <v>9189.56</v>
      </c>
      <c r="O1751" s="3" t="n">
        <v>181861.51</v>
      </c>
      <c r="P1751" s="3" t="n">
        <v>118451.66</v>
      </c>
      <c r="Q1751" s="3" t="n">
        <v>63409.85</v>
      </c>
      <c r="R1751" s="3" t="n">
        <v>0.3487</v>
      </c>
      <c r="S1751" s="3" t="n">
        <v>0.0526</v>
      </c>
      <c r="T1751" s="3" t="n">
        <v>-0.0045</v>
      </c>
    </row>
    <row r="1752" customFormat="false" ht="15" hidden="false" customHeight="true" outlineLevel="0" collapsed="false">
      <c r="A1752" s="3" t="s">
        <v>2692</v>
      </c>
      <c r="B1752" s="3" t="s">
        <v>1238</v>
      </c>
      <c r="C1752" s="3" t="s">
        <v>126</v>
      </c>
      <c r="D1752" s="3" t="s">
        <v>103</v>
      </c>
      <c r="E1752" s="3" t="s">
        <v>24</v>
      </c>
      <c r="F1752" s="3" t="s">
        <v>62</v>
      </c>
      <c r="G1752" s="3" t="s">
        <v>41</v>
      </c>
      <c r="H1752" s="3" t="s">
        <v>42</v>
      </c>
      <c r="I1752" s="3" t="s">
        <v>43</v>
      </c>
      <c r="J1752" s="3" t="n">
        <v>38</v>
      </c>
      <c r="K1752" s="3" t="n">
        <v>2517.44</v>
      </c>
      <c r="L1752" s="3" t="n">
        <v>95662.72</v>
      </c>
      <c r="M1752" s="3" t="n">
        <v>0.0993</v>
      </c>
      <c r="N1752" s="3" t="n">
        <v>9499.31</v>
      </c>
      <c r="O1752" s="3" t="n">
        <v>86163.41</v>
      </c>
      <c r="P1752" s="3" t="n">
        <v>52614.5</v>
      </c>
      <c r="Q1752" s="3" t="n">
        <v>33548.91</v>
      </c>
      <c r="R1752" s="3" t="n">
        <v>0.3894</v>
      </c>
      <c r="S1752" s="3" t="n">
        <v>0.0887</v>
      </c>
      <c r="T1752" s="3" t="n">
        <v>0.0106</v>
      </c>
    </row>
    <row r="1753" customFormat="false" ht="15" hidden="false" customHeight="true" outlineLevel="0" collapsed="false">
      <c r="A1753" s="3" t="s">
        <v>2693</v>
      </c>
      <c r="B1753" s="3" t="s">
        <v>2694</v>
      </c>
      <c r="C1753" s="3" t="s">
        <v>126</v>
      </c>
      <c r="D1753" s="3" t="s">
        <v>107</v>
      </c>
      <c r="E1753" s="3" t="s">
        <v>33</v>
      </c>
      <c r="F1753" s="3" t="s">
        <v>70</v>
      </c>
      <c r="G1753" s="3" t="s">
        <v>26</v>
      </c>
      <c r="H1753" s="3" t="s">
        <v>56</v>
      </c>
      <c r="I1753" s="3" t="s">
        <v>188</v>
      </c>
      <c r="J1753" s="3" t="n">
        <v>37</v>
      </c>
      <c r="K1753" s="3" t="n">
        <v>10782.98</v>
      </c>
      <c r="L1753" s="3" t="n">
        <v>398970.26</v>
      </c>
      <c r="M1753" s="3" t="n">
        <v>0.0735</v>
      </c>
      <c r="N1753" s="3" t="n">
        <v>29324.31</v>
      </c>
      <c r="O1753" s="3" t="n">
        <v>369645.95</v>
      </c>
      <c r="P1753" s="3" t="n">
        <v>239382.16</v>
      </c>
      <c r="Q1753" s="3" t="n">
        <v>130263.79</v>
      </c>
      <c r="R1753" s="3" t="n">
        <v>0.3524</v>
      </c>
      <c r="S1753" s="3" t="n">
        <v>0.0788</v>
      </c>
      <c r="T1753" s="3" t="n">
        <v>-0.0053</v>
      </c>
    </row>
    <row r="1754" customFormat="false" ht="15" hidden="false" customHeight="true" outlineLevel="0" collapsed="false">
      <c r="A1754" s="3" t="s">
        <v>2695</v>
      </c>
      <c r="B1754" s="3" t="s">
        <v>341</v>
      </c>
      <c r="C1754" s="3" t="s">
        <v>120</v>
      </c>
      <c r="D1754" s="3" t="s">
        <v>23</v>
      </c>
      <c r="E1754" s="3" t="s">
        <v>24</v>
      </c>
      <c r="F1754" s="3" t="s">
        <v>25</v>
      </c>
      <c r="G1754" s="3" t="s">
        <v>63</v>
      </c>
      <c r="H1754" s="3" t="s">
        <v>42</v>
      </c>
      <c r="I1754" s="3" t="s">
        <v>43</v>
      </c>
      <c r="J1754" s="3" t="n">
        <v>3</v>
      </c>
      <c r="K1754" s="3" t="n">
        <v>3133.06</v>
      </c>
      <c r="L1754" s="3" t="n">
        <v>9399.18</v>
      </c>
      <c r="M1754" s="3" t="n">
        <v>0.1558</v>
      </c>
      <c r="N1754" s="3" t="n">
        <v>1464.39</v>
      </c>
      <c r="O1754" s="3" t="n">
        <v>7934.79</v>
      </c>
      <c r="P1754" s="3" t="n">
        <v>5169.55</v>
      </c>
      <c r="Q1754" s="3" t="n">
        <v>2765.24</v>
      </c>
      <c r="R1754" s="3" t="n">
        <v>0.3485</v>
      </c>
      <c r="S1754" s="3" t="n">
        <v>0.1554</v>
      </c>
      <c r="T1754" s="3" t="n">
        <v>0.0004</v>
      </c>
    </row>
    <row r="1755" customFormat="false" ht="15" hidden="false" customHeight="true" outlineLevel="0" collapsed="false">
      <c r="A1755" s="3" t="s">
        <v>2696</v>
      </c>
      <c r="B1755" s="3" t="s">
        <v>2697</v>
      </c>
      <c r="C1755" s="3" t="s">
        <v>156</v>
      </c>
      <c r="D1755" s="3" t="s">
        <v>54</v>
      </c>
      <c r="E1755" s="3" t="s">
        <v>24</v>
      </c>
      <c r="F1755" s="3" t="s">
        <v>40</v>
      </c>
      <c r="G1755" s="3" t="s">
        <v>116</v>
      </c>
      <c r="H1755" s="3" t="s">
        <v>27</v>
      </c>
      <c r="I1755" s="3" t="s">
        <v>117</v>
      </c>
      <c r="J1755" s="3" t="n">
        <v>38</v>
      </c>
      <c r="K1755" s="3" t="n">
        <v>11018.08</v>
      </c>
      <c r="L1755" s="3" t="n">
        <v>418687.04</v>
      </c>
      <c r="M1755" s="3" t="n">
        <v>0.0859</v>
      </c>
      <c r="N1755" s="3" t="n">
        <v>35965.22</v>
      </c>
      <c r="O1755" s="3" t="n">
        <v>382721.82</v>
      </c>
      <c r="P1755" s="3" t="n">
        <v>259585.96</v>
      </c>
      <c r="Q1755" s="3" t="n">
        <v>123135.86</v>
      </c>
      <c r="R1755" s="3" t="n">
        <v>0.3217</v>
      </c>
      <c r="S1755" s="3" t="n">
        <v>0.0808</v>
      </c>
      <c r="T1755" s="3" t="n">
        <v>0.0051</v>
      </c>
    </row>
    <row r="1756" customFormat="false" ht="15" hidden="false" customHeight="true" outlineLevel="0" collapsed="false">
      <c r="A1756" s="3" t="s">
        <v>2698</v>
      </c>
      <c r="B1756" s="3" t="s">
        <v>465</v>
      </c>
      <c r="C1756" s="3" t="s">
        <v>53</v>
      </c>
      <c r="D1756" s="3" t="s">
        <v>103</v>
      </c>
      <c r="E1756" s="3" t="s">
        <v>24</v>
      </c>
      <c r="F1756" s="3" t="s">
        <v>62</v>
      </c>
      <c r="G1756" s="3" t="s">
        <v>116</v>
      </c>
      <c r="H1756" s="3" t="s">
        <v>77</v>
      </c>
      <c r="I1756" s="3" t="s">
        <v>85</v>
      </c>
      <c r="J1756" s="3" t="n">
        <v>38</v>
      </c>
      <c r="K1756" s="3" t="n">
        <v>2468.55</v>
      </c>
      <c r="L1756" s="3" t="n">
        <v>93804.9</v>
      </c>
      <c r="M1756" s="3" t="n">
        <v>0.1328</v>
      </c>
      <c r="N1756" s="3" t="n">
        <v>12457.29</v>
      </c>
      <c r="O1756" s="3" t="n">
        <v>81347.61</v>
      </c>
      <c r="P1756" s="3" t="n">
        <v>63787.33</v>
      </c>
      <c r="Q1756" s="3" t="n">
        <v>17560.28</v>
      </c>
      <c r="R1756" s="3" t="n">
        <v>0.2159</v>
      </c>
      <c r="S1756" s="3" t="n">
        <v>0.1095</v>
      </c>
      <c r="T1756" s="3" t="n">
        <v>0.0233</v>
      </c>
    </row>
    <row r="1757" customFormat="false" ht="15" hidden="false" customHeight="true" outlineLevel="0" collapsed="false">
      <c r="A1757" s="3" t="s">
        <v>2699</v>
      </c>
      <c r="B1757" s="3" t="s">
        <v>1214</v>
      </c>
      <c r="C1757" s="3" t="s">
        <v>60</v>
      </c>
      <c r="D1757" s="3" t="s">
        <v>75</v>
      </c>
      <c r="E1757" s="3" t="s">
        <v>39</v>
      </c>
      <c r="F1757" s="3" t="s">
        <v>25</v>
      </c>
      <c r="G1757" s="3" t="s">
        <v>71</v>
      </c>
      <c r="H1757" s="3" t="s">
        <v>64</v>
      </c>
      <c r="I1757" s="3" t="s">
        <v>65</v>
      </c>
      <c r="J1757" s="3" t="n">
        <v>31</v>
      </c>
      <c r="K1757" s="3" t="n">
        <v>10310.23</v>
      </c>
      <c r="L1757" s="3" t="n">
        <v>319617.13</v>
      </c>
      <c r="M1757" s="3" t="n">
        <v>0.1376</v>
      </c>
      <c r="N1757" s="3" t="n">
        <v>43979.32</v>
      </c>
      <c r="O1757" s="3" t="n">
        <v>275637.81</v>
      </c>
      <c r="P1757" s="3" t="n">
        <v>185377.94</v>
      </c>
      <c r="Q1757" s="3" t="n">
        <v>90259.87</v>
      </c>
      <c r="R1757" s="3" t="n">
        <v>0.3275</v>
      </c>
      <c r="S1757" s="3" t="n">
        <v>0.1405</v>
      </c>
      <c r="T1757" s="3" t="n">
        <v>-0.0029</v>
      </c>
    </row>
    <row r="1758" customFormat="false" ht="15" hidden="false" customHeight="true" outlineLevel="0" collapsed="false">
      <c r="A1758" s="3" t="s">
        <v>2700</v>
      </c>
      <c r="B1758" s="3" t="s">
        <v>786</v>
      </c>
      <c r="C1758" s="3" t="s">
        <v>113</v>
      </c>
      <c r="D1758" s="3" t="s">
        <v>23</v>
      </c>
      <c r="E1758" s="3" t="s">
        <v>24</v>
      </c>
      <c r="F1758" s="3" t="s">
        <v>25</v>
      </c>
      <c r="G1758" s="3" t="s">
        <v>63</v>
      </c>
      <c r="H1758" s="3" t="s">
        <v>56</v>
      </c>
      <c r="I1758" s="3" t="s">
        <v>188</v>
      </c>
      <c r="J1758" s="3" t="n">
        <v>34</v>
      </c>
      <c r="K1758" s="3" t="n">
        <v>2084.58</v>
      </c>
      <c r="L1758" s="3" t="n">
        <v>70875.72</v>
      </c>
      <c r="M1758" s="3" t="n">
        <v>0.1599</v>
      </c>
      <c r="N1758" s="3" t="n">
        <v>11333.03</v>
      </c>
      <c r="O1758" s="3" t="n">
        <v>59542.69</v>
      </c>
      <c r="P1758" s="3" t="n">
        <v>42525.43</v>
      </c>
      <c r="Q1758" s="3" t="n">
        <v>17017.26</v>
      </c>
      <c r="R1758" s="3" t="n">
        <v>0.2858</v>
      </c>
      <c r="S1758" s="3" t="n">
        <v>0.1515</v>
      </c>
      <c r="T1758" s="3" t="n">
        <v>0.0084</v>
      </c>
    </row>
    <row r="1759" customFormat="false" ht="15" hidden="false" customHeight="true" outlineLevel="0" collapsed="false">
      <c r="A1759" s="3" t="s">
        <v>2701</v>
      </c>
      <c r="B1759" s="3" t="s">
        <v>1712</v>
      </c>
      <c r="C1759" s="3" t="s">
        <v>37</v>
      </c>
      <c r="D1759" s="3" t="s">
        <v>69</v>
      </c>
      <c r="E1759" s="3" t="s">
        <v>39</v>
      </c>
      <c r="F1759" s="3" t="s">
        <v>70</v>
      </c>
      <c r="G1759" s="3" t="s">
        <v>34</v>
      </c>
      <c r="H1759" s="3" t="s">
        <v>27</v>
      </c>
      <c r="I1759" s="3" t="s">
        <v>173</v>
      </c>
      <c r="J1759" s="3" t="n">
        <v>25</v>
      </c>
      <c r="K1759" s="3" t="n">
        <v>27624.25</v>
      </c>
      <c r="L1759" s="3" t="n">
        <v>690606.25</v>
      </c>
      <c r="M1759" s="3" t="n">
        <v>0.0807</v>
      </c>
      <c r="N1759" s="3" t="n">
        <v>55731.92</v>
      </c>
      <c r="O1759" s="3" t="n">
        <v>634874.33</v>
      </c>
      <c r="P1759" s="3" t="n">
        <v>428175.88</v>
      </c>
      <c r="Q1759" s="3" t="n">
        <v>206698.45</v>
      </c>
      <c r="R1759" s="3" t="n">
        <v>0.3256</v>
      </c>
      <c r="S1759" s="3" t="n">
        <v>0.0679</v>
      </c>
      <c r="T1759" s="3" t="n">
        <v>0.0128</v>
      </c>
    </row>
    <row r="1760" customFormat="false" ht="15" hidden="false" customHeight="true" outlineLevel="0" collapsed="false">
      <c r="A1760" s="3" t="s">
        <v>2702</v>
      </c>
      <c r="B1760" s="3" t="s">
        <v>1520</v>
      </c>
      <c r="C1760" s="3" t="s">
        <v>120</v>
      </c>
      <c r="D1760" s="3" t="s">
        <v>38</v>
      </c>
      <c r="E1760" s="3" t="s">
        <v>39</v>
      </c>
      <c r="F1760" s="3" t="s">
        <v>40</v>
      </c>
      <c r="G1760" s="3" t="s">
        <v>76</v>
      </c>
      <c r="H1760" s="3" t="s">
        <v>77</v>
      </c>
      <c r="I1760" s="3" t="s">
        <v>85</v>
      </c>
      <c r="J1760" s="3" t="n">
        <v>40</v>
      </c>
      <c r="K1760" s="3" t="n">
        <v>2492.93</v>
      </c>
      <c r="L1760" s="3" t="n">
        <v>99717.2</v>
      </c>
      <c r="M1760" s="3" t="n">
        <v>0.0728</v>
      </c>
      <c r="N1760" s="3" t="n">
        <v>7259.41</v>
      </c>
      <c r="O1760" s="3" t="n">
        <v>92457.79</v>
      </c>
      <c r="P1760" s="3" t="n">
        <v>67807.7</v>
      </c>
      <c r="Q1760" s="3" t="n">
        <v>24650.09</v>
      </c>
      <c r="R1760" s="3" t="n">
        <v>0.2666</v>
      </c>
      <c r="S1760" s="3" t="n">
        <v>0.0737</v>
      </c>
      <c r="T1760" s="3" t="n">
        <v>-0.0009</v>
      </c>
    </row>
    <row r="1761" customFormat="false" ht="15" hidden="false" customHeight="true" outlineLevel="0" collapsed="false">
      <c r="A1761" s="3" t="s">
        <v>2703</v>
      </c>
      <c r="B1761" s="3" t="s">
        <v>2704</v>
      </c>
      <c r="C1761" s="3" t="s">
        <v>120</v>
      </c>
      <c r="D1761" s="3" t="s">
        <v>54</v>
      </c>
      <c r="E1761" s="3" t="s">
        <v>24</v>
      </c>
      <c r="F1761" s="3" t="s">
        <v>40</v>
      </c>
      <c r="G1761" s="3" t="s">
        <v>104</v>
      </c>
      <c r="H1761" s="3" t="s">
        <v>56</v>
      </c>
      <c r="I1761" s="3" t="s">
        <v>57</v>
      </c>
      <c r="J1761" s="3" t="n">
        <v>26</v>
      </c>
      <c r="K1761" s="3" t="n">
        <v>17645.05</v>
      </c>
      <c r="L1761" s="3" t="n">
        <v>458771.3</v>
      </c>
      <c r="M1761" s="3" t="n">
        <v>0.1094</v>
      </c>
      <c r="N1761" s="3" t="n">
        <v>50189.58</v>
      </c>
      <c r="O1761" s="3" t="n">
        <v>408581.72</v>
      </c>
      <c r="P1761" s="3" t="n">
        <v>275262.78</v>
      </c>
      <c r="Q1761" s="3" t="n">
        <v>133318.94</v>
      </c>
      <c r="R1761" s="3" t="n">
        <v>0.3263</v>
      </c>
      <c r="S1761" s="3" t="n">
        <v>0.1065</v>
      </c>
      <c r="T1761" s="3" t="n">
        <v>0.0029</v>
      </c>
    </row>
    <row r="1762" customFormat="false" ht="15" hidden="false" customHeight="true" outlineLevel="0" collapsed="false">
      <c r="A1762" s="3" t="s">
        <v>2705</v>
      </c>
      <c r="B1762" s="3" t="s">
        <v>2706</v>
      </c>
      <c r="C1762" s="3" t="s">
        <v>22</v>
      </c>
      <c r="D1762" s="3" t="s">
        <v>23</v>
      </c>
      <c r="E1762" s="3" t="s">
        <v>24</v>
      </c>
      <c r="F1762" s="3" t="s">
        <v>25</v>
      </c>
      <c r="G1762" s="3" t="s">
        <v>71</v>
      </c>
      <c r="H1762" s="3" t="s">
        <v>56</v>
      </c>
      <c r="I1762" s="3" t="s">
        <v>188</v>
      </c>
      <c r="J1762" s="3" t="n">
        <v>46</v>
      </c>
      <c r="K1762" s="3" t="n">
        <v>5980.48</v>
      </c>
      <c r="L1762" s="3" t="n">
        <v>275102.08</v>
      </c>
      <c r="M1762" s="3" t="n">
        <v>0.1519</v>
      </c>
      <c r="N1762" s="3" t="n">
        <v>41788.01</v>
      </c>
      <c r="O1762" s="3" t="n">
        <v>233314.07</v>
      </c>
      <c r="P1762" s="3" t="n">
        <v>165061.25</v>
      </c>
      <c r="Q1762" s="3" t="n">
        <v>68252.82</v>
      </c>
      <c r="R1762" s="3" t="n">
        <v>0.2925</v>
      </c>
      <c r="S1762" s="3" t="n">
        <v>0.1548</v>
      </c>
      <c r="T1762" s="3" t="n">
        <v>-0.0029</v>
      </c>
    </row>
    <row r="1763" customFormat="false" ht="15" hidden="false" customHeight="true" outlineLevel="0" collapsed="false">
      <c r="A1763" s="3" t="s">
        <v>2707</v>
      </c>
      <c r="B1763" s="3" t="s">
        <v>2708</v>
      </c>
      <c r="C1763" s="3" t="s">
        <v>156</v>
      </c>
      <c r="D1763" s="3" t="s">
        <v>23</v>
      </c>
      <c r="E1763" s="3" t="s">
        <v>24</v>
      </c>
      <c r="F1763" s="3" t="s">
        <v>25</v>
      </c>
      <c r="G1763" s="3" t="s">
        <v>34</v>
      </c>
      <c r="H1763" s="3" t="s">
        <v>77</v>
      </c>
      <c r="I1763" s="3" t="s">
        <v>131</v>
      </c>
      <c r="J1763" s="3" t="n">
        <v>8</v>
      </c>
      <c r="K1763" s="3" t="n">
        <v>2527.44</v>
      </c>
      <c r="L1763" s="3" t="n">
        <v>20219.52</v>
      </c>
      <c r="M1763" s="3" t="n">
        <v>0.1996</v>
      </c>
      <c r="N1763" s="3" t="n">
        <v>4035.82</v>
      </c>
      <c r="O1763" s="3" t="n">
        <v>16183.7</v>
      </c>
      <c r="P1763" s="3" t="n">
        <v>13749.27</v>
      </c>
      <c r="Q1763" s="3" t="n">
        <v>2434.43</v>
      </c>
      <c r="R1763" s="3" t="n">
        <v>0.1504</v>
      </c>
      <c r="S1763" s="3" t="n">
        <v>0.1844</v>
      </c>
      <c r="T1763" s="3" t="n">
        <v>0.0152</v>
      </c>
    </row>
    <row r="1764" customFormat="false" ht="15" hidden="false" customHeight="true" outlineLevel="0" collapsed="false">
      <c r="A1764" s="3" t="s">
        <v>2709</v>
      </c>
      <c r="B1764" s="3" t="s">
        <v>227</v>
      </c>
      <c r="C1764" s="3" t="s">
        <v>37</v>
      </c>
      <c r="D1764" s="3" t="s">
        <v>103</v>
      </c>
      <c r="E1764" s="3" t="s">
        <v>24</v>
      </c>
      <c r="F1764" s="3" t="s">
        <v>62</v>
      </c>
      <c r="G1764" s="3" t="s">
        <v>41</v>
      </c>
      <c r="H1764" s="3" t="s">
        <v>64</v>
      </c>
      <c r="I1764" s="3" t="s">
        <v>90</v>
      </c>
      <c r="J1764" s="3" t="n">
        <v>42</v>
      </c>
      <c r="K1764" s="3" t="n">
        <v>4322.89</v>
      </c>
      <c r="L1764" s="3" t="n">
        <v>181561.38</v>
      </c>
      <c r="M1764" s="3" t="n">
        <v>0.124</v>
      </c>
      <c r="N1764" s="3" t="n">
        <v>22513.61</v>
      </c>
      <c r="O1764" s="3" t="n">
        <v>159047.77</v>
      </c>
      <c r="P1764" s="3" t="n">
        <v>105305.6</v>
      </c>
      <c r="Q1764" s="3" t="n">
        <v>53742.17</v>
      </c>
      <c r="R1764" s="3" t="n">
        <v>0.3379</v>
      </c>
      <c r="S1764" s="3" t="n">
        <v>0.1356</v>
      </c>
      <c r="T1764" s="3" t="n">
        <v>-0.0116</v>
      </c>
    </row>
    <row r="1765" customFormat="false" ht="15" hidden="false" customHeight="true" outlineLevel="0" collapsed="false">
      <c r="A1765" s="3" t="s">
        <v>2710</v>
      </c>
      <c r="B1765" s="3" t="s">
        <v>2247</v>
      </c>
      <c r="C1765" s="3" t="s">
        <v>46</v>
      </c>
      <c r="D1765" s="3" t="s">
        <v>47</v>
      </c>
      <c r="E1765" s="3" t="s">
        <v>48</v>
      </c>
      <c r="F1765" s="3" t="s">
        <v>25</v>
      </c>
      <c r="G1765" s="3" t="s">
        <v>76</v>
      </c>
      <c r="H1765" s="3" t="s">
        <v>56</v>
      </c>
      <c r="I1765" s="3" t="s">
        <v>121</v>
      </c>
      <c r="J1765" s="3" t="n">
        <v>13</v>
      </c>
      <c r="K1765" s="3" t="n">
        <v>9094.59</v>
      </c>
      <c r="L1765" s="3" t="n">
        <v>118229.67</v>
      </c>
      <c r="M1765" s="3" t="n">
        <v>0.1246</v>
      </c>
      <c r="N1765" s="3" t="n">
        <v>14731.42</v>
      </c>
      <c r="O1765" s="3" t="n">
        <v>103498.25</v>
      </c>
      <c r="P1765" s="3" t="n">
        <v>70937.8</v>
      </c>
      <c r="Q1765" s="3" t="n">
        <v>32560.45</v>
      </c>
      <c r="R1765" s="3" t="n">
        <v>0.3146</v>
      </c>
      <c r="S1765" s="3" t="n">
        <v>0.1128</v>
      </c>
      <c r="T1765" s="3" t="n">
        <v>0.0118</v>
      </c>
    </row>
    <row r="1766" customFormat="false" ht="15" hidden="false" customHeight="true" outlineLevel="0" collapsed="false">
      <c r="A1766" s="3" t="s">
        <v>2711</v>
      </c>
      <c r="B1766" s="3" t="s">
        <v>1335</v>
      </c>
      <c r="C1766" s="3" t="s">
        <v>93</v>
      </c>
      <c r="D1766" s="3" t="s">
        <v>23</v>
      </c>
      <c r="E1766" s="3" t="s">
        <v>24</v>
      </c>
      <c r="F1766" s="3" t="s">
        <v>25</v>
      </c>
      <c r="G1766" s="3" t="s">
        <v>84</v>
      </c>
      <c r="H1766" s="3" t="s">
        <v>64</v>
      </c>
      <c r="I1766" s="3" t="s">
        <v>90</v>
      </c>
      <c r="J1766" s="3" t="n">
        <v>28</v>
      </c>
      <c r="K1766" s="3" t="n">
        <v>11542.29</v>
      </c>
      <c r="L1766" s="3" t="n">
        <v>323184.12</v>
      </c>
      <c r="M1766" s="3" t="n">
        <v>0.0727</v>
      </c>
      <c r="N1766" s="3" t="n">
        <v>23495.49</v>
      </c>
      <c r="O1766" s="3" t="n">
        <v>299688.63</v>
      </c>
      <c r="P1766" s="3" t="n">
        <v>187446.79</v>
      </c>
      <c r="Q1766" s="3" t="n">
        <v>112241.84</v>
      </c>
      <c r="R1766" s="3" t="n">
        <v>0.3745</v>
      </c>
      <c r="S1766" s="3" t="n">
        <v>0.0616</v>
      </c>
      <c r="T1766" s="3" t="n">
        <v>0.0111</v>
      </c>
    </row>
    <row r="1767" customFormat="false" ht="15" hidden="false" customHeight="true" outlineLevel="0" collapsed="false">
      <c r="A1767" s="3" t="s">
        <v>2712</v>
      </c>
      <c r="B1767" s="3" t="s">
        <v>475</v>
      </c>
      <c r="C1767" s="3" t="s">
        <v>126</v>
      </c>
      <c r="D1767" s="3" t="s">
        <v>32</v>
      </c>
      <c r="E1767" s="3" t="s">
        <v>33</v>
      </c>
      <c r="F1767" s="3" t="s">
        <v>25</v>
      </c>
      <c r="G1767" s="3" t="s">
        <v>76</v>
      </c>
      <c r="H1767" s="3" t="s">
        <v>77</v>
      </c>
      <c r="I1767" s="3" t="s">
        <v>85</v>
      </c>
      <c r="J1767" s="3" t="n">
        <v>8</v>
      </c>
      <c r="K1767" s="3" t="n">
        <v>2178.43</v>
      </c>
      <c r="L1767" s="3" t="n">
        <v>17427.44</v>
      </c>
      <c r="M1767" s="3" t="n">
        <v>0.1253</v>
      </c>
      <c r="N1767" s="3" t="n">
        <v>2183.66</v>
      </c>
      <c r="O1767" s="3" t="n">
        <v>15243.78</v>
      </c>
      <c r="P1767" s="3" t="n">
        <v>11850.66</v>
      </c>
      <c r="Q1767" s="3" t="n">
        <v>3393.12</v>
      </c>
      <c r="R1767" s="3" t="n">
        <v>0.2226</v>
      </c>
      <c r="S1767" s="3" t="n">
        <v>0.1069</v>
      </c>
      <c r="T1767" s="3" t="n">
        <v>0.0184</v>
      </c>
    </row>
    <row r="1768" customFormat="false" ht="15" hidden="false" customHeight="true" outlineLevel="0" collapsed="false">
      <c r="A1768" s="3" t="s">
        <v>2713</v>
      </c>
      <c r="B1768" s="3" t="s">
        <v>960</v>
      </c>
      <c r="C1768" s="3" t="s">
        <v>126</v>
      </c>
      <c r="D1768" s="3" t="s">
        <v>32</v>
      </c>
      <c r="E1768" s="3" t="s">
        <v>33</v>
      </c>
      <c r="F1768" s="3" t="s">
        <v>25</v>
      </c>
      <c r="G1768" s="3" t="s">
        <v>116</v>
      </c>
      <c r="H1768" s="3" t="s">
        <v>77</v>
      </c>
      <c r="I1768" s="3" t="s">
        <v>85</v>
      </c>
      <c r="J1768" s="3" t="n">
        <v>23</v>
      </c>
      <c r="K1768" s="3" t="n">
        <v>4015.13</v>
      </c>
      <c r="L1768" s="3" t="n">
        <v>92347.99</v>
      </c>
      <c r="M1768" s="3" t="n">
        <v>0.1311</v>
      </c>
      <c r="N1768" s="3" t="n">
        <v>12106.82</v>
      </c>
      <c r="O1768" s="3" t="n">
        <v>80241.17</v>
      </c>
      <c r="P1768" s="3" t="n">
        <v>62796.63</v>
      </c>
      <c r="Q1768" s="3" t="n">
        <v>17444.54</v>
      </c>
      <c r="R1768" s="3" t="n">
        <v>0.2174</v>
      </c>
      <c r="S1768" s="3" t="n">
        <v>0.1379</v>
      </c>
      <c r="T1768" s="3" t="n">
        <v>-0.0068</v>
      </c>
    </row>
    <row r="1769" customFormat="false" ht="15" hidden="false" customHeight="true" outlineLevel="0" collapsed="false">
      <c r="A1769" s="3" t="s">
        <v>2714</v>
      </c>
      <c r="B1769" s="3" t="s">
        <v>102</v>
      </c>
      <c r="C1769" s="3" t="s">
        <v>93</v>
      </c>
      <c r="D1769" s="3" t="s">
        <v>47</v>
      </c>
      <c r="E1769" s="3" t="s">
        <v>48</v>
      </c>
      <c r="F1769" s="3" t="s">
        <v>25</v>
      </c>
      <c r="G1769" s="3" t="s">
        <v>84</v>
      </c>
      <c r="H1769" s="3" t="s">
        <v>42</v>
      </c>
      <c r="I1769" s="3" t="s">
        <v>43</v>
      </c>
      <c r="J1769" s="3" t="n">
        <v>9</v>
      </c>
      <c r="K1769" s="3" t="n">
        <v>1271.98</v>
      </c>
      <c r="L1769" s="3" t="n">
        <v>11447.82</v>
      </c>
      <c r="M1769" s="3" t="n">
        <v>0.0896</v>
      </c>
      <c r="N1769" s="3" t="n">
        <v>1025.72</v>
      </c>
      <c r="O1769" s="3" t="n">
        <v>10422.1</v>
      </c>
      <c r="P1769" s="3" t="n">
        <v>6296.3</v>
      </c>
      <c r="Q1769" s="3" t="n">
        <v>4125.8</v>
      </c>
      <c r="R1769" s="3" t="n">
        <v>0.3959</v>
      </c>
      <c r="S1769" s="3" t="n">
        <v>0.082</v>
      </c>
      <c r="T1769" s="3" t="n">
        <v>0.0076</v>
      </c>
    </row>
    <row r="1770" customFormat="false" ht="15" hidden="false" customHeight="true" outlineLevel="0" collapsed="false">
      <c r="A1770" s="3" t="s">
        <v>2715</v>
      </c>
      <c r="B1770" s="3" t="s">
        <v>321</v>
      </c>
      <c r="C1770" s="3" t="s">
        <v>120</v>
      </c>
      <c r="D1770" s="3" t="s">
        <v>107</v>
      </c>
      <c r="E1770" s="3" t="s">
        <v>33</v>
      </c>
      <c r="F1770" s="3" t="s">
        <v>70</v>
      </c>
      <c r="G1770" s="3" t="s">
        <v>41</v>
      </c>
      <c r="H1770" s="3" t="s">
        <v>56</v>
      </c>
      <c r="I1770" s="3" t="s">
        <v>121</v>
      </c>
      <c r="J1770" s="3" t="n">
        <v>47</v>
      </c>
      <c r="K1770" s="3" t="n">
        <v>3757.19</v>
      </c>
      <c r="L1770" s="3" t="n">
        <v>176587.93</v>
      </c>
      <c r="M1770" s="3" t="n">
        <v>0.0787</v>
      </c>
      <c r="N1770" s="3" t="n">
        <v>13897.47</v>
      </c>
      <c r="O1770" s="3" t="n">
        <v>162690.46</v>
      </c>
      <c r="P1770" s="3" t="n">
        <v>105952.76</v>
      </c>
      <c r="Q1770" s="3" t="n">
        <v>56737.7</v>
      </c>
      <c r="R1770" s="3" t="n">
        <v>0.3487</v>
      </c>
      <c r="S1770" s="3" t="n">
        <v>0.0694</v>
      </c>
      <c r="T1770" s="3" t="n">
        <v>0.0093</v>
      </c>
    </row>
    <row r="1771" customFormat="false" ht="15" hidden="false" customHeight="true" outlineLevel="0" collapsed="false">
      <c r="A1771" s="3" t="s">
        <v>2716</v>
      </c>
      <c r="B1771" s="3" t="s">
        <v>2361</v>
      </c>
      <c r="C1771" s="3" t="s">
        <v>53</v>
      </c>
      <c r="D1771" s="3" t="s">
        <v>23</v>
      </c>
      <c r="E1771" s="3" t="s">
        <v>24</v>
      </c>
      <c r="F1771" s="3" t="s">
        <v>25</v>
      </c>
      <c r="G1771" s="3" t="s">
        <v>26</v>
      </c>
      <c r="H1771" s="3" t="s">
        <v>56</v>
      </c>
      <c r="I1771" s="3" t="s">
        <v>57</v>
      </c>
      <c r="J1771" s="3" t="n">
        <v>5</v>
      </c>
      <c r="K1771" s="3" t="n">
        <v>8459.44</v>
      </c>
      <c r="L1771" s="3" t="n">
        <v>42297.2</v>
      </c>
      <c r="M1771" s="3" t="n">
        <v>0.1691</v>
      </c>
      <c r="N1771" s="3" t="n">
        <v>7152.46</v>
      </c>
      <c r="O1771" s="3" t="n">
        <v>35144.74</v>
      </c>
      <c r="P1771" s="3" t="n">
        <v>25378.32</v>
      </c>
      <c r="Q1771" s="3" t="n">
        <v>9766.42</v>
      </c>
      <c r="R1771" s="3" t="n">
        <v>0.2779</v>
      </c>
      <c r="S1771" s="3" t="n">
        <v>0.1809</v>
      </c>
      <c r="T1771" s="3" t="n">
        <v>-0.0118</v>
      </c>
    </row>
    <row r="1772" customFormat="false" ht="15" hidden="false" customHeight="true" outlineLevel="0" collapsed="false">
      <c r="A1772" s="3" t="s">
        <v>2717</v>
      </c>
      <c r="B1772" s="3" t="s">
        <v>200</v>
      </c>
      <c r="C1772" s="3" t="s">
        <v>156</v>
      </c>
      <c r="D1772" s="3" t="s">
        <v>54</v>
      </c>
      <c r="E1772" s="3" t="s">
        <v>24</v>
      </c>
      <c r="F1772" s="3" t="s">
        <v>40</v>
      </c>
      <c r="G1772" s="3" t="s">
        <v>71</v>
      </c>
      <c r="H1772" s="3" t="s">
        <v>64</v>
      </c>
      <c r="I1772" s="3" t="s">
        <v>108</v>
      </c>
      <c r="J1772" s="3" t="n">
        <v>34</v>
      </c>
      <c r="K1772" s="3" t="n">
        <v>7473.33</v>
      </c>
      <c r="L1772" s="3" t="n">
        <v>254093.22</v>
      </c>
      <c r="M1772" s="3" t="n">
        <v>0.0302</v>
      </c>
      <c r="N1772" s="3" t="n">
        <v>7673.62</v>
      </c>
      <c r="O1772" s="3" t="n">
        <v>246419.6</v>
      </c>
      <c r="P1772" s="3" t="n">
        <v>147374.07</v>
      </c>
      <c r="Q1772" s="3" t="n">
        <v>99045.53</v>
      </c>
      <c r="R1772" s="3" t="n">
        <v>0.4019</v>
      </c>
      <c r="S1772" s="3" t="n">
        <v>0.0271</v>
      </c>
      <c r="T1772" s="3" t="n">
        <v>0.0031</v>
      </c>
    </row>
    <row r="1773" customFormat="false" ht="15" hidden="false" customHeight="true" outlineLevel="0" collapsed="false">
      <c r="A1773" s="3" t="s">
        <v>2718</v>
      </c>
      <c r="B1773" s="3" t="s">
        <v>2289</v>
      </c>
      <c r="C1773" s="3" t="s">
        <v>120</v>
      </c>
      <c r="D1773" s="3" t="s">
        <v>97</v>
      </c>
      <c r="E1773" s="3" t="s">
        <v>48</v>
      </c>
      <c r="F1773" s="3" t="s">
        <v>40</v>
      </c>
      <c r="G1773" s="3" t="s">
        <v>55</v>
      </c>
      <c r="H1773" s="3" t="s">
        <v>56</v>
      </c>
      <c r="I1773" s="3" t="s">
        <v>57</v>
      </c>
      <c r="J1773" s="3" t="n">
        <v>31</v>
      </c>
      <c r="K1773" s="3" t="n">
        <v>7460.74</v>
      </c>
      <c r="L1773" s="3" t="n">
        <v>231282.94</v>
      </c>
      <c r="M1773" s="3" t="n">
        <v>0.0397</v>
      </c>
      <c r="N1773" s="3" t="n">
        <v>9181.93</v>
      </c>
      <c r="O1773" s="3" t="n">
        <v>222101.01</v>
      </c>
      <c r="P1773" s="3" t="n">
        <v>138769.76</v>
      </c>
      <c r="Q1773" s="3" t="n">
        <v>83331.25</v>
      </c>
      <c r="R1773" s="3" t="n">
        <v>0.3752</v>
      </c>
      <c r="S1773" s="3" t="n">
        <v>0.0405</v>
      </c>
      <c r="T1773" s="3" t="n">
        <v>-0.0008</v>
      </c>
    </row>
    <row r="1774" customFormat="false" ht="15" hidden="false" customHeight="true" outlineLevel="0" collapsed="false">
      <c r="A1774" s="3" t="s">
        <v>2719</v>
      </c>
      <c r="B1774" s="3" t="s">
        <v>2720</v>
      </c>
      <c r="C1774" s="3" t="s">
        <v>31</v>
      </c>
      <c r="D1774" s="3" t="s">
        <v>97</v>
      </c>
      <c r="E1774" s="3" t="s">
        <v>48</v>
      </c>
      <c r="F1774" s="3" t="s">
        <v>40</v>
      </c>
      <c r="G1774" s="3" t="s">
        <v>26</v>
      </c>
      <c r="H1774" s="3" t="s">
        <v>77</v>
      </c>
      <c r="I1774" s="3" t="s">
        <v>78</v>
      </c>
      <c r="J1774" s="3" t="n">
        <v>38</v>
      </c>
      <c r="K1774" s="3" t="n">
        <v>5062.05</v>
      </c>
      <c r="L1774" s="3" t="n">
        <v>192357.9</v>
      </c>
      <c r="M1774" s="3" t="n">
        <v>0.04</v>
      </c>
      <c r="N1774" s="3" t="n">
        <v>7694.32</v>
      </c>
      <c r="O1774" s="3" t="n">
        <v>184663.58</v>
      </c>
      <c r="P1774" s="3" t="n">
        <v>130803.37</v>
      </c>
      <c r="Q1774" s="3" t="n">
        <v>53860.21</v>
      </c>
      <c r="R1774" s="3" t="n">
        <v>0.2917</v>
      </c>
      <c r="S1774" s="3" t="n">
        <v>0.04</v>
      </c>
      <c r="T1774" s="3" t="n">
        <v>0</v>
      </c>
    </row>
    <row r="1775" customFormat="false" ht="15" hidden="false" customHeight="true" outlineLevel="0" collapsed="false">
      <c r="A1775" s="3" t="s">
        <v>2721</v>
      </c>
      <c r="B1775" s="3" t="s">
        <v>459</v>
      </c>
      <c r="C1775" s="3" t="s">
        <v>53</v>
      </c>
      <c r="D1775" s="3" t="s">
        <v>38</v>
      </c>
      <c r="E1775" s="3" t="s">
        <v>39</v>
      </c>
      <c r="F1775" s="3" t="s">
        <v>40</v>
      </c>
      <c r="G1775" s="3" t="s">
        <v>49</v>
      </c>
      <c r="H1775" s="3" t="s">
        <v>56</v>
      </c>
      <c r="I1775" s="3" t="s">
        <v>121</v>
      </c>
      <c r="J1775" s="3" t="n">
        <v>31</v>
      </c>
      <c r="K1775" s="3" t="n">
        <v>3537.44</v>
      </c>
      <c r="L1775" s="3" t="n">
        <v>109660.64</v>
      </c>
      <c r="M1775" s="3" t="n">
        <v>0.0612</v>
      </c>
      <c r="N1775" s="3" t="n">
        <v>6711.23</v>
      </c>
      <c r="O1775" s="3" t="n">
        <v>102949.41</v>
      </c>
      <c r="P1775" s="3" t="n">
        <v>65796.38</v>
      </c>
      <c r="Q1775" s="3" t="n">
        <v>37153.03</v>
      </c>
      <c r="R1775" s="3" t="n">
        <v>0.3609</v>
      </c>
      <c r="S1775" s="3" t="n">
        <v>0.0549</v>
      </c>
      <c r="T1775" s="3" t="n">
        <v>0.0063</v>
      </c>
    </row>
    <row r="1776" customFormat="false" ht="15" hidden="false" customHeight="true" outlineLevel="0" collapsed="false">
      <c r="A1776" s="3" t="s">
        <v>2722</v>
      </c>
      <c r="B1776" s="3" t="s">
        <v>1255</v>
      </c>
      <c r="C1776" s="3" t="s">
        <v>156</v>
      </c>
      <c r="D1776" s="3" t="s">
        <v>103</v>
      </c>
      <c r="E1776" s="3" t="s">
        <v>24</v>
      </c>
      <c r="F1776" s="3" t="s">
        <v>62</v>
      </c>
      <c r="G1776" s="3" t="s">
        <v>34</v>
      </c>
      <c r="H1776" s="3" t="s">
        <v>42</v>
      </c>
      <c r="I1776" s="3" t="s">
        <v>134</v>
      </c>
      <c r="J1776" s="3" t="n">
        <v>32</v>
      </c>
      <c r="K1776" s="3" t="n">
        <v>2363.7</v>
      </c>
      <c r="L1776" s="3" t="n">
        <v>75638.4</v>
      </c>
      <c r="M1776" s="3" t="n">
        <v>0.0997</v>
      </c>
      <c r="N1776" s="3" t="n">
        <v>7541.15</v>
      </c>
      <c r="O1776" s="3" t="n">
        <v>68097.25</v>
      </c>
      <c r="P1776" s="3" t="n">
        <v>41601.12</v>
      </c>
      <c r="Q1776" s="3" t="n">
        <v>26496.13</v>
      </c>
      <c r="R1776" s="3" t="n">
        <v>0.3891</v>
      </c>
      <c r="S1776" s="3" t="n">
        <v>0.1004</v>
      </c>
      <c r="T1776" s="3" t="n">
        <v>-0.0007</v>
      </c>
    </row>
    <row r="1777" customFormat="false" ht="15" hidden="false" customHeight="true" outlineLevel="0" collapsed="false">
      <c r="A1777" s="3" t="s">
        <v>2723</v>
      </c>
      <c r="B1777" s="3" t="s">
        <v>909</v>
      </c>
      <c r="C1777" s="3" t="s">
        <v>22</v>
      </c>
      <c r="D1777" s="3" t="s">
        <v>61</v>
      </c>
      <c r="E1777" s="3" t="s">
        <v>33</v>
      </c>
      <c r="F1777" s="3" t="s">
        <v>62</v>
      </c>
      <c r="G1777" s="3" t="s">
        <v>34</v>
      </c>
      <c r="H1777" s="3" t="s">
        <v>56</v>
      </c>
      <c r="I1777" s="3" t="s">
        <v>188</v>
      </c>
      <c r="J1777" s="3" t="n">
        <v>3</v>
      </c>
      <c r="K1777" s="3" t="n">
        <v>8571.76</v>
      </c>
      <c r="L1777" s="3" t="n">
        <v>25715.28</v>
      </c>
      <c r="M1777" s="3" t="n">
        <v>0.0767</v>
      </c>
      <c r="N1777" s="3" t="n">
        <v>1972.36</v>
      </c>
      <c r="O1777" s="3" t="n">
        <v>23742.92</v>
      </c>
      <c r="P1777" s="3" t="n">
        <v>15429.17</v>
      </c>
      <c r="Q1777" s="3" t="n">
        <v>8313.75</v>
      </c>
      <c r="R1777" s="3" t="n">
        <v>0.3502</v>
      </c>
      <c r="S1777" s="3" t="n">
        <v>0.0638</v>
      </c>
      <c r="T1777" s="3" t="n">
        <v>0.0129</v>
      </c>
    </row>
    <row r="1778" customFormat="false" ht="15" hidden="false" customHeight="true" outlineLevel="0" collapsed="false">
      <c r="A1778" s="3" t="s">
        <v>2724</v>
      </c>
      <c r="B1778" s="3" t="s">
        <v>2725</v>
      </c>
      <c r="C1778" s="3" t="s">
        <v>53</v>
      </c>
      <c r="D1778" s="3" t="s">
        <v>107</v>
      </c>
      <c r="E1778" s="3" t="s">
        <v>33</v>
      </c>
      <c r="F1778" s="3" t="s">
        <v>70</v>
      </c>
      <c r="G1778" s="3" t="s">
        <v>41</v>
      </c>
      <c r="H1778" s="3" t="s">
        <v>77</v>
      </c>
      <c r="I1778" s="3" t="s">
        <v>85</v>
      </c>
      <c r="J1778" s="3" t="n">
        <v>14</v>
      </c>
      <c r="K1778" s="3" t="n">
        <v>2259.51</v>
      </c>
      <c r="L1778" s="3" t="n">
        <v>31633.14</v>
      </c>
      <c r="M1778" s="3" t="n">
        <v>0.0648</v>
      </c>
      <c r="N1778" s="3" t="n">
        <v>2049.83</v>
      </c>
      <c r="O1778" s="3" t="n">
        <v>29583.31</v>
      </c>
      <c r="P1778" s="3" t="n">
        <v>21510.54</v>
      </c>
      <c r="Q1778" s="3" t="n">
        <v>8072.77</v>
      </c>
      <c r="R1778" s="3" t="n">
        <v>0.2729</v>
      </c>
      <c r="S1778" s="3" t="n">
        <v>0.0521</v>
      </c>
      <c r="T1778" s="3" t="n">
        <v>0.0127</v>
      </c>
    </row>
    <row r="1779" customFormat="false" ht="15" hidden="false" customHeight="true" outlineLevel="0" collapsed="false">
      <c r="A1779" s="3" t="s">
        <v>2726</v>
      </c>
      <c r="B1779" s="3" t="s">
        <v>183</v>
      </c>
      <c r="C1779" s="3" t="s">
        <v>120</v>
      </c>
      <c r="D1779" s="3" t="s">
        <v>38</v>
      </c>
      <c r="E1779" s="3" t="s">
        <v>39</v>
      </c>
      <c r="F1779" s="3" t="s">
        <v>40</v>
      </c>
      <c r="G1779" s="3" t="s">
        <v>76</v>
      </c>
      <c r="H1779" s="3" t="s">
        <v>77</v>
      </c>
      <c r="I1779" s="3" t="s">
        <v>131</v>
      </c>
      <c r="J1779" s="3" t="n">
        <v>29</v>
      </c>
      <c r="K1779" s="3" t="n">
        <v>4286.49</v>
      </c>
      <c r="L1779" s="3" t="n">
        <v>124308.21</v>
      </c>
      <c r="M1779" s="3" t="n">
        <v>0.0747</v>
      </c>
      <c r="N1779" s="3" t="n">
        <v>9285.82</v>
      </c>
      <c r="O1779" s="3" t="n">
        <v>115022.39</v>
      </c>
      <c r="P1779" s="3" t="n">
        <v>84529.58</v>
      </c>
      <c r="Q1779" s="3" t="n">
        <v>30492.81</v>
      </c>
      <c r="R1779" s="3" t="n">
        <v>0.2651</v>
      </c>
      <c r="S1779" s="3" t="n">
        <v>0.0674</v>
      </c>
      <c r="T1779" s="3" t="n">
        <v>0.0073</v>
      </c>
    </row>
    <row r="1780" customFormat="false" ht="15" hidden="false" customHeight="true" outlineLevel="0" collapsed="false">
      <c r="A1780" s="3" t="s">
        <v>2727</v>
      </c>
      <c r="B1780" s="3" t="s">
        <v>734</v>
      </c>
      <c r="C1780" s="3" t="s">
        <v>53</v>
      </c>
      <c r="D1780" s="3" t="s">
        <v>69</v>
      </c>
      <c r="E1780" s="3" t="s">
        <v>39</v>
      </c>
      <c r="F1780" s="3" t="s">
        <v>70</v>
      </c>
      <c r="G1780" s="3" t="s">
        <v>116</v>
      </c>
      <c r="H1780" s="3" t="s">
        <v>56</v>
      </c>
      <c r="I1780" s="3" t="s">
        <v>188</v>
      </c>
      <c r="J1780" s="3" t="n">
        <v>39</v>
      </c>
      <c r="K1780" s="3" t="n">
        <v>14886.65</v>
      </c>
      <c r="L1780" s="3" t="n">
        <v>580579.35</v>
      </c>
      <c r="M1780" s="3" t="n">
        <v>0.102</v>
      </c>
      <c r="N1780" s="3" t="n">
        <v>59219.09</v>
      </c>
      <c r="O1780" s="3" t="n">
        <v>521360.26</v>
      </c>
      <c r="P1780" s="3" t="n">
        <v>348347.61</v>
      </c>
      <c r="Q1780" s="3" t="n">
        <v>173012.65</v>
      </c>
      <c r="R1780" s="3" t="n">
        <v>0.3318</v>
      </c>
      <c r="S1780" s="3" t="n">
        <v>0.083</v>
      </c>
      <c r="T1780" s="3" t="n">
        <v>0.019</v>
      </c>
    </row>
    <row r="1781" customFormat="false" ht="15" hidden="false" customHeight="true" outlineLevel="0" collapsed="false">
      <c r="A1781" s="3" t="s">
        <v>2728</v>
      </c>
      <c r="B1781" s="3" t="s">
        <v>281</v>
      </c>
      <c r="C1781" s="3" t="s">
        <v>93</v>
      </c>
      <c r="D1781" s="3" t="s">
        <v>97</v>
      </c>
      <c r="E1781" s="3" t="s">
        <v>48</v>
      </c>
      <c r="F1781" s="3" t="s">
        <v>40</v>
      </c>
      <c r="G1781" s="3" t="s">
        <v>41</v>
      </c>
      <c r="H1781" s="3" t="s">
        <v>42</v>
      </c>
      <c r="I1781" s="3" t="s">
        <v>72</v>
      </c>
      <c r="J1781" s="3" t="n">
        <v>45</v>
      </c>
      <c r="K1781" s="3" t="n">
        <v>2800.54</v>
      </c>
      <c r="L1781" s="3" t="n">
        <v>126024.3</v>
      </c>
      <c r="M1781" s="3" t="n">
        <v>0.1235</v>
      </c>
      <c r="N1781" s="3" t="n">
        <v>15564</v>
      </c>
      <c r="O1781" s="3" t="n">
        <v>110460.3</v>
      </c>
      <c r="P1781" s="3" t="n">
        <v>69313.37</v>
      </c>
      <c r="Q1781" s="3" t="n">
        <v>41146.93</v>
      </c>
      <c r="R1781" s="3" t="n">
        <v>0.3725</v>
      </c>
      <c r="S1781" s="3" t="n">
        <v>0.1291</v>
      </c>
      <c r="T1781" s="3" t="n">
        <v>-0.0056</v>
      </c>
    </row>
    <row r="1782" customFormat="false" ht="15" hidden="false" customHeight="true" outlineLevel="0" collapsed="false">
      <c r="A1782" s="3" t="s">
        <v>2729</v>
      </c>
      <c r="B1782" s="3" t="s">
        <v>2522</v>
      </c>
      <c r="C1782" s="3" t="s">
        <v>156</v>
      </c>
      <c r="D1782" s="3" t="s">
        <v>69</v>
      </c>
      <c r="E1782" s="3" t="s">
        <v>39</v>
      </c>
      <c r="F1782" s="3" t="s">
        <v>70</v>
      </c>
      <c r="G1782" s="3" t="s">
        <v>116</v>
      </c>
      <c r="H1782" s="3" t="s">
        <v>77</v>
      </c>
      <c r="I1782" s="3" t="s">
        <v>78</v>
      </c>
      <c r="J1782" s="3" t="n">
        <v>38</v>
      </c>
      <c r="K1782" s="3" t="n">
        <v>1625.81</v>
      </c>
      <c r="L1782" s="3" t="n">
        <v>61780.78</v>
      </c>
      <c r="M1782" s="3" t="n">
        <v>0.0845</v>
      </c>
      <c r="N1782" s="3" t="n">
        <v>5220.48</v>
      </c>
      <c r="O1782" s="3" t="n">
        <v>56560.3</v>
      </c>
      <c r="P1782" s="3" t="n">
        <v>42010.93</v>
      </c>
      <c r="Q1782" s="3" t="n">
        <v>14549.37</v>
      </c>
      <c r="R1782" s="3" t="n">
        <v>0.2572</v>
      </c>
      <c r="S1782" s="3" t="n">
        <v>0.0784</v>
      </c>
      <c r="T1782" s="3" t="n">
        <v>0.0061</v>
      </c>
    </row>
    <row r="1783" customFormat="false" ht="15" hidden="false" customHeight="true" outlineLevel="0" collapsed="false">
      <c r="A1783" s="3" t="s">
        <v>2730</v>
      </c>
      <c r="B1783" s="3" t="s">
        <v>1048</v>
      </c>
      <c r="C1783" s="3" t="s">
        <v>156</v>
      </c>
      <c r="D1783" s="3" t="s">
        <v>103</v>
      </c>
      <c r="E1783" s="3" t="s">
        <v>24</v>
      </c>
      <c r="F1783" s="3" t="s">
        <v>62</v>
      </c>
      <c r="G1783" s="3" t="s">
        <v>100</v>
      </c>
      <c r="H1783" s="3" t="s">
        <v>42</v>
      </c>
      <c r="I1783" s="3" t="s">
        <v>134</v>
      </c>
      <c r="J1783" s="3" t="n">
        <v>2</v>
      </c>
      <c r="K1783" s="3" t="n">
        <v>2935.79</v>
      </c>
      <c r="L1783" s="3" t="n">
        <v>5871.58</v>
      </c>
      <c r="M1783" s="3" t="n">
        <v>0.0669</v>
      </c>
      <c r="N1783" s="3" t="n">
        <v>392.81</v>
      </c>
      <c r="O1783" s="3" t="n">
        <v>5478.77</v>
      </c>
      <c r="P1783" s="3" t="n">
        <v>3229.37</v>
      </c>
      <c r="Q1783" s="3" t="n">
        <v>2249.4</v>
      </c>
      <c r="R1783" s="3" t="n">
        <v>0.4106</v>
      </c>
      <c r="S1783" s="3" t="n">
        <v>0.067</v>
      </c>
      <c r="T1783" s="3" t="n">
        <v>-0.0001</v>
      </c>
    </row>
    <row r="1784" customFormat="false" ht="15" hidden="false" customHeight="true" outlineLevel="0" collapsed="false">
      <c r="A1784" s="3" t="s">
        <v>2731</v>
      </c>
      <c r="B1784" s="3" t="s">
        <v>1693</v>
      </c>
      <c r="C1784" s="3" t="s">
        <v>113</v>
      </c>
      <c r="D1784" s="3" t="s">
        <v>69</v>
      </c>
      <c r="E1784" s="3" t="s">
        <v>39</v>
      </c>
      <c r="F1784" s="3" t="s">
        <v>70</v>
      </c>
      <c r="G1784" s="3" t="s">
        <v>34</v>
      </c>
      <c r="H1784" s="3" t="s">
        <v>64</v>
      </c>
      <c r="I1784" s="3" t="s">
        <v>108</v>
      </c>
      <c r="J1784" s="3" t="n">
        <v>47</v>
      </c>
      <c r="K1784" s="3" t="n">
        <v>9637.28</v>
      </c>
      <c r="L1784" s="3" t="n">
        <v>452952.16</v>
      </c>
      <c r="M1784" s="3" t="n">
        <v>0.0921</v>
      </c>
      <c r="N1784" s="3" t="n">
        <v>41716.89</v>
      </c>
      <c r="O1784" s="3" t="n">
        <v>411235.27</v>
      </c>
      <c r="P1784" s="3" t="n">
        <v>262712.25</v>
      </c>
      <c r="Q1784" s="3" t="n">
        <v>148523.02</v>
      </c>
      <c r="R1784" s="3" t="n">
        <v>0.3612</v>
      </c>
      <c r="S1784" s="3" t="n">
        <v>0.0773</v>
      </c>
      <c r="T1784" s="3" t="n">
        <v>0.0148</v>
      </c>
    </row>
    <row r="1785" customFormat="false" ht="15" hidden="false" customHeight="true" outlineLevel="0" collapsed="false">
      <c r="A1785" s="3" t="s">
        <v>2732</v>
      </c>
      <c r="B1785" s="3" t="s">
        <v>1307</v>
      </c>
      <c r="C1785" s="3" t="s">
        <v>113</v>
      </c>
      <c r="D1785" s="3" t="s">
        <v>83</v>
      </c>
      <c r="E1785" s="3" t="s">
        <v>48</v>
      </c>
      <c r="F1785" s="3" t="s">
        <v>62</v>
      </c>
      <c r="G1785" s="3" t="s">
        <v>34</v>
      </c>
      <c r="H1785" s="3" t="s">
        <v>27</v>
      </c>
      <c r="I1785" s="3" t="s">
        <v>173</v>
      </c>
      <c r="J1785" s="3" t="n">
        <v>3</v>
      </c>
      <c r="K1785" s="3" t="n">
        <v>27796.68</v>
      </c>
      <c r="L1785" s="3" t="n">
        <v>83390.04</v>
      </c>
      <c r="M1785" s="3" t="n">
        <v>0.0924</v>
      </c>
      <c r="N1785" s="3" t="n">
        <v>7705.24</v>
      </c>
      <c r="O1785" s="3" t="n">
        <v>75684.8</v>
      </c>
      <c r="P1785" s="3" t="n">
        <v>51701.82</v>
      </c>
      <c r="Q1785" s="3" t="n">
        <v>23982.98</v>
      </c>
      <c r="R1785" s="3" t="n">
        <v>0.3169</v>
      </c>
      <c r="S1785" s="3" t="n">
        <v>0.0841</v>
      </c>
      <c r="T1785" s="3" t="n">
        <v>0.0083</v>
      </c>
    </row>
    <row r="1786" customFormat="false" ht="15" hidden="false" customHeight="true" outlineLevel="0" collapsed="false">
      <c r="A1786" s="3" t="s">
        <v>2733</v>
      </c>
      <c r="B1786" s="3" t="s">
        <v>2734</v>
      </c>
      <c r="C1786" s="3" t="s">
        <v>156</v>
      </c>
      <c r="D1786" s="3" t="s">
        <v>54</v>
      </c>
      <c r="E1786" s="3" t="s">
        <v>24</v>
      </c>
      <c r="F1786" s="3" t="s">
        <v>40</v>
      </c>
      <c r="G1786" s="3" t="s">
        <v>26</v>
      </c>
      <c r="H1786" s="3" t="s">
        <v>77</v>
      </c>
      <c r="I1786" s="3" t="s">
        <v>131</v>
      </c>
      <c r="J1786" s="3" t="n">
        <v>11</v>
      </c>
      <c r="K1786" s="3" t="n">
        <v>1503.69</v>
      </c>
      <c r="L1786" s="3" t="n">
        <v>16540.59</v>
      </c>
      <c r="M1786" s="3" t="n">
        <v>0.0537</v>
      </c>
      <c r="N1786" s="3" t="n">
        <v>888.23</v>
      </c>
      <c r="O1786" s="3" t="n">
        <v>15652.36</v>
      </c>
      <c r="P1786" s="3" t="n">
        <v>11247.6</v>
      </c>
      <c r="Q1786" s="3" t="n">
        <v>4404.76</v>
      </c>
      <c r="R1786" s="3" t="n">
        <v>0.2814</v>
      </c>
      <c r="S1786" s="3" t="n">
        <v>0.0457</v>
      </c>
      <c r="T1786" s="3" t="n">
        <v>0.008</v>
      </c>
    </row>
    <row r="1787" customFormat="false" ht="15" hidden="false" customHeight="true" outlineLevel="0" collapsed="false">
      <c r="A1787" s="3" t="s">
        <v>2735</v>
      </c>
      <c r="B1787" s="3" t="s">
        <v>1095</v>
      </c>
      <c r="C1787" s="3" t="s">
        <v>113</v>
      </c>
      <c r="D1787" s="3" t="s">
        <v>32</v>
      </c>
      <c r="E1787" s="3" t="s">
        <v>33</v>
      </c>
      <c r="F1787" s="3" t="s">
        <v>25</v>
      </c>
      <c r="G1787" s="3" t="s">
        <v>71</v>
      </c>
      <c r="H1787" s="3" t="s">
        <v>56</v>
      </c>
      <c r="I1787" s="3" t="s">
        <v>188</v>
      </c>
      <c r="J1787" s="3" t="n">
        <v>27</v>
      </c>
      <c r="K1787" s="3" t="n">
        <v>15486.52</v>
      </c>
      <c r="L1787" s="3" t="n">
        <v>418136.04</v>
      </c>
      <c r="M1787" s="3" t="n">
        <v>0.1366</v>
      </c>
      <c r="N1787" s="3" t="n">
        <v>57117.38</v>
      </c>
      <c r="O1787" s="3" t="n">
        <v>361018.66</v>
      </c>
      <c r="P1787" s="3" t="n">
        <v>250881.62</v>
      </c>
      <c r="Q1787" s="3" t="n">
        <v>110137.04</v>
      </c>
      <c r="R1787" s="3" t="n">
        <v>0.3051</v>
      </c>
      <c r="S1787" s="3" t="n">
        <v>0.1123</v>
      </c>
      <c r="T1787" s="3" t="n">
        <v>0.0243</v>
      </c>
    </row>
    <row r="1788" customFormat="false" ht="15" hidden="false" customHeight="true" outlineLevel="0" collapsed="false">
      <c r="A1788" s="3" t="s">
        <v>2736</v>
      </c>
      <c r="B1788" s="3" t="s">
        <v>504</v>
      </c>
      <c r="C1788" s="3" t="s">
        <v>68</v>
      </c>
      <c r="D1788" s="3" t="s">
        <v>47</v>
      </c>
      <c r="E1788" s="3" t="s">
        <v>48</v>
      </c>
      <c r="F1788" s="3" t="s">
        <v>25</v>
      </c>
      <c r="G1788" s="3" t="s">
        <v>34</v>
      </c>
      <c r="H1788" s="3" t="s">
        <v>27</v>
      </c>
      <c r="I1788" s="3" t="s">
        <v>173</v>
      </c>
      <c r="J1788" s="3" t="n">
        <v>11</v>
      </c>
      <c r="K1788" s="3" t="n">
        <v>30390</v>
      </c>
      <c r="L1788" s="3" t="n">
        <v>334290</v>
      </c>
      <c r="M1788" s="3" t="n">
        <v>0.1671</v>
      </c>
      <c r="N1788" s="3" t="n">
        <v>55859.86</v>
      </c>
      <c r="O1788" s="3" t="n">
        <v>278430.14</v>
      </c>
      <c r="P1788" s="3" t="n">
        <v>207259.8</v>
      </c>
      <c r="Q1788" s="3" t="n">
        <v>71170.34</v>
      </c>
      <c r="R1788" s="3" t="n">
        <v>0.2556</v>
      </c>
      <c r="S1788" s="3" t="n">
        <v>0.1813</v>
      </c>
      <c r="T1788" s="3" t="n">
        <v>-0.0142</v>
      </c>
    </row>
    <row r="1789" customFormat="false" ht="15" hidden="false" customHeight="true" outlineLevel="0" collapsed="false">
      <c r="A1789" s="3" t="s">
        <v>2737</v>
      </c>
      <c r="B1789" s="3" t="s">
        <v>356</v>
      </c>
      <c r="C1789" s="3" t="s">
        <v>113</v>
      </c>
      <c r="D1789" s="3" t="s">
        <v>38</v>
      </c>
      <c r="E1789" s="3" t="s">
        <v>39</v>
      </c>
      <c r="F1789" s="3" t="s">
        <v>40</v>
      </c>
      <c r="G1789" s="3" t="s">
        <v>84</v>
      </c>
      <c r="H1789" s="3" t="s">
        <v>56</v>
      </c>
      <c r="I1789" s="3" t="s">
        <v>57</v>
      </c>
      <c r="J1789" s="3" t="n">
        <v>39</v>
      </c>
      <c r="K1789" s="3" t="n">
        <v>4518.35</v>
      </c>
      <c r="L1789" s="3" t="n">
        <v>176215.65</v>
      </c>
      <c r="M1789" s="3" t="n">
        <v>0.0566</v>
      </c>
      <c r="N1789" s="3" t="n">
        <v>9973.81</v>
      </c>
      <c r="O1789" s="3" t="n">
        <v>166241.84</v>
      </c>
      <c r="P1789" s="3" t="n">
        <v>105729.39</v>
      </c>
      <c r="Q1789" s="3" t="n">
        <v>60512.45</v>
      </c>
      <c r="R1789" s="3" t="n">
        <v>0.364</v>
      </c>
      <c r="S1789" s="3" t="n">
        <v>0.0615</v>
      </c>
      <c r="T1789" s="3" t="n">
        <v>-0.0049</v>
      </c>
    </row>
    <row r="1790" customFormat="false" ht="15" hidden="false" customHeight="true" outlineLevel="0" collapsed="false">
      <c r="A1790" s="3" t="s">
        <v>2738</v>
      </c>
      <c r="B1790" s="3" t="s">
        <v>783</v>
      </c>
      <c r="C1790" s="3" t="s">
        <v>156</v>
      </c>
      <c r="D1790" s="3" t="s">
        <v>47</v>
      </c>
      <c r="E1790" s="3" t="s">
        <v>48</v>
      </c>
      <c r="F1790" s="3" t="s">
        <v>25</v>
      </c>
      <c r="G1790" s="3" t="s">
        <v>76</v>
      </c>
      <c r="H1790" s="3" t="s">
        <v>64</v>
      </c>
      <c r="I1790" s="3" t="s">
        <v>90</v>
      </c>
      <c r="J1790" s="3" t="n">
        <v>39</v>
      </c>
      <c r="K1790" s="3" t="n">
        <v>5841.57</v>
      </c>
      <c r="L1790" s="3" t="n">
        <v>227821.23</v>
      </c>
      <c r="M1790" s="3" t="n">
        <v>0.1394</v>
      </c>
      <c r="N1790" s="3" t="n">
        <v>31758.28</v>
      </c>
      <c r="O1790" s="3" t="n">
        <v>196062.95</v>
      </c>
      <c r="P1790" s="3" t="n">
        <v>132136.31</v>
      </c>
      <c r="Q1790" s="3" t="n">
        <v>63926.64</v>
      </c>
      <c r="R1790" s="3" t="n">
        <v>0.3261</v>
      </c>
      <c r="S1790" s="3" t="n">
        <v>0.1197</v>
      </c>
      <c r="T1790" s="3" t="n">
        <v>0.0197</v>
      </c>
    </row>
    <row r="1791" customFormat="false" ht="15" hidden="false" customHeight="true" outlineLevel="0" collapsed="false">
      <c r="A1791" s="3" t="s">
        <v>2739</v>
      </c>
      <c r="B1791" s="3" t="s">
        <v>241</v>
      </c>
      <c r="C1791" s="3" t="s">
        <v>120</v>
      </c>
      <c r="D1791" s="3" t="s">
        <v>54</v>
      </c>
      <c r="E1791" s="3" t="s">
        <v>24</v>
      </c>
      <c r="F1791" s="3" t="s">
        <v>40</v>
      </c>
      <c r="G1791" s="3" t="s">
        <v>84</v>
      </c>
      <c r="H1791" s="3" t="s">
        <v>77</v>
      </c>
      <c r="I1791" s="3" t="s">
        <v>85</v>
      </c>
      <c r="J1791" s="3" t="n">
        <v>38</v>
      </c>
      <c r="K1791" s="3" t="n">
        <v>5650.79</v>
      </c>
      <c r="L1791" s="3" t="n">
        <v>214730.02</v>
      </c>
      <c r="M1791" s="3" t="n">
        <v>0.0358</v>
      </c>
      <c r="N1791" s="3" t="n">
        <v>7687.33</v>
      </c>
      <c r="O1791" s="3" t="n">
        <v>207042.69</v>
      </c>
      <c r="P1791" s="3" t="n">
        <v>146016.41</v>
      </c>
      <c r="Q1791" s="3" t="n">
        <v>61026.28</v>
      </c>
      <c r="R1791" s="3" t="n">
        <v>0.2948</v>
      </c>
      <c r="S1791" s="3" t="n">
        <v>0.0383</v>
      </c>
      <c r="T1791" s="3" t="n">
        <v>-0.0025</v>
      </c>
    </row>
    <row r="1792" customFormat="false" ht="15" hidden="false" customHeight="true" outlineLevel="0" collapsed="false">
      <c r="A1792" s="3" t="s">
        <v>2740</v>
      </c>
      <c r="B1792" s="3" t="s">
        <v>2741</v>
      </c>
      <c r="C1792" s="3" t="s">
        <v>60</v>
      </c>
      <c r="D1792" s="3" t="s">
        <v>69</v>
      </c>
      <c r="E1792" s="3" t="s">
        <v>39</v>
      </c>
      <c r="F1792" s="3" t="s">
        <v>70</v>
      </c>
      <c r="G1792" s="3" t="s">
        <v>100</v>
      </c>
      <c r="H1792" s="3" t="s">
        <v>56</v>
      </c>
      <c r="I1792" s="3" t="s">
        <v>188</v>
      </c>
      <c r="J1792" s="3" t="n">
        <v>42</v>
      </c>
      <c r="K1792" s="3" t="n">
        <v>9669.15</v>
      </c>
      <c r="L1792" s="3" t="n">
        <v>406104.3</v>
      </c>
      <c r="M1792" s="3" t="n">
        <v>0.059</v>
      </c>
      <c r="N1792" s="3" t="n">
        <v>23960.15</v>
      </c>
      <c r="O1792" s="3" t="n">
        <v>382144.15</v>
      </c>
      <c r="P1792" s="3" t="n">
        <v>243662.58</v>
      </c>
      <c r="Q1792" s="3" t="n">
        <v>138481.57</v>
      </c>
      <c r="R1792" s="3" t="n">
        <v>0.3624</v>
      </c>
      <c r="S1792" s="3" t="n">
        <v>0.0482</v>
      </c>
      <c r="T1792" s="3" t="n">
        <v>0.0108</v>
      </c>
    </row>
    <row r="1793" customFormat="false" ht="15" hidden="false" customHeight="true" outlineLevel="0" collapsed="false">
      <c r="A1793" s="3" t="s">
        <v>2742</v>
      </c>
      <c r="B1793" s="3" t="s">
        <v>2361</v>
      </c>
      <c r="C1793" s="3" t="s">
        <v>53</v>
      </c>
      <c r="D1793" s="3" t="s">
        <v>75</v>
      </c>
      <c r="E1793" s="3" t="s">
        <v>39</v>
      </c>
      <c r="F1793" s="3" t="s">
        <v>25</v>
      </c>
      <c r="G1793" s="3" t="s">
        <v>41</v>
      </c>
      <c r="H1793" s="3" t="s">
        <v>56</v>
      </c>
      <c r="I1793" s="3" t="s">
        <v>188</v>
      </c>
      <c r="J1793" s="3" t="n">
        <v>4</v>
      </c>
      <c r="K1793" s="3" t="n">
        <v>5847.73</v>
      </c>
      <c r="L1793" s="3" t="n">
        <v>23390.92</v>
      </c>
      <c r="M1793" s="3" t="n">
        <v>0.1993</v>
      </c>
      <c r="N1793" s="3" t="n">
        <v>4661.81</v>
      </c>
      <c r="O1793" s="3" t="n">
        <v>18729.11</v>
      </c>
      <c r="P1793" s="3" t="n">
        <v>14034.55</v>
      </c>
      <c r="Q1793" s="3" t="n">
        <v>4694.56</v>
      </c>
      <c r="R1793" s="3" t="n">
        <v>0.2507</v>
      </c>
      <c r="S1793" s="3" t="n">
        <v>0.1917</v>
      </c>
      <c r="T1793" s="3" t="n">
        <v>0.0076</v>
      </c>
    </row>
    <row r="1794" customFormat="false" ht="15" hidden="false" customHeight="true" outlineLevel="0" collapsed="false">
      <c r="A1794" s="3" t="s">
        <v>2743</v>
      </c>
      <c r="B1794" s="3" t="s">
        <v>605</v>
      </c>
      <c r="C1794" s="3" t="s">
        <v>60</v>
      </c>
      <c r="D1794" s="3" t="s">
        <v>61</v>
      </c>
      <c r="E1794" s="3" t="s">
        <v>33</v>
      </c>
      <c r="F1794" s="3" t="s">
        <v>62</v>
      </c>
      <c r="G1794" s="3" t="s">
        <v>100</v>
      </c>
      <c r="H1794" s="3" t="s">
        <v>42</v>
      </c>
      <c r="I1794" s="3" t="s">
        <v>72</v>
      </c>
      <c r="J1794" s="3" t="n">
        <v>17</v>
      </c>
      <c r="K1794" s="3" t="n">
        <v>827.38</v>
      </c>
      <c r="L1794" s="3" t="n">
        <v>14065.46</v>
      </c>
      <c r="M1794" s="3" t="n">
        <v>0.0466</v>
      </c>
      <c r="N1794" s="3" t="n">
        <v>655.45</v>
      </c>
      <c r="O1794" s="3" t="n">
        <v>13410.01</v>
      </c>
      <c r="P1794" s="3" t="n">
        <v>7736</v>
      </c>
      <c r="Q1794" s="3" t="n">
        <v>5674.01</v>
      </c>
      <c r="R1794" s="3" t="n">
        <v>0.4231</v>
      </c>
      <c r="S1794" s="3" t="n">
        <v>0.0489</v>
      </c>
      <c r="T1794" s="3" t="n">
        <v>-0.0023</v>
      </c>
    </row>
    <row r="1795" customFormat="false" ht="15" hidden="false" customHeight="true" outlineLevel="0" collapsed="false">
      <c r="A1795" s="3" t="s">
        <v>2744</v>
      </c>
      <c r="B1795" s="3" t="s">
        <v>1512</v>
      </c>
      <c r="C1795" s="3" t="s">
        <v>31</v>
      </c>
      <c r="D1795" s="3" t="s">
        <v>32</v>
      </c>
      <c r="E1795" s="3" t="s">
        <v>33</v>
      </c>
      <c r="F1795" s="3" t="s">
        <v>25</v>
      </c>
      <c r="G1795" s="3" t="s">
        <v>34</v>
      </c>
      <c r="H1795" s="3" t="s">
        <v>77</v>
      </c>
      <c r="I1795" s="3" t="s">
        <v>78</v>
      </c>
      <c r="J1795" s="3" t="n">
        <v>15</v>
      </c>
      <c r="K1795" s="3" t="n">
        <v>1870.62</v>
      </c>
      <c r="L1795" s="3" t="n">
        <v>28059.3</v>
      </c>
      <c r="M1795" s="3" t="n">
        <v>0.138</v>
      </c>
      <c r="N1795" s="3" t="n">
        <v>3872.18</v>
      </c>
      <c r="O1795" s="3" t="n">
        <v>24187.12</v>
      </c>
      <c r="P1795" s="3" t="n">
        <v>19080.32</v>
      </c>
      <c r="Q1795" s="3" t="n">
        <v>5106.8</v>
      </c>
      <c r="R1795" s="3" t="n">
        <v>0.2111</v>
      </c>
      <c r="S1795" s="3" t="n">
        <v>0.1134</v>
      </c>
      <c r="T1795" s="3" t="n">
        <v>0.0246</v>
      </c>
    </row>
    <row r="1796" customFormat="false" ht="15" hidden="false" customHeight="true" outlineLevel="0" collapsed="false">
      <c r="A1796" s="3" t="s">
        <v>2745</v>
      </c>
      <c r="B1796" s="3" t="s">
        <v>229</v>
      </c>
      <c r="C1796" s="3" t="s">
        <v>126</v>
      </c>
      <c r="D1796" s="3" t="s">
        <v>97</v>
      </c>
      <c r="E1796" s="3" t="s">
        <v>48</v>
      </c>
      <c r="F1796" s="3" t="s">
        <v>40</v>
      </c>
      <c r="G1796" s="3" t="s">
        <v>26</v>
      </c>
      <c r="H1796" s="3" t="s">
        <v>56</v>
      </c>
      <c r="I1796" s="3" t="s">
        <v>188</v>
      </c>
      <c r="J1796" s="3" t="n">
        <v>30</v>
      </c>
      <c r="K1796" s="3" t="n">
        <v>14162.23</v>
      </c>
      <c r="L1796" s="3" t="n">
        <v>424866.9</v>
      </c>
      <c r="M1796" s="3" t="n">
        <v>0.0382</v>
      </c>
      <c r="N1796" s="3" t="n">
        <v>16229.92</v>
      </c>
      <c r="O1796" s="3" t="n">
        <v>408636.98</v>
      </c>
      <c r="P1796" s="3" t="n">
        <v>254920.14</v>
      </c>
      <c r="Q1796" s="3" t="n">
        <v>153716.84</v>
      </c>
      <c r="R1796" s="3" t="n">
        <v>0.3762</v>
      </c>
      <c r="S1796" s="3" t="n">
        <v>0.042</v>
      </c>
      <c r="T1796" s="3" t="n">
        <v>-0.0038</v>
      </c>
    </row>
    <row r="1797" customFormat="false" ht="15" hidden="false" customHeight="true" outlineLevel="0" collapsed="false">
      <c r="A1797" s="3" t="s">
        <v>2746</v>
      </c>
      <c r="B1797" s="3" t="s">
        <v>2747</v>
      </c>
      <c r="C1797" s="3" t="s">
        <v>156</v>
      </c>
      <c r="D1797" s="3" t="s">
        <v>103</v>
      </c>
      <c r="E1797" s="3" t="s">
        <v>24</v>
      </c>
      <c r="F1797" s="3" t="s">
        <v>62</v>
      </c>
      <c r="G1797" s="3" t="s">
        <v>104</v>
      </c>
      <c r="H1797" s="3" t="s">
        <v>27</v>
      </c>
      <c r="I1797" s="3" t="s">
        <v>28</v>
      </c>
      <c r="J1797" s="3" t="n">
        <v>50</v>
      </c>
      <c r="K1797" s="3" t="n">
        <v>32961.52</v>
      </c>
      <c r="L1797" s="3" t="n">
        <v>1648076</v>
      </c>
      <c r="M1797" s="3" t="n">
        <v>0.0842</v>
      </c>
      <c r="N1797" s="3" t="n">
        <v>138768</v>
      </c>
      <c r="O1797" s="3" t="n">
        <v>1509308</v>
      </c>
      <c r="P1797" s="3" t="n">
        <v>1021807.12</v>
      </c>
      <c r="Q1797" s="3" t="n">
        <v>487500.88</v>
      </c>
      <c r="R1797" s="3" t="n">
        <v>0.323</v>
      </c>
      <c r="S1797" s="3" t="n">
        <v>0.0695</v>
      </c>
      <c r="T1797" s="3" t="n">
        <v>0.0147</v>
      </c>
    </row>
    <row r="1798" customFormat="false" ht="15" hidden="false" customHeight="true" outlineLevel="0" collapsed="false">
      <c r="A1798" s="3" t="s">
        <v>2748</v>
      </c>
      <c r="B1798" s="3" t="s">
        <v>991</v>
      </c>
      <c r="C1798" s="3" t="s">
        <v>46</v>
      </c>
      <c r="D1798" s="3" t="s">
        <v>75</v>
      </c>
      <c r="E1798" s="3" t="s">
        <v>39</v>
      </c>
      <c r="F1798" s="3" t="s">
        <v>25</v>
      </c>
      <c r="G1798" s="3" t="s">
        <v>116</v>
      </c>
      <c r="H1798" s="3" t="s">
        <v>56</v>
      </c>
      <c r="I1798" s="3" t="s">
        <v>188</v>
      </c>
      <c r="J1798" s="3" t="n">
        <v>31</v>
      </c>
      <c r="K1798" s="3" t="n">
        <v>13007.3</v>
      </c>
      <c r="L1798" s="3" t="n">
        <v>403226.3</v>
      </c>
      <c r="M1798" s="3" t="n">
        <v>0.1769</v>
      </c>
      <c r="N1798" s="3" t="n">
        <v>71330.73</v>
      </c>
      <c r="O1798" s="3" t="n">
        <v>331895.57</v>
      </c>
      <c r="P1798" s="3" t="n">
        <v>241935.78</v>
      </c>
      <c r="Q1798" s="3" t="n">
        <v>89959.79</v>
      </c>
      <c r="R1798" s="3" t="n">
        <v>0.271</v>
      </c>
      <c r="S1798" s="3" t="n">
        <v>0.1445</v>
      </c>
      <c r="T1798" s="3" t="n">
        <v>0.0324</v>
      </c>
    </row>
    <row r="1799" customFormat="false" ht="15" hidden="false" customHeight="true" outlineLevel="0" collapsed="false">
      <c r="A1799" s="3" t="s">
        <v>2749</v>
      </c>
      <c r="B1799" s="3" t="s">
        <v>2750</v>
      </c>
      <c r="C1799" s="3" t="s">
        <v>68</v>
      </c>
      <c r="D1799" s="3" t="s">
        <v>23</v>
      </c>
      <c r="E1799" s="3" t="s">
        <v>24</v>
      </c>
      <c r="F1799" s="3" t="s">
        <v>25</v>
      </c>
      <c r="G1799" s="3" t="s">
        <v>26</v>
      </c>
      <c r="H1799" s="3" t="s">
        <v>56</v>
      </c>
      <c r="I1799" s="3" t="s">
        <v>188</v>
      </c>
      <c r="J1799" s="3" t="n">
        <v>23</v>
      </c>
      <c r="K1799" s="3" t="n">
        <v>4396.4</v>
      </c>
      <c r="L1799" s="3" t="n">
        <v>101117.2</v>
      </c>
      <c r="M1799" s="3" t="n">
        <v>0.1394</v>
      </c>
      <c r="N1799" s="3" t="n">
        <v>14095.74</v>
      </c>
      <c r="O1799" s="3" t="n">
        <v>87021.46</v>
      </c>
      <c r="P1799" s="3" t="n">
        <v>60670.32</v>
      </c>
      <c r="Q1799" s="3" t="n">
        <v>26351.14</v>
      </c>
      <c r="R1799" s="3" t="n">
        <v>0.3028</v>
      </c>
      <c r="S1799" s="3" t="n">
        <v>0.1385</v>
      </c>
      <c r="T1799" s="3" t="n">
        <v>0.0009</v>
      </c>
    </row>
    <row r="1800" customFormat="false" ht="15" hidden="false" customHeight="true" outlineLevel="0" collapsed="false">
      <c r="A1800" s="3" t="s">
        <v>2751</v>
      </c>
      <c r="B1800" s="3" t="s">
        <v>2752</v>
      </c>
      <c r="C1800" s="3" t="s">
        <v>93</v>
      </c>
      <c r="D1800" s="3" t="s">
        <v>54</v>
      </c>
      <c r="E1800" s="3" t="s">
        <v>24</v>
      </c>
      <c r="F1800" s="3" t="s">
        <v>40</v>
      </c>
      <c r="G1800" s="3" t="s">
        <v>116</v>
      </c>
      <c r="H1800" s="3" t="s">
        <v>42</v>
      </c>
      <c r="I1800" s="3" t="s">
        <v>43</v>
      </c>
      <c r="J1800" s="3" t="n">
        <v>10</v>
      </c>
      <c r="K1800" s="3" t="n">
        <v>2410.21</v>
      </c>
      <c r="L1800" s="3" t="n">
        <v>24102.1</v>
      </c>
      <c r="M1800" s="3" t="n">
        <v>0.1031</v>
      </c>
      <c r="N1800" s="3" t="n">
        <v>2484.93</v>
      </c>
      <c r="O1800" s="3" t="n">
        <v>21617.17</v>
      </c>
      <c r="P1800" s="3" t="n">
        <v>13256.16</v>
      </c>
      <c r="Q1800" s="3" t="n">
        <v>8361.01</v>
      </c>
      <c r="R1800" s="3" t="n">
        <v>0.3868</v>
      </c>
      <c r="S1800" s="3" t="n">
        <v>0.0913</v>
      </c>
      <c r="T1800" s="3" t="n">
        <v>0.0118</v>
      </c>
    </row>
    <row r="1801" customFormat="false" ht="15" hidden="false" customHeight="true" outlineLevel="0" collapsed="false">
      <c r="A1801" s="3" t="s">
        <v>2753</v>
      </c>
      <c r="B1801" s="3" t="s">
        <v>142</v>
      </c>
      <c r="C1801" s="3" t="s">
        <v>37</v>
      </c>
      <c r="D1801" s="3" t="s">
        <v>107</v>
      </c>
      <c r="E1801" s="3" t="s">
        <v>33</v>
      </c>
      <c r="F1801" s="3" t="s">
        <v>70</v>
      </c>
      <c r="G1801" s="3" t="s">
        <v>41</v>
      </c>
      <c r="H1801" s="3" t="s">
        <v>27</v>
      </c>
      <c r="I1801" s="3" t="s">
        <v>117</v>
      </c>
      <c r="J1801" s="3" t="n">
        <v>19</v>
      </c>
      <c r="K1801" s="3" t="n">
        <v>34379.42</v>
      </c>
      <c r="L1801" s="3" t="n">
        <v>653208.98</v>
      </c>
      <c r="M1801" s="3" t="n">
        <v>0.1066</v>
      </c>
      <c r="N1801" s="3" t="n">
        <v>69632.08</v>
      </c>
      <c r="O1801" s="3" t="n">
        <v>583576.9</v>
      </c>
      <c r="P1801" s="3" t="n">
        <v>404989.57</v>
      </c>
      <c r="Q1801" s="3" t="n">
        <v>178587.33</v>
      </c>
      <c r="R1801" s="3" t="n">
        <v>0.306</v>
      </c>
      <c r="S1801" s="3" t="n">
        <v>0.0974</v>
      </c>
      <c r="T1801" s="3" t="n">
        <v>0.0092</v>
      </c>
    </row>
    <row r="1802" customFormat="false" ht="15" hidden="false" customHeight="true" outlineLevel="0" collapsed="false">
      <c r="A1802" s="3" t="s">
        <v>2754</v>
      </c>
      <c r="B1802" s="3" t="s">
        <v>2613</v>
      </c>
      <c r="C1802" s="3" t="s">
        <v>53</v>
      </c>
      <c r="D1802" s="3" t="s">
        <v>32</v>
      </c>
      <c r="E1802" s="3" t="s">
        <v>33</v>
      </c>
      <c r="F1802" s="3" t="s">
        <v>25</v>
      </c>
      <c r="G1802" s="3" t="s">
        <v>84</v>
      </c>
      <c r="H1802" s="3" t="s">
        <v>56</v>
      </c>
      <c r="I1802" s="3" t="s">
        <v>57</v>
      </c>
      <c r="J1802" s="3" t="n">
        <v>39</v>
      </c>
      <c r="K1802" s="3" t="n">
        <v>2420.02</v>
      </c>
      <c r="L1802" s="3" t="n">
        <v>94380.78</v>
      </c>
      <c r="M1802" s="3" t="n">
        <v>0.1254</v>
      </c>
      <c r="N1802" s="3" t="n">
        <v>11835.35</v>
      </c>
      <c r="O1802" s="3" t="n">
        <v>82545.43</v>
      </c>
      <c r="P1802" s="3" t="n">
        <v>56628.47</v>
      </c>
      <c r="Q1802" s="3" t="n">
        <v>25916.96</v>
      </c>
      <c r="R1802" s="3" t="n">
        <v>0.314</v>
      </c>
      <c r="S1802" s="3" t="n">
        <v>0.1145</v>
      </c>
      <c r="T1802" s="3" t="n">
        <v>0.0109</v>
      </c>
    </row>
    <row r="1803" customFormat="false" ht="15" hidden="false" customHeight="true" outlineLevel="0" collapsed="false">
      <c r="A1803" s="3" t="s">
        <v>2755</v>
      </c>
      <c r="B1803" s="3" t="s">
        <v>1562</v>
      </c>
      <c r="C1803" s="3" t="s">
        <v>120</v>
      </c>
      <c r="D1803" s="3" t="s">
        <v>23</v>
      </c>
      <c r="E1803" s="3" t="s">
        <v>24</v>
      </c>
      <c r="F1803" s="3" t="s">
        <v>25</v>
      </c>
      <c r="G1803" s="3" t="s">
        <v>49</v>
      </c>
      <c r="H1803" s="3" t="s">
        <v>42</v>
      </c>
      <c r="I1803" s="3" t="s">
        <v>43</v>
      </c>
      <c r="J1803" s="3" t="n">
        <v>18</v>
      </c>
      <c r="K1803" s="3" t="n">
        <v>3033.65</v>
      </c>
      <c r="L1803" s="3" t="n">
        <v>54605.7</v>
      </c>
      <c r="M1803" s="3" t="n">
        <v>0.1289</v>
      </c>
      <c r="N1803" s="3" t="n">
        <v>7038.67</v>
      </c>
      <c r="O1803" s="3" t="n">
        <v>47567.03</v>
      </c>
      <c r="P1803" s="3" t="n">
        <v>30033.14</v>
      </c>
      <c r="Q1803" s="3" t="n">
        <v>17533.89</v>
      </c>
      <c r="R1803" s="3" t="n">
        <v>0.3686</v>
      </c>
      <c r="S1803" s="3" t="n">
        <v>0.1123</v>
      </c>
      <c r="T1803" s="3" t="n">
        <v>0.0166</v>
      </c>
    </row>
    <row r="1804" customFormat="false" ht="15" hidden="false" customHeight="true" outlineLevel="0" collapsed="false">
      <c r="A1804" s="3" t="s">
        <v>2756</v>
      </c>
      <c r="B1804" s="3" t="s">
        <v>215</v>
      </c>
      <c r="C1804" s="3" t="s">
        <v>46</v>
      </c>
      <c r="D1804" s="3" t="s">
        <v>75</v>
      </c>
      <c r="E1804" s="3" t="s">
        <v>39</v>
      </c>
      <c r="F1804" s="3" t="s">
        <v>25</v>
      </c>
      <c r="G1804" s="3" t="s">
        <v>34</v>
      </c>
      <c r="H1804" s="3" t="s">
        <v>42</v>
      </c>
      <c r="I1804" s="3" t="s">
        <v>72</v>
      </c>
      <c r="J1804" s="3" t="n">
        <v>24</v>
      </c>
      <c r="K1804" s="3" t="n">
        <v>3967.34</v>
      </c>
      <c r="L1804" s="3" t="n">
        <v>95216.16</v>
      </c>
      <c r="M1804" s="3" t="n">
        <v>0.1852</v>
      </c>
      <c r="N1804" s="3" t="n">
        <v>17634.03</v>
      </c>
      <c r="O1804" s="3" t="n">
        <v>77582.13</v>
      </c>
      <c r="P1804" s="3" t="n">
        <v>52368.89</v>
      </c>
      <c r="Q1804" s="3" t="n">
        <v>25213.24</v>
      </c>
      <c r="R1804" s="3" t="n">
        <v>0.325</v>
      </c>
      <c r="S1804" s="3" t="n">
        <v>0.1887</v>
      </c>
      <c r="T1804" s="3" t="n">
        <v>-0.0035</v>
      </c>
    </row>
    <row r="1805" customFormat="false" ht="15" hidden="false" customHeight="true" outlineLevel="0" collapsed="false">
      <c r="A1805" s="3" t="s">
        <v>2757</v>
      </c>
      <c r="B1805" s="3" t="s">
        <v>366</v>
      </c>
      <c r="C1805" s="3" t="s">
        <v>93</v>
      </c>
      <c r="D1805" s="3" t="s">
        <v>107</v>
      </c>
      <c r="E1805" s="3" t="s">
        <v>33</v>
      </c>
      <c r="F1805" s="3" t="s">
        <v>70</v>
      </c>
      <c r="G1805" s="3" t="s">
        <v>104</v>
      </c>
      <c r="H1805" s="3" t="s">
        <v>27</v>
      </c>
      <c r="I1805" s="3" t="s">
        <v>173</v>
      </c>
      <c r="J1805" s="3" t="n">
        <v>16</v>
      </c>
      <c r="K1805" s="3" t="n">
        <v>21015.42</v>
      </c>
      <c r="L1805" s="3" t="n">
        <v>336246.72</v>
      </c>
      <c r="M1805" s="3" t="n">
        <v>0.1048</v>
      </c>
      <c r="N1805" s="3" t="n">
        <v>35238.66</v>
      </c>
      <c r="O1805" s="3" t="n">
        <v>301008.06</v>
      </c>
      <c r="P1805" s="3" t="n">
        <v>208472.97</v>
      </c>
      <c r="Q1805" s="3" t="n">
        <v>92535.09</v>
      </c>
      <c r="R1805" s="3" t="n">
        <v>0.3074</v>
      </c>
      <c r="S1805" s="3" t="n">
        <v>0.1032</v>
      </c>
      <c r="T1805" s="3" t="n">
        <v>0.0016</v>
      </c>
    </row>
    <row r="1806" customFormat="false" ht="15" hidden="false" customHeight="true" outlineLevel="0" collapsed="false">
      <c r="A1806" s="3" t="s">
        <v>2758</v>
      </c>
      <c r="B1806" s="3" t="s">
        <v>343</v>
      </c>
      <c r="C1806" s="3" t="s">
        <v>120</v>
      </c>
      <c r="D1806" s="3" t="s">
        <v>32</v>
      </c>
      <c r="E1806" s="3" t="s">
        <v>33</v>
      </c>
      <c r="F1806" s="3" t="s">
        <v>25</v>
      </c>
      <c r="G1806" s="3" t="s">
        <v>100</v>
      </c>
      <c r="H1806" s="3" t="s">
        <v>56</v>
      </c>
      <c r="I1806" s="3" t="s">
        <v>121</v>
      </c>
      <c r="J1806" s="3" t="n">
        <v>5</v>
      </c>
      <c r="K1806" s="3" t="n">
        <v>4956.26</v>
      </c>
      <c r="L1806" s="3" t="n">
        <v>24781.3</v>
      </c>
      <c r="M1806" s="3" t="n">
        <v>0.1372</v>
      </c>
      <c r="N1806" s="3" t="n">
        <v>3399.99</v>
      </c>
      <c r="O1806" s="3" t="n">
        <v>21381.31</v>
      </c>
      <c r="P1806" s="3" t="n">
        <v>14868.78</v>
      </c>
      <c r="Q1806" s="3" t="n">
        <v>6512.53</v>
      </c>
      <c r="R1806" s="3" t="n">
        <v>0.3046</v>
      </c>
      <c r="S1806" s="3" t="n">
        <v>0.1454</v>
      </c>
      <c r="T1806" s="3" t="n">
        <v>-0.0082</v>
      </c>
    </row>
    <row r="1807" customFormat="false" ht="15" hidden="false" customHeight="true" outlineLevel="0" collapsed="false">
      <c r="A1807" s="3" t="s">
        <v>2759</v>
      </c>
      <c r="B1807" s="3" t="s">
        <v>2760</v>
      </c>
      <c r="C1807" s="3" t="s">
        <v>53</v>
      </c>
      <c r="D1807" s="3" t="s">
        <v>54</v>
      </c>
      <c r="E1807" s="3" t="s">
        <v>24</v>
      </c>
      <c r="F1807" s="3" t="s">
        <v>40</v>
      </c>
      <c r="G1807" s="3" t="s">
        <v>100</v>
      </c>
      <c r="H1807" s="3" t="s">
        <v>56</v>
      </c>
      <c r="I1807" s="3" t="s">
        <v>188</v>
      </c>
      <c r="J1807" s="3" t="n">
        <v>48</v>
      </c>
      <c r="K1807" s="3" t="n">
        <v>16643.76</v>
      </c>
      <c r="L1807" s="3" t="n">
        <v>798900.48</v>
      </c>
      <c r="M1807" s="3" t="n">
        <v>0.0302</v>
      </c>
      <c r="N1807" s="3" t="n">
        <v>24126.79</v>
      </c>
      <c r="O1807" s="3" t="n">
        <v>774773.69</v>
      </c>
      <c r="P1807" s="3" t="n">
        <v>479340.29</v>
      </c>
      <c r="Q1807" s="3" t="n">
        <v>295433.4</v>
      </c>
      <c r="R1807" s="3" t="n">
        <v>0.3813</v>
      </c>
      <c r="S1807" s="3" t="n">
        <v>0.0329</v>
      </c>
      <c r="T1807" s="3" t="n">
        <v>-0.0027</v>
      </c>
    </row>
    <row r="1808" customFormat="false" ht="15" hidden="false" customHeight="true" outlineLevel="0" collapsed="false">
      <c r="A1808" s="3" t="s">
        <v>2761</v>
      </c>
      <c r="B1808" s="3" t="s">
        <v>786</v>
      </c>
      <c r="C1808" s="3" t="s">
        <v>113</v>
      </c>
      <c r="D1808" s="3" t="s">
        <v>23</v>
      </c>
      <c r="E1808" s="3" t="s">
        <v>24</v>
      </c>
      <c r="F1808" s="3" t="s">
        <v>25</v>
      </c>
      <c r="G1808" s="3" t="s">
        <v>84</v>
      </c>
      <c r="H1808" s="3" t="s">
        <v>64</v>
      </c>
      <c r="I1808" s="3" t="s">
        <v>90</v>
      </c>
      <c r="J1808" s="3" t="n">
        <v>16</v>
      </c>
      <c r="K1808" s="3" t="n">
        <v>10924.09</v>
      </c>
      <c r="L1808" s="3" t="n">
        <v>174785.44</v>
      </c>
      <c r="M1808" s="3" t="n">
        <v>0.126</v>
      </c>
      <c r="N1808" s="3" t="n">
        <v>22022.97</v>
      </c>
      <c r="O1808" s="3" t="n">
        <v>152762.47</v>
      </c>
      <c r="P1808" s="3" t="n">
        <v>101375.56</v>
      </c>
      <c r="Q1808" s="3" t="n">
        <v>51386.91</v>
      </c>
      <c r="R1808" s="3" t="n">
        <v>0.3364</v>
      </c>
      <c r="S1808" s="3" t="n">
        <v>0.1208</v>
      </c>
      <c r="T1808" s="3" t="n">
        <v>0.0052</v>
      </c>
    </row>
    <row r="1809" customFormat="false" ht="15" hidden="false" customHeight="true" outlineLevel="0" collapsed="false">
      <c r="A1809" s="3" t="s">
        <v>2762</v>
      </c>
      <c r="B1809" s="3" t="s">
        <v>308</v>
      </c>
      <c r="C1809" s="3" t="s">
        <v>126</v>
      </c>
      <c r="D1809" s="3" t="s">
        <v>61</v>
      </c>
      <c r="E1809" s="3" t="s">
        <v>33</v>
      </c>
      <c r="F1809" s="3" t="s">
        <v>62</v>
      </c>
      <c r="G1809" s="3" t="s">
        <v>34</v>
      </c>
      <c r="H1809" s="3" t="s">
        <v>77</v>
      </c>
      <c r="I1809" s="3" t="s">
        <v>78</v>
      </c>
      <c r="J1809" s="3" t="n">
        <v>5</v>
      </c>
      <c r="K1809" s="3" t="n">
        <v>1943.33</v>
      </c>
      <c r="L1809" s="3" t="n">
        <v>9716.65</v>
      </c>
      <c r="M1809" s="3" t="n">
        <v>0.0731</v>
      </c>
      <c r="N1809" s="3" t="n">
        <v>710.29</v>
      </c>
      <c r="O1809" s="3" t="n">
        <v>9006.36</v>
      </c>
      <c r="P1809" s="3" t="n">
        <v>6607.32</v>
      </c>
      <c r="Q1809" s="3" t="n">
        <v>2399.04</v>
      </c>
      <c r="R1809" s="3" t="n">
        <v>0.2664</v>
      </c>
      <c r="S1809" s="3" t="n">
        <v>0.0744</v>
      </c>
      <c r="T1809" s="3" t="n">
        <v>-0.0013</v>
      </c>
    </row>
    <row r="1810" customFormat="false" ht="15" hidden="false" customHeight="true" outlineLevel="0" collapsed="false">
      <c r="A1810" s="3" t="s">
        <v>2763</v>
      </c>
      <c r="B1810" s="3" t="s">
        <v>1041</v>
      </c>
      <c r="C1810" s="3" t="s">
        <v>60</v>
      </c>
      <c r="D1810" s="3" t="s">
        <v>107</v>
      </c>
      <c r="E1810" s="3" t="s">
        <v>33</v>
      </c>
      <c r="F1810" s="3" t="s">
        <v>70</v>
      </c>
      <c r="G1810" s="3" t="s">
        <v>71</v>
      </c>
      <c r="H1810" s="3" t="s">
        <v>56</v>
      </c>
      <c r="I1810" s="3" t="s">
        <v>121</v>
      </c>
      <c r="J1810" s="3" t="n">
        <v>20</v>
      </c>
      <c r="K1810" s="3" t="n">
        <v>12671.66</v>
      </c>
      <c r="L1810" s="3" t="n">
        <v>253433.2</v>
      </c>
      <c r="M1810" s="3" t="n">
        <v>0.0504</v>
      </c>
      <c r="N1810" s="3" t="n">
        <v>12773.03</v>
      </c>
      <c r="O1810" s="3" t="n">
        <v>240660.17</v>
      </c>
      <c r="P1810" s="3" t="n">
        <v>152059.92</v>
      </c>
      <c r="Q1810" s="3" t="n">
        <v>88600.25</v>
      </c>
      <c r="R1810" s="3" t="n">
        <v>0.3682</v>
      </c>
      <c r="S1810" s="3" t="n">
        <v>0.0406</v>
      </c>
      <c r="T1810" s="3" t="n">
        <v>0.0098</v>
      </c>
    </row>
    <row r="1811" customFormat="false" ht="15" hidden="false" customHeight="true" outlineLevel="0" collapsed="false">
      <c r="A1811" s="3" t="s">
        <v>2764</v>
      </c>
      <c r="B1811" s="3" t="s">
        <v>905</v>
      </c>
      <c r="C1811" s="3" t="s">
        <v>53</v>
      </c>
      <c r="D1811" s="3" t="s">
        <v>47</v>
      </c>
      <c r="E1811" s="3" t="s">
        <v>48</v>
      </c>
      <c r="F1811" s="3" t="s">
        <v>25</v>
      </c>
      <c r="G1811" s="3" t="s">
        <v>26</v>
      </c>
      <c r="H1811" s="3" t="s">
        <v>64</v>
      </c>
      <c r="I1811" s="3" t="s">
        <v>145</v>
      </c>
      <c r="J1811" s="3" t="n">
        <v>34</v>
      </c>
      <c r="K1811" s="3" t="n">
        <v>9527.06</v>
      </c>
      <c r="L1811" s="3" t="n">
        <v>323920.04</v>
      </c>
      <c r="M1811" s="3" t="n">
        <v>0.0999</v>
      </c>
      <c r="N1811" s="3" t="n">
        <v>32359.61</v>
      </c>
      <c r="O1811" s="3" t="n">
        <v>291560.43</v>
      </c>
      <c r="P1811" s="3" t="n">
        <v>187873.62</v>
      </c>
      <c r="Q1811" s="3" t="n">
        <v>103686.81</v>
      </c>
      <c r="R1811" s="3" t="n">
        <v>0.3556</v>
      </c>
      <c r="S1811" s="3" t="n">
        <v>0.0824</v>
      </c>
      <c r="T1811" s="3" t="n">
        <v>0.0175</v>
      </c>
    </row>
    <row r="1812" customFormat="false" ht="15" hidden="false" customHeight="true" outlineLevel="0" collapsed="false">
      <c r="A1812" s="3" t="s">
        <v>2765</v>
      </c>
      <c r="B1812" s="3" t="s">
        <v>926</v>
      </c>
      <c r="C1812" s="3" t="s">
        <v>126</v>
      </c>
      <c r="D1812" s="3" t="s">
        <v>32</v>
      </c>
      <c r="E1812" s="3" t="s">
        <v>33</v>
      </c>
      <c r="F1812" s="3" t="s">
        <v>25</v>
      </c>
      <c r="G1812" s="3" t="s">
        <v>71</v>
      </c>
      <c r="H1812" s="3" t="s">
        <v>77</v>
      </c>
      <c r="I1812" s="3" t="s">
        <v>78</v>
      </c>
      <c r="J1812" s="3" t="n">
        <v>23</v>
      </c>
      <c r="K1812" s="3" t="n">
        <v>3071.43</v>
      </c>
      <c r="L1812" s="3" t="n">
        <v>70642.89</v>
      </c>
      <c r="M1812" s="3" t="n">
        <v>0.1472</v>
      </c>
      <c r="N1812" s="3" t="n">
        <v>10398.63</v>
      </c>
      <c r="O1812" s="3" t="n">
        <v>60244.26</v>
      </c>
      <c r="P1812" s="3" t="n">
        <v>48037.17</v>
      </c>
      <c r="Q1812" s="3" t="n">
        <v>12207.09</v>
      </c>
      <c r="R1812" s="3" t="n">
        <v>0.2026</v>
      </c>
      <c r="S1812" s="3" t="n">
        <v>0.156</v>
      </c>
      <c r="T1812" s="3" t="n">
        <v>-0.0088</v>
      </c>
    </row>
    <row r="1813" customFormat="false" ht="15" hidden="false" customHeight="true" outlineLevel="0" collapsed="false">
      <c r="A1813" s="3" t="s">
        <v>2766</v>
      </c>
      <c r="B1813" s="3" t="s">
        <v>2767</v>
      </c>
      <c r="C1813" s="3" t="s">
        <v>156</v>
      </c>
      <c r="D1813" s="3" t="s">
        <v>32</v>
      </c>
      <c r="E1813" s="3" t="s">
        <v>33</v>
      </c>
      <c r="F1813" s="3" t="s">
        <v>25</v>
      </c>
      <c r="G1813" s="3" t="s">
        <v>34</v>
      </c>
      <c r="H1813" s="3" t="s">
        <v>64</v>
      </c>
      <c r="I1813" s="3" t="s">
        <v>90</v>
      </c>
      <c r="J1813" s="3" t="n">
        <v>24</v>
      </c>
      <c r="K1813" s="3" t="n">
        <v>9490.12</v>
      </c>
      <c r="L1813" s="3" t="n">
        <v>227762.88</v>
      </c>
      <c r="M1813" s="3" t="n">
        <v>0.1734</v>
      </c>
      <c r="N1813" s="3" t="n">
        <v>39494.08</v>
      </c>
      <c r="O1813" s="3" t="n">
        <v>188268.8</v>
      </c>
      <c r="P1813" s="3" t="n">
        <v>132102.47</v>
      </c>
      <c r="Q1813" s="3" t="n">
        <v>56166.33</v>
      </c>
      <c r="R1813" s="3" t="n">
        <v>0.2983</v>
      </c>
      <c r="S1813" s="3" t="n">
        <v>0.1735</v>
      </c>
      <c r="T1813" s="3" t="n">
        <v>-0.0001</v>
      </c>
    </row>
    <row r="1814" customFormat="false" ht="15" hidden="false" customHeight="true" outlineLevel="0" collapsed="false">
      <c r="A1814" s="3" t="s">
        <v>2768</v>
      </c>
      <c r="B1814" s="3" t="s">
        <v>1444</v>
      </c>
      <c r="C1814" s="3" t="s">
        <v>68</v>
      </c>
      <c r="D1814" s="3" t="s">
        <v>83</v>
      </c>
      <c r="E1814" s="3" t="s">
        <v>48</v>
      </c>
      <c r="F1814" s="3" t="s">
        <v>62</v>
      </c>
      <c r="G1814" s="3" t="s">
        <v>63</v>
      </c>
      <c r="H1814" s="3" t="s">
        <v>77</v>
      </c>
      <c r="I1814" s="3" t="s">
        <v>78</v>
      </c>
      <c r="J1814" s="3" t="n">
        <v>19</v>
      </c>
      <c r="K1814" s="3" t="n">
        <v>5002.05</v>
      </c>
      <c r="L1814" s="3" t="n">
        <v>95038.95</v>
      </c>
      <c r="M1814" s="3" t="n">
        <v>0.0556</v>
      </c>
      <c r="N1814" s="3" t="n">
        <v>5284.17</v>
      </c>
      <c r="O1814" s="3" t="n">
        <v>89754.78</v>
      </c>
      <c r="P1814" s="3" t="n">
        <v>64626.49</v>
      </c>
      <c r="Q1814" s="3" t="n">
        <v>25128.29</v>
      </c>
      <c r="R1814" s="3" t="n">
        <v>0.28</v>
      </c>
      <c r="S1814" s="3" t="n">
        <v>0.053</v>
      </c>
      <c r="T1814" s="3" t="n">
        <v>0.0026</v>
      </c>
    </row>
    <row r="1815" customFormat="false" ht="15" hidden="false" customHeight="true" outlineLevel="0" collapsed="false">
      <c r="A1815" s="3" t="s">
        <v>2769</v>
      </c>
      <c r="B1815" s="3" t="s">
        <v>960</v>
      </c>
      <c r="C1815" s="3" t="s">
        <v>126</v>
      </c>
      <c r="D1815" s="3" t="s">
        <v>32</v>
      </c>
      <c r="E1815" s="3" t="s">
        <v>33</v>
      </c>
      <c r="F1815" s="3" t="s">
        <v>25</v>
      </c>
      <c r="G1815" s="3" t="s">
        <v>49</v>
      </c>
      <c r="H1815" s="3" t="s">
        <v>64</v>
      </c>
      <c r="I1815" s="3" t="s">
        <v>65</v>
      </c>
      <c r="J1815" s="3" t="n">
        <v>45</v>
      </c>
      <c r="K1815" s="3" t="n">
        <v>5172.99</v>
      </c>
      <c r="L1815" s="3" t="n">
        <v>232784.55</v>
      </c>
      <c r="M1815" s="3" t="n">
        <v>0.1093</v>
      </c>
      <c r="N1815" s="3" t="n">
        <v>25443.35</v>
      </c>
      <c r="O1815" s="3" t="n">
        <v>207341.2</v>
      </c>
      <c r="P1815" s="3" t="n">
        <v>135015.04</v>
      </c>
      <c r="Q1815" s="3" t="n">
        <v>72326.16</v>
      </c>
      <c r="R1815" s="3" t="n">
        <v>0.3488</v>
      </c>
      <c r="S1815" s="3" t="n">
        <v>0.0983</v>
      </c>
      <c r="T1815" s="3" t="n">
        <v>0.011</v>
      </c>
    </row>
    <row r="1816" customFormat="false" ht="15" hidden="false" customHeight="true" outlineLevel="0" collapsed="false">
      <c r="A1816" s="3" t="s">
        <v>2770</v>
      </c>
      <c r="B1816" s="3" t="s">
        <v>136</v>
      </c>
      <c r="C1816" s="3" t="s">
        <v>22</v>
      </c>
      <c r="D1816" s="3" t="s">
        <v>75</v>
      </c>
      <c r="E1816" s="3" t="s">
        <v>39</v>
      </c>
      <c r="F1816" s="3" t="s">
        <v>25</v>
      </c>
      <c r="G1816" s="3" t="s">
        <v>26</v>
      </c>
      <c r="H1816" s="3" t="s">
        <v>77</v>
      </c>
      <c r="I1816" s="3" t="s">
        <v>85</v>
      </c>
      <c r="J1816" s="3" t="n">
        <v>45</v>
      </c>
      <c r="K1816" s="3" t="n">
        <v>1495.34</v>
      </c>
      <c r="L1816" s="3" t="n">
        <v>67290.3</v>
      </c>
      <c r="M1816" s="3" t="n">
        <v>0.1102</v>
      </c>
      <c r="N1816" s="3" t="n">
        <v>7415.39</v>
      </c>
      <c r="O1816" s="3" t="n">
        <v>59874.91</v>
      </c>
      <c r="P1816" s="3" t="n">
        <v>45757.4</v>
      </c>
      <c r="Q1816" s="3" t="n">
        <v>14117.51</v>
      </c>
      <c r="R1816" s="3" t="n">
        <v>0.2358</v>
      </c>
      <c r="S1816" s="3" t="n">
        <v>0.121</v>
      </c>
      <c r="T1816" s="3" t="n">
        <v>-0.0108</v>
      </c>
    </row>
    <row r="1817" customFormat="false" ht="15" hidden="false" customHeight="true" outlineLevel="0" collapsed="false">
      <c r="A1817" s="3" t="s">
        <v>2771</v>
      </c>
      <c r="B1817" s="3" t="s">
        <v>2772</v>
      </c>
      <c r="C1817" s="3" t="s">
        <v>68</v>
      </c>
      <c r="D1817" s="3" t="s">
        <v>54</v>
      </c>
      <c r="E1817" s="3" t="s">
        <v>24</v>
      </c>
      <c r="F1817" s="3" t="s">
        <v>40</v>
      </c>
      <c r="G1817" s="3" t="s">
        <v>34</v>
      </c>
      <c r="H1817" s="3" t="s">
        <v>64</v>
      </c>
      <c r="I1817" s="3" t="s">
        <v>108</v>
      </c>
      <c r="J1817" s="3" t="n">
        <v>49</v>
      </c>
      <c r="K1817" s="3" t="n">
        <v>4880.43</v>
      </c>
      <c r="L1817" s="3" t="n">
        <v>239141.07</v>
      </c>
      <c r="M1817" s="3" t="n">
        <v>0.099</v>
      </c>
      <c r="N1817" s="3" t="n">
        <v>23674.97</v>
      </c>
      <c r="O1817" s="3" t="n">
        <v>215466.1</v>
      </c>
      <c r="P1817" s="3" t="n">
        <v>138701.82</v>
      </c>
      <c r="Q1817" s="3" t="n">
        <v>76764.28</v>
      </c>
      <c r="R1817" s="3" t="n">
        <v>0.3563</v>
      </c>
      <c r="S1817" s="3" t="n">
        <v>0.0868</v>
      </c>
      <c r="T1817" s="3" t="n">
        <v>0.0122</v>
      </c>
    </row>
    <row r="1818" customFormat="false" ht="15" hidden="false" customHeight="true" outlineLevel="0" collapsed="false">
      <c r="A1818" s="3" t="s">
        <v>2773</v>
      </c>
      <c r="B1818" s="3" t="s">
        <v>740</v>
      </c>
      <c r="C1818" s="3" t="s">
        <v>120</v>
      </c>
      <c r="D1818" s="3" t="s">
        <v>103</v>
      </c>
      <c r="E1818" s="3" t="s">
        <v>24</v>
      </c>
      <c r="F1818" s="3" t="s">
        <v>62</v>
      </c>
      <c r="G1818" s="3" t="s">
        <v>26</v>
      </c>
      <c r="H1818" s="3" t="s">
        <v>27</v>
      </c>
      <c r="I1818" s="3" t="s">
        <v>173</v>
      </c>
      <c r="J1818" s="3" t="n">
        <v>10</v>
      </c>
      <c r="K1818" s="3" t="n">
        <v>15100.12</v>
      </c>
      <c r="L1818" s="3" t="n">
        <v>151001.2</v>
      </c>
      <c r="M1818" s="3" t="n">
        <v>0.0703</v>
      </c>
      <c r="N1818" s="3" t="n">
        <v>10615.38</v>
      </c>
      <c r="O1818" s="3" t="n">
        <v>140385.82</v>
      </c>
      <c r="P1818" s="3" t="n">
        <v>93620.74</v>
      </c>
      <c r="Q1818" s="3" t="n">
        <v>46765.08</v>
      </c>
      <c r="R1818" s="3" t="n">
        <v>0.3331</v>
      </c>
      <c r="S1818" s="3" t="n">
        <v>0.0582</v>
      </c>
      <c r="T1818" s="3" t="n">
        <v>0.0121</v>
      </c>
    </row>
    <row r="1819" customFormat="false" ht="15" hidden="false" customHeight="true" outlineLevel="0" collapsed="false">
      <c r="A1819" s="3" t="s">
        <v>2774</v>
      </c>
      <c r="B1819" s="3" t="s">
        <v>1805</v>
      </c>
      <c r="C1819" s="3" t="s">
        <v>113</v>
      </c>
      <c r="D1819" s="3" t="s">
        <v>38</v>
      </c>
      <c r="E1819" s="3" t="s">
        <v>39</v>
      </c>
      <c r="F1819" s="3" t="s">
        <v>40</v>
      </c>
      <c r="G1819" s="3" t="s">
        <v>84</v>
      </c>
      <c r="H1819" s="3" t="s">
        <v>77</v>
      </c>
      <c r="I1819" s="3" t="s">
        <v>85</v>
      </c>
      <c r="J1819" s="3" t="n">
        <v>8</v>
      </c>
      <c r="K1819" s="3" t="n">
        <v>4662.01</v>
      </c>
      <c r="L1819" s="3" t="n">
        <v>37296.08</v>
      </c>
      <c r="M1819" s="3" t="n">
        <v>0.0572</v>
      </c>
      <c r="N1819" s="3" t="n">
        <v>2133.34</v>
      </c>
      <c r="O1819" s="3" t="n">
        <v>35162.74</v>
      </c>
      <c r="P1819" s="3" t="n">
        <v>25361.33</v>
      </c>
      <c r="Q1819" s="3" t="n">
        <v>9801.41</v>
      </c>
      <c r="R1819" s="3" t="n">
        <v>0.2787</v>
      </c>
      <c r="S1819" s="3" t="n">
        <v>0.0499</v>
      </c>
      <c r="T1819" s="3" t="n">
        <v>0.0073</v>
      </c>
    </row>
    <row r="1820" customFormat="false" ht="15" hidden="false" customHeight="true" outlineLevel="0" collapsed="false">
      <c r="A1820" s="3" t="s">
        <v>2775</v>
      </c>
      <c r="B1820" s="3" t="s">
        <v>160</v>
      </c>
      <c r="C1820" s="3" t="s">
        <v>31</v>
      </c>
      <c r="D1820" s="3" t="s">
        <v>61</v>
      </c>
      <c r="E1820" s="3" t="s">
        <v>33</v>
      </c>
      <c r="F1820" s="3" t="s">
        <v>62</v>
      </c>
      <c r="G1820" s="3" t="s">
        <v>34</v>
      </c>
      <c r="H1820" s="3" t="s">
        <v>64</v>
      </c>
      <c r="I1820" s="3" t="s">
        <v>90</v>
      </c>
      <c r="J1820" s="3" t="n">
        <v>42</v>
      </c>
      <c r="K1820" s="3" t="n">
        <v>4212.36</v>
      </c>
      <c r="L1820" s="3" t="n">
        <v>176919.12</v>
      </c>
      <c r="M1820" s="3" t="n">
        <v>0.0752</v>
      </c>
      <c r="N1820" s="3" t="n">
        <v>13304.32</v>
      </c>
      <c r="O1820" s="3" t="n">
        <v>163614.8</v>
      </c>
      <c r="P1820" s="3" t="n">
        <v>102613.09</v>
      </c>
      <c r="Q1820" s="3" t="n">
        <v>61001.71</v>
      </c>
      <c r="R1820" s="3" t="n">
        <v>0.3728</v>
      </c>
      <c r="S1820" s="3" t="n">
        <v>0.0794</v>
      </c>
      <c r="T1820" s="3" t="n">
        <v>-0.0042</v>
      </c>
    </row>
    <row r="1821" customFormat="false" ht="15" hidden="false" customHeight="true" outlineLevel="0" collapsed="false">
      <c r="A1821" s="3" t="s">
        <v>2776</v>
      </c>
      <c r="B1821" s="3" t="s">
        <v>1430</v>
      </c>
      <c r="C1821" s="3" t="s">
        <v>37</v>
      </c>
      <c r="D1821" s="3" t="s">
        <v>97</v>
      </c>
      <c r="E1821" s="3" t="s">
        <v>48</v>
      </c>
      <c r="F1821" s="3" t="s">
        <v>40</v>
      </c>
      <c r="G1821" s="3" t="s">
        <v>55</v>
      </c>
      <c r="H1821" s="3" t="s">
        <v>27</v>
      </c>
      <c r="I1821" s="3" t="s">
        <v>28</v>
      </c>
      <c r="J1821" s="3" t="n">
        <v>32</v>
      </c>
      <c r="K1821" s="3" t="n">
        <v>32363.31</v>
      </c>
      <c r="L1821" s="3" t="n">
        <v>1035625.92</v>
      </c>
      <c r="M1821" s="3" t="n">
        <v>0.0679</v>
      </c>
      <c r="N1821" s="3" t="n">
        <v>70319</v>
      </c>
      <c r="O1821" s="3" t="n">
        <v>965306.92</v>
      </c>
      <c r="P1821" s="3" t="n">
        <v>642088.07</v>
      </c>
      <c r="Q1821" s="3" t="n">
        <v>323218.85</v>
      </c>
      <c r="R1821" s="3" t="n">
        <v>0.3348</v>
      </c>
      <c r="S1821" s="3" t="n">
        <v>0.0745</v>
      </c>
      <c r="T1821" s="3" t="n">
        <v>-0.0066</v>
      </c>
    </row>
    <row r="1822" customFormat="false" ht="15" hidden="false" customHeight="true" outlineLevel="0" collapsed="false">
      <c r="A1822" s="3" t="s">
        <v>2777</v>
      </c>
      <c r="B1822" s="3" t="s">
        <v>2645</v>
      </c>
      <c r="C1822" s="3" t="s">
        <v>156</v>
      </c>
      <c r="D1822" s="3" t="s">
        <v>61</v>
      </c>
      <c r="E1822" s="3" t="s">
        <v>33</v>
      </c>
      <c r="F1822" s="3" t="s">
        <v>62</v>
      </c>
      <c r="G1822" s="3" t="s">
        <v>63</v>
      </c>
      <c r="H1822" s="3" t="s">
        <v>77</v>
      </c>
      <c r="I1822" s="3" t="s">
        <v>85</v>
      </c>
      <c r="J1822" s="3" t="n">
        <v>47</v>
      </c>
      <c r="K1822" s="3" t="n">
        <v>4938.78</v>
      </c>
      <c r="L1822" s="3" t="n">
        <v>232122.66</v>
      </c>
      <c r="M1822" s="3" t="n">
        <v>0.0732</v>
      </c>
      <c r="N1822" s="3" t="n">
        <v>16991.38</v>
      </c>
      <c r="O1822" s="3" t="n">
        <v>215131.28</v>
      </c>
      <c r="P1822" s="3" t="n">
        <v>157843.41</v>
      </c>
      <c r="Q1822" s="3" t="n">
        <v>57287.87</v>
      </c>
      <c r="R1822" s="3" t="n">
        <v>0.2663</v>
      </c>
      <c r="S1822" s="3" t="n">
        <v>0.0588</v>
      </c>
      <c r="T1822" s="3" t="n">
        <v>0.0144</v>
      </c>
    </row>
    <row r="1823" customFormat="false" ht="15" hidden="false" customHeight="true" outlineLevel="0" collapsed="false">
      <c r="A1823" s="3" t="s">
        <v>2778</v>
      </c>
      <c r="B1823" s="3" t="s">
        <v>1792</v>
      </c>
      <c r="C1823" s="3" t="s">
        <v>68</v>
      </c>
      <c r="D1823" s="3" t="s">
        <v>75</v>
      </c>
      <c r="E1823" s="3" t="s">
        <v>39</v>
      </c>
      <c r="F1823" s="3" t="s">
        <v>25</v>
      </c>
      <c r="G1823" s="3" t="s">
        <v>104</v>
      </c>
      <c r="H1823" s="3" t="s">
        <v>64</v>
      </c>
      <c r="I1823" s="3" t="s">
        <v>65</v>
      </c>
      <c r="J1823" s="3" t="n">
        <v>22</v>
      </c>
      <c r="K1823" s="3" t="n">
        <v>8274.81</v>
      </c>
      <c r="L1823" s="3" t="n">
        <v>182045.82</v>
      </c>
      <c r="M1823" s="3" t="n">
        <v>0.143</v>
      </c>
      <c r="N1823" s="3" t="n">
        <v>26032.55</v>
      </c>
      <c r="O1823" s="3" t="n">
        <v>156013.27</v>
      </c>
      <c r="P1823" s="3" t="n">
        <v>105586.58</v>
      </c>
      <c r="Q1823" s="3" t="n">
        <v>50426.69</v>
      </c>
      <c r="R1823" s="3" t="n">
        <v>0.3232</v>
      </c>
      <c r="S1823" s="3" t="n">
        <v>0.1541</v>
      </c>
      <c r="T1823" s="3" t="n">
        <v>-0.0111</v>
      </c>
    </row>
    <row r="1824" customFormat="false" ht="15" hidden="false" customHeight="true" outlineLevel="0" collapsed="false">
      <c r="A1824" s="3" t="s">
        <v>2779</v>
      </c>
      <c r="B1824" s="3" t="s">
        <v>1233</v>
      </c>
      <c r="C1824" s="3" t="s">
        <v>126</v>
      </c>
      <c r="D1824" s="3" t="s">
        <v>69</v>
      </c>
      <c r="E1824" s="3" t="s">
        <v>39</v>
      </c>
      <c r="F1824" s="3" t="s">
        <v>70</v>
      </c>
      <c r="G1824" s="3" t="s">
        <v>84</v>
      </c>
      <c r="H1824" s="3" t="s">
        <v>77</v>
      </c>
      <c r="I1824" s="3" t="s">
        <v>78</v>
      </c>
      <c r="J1824" s="3" t="n">
        <v>32</v>
      </c>
      <c r="K1824" s="3" t="n">
        <v>4256.8</v>
      </c>
      <c r="L1824" s="3" t="n">
        <v>136217.6</v>
      </c>
      <c r="M1824" s="3" t="n">
        <v>0.0432</v>
      </c>
      <c r="N1824" s="3" t="n">
        <v>5884.6</v>
      </c>
      <c r="O1824" s="3" t="n">
        <v>130333</v>
      </c>
      <c r="P1824" s="3" t="n">
        <v>92627.97</v>
      </c>
      <c r="Q1824" s="3" t="n">
        <v>37705.03</v>
      </c>
      <c r="R1824" s="3" t="n">
        <v>0.2893</v>
      </c>
      <c r="S1824" s="3" t="n">
        <v>0.0452</v>
      </c>
      <c r="T1824" s="3" t="n">
        <v>-0.002</v>
      </c>
    </row>
    <row r="1825" customFormat="false" ht="15" hidden="false" customHeight="true" outlineLevel="0" collapsed="false">
      <c r="A1825" s="3" t="s">
        <v>2780</v>
      </c>
      <c r="B1825" s="3" t="s">
        <v>543</v>
      </c>
      <c r="C1825" s="3" t="s">
        <v>37</v>
      </c>
      <c r="D1825" s="3" t="s">
        <v>38</v>
      </c>
      <c r="E1825" s="3" t="s">
        <v>39</v>
      </c>
      <c r="F1825" s="3" t="s">
        <v>40</v>
      </c>
      <c r="G1825" s="3" t="s">
        <v>104</v>
      </c>
      <c r="H1825" s="3" t="s">
        <v>27</v>
      </c>
      <c r="I1825" s="3" t="s">
        <v>173</v>
      </c>
      <c r="J1825" s="3" t="n">
        <v>44</v>
      </c>
      <c r="K1825" s="3" t="n">
        <v>36233</v>
      </c>
      <c r="L1825" s="3" t="n">
        <v>1594252</v>
      </c>
      <c r="M1825" s="3" t="n">
        <v>0.0754</v>
      </c>
      <c r="N1825" s="3" t="n">
        <v>120206.6</v>
      </c>
      <c r="O1825" s="3" t="n">
        <v>1474045.4</v>
      </c>
      <c r="P1825" s="3" t="n">
        <v>988436.24</v>
      </c>
      <c r="Q1825" s="3" t="n">
        <v>485609.16</v>
      </c>
      <c r="R1825" s="3" t="n">
        <v>0.3294</v>
      </c>
      <c r="S1825" s="3" t="n">
        <v>0.0634</v>
      </c>
      <c r="T1825" s="3" t="n">
        <v>0.012</v>
      </c>
    </row>
    <row r="1826" customFormat="false" ht="15" hidden="false" customHeight="true" outlineLevel="0" collapsed="false">
      <c r="A1826" s="3" t="s">
        <v>2781</v>
      </c>
      <c r="B1826" s="3" t="s">
        <v>2091</v>
      </c>
      <c r="C1826" s="3" t="s">
        <v>126</v>
      </c>
      <c r="D1826" s="3" t="s">
        <v>32</v>
      </c>
      <c r="E1826" s="3" t="s">
        <v>33</v>
      </c>
      <c r="F1826" s="3" t="s">
        <v>25</v>
      </c>
      <c r="G1826" s="3" t="s">
        <v>55</v>
      </c>
      <c r="H1826" s="3" t="s">
        <v>27</v>
      </c>
      <c r="I1826" s="3" t="s">
        <v>50</v>
      </c>
      <c r="J1826" s="3" t="n">
        <v>8</v>
      </c>
      <c r="K1826" s="3" t="n">
        <v>10269.21</v>
      </c>
      <c r="L1826" s="3" t="n">
        <v>82153.68</v>
      </c>
      <c r="M1826" s="3" t="n">
        <v>0.1647</v>
      </c>
      <c r="N1826" s="3" t="n">
        <v>13530.71</v>
      </c>
      <c r="O1826" s="3" t="n">
        <v>68622.97</v>
      </c>
      <c r="P1826" s="3" t="n">
        <v>50935.28</v>
      </c>
      <c r="Q1826" s="3" t="n">
        <v>17687.69</v>
      </c>
      <c r="R1826" s="3" t="n">
        <v>0.2578</v>
      </c>
      <c r="S1826" s="3" t="n">
        <v>0.1371</v>
      </c>
      <c r="T1826" s="3" t="n">
        <v>0.0276</v>
      </c>
    </row>
    <row r="1827" customFormat="false" ht="15" hidden="false" customHeight="true" outlineLevel="0" collapsed="false">
      <c r="A1827" s="3" t="s">
        <v>2782</v>
      </c>
      <c r="B1827" s="3" t="s">
        <v>647</v>
      </c>
      <c r="C1827" s="3" t="s">
        <v>60</v>
      </c>
      <c r="D1827" s="3" t="s">
        <v>54</v>
      </c>
      <c r="E1827" s="3" t="s">
        <v>24</v>
      </c>
      <c r="F1827" s="3" t="s">
        <v>40</v>
      </c>
      <c r="G1827" s="3" t="s">
        <v>63</v>
      </c>
      <c r="H1827" s="3" t="s">
        <v>64</v>
      </c>
      <c r="I1827" s="3" t="s">
        <v>108</v>
      </c>
      <c r="J1827" s="3" t="n">
        <v>22</v>
      </c>
      <c r="K1827" s="3" t="n">
        <v>7769</v>
      </c>
      <c r="L1827" s="3" t="n">
        <v>170918</v>
      </c>
      <c r="M1827" s="3" t="n">
        <v>0.0719</v>
      </c>
      <c r="N1827" s="3" t="n">
        <v>12289</v>
      </c>
      <c r="O1827" s="3" t="n">
        <v>158629</v>
      </c>
      <c r="P1827" s="3" t="n">
        <v>99132.44</v>
      </c>
      <c r="Q1827" s="3" t="n">
        <v>59496.56</v>
      </c>
      <c r="R1827" s="3" t="n">
        <v>0.3751</v>
      </c>
      <c r="S1827" s="3" t="n">
        <v>0.0738</v>
      </c>
      <c r="T1827" s="3" t="n">
        <v>-0.0019</v>
      </c>
    </row>
    <row r="1828" customFormat="false" ht="15" hidden="false" customHeight="true" outlineLevel="0" collapsed="false">
      <c r="A1828" s="3" t="s">
        <v>2783</v>
      </c>
      <c r="B1828" s="3" t="s">
        <v>2784</v>
      </c>
      <c r="C1828" s="3" t="s">
        <v>22</v>
      </c>
      <c r="D1828" s="3" t="s">
        <v>47</v>
      </c>
      <c r="E1828" s="3" t="s">
        <v>48</v>
      </c>
      <c r="F1828" s="3" t="s">
        <v>25</v>
      </c>
      <c r="G1828" s="3" t="s">
        <v>26</v>
      </c>
      <c r="H1828" s="3" t="s">
        <v>64</v>
      </c>
      <c r="I1828" s="3" t="s">
        <v>108</v>
      </c>
      <c r="J1828" s="3" t="n">
        <v>14</v>
      </c>
      <c r="K1828" s="3" t="n">
        <v>4419.1</v>
      </c>
      <c r="L1828" s="3" t="n">
        <v>61867.4</v>
      </c>
      <c r="M1828" s="3" t="n">
        <v>0.1408</v>
      </c>
      <c r="N1828" s="3" t="n">
        <v>8710.93</v>
      </c>
      <c r="O1828" s="3" t="n">
        <v>53156.47</v>
      </c>
      <c r="P1828" s="3" t="n">
        <v>35883.09</v>
      </c>
      <c r="Q1828" s="3" t="n">
        <v>17273.38</v>
      </c>
      <c r="R1828" s="3" t="n">
        <v>0.325</v>
      </c>
      <c r="S1828" s="3" t="n">
        <v>0.1228</v>
      </c>
      <c r="T1828" s="3" t="n">
        <v>0.018</v>
      </c>
    </row>
    <row r="1829" customFormat="false" ht="15" hidden="false" customHeight="true" outlineLevel="0" collapsed="false">
      <c r="A1829" s="3" t="s">
        <v>2785</v>
      </c>
      <c r="B1829" s="3" t="s">
        <v>1193</v>
      </c>
      <c r="C1829" s="3" t="s">
        <v>126</v>
      </c>
      <c r="D1829" s="3" t="s">
        <v>54</v>
      </c>
      <c r="E1829" s="3" t="s">
        <v>24</v>
      </c>
      <c r="F1829" s="3" t="s">
        <v>40</v>
      </c>
      <c r="G1829" s="3" t="s">
        <v>63</v>
      </c>
      <c r="H1829" s="3" t="s">
        <v>42</v>
      </c>
      <c r="I1829" s="3" t="s">
        <v>134</v>
      </c>
      <c r="J1829" s="3" t="n">
        <v>17</v>
      </c>
      <c r="K1829" s="3" t="n">
        <v>768.61</v>
      </c>
      <c r="L1829" s="3" t="n">
        <v>13066.37</v>
      </c>
      <c r="M1829" s="3" t="n">
        <v>0.0767</v>
      </c>
      <c r="N1829" s="3" t="n">
        <v>1002.19</v>
      </c>
      <c r="O1829" s="3" t="n">
        <v>12064.18</v>
      </c>
      <c r="P1829" s="3" t="n">
        <v>7186.5</v>
      </c>
      <c r="Q1829" s="3" t="n">
        <v>4877.68</v>
      </c>
      <c r="R1829" s="3" t="n">
        <v>0.4043</v>
      </c>
      <c r="S1829" s="3" t="n">
        <v>0.0643</v>
      </c>
      <c r="T1829" s="3" t="n">
        <v>0.0124</v>
      </c>
    </row>
    <row r="1830" customFormat="false" ht="15" hidden="false" customHeight="true" outlineLevel="0" collapsed="false">
      <c r="A1830" s="3" t="s">
        <v>2786</v>
      </c>
      <c r="B1830" s="3" t="s">
        <v>2787</v>
      </c>
      <c r="C1830" s="3" t="s">
        <v>53</v>
      </c>
      <c r="D1830" s="3" t="s">
        <v>107</v>
      </c>
      <c r="E1830" s="3" t="s">
        <v>33</v>
      </c>
      <c r="F1830" s="3" t="s">
        <v>70</v>
      </c>
      <c r="G1830" s="3" t="s">
        <v>104</v>
      </c>
      <c r="H1830" s="3" t="s">
        <v>77</v>
      </c>
      <c r="I1830" s="3" t="s">
        <v>85</v>
      </c>
      <c r="J1830" s="3" t="n">
        <v>41</v>
      </c>
      <c r="K1830" s="3" t="n">
        <v>5182</v>
      </c>
      <c r="L1830" s="3" t="n">
        <v>212462</v>
      </c>
      <c r="M1830" s="3" t="n">
        <v>0.0827</v>
      </c>
      <c r="N1830" s="3" t="n">
        <v>17570.61</v>
      </c>
      <c r="O1830" s="3" t="n">
        <v>194891.39</v>
      </c>
      <c r="P1830" s="3" t="n">
        <v>144474.16</v>
      </c>
      <c r="Q1830" s="3" t="n">
        <v>50417.23</v>
      </c>
      <c r="R1830" s="3" t="n">
        <v>0.2587</v>
      </c>
      <c r="S1830" s="3" t="n">
        <v>0.0784</v>
      </c>
      <c r="T1830" s="3" t="n">
        <v>0.0043</v>
      </c>
    </row>
    <row r="1831" customFormat="false" ht="15" hidden="false" customHeight="true" outlineLevel="0" collapsed="false">
      <c r="A1831" s="3" t="s">
        <v>2788</v>
      </c>
      <c r="B1831" s="3" t="s">
        <v>2789</v>
      </c>
      <c r="C1831" s="3" t="s">
        <v>31</v>
      </c>
      <c r="D1831" s="3" t="s">
        <v>47</v>
      </c>
      <c r="E1831" s="3" t="s">
        <v>48</v>
      </c>
      <c r="F1831" s="3" t="s">
        <v>25</v>
      </c>
      <c r="G1831" s="3" t="s">
        <v>26</v>
      </c>
      <c r="H1831" s="3" t="s">
        <v>77</v>
      </c>
      <c r="I1831" s="3" t="s">
        <v>78</v>
      </c>
      <c r="J1831" s="3" t="n">
        <v>45</v>
      </c>
      <c r="K1831" s="3" t="n">
        <v>1422.52</v>
      </c>
      <c r="L1831" s="3" t="n">
        <v>64013.4</v>
      </c>
      <c r="M1831" s="3" t="n">
        <v>0.1345</v>
      </c>
      <c r="N1831" s="3" t="n">
        <v>8609.8</v>
      </c>
      <c r="O1831" s="3" t="n">
        <v>55403.6</v>
      </c>
      <c r="P1831" s="3" t="n">
        <v>43529.11</v>
      </c>
      <c r="Q1831" s="3" t="n">
        <v>11874.49</v>
      </c>
      <c r="R1831" s="3" t="n">
        <v>0.2143</v>
      </c>
      <c r="S1831" s="3" t="n">
        <v>0.1391</v>
      </c>
      <c r="T1831" s="3" t="n">
        <v>-0.0046</v>
      </c>
    </row>
    <row r="1832" customFormat="false" ht="15" hidden="false" customHeight="true" outlineLevel="0" collapsed="false">
      <c r="A1832" s="3" t="s">
        <v>2790</v>
      </c>
      <c r="B1832" s="3" t="s">
        <v>206</v>
      </c>
      <c r="C1832" s="3" t="s">
        <v>156</v>
      </c>
      <c r="D1832" s="3" t="s">
        <v>32</v>
      </c>
      <c r="E1832" s="3" t="s">
        <v>33</v>
      </c>
      <c r="F1832" s="3" t="s">
        <v>25</v>
      </c>
      <c r="G1832" s="3" t="s">
        <v>104</v>
      </c>
      <c r="H1832" s="3" t="s">
        <v>27</v>
      </c>
      <c r="I1832" s="3" t="s">
        <v>117</v>
      </c>
      <c r="J1832" s="3" t="n">
        <v>14</v>
      </c>
      <c r="K1832" s="3" t="n">
        <v>24648.21</v>
      </c>
      <c r="L1832" s="3" t="n">
        <v>345074.94</v>
      </c>
      <c r="M1832" s="3" t="n">
        <v>0.1642</v>
      </c>
      <c r="N1832" s="3" t="n">
        <v>56661.31</v>
      </c>
      <c r="O1832" s="3" t="n">
        <v>288413.63</v>
      </c>
      <c r="P1832" s="3" t="n">
        <v>213946.46</v>
      </c>
      <c r="Q1832" s="3" t="n">
        <v>74467.17</v>
      </c>
      <c r="R1832" s="3" t="n">
        <v>0.2582</v>
      </c>
      <c r="S1832" s="3" t="n">
        <v>0.1504</v>
      </c>
      <c r="T1832" s="3" t="n">
        <v>0.0138</v>
      </c>
    </row>
    <row r="1833" customFormat="false" ht="15" hidden="false" customHeight="true" outlineLevel="0" collapsed="false">
      <c r="A1833" s="3" t="s">
        <v>2791</v>
      </c>
      <c r="B1833" s="3" t="s">
        <v>2237</v>
      </c>
      <c r="C1833" s="3" t="s">
        <v>113</v>
      </c>
      <c r="D1833" s="3" t="s">
        <v>23</v>
      </c>
      <c r="E1833" s="3" t="s">
        <v>24</v>
      </c>
      <c r="F1833" s="3" t="s">
        <v>25</v>
      </c>
      <c r="G1833" s="3" t="s">
        <v>49</v>
      </c>
      <c r="H1833" s="3" t="s">
        <v>77</v>
      </c>
      <c r="I1833" s="3" t="s">
        <v>131</v>
      </c>
      <c r="J1833" s="3" t="n">
        <v>14</v>
      </c>
      <c r="K1833" s="3" t="n">
        <v>5713.48</v>
      </c>
      <c r="L1833" s="3" t="n">
        <v>79988.72</v>
      </c>
      <c r="M1833" s="3" t="n">
        <v>0.089</v>
      </c>
      <c r="N1833" s="3" t="n">
        <v>7119</v>
      </c>
      <c r="O1833" s="3" t="n">
        <v>72869.72</v>
      </c>
      <c r="P1833" s="3" t="n">
        <v>54392.33</v>
      </c>
      <c r="Q1833" s="3" t="n">
        <v>18477.39</v>
      </c>
      <c r="R1833" s="3" t="n">
        <v>0.2536</v>
      </c>
      <c r="S1833" s="3" t="n">
        <v>0.078</v>
      </c>
      <c r="T1833" s="3" t="n">
        <v>0.011</v>
      </c>
    </row>
    <row r="1834" customFormat="false" ht="15" hidden="false" customHeight="true" outlineLevel="0" collapsed="false">
      <c r="A1834" s="3" t="s">
        <v>2792</v>
      </c>
      <c r="B1834" s="3" t="s">
        <v>2289</v>
      </c>
      <c r="C1834" s="3" t="s">
        <v>120</v>
      </c>
      <c r="D1834" s="3" t="s">
        <v>103</v>
      </c>
      <c r="E1834" s="3" t="s">
        <v>24</v>
      </c>
      <c r="F1834" s="3" t="s">
        <v>62</v>
      </c>
      <c r="G1834" s="3" t="s">
        <v>63</v>
      </c>
      <c r="H1834" s="3" t="s">
        <v>42</v>
      </c>
      <c r="I1834" s="3" t="s">
        <v>43</v>
      </c>
      <c r="J1834" s="3" t="n">
        <v>12</v>
      </c>
      <c r="K1834" s="3" t="n">
        <v>2281.77</v>
      </c>
      <c r="L1834" s="3" t="n">
        <v>27381.24</v>
      </c>
      <c r="M1834" s="3" t="n">
        <v>0.0518</v>
      </c>
      <c r="N1834" s="3" t="n">
        <v>1418.35</v>
      </c>
      <c r="O1834" s="3" t="n">
        <v>25962.89</v>
      </c>
      <c r="P1834" s="3" t="n">
        <v>15059.68</v>
      </c>
      <c r="Q1834" s="3" t="n">
        <v>10903.21</v>
      </c>
      <c r="R1834" s="3" t="n">
        <v>0.42</v>
      </c>
      <c r="S1834" s="3" t="n">
        <v>0.049</v>
      </c>
      <c r="T1834" s="3" t="n">
        <v>0.0028</v>
      </c>
    </row>
    <row r="1835" customFormat="false" ht="15" hidden="false" customHeight="true" outlineLevel="0" collapsed="false">
      <c r="A1835" s="3" t="s">
        <v>2793</v>
      </c>
      <c r="B1835" s="3" t="s">
        <v>850</v>
      </c>
      <c r="C1835" s="3" t="s">
        <v>68</v>
      </c>
      <c r="D1835" s="3" t="s">
        <v>83</v>
      </c>
      <c r="E1835" s="3" t="s">
        <v>48</v>
      </c>
      <c r="F1835" s="3" t="s">
        <v>62</v>
      </c>
      <c r="G1835" s="3" t="s">
        <v>71</v>
      </c>
      <c r="H1835" s="3" t="s">
        <v>77</v>
      </c>
      <c r="I1835" s="3" t="s">
        <v>85</v>
      </c>
      <c r="J1835" s="3" t="n">
        <v>40</v>
      </c>
      <c r="K1835" s="3" t="n">
        <v>5531.61</v>
      </c>
      <c r="L1835" s="3" t="n">
        <v>221264.4</v>
      </c>
      <c r="M1835" s="3" t="n">
        <v>0.0405</v>
      </c>
      <c r="N1835" s="3" t="n">
        <v>8961.21</v>
      </c>
      <c r="O1835" s="3" t="n">
        <v>212303.19</v>
      </c>
      <c r="P1835" s="3" t="n">
        <v>150459.79</v>
      </c>
      <c r="Q1835" s="3" t="n">
        <v>61843.4</v>
      </c>
      <c r="R1835" s="3" t="n">
        <v>0.2913</v>
      </c>
      <c r="S1835" s="3" t="n">
        <v>0.0425</v>
      </c>
      <c r="T1835" s="3" t="n">
        <v>-0.002</v>
      </c>
    </row>
    <row r="1836" customFormat="false" ht="15" hidden="false" customHeight="true" outlineLevel="0" collapsed="false">
      <c r="A1836" s="3" t="s">
        <v>2794</v>
      </c>
      <c r="B1836" s="3" t="s">
        <v>2795</v>
      </c>
      <c r="C1836" s="3" t="s">
        <v>93</v>
      </c>
      <c r="D1836" s="3" t="s">
        <v>54</v>
      </c>
      <c r="E1836" s="3" t="s">
        <v>24</v>
      </c>
      <c r="F1836" s="3" t="s">
        <v>40</v>
      </c>
      <c r="G1836" s="3" t="s">
        <v>34</v>
      </c>
      <c r="H1836" s="3" t="s">
        <v>27</v>
      </c>
      <c r="I1836" s="3" t="s">
        <v>28</v>
      </c>
      <c r="J1836" s="3" t="n">
        <v>36</v>
      </c>
      <c r="K1836" s="3" t="n">
        <v>17728.2</v>
      </c>
      <c r="L1836" s="3" t="n">
        <v>638215.2</v>
      </c>
      <c r="M1836" s="3" t="n">
        <v>0.0714</v>
      </c>
      <c r="N1836" s="3" t="n">
        <v>45568.57</v>
      </c>
      <c r="O1836" s="3" t="n">
        <v>592646.63</v>
      </c>
      <c r="P1836" s="3" t="n">
        <v>395693.42</v>
      </c>
      <c r="Q1836" s="3" t="n">
        <v>196953.21</v>
      </c>
      <c r="R1836" s="3" t="n">
        <v>0.3323</v>
      </c>
      <c r="S1836" s="3" t="n">
        <v>0.0738</v>
      </c>
      <c r="T1836" s="3" t="n">
        <v>-0.0024</v>
      </c>
    </row>
    <row r="1837" customFormat="false" ht="15" hidden="false" customHeight="true" outlineLevel="0" collapsed="false">
      <c r="A1837" s="3" t="s">
        <v>2796</v>
      </c>
      <c r="B1837" s="3" t="s">
        <v>2797</v>
      </c>
      <c r="C1837" s="3" t="s">
        <v>68</v>
      </c>
      <c r="D1837" s="3" t="s">
        <v>103</v>
      </c>
      <c r="E1837" s="3" t="s">
        <v>24</v>
      </c>
      <c r="F1837" s="3" t="s">
        <v>62</v>
      </c>
      <c r="G1837" s="3" t="s">
        <v>84</v>
      </c>
      <c r="H1837" s="3" t="s">
        <v>42</v>
      </c>
      <c r="I1837" s="3" t="s">
        <v>43</v>
      </c>
      <c r="J1837" s="3" t="n">
        <v>36</v>
      </c>
      <c r="K1837" s="3" t="n">
        <v>3519.92</v>
      </c>
      <c r="L1837" s="3" t="n">
        <v>126717.12</v>
      </c>
      <c r="M1837" s="3" t="n">
        <v>0.0668</v>
      </c>
      <c r="N1837" s="3" t="n">
        <v>8464.7</v>
      </c>
      <c r="O1837" s="3" t="n">
        <v>118252.42</v>
      </c>
      <c r="P1837" s="3" t="n">
        <v>69694.42</v>
      </c>
      <c r="Q1837" s="3" t="n">
        <v>48558</v>
      </c>
      <c r="R1837" s="3" t="n">
        <v>0.4106</v>
      </c>
      <c r="S1837" s="3" t="n">
        <v>0.0562</v>
      </c>
      <c r="T1837" s="3" t="n">
        <v>0.0106</v>
      </c>
    </row>
    <row r="1838" customFormat="false" ht="15" hidden="false" customHeight="true" outlineLevel="0" collapsed="false">
      <c r="A1838" s="3" t="s">
        <v>2798</v>
      </c>
      <c r="B1838" s="3" t="s">
        <v>2799</v>
      </c>
      <c r="C1838" s="3" t="s">
        <v>46</v>
      </c>
      <c r="D1838" s="3" t="s">
        <v>32</v>
      </c>
      <c r="E1838" s="3" t="s">
        <v>33</v>
      </c>
      <c r="F1838" s="3" t="s">
        <v>25</v>
      </c>
      <c r="G1838" s="3" t="s">
        <v>71</v>
      </c>
      <c r="H1838" s="3" t="s">
        <v>64</v>
      </c>
      <c r="I1838" s="3" t="s">
        <v>108</v>
      </c>
      <c r="J1838" s="3" t="n">
        <v>47</v>
      </c>
      <c r="K1838" s="3" t="n">
        <v>6368.72</v>
      </c>
      <c r="L1838" s="3" t="n">
        <v>299329.84</v>
      </c>
      <c r="M1838" s="3" t="n">
        <v>0.0844</v>
      </c>
      <c r="N1838" s="3" t="n">
        <v>25263.44</v>
      </c>
      <c r="O1838" s="3" t="n">
        <v>274066.4</v>
      </c>
      <c r="P1838" s="3" t="n">
        <v>173611.31</v>
      </c>
      <c r="Q1838" s="3" t="n">
        <v>100455.09</v>
      </c>
      <c r="R1838" s="3" t="n">
        <v>0.3665</v>
      </c>
      <c r="S1838" s="3" t="n">
        <v>0.079</v>
      </c>
      <c r="T1838" s="3" t="n">
        <v>0.0054</v>
      </c>
    </row>
    <row r="1839" customFormat="false" ht="15" hidden="false" customHeight="true" outlineLevel="0" collapsed="false">
      <c r="A1839" s="3" t="s">
        <v>2800</v>
      </c>
      <c r="B1839" s="3" t="s">
        <v>2801</v>
      </c>
      <c r="C1839" s="3" t="s">
        <v>126</v>
      </c>
      <c r="D1839" s="3" t="s">
        <v>97</v>
      </c>
      <c r="E1839" s="3" t="s">
        <v>48</v>
      </c>
      <c r="F1839" s="3" t="s">
        <v>40</v>
      </c>
      <c r="G1839" s="3" t="s">
        <v>104</v>
      </c>
      <c r="H1839" s="3" t="s">
        <v>27</v>
      </c>
      <c r="I1839" s="3" t="s">
        <v>94</v>
      </c>
      <c r="J1839" s="3" t="n">
        <v>37</v>
      </c>
      <c r="K1839" s="3" t="n">
        <v>24236.78</v>
      </c>
      <c r="L1839" s="3" t="n">
        <v>896760.86</v>
      </c>
      <c r="M1839" s="3" t="n">
        <v>0.0816</v>
      </c>
      <c r="N1839" s="3" t="n">
        <v>73175.69</v>
      </c>
      <c r="O1839" s="3" t="n">
        <v>823585.17</v>
      </c>
      <c r="P1839" s="3" t="n">
        <v>555991.73</v>
      </c>
      <c r="Q1839" s="3" t="n">
        <v>267593.44</v>
      </c>
      <c r="R1839" s="3" t="n">
        <v>0.3249</v>
      </c>
      <c r="S1839" s="3" t="n">
        <v>0.0723</v>
      </c>
      <c r="T1839" s="3" t="n">
        <v>0.0093</v>
      </c>
    </row>
    <row r="1840" customFormat="false" ht="15" hidden="false" customHeight="true" outlineLevel="0" collapsed="false">
      <c r="A1840" s="3" t="s">
        <v>2802</v>
      </c>
      <c r="B1840" s="3" t="s">
        <v>2230</v>
      </c>
      <c r="C1840" s="3" t="s">
        <v>31</v>
      </c>
      <c r="D1840" s="3" t="s">
        <v>75</v>
      </c>
      <c r="E1840" s="3" t="s">
        <v>39</v>
      </c>
      <c r="F1840" s="3" t="s">
        <v>25</v>
      </c>
      <c r="G1840" s="3" t="s">
        <v>76</v>
      </c>
      <c r="H1840" s="3" t="s">
        <v>27</v>
      </c>
      <c r="I1840" s="3" t="s">
        <v>173</v>
      </c>
      <c r="J1840" s="3" t="n">
        <v>11</v>
      </c>
      <c r="K1840" s="3" t="n">
        <v>26652.77</v>
      </c>
      <c r="L1840" s="3" t="n">
        <v>293180.47</v>
      </c>
      <c r="M1840" s="3" t="n">
        <v>0.138</v>
      </c>
      <c r="N1840" s="3" t="n">
        <v>40458.9</v>
      </c>
      <c r="O1840" s="3" t="n">
        <v>252721.57</v>
      </c>
      <c r="P1840" s="3" t="n">
        <v>181771.89</v>
      </c>
      <c r="Q1840" s="3" t="n">
        <v>70949.68</v>
      </c>
      <c r="R1840" s="3" t="n">
        <v>0.2807</v>
      </c>
      <c r="S1840" s="3" t="n">
        <v>0.1421</v>
      </c>
      <c r="T1840" s="3" t="n">
        <v>-0.0041</v>
      </c>
    </row>
    <row r="1841" customFormat="false" ht="15" hidden="false" customHeight="true" outlineLevel="0" collapsed="false">
      <c r="A1841" s="3" t="s">
        <v>2803</v>
      </c>
      <c r="B1841" s="3" t="s">
        <v>661</v>
      </c>
      <c r="C1841" s="3" t="s">
        <v>93</v>
      </c>
      <c r="D1841" s="3" t="s">
        <v>38</v>
      </c>
      <c r="E1841" s="3" t="s">
        <v>39</v>
      </c>
      <c r="F1841" s="3" t="s">
        <v>40</v>
      </c>
      <c r="G1841" s="3" t="s">
        <v>76</v>
      </c>
      <c r="H1841" s="3" t="s">
        <v>77</v>
      </c>
      <c r="I1841" s="3" t="s">
        <v>85</v>
      </c>
      <c r="J1841" s="3" t="n">
        <v>42</v>
      </c>
      <c r="K1841" s="3" t="n">
        <v>5185.35</v>
      </c>
      <c r="L1841" s="3" t="n">
        <v>217784.7</v>
      </c>
      <c r="M1841" s="3" t="n">
        <v>0.0602</v>
      </c>
      <c r="N1841" s="3" t="n">
        <v>13110.64</v>
      </c>
      <c r="O1841" s="3" t="n">
        <v>204674.06</v>
      </c>
      <c r="P1841" s="3" t="n">
        <v>148093.6</v>
      </c>
      <c r="Q1841" s="3" t="n">
        <v>56580.46</v>
      </c>
      <c r="R1841" s="3" t="n">
        <v>0.2764</v>
      </c>
      <c r="S1841" s="3" t="n">
        <v>0.0498</v>
      </c>
      <c r="T1841" s="3" t="n">
        <v>0.0104</v>
      </c>
    </row>
    <row r="1842" customFormat="false" ht="15" hidden="false" customHeight="true" outlineLevel="0" collapsed="false">
      <c r="A1842" s="3" t="s">
        <v>2804</v>
      </c>
      <c r="B1842" s="3" t="s">
        <v>871</v>
      </c>
      <c r="C1842" s="3" t="s">
        <v>53</v>
      </c>
      <c r="D1842" s="3" t="s">
        <v>107</v>
      </c>
      <c r="E1842" s="3" t="s">
        <v>33</v>
      </c>
      <c r="F1842" s="3" t="s">
        <v>70</v>
      </c>
      <c r="G1842" s="3" t="s">
        <v>100</v>
      </c>
      <c r="H1842" s="3" t="s">
        <v>42</v>
      </c>
      <c r="I1842" s="3" t="s">
        <v>43</v>
      </c>
      <c r="J1842" s="3" t="n">
        <v>38</v>
      </c>
      <c r="K1842" s="3" t="n">
        <v>3242.36</v>
      </c>
      <c r="L1842" s="3" t="n">
        <v>123209.68</v>
      </c>
      <c r="M1842" s="3" t="n">
        <v>0.0492</v>
      </c>
      <c r="N1842" s="3" t="n">
        <v>6061.92</v>
      </c>
      <c r="O1842" s="3" t="n">
        <v>117147.76</v>
      </c>
      <c r="P1842" s="3" t="n">
        <v>67765.32</v>
      </c>
      <c r="Q1842" s="3" t="n">
        <v>49382.44</v>
      </c>
      <c r="R1842" s="3" t="n">
        <v>0.4215</v>
      </c>
      <c r="S1842" s="3" t="n">
        <v>0.0415</v>
      </c>
      <c r="T1842" s="3" t="n">
        <v>0.0077</v>
      </c>
    </row>
    <row r="1843" customFormat="false" ht="15" hidden="false" customHeight="true" outlineLevel="0" collapsed="false">
      <c r="A1843" s="3" t="s">
        <v>2805</v>
      </c>
      <c r="B1843" s="3" t="s">
        <v>2395</v>
      </c>
      <c r="C1843" s="3" t="s">
        <v>113</v>
      </c>
      <c r="D1843" s="3" t="s">
        <v>38</v>
      </c>
      <c r="E1843" s="3" t="s">
        <v>39</v>
      </c>
      <c r="F1843" s="3" t="s">
        <v>40</v>
      </c>
      <c r="G1843" s="3" t="s">
        <v>104</v>
      </c>
      <c r="H1843" s="3" t="s">
        <v>27</v>
      </c>
      <c r="I1843" s="3" t="s">
        <v>50</v>
      </c>
      <c r="J1843" s="3" t="n">
        <v>20</v>
      </c>
      <c r="K1843" s="3" t="n">
        <v>32713.58</v>
      </c>
      <c r="L1843" s="3" t="n">
        <v>654271.6</v>
      </c>
      <c r="M1843" s="3" t="n">
        <v>0.1102</v>
      </c>
      <c r="N1843" s="3" t="n">
        <v>72100.73</v>
      </c>
      <c r="O1843" s="3" t="n">
        <v>582170.87</v>
      </c>
      <c r="P1843" s="3" t="n">
        <v>405648.39</v>
      </c>
      <c r="Q1843" s="3" t="n">
        <v>176522.48</v>
      </c>
      <c r="R1843" s="3" t="n">
        <v>0.3032</v>
      </c>
      <c r="S1843" s="3" t="n">
        <v>0.1196</v>
      </c>
      <c r="T1843" s="3" t="n">
        <v>-0.0094</v>
      </c>
    </row>
    <row r="1844" customFormat="false" ht="15" hidden="false" customHeight="true" outlineLevel="0" collapsed="false">
      <c r="A1844" s="3" t="s">
        <v>2806</v>
      </c>
      <c r="B1844" s="3" t="s">
        <v>1297</v>
      </c>
      <c r="C1844" s="3" t="s">
        <v>22</v>
      </c>
      <c r="D1844" s="3" t="s">
        <v>69</v>
      </c>
      <c r="E1844" s="3" t="s">
        <v>39</v>
      </c>
      <c r="F1844" s="3" t="s">
        <v>70</v>
      </c>
      <c r="G1844" s="3" t="s">
        <v>34</v>
      </c>
      <c r="H1844" s="3" t="s">
        <v>27</v>
      </c>
      <c r="I1844" s="3" t="s">
        <v>117</v>
      </c>
      <c r="J1844" s="3" t="n">
        <v>10</v>
      </c>
      <c r="K1844" s="3" t="n">
        <v>17421.81</v>
      </c>
      <c r="L1844" s="3" t="n">
        <v>174218.1</v>
      </c>
      <c r="M1844" s="3" t="n">
        <v>0.106</v>
      </c>
      <c r="N1844" s="3" t="n">
        <v>18467.12</v>
      </c>
      <c r="O1844" s="3" t="n">
        <v>155750.98</v>
      </c>
      <c r="P1844" s="3" t="n">
        <v>108015.22</v>
      </c>
      <c r="Q1844" s="3" t="n">
        <v>47735.76</v>
      </c>
      <c r="R1844" s="3" t="n">
        <v>0.3065</v>
      </c>
      <c r="S1844" s="3" t="n">
        <v>0.0978</v>
      </c>
      <c r="T1844" s="3" t="n">
        <v>0.0082</v>
      </c>
    </row>
    <row r="1845" customFormat="false" ht="15" hidden="false" customHeight="true" outlineLevel="0" collapsed="false">
      <c r="A1845" s="3" t="s">
        <v>2807</v>
      </c>
      <c r="B1845" s="3" t="s">
        <v>2808</v>
      </c>
      <c r="C1845" s="3" t="s">
        <v>31</v>
      </c>
      <c r="D1845" s="3" t="s">
        <v>97</v>
      </c>
      <c r="E1845" s="3" t="s">
        <v>48</v>
      </c>
      <c r="F1845" s="3" t="s">
        <v>40</v>
      </c>
      <c r="G1845" s="3" t="s">
        <v>84</v>
      </c>
      <c r="H1845" s="3" t="s">
        <v>27</v>
      </c>
      <c r="I1845" s="3" t="s">
        <v>94</v>
      </c>
      <c r="J1845" s="3" t="n">
        <v>41</v>
      </c>
      <c r="K1845" s="3" t="n">
        <v>12960.03</v>
      </c>
      <c r="L1845" s="3" t="n">
        <v>531361.23</v>
      </c>
      <c r="M1845" s="3" t="n">
        <v>0.0359</v>
      </c>
      <c r="N1845" s="3" t="n">
        <v>19075.87</v>
      </c>
      <c r="O1845" s="3" t="n">
        <v>512285.36</v>
      </c>
      <c r="P1845" s="3" t="n">
        <v>329443.96</v>
      </c>
      <c r="Q1845" s="3" t="n">
        <v>182841.4</v>
      </c>
      <c r="R1845" s="3" t="n">
        <v>0.3569</v>
      </c>
      <c r="S1845" s="3" t="n">
        <v>0.0392</v>
      </c>
      <c r="T1845" s="3" t="n">
        <v>-0.0033</v>
      </c>
    </row>
    <row r="1846" customFormat="false" ht="15" hidden="false" customHeight="true" outlineLevel="0" collapsed="false">
      <c r="A1846" s="3" t="s">
        <v>2809</v>
      </c>
      <c r="B1846" s="3" t="s">
        <v>1375</v>
      </c>
      <c r="C1846" s="3" t="s">
        <v>68</v>
      </c>
      <c r="D1846" s="3" t="s">
        <v>32</v>
      </c>
      <c r="E1846" s="3" t="s">
        <v>33</v>
      </c>
      <c r="F1846" s="3" t="s">
        <v>25</v>
      </c>
      <c r="G1846" s="3" t="s">
        <v>26</v>
      </c>
      <c r="H1846" s="3" t="s">
        <v>77</v>
      </c>
      <c r="I1846" s="3" t="s">
        <v>131</v>
      </c>
      <c r="J1846" s="3" t="n">
        <v>36</v>
      </c>
      <c r="K1846" s="3" t="n">
        <v>2236.35</v>
      </c>
      <c r="L1846" s="3" t="n">
        <v>80508.6</v>
      </c>
      <c r="M1846" s="3" t="n">
        <v>0.1751</v>
      </c>
      <c r="N1846" s="3" t="n">
        <v>14097.06</v>
      </c>
      <c r="O1846" s="3" t="n">
        <v>66411.54</v>
      </c>
      <c r="P1846" s="3" t="n">
        <v>54745.85</v>
      </c>
      <c r="Q1846" s="3" t="n">
        <v>11665.69</v>
      </c>
      <c r="R1846" s="3" t="n">
        <v>0.1757</v>
      </c>
      <c r="S1846" s="3" t="n">
        <v>0.172</v>
      </c>
      <c r="T1846" s="3" t="n">
        <v>0.0031</v>
      </c>
    </row>
    <row r="1847" customFormat="false" ht="15" hidden="false" customHeight="true" outlineLevel="0" collapsed="false">
      <c r="A1847" s="3" t="s">
        <v>2810</v>
      </c>
      <c r="B1847" s="3" t="s">
        <v>577</v>
      </c>
      <c r="C1847" s="3" t="s">
        <v>156</v>
      </c>
      <c r="D1847" s="3" t="s">
        <v>103</v>
      </c>
      <c r="E1847" s="3" t="s">
        <v>24</v>
      </c>
      <c r="F1847" s="3" t="s">
        <v>62</v>
      </c>
      <c r="G1847" s="3" t="s">
        <v>71</v>
      </c>
      <c r="H1847" s="3" t="s">
        <v>56</v>
      </c>
      <c r="I1847" s="3" t="s">
        <v>57</v>
      </c>
      <c r="J1847" s="3" t="n">
        <v>34</v>
      </c>
      <c r="K1847" s="3" t="n">
        <v>5903.39</v>
      </c>
      <c r="L1847" s="3" t="n">
        <v>200715.26</v>
      </c>
      <c r="M1847" s="3" t="n">
        <v>0.0369</v>
      </c>
      <c r="N1847" s="3" t="n">
        <v>7406.39</v>
      </c>
      <c r="O1847" s="3" t="n">
        <v>193308.87</v>
      </c>
      <c r="P1847" s="3" t="n">
        <v>120429.16</v>
      </c>
      <c r="Q1847" s="3" t="n">
        <v>72879.71</v>
      </c>
      <c r="R1847" s="3" t="n">
        <v>0.377</v>
      </c>
      <c r="S1847" s="3" t="n">
        <v>0.0388</v>
      </c>
      <c r="T1847" s="3" t="n">
        <v>-0.0019</v>
      </c>
    </row>
    <row r="1848" customFormat="false" ht="15" hidden="false" customHeight="true" outlineLevel="0" collapsed="false">
      <c r="A1848" s="3" t="s">
        <v>2811</v>
      </c>
      <c r="B1848" s="3" t="s">
        <v>2484</v>
      </c>
      <c r="C1848" s="3" t="s">
        <v>31</v>
      </c>
      <c r="D1848" s="3" t="s">
        <v>54</v>
      </c>
      <c r="E1848" s="3" t="s">
        <v>24</v>
      </c>
      <c r="F1848" s="3" t="s">
        <v>40</v>
      </c>
      <c r="G1848" s="3" t="s">
        <v>63</v>
      </c>
      <c r="H1848" s="3" t="s">
        <v>27</v>
      </c>
      <c r="I1848" s="3" t="s">
        <v>50</v>
      </c>
      <c r="J1848" s="3" t="n">
        <v>8</v>
      </c>
      <c r="K1848" s="3" t="n">
        <v>36393.05</v>
      </c>
      <c r="L1848" s="3" t="n">
        <v>291144.4</v>
      </c>
      <c r="M1848" s="3" t="n">
        <v>0.0791</v>
      </c>
      <c r="N1848" s="3" t="n">
        <v>23029.52</v>
      </c>
      <c r="O1848" s="3" t="n">
        <v>268114.88</v>
      </c>
      <c r="P1848" s="3" t="n">
        <v>180509.53</v>
      </c>
      <c r="Q1848" s="3" t="n">
        <v>87605.35</v>
      </c>
      <c r="R1848" s="3" t="n">
        <v>0.3267</v>
      </c>
      <c r="S1848" s="3" t="n">
        <v>0.0714</v>
      </c>
      <c r="T1848" s="3" t="n">
        <v>0.0077</v>
      </c>
    </row>
    <row r="1849" customFormat="false" ht="15" hidden="false" customHeight="true" outlineLevel="0" collapsed="false">
      <c r="A1849" s="3" t="s">
        <v>2812</v>
      </c>
      <c r="B1849" s="3" t="s">
        <v>2484</v>
      </c>
      <c r="C1849" s="3" t="s">
        <v>31</v>
      </c>
      <c r="D1849" s="3" t="s">
        <v>107</v>
      </c>
      <c r="E1849" s="3" t="s">
        <v>33</v>
      </c>
      <c r="F1849" s="3" t="s">
        <v>70</v>
      </c>
      <c r="G1849" s="3" t="s">
        <v>55</v>
      </c>
      <c r="H1849" s="3" t="s">
        <v>64</v>
      </c>
      <c r="I1849" s="3" t="s">
        <v>90</v>
      </c>
      <c r="J1849" s="3" t="n">
        <v>35</v>
      </c>
      <c r="K1849" s="3" t="n">
        <v>9867.95</v>
      </c>
      <c r="L1849" s="3" t="n">
        <v>345378.25</v>
      </c>
      <c r="M1849" s="3" t="n">
        <v>0.0638</v>
      </c>
      <c r="N1849" s="3" t="n">
        <v>22035.13</v>
      </c>
      <c r="O1849" s="3" t="n">
        <v>323343.12</v>
      </c>
      <c r="P1849" s="3" t="n">
        <v>200319.38</v>
      </c>
      <c r="Q1849" s="3" t="n">
        <v>123023.74</v>
      </c>
      <c r="R1849" s="3" t="n">
        <v>0.3805</v>
      </c>
      <c r="S1849" s="3" t="n">
        <v>0.0637</v>
      </c>
      <c r="T1849" s="3" t="n">
        <v>0.0001</v>
      </c>
    </row>
    <row r="1850" customFormat="false" ht="15" hidden="false" customHeight="true" outlineLevel="0" collapsed="false">
      <c r="A1850" s="3" t="s">
        <v>2813</v>
      </c>
      <c r="B1850" s="3" t="s">
        <v>2159</v>
      </c>
      <c r="C1850" s="3" t="s">
        <v>113</v>
      </c>
      <c r="D1850" s="3" t="s">
        <v>61</v>
      </c>
      <c r="E1850" s="3" t="s">
        <v>33</v>
      </c>
      <c r="F1850" s="3" t="s">
        <v>62</v>
      </c>
      <c r="G1850" s="3" t="s">
        <v>55</v>
      </c>
      <c r="H1850" s="3" t="s">
        <v>56</v>
      </c>
      <c r="I1850" s="3" t="s">
        <v>57</v>
      </c>
      <c r="J1850" s="3" t="n">
        <v>27</v>
      </c>
      <c r="K1850" s="3" t="n">
        <v>8052.74</v>
      </c>
      <c r="L1850" s="3" t="n">
        <v>217423.98</v>
      </c>
      <c r="M1850" s="3" t="n">
        <v>0.0615</v>
      </c>
      <c r="N1850" s="3" t="n">
        <v>13371.57</v>
      </c>
      <c r="O1850" s="3" t="n">
        <v>204052.41</v>
      </c>
      <c r="P1850" s="3" t="n">
        <v>130454.39</v>
      </c>
      <c r="Q1850" s="3" t="n">
        <v>73598.02</v>
      </c>
      <c r="R1850" s="3" t="n">
        <v>0.3607</v>
      </c>
      <c r="S1850" s="3" t="n">
        <v>0.0495</v>
      </c>
      <c r="T1850" s="3" t="n">
        <v>0.012</v>
      </c>
    </row>
    <row r="1851" customFormat="false" ht="15" hidden="false" customHeight="true" outlineLevel="0" collapsed="false">
      <c r="A1851" s="3" t="s">
        <v>2814</v>
      </c>
      <c r="B1851" s="3" t="s">
        <v>2797</v>
      </c>
      <c r="C1851" s="3" t="s">
        <v>68</v>
      </c>
      <c r="D1851" s="3" t="s">
        <v>83</v>
      </c>
      <c r="E1851" s="3" t="s">
        <v>48</v>
      </c>
      <c r="F1851" s="3" t="s">
        <v>62</v>
      </c>
      <c r="G1851" s="3" t="s">
        <v>71</v>
      </c>
      <c r="H1851" s="3" t="s">
        <v>77</v>
      </c>
      <c r="I1851" s="3" t="s">
        <v>131</v>
      </c>
      <c r="J1851" s="3" t="n">
        <v>10</v>
      </c>
      <c r="K1851" s="3" t="n">
        <v>5186.95</v>
      </c>
      <c r="L1851" s="3" t="n">
        <v>51869.5</v>
      </c>
      <c r="M1851" s="3" t="n">
        <v>0.0683</v>
      </c>
      <c r="N1851" s="3" t="n">
        <v>3542.69</v>
      </c>
      <c r="O1851" s="3" t="n">
        <v>48326.81</v>
      </c>
      <c r="P1851" s="3" t="n">
        <v>35271.26</v>
      </c>
      <c r="Q1851" s="3" t="n">
        <v>13055.55</v>
      </c>
      <c r="R1851" s="3" t="n">
        <v>0.2702</v>
      </c>
      <c r="S1851" s="3" t="n">
        <v>0.0611</v>
      </c>
      <c r="T1851" s="3" t="n">
        <v>0.0072</v>
      </c>
    </row>
    <row r="1852" customFormat="false" ht="15" hidden="false" customHeight="true" outlineLevel="0" collapsed="false">
      <c r="A1852" s="3" t="s">
        <v>2815</v>
      </c>
      <c r="B1852" s="3" t="s">
        <v>2011</v>
      </c>
      <c r="C1852" s="3" t="s">
        <v>126</v>
      </c>
      <c r="D1852" s="3" t="s">
        <v>103</v>
      </c>
      <c r="E1852" s="3" t="s">
        <v>24</v>
      </c>
      <c r="F1852" s="3" t="s">
        <v>62</v>
      </c>
      <c r="G1852" s="3" t="s">
        <v>34</v>
      </c>
      <c r="H1852" s="3" t="s">
        <v>27</v>
      </c>
      <c r="I1852" s="3" t="s">
        <v>50</v>
      </c>
      <c r="J1852" s="3" t="n">
        <v>26</v>
      </c>
      <c r="K1852" s="3" t="n">
        <v>32871</v>
      </c>
      <c r="L1852" s="3" t="n">
        <v>854646</v>
      </c>
      <c r="M1852" s="3" t="n">
        <v>0.0867</v>
      </c>
      <c r="N1852" s="3" t="n">
        <v>74097.81</v>
      </c>
      <c r="O1852" s="3" t="n">
        <v>780548.19</v>
      </c>
      <c r="P1852" s="3" t="n">
        <v>529880.52</v>
      </c>
      <c r="Q1852" s="3" t="n">
        <v>250667.67</v>
      </c>
      <c r="R1852" s="3" t="n">
        <v>0.3211</v>
      </c>
      <c r="S1852" s="3" t="n">
        <v>0.0915</v>
      </c>
      <c r="T1852" s="3" t="n">
        <v>-0.0048</v>
      </c>
    </row>
    <row r="1853" customFormat="false" ht="15" hidden="false" customHeight="true" outlineLevel="0" collapsed="false">
      <c r="A1853" s="3" t="s">
        <v>2816</v>
      </c>
      <c r="B1853" s="3" t="s">
        <v>887</v>
      </c>
      <c r="C1853" s="3" t="s">
        <v>68</v>
      </c>
      <c r="D1853" s="3" t="s">
        <v>54</v>
      </c>
      <c r="E1853" s="3" t="s">
        <v>24</v>
      </c>
      <c r="F1853" s="3" t="s">
        <v>40</v>
      </c>
      <c r="G1853" s="3" t="s">
        <v>41</v>
      </c>
      <c r="H1853" s="3" t="s">
        <v>27</v>
      </c>
      <c r="I1853" s="3" t="s">
        <v>28</v>
      </c>
      <c r="J1853" s="3" t="n">
        <v>15</v>
      </c>
      <c r="K1853" s="3" t="n">
        <v>23309.35</v>
      </c>
      <c r="L1853" s="3" t="n">
        <v>349640.25</v>
      </c>
      <c r="M1853" s="3" t="n">
        <v>0.0768</v>
      </c>
      <c r="N1853" s="3" t="n">
        <v>26852.37</v>
      </c>
      <c r="O1853" s="3" t="n">
        <v>322787.88</v>
      </c>
      <c r="P1853" s="3" t="n">
        <v>216776.95</v>
      </c>
      <c r="Q1853" s="3" t="n">
        <v>106010.93</v>
      </c>
      <c r="R1853" s="3" t="n">
        <v>0.3284</v>
      </c>
      <c r="S1853" s="3" t="n">
        <v>0.0714</v>
      </c>
      <c r="T1853" s="3" t="n">
        <v>0.0054</v>
      </c>
    </row>
    <row r="1854" customFormat="false" ht="15" hidden="false" customHeight="true" outlineLevel="0" collapsed="false">
      <c r="A1854" s="3" t="s">
        <v>2817</v>
      </c>
      <c r="B1854" s="3" t="s">
        <v>1572</v>
      </c>
      <c r="C1854" s="3" t="s">
        <v>113</v>
      </c>
      <c r="D1854" s="3" t="s">
        <v>47</v>
      </c>
      <c r="E1854" s="3" t="s">
        <v>48</v>
      </c>
      <c r="F1854" s="3" t="s">
        <v>25</v>
      </c>
      <c r="G1854" s="3" t="s">
        <v>104</v>
      </c>
      <c r="H1854" s="3" t="s">
        <v>77</v>
      </c>
      <c r="I1854" s="3" t="s">
        <v>131</v>
      </c>
      <c r="J1854" s="3" t="n">
        <v>49</v>
      </c>
      <c r="K1854" s="3" t="n">
        <v>1760.56</v>
      </c>
      <c r="L1854" s="3" t="n">
        <v>86267.44</v>
      </c>
      <c r="M1854" s="3" t="n">
        <v>0.1288</v>
      </c>
      <c r="N1854" s="3" t="n">
        <v>11111.25</v>
      </c>
      <c r="O1854" s="3" t="n">
        <v>75156.19</v>
      </c>
      <c r="P1854" s="3" t="n">
        <v>58661.86</v>
      </c>
      <c r="Q1854" s="3" t="n">
        <v>16494.33</v>
      </c>
      <c r="R1854" s="3" t="n">
        <v>0.2195</v>
      </c>
      <c r="S1854" s="3" t="n">
        <v>0.1345</v>
      </c>
      <c r="T1854" s="3" t="n">
        <v>-0.0057</v>
      </c>
    </row>
    <row r="1855" customFormat="false" ht="15" hidden="false" customHeight="true" outlineLevel="0" collapsed="false">
      <c r="A1855" s="3" t="s">
        <v>2818</v>
      </c>
      <c r="B1855" s="3" t="s">
        <v>2006</v>
      </c>
      <c r="C1855" s="3" t="s">
        <v>126</v>
      </c>
      <c r="D1855" s="3" t="s">
        <v>103</v>
      </c>
      <c r="E1855" s="3" t="s">
        <v>24</v>
      </c>
      <c r="F1855" s="3" t="s">
        <v>62</v>
      </c>
      <c r="G1855" s="3" t="s">
        <v>116</v>
      </c>
      <c r="H1855" s="3" t="s">
        <v>27</v>
      </c>
      <c r="I1855" s="3" t="s">
        <v>28</v>
      </c>
      <c r="J1855" s="3" t="n">
        <v>4</v>
      </c>
      <c r="K1855" s="3" t="n">
        <v>20006.13</v>
      </c>
      <c r="L1855" s="3" t="n">
        <v>80024.52</v>
      </c>
      <c r="M1855" s="3" t="n">
        <v>0.0918</v>
      </c>
      <c r="N1855" s="3" t="n">
        <v>7346.25</v>
      </c>
      <c r="O1855" s="3" t="n">
        <v>72678.27</v>
      </c>
      <c r="P1855" s="3" t="n">
        <v>49615.2</v>
      </c>
      <c r="Q1855" s="3" t="n">
        <v>23063.07</v>
      </c>
      <c r="R1855" s="3" t="n">
        <v>0.3173</v>
      </c>
      <c r="S1855" s="3" t="n">
        <v>0.0908</v>
      </c>
      <c r="T1855" s="3" t="n">
        <v>0.001</v>
      </c>
    </row>
    <row r="1856" customFormat="false" ht="15" hidden="false" customHeight="true" outlineLevel="0" collapsed="false">
      <c r="A1856" s="3" t="s">
        <v>2819</v>
      </c>
      <c r="B1856" s="3" t="s">
        <v>2820</v>
      </c>
      <c r="C1856" s="3" t="s">
        <v>68</v>
      </c>
      <c r="D1856" s="3" t="s">
        <v>61</v>
      </c>
      <c r="E1856" s="3" t="s">
        <v>33</v>
      </c>
      <c r="F1856" s="3" t="s">
        <v>62</v>
      </c>
      <c r="G1856" s="3" t="s">
        <v>84</v>
      </c>
      <c r="H1856" s="3" t="s">
        <v>42</v>
      </c>
      <c r="I1856" s="3" t="s">
        <v>43</v>
      </c>
      <c r="J1856" s="3" t="n">
        <v>12</v>
      </c>
      <c r="K1856" s="3" t="n">
        <v>1927.27</v>
      </c>
      <c r="L1856" s="3" t="n">
        <v>23127.24</v>
      </c>
      <c r="M1856" s="3" t="n">
        <v>0.0731</v>
      </c>
      <c r="N1856" s="3" t="n">
        <v>1690.6</v>
      </c>
      <c r="O1856" s="3" t="n">
        <v>21436.64</v>
      </c>
      <c r="P1856" s="3" t="n">
        <v>12719.98</v>
      </c>
      <c r="Q1856" s="3" t="n">
        <v>8716.66</v>
      </c>
      <c r="R1856" s="3" t="n">
        <v>0.4066</v>
      </c>
      <c r="S1856" s="3" t="n">
        <v>0.0628</v>
      </c>
      <c r="T1856" s="3" t="n">
        <v>0.0103</v>
      </c>
    </row>
    <row r="1857" customFormat="false" ht="15" hidden="false" customHeight="true" outlineLevel="0" collapsed="false">
      <c r="A1857" s="3" t="s">
        <v>2821</v>
      </c>
      <c r="B1857" s="3" t="s">
        <v>112</v>
      </c>
      <c r="C1857" s="3" t="s">
        <v>113</v>
      </c>
      <c r="D1857" s="3" t="s">
        <v>38</v>
      </c>
      <c r="E1857" s="3" t="s">
        <v>39</v>
      </c>
      <c r="F1857" s="3" t="s">
        <v>40</v>
      </c>
      <c r="G1857" s="3" t="s">
        <v>63</v>
      </c>
      <c r="H1857" s="3" t="s">
        <v>77</v>
      </c>
      <c r="I1857" s="3" t="s">
        <v>85</v>
      </c>
      <c r="J1857" s="3" t="n">
        <v>4</v>
      </c>
      <c r="K1857" s="3" t="n">
        <v>4209.49</v>
      </c>
      <c r="L1857" s="3" t="n">
        <v>16837.96</v>
      </c>
      <c r="M1857" s="3" t="n">
        <v>0.0665</v>
      </c>
      <c r="N1857" s="3" t="n">
        <v>1119.72</v>
      </c>
      <c r="O1857" s="3" t="n">
        <v>15718.24</v>
      </c>
      <c r="P1857" s="3" t="n">
        <v>11449.81</v>
      </c>
      <c r="Q1857" s="3" t="n">
        <v>4268.43</v>
      </c>
      <c r="R1857" s="3" t="n">
        <v>0.2716</v>
      </c>
      <c r="S1857" s="3" t="n">
        <v>0.0659</v>
      </c>
      <c r="T1857" s="3" t="n">
        <v>0.0006</v>
      </c>
    </row>
    <row r="1858" customFormat="false" ht="15" hidden="false" customHeight="true" outlineLevel="0" collapsed="false">
      <c r="A1858" s="3" t="s">
        <v>2822</v>
      </c>
      <c r="B1858" s="3" t="s">
        <v>2823</v>
      </c>
      <c r="C1858" s="3" t="s">
        <v>22</v>
      </c>
      <c r="D1858" s="3" t="s">
        <v>54</v>
      </c>
      <c r="E1858" s="3" t="s">
        <v>24</v>
      </c>
      <c r="F1858" s="3" t="s">
        <v>40</v>
      </c>
      <c r="G1858" s="3" t="s">
        <v>84</v>
      </c>
      <c r="H1858" s="3" t="s">
        <v>27</v>
      </c>
      <c r="I1858" s="3" t="s">
        <v>173</v>
      </c>
      <c r="J1858" s="3" t="n">
        <v>19</v>
      </c>
      <c r="K1858" s="3" t="n">
        <v>22166.24</v>
      </c>
      <c r="L1858" s="3" t="n">
        <v>421158.56</v>
      </c>
      <c r="M1858" s="3" t="n">
        <v>0.0495</v>
      </c>
      <c r="N1858" s="3" t="n">
        <v>20847.35</v>
      </c>
      <c r="O1858" s="3" t="n">
        <v>400311.21</v>
      </c>
      <c r="P1858" s="3" t="n">
        <v>261118.31</v>
      </c>
      <c r="Q1858" s="3" t="n">
        <v>139192.9</v>
      </c>
      <c r="R1858" s="3" t="n">
        <v>0.3477</v>
      </c>
      <c r="S1858" s="3" t="n">
        <v>0.0502</v>
      </c>
      <c r="T1858" s="3" t="n">
        <v>-0.0007</v>
      </c>
    </row>
    <row r="1859" customFormat="false" ht="15" hidden="false" customHeight="true" outlineLevel="0" collapsed="false">
      <c r="A1859" s="3" t="s">
        <v>2824</v>
      </c>
      <c r="B1859" s="3" t="s">
        <v>728</v>
      </c>
      <c r="C1859" s="3" t="s">
        <v>156</v>
      </c>
      <c r="D1859" s="3" t="s">
        <v>83</v>
      </c>
      <c r="E1859" s="3" t="s">
        <v>48</v>
      </c>
      <c r="F1859" s="3" t="s">
        <v>62</v>
      </c>
      <c r="G1859" s="3" t="s">
        <v>63</v>
      </c>
      <c r="H1859" s="3" t="s">
        <v>64</v>
      </c>
      <c r="I1859" s="3" t="s">
        <v>90</v>
      </c>
      <c r="J1859" s="3" t="n">
        <v>39</v>
      </c>
      <c r="K1859" s="3" t="n">
        <v>9042.54</v>
      </c>
      <c r="L1859" s="3" t="n">
        <v>352659.06</v>
      </c>
      <c r="M1859" s="3" t="n">
        <v>0.0369</v>
      </c>
      <c r="N1859" s="3" t="n">
        <v>13013.12</v>
      </c>
      <c r="O1859" s="3" t="n">
        <v>339645.94</v>
      </c>
      <c r="P1859" s="3" t="n">
        <v>204542.25</v>
      </c>
      <c r="Q1859" s="3" t="n">
        <v>135103.69</v>
      </c>
      <c r="R1859" s="3" t="n">
        <v>0.3978</v>
      </c>
      <c r="S1859" s="3" t="n">
        <v>0.0356</v>
      </c>
      <c r="T1859" s="3" t="n">
        <v>0.0013</v>
      </c>
    </row>
    <row r="1860" customFormat="false" ht="15" hidden="false" customHeight="true" outlineLevel="0" collapsed="false">
      <c r="A1860" s="3" t="s">
        <v>2825</v>
      </c>
      <c r="B1860" s="3" t="s">
        <v>266</v>
      </c>
      <c r="C1860" s="3" t="s">
        <v>60</v>
      </c>
      <c r="D1860" s="3" t="s">
        <v>61</v>
      </c>
      <c r="E1860" s="3" t="s">
        <v>33</v>
      </c>
      <c r="F1860" s="3" t="s">
        <v>62</v>
      </c>
      <c r="G1860" s="3" t="s">
        <v>71</v>
      </c>
      <c r="H1860" s="3" t="s">
        <v>77</v>
      </c>
      <c r="I1860" s="3" t="s">
        <v>85</v>
      </c>
      <c r="J1860" s="3" t="n">
        <v>25</v>
      </c>
      <c r="K1860" s="3" t="n">
        <v>5164.83</v>
      </c>
      <c r="L1860" s="3" t="n">
        <v>129120.75</v>
      </c>
      <c r="M1860" s="3" t="n">
        <v>0.0762</v>
      </c>
      <c r="N1860" s="3" t="n">
        <v>9839</v>
      </c>
      <c r="O1860" s="3" t="n">
        <v>119281.75</v>
      </c>
      <c r="P1860" s="3" t="n">
        <v>87802.11</v>
      </c>
      <c r="Q1860" s="3" t="n">
        <v>31479.64</v>
      </c>
      <c r="R1860" s="3" t="n">
        <v>0.2639</v>
      </c>
      <c r="S1860" s="3" t="n">
        <v>0.0738</v>
      </c>
      <c r="T1860" s="3" t="n">
        <v>0.0024</v>
      </c>
    </row>
    <row r="1861" customFormat="false" ht="15" hidden="false" customHeight="true" outlineLevel="0" collapsed="false">
      <c r="A1861" s="3" t="s">
        <v>2826</v>
      </c>
      <c r="B1861" s="3" t="s">
        <v>2110</v>
      </c>
      <c r="C1861" s="3" t="s">
        <v>113</v>
      </c>
      <c r="D1861" s="3" t="s">
        <v>38</v>
      </c>
      <c r="E1861" s="3" t="s">
        <v>39</v>
      </c>
      <c r="F1861" s="3" t="s">
        <v>40</v>
      </c>
      <c r="G1861" s="3" t="s">
        <v>104</v>
      </c>
      <c r="H1861" s="3" t="s">
        <v>27</v>
      </c>
      <c r="I1861" s="3" t="s">
        <v>50</v>
      </c>
      <c r="J1861" s="3" t="n">
        <v>34</v>
      </c>
      <c r="K1861" s="3" t="n">
        <v>20712.92</v>
      </c>
      <c r="L1861" s="3" t="n">
        <v>704239.28</v>
      </c>
      <c r="M1861" s="3" t="n">
        <v>0.0942</v>
      </c>
      <c r="N1861" s="3" t="n">
        <v>66339.34</v>
      </c>
      <c r="O1861" s="3" t="n">
        <v>637899.94</v>
      </c>
      <c r="P1861" s="3" t="n">
        <v>436628.35</v>
      </c>
      <c r="Q1861" s="3" t="n">
        <v>201271.59</v>
      </c>
      <c r="R1861" s="3" t="n">
        <v>0.3155</v>
      </c>
      <c r="S1861" s="3" t="n">
        <v>0.081</v>
      </c>
      <c r="T1861" s="3" t="n">
        <v>0.0132</v>
      </c>
    </row>
    <row r="1862" customFormat="false" ht="15" hidden="false" customHeight="true" outlineLevel="0" collapsed="false">
      <c r="A1862" s="3" t="s">
        <v>2827</v>
      </c>
      <c r="B1862" s="3" t="s">
        <v>530</v>
      </c>
      <c r="C1862" s="3" t="s">
        <v>113</v>
      </c>
      <c r="D1862" s="3" t="s">
        <v>83</v>
      </c>
      <c r="E1862" s="3" t="s">
        <v>48</v>
      </c>
      <c r="F1862" s="3" t="s">
        <v>62</v>
      </c>
      <c r="G1862" s="3" t="s">
        <v>41</v>
      </c>
      <c r="H1862" s="3" t="s">
        <v>64</v>
      </c>
      <c r="I1862" s="3" t="s">
        <v>65</v>
      </c>
      <c r="J1862" s="3" t="n">
        <v>21</v>
      </c>
      <c r="K1862" s="3" t="n">
        <v>11587.74</v>
      </c>
      <c r="L1862" s="3" t="n">
        <v>243342.54</v>
      </c>
      <c r="M1862" s="3" t="n">
        <v>0.1051</v>
      </c>
      <c r="N1862" s="3" t="n">
        <v>25575.3</v>
      </c>
      <c r="O1862" s="3" t="n">
        <v>217767.24</v>
      </c>
      <c r="P1862" s="3" t="n">
        <v>141138.67</v>
      </c>
      <c r="Q1862" s="3" t="n">
        <v>76628.57</v>
      </c>
      <c r="R1862" s="3" t="n">
        <v>0.3519</v>
      </c>
      <c r="S1862" s="3" t="n">
        <v>0.095</v>
      </c>
      <c r="T1862" s="3" t="n">
        <v>0.0101</v>
      </c>
    </row>
    <row r="1863" customFormat="false" ht="15" hidden="false" customHeight="true" outlineLevel="0" collapsed="false">
      <c r="A1863" s="3" t="s">
        <v>2828</v>
      </c>
      <c r="B1863" s="3" t="s">
        <v>1901</v>
      </c>
      <c r="C1863" s="3" t="s">
        <v>60</v>
      </c>
      <c r="D1863" s="3" t="s">
        <v>47</v>
      </c>
      <c r="E1863" s="3" t="s">
        <v>48</v>
      </c>
      <c r="F1863" s="3" t="s">
        <v>25</v>
      </c>
      <c r="G1863" s="3" t="s">
        <v>100</v>
      </c>
      <c r="H1863" s="3" t="s">
        <v>27</v>
      </c>
      <c r="I1863" s="3" t="s">
        <v>173</v>
      </c>
      <c r="J1863" s="3" t="n">
        <v>30</v>
      </c>
      <c r="K1863" s="3" t="n">
        <v>37669.34</v>
      </c>
      <c r="L1863" s="3" t="n">
        <v>1130080.2</v>
      </c>
      <c r="M1863" s="3" t="n">
        <v>0.1385</v>
      </c>
      <c r="N1863" s="3" t="n">
        <v>156516.11</v>
      </c>
      <c r="O1863" s="3" t="n">
        <v>973564.09</v>
      </c>
      <c r="P1863" s="3" t="n">
        <v>700649.72</v>
      </c>
      <c r="Q1863" s="3" t="n">
        <v>272914.37</v>
      </c>
      <c r="R1863" s="3" t="n">
        <v>0.2803</v>
      </c>
      <c r="S1863" s="3" t="n">
        <v>0.139</v>
      </c>
      <c r="T1863" s="3" t="n">
        <v>-0.0005</v>
      </c>
    </row>
    <row r="1864" customFormat="false" ht="15" hidden="false" customHeight="true" outlineLevel="0" collapsed="false">
      <c r="A1864" s="3" t="s">
        <v>2829</v>
      </c>
      <c r="B1864" s="3" t="s">
        <v>404</v>
      </c>
      <c r="C1864" s="3" t="s">
        <v>68</v>
      </c>
      <c r="D1864" s="3" t="s">
        <v>61</v>
      </c>
      <c r="E1864" s="3" t="s">
        <v>33</v>
      </c>
      <c r="F1864" s="3" t="s">
        <v>62</v>
      </c>
      <c r="G1864" s="3" t="s">
        <v>104</v>
      </c>
      <c r="H1864" s="3" t="s">
        <v>56</v>
      </c>
      <c r="I1864" s="3" t="s">
        <v>188</v>
      </c>
      <c r="J1864" s="3" t="n">
        <v>15</v>
      </c>
      <c r="K1864" s="3" t="n">
        <v>8077.27</v>
      </c>
      <c r="L1864" s="3" t="n">
        <v>121159.05</v>
      </c>
      <c r="M1864" s="3" t="n">
        <v>0.097</v>
      </c>
      <c r="N1864" s="3" t="n">
        <v>11752.43</v>
      </c>
      <c r="O1864" s="3" t="n">
        <v>109406.62</v>
      </c>
      <c r="P1864" s="3" t="n">
        <v>72695.43</v>
      </c>
      <c r="Q1864" s="3" t="n">
        <v>36711.19</v>
      </c>
      <c r="R1864" s="3" t="n">
        <v>0.3355</v>
      </c>
      <c r="S1864" s="3" t="n">
        <v>0.1061</v>
      </c>
      <c r="T1864" s="3" t="n">
        <v>-0.0091</v>
      </c>
    </row>
    <row r="1865" customFormat="false" ht="15" hidden="false" customHeight="true" outlineLevel="0" collapsed="false">
      <c r="A1865" s="3" t="s">
        <v>2830</v>
      </c>
      <c r="B1865" s="3" t="s">
        <v>2280</v>
      </c>
      <c r="C1865" s="3" t="s">
        <v>113</v>
      </c>
      <c r="D1865" s="3" t="s">
        <v>103</v>
      </c>
      <c r="E1865" s="3" t="s">
        <v>24</v>
      </c>
      <c r="F1865" s="3" t="s">
        <v>62</v>
      </c>
      <c r="G1865" s="3" t="s">
        <v>84</v>
      </c>
      <c r="H1865" s="3" t="s">
        <v>64</v>
      </c>
      <c r="I1865" s="3" t="s">
        <v>90</v>
      </c>
      <c r="J1865" s="3" t="n">
        <v>23</v>
      </c>
      <c r="K1865" s="3" t="n">
        <v>7915.02</v>
      </c>
      <c r="L1865" s="3" t="n">
        <v>182045.46</v>
      </c>
      <c r="M1865" s="3" t="n">
        <v>0.0488</v>
      </c>
      <c r="N1865" s="3" t="n">
        <v>8883.82</v>
      </c>
      <c r="O1865" s="3" t="n">
        <v>173161.64</v>
      </c>
      <c r="P1865" s="3" t="n">
        <v>105586.37</v>
      </c>
      <c r="Q1865" s="3" t="n">
        <v>67575.27</v>
      </c>
      <c r="R1865" s="3" t="n">
        <v>0.3902</v>
      </c>
      <c r="S1865" s="3" t="n">
        <v>0.0422</v>
      </c>
      <c r="T1865" s="3" t="n">
        <v>0.0066</v>
      </c>
    </row>
    <row r="1866" customFormat="false" ht="15" hidden="false" customHeight="true" outlineLevel="0" collapsed="false">
      <c r="A1866" s="3" t="s">
        <v>2831</v>
      </c>
      <c r="B1866" s="3" t="s">
        <v>818</v>
      </c>
      <c r="C1866" s="3" t="s">
        <v>60</v>
      </c>
      <c r="D1866" s="3" t="s">
        <v>61</v>
      </c>
      <c r="E1866" s="3" t="s">
        <v>33</v>
      </c>
      <c r="F1866" s="3" t="s">
        <v>62</v>
      </c>
      <c r="G1866" s="3" t="s">
        <v>76</v>
      </c>
      <c r="H1866" s="3" t="s">
        <v>56</v>
      </c>
      <c r="I1866" s="3" t="s">
        <v>57</v>
      </c>
      <c r="J1866" s="3" t="n">
        <v>4</v>
      </c>
      <c r="K1866" s="3" t="n">
        <v>6233.58</v>
      </c>
      <c r="L1866" s="3" t="n">
        <v>24934.32</v>
      </c>
      <c r="M1866" s="3" t="n">
        <v>0.0663</v>
      </c>
      <c r="N1866" s="3" t="n">
        <v>1653.15</v>
      </c>
      <c r="O1866" s="3" t="n">
        <v>23281.17</v>
      </c>
      <c r="P1866" s="3" t="n">
        <v>14960.59</v>
      </c>
      <c r="Q1866" s="3" t="n">
        <v>8320.58</v>
      </c>
      <c r="R1866" s="3" t="n">
        <v>0.3574</v>
      </c>
      <c r="S1866" s="3" t="n">
        <v>0.0702</v>
      </c>
      <c r="T1866" s="3" t="n">
        <v>-0.0039</v>
      </c>
    </row>
    <row r="1867" customFormat="false" ht="15" hidden="false" customHeight="true" outlineLevel="0" collapsed="false">
      <c r="A1867" s="3" t="s">
        <v>2832</v>
      </c>
      <c r="B1867" s="3" t="s">
        <v>2833</v>
      </c>
      <c r="C1867" s="3" t="s">
        <v>120</v>
      </c>
      <c r="D1867" s="3" t="s">
        <v>103</v>
      </c>
      <c r="E1867" s="3" t="s">
        <v>24</v>
      </c>
      <c r="F1867" s="3" t="s">
        <v>62</v>
      </c>
      <c r="G1867" s="3" t="s">
        <v>63</v>
      </c>
      <c r="H1867" s="3" t="s">
        <v>27</v>
      </c>
      <c r="I1867" s="3" t="s">
        <v>117</v>
      </c>
      <c r="J1867" s="3" t="n">
        <v>3</v>
      </c>
      <c r="K1867" s="3" t="n">
        <v>17408.53</v>
      </c>
      <c r="L1867" s="3" t="n">
        <v>52225.59</v>
      </c>
      <c r="M1867" s="3" t="n">
        <v>0.0787</v>
      </c>
      <c r="N1867" s="3" t="n">
        <v>4110.15</v>
      </c>
      <c r="O1867" s="3" t="n">
        <v>48115.44</v>
      </c>
      <c r="P1867" s="3" t="n">
        <v>32379.87</v>
      </c>
      <c r="Q1867" s="3" t="n">
        <v>15735.57</v>
      </c>
      <c r="R1867" s="3" t="n">
        <v>0.327</v>
      </c>
      <c r="S1867" s="3" t="n">
        <v>0.0731</v>
      </c>
      <c r="T1867" s="3" t="n">
        <v>0.0056</v>
      </c>
    </row>
    <row r="1868" customFormat="false" ht="15" hidden="false" customHeight="true" outlineLevel="0" collapsed="false">
      <c r="A1868" s="3" t="s">
        <v>2834</v>
      </c>
      <c r="B1868" s="3" t="s">
        <v>587</v>
      </c>
      <c r="C1868" s="3" t="s">
        <v>46</v>
      </c>
      <c r="D1868" s="3" t="s">
        <v>54</v>
      </c>
      <c r="E1868" s="3" t="s">
        <v>24</v>
      </c>
      <c r="F1868" s="3" t="s">
        <v>40</v>
      </c>
      <c r="G1868" s="3" t="s">
        <v>84</v>
      </c>
      <c r="H1868" s="3" t="s">
        <v>27</v>
      </c>
      <c r="I1868" s="3" t="s">
        <v>117</v>
      </c>
      <c r="J1868" s="3" t="n">
        <v>17</v>
      </c>
      <c r="K1868" s="3" t="n">
        <v>14556.49</v>
      </c>
      <c r="L1868" s="3" t="n">
        <v>247460.33</v>
      </c>
      <c r="M1868" s="3" t="n">
        <v>0.0716</v>
      </c>
      <c r="N1868" s="3" t="n">
        <v>17718.16</v>
      </c>
      <c r="O1868" s="3" t="n">
        <v>229742.17</v>
      </c>
      <c r="P1868" s="3" t="n">
        <v>153425.4</v>
      </c>
      <c r="Q1868" s="3" t="n">
        <v>76316.77</v>
      </c>
      <c r="R1868" s="3" t="n">
        <v>0.3322</v>
      </c>
      <c r="S1868" s="3" t="n">
        <v>0.0674</v>
      </c>
      <c r="T1868" s="3" t="n">
        <v>0.0042</v>
      </c>
    </row>
    <row r="1869" customFormat="false" ht="15" hidden="false" customHeight="true" outlineLevel="0" collapsed="false">
      <c r="A1869" s="3" t="s">
        <v>2835</v>
      </c>
      <c r="B1869" s="3" t="s">
        <v>2610</v>
      </c>
      <c r="C1869" s="3" t="s">
        <v>113</v>
      </c>
      <c r="D1869" s="3" t="s">
        <v>61</v>
      </c>
      <c r="E1869" s="3" t="s">
        <v>33</v>
      </c>
      <c r="F1869" s="3" t="s">
        <v>62</v>
      </c>
      <c r="G1869" s="3" t="s">
        <v>26</v>
      </c>
      <c r="H1869" s="3" t="s">
        <v>64</v>
      </c>
      <c r="I1869" s="3" t="s">
        <v>90</v>
      </c>
      <c r="J1869" s="3" t="n">
        <v>43</v>
      </c>
      <c r="K1869" s="3" t="n">
        <v>10118.43</v>
      </c>
      <c r="L1869" s="3" t="n">
        <v>435092.49</v>
      </c>
      <c r="M1869" s="3" t="n">
        <v>0.0557</v>
      </c>
      <c r="N1869" s="3" t="n">
        <v>24234.65</v>
      </c>
      <c r="O1869" s="3" t="n">
        <v>410857.84</v>
      </c>
      <c r="P1869" s="3" t="n">
        <v>252353.64</v>
      </c>
      <c r="Q1869" s="3" t="n">
        <v>158504.2</v>
      </c>
      <c r="R1869" s="3" t="n">
        <v>0.3858</v>
      </c>
      <c r="S1869" s="3" t="n">
        <v>0.0458</v>
      </c>
      <c r="T1869" s="3" t="n">
        <v>0.0099</v>
      </c>
    </row>
    <row r="1870" customFormat="false" ht="15" hidden="false" customHeight="true" outlineLevel="0" collapsed="false">
      <c r="A1870" s="3" t="s">
        <v>2836</v>
      </c>
      <c r="B1870" s="3" t="s">
        <v>2837</v>
      </c>
      <c r="C1870" s="3" t="s">
        <v>68</v>
      </c>
      <c r="D1870" s="3" t="s">
        <v>75</v>
      </c>
      <c r="E1870" s="3" t="s">
        <v>39</v>
      </c>
      <c r="F1870" s="3" t="s">
        <v>25</v>
      </c>
      <c r="G1870" s="3" t="s">
        <v>55</v>
      </c>
      <c r="H1870" s="3" t="s">
        <v>27</v>
      </c>
      <c r="I1870" s="3" t="s">
        <v>173</v>
      </c>
      <c r="J1870" s="3" t="n">
        <v>12</v>
      </c>
      <c r="K1870" s="3" t="n">
        <v>25159.81</v>
      </c>
      <c r="L1870" s="3" t="n">
        <v>301917.72</v>
      </c>
      <c r="M1870" s="3" t="n">
        <v>0.0906</v>
      </c>
      <c r="N1870" s="3" t="n">
        <v>27353.75</v>
      </c>
      <c r="O1870" s="3" t="n">
        <v>274563.97</v>
      </c>
      <c r="P1870" s="3" t="n">
        <v>187188.99</v>
      </c>
      <c r="Q1870" s="3" t="n">
        <v>87374.98</v>
      </c>
      <c r="R1870" s="3" t="n">
        <v>0.3182</v>
      </c>
      <c r="S1870" s="3" t="n">
        <v>0.0978</v>
      </c>
      <c r="T1870" s="3" t="n">
        <v>-0.0072</v>
      </c>
    </row>
    <row r="1871" customFormat="false" ht="15" hidden="false" customHeight="true" outlineLevel="0" collapsed="false">
      <c r="A1871" s="3" t="s">
        <v>2838</v>
      </c>
      <c r="B1871" s="3" t="s">
        <v>432</v>
      </c>
      <c r="C1871" s="3" t="s">
        <v>31</v>
      </c>
      <c r="D1871" s="3" t="s">
        <v>47</v>
      </c>
      <c r="E1871" s="3" t="s">
        <v>48</v>
      </c>
      <c r="F1871" s="3" t="s">
        <v>25</v>
      </c>
      <c r="G1871" s="3" t="s">
        <v>26</v>
      </c>
      <c r="H1871" s="3" t="s">
        <v>64</v>
      </c>
      <c r="I1871" s="3" t="s">
        <v>145</v>
      </c>
      <c r="J1871" s="3" t="n">
        <v>47</v>
      </c>
      <c r="K1871" s="3" t="n">
        <v>10467.73</v>
      </c>
      <c r="L1871" s="3" t="n">
        <v>491983.31</v>
      </c>
      <c r="M1871" s="3" t="n">
        <v>0.1394</v>
      </c>
      <c r="N1871" s="3" t="n">
        <v>68582.47</v>
      </c>
      <c r="O1871" s="3" t="n">
        <v>423400.84</v>
      </c>
      <c r="P1871" s="3" t="n">
        <v>285350.32</v>
      </c>
      <c r="Q1871" s="3" t="n">
        <v>138050.52</v>
      </c>
      <c r="R1871" s="3" t="n">
        <v>0.3261</v>
      </c>
      <c r="S1871" s="3" t="n">
        <v>0.1477</v>
      </c>
      <c r="T1871" s="3" t="n">
        <v>-0.0083</v>
      </c>
    </row>
    <row r="1872" customFormat="false" ht="15" hidden="false" customHeight="true" outlineLevel="0" collapsed="false">
      <c r="A1872" s="3" t="s">
        <v>2839</v>
      </c>
      <c r="B1872" s="3" t="s">
        <v>2840</v>
      </c>
      <c r="C1872" s="3" t="s">
        <v>31</v>
      </c>
      <c r="D1872" s="3" t="s">
        <v>69</v>
      </c>
      <c r="E1872" s="3" t="s">
        <v>39</v>
      </c>
      <c r="F1872" s="3" t="s">
        <v>70</v>
      </c>
      <c r="G1872" s="3" t="s">
        <v>116</v>
      </c>
      <c r="H1872" s="3" t="s">
        <v>56</v>
      </c>
      <c r="I1872" s="3" t="s">
        <v>188</v>
      </c>
      <c r="J1872" s="3" t="n">
        <v>12</v>
      </c>
      <c r="K1872" s="3" t="n">
        <v>15569.22</v>
      </c>
      <c r="L1872" s="3" t="n">
        <v>186830.64</v>
      </c>
      <c r="M1872" s="3" t="n">
        <v>0.117</v>
      </c>
      <c r="N1872" s="3" t="n">
        <v>21859.18</v>
      </c>
      <c r="O1872" s="3" t="n">
        <v>164971.46</v>
      </c>
      <c r="P1872" s="3" t="n">
        <v>112098.38</v>
      </c>
      <c r="Q1872" s="3" t="n">
        <v>52873.08</v>
      </c>
      <c r="R1872" s="3" t="n">
        <v>0.3205</v>
      </c>
      <c r="S1872" s="3" t="n">
        <v>0.0946</v>
      </c>
      <c r="T1872" s="3" t="n">
        <v>0.0224</v>
      </c>
    </row>
    <row r="1873" customFormat="false" ht="15" hidden="false" customHeight="true" outlineLevel="0" collapsed="false">
      <c r="A1873" s="3" t="s">
        <v>2841</v>
      </c>
      <c r="B1873" s="3" t="s">
        <v>1684</v>
      </c>
      <c r="C1873" s="3" t="s">
        <v>31</v>
      </c>
      <c r="D1873" s="3" t="s">
        <v>69</v>
      </c>
      <c r="E1873" s="3" t="s">
        <v>39</v>
      </c>
      <c r="F1873" s="3" t="s">
        <v>70</v>
      </c>
      <c r="G1873" s="3" t="s">
        <v>26</v>
      </c>
      <c r="H1873" s="3" t="s">
        <v>56</v>
      </c>
      <c r="I1873" s="3" t="s">
        <v>57</v>
      </c>
      <c r="J1873" s="3" t="n">
        <v>45</v>
      </c>
      <c r="K1873" s="3" t="n">
        <v>2366.7</v>
      </c>
      <c r="L1873" s="3" t="n">
        <v>106501.5</v>
      </c>
      <c r="M1873" s="3" t="n">
        <v>0.0594</v>
      </c>
      <c r="N1873" s="3" t="n">
        <v>6326.19</v>
      </c>
      <c r="O1873" s="3" t="n">
        <v>100175.31</v>
      </c>
      <c r="P1873" s="3" t="n">
        <v>63900.9</v>
      </c>
      <c r="Q1873" s="3" t="n">
        <v>36274.41</v>
      </c>
      <c r="R1873" s="3" t="n">
        <v>0.3621</v>
      </c>
      <c r="S1873" s="3" t="n">
        <v>0.0547</v>
      </c>
      <c r="T1873" s="3" t="n">
        <v>0.0047</v>
      </c>
    </row>
    <row r="1874" customFormat="false" ht="15" hidden="false" customHeight="true" outlineLevel="0" collapsed="false">
      <c r="A1874" s="3" t="s">
        <v>2842</v>
      </c>
      <c r="B1874" s="3" t="s">
        <v>627</v>
      </c>
      <c r="C1874" s="3" t="s">
        <v>31</v>
      </c>
      <c r="D1874" s="3" t="s">
        <v>61</v>
      </c>
      <c r="E1874" s="3" t="s">
        <v>33</v>
      </c>
      <c r="F1874" s="3" t="s">
        <v>62</v>
      </c>
      <c r="G1874" s="3" t="s">
        <v>26</v>
      </c>
      <c r="H1874" s="3" t="s">
        <v>77</v>
      </c>
      <c r="I1874" s="3" t="s">
        <v>78</v>
      </c>
      <c r="J1874" s="3" t="n">
        <v>32</v>
      </c>
      <c r="K1874" s="3" t="n">
        <v>1493.23</v>
      </c>
      <c r="L1874" s="3" t="n">
        <v>47783.36</v>
      </c>
      <c r="M1874" s="3" t="n">
        <v>0.0418</v>
      </c>
      <c r="N1874" s="3" t="n">
        <v>1997.34</v>
      </c>
      <c r="O1874" s="3" t="n">
        <v>45786.02</v>
      </c>
      <c r="P1874" s="3" t="n">
        <v>32492.68</v>
      </c>
      <c r="Q1874" s="3" t="n">
        <v>13293.34</v>
      </c>
      <c r="R1874" s="3" t="n">
        <v>0.2903</v>
      </c>
      <c r="S1874" s="3" t="n">
        <v>0.0399</v>
      </c>
      <c r="T1874" s="3" t="n">
        <v>0.0019</v>
      </c>
    </row>
    <row r="1875" customFormat="false" ht="15" hidden="false" customHeight="true" outlineLevel="0" collapsed="false">
      <c r="A1875" s="3" t="s">
        <v>2843</v>
      </c>
      <c r="B1875" s="3" t="s">
        <v>370</v>
      </c>
      <c r="C1875" s="3" t="s">
        <v>37</v>
      </c>
      <c r="D1875" s="3" t="s">
        <v>75</v>
      </c>
      <c r="E1875" s="3" t="s">
        <v>39</v>
      </c>
      <c r="F1875" s="3" t="s">
        <v>25</v>
      </c>
      <c r="G1875" s="3" t="s">
        <v>104</v>
      </c>
      <c r="H1875" s="3" t="s">
        <v>27</v>
      </c>
      <c r="I1875" s="3" t="s">
        <v>50</v>
      </c>
      <c r="J1875" s="3" t="n">
        <v>10</v>
      </c>
      <c r="K1875" s="3" t="n">
        <v>20035.74</v>
      </c>
      <c r="L1875" s="3" t="n">
        <v>200357.4</v>
      </c>
      <c r="M1875" s="3" t="n">
        <v>0.1687</v>
      </c>
      <c r="N1875" s="3" t="n">
        <v>33800.29</v>
      </c>
      <c r="O1875" s="3" t="n">
        <v>166557.11</v>
      </c>
      <c r="P1875" s="3" t="n">
        <v>124221.59</v>
      </c>
      <c r="Q1875" s="3" t="n">
        <v>42335.52</v>
      </c>
      <c r="R1875" s="3" t="n">
        <v>0.2542</v>
      </c>
      <c r="S1875" s="3" t="n">
        <v>0.1515</v>
      </c>
      <c r="T1875" s="3" t="n">
        <v>0.0172</v>
      </c>
    </row>
    <row r="1876" customFormat="false" ht="15" hidden="false" customHeight="true" outlineLevel="0" collapsed="false">
      <c r="A1876" s="3" t="s">
        <v>2844</v>
      </c>
      <c r="B1876" s="3" t="s">
        <v>2795</v>
      </c>
      <c r="C1876" s="3" t="s">
        <v>93</v>
      </c>
      <c r="D1876" s="3" t="s">
        <v>75</v>
      </c>
      <c r="E1876" s="3" t="s">
        <v>39</v>
      </c>
      <c r="F1876" s="3" t="s">
        <v>25</v>
      </c>
      <c r="G1876" s="3" t="s">
        <v>71</v>
      </c>
      <c r="H1876" s="3" t="s">
        <v>27</v>
      </c>
      <c r="I1876" s="3" t="s">
        <v>173</v>
      </c>
      <c r="J1876" s="3" t="n">
        <v>24</v>
      </c>
      <c r="K1876" s="3" t="n">
        <v>35950.42</v>
      </c>
      <c r="L1876" s="3" t="n">
        <v>862810.08</v>
      </c>
      <c r="M1876" s="3" t="n">
        <v>0.0975</v>
      </c>
      <c r="N1876" s="3" t="n">
        <v>84123.98</v>
      </c>
      <c r="O1876" s="3" t="n">
        <v>778686.1</v>
      </c>
      <c r="P1876" s="3" t="n">
        <v>534942.25</v>
      </c>
      <c r="Q1876" s="3" t="n">
        <v>243743.85</v>
      </c>
      <c r="R1876" s="3" t="n">
        <v>0.313</v>
      </c>
      <c r="S1876" s="3" t="n">
        <v>0.1055</v>
      </c>
      <c r="T1876" s="3" t="n">
        <v>-0.008</v>
      </c>
    </row>
    <row r="1877" customFormat="false" ht="15" hidden="false" customHeight="true" outlineLevel="0" collapsed="false">
      <c r="A1877" s="3" t="s">
        <v>2845</v>
      </c>
      <c r="B1877" s="3" t="s">
        <v>2846</v>
      </c>
      <c r="C1877" s="3" t="s">
        <v>60</v>
      </c>
      <c r="D1877" s="3" t="s">
        <v>23</v>
      </c>
      <c r="E1877" s="3" t="s">
        <v>24</v>
      </c>
      <c r="F1877" s="3" t="s">
        <v>25</v>
      </c>
      <c r="G1877" s="3" t="s">
        <v>55</v>
      </c>
      <c r="H1877" s="3" t="s">
        <v>42</v>
      </c>
      <c r="I1877" s="3" t="s">
        <v>134</v>
      </c>
      <c r="J1877" s="3" t="n">
        <v>5</v>
      </c>
      <c r="K1877" s="3" t="n">
        <v>1026.19</v>
      </c>
      <c r="L1877" s="3" t="n">
        <v>5130.95</v>
      </c>
      <c r="M1877" s="3" t="n">
        <v>0.1577</v>
      </c>
      <c r="N1877" s="3" t="n">
        <v>809.15</v>
      </c>
      <c r="O1877" s="3" t="n">
        <v>4321.8</v>
      </c>
      <c r="P1877" s="3" t="n">
        <v>2822.02</v>
      </c>
      <c r="Q1877" s="3" t="n">
        <v>1499.78</v>
      </c>
      <c r="R1877" s="3" t="n">
        <v>0.347</v>
      </c>
      <c r="S1877" s="3" t="n">
        <v>0.1296</v>
      </c>
      <c r="T1877" s="3" t="n">
        <v>0.0281</v>
      </c>
    </row>
    <row r="1878" customFormat="false" ht="15" hidden="false" customHeight="true" outlineLevel="0" collapsed="false">
      <c r="A1878" s="3" t="s">
        <v>2847</v>
      </c>
      <c r="B1878" s="3" t="s">
        <v>1655</v>
      </c>
      <c r="C1878" s="3" t="s">
        <v>156</v>
      </c>
      <c r="D1878" s="3" t="s">
        <v>38</v>
      </c>
      <c r="E1878" s="3" t="s">
        <v>39</v>
      </c>
      <c r="F1878" s="3" t="s">
        <v>40</v>
      </c>
      <c r="G1878" s="3" t="s">
        <v>55</v>
      </c>
      <c r="H1878" s="3" t="s">
        <v>64</v>
      </c>
      <c r="I1878" s="3" t="s">
        <v>145</v>
      </c>
      <c r="J1878" s="3" t="n">
        <v>30</v>
      </c>
      <c r="K1878" s="3" t="n">
        <v>6581.37</v>
      </c>
      <c r="L1878" s="3" t="n">
        <v>197441.1</v>
      </c>
      <c r="M1878" s="3" t="n">
        <v>0.0677</v>
      </c>
      <c r="N1878" s="3" t="n">
        <v>13366.76</v>
      </c>
      <c r="O1878" s="3" t="n">
        <v>184074.34</v>
      </c>
      <c r="P1878" s="3" t="n">
        <v>114515.84</v>
      </c>
      <c r="Q1878" s="3" t="n">
        <v>69558.5</v>
      </c>
      <c r="R1878" s="3" t="n">
        <v>0.3779</v>
      </c>
      <c r="S1878" s="3" t="n">
        <v>0.0655</v>
      </c>
      <c r="T1878" s="3" t="n">
        <v>0.0022</v>
      </c>
    </row>
    <row r="1879" customFormat="false" ht="15" hidden="false" customHeight="true" outlineLevel="0" collapsed="false">
      <c r="A1879" s="3" t="s">
        <v>2848</v>
      </c>
      <c r="B1879" s="3" t="s">
        <v>1255</v>
      </c>
      <c r="C1879" s="3" t="s">
        <v>156</v>
      </c>
      <c r="D1879" s="3" t="s">
        <v>107</v>
      </c>
      <c r="E1879" s="3" t="s">
        <v>33</v>
      </c>
      <c r="F1879" s="3" t="s">
        <v>70</v>
      </c>
      <c r="G1879" s="3" t="s">
        <v>63</v>
      </c>
      <c r="H1879" s="3" t="s">
        <v>42</v>
      </c>
      <c r="I1879" s="3" t="s">
        <v>43</v>
      </c>
      <c r="J1879" s="3" t="n">
        <v>35</v>
      </c>
      <c r="K1879" s="3" t="n">
        <v>2682.03</v>
      </c>
      <c r="L1879" s="3" t="n">
        <v>93871.05</v>
      </c>
      <c r="M1879" s="3" t="n">
        <v>0.0444</v>
      </c>
      <c r="N1879" s="3" t="n">
        <v>4167.87</v>
      </c>
      <c r="O1879" s="3" t="n">
        <v>89703.18</v>
      </c>
      <c r="P1879" s="3" t="n">
        <v>51629.08</v>
      </c>
      <c r="Q1879" s="3" t="n">
        <v>38074.1</v>
      </c>
      <c r="R1879" s="3" t="n">
        <v>0.4244</v>
      </c>
      <c r="S1879" s="3" t="n">
        <v>0.0483</v>
      </c>
      <c r="T1879" s="3" t="n">
        <v>-0.0039</v>
      </c>
    </row>
    <row r="1880" customFormat="false" ht="15" hidden="false" customHeight="true" outlineLevel="0" collapsed="false">
      <c r="A1880" s="3" t="s">
        <v>2849</v>
      </c>
      <c r="B1880" s="3" t="s">
        <v>2071</v>
      </c>
      <c r="C1880" s="3" t="s">
        <v>53</v>
      </c>
      <c r="D1880" s="3" t="s">
        <v>75</v>
      </c>
      <c r="E1880" s="3" t="s">
        <v>39</v>
      </c>
      <c r="F1880" s="3" t="s">
        <v>25</v>
      </c>
      <c r="G1880" s="3" t="s">
        <v>104</v>
      </c>
      <c r="H1880" s="3" t="s">
        <v>27</v>
      </c>
      <c r="I1880" s="3" t="s">
        <v>50</v>
      </c>
      <c r="J1880" s="3" t="n">
        <v>45</v>
      </c>
      <c r="K1880" s="3" t="n">
        <v>38444.8</v>
      </c>
      <c r="L1880" s="3" t="n">
        <v>1730016</v>
      </c>
      <c r="M1880" s="3" t="n">
        <v>0.2012</v>
      </c>
      <c r="N1880" s="3" t="n">
        <v>348079.22</v>
      </c>
      <c r="O1880" s="3" t="n">
        <v>1381936.78</v>
      </c>
      <c r="P1880" s="3" t="n">
        <v>1072609.92</v>
      </c>
      <c r="Q1880" s="3" t="n">
        <v>309326.86</v>
      </c>
      <c r="R1880" s="3" t="n">
        <v>0.2238</v>
      </c>
      <c r="S1880" s="3" t="n">
        <v>0.1915</v>
      </c>
      <c r="T1880" s="3" t="n">
        <v>0.0097</v>
      </c>
    </row>
    <row r="1881" customFormat="false" ht="15" hidden="false" customHeight="true" outlineLevel="0" collapsed="false">
      <c r="A1881" s="3" t="s">
        <v>2850</v>
      </c>
      <c r="B1881" s="3" t="s">
        <v>685</v>
      </c>
      <c r="C1881" s="3" t="s">
        <v>22</v>
      </c>
      <c r="D1881" s="3" t="s">
        <v>54</v>
      </c>
      <c r="E1881" s="3" t="s">
        <v>24</v>
      </c>
      <c r="F1881" s="3" t="s">
        <v>40</v>
      </c>
      <c r="G1881" s="3" t="s">
        <v>55</v>
      </c>
      <c r="H1881" s="3" t="s">
        <v>64</v>
      </c>
      <c r="I1881" s="3" t="s">
        <v>145</v>
      </c>
      <c r="J1881" s="3" t="n">
        <v>48</v>
      </c>
      <c r="K1881" s="3" t="n">
        <v>6039.49</v>
      </c>
      <c r="L1881" s="3" t="n">
        <v>289895.52</v>
      </c>
      <c r="M1881" s="3" t="n">
        <v>0.0605</v>
      </c>
      <c r="N1881" s="3" t="n">
        <v>17538.68</v>
      </c>
      <c r="O1881" s="3" t="n">
        <v>272356.84</v>
      </c>
      <c r="P1881" s="3" t="n">
        <v>168139.4</v>
      </c>
      <c r="Q1881" s="3" t="n">
        <v>104217.44</v>
      </c>
      <c r="R1881" s="3" t="n">
        <v>0.3827</v>
      </c>
      <c r="S1881" s="3" t="n">
        <v>0.0601</v>
      </c>
      <c r="T1881" s="3" t="n">
        <v>0.0004</v>
      </c>
    </row>
    <row r="1882" customFormat="false" ht="15" hidden="false" customHeight="true" outlineLevel="0" collapsed="false">
      <c r="A1882" s="3" t="s">
        <v>2851</v>
      </c>
      <c r="B1882" s="3" t="s">
        <v>2852</v>
      </c>
      <c r="C1882" s="3" t="s">
        <v>156</v>
      </c>
      <c r="D1882" s="3" t="s">
        <v>54</v>
      </c>
      <c r="E1882" s="3" t="s">
        <v>24</v>
      </c>
      <c r="F1882" s="3" t="s">
        <v>40</v>
      </c>
      <c r="G1882" s="3" t="s">
        <v>71</v>
      </c>
      <c r="H1882" s="3" t="s">
        <v>42</v>
      </c>
      <c r="I1882" s="3" t="s">
        <v>134</v>
      </c>
      <c r="J1882" s="3" t="n">
        <v>30</v>
      </c>
      <c r="K1882" s="3" t="n">
        <v>2409.92</v>
      </c>
      <c r="L1882" s="3" t="n">
        <v>72297.6</v>
      </c>
      <c r="M1882" s="3" t="n">
        <v>0.0781</v>
      </c>
      <c r="N1882" s="3" t="n">
        <v>5646.44</v>
      </c>
      <c r="O1882" s="3" t="n">
        <v>66651.16</v>
      </c>
      <c r="P1882" s="3" t="n">
        <v>39763.68</v>
      </c>
      <c r="Q1882" s="3" t="n">
        <v>26887.48</v>
      </c>
      <c r="R1882" s="3" t="n">
        <v>0.4034</v>
      </c>
      <c r="S1882" s="3" t="n">
        <v>0.0788</v>
      </c>
      <c r="T1882" s="3" t="n">
        <v>-0.0007</v>
      </c>
    </row>
    <row r="1883" customFormat="false" ht="15" hidden="false" customHeight="true" outlineLevel="0" collapsed="false">
      <c r="A1883" s="3" t="s">
        <v>2853</v>
      </c>
      <c r="B1883" s="3" t="s">
        <v>1086</v>
      </c>
      <c r="C1883" s="3" t="s">
        <v>113</v>
      </c>
      <c r="D1883" s="3" t="s">
        <v>83</v>
      </c>
      <c r="E1883" s="3" t="s">
        <v>48</v>
      </c>
      <c r="F1883" s="3" t="s">
        <v>62</v>
      </c>
      <c r="G1883" s="3" t="s">
        <v>41</v>
      </c>
      <c r="H1883" s="3" t="s">
        <v>27</v>
      </c>
      <c r="I1883" s="3" t="s">
        <v>50</v>
      </c>
      <c r="J1883" s="3" t="n">
        <v>35</v>
      </c>
      <c r="K1883" s="3" t="n">
        <v>15528.99</v>
      </c>
      <c r="L1883" s="3" t="n">
        <v>543514.65</v>
      </c>
      <c r="M1883" s="3" t="n">
        <v>0.0857</v>
      </c>
      <c r="N1883" s="3" t="n">
        <v>46579.21</v>
      </c>
      <c r="O1883" s="3" t="n">
        <v>496935.44</v>
      </c>
      <c r="P1883" s="3" t="n">
        <v>336979.08</v>
      </c>
      <c r="Q1883" s="3" t="n">
        <v>159956.36</v>
      </c>
      <c r="R1883" s="3" t="n">
        <v>0.3219</v>
      </c>
      <c r="S1883" s="3" t="n">
        <v>0.0824</v>
      </c>
      <c r="T1883" s="3" t="n">
        <v>0.0033</v>
      </c>
    </row>
    <row r="1884" customFormat="false" ht="15" hidden="false" customHeight="true" outlineLevel="0" collapsed="false">
      <c r="A1884" s="3" t="s">
        <v>2854</v>
      </c>
      <c r="B1884" s="3" t="s">
        <v>535</v>
      </c>
      <c r="C1884" s="3" t="s">
        <v>22</v>
      </c>
      <c r="D1884" s="3" t="s">
        <v>23</v>
      </c>
      <c r="E1884" s="3" t="s">
        <v>24</v>
      </c>
      <c r="F1884" s="3" t="s">
        <v>25</v>
      </c>
      <c r="G1884" s="3" t="s">
        <v>55</v>
      </c>
      <c r="H1884" s="3" t="s">
        <v>64</v>
      </c>
      <c r="I1884" s="3" t="s">
        <v>65</v>
      </c>
      <c r="J1884" s="3" t="n">
        <v>25</v>
      </c>
      <c r="K1884" s="3" t="n">
        <v>7068.06</v>
      </c>
      <c r="L1884" s="3" t="n">
        <v>176701.5</v>
      </c>
      <c r="M1884" s="3" t="n">
        <v>0.1861</v>
      </c>
      <c r="N1884" s="3" t="n">
        <v>32884.15</v>
      </c>
      <c r="O1884" s="3" t="n">
        <v>143817.35</v>
      </c>
      <c r="P1884" s="3" t="n">
        <v>102486.87</v>
      </c>
      <c r="Q1884" s="3" t="n">
        <v>41330.48</v>
      </c>
      <c r="R1884" s="3" t="n">
        <v>0.2874</v>
      </c>
      <c r="S1884" s="3" t="n">
        <v>0.189</v>
      </c>
      <c r="T1884" s="3" t="n">
        <v>-0.0029</v>
      </c>
    </row>
    <row r="1885" customFormat="false" ht="15" hidden="false" customHeight="true" outlineLevel="0" collapsed="false">
      <c r="A1885" s="3" t="s">
        <v>2855</v>
      </c>
      <c r="B1885" s="3" t="s">
        <v>170</v>
      </c>
      <c r="C1885" s="3" t="s">
        <v>31</v>
      </c>
      <c r="D1885" s="3" t="s">
        <v>23</v>
      </c>
      <c r="E1885" s="3" t="s">
        <v>24</v>
      </c>
      <c r="F1885" s="3" t="s">
        <v>25</v>
      </c>
      <c r="G1885" s="3" t="s">
        <v>55</v>
      </c>
      <c r="H1885" s="3" t="s">
        <v>77</v>
      </c>
      <c r="I1885" s="3" t="s">
        <v>78</v>
      </c>
      <c r="J1885" s="3" t="n">
        <v>25</v>
      </c>
      <c r="K1885" s="3" t="n">
        <v>3754.55</v>
      </c>
      <c r="L1885" s="3" t="n">
        <v>93863.75</v>
      </c>
      <c r="M1885" s="3" t="n">
        <v>0.1657</v>
      </c>
      <c r="N1885" s="3" t="n">
        <v>15553.22</v>
      </c>
      <c r="O1885" s="3" t="n">
        <v>78310.53</v>
      </c>
      <c r="P1885" s="3" t="n">
        <v>63827.35</v>
      </c>
      <c r="Q1885" s="3" t="n">
        <v>14483.18</v>
      </c>
      <c r="R1885" s="3" t="n">
        <v>0.1849</v>
      </c>
      <c r="S1885" s="3" t="n">
        <v>0.1577</v>
      </c>
      <c r="T1885" s="3" t="n">
        <v>0.008</v>
      </c>
    </row>
    <row r="1886" customFormat="false" ht="15" hidden="false" customHeight="true" outlineLevel="0" collapsed="false">
      <c r="A1886" s="3" t="s">
        <v>2856</v>
      </c>
      <c r="B1886" s="3" t="s">
        <v>1631</v>
      </c>
      <c r="C1886" s="3" t="s">
        <v>156</v>
      </c>
      <c r="D1886" s="3" t="s">
        <v>97</v>
      </c>
      <c r="E1886" s="3" t="s">
        <v>48</v>
      </c>
      <c r="F1886" s="3" t="s">
        <v>40</v>
      </c>
      <c r="G1886" s="3" t="s">
        <v>49</v>
      </c>
      <c r="H1886" s="3" t="s">
        <v>64</v>
      </c>
      <c r="I1886" s="3" t="s">
        <v>108</v>
      </c>
      <c r="J1886" s="3" t="n">
        <v>13</v>
      </c>
      <c r="K1886" s="3" t="n">
        <v>7645.05</v>
      </c>
      <c r="L1886" s="3" t="n">
        <v>99385.65</v>
      </c>
      <c r="M1886" s="3" t="n">
        <v>0.0547</v>
      </c>
      <c r="N1886" s="3" t="n">
        <v>5436.4</v>
      </c>
      <c r="O1886" s="3" t="n">
        <v>93949.25</v>
      </c>
      <c r="P1886" s="3" t="n">
        <v>57643.68</v>
      </c>
      <c r="Q1886" s="3" t="n">
        <v>36305.57</v>
      </c>
      <c r="R1886" s="3" t="n">
        <v>0.3864</v>
      </c>
      <c r="S1886" s="3" t="n">
        <v>0.0567</v>
      </c>
      <c r="T1886" s="3" t="n">
        <v>-0.002</v>
      </c>
    </row>
    <row r="1887" customFormat="false" ht="15" hidden="false" customHeight="true" outlineLevel="0" collapsed="false">
      <c r="A1887" s="3" t="s">
        <v>2857</v>
      </c>
      <c r="B1887" s="3" t="s">
        <v>2787</v>
      </c>
      <c r="C1887" s="3" t="s">
        <v>53</v>
      </c>
      <c r="D1887" s="3" t="s">
        <v>107</v>
      </c>
      <c r="E1887" s="3" t="s">
        <v>33</v>
      </c>
      <c r="F1887" s="3" t="s">
        <v>70</v>
      </c>
      <c r="G1887" s="3" t="s">
        <v>100</v>
      </c>
      <c r="H1887" s="3" t="s">
        <v>42</v>
      </c>
      <c r="I1887" s="3" t="s">
        <v>72</v>
      </c>
      <c r="J1887" s="3" t="n">
        <v>42</v>
      </c>
      <c r="K1887" s="3" t="n">
        <v>502.29</v>
      </c>
      <c r="L1887" s="3" t="n">
        <v>21096.18</v>
      </c>
      <c r="M1887" s="3" t="n">
        <v>0.0393</v>
      </c>
      <c r="N1887" s="3" t="n">
        <v>829.08</v>
      </c>
      <c r="O1887" s="3" t="n">
        <v>20267.1</v>
      </c>
      <c r="P1887" s="3" t="n">
        <v>11602.9</v>
      </c>
      <c r="Q1887" s="3" t="n">
        <v>8664.2</v>
      </c>
      <c r="R1887" s="3" t="n">
        <v>0.4275</v>
      </c>
      <c r="S1887" s="3" t="n">
        <v>0.0358</v>
      </c>
      <c r="T1887" s="3" t="n">
        <v>0.0035</v>
      </c>
    </row>
    <row r="1888" customFormat="false" ht="15" hidden="false" customHeight="true" outlineLevel="0" collapsed="false">
      <c r="A1888" s="3" t="s">
        <v>2858</v>
      </c>
      <c r="B1888" s="3" t="s">
        <v>130</v>
      </c>
      <c r="C1888" s="3" t="s">
        <v>46</v>
      </c>
      <c r="D1888" s="3" t="s">
        <v>97</v>
      </c>
      <c r="E1888" s="3" t="s">
        <v>48</v>
      </c>
      <c r="F1888" s="3" t="s">
        <v>40</v>
      </c>
      <c r="G1888" s="3" t="s">
        <v>71</v>
      </c>
      <c r="H1888" s="3" t="s">
        <v>42</v>
      </c>
      <c r="I1888" s="3" t="s">
        <v>43</v>
      </c>
      <c r="J1888" s="3" t="n">
        <v>24</v>
      </c>
      <c r="K1888" s="3" t="n">
        <v>3631.51</v>
      </c>
      <c r="L1888" s="3" t="n">
        <v>87156.24</v>
      </c>
      <c r="M1888" s="3" t="n">
        <v>0.0678</v>
      </c>
      <c r="N1888" s="3" t="n">
        <v>5909.19</v>
      </c>
      <c r="O1888" s="3" t="n">
        <v>81247.05</v>
      </c>
      <c r="P1888" s="3" t="n">
        <v>47935.93</v>
      </c>
      <c r="Q1888" s="3" t="n">
        <v>33311.12</v>
      </c>
      <c r="R1888" s="3" t="n">
        <v>0.41</v>
      </c>
      <c r="S1888" s="3" t="n">
        <v>0.062</v>
      </c>
      <c r="T1888" s="3" t="n">
        <v>0.0058</v>
      </c>
    </row>
    <row r="1889" customFormat="false" ht="15" hidden="false" customHeight="true" outlineLevel="0" collapsed="false">
      <c r="A1889" s="3" t="s">
        <v>2859</v>
      </c>
      <c r="B1889" s="3" t="s">
        <v>2860</v>
      </c>
      <c r="C1889" s="3" t="s">
        <v>60</v>
      </c>
      <c r="D1889" s="3" t="s">
        <v>38</v>
      </c>
      <c r="E1889" s="3" t="s">
        <v>39</v>
      </c>
      <c r="F1889" s="3" t="s">
        <v>40</v>
      </c>
      <c r="G1889" s="3" t="s">
        <v>84</v>
      </c>
      <c r="H1889" s="3" t="s">
        <v>42</v>
      </c>
      <c r="I1889" s="3" t="s">
        <v>72</v>
      </c>
      <c r="J1889" s="3" t="n">
        <v>2</v>
      </c>
      <c r="K1889" s="3" t="n">
        <v>2492.18</v>
      </c>
      <c r="L1889" s="3" t="n">
        <v>4984.36</v>
      </c>
      <c r="M1889" s="3" t="n">
        <v>0.0637</v>
      </c>
      <c r="N1889" s="3" t="n">
        <v>317.5</v>
      </c>
      <c r="O1889" s="3" t="n">
        <v>4666.86</v>
      </c>
      <c r="P1889" s="3" t="n">
        <v>2741.4</v>
      </c>
      <c r="Q1889" s="3" t="n">
        <v>1925.46</v>
      </c>
      <c r="R1889" s="3" t="n">
        <v>0.4126</v>
      </c>
      <c r="S1889" s="3" t="n">
        <v>0.0563</v>
      </c>
      <c r="T1889" s="3" t="n">
        <v>0.0074</v>
      </c>
    </row>
    <row r="1890" customFormat="false" ht="15" hidden="false" customHeight="true" outlineLevel="0" collapsed="false">
      <c r="A1890" s="3" t="s">
        <v>2861</v>
      </c>
      <c r="B1890" s="3" t="s">
        <v>469</v>
      </c>
      <c r="C1890" s="3" t="s">
        <v>46</v>
      </c>
      <c r="D1890" s="3" t="s">
        <v>107</v>
      </c>
      <c r="E1890" s="3" t="s">
        <v>33</v>
      </c>
      <c r="F1890" s="3" t="s">
        <v>70</v>
      </c>
      <c r="G1890" s="3" t="s">
        <v>49</v>
      </c>
      <c r="H1890" s="3" t="s">
        <v>64</v>
      </c>
      <c r="I1890" s="3" t="s">
        <v>145</v>
      </c>
      <c r="J1890" s="3" t="n">
        <v>12</v>
      </c>
      <c r="K1890" s="3" t="n">
        <v>5414.9</v>
      </c>
      <c r="L1890" s="3" t="n">
        <v>64978.8</v>
      </c>
      <c r="M1890" s="3" t="n">
        <v>0.0767</v>
      </c>
      <c r="N1890" s="3" t="n">
        <v>4983.87</v>
      </c>
      <c r="O1890" s="3" t="n">
        <v>59994.93</v>
      </c>
      <c r="P1890" s="3" t="n">
        <v>37687.7</v>
      </c>
      <c r="Q1890" s="3" t="n">
        <v>22307.23</v>
      </c>
      <c r="R1890" s="3" t="n">
        <v>0.3718</v>
      </c>
      <c r="S1890" s="3" t="n">
        <v>0.072</v>
      </c>
      <c r="T1890" s="3" t="n">
        <v>0.0047</v>
      </c>
    </row>
    <row r="1891" customFormat="false" ht="15" hidden="false" customHeight="true" outlineLevel="0" collapsed="false">
      <c r="A1891" s="3" t="s">
        <v>2862</v>
      </c>
      <c r="B1891" s="3" t="s">
        <v>1439</v>
      </c>
      <c r="C1891" s="3" t="s">
        <v>120</v>
      </c>
      <c r="D1891" s="3" t="s">
        <v>47</v>
      </c>
      <c r="E1891" s="3" t="s">
        <v>48</v>
      </c>
      <c r="F1891" s="3" t="s">
        <v>25</v>
      </c>
      <c r="G1891" s="3" t="s">
        <v>49</v>
      </c>
      <c r="H1891" s="3" t="s">
        <v>64</v>
      </c>
      <c r="I1891" s="3" t="s">
        <v>108</v>
      </c>
      <c r="J1891" s="3" t="n">
        <v>40</v>
      </c>
      <c r="K1891" s="3" t="n">
        <v>10438.22</v>
      </c>
      <c r="L1891" s="3" t="n">
        <v>417528.8</v>
      </c>
      <c r="M1891" s="3" t="n">
        <v>0.1358</v>
      </c>
      <c r="N1891" s="3" t="n">
        <v>56700.41</v>
      </c>
      <c r="O1891" s="3" t="n">
        <v>360828.39</v>
      </c>
      <c r="P1891" s="3" t="n">
        <v>242166.7</v>
      </c>
      <c r="Q1891" s="3" t="n">
        <v>118661.69</v>
      </c>
      <c r="R1891" s="3" t="n">
        <v>0.3289</v>
      </c>
      <c r="S1891" s="3" t="n">
        <v>0.1365</v>
      </c>
      <c r="T1891" s="3" t="n">
        <v>-0.0007</v>
      </c>
    </row>
    <row r="1892" customFormat="false" ht="15" hidden="false" customHeight="true" outlineLevel="0" collapsed="false">
      <c r="A1892" s="3" t="s">
        <v>2863</v>
      </c>
      <c r="B1892" s="3" t="s">
        <v>2395</v>
      </c>
      <c r="C1892" s="3" t="s">
        <v>113</v>
      </c>
      <c r="D1892" s="3" t="s">
        <v>97</v>
      </c>
      <c r="E1892" s="3" t="s">
        <v>48</v>
      </c>
      <c r="F1892" s="3" t="s">
        <v>40</v>
      </c>
      <c r="G1892" s="3" t="s">
        <v>63</v>
      </c>
      <c r="H1892" s="3" t="s">
        <v>56</v>
      </c>
      <c r="I1892" s="3" t="s">
        <v>57</v>
      </c>
      <c r="J1892" s="3" t="n">
        <v>15</v>
      </c>
      <c r="K1892" s="3" t="n">
        <v>15284.93</v>
      </c>
      <c r="L1892" s="3" t="n">
        <v>229273.95</v>
      </c>
      <c r="M1892" s="3" t="n">
        <v>0.0733</v>
      </c>
      <c r="N1892" s="3" t="n">
        <v>16805.78</v>
      </c>
      <c r="O1892" s="3" t="n">
        <v>212468.17</v>
      </c>
      <c r="P1892" s="3" t="n">
        <v>137564.37</v>
      </c>
      <c r="Q1892" s="3" t="n">
        <v>74903.8</v>
      </c>
      <c r="R1892" s="3" t="n">
        <v>0.3525</v>
      </c>
      <c r="S1892" s="3" t="n">
        <v>0.0707</v>
      </c>
      <c r="T1892" s="3" t="n">
        <v>0.0026</v>
      </c>
    </row>
    <row r="1893" customFormat="false" ht="15" hidden="false" customHeight="true" outlineLevel="0" collapsed="false">
      <c r="A1893" s="3" t="s">
        <v>2864</v>
      </c>
      <c r="B1893" s="3" t="s">
        <v>2865</v>
      </c>
      <c r="C1893" s="3" t="s">
        <v>37</v>
      </c>
      <c r="D1893" s="3" t="s">
        <v>38</v>
      </c>
      <c r="E1893" s="3" t="s">
        <v>39</v>
      </c>
      <c r="F1893" s="3" t="s">
        <v>40</v>
      </c>
      <c r="G1893" s="3" t="s">
        <v>63</v>
      </c>
      <c r="H1893" s="3" t="s">
        <v>27</v>
      </c>
      <c r="I1893" s="3" t="s">
        <v>50</v>
      </c>
      <c r="J1893" s="3" t="n">
        <v>6</v>
      </c>
      <c r="K1893" s="3" t="n">
        <v>13261.49</v>
      </c>
      <c r="L1893" s="3" t="n">
        <v>79568.94</v>
      </c>
      <c r="M1893" s="3" t="n">
        <v>0.0642</v>
      </c>
      <c r="N1893" s="3" t="n">
        <v>5108.33</v>
      </c>
      <c r="O1893" s="3" t="n">
        <v>74460.61</v>
      </c>
      <c r="P1893" s="3" t="n">
        <v>49332.74</v>
      </c>
      <c r="Q1893" s="3" t="n">
        <v>25127.87</v>
      </c>
      <c r="R1893" s="3" t="n">
        <v>0.3375</v>
      </c>
      <c r="S1893" s="3" t="n">
        <v>0.055</v>
      </c>
      <c r="T1893" s="3" t="n">
        <v>0.0092</v>
      </c>
    </row>
    <row r="1894" customFormat="false" ht="15" hidden="false" customHeight="true" outlineLevel="0" collapsed="false">
      <c r="A1894" s="3" t="s">
        <v>2866</v>
      </c>
      <c r="B1894" s="3" t="s">
        <v>2867</v>
      </c>
      <c r="C1894" s="3" t="s">
        <v>113</v>
      </c>
      <c r="D1894" s="3" t="s">
        <v>103</v>
      </c>
      <c r="E1894" s="3" t="s">
        <v>24</v>
      </c>
      <c r="F1894" s="3" t="s">
        <v>62</v>
      </c>
      <c r="G1894" s="3" t="s">
        <v>49</v>
      </c>
      <c r="H1894" s="3" t="s">
        <v>77</v>
      </c>
      <c r="I1894" s="3" t="s">
        <v>131</v>
      </c>
      <c r="J1894" s="3" t="n">
        <v>37</v>
      </c>
      <c r="K1894" s="3" t="n">
        <v>3067.57</v>
      </c>
      <c r="L1894" s="3" t="n">
        <v>113500.09</v>
      </c>
      <c r="M1894" s="3" t="n">
        <v>0.0386</v>
      </c>
      <c r="N1894" s="3" t="n">
        <v>4381.1</v>
      </c>
      <c r="O1894" s="3" t="n">
        <v>109118.99</v>
      </c>
      <c r="P1894" s="3" t="n">
        <v>77180.06</v>
      </c>
      <c r="Q1894" s="3" t="n">
        <v>31938.93</v>
      </c>
      <c r="R1894" s="3" t="n">
        <v>0.2927</v>
      </c>
      <c r="S1894" s="3" t="n">
        <v>0.0409</v>
      </c>
      <c r="T1894" s="3" t="n">
        <v>-0.0023</v>
      </c>
    </row>
    <row r="1895" customFormat="false" ht="15" hidden="false" customHeight="true" outlineLevel="0" collapsed="false">
      <c r="A1895" s="3" t="s">
        <v>2868</v>
      </c>
      <c r="B1895" s="3" t="s">
        <v>2869</v>
      </c>
      <c r="C1895" s="3" t="s">
        <v>68</v>
      </c>
      <c r="D1895" s="3" t="s">
        <v>69</v>
      </c>
      <c r="E1895" s="3" t="s">
        <v>39</v>
      </c>
      <c r="F1895" s="3" t="s">
        <v>70</v>
      </c>
      <c r="G1895" s="3" t="s">
        <v>55</v>
      </c>
      <c r="H1895" s="3" t="s">
        <v>42</v>
      </c>
      <c r="I1895" s="3" t="s">
        <v>72</v>
      </c>
      <c r="J1895" s="3" t="n">
        <v>24</v>
      </c>
      <c r="K1895" s="3" t="n">
        <v>3235.89</v>
      </c>
      <c r="L1895" s="3" t="n">
        <v>77661.36</v>
      </c>
      <c r="M1895" s="3" t="n">
        <v>0.0351</v>
      </c>
      <c r="N1895" s="3" t="n">
        <v>2725.91</v>
      </c>
      <c r="O1895" s="3" t="n">
        <v>74935.45</v>
      </c>
      <c r="P1895" s="3" t="n">
        <v>42713.75</v>
      </c>
      <c r="Q1895" s="3" t="n">
        <v>32221.7</v>
      </c>
      <c r="R1895" s="3" t="n">
        <v>0.43</v>
      </c>
      <c r="S1895" s="3" t="n">
        <v>0.0292</v>
      </c>
      <c r="T1895" s="3" t="n">
        <v>0.0059</v>
      </c>
    </row>
    <row r="1896" customFormat="false" ht="15" hidden="false" customHeight="true" outlineLevel="0" collapsed="false">
      <c r="A1896" s="3" t="s">
        <v>2870</v>
      </c>
      <c r="B1896" s="3" t="s">
        <v>82</v>
      </c>
      <c r="C1896" s="3" t="s">
        <v>53</v>
      </c>
      <c r="D1896" s="3" t="s">
        <v>97</v>
      </c>
      <c r="E1896" s="3" t="s">
        <v>48</v>
      </c>
      <c r="F1896" s="3" t="s">
        <v>40</v>
      </c>
      <c r="G1896" s="3" t="s">
        <v>49</v>
      </c>
      <c r="H1896" s="3" t="s">
        <v>77</v>
      </c>
      <c r="I1896" s="3" t="s">
        <v>78</v>
      </c>
      <c r="J1896" s="3" t="n">
        <v>42</v>
      </c>
      <c r="K1896" s="3" t="n">
        <v>1323.16</v>
      </c>
      <c r="L1896" s="3" t="n">
        <v>55572.72</v>
      </c>
      <c r="M1896" s="3" t="n">
        <v>0.0545</v>
      </c>
      <c r="N1896" s="3" t="n">
        <v>3028.71</v>
      </c>
      <c r="O1896" s="3" t="n">
        <v>52544.01</v>
      </c>
      <c r="P1896" s="3" t="n">
        <v>37789.45</v>
      </c>
      <c r="Q1896" s="3" t="n">
        <v>14754.56</v>
      </c>
      <c r="R1896" s="3" t="n">
        <v>0.2808</v>
      </c>
      <c r="S1896" s="3" t="n">
        <v>0.0592</v>
      </c>
      <c r="T1896" s="3" t="n">
        <v>-0.0047</v>
      </c>
    </row>
    <row r="1897" customFormat="false" ht="15" hidden="false" customHeight="true" outlineLevel="0" collapsed="false">
      <c r="A1897" s="3" t="s">
        <v>2871</v>
      </c>
      <c r="B1897" s="3" t="s">
        <v>292</v>
      </c>
      <c r="C1897" s="3" t="s">
        <v>126</v>
      </c>
      <c r="D1897" s="3" t="s">
        <v>107</v>
      </c>
      <c r="E1897" s="3" t="s">
        <v>33</v>
      </c>
      <c r="F1897" s="3" t="s">
        <v>70</v>
      </c>
      <c r="G1897" s="3" t="s">
        <v>55</v>
      </c>
      <c r="H1897" s="3" t="s">
        <v>42</v>
      </c>
      <c r="I1897" s="3" t="s">
        <v>43</v>
      </c>
      <c r="J1897" s="3" t="n">
        <v>32</v>
      </c>
      <c r="K1897" s="3" t="n">
        <v>1621.54</v>
      </c>
      <c r="L1897" s="3" t="n">
        <v>51889.28</v>
      </c>
      <c r="M1897" s="3" t="n">
        <v>0.0687</v>
      </c>
      <c r="N1897" s="3" t="n">
        <v>3564.79</v>
      </c>
      <c r="O1897" s="3" t="n">
        <v>48324.49</v>
      </c>
      <c r="P1897" s="3" t="n">
        <v>28539.1</v>
      </c>
      <c r="Q1897" s="3" t="n">
        <v>19785.39</v>
      </c>
      <c r="R1897" s="3" t="n">
        <v>0.4094</v>
      </c>
      <c r="S1897" s="3" t="n">
        <v>0.0719</v>
      </c>
      <c r="T1897" s="3" t="n">
        <v>-0.0032</v>
      </c>
    </row>
    <row r="1898" customFormat="false" ht="15" hidden="false" customHeight="true" outlineLevel="0" collapsed="false">
      <c r="A1898" s="3" t="s">
        <v>2872</v>
      </c>
      <c r="B1898" s="3" t="s">
        <v>2873</v>
      </c>
      <c r="C1898" s="3" t="s">
        <v>68</v>
      </c>
      <c r="D1898" s="3" t="s">
        <v>69</v>
      </c>
      <c r="E1898" s="3" t="s">
        <v>39</v>
      </c>
      <c r="F1898" s="3" t="s">
        <v>70</v>
      </c>
      <c r="G1898" s="3" t="s">
        <v>76</v>
      </c>
      <c r="H1898" s="3" t="s">
        <v>27</v>
      </c>
      <c r="I1898" s="3" t="s">
        <v>117</v>
      </c>
      <c r="J1898" s="3" t="n">
        <v>8</v>
      </c>
      <c r="K1898" s="3" t="n">
        <v>28100.09</v>
      </c>
      <c r="L1898" s="3" t="n">
        <v>224800.72</v>
      </c>
      <c r="M1898" s="3" t="n">
        <v>0.0739</v>
      </c>
      <c r="N1898" s="3" t="n">
        <v>16612.77</v>
      </c>
      <c r="O1898" s="3" t="n">
        <v>208187.95</v>
      </c>
      <c r="P1898" s="3" t="n">
        <v>139376.45</v>
      </c>
      <c r="Q1898" s="3" t="n">
        <v>68811.5</v>
      </c>
      <c r="R1898" s="3" t="n">
        <v>0.3305</v>
      </c>
      <c r="S1898" s="3" t="n">
        <v>0.0774</v>
      </c>
      <c r="T1898" s="3" t="n">
        <v>-0.0035</v>
      </c>
    </row>
    <row r="1899" customFormat="false" ht="15" hidden="false" customHeight="true" outlineLevel="0" collapsed="false">
      <c r="A1899" s="3" t="s">
        <v>2874</v>
      </c>
      <c r="B1899" s="3" t="s">
        <v>2875</v>
      </c>
      <c r="C1899" s="3" t="s">
        <v>37</v>
      </c>
      <c r="D1899" s="3" t="s">
        <v>61</v>
      </c>
      <c r="E1899" s="3" t="s">
        <v>33</v>
      </c>
      <c r="F1899" s="3" t="s">
        <v>62</v>
      </c>
      <c r="G1899" s="3" t="s">
        <v>55</v>
      </c>
      <c r="H1899" s="3" t="s">
        <v>27</v>
      </c>
      <c r="I1899" s="3" t="s">
        <v>173</v>
      </c>
      <c r="J1899" s="3" t="n">
        <v>4</v>
      </c>
      <c r="K1899" s="3" t="n">
        <v>23495.97</v>
      </c>
      <c r="L1899" s="3" t="n">
        <v>93983.88</v>
      </c>
      <c r="M1899" s="3" t="n">
        <v>0.04</v>
      </c>
      <c r="N1899" s="3" t="n">
        <v>3759.36</v>
      </c>
      <c r="O1899" s="3" t="n">
        <v>90224.52</v>
      </c>
      <c r="P1899" s="3" t="n">
        <v>58270.01</v>
      </c>
      <c r="Q1899" s="3" t="n">
        <v>31954.51</v>
      </c>
      <c r="R1899" s="3" t="n">
        <v>0.3542</v>
      </c>
      <c r="S1899" s="3" t="n">
        <v>0.0389</v>
      </c>
      <c r="T1899" s="3" t="n">
        <v>0.0011</v>
      </c>
    </row>
    <row r="1900" customFormat="false" ht="15" hidden="false" customHeight="true" outlineLevel="0" collapsed="false">
      <c r="A1900" s="3" t="s">
        <v>2876</v>
      </c>
      <c r="B1900" s="3" t="s">
        <v>2379</v>
      </c>
      <c r="C1900" s="3" t="s">
        <v>126</v>
      </c>
      <c r="D1900" s="3" t="s">
        <v>54</v>
      </c>
      <c r="E1900" s="3" t="s">
        <v>24</v>
      </c>
      <c r="F1900" s="3" t="s">
        <v>40</v>
      </c>
      <c r="G1900" s="3" t="s">
        <v>49</v>
      </c>
      <c r="H1900" s="3" t="s">
        <v>27</v>
      </c>
      <c r="I1900" s="3" t="s">
        <v>28</v>
      </c>
      <c r="J1900" s="3" t="n">
        <v>20</v>
      </c>
      <c r="K1900" s="3" t="n">
        <v>14725.95</v>
      </c>
      <c r="L1900" s="3" t="n">
        <v>294519</v>
      </c>
      <c r="M1900" s="3" t="n">
        <v>0.0344</v>
      </c>
      <c r="N1900" s="3" t="n">
        <v>10131.45</v>
      </c>
      <c r="O1900" s="3" t="n">
        <v>284387.55</v>
      </c>
      <c r="P1900" s="3" t="n">
        <v>182601.78</v>
      </c>
      <c r="Q1900" s="3" t="n">
        <v>101785.77</v>
      </c>
      <c r="R1900" s="3" t="n">
        <v>0.3579</v>
      </c>
      <c r="S1900" s="3" t="n">
        <v>0.0322</v>
      </c>
      <c r="T1900" s="3" t="n">
        <v>0.0022</v>
      </c>
    </row>
    <row r="1901" customFormat="false" ht="15" hidden="false" customHeight="true" outlineLevel="0" collapsed="false">
      <c r="A1901" s="3" t="s">
        <v>2877</v>
      </c>
      <c r="B1901" s="3" t="s">
        <v>30</v>
      </c>
      <c r="C1901" s="3" t="s">
        <v>31</v>
      </c>
      <c r="D1901" s="3" t="s">
        <v>103</v>
      </c>
      <c r="E1901" s="3" t="s">
        <v>24</v>
      </c>
      <c r="F1901" s="3" t="s">
        <v>62</v>
      </c>
      <c r="G1901" s="3" t="s">
        <v>116</v>
      </c>
      <c r="H1901" s="3" t="s">
        <v>42</v>
      </c>
      <c r="I1901" s="3" t="s">
        <v>43</v>
      </c>
      <c r="J1901" s="3" t="n">
        <v>12</v>
      </c>
      <c r="K1901" s="3" t="n">
        <v>1258.09</v>
      </c>
      <c r="L1901" s="3" t="n">
        <v>15097.08</v>
      </c>
      <c r="M1901" s="3" t="n">
        <v>0.1037</v>
      </c>
      <c r="N1901" s="3" t="n">
        <v>1565.57</v>
      </c>
      <c r="O1901" s="3" t="n">
        <v>13531.51</v>
      </c>
      <c r="P1901" s="3" t="n">
        <v>8303.39</v>
      </c>
      <c r="Q1901" s="3" t="n">
        <v>5228.12</v>
      </c>
      <c r="R1901" s="3" t="n">
        <v>0.3864</v>
      </c>
      <c r="S1901" s="3" t="n">
        <v>0.0978</v>
      </c>
      <c r="T1901" s="3" t="n">
        <v>0.0059</v>
      </c>
    </row>
    <row r="1902" customFormat="false" ht="15" hidden="false" customHeight="true" outlineLevel="0" collapsed="false">
      <c r="A1902" s="3" t="s">
        <v>2878</v>
      </c>
      <c r="B1902" s="3" t="s">
        <v>2879</v>
      </c>
      <c r="C1902" s="3" t="s">
        <v>53</v>
      </c>
      <c r="D1902" s="3" t="s">
        <v>107</v>
      </c>
      <c r="E1902" s="3" t="s">
        <v>33</v>
      </c>
      <c r="F1902" s="3" t="s">
        <v>70</v>
      </c>
      <c r="G1902" s="3" t="s">
        <v>63</v>
      </c>
      <c r="H1902" s="3" t="s">
        <v>27</v>
      </c>
      <c r="I1902" s="3" t="s">
        <v>117</v>
      </c>
      <c r="J1902" s="3" t="n">
        <v>21</v>
      </c>
      <c r="K1902" s="3" t="n">
        <v>22314.46</v>
      </c>
      <c r="L1902" s="3" t="n">
        <v>468603.66</v>
      </c>
      <c r="M1902" s="3" t="n">
        <v>0.0323</v>
      </c>
      <c r="N1902" s="3" t="n">
        <v>15135.9</v>
      </c>
      <c r="O1902" s="3" t="n">
        <v>453467.76</v>
      </c>
      <c r="P1902" s="3" t="n">
        <v>290534.27</v>
      </c>
      <c r="Q1902" s="3" t="n">
        <v>162933.49</v>
      </c>
      <c r="R1902" s="3" t="n">
        <v>0.3593</v>
      </c>
      <c r="S1902" s="3" t="n">
        <v>0.0351</v>
      </c>
      <c r="T1902" s="3" t="n">
        <v>-0.0028</v>
      </c>
    </row>
    <row r="1903" customFormat="false" ht="15" hidden="false" customHeight="true" outlineLevel="0" collapsed="false">
      <c r="A1903" s="3" t="s">
        <v>2880</v>
      </c>
      <c r="B1903" s="3" t="s">
        <v>498</v>
      </c>
      <c r="C1903" s="3" t="s">
        <v>120</v>
      </c>
      <c r="D1903" s="3" t="s">
        <v>75</v>
      </c>
      <c r="E1903" s="3" t="s">
        <v>39</v>
      </c>
      <c r="F1903" s="3" t="s">
        <v>25</v>
      </c>
      <c r="G1903" s="3" t="s">
        <v>116</v>
      </c>
      <c r="H1903" s="3" t="s">
        <v>27</v>
      </c>
      <c r="I1903" s="3" t="s">
        <v>50</v>
      </c>
      <c r="J1903" s="3" t="n">
        <v>23</v>
      </c>
      <c r="K1903" s="3" t="n">
        <v>9126.15</v>
      </c>
      <c r="L1903" s="3" t="n">
        <v>209901.45</v>
      </c>
      <c r="M1903" s="3" t="n">
        <v>0.1507</v>
      </c>
      <c r="N1903" s="3" t="n">
        <v>31632.15</v>
      </c>
      <c r="O1903" s="3" t="n">
        <v>178269.3</v>
      </c>
      <c r="P1903" s="3" t="n">
        <v>130138.9</v>
      </c>
      <c r="Q1903" s="3" t="n">
        <v>48130.4</v>
      </c>
      <c r="R1903" s="3" t="n">
        <v>0.27</v>
      </c>
      <c r="S1903" s="3" t="n">
        <v>0.152</v>
      </c>
      <c r="T1903" s="3" t="n">
        <v>-0.0013</v>
      </c>
    </row>
    <row r="1904" customFormat="false" ht="15" hidden="false" customHeight="true" outlineLevel="0" collapsed="false">
      <c r="A1904" s="3" t="s">
        <v>2881</v>
      </c>
      <c r="B1904" s="3" t="s">
        <v>931</v>
      </c>
      <c r="C1904" s="3" t="s">
        <v>46</v>
      </c>
      <c r="D1904" s="3" t="s">
        <v>107</v>
      </c>
      <c r="E1904" s="3" t="s">
        <v>33</v>
      </c>
      <c r="F1904" s="3" t="s">
        <v>70</v>
      </c>
      <c r="G1904" s="3" t="s">
        <v>104</v>
      </c>
      <c r="H1904" s="3" t="s">
        <v>77</v>
      </c>
      <c r="I1904" s="3" t="s">
        <v>85</v>
      </c>
      <c r="J1904" s="3" t="n">
        <v>9</v>
      </c>
      <c r="K1904" s="3" t="n">
        <v>4104.34</v>
      </c>
      <c r="L1904" s="3" t="n">
        <v>36939.06</v>
      </c>
      <c r="M1904" s="3" t="n">
        <v>0.0882</v>
      </c>
      <c r="N1904" s="3" t="n">
        <v>3258.03</v>
      </c>
      <c r="O1904" s="3" t="n">
        <v>33681.03</v>
      </c>
      <c r="P1904" s="3" t="n">
        <v>25118.56</v>
      </c>
      <c r="Q1904" s="3" t="n">
        <v>8562.47</v>
      </c>
      <c r="R1904" s="3" t="n">
        <v>0.2542</v>
      </c>
      <c r="S1904" s="3" t="n">
        <v>0.074</v>
      </c>
      <c r="T1904" s="3" t="n">
        <v>0.0142</v>
      </c>
    </row>
    <row r="1905" customFormat="false" ht="15" hidden="false" customHeight="true" outlineLevel="0" collapsed="false">
      <c r="A1905" s="3" t="s">
        <v>2882</v>
      </c>
      <c r="B1905" s="3" t="s">
        <v>1287</v>
      </c>
      <c r="C1905" s="3" t="s">
        <v>31</v>
      </c>
      <c r="D1905" s="3" t="s">
        <v>107</v>
      </c>
      <c r="E1905" s="3" t="s">
        <v>33</v>
      </c>
      <c r="F1905" s="3" t="s">
        <v>70</v>
      </c>
      <c r="G1905" s="3" t="s">
        <v>49</v>
      </c>
      <c r="H1905" s="3" t="s">
        <v>56</v>
      </c>
      <c r="I1905" s="3" t="s">
        <v>121</v>
      </c>
      <c r="J1905" s="3" t="n">
        <v>9</v>
      </c>
      <c r="K1905" s="3" t="n">
        <v>8435.1</v>
      </c>
      <c r="L1905" s="3" t="n">
        <v>75915.9</v>
      </c>
      <c r="M1905" s="3" t="n">
        <v>0.0768</v>
      </c>
      <c r="N1905" s="3" t="n">
        <v>5830.34</v>
      </c>
      <c r="O1905" s="3" t="n">
        <v>70085.56</v>
      </c>
      <c r="P1905" s="3" t="n">
        <v>45549.54</v>
      </c>
      <c r="Q1905" s="3" t="n">
        <v>24536.02</v>
      </c>
      <c r="R1905" s="3" t="n">
        <v>0.3501</v>
      </c>
      <c r="S1905" s="3" t="n">
        <v>0.071</v>
      </c>
      <c r="T1905" s="3" t="n">
        <v>0.0058</v>
      </c>
    </row>
    <row r="1906" customFormat="false" ht="15" hidden="false" customHeight="true" outlineLevel="0" collapsed="false">
      <c r="A1906" s="3" t="s">
        <v>2883</v>
      </c>
      <c r="B1906" s="3" t="s">
        <v>475</v>
      </c>
      <c r="C1906" s="3" t="s">
        <v>126</v>
      </c>
      <c r="D1906" s="3" t="s">
        <v>103</v>
      </c>
      <c r="E1906" s="3" t="s">
        <v>24</v>
      </c>
      <c r="F1906" s="3" t="s">
        <v>62</v>
      </c>
      <c r="G1906" s="3" t="s">
        <v>63</v>
      </c>
      <c r="H1906" s="3" t="s">
        <v>56</v>
      </c>
      <c r="I1906" s="3" t="s">
        <v>121</v>
      </c>
      <c r="J1906" s="3" t="n">
        <v>29</v>
      </c>
      <c r="K1906" s="3" t="n">
        <v>14676.73</v>
      </c>
      <c r="L1906" s="3" t="n">
        <v>425625.17</v>
      </c>
      <c r="M1906" s="3" t="n">
        <v>0.0569</v>
      </c>
      <c r="N1906" s="3" t="n">
        <v>24218.07</v>
      </c>
      <c r="O1906" s="3" t="n">
        <v>401407.1</v>
      </c>
      <c r="P1906" s="3" t="n">
        <v>255375.1</v>
      </c>
      <c r="Q1906" s="3" t="n">
        <v>146032</v>
      </c>
      <c r="R1906" s="3" t="n">
        <v>0.3638</v>
      </c>
      <c r="S1906" s="3" t="n">
        <v>0.0507</v>
      </c>
      <c r="T1906" s="3" t="n">
        <v>0.0062</v>
      </c>
    </row>
    <row r="1907" customFormat="false" ht="15" hidden="false" customHeight="true" outlineLevel="0" collapsed="false">
      <c r="A1907" s="3" t="s">
        <v>2884</v>
      </c>
      <c r="B1907" s="3" t="s">
        <v>475</v>
      </c>
      <c r="C1907" s="3" t="s">
        <v>126</v>
      </c>
      <c r="D1907" s="3" t="s">
        <v>75</v>
      </c>
      <c r="E1907" s="3" t="s">
        <v>39</v>
      </c>
      <c r="F1907" s="3" t="s">
        <v>25</v>
      </c>
      <c r="G1907" s="3" t="s">
        <v>26</v>
      </c>
      <c r="H1907" s="3" t="s">
        <v>64</v>
      </c>
      <c r="I1907" s="3" t="s">
        <v>90</v>
      </c>
      <c r="J1907" s="3" t="n">
        <v>22</v>
      </c>
      <c r="K1907" s="3" t="n">
        <v>6041.01</v>
      </c>
      <c r="L1907" s="3" t="n">
        <v>132902.22</v>
      </c>
      <c r="M1907" s="3" t="n">
        <v>0.1906</v>
      </c>
      <c r="N1907" s="3" t="n">
        <v>25331.16</v>
      </c>
      <c r="O1907" s="3" t="n">
        <v>107571.06</v>
      </c>
      <c r="P1907" s="3" t="n">
        <v>77083.29</v>
      </c>
      <c r="Q1907" s="3" t="n">
        <v>30487.77</v>
      </c>
      <c r="R1907" s="3" t="n">
        <v>0.2834</v>
      </c>
      <c r="S1907" s="3" t="n">
        <v>0.1834</v>
      </c>
      <c r="T1907" s="3" t="n">
        <v>0.0072</v>
      </c>
    </row>
    <row r="1908" customFormat="false" ht="15" hidden="false" customHeight="true" outlineLevel="0" collapsed="false">
      <c r="A1908" s="3" t="s">
        <v>2885</v>
      </c>
      <c r="B1908" s="3" t="s">
        <v>500</v>
      </c>
      <c r="C1908" s="3" t="s">
        <v>126</v>
      </c>
      <c r="D1908" s="3" t="s">
        <v>103</v>
      </c>
      <c r="E1908" s="3" t="s">
        <v>24</v>
      </c>
      <c r="F1908" s="3" t="s">
        <v>62</v>
      </c>
      <c r="G1908" s="3" t="s">
        <v>49</v>
      </c>
      <c r="H1908" s="3" t="s">
        <v>56</v>
      </c>
      <c r="I1908" s="3" t="s">
        <v>57</v>
      </c>
      <c r="J1908" s="3" t="n">
        <v>21</v>
      </c>
      <c r="K1908" s="3" t="n">
        <v>14745.64</v>
      </c>
      <c r="L1908" s="3" t="n">
        <v>309658.44</v>
      </c>
      <c r="M1908" s="3" t="n">
        <v>0.0694</v>
      </c>
      <c r="N1908" s="3" t="n">
        <v>21490.3</v>
      </c>
      <c r="O1908" s="3" t="n">
        <v>288168.14</v>
      </c>
      <c r="P1908" s="3" t="n">
        <v>185795.06</v>
      </c>
      <c r="Q1908" s="3" t="n">
        <v>102373.08</v>
      </c>
      <c r="R1908" s="3" t="n">
        <v>0.3553</v>
      </c>
      <c r="S1908" s="3" t="n">
        <v>0.0592</v>
      </c>
      <c r="T1908" s="3" t="n">
        <v>0.0102</v>
      </c>
    </row>
    <row r="1909" customFormat="false" ht="15" hidden="false" customHeight="true" outlineLevel="0" collapsed="false">
      <c r="A1909" s="3" t="s">
        <v>2886</v>
      </c>
      <c r="B1909" s="3" t="s">
        <v>1797</v>
      </c>
      <c r="C1909" s="3" t="s">
        <v>156</v>
      </c>
      <c r="D1909" s="3" t="s">
        <v>75</v>
      </c>
      <c r="E1909" s="3" t="s">
        <v>39</v>
      </c>
      <c r="F1909" s="3" t="s">
        <v>25</v>
      </c>
      <c r="G1909" s="3" t="s">
        <v>116</v>
      </c>
      <c r="H1909" s="3" t="s">
        <v>42</v>
      </c>
      <c r="I1909" s="3" t="s">
        <v>72</v>
      </c>
      <c r="J1909" s="3" t="n">
        <v>45</v>
      </c>
      <c r="K1909" s="3" t="n">
        <v>3886.72</v>
      </c>
      <c r="L1909" s="3" t="n">
        <v>174902.4</v>
      </c>
      <c r="M1909" s="3" t="n">
        <v>0.1434</v>
      </c>
      <c r="N1909" s="3" t="n">
        <v>25081</v>
      </c>
      <c r="O1909" s="3" t="n">
        <v>149821.4</v>
      </c>
      <c r="P1909" s="3" t="n">
        <v>96196.32</v>
      </c>
      <c r="Q1909" s="3" t="n">
        <v>53625.08</v>
      </c>
      <c r="R1909" s="3" t="n">
        <v>0.3579</v>
      </c>
      <c r="S1909" s="3" t="n">
        <v>0.1527</v>
      </c>
      <c r="T1909" s="3" t="n">
        <v>-0.0093</v>
      </c>
    </row>
    <row r="1910" customFormat="false" ht="15" hidden="false" customHeight="true" outlineLevel="0" collapsed="false">
      <c r="A1910" s="3" t="s">
        <v>2887</v>
      </c>
      <c r="B1910" s="3" t="s">
        <v>128</v>
      </c>
      <c r="C1910" s="3" t="s">
        <v>53</v>
      </c>
      <c r="D1910" s="3" t="s">
        <v>32</v>
      </c>
      <c r="E1910" s="3" t="s">
        <v>33</v>
      </c>
      <c r="F1910" s="3" t="s">
        <v>25</v>
      </c>
      <c r="G1910" s="3" t="s">
        <v>49</v>
      </c>
      <c r="H1910" s="3" t="s">
        <v>64</v>
      </c>
      <c r="I1910" s="3" t="s">
        <v>145</v>
      </c>
      <c r="J1910" s="3" t="n">
        <v>38</v>
      </c>
      <c r="K1910" s="3" t="n">
        <v>8752.49</v>
      </c>
      <c r="L1910" s="3" t="n">
        <v>332594.62</v>
      </c>
      <c r="M1910" s="3" t="n">
        <v>0.1209</v>
      </c>
      <c r="N1910" s="3" t="n">
        <v>40210.69</v>
      </c>
      <c r="O1910" s="3" t="n">
        <v>292383.93</v>
      </c>
      <c r="P1910" s="3" t="n">
        <v>192904.88</v>
      </c>
      <c r="Q1910" s="3" t="n">
        <v>99479.05</v>
      </c>
      <c r="R1910" s="3" t="n">
        <v>0.3402</v>
      </c>
      <c r="S1910" s="3" t="n">
        <v>0.1015</v>
      </c>
      <c r="T1910" s="3" t="n">
        <v>0.0194</v>
      </c>
    </row>
    <row r="1911" customFormat="false" ht="15" hidden="false" customHeight="true" outlineLevel="0" collapsed="false">
      <c r="A1911" s="3" t="s">
        <v>2888</v>
      </c>
      <c r="B1911" s="3" t="s">
        <v>2889</v>
      </c>
      <c r="C1911" s="3" t="s">
        <v>113</v>
      </c>
      <c r="D1911" s="3" t="s">
        <v>61</v>
      </c>
      <c r="E1911" s="3" t="s">
        <v>33</v>
      </c>
      <c r="F1911" s="3" t="s">
        <v>62</v>
      </c>
      <c r="G1911" s="3" t="s">
        <v>116</v>
      </c>
      <c r="H1911" s="3" t="s">
        <v>42</v>
      </c>
      <c r="I1911" s="3" t="s">
        <v>134</v>
      </c>
      <c r="J1911" s="3" t="n">
        <v>21</v>
      </c>
      <c r="K1911" s="3" t="n">
        <v>1229.2</v>
      </c>
      <c r="L1911" s="3" t="n">
        <v>25813.2</v>
      </c>
      <c r="M1911" s="3" t="n">
        <v>0.0683</v>
      </c>
      <c r="N1911" s="3" t="n">
        <v>1763.04</v>
      </c>
      <c r="O1911" s="3" t="n">
        <v>24050.16</v>
      </c>
      <c r="P1911" s="3" t="n">
        <v>14197.26</v>
      </c>
      <c r="Q1911" s="3" t="n">
        <v>9852.9</v>
      </c>
      <c r="R1911" s="3" t="n">
        <v>0.4097</v>
      </c>
      <c r="S1911" s="3" t="n">
        <v>0.0677</v>
      </c>
      <c r="T1911" s="3" t="n">
        <v>0.0006</v>
      </c>
    </row>
    <row r="1912" customFormat="false" ht="15" hidden="false" customHeight="true" outlineLevel="0" collapsed="false">
      <c r="A1912" s="3" t="s">
        <v>2890</v>
      </c>
      <c r="B1912" s="3" t="s">
        <v>2593</v>
      </c>
      <c r="C1912" s="3" t="s">
        <v>46</v>
      </c>
      <c r="D1912" s="3" t="s">
        <v>47</v>
      </c>
      <c r="E1912" s="3" t="s">
        <v>48</v>
      </c>
      <c r="F1912" s="3" t="s">
        <v>25</v>
      </c>
      <c r="G1912" s="3" t="s">
        <v>41</v>
      </c>
      <c r="H1912" s="3" t="s">
        <v>56</v>
      </c>
      <c r="I1912" s="3" t="s">
        <v>121</v>
      </c>
      <c r="J1912" s="3" t="n">
        <v>19</v>
      </c>
      <c r="K1912" s="3" t="n">
        <v>12911.92</v>
      </c>
      <c r="L1912" s="3" t="n">
        <v>245326.48</v>
      </c>
      <c r="M1912" s="3" t="n">
        <v>0.1942</v>
      </c>
      <c r="N1912" s="3" t="n">
        <v>47642.4</v>
      </c>
      <c r="O1912" s="3" t="n">
        <v>197684.08</v>
      </c>
      <c r="P1912" s="3" t="n">
        <v>147195.89</v>
      </c>
      <c r="Q1912" s="3" t="n">
        <v>50488.19</v>
      </c>
      <c r="R1912" s="3" t="n">
        <v>0.2554</v>
      </c>
      <c r="S1912" s="3" t="n">
        <v>0.1779</v>
      </c>
      <c r="T1912" s="3" t="n">
        <v>0.0163</v>
      </c>
    </row>
    <row r="1913" customFormat="false" ht="15" hidden="false" customHeight="true" outlineLevel="0" collapsed="false">
      <c r="A1913" s="3" t="s">
        <v>2891</v>
      </c>
      <c r="B1913" s="3" t="s">
        <v>2348</v>
      </c>
      <c r="C1913" s="3" t="s">
        <v>113</v>
      </c>
      <c r="D1913" s="3" t="s">
        <v>38</v>
      </c>
      <c r="E1913" s="3" t="s">
        <v>39</v>
      </c>
      <c r="F1913" s="3" t="s">
        <v>40</v>
      </c>
      <c r="G1913" s="3" t="s">
        <v>84</v>
      </c>
      <c r="H1913" s="3" t="s">
        <v>77</v>
      </c>
      <c r="I1913" s="3" t="s">
        <v>131</v>
      </c>
      <c r="J1913" s="3" t="n">
        <v>45</v>
      </c>
      <c r="K1913" s="3" t="n">
        <v>5822.86</v>
      </c>
      <c r="L1913" s="3" t="n">
        <v>262028.7</v>
      </c>
      <c r="M1913" s="3" t="n">
        <v>0.0795</v>
      </c>
      <c r="N1913" s="3" t="n">
        <v>20831.28</v>
      </c>
      <c r="O1913" s="3" t="n">
        <v>241197.42</v>
      </c>
      <c r="P1913" s="3" t="n">
        <v>178179.52</v>
      </c>
      <c r="Q1913" s="3" t="n">
        <v>63017.9</v>
      </c>
      <c r="R1913" s="3" t="n">
        <v>0.2613</v>
      </c>
      <c r="S1913" s="3" t="n">
        <v>0.0737</v>
      </c>
      <c r="T1913" s="3" t="n">
        <v>0.0058</v>
      </c>
    </row>
    <row r="1914" customFormat="false" ht="15" hidden="false" customHeight="true" outlineLevel="0" collapsed="false">
      <c r="A1914" s="3" t="s">
        <v>2892</v>
      </c>
      <c r="B1914" s="3" t="s">
        <v>413</v>
      </c>
      <c r="C1914" s="3" t="s">
        <v>68</v>
      </c>
      <c r="D1914" s="3" t="s">
        <v>23</v>
      </c>
      <c r="E1914" s="3" t="s">
        <v>24</v>
      </c>
      <c r="F1914" s="3" t="s">
        <v>25</v>
      </c>
      <c r="G1914" s="3" t="s">
        <v>76</v>
      </c>
      <c r="H1914" s="3" t="s">
        <v>77</v>
      </c>
      <c r="I1914" s="3" t="s">
        <v>85</v>
      </c>
      <c r="J1914" s="3" t="n">
        <v>10</v>
      </c>
      <c r="K1914" s="3" t="n">
        <v>4287.1</v>
      </c>
      <c r="L1914" s="3" t="n">
        <v>42871</v>
      </c>
      <c r="M1914" s="3" t="n">
        <v>0.1177</v>
      </c>
      <c r="N1914" s="3" t="n">
        <v>5045.92</v>
      </c>
      <c r="O1914" s="3" t="n">
        <v>37825.08</v>
      </c>
      <c r="P1914" s="3" t="n">
        <v>29152.28</v>
      </c>
      <c r="Q1914" s="3" t="n">
        <v>8672.8</v>
      </c>
      <c r="R1914" s="3" t="n">
        <v>0.2293</v>
      </c>
      <c r="S1914" s="3" t="n">
        <v>0.129</v>
      </c>
      <c r="T1914" s="3" t="n">
        <v>-0.0113</v>
      </c>
    </row>
    <row r="1915" customFormat="false" ht="15" hidden="false" customHeight="true" outlineLevel="0" collapsed="false">
      <c r="A1915" s="3" t="s">
        <v>2893</v>
      </c>
      <c r="B1915" s="3" t="s">
        <v>492</v>
      </c>
      <c r="C1915" s="3" t="s">
        <v>60</v>
      </c>
      <c r="D1915" s="3" t="s">
        <v>97</v>
      </c>
      <c r="E1915" s="3" t="s">
        <v>48</v>
      </c>
      <c r="F1915" s="3" t="s">
        <v>40</v>
      </c>
      <c r="G1915" s="3" t="s">
        <v>76</v>
      </c>
      <c r="H1915" s="3" t="s">
        <v>64</v>
      </c>
      <c r="I1915" s="3" t="s">
        <v>145</v>
      </c>
      <c r="J1915" s="3" t="n">
        <v>5</v>
      </c>
      <c r="K1915" s="3" t="n">
        <v>4882.36</v>
      </c>
      <c r="L1915" s="3" t="n">
        <v>24411.8</v>
      </c>
      <c r="M1915" s="3" t="n">
        <v>0.0563</v>
      </c>
      <c r="N1915" s="3" t="n">
        <v>1374.38</v>
      </c>
      <c r="O1915" s="3" t="n">
        <v>23037.42</v>
      </c>
      <c r="P1915" s="3" t="n">
        <v>14158.84</v>
      </c>
      <c r="Q1915" s="3" t="n">
        <v>8878.58</v>
      </c>
      <c r="R1915" s="3" t="n">
        <v>0.3854</v>
      </c>
      <c r="S1915" s="3" t="n">
        <v>0.057</v>
      </c>
      <c r="T1915" s="3" t="n">
        <v>-0.0007</v>
      </c>
    </row>
    <row r="1916" customFormat="false" ht="15" hidden="false" customHeight="true" outlineLevel="0" collapsed="false">
      <c r="A1916" s="3" t="s">
        <v>2894</v>
      </c>
      <c r="B1916" s="3" t="s">
        <v>956</v>
      </c>
      <c r="C1916" s="3" t="s">
        <v>156</v>
      </c>
      <c r="D1916" s="3" t="s">
        <v>61</v>
      </c>
      <c r="E1916" s="3" t="s">
        <v>33</v>
      </c>
      <c r="F1916" s="3" t="s">
        <v>62</v>
      </c>
      <c r="G1916" s="3" t="s">
        <v>116</v>
      </c>
      <c r="H1916" s="3" t="s">
        <v>64</v>
      </c>
      <c r="I1916" s="3" t="s">
        <v>108</v>
      </c>
      <c r="J1916" s="3" t="n">
        <v>39</v>
      </c>
      <c r="K1916" s="3" t="n">
        <v>4136.66</v>
      </c>
      <c r="L1916" s="3" t="n">
        <v>161329.74</v>
      </c>
      <c r="M1916" s="3" t="n">
        <v>0.0908</v>
      </c>
      <c r="N1916" s="3" t="n">
        <v>14648.74</v>
      </c>
      <c r="O1916" s="3" t="n">
        <v>146681</v>
      </c>
      <c r="P1916" s="3" t="n">
        <v>93571.25</v>
      </c>
      <c r="Q1916" s="3" t="n">
        <v>53109.75</v>
      </c>
      <c r="R1916" s="3" t="n">
        <v>0.3621</v>
      </c>
      <c r="S1916" s="3" t="n">
        <v>0.0897</v>
      </c>
      <c r="T1916" s="3" t="n">
        <v>0.0011</v>
      </c>
    </row>
    <row r="1917" customFormat="false" ht="15" hidden="false" customHeight="true" outlineLevel="0" collapsed="false">
      <c r="A1917" s="3" t="s">
        <v>2895</v>
      </c>
      <c r="B1917" s="3" t="s">
        <v>2896</v>
      </c>
      <c r="C1917" s="3" t="s">
        <v>31</v>
      </c>
      <c r="D1917" s="3" t="s">
        <v>38</v>
      </c>
      <c r="E1917" s="3" t="s">
        <v>39</v>
      </c>
      <c r="F1917" s="3" t="s">
        <v>40</v>
      </c>
      <c r="G1917" s="3" t="s">
        <v>63</v>
      </c>
      <c r="H1917" s="3" t="s">
        <v>27</v>
      </c>
      <c r="I1917" s="3" t="s">
        <v>28</v>
      </c>
      <c r="J1917" s="3" t="n">
        <v>6</v>
      </c>
      <c r="K1917" s="3" t="n">
        <v>31625.49</v>
      </c>
      <c r="L1917" s="3" t="n">
        <v>189752.94</v>
      </c>
      <c r="M1917" s="3" t="n">
        <v>0.056</v>
      </c>
      <c r="N1917" s="3" t="n">
        <v>10626.16</v>
      </c>
      <c r="O1917" s="3" t="n">
        <v>179126.78</v>
      </c>
      <c r="P1917" s="3" t="n">
        <v>117646.82</v>
      </c>
      <c r="Q1917" s="3" t="n">
        <v>61479.96</v>
      </c>
      <c r="R1917" s="3" t="n">
        <v>0.3432</v>
      </c>
      <c r="S1917" s="3" t="n">
        <v>0.0492</v>
      </c>
      <c r="T1917" s="3" t="n">
        <v>0.0068</v>
      </c>
    </row>
    <row r="1918" customFormat="false" ht="15" hidden="false" customHeight="true" outlineLevel="0" collapsed="false">
      <c r="A1918" s="3" t="s">
        <v>2897</v>
      </c>
      <c r="B1918" s="3" t="s">
        <v>21</v>
      </c>
      <c r="C1918" s="3" t="s">
        <v>22</v>
      </c>
      <c r="D1918" s="3" t="s">
        <v>75</v>
      </c>
      <c r="E1918" s="3" t="s">
        <v>39</v>
      </c>
      <c r="F1918" s="3" t="s">
        <v>25</v>
      </c>
      <c r="G1918" s="3" t="s">
        <v>49</v>
      </c>
      <c r="H1918" s="3" t="s">
        <v>64</v>
      </c>
      <c r="I1918" s="3" t="s">
        <v>90</v>
      </c>
      <c r="J1918" s="3" t="n">
        <v>11</v>
      </c>
      <c r="K1918" s="3" t="n">
        <v>3218.03</v>
      </c>
      <c r="L1918" s="3" t="n">
        <v>35398.33</v>
      </c>
      <c r="M1918" s="3" t="n">
        <v>0.1407</v>
      </c>
      <c r="N1918" s="3" t="n">
        <v>4980.55</v>
      </c>
      <c r="O1918" s="3" t="n">
        <v>30417.78</v>
      </c>
      <c r="P1918" s="3" t="n">
        <v>20531.03</v>
      </c>
      <c r="Q1918" s="3" t="n">
        <v>9886.75</v>
      </c>
      <c r="R1918" s="3" t="n">
        <v>0.325</v>
      </c>
      <c r="S1918" s="3" t="n">
        <v>0.1406</v>
      </c>
      <c r="T1918" s="3" t="n">
        <v>0.0001</v>
      </c>
    </row>
    <row r="1919" customFormat="false" ht="15" hidden="false" customHeight="true" outlineLevel="0" collapsed="false">
      <c r="A1919" s="3" t="s">
        <v>2898</v>
      </c>
      <c r="B1919" s="3" t="s">
        <v>2879</v>
      </c>
      <c r="C1919" s="3" t="s">
        <v>53</v>
      </c>
      <c r="D1919" s="3" t="s">
        <v>75</v>
      </c>
      <c r="E1919" s="3" t="s">
        <v>39</v>
      </c>
      <c r="F1919" s="3" t="s">
        <v>25</v>
      </c>
      <c r="G1919" s="3" t="s">
        <v>84</v>
      </c>
      <c r="H1919" s="3" t="s">
        <v>64</v>
      </c>
      <c r="I1919" s="3" t="s">
        <v>145</v>
      </c>
      <c r="J1919" s="3" t="n">
        <v>17</v>
      </c>
      <c r="K1919" s="3" t="n">
        <v>7178.35</v>
      </c>
      <c r="L1919" s="3" t="n">
        <v>122031.95</v>
      </c>
      <c r="M1919" s="3" t="n">
        <v>0.1364</v>
      </c>
      <c r="N1919" s="3" t="n">
        <v>16645.16</v>
      </c>
      <c r="O1919" s="3" t="n">
        <v>105386.79</v>
      </c>
      <c r="P1919" s="3" t="n">
        <v>70778.53</v>
      </c>
      <c r="Q1919" s="3" t="n">
        <v>34608.26</v>
      </c>
      <c r="R1919" s="3" t="n">
        <v>0.3284</v>
      </c>
      <c r="S1919" s="3" t="n">
        <v>0.1289</v>
      </c>
      <c r="T1919" s="3" t="n">
        <v>0.0075</v>
      </c>
    </row>
    <row r="1920" customFormat="false" ht="15" hidden="false" customHeight="true" outlineLevel="0" collapsed="false">
      <c r="A1920" s="3" t="s">
        <v>2899</v>
      </c>
      <c r="B1920" s="3" t="s">
        <v>1276</v>
      </c>
      <c r="C1920" s="3" t="s">
        <v>93</v>
      </c>
      <c r="D1920" s="3" t="s">
        <v>47</v>
      </c>
      <c r="E1920" s="3" t="s">
        <v>48</v>
      </c>
      <c r="F1920" s="3" t="s">
        <v>25</v>
      </c>
      <c r="G1920" s="3" t="s">
        <v>49</v>
      </c>
      <c r="H1920" s="3" t="s">
        <v>64</v>
      </c>
      <c r="I1920" s="3" t="s">
        <v>65</v>
      </c>
      <c r="J1920" s="3" t="n">
        <v>6</v>
      </c>
      <c r="K1920" s="3" t="n">
        <v>4282.01</v>
      </c>
      <c r="L1920" s="3" t="n">
        <v>25692.06</v>
      </c>
      <c r="M1920" s="3" t="n">
        <v>0.1576</v>
      </c>
      <c r="N1920" s="3" t="n">
        <v>4049.07</v>
      </c>
      <c r="O1920" s="3" t="n">
        <v>21642.99</v>
      </c>
      <c r="P1920" s="3" t="n">
        <v>14901.39</v>
      </c>
      <c r="Q1920" s="3" t="n">
        <v>6741.6</v>
      </c>
      <c r="R1920" s="3" t="n">
        <v>0.3115</v>
      </c>
      <c r="S1920" s="3" t="n">
        <v>0.1441</v>
      </c>
      <c r="T1920" s="3" t="n">
        <v>0.0135</v>
      </c>
    </row>
    <row r="1921" customFormat="false" ht="15" hidden="false" customHeight="true" outlineLevel="0" collapsed="false">
      <c r="A1921" s="3" t="s">
        <v>2900</v>
      </c>
      <c r="B1921" s="3" t="s">
        <v>2901</v>
      </c>
      <c r="C1921" s="3" t="s">
        <v>31</v>
      </c>
      <c r="D1921" s="3" t="s">
        <v>23</v>
      </c>
      <c r="E1921" s="3" t="s">
        <v>24</v>
      </c>
      <c r="F1921" s="3" t="s">
        <v>25</v>
      </c>
      <c r="G1921" s="3" t="s">
        <v>26</v>
      </c>
      <c r="H1921" s="3" t="s">
        <v>56</v>
      </c>
      <c r="I1921" s="3" t="s">
        <v>188</v>
      </c>
      <c r="J1921" s="3" t="n">
        <v>4</v>
      </c>
      <c r="K1921" s="3" t="n">
        <v>3636</v>
      </c>
      <c r="L1921" s="3" t="n">
        <v>14544</v>
      </c>
      <c r="M1921" s="3" t="n">
        <v>0.112</v>
      </c>
      <c r="N1921" s="3" t="n">
        <v>1628.93</v>
      </c>
      <c r="O1921" s="3" t="n">
        <v>12915.07</v>
      </c>
      <c r="P1921" s="3" t="n">
        <v>8726.4</v>
      </c>
      <c r="Q1921" s="3" t="n">
        <v>4188.67</v>
      </c>
      <c r="R1921" s="3" t="n">
        <v>0.3243</v>
      </c>
      <c r="S1921" s="3" t="n">
        <v>0.1219</v>
      </c>
      <c r="T1921" s="3" t="n">
        <v>-0.0099</v>
      </c>
    </row>
    <row r="1922" customFormat="false" ht="15" hidden="false" customHeight="true" outlineLevel="0" collapsed="false">
      <c r="A1922" s="3" t="s">
        <v>2902</v>
      </c>
      <c r="B1922" s="3" t="s">
        <v>517</v>
      </c>
      <c r="C1922" s="3" t="s">
        <v>113</v>
      </c>
      <c r="D1922" s="3" t="s">
        <v>23</v>
      </c>
      <c r="E1922" s="3" t="s">
        <v>24</v>
      </c>
      <c r="F1922" s="3" t="s">
        <v>25</v>
      </c>
      <c r="G1922" s="3" t="s">
        <v>116</v>
      </c>
      <c r="H1922" s="3" t="s">
        <v>77</v>
      </c>
      <c r="I1922" s="3" t="s">
        <v>131</v>
      </c>
      <c r="J1922" s="3" t="n">
        <v>14</v>
      </c>
      <c r="K1922" s="3" t="n">
        <v>3394.4</v>
      </c>
      <c r="L1922" s="3" t="n">
        <v>47521.6</v>
      </c>
      <c r="M1922" s="3" t="n">
        <v>0.192</v>
      </c>
      <c r="N1922" s="3" t="n">
        <v>9124.15</v>
      </c>
      <c r="O1922" s="3" t="n">
        <v>38397.45</v>
      </c>
      <c r="P1922" s="3" t="n">
        <v>32314.69</v>
      </c>
      <c r="Q1922" s="3" t="n">
        <v>6082.76</v>
      </c>
      <c r="R1922" s="3" t="n">
        <v>0.1584</v>
      </c>
      <c r="S1922" s="3" t="n">
        <v>0.2087</v>
      </c>
      <c r="T1922" s="3" t="n">
        <v>-0.0167</v>
      </c>
    </row>
    <row r="1923" customFormat="false" ht="15" hidden="false" customHeight="true" outlineLevel="0" collapsed="false">
      <c r="A1923" s="3" t="s">
        <v>2903</v>
      </c>
      <c r="B1923" s="3" t="s">
        <v>1613</v>
      </c>
      <c r="C1923" s="3" t="s">
        <v>60</v>
      </c>
      <c r="D1923" s="3" t="s">
        <v>32</v>
      </c>
      <c r="E1923" s="3" t="s">
        <v>33</v>
      </c>
      <c r="F1923" s="3" t="s">
        <v>25</v>
      </c>
      <c r="G1923" s="3" t="s">
        <v>41</v>
      </c>
      <c r="H1923" s="3" t="s">
        <v>42</v>
      </c>
      <c r="I1923" s="3" t="s">
        <v>43</v>
      </c>
      <c r="J1923" s="3" t="n">
        <v>37</v>
      </c>
      <c r="K1923" s="3" t="n">
        <v>1043.17</v>
      </c>
      <c r="L1923" s="3" t="n">
        <v>38597.29</v>
      </c>
      <c r="M1923" s="3" t="n">
        <v>0.1691</v>
      </c>
      <c r="N1923" s="3" t="n">
        <v>6526.8</v>
      </c>
      <c r="O1923" s="3" t="n">
        <v>32070.49</v>
      </c>
      <c r="P1923" s="3" t="n">
        <v>21228.51</v>
      </c>
      <c r="Q1923" s="3" t="n">
        <v>10841.98</v>
      </c>
      <c r="R1923" s="3" t="n">
        <v>0.3381</v>
      </c>
      <c r="S1923" s="3" t="n">
        <v>0.1837</v>
      </c>
      <c r="T1923" s="3" t="n">
        <v>-0.0146</v>
      </c>
    </row>
    <row r="1924" customFormat="false" ht="15" hidden="false" customHeight="true" outlineLevel="0" collapsed="false">
      <c r="A1924" s="3" t="s">
        <v>2904</v>
      </c>
      <c r="B1924" s="3" t="s">
        <v>1106</v>
      </c>
      <c r="C1924" s="3" t="s">
        <v>53</v>
      </c>
      <c r="D1924" s="3" t="s">
        <v>97</v>
      </c>
      <c r="E1924" s="3" t="s">
        <v>48</v>
      </c>
      <c r="F1924" s="3" t="s">
        <v>40</v>
      </c>
      <c r="G1924" s="3" t="s">
        <v>71</v>
      </c>
      <c r="H1924" s="3" t="s">
        <v>77</v>
      </c>
      <c r="I1924" s="3" t="s">
        <v>78</v>
      </c>
      <c r="J1924" s="3" t="n">
        <v>5</v>
      </c>
      <c r="K1924" s="3" t="n">
        <v>5298.56</v>
      </c>
      <c r="L1924" s="3" t="n">
        <v>26492.8</v>
      </c>
      <c r="M1924" s="3" t="n">
        <v>0.062</v>
      </c>
      <c r="N1924" s="3" t="n">
        <v>1642.55</v>
      </c>
      <c r="O1924" s="3" t="n">
        <v>24850.25</v>
      </c>
      <c r="P1924" s="3" t="n">
        <v>18015.1</v>
      </c>
      <c r="Q1924" s="3" t="n">
        <v>6835.15</v>
      </c>
      <c r="R1924" s="3" t="n">
        <v>0.2751</v>
      </c>
      <c r="S1924" s="3" t="n">
        <v>0.0599</v>
      </c>
      <c r="T1924" s="3" t="n">
        <v>0.0021</v>
      </c>
    </row>
    <row r="1925" customFormat="false" ht="15" hidden="false" customHeight="true" outlineLevel="0" collapsed="false">
      <c r="A1925" s="3" t="s">
        <v>2905</v>
      </c>
      <c r="B1925" s="3" t="s">
        <v>2200</v>
      </c>
      <c r="C1925" s="3" t="s">
        <v>113</v>
      </c>
      <c r="D1925" s="3" t="s">
        <v>75</v>
      </c>
      <c r="E1925" s="3" t="s">
        <v>39</v>
      </c>
      <c r="F1925" s="3" t="s">
        <v>25</v>
      </c>
      <c r="G1925" s="3" t="s">
        <v>49</v>
      </c>
      <c r="H1925" s="3" t="s">
        <v>64</v>
      </c>
      <c r="I1925" s="3" t="s">
        <v>108</v>
      </c>
      <c r="J1925" s="3" t="n">
        <v>45</v>
      </c>
      <c r="K1925" s="3" t="n">
        <v>8879.88</v>
      </c>
      <c r="L1925" s="3" t="n">
        <v>399594.6</v>
      </c>
      <c r="M1925" s="3" t="n">
        <v>0.1814</v>
      </c>
      <c r="N1925" s="3" t="n">
        <v>72486.46</v>
      </c>
      <c r="O1925" s="3" t="n">
        <v>327108.14</v>
      </c>
      <c r="P1925" s="3" t="n">
        <v>231764.87</v>
      </c>
      <c r="Q1925" s="3" t="n">
        <v>95343.27</v>
      </c>
      <c r="R1925" s="3" t="n">
        <v>0.2915</v>
      </c>
      <c r="S1925" s="3" t="n">
        <v>0.1625</v>
      </c>
      <c r="T1925" s="3" t="n">
        <v>0.0189</v>
      </c>
    </row>
    <row r="1926" customFormat="false" ht="15" hidden="false" customHeight="true" outlineLevel="0" collapsed="false">
      <c r="A1926" s="3" t="s">
        <v>2906</v>
      </c>
      <c r="B1926" s="3" t="s">
        <v>2019</v>
      </c>
      <c r="C1926" s="3" t="s">
        <v>68</v>
      </c>
      <c r="D1926" s="3" t="s">
        <v>54</v>
      </c>
      <c r="E1926" s="3" t="s">
        <v>24</v>
      </c>
      <c r="F1926" s="3" t="s">
        <v>40</v>
      </c>
      <c r="G1926" s="3" t="s">
        <v>116</v>
      </c>
      <c r="H1926" s="3" t="s">
        <v>42</v>
      </c>
      <c r="I1926" s="3" t="s">
        <v>134</v>
      </c>
      <c r="J1926" s="3" t="n">
        <v>42</v>
      </c>
      <c r="K1926" s="3" t="n">
        <v>2211.86</v>
      </c>
      <c r="L1926" s="3" t="n">
        <v>92898.12</v>
      </c>
      <c r="M1926" s="3" t="n">
        <v>0.1029</v>
      </c>
      <c r="N1926" s="3" t="n">
        <v>9559.22</v>
      </c>
      <c r="O1926" s="3" t="n">
        <v>83338.9</v>
      </c>
      <c r="P1926" s="3" t="n">
        <v>51093.97</v>
      </c>
      <c r="Q1926" s="3" t="n">
        <v>32244.93</v>
      </c>
      <c r="R1926" s="3" t="n">
        <v>0.3869</v>
      </c>
      <c r="S1926" s="3" t="n">
        <v>0.0891</v>
      </c>
      <c r="T1926" s="3" t="n">
        <v>0.0138</v>
      </c>
    </row>
    <row r="1927" customFormat="false" ht="15" hidden="false" customHeight="true" outlineLevel="0" collapsed="false">
      <c r="A1927" s="3" t="s">
        <v>2907</v>
      </c>
      <c r="B1927" s="3" t="s">
        <v>1502</v>
      </c>
      <c r="C1927" s="3" t="s">
        <v>68</v>
      </c>
      <c r="D1927" s="3" t="s">
        <v>47</v>
      </c>
      <c r="E1927" s="3" t="s">
        <v>48</v>
      </c>
      <c r="F1927" s="3" t="s">
        <v>25</v>
      </c>
      <c r="G1927" s="3" t="s">
        <v>104</v>
      </c>
      <c r="H1927" s="3" t="s">
        <v>42</v>
      </c>
      <c r="I1927" s="3" t="s">
        <v>43</v>
      </c>
      <c r="J1927" s="3" t="n">
        <v>17</v>
      </c>
      <c r="K1927" s="3" t="n">
        <v>2498.65</v>
      </c>
      <c r="L1927" s="3" t="n">
        <v>42477.05</v>
      </c>
      <c r="M1927" s="3" t="n">
        <v>0.2176</v>
      </c>
      <c r="N1927" s="3" t="n">
        <v>9243.01</v>
      </c>
      <c r="O1927" s="3" t="n">
        <v>33234.04</v>
      </c>
      <c r="P1927" s="3" t="n">
        <v>23362.38</v>
      </c>
      <c r="Q1927" s="3" t="n">
        <v>9871.66</v>
      </c>
      <c r="R1927" s="3" t="n">
        <v>0.297</v>
      </c>
      <c r="S1927" s="3" t="n">
        <v>0.214</v>
      </c>
      <c r="T1927" s="3" t="n">
        <v>0.0036</v>
      </c>
    </row>
    <row r="1928" customFormat="false" ht="15" hidden="false" customHeight="true" outlineLevel="0" collapsed="false">
      <c r="A1928" s="3" t="s">
        <v>2908</v>
      </c>
      <c r="B1928" s="3" t="s">
        <v>2610</v>
      </c>
      <c r="C1928" s="3" t="s">
        <v>113</v>
      </c>
      <c r="D1928" s="3" t="s">
        <v>97</v>
      </c>
      <c r="E1928" s="3" t="s">
        <v>48</v>
      </c>
      <c r="F1928" s="3" t="s">
        <v>40</v>
      </c>
      <c r="G1928" s="3" t="s">
        <v>84</v>
      </c>
      <c r="H1928" s="3" t="s">
        <v>27</v>
      </c>
      <c r="I1928" s="3" t="s">
        <v>117</v>
      </c>
      <c r="J1928" s="3" t="n">
        <v>38</v>
      </c>
      <c r="K1928" s="3" t="n">
        <v>27315.44</v>
      </c>
      <c r="L1928" s="3" t="n">
        <v>1037986.72</v>
      </c>
      <c r="M1928" s="3" t="n">
        <v>0.0519</v>
      </c>
      <c r="N1928" s="3" t="n">
        <v>53871.51</v>
      </c>
      <c r="O1928" s="3" t="n">
        <v>984115.21</v>
      </c>
      <c r="P1928" s="3" t="n">
        <v>643551.77</v>
      </c>
      <c r="Q1928" s="3" t="n">
        <v>340563.44</v>
      </c>
      <c r="R1928" s="3" t="n">
        <v>0.3461</v>
      </c>
      <c r="S1928" s="3" t="n">
        <v>0.0504</v>
      </c>
      <c r="T1928" s="3" t="n">
        <v>0.0015</v>
      </c>
    </row>
    <row r="1929" customFormat="false" ht="15" hidden="false" customHeight="true" outlineLevel="0" collapsed="false">
      <c r="A1929" s="3" t="s">
        <v>2909</v>
      </c>
      <c r="B1929" s="3" t="s">
        <v>2910</v>
      </c>
      <c r="C1929" s="3" t="s">
        <v>68</v>
      </c>
      <c r="D1929" s="3" t="s">
        <v>83</v>
      </c>
      <c r="E1929" s="3" t="s">
        <v>48</v>
      </c>
      <c r="F1929" s="3" t="s">
        <v>62</v>
      </c>
      <c r="G1929" s="3" t="s">
        <v>104</v>
      </c>
      <c r="H1929" s="3" t="s">
        <v>27</v>
      </c>
      <c r="I1929" s="3" t="s">
        <v>117</v>
      </c>
      <c r="J1929" s="3" t="n">
        <v>43</v>
      </c>
      <c r="K1929" s="3" t="n">
        <v>18595.51</v>
      </c>
      <c r="L1929" s="3" t="n">
        <v>799606.93</v>
      </c>
      <c r="M1929" s="3" t="n">
        <v>0.1138</v>
      </c>
      <c r="N1929" s="3" t="n">
        <v>90995.27</v>
      </c>
      <c r="O1929" s="3" t="n">
        <v>708611.66</v>
      </c>
      <c r="P1929" s="3" t="n">
        <v>495756.3</v>
      </c>
      <c r="Q1929" s="3" t="n">
        <v>212855.36</v>
      </c>
      <c r="R1929" s="3" t="n">
        <v>0.3004</v>
      </c>
      <c r="S1929" s="3" t="n">
        <v>0.1221</v>
      </c>
      <c r="T1929" s="3" t="n">
        <v>-0.0083</v>
      </c>
    </row>
    <row r="1930" customFormat="false" ht="15" hidden="false" customHeight="true" outlineLevel="0" collapsed="false">
      <c r="A1930" s="3" t="s">
        <v>2911</v>
      </c>
      <c r="B1930" s="3" t="s">
        <v>452</v>
      </c>
      <c r="C1930" s="3" t="s">
        <v>68</v>
      </c>
      <c r="D1930" s="3" t="s">
        <v>97</v>
      </c>
      <c r="E1930" s="3" t="s">
        <v>48</v>
      </c>
      <c r="F1930" s="3" t="s">
        <v>40</v>
      </c>
      <c r="G1930" s="3" t="s">
        <v>84</v>
      </c>
      <c r="H1930" s="3" t="s">
        <v>27</v>
      </c>
      <c r="I1930" s="3" t="s">
        <v>117</v>
      </c>
      <c r="J1930" s="3" t="n">
        <v>21</v>
      </c>
      <c r="K1930" s="3" t="n">
        <v>30653.4</v>
      </c>
      <c r="L1930" s="3" t="n">
        <v>643721.4</v>
      </c>
      <c r="M1930" s="3" t="n">
        <v>0.0369</v>
      </c>
      <c r="N1930" s="3" t="n">
        <v>23753.32</v>
      </c>
      <c r="O1930" s="3" t="n">
        <v>619968.08</v>
      </c>
      <c r="P1930" s="3" t="n">
        <v>399107.27</v>
      </c>
      <c r="Q1930" s="3" t="n">
        <v>220860.81</v>
      </c>
      <c r="R1930" s="3" t="n">
        <v>0.3562</v>
      </c>
      <c r="S1930" s="3" t="n">
        <v>0.0322</v>
      </c>
      <c r="T1930" s="3" t="n">
        <v>0.0047</v>
      </c>
    </row>
    <row r="1931" customFormat="false" ht="15" hidden="false" customHeight="true" outlineLevel="0" collapsed="false">
      <c r="A1931" s="3" t="s">
        <v>2912</v>
      </c>
      <c r="B1931" s="3" t="s">
        <v>1738</v>
      </c>
      <c r="C1931" s="3" t="s">
        <v>113</v>
      </c>
      <c r="D1931" s="3" t="s">
        <v>75</v>
      </c>
      <c r="E1931" s="3" t="s">
        <v>39</v>
      </c>
      <c r="F1931" s="3" t="s">
        <v>25</v>
      </c>
      <c r="G1931" s="3" t="s">
        <v>41</v>
      </c>
      <c r="H1931" s="3" t="s">
        <v>27</v>
      </c>
      <c r="I1931" s="3" t="s">
        <v>28</v>
      </c>
      <c r="J1931" s="3" t="n">
        <v>26</v>
      </c>
      <c r="K1931" s="3" t="n">
        <v>33383.48</v>
      </c>
      <c r="L1931" s="3" t="n">
        <v>867970.48</v>
      </c>
      <c r="M1931" s="3" t="n">
        <v>0.1867</v>
      </c>
      <c r="N1931" s="3" t="n">
        <v>162050.09</v>
      </c>
      <c r="O1931" s="3" t="n">
        <v>705920.39</v>
      </c>
      <c r="P1931" s="3" t="n">
        <v>538141.7</v>
      </c>
      <c r="Q1931" s="3" t="n">
        <v>167778.69</v>
      </c>
      <c r="R1931" s="3" t="n">
        <v>0.2377</v>
      </c>
      <c r="S1931" s="3" t="n">
        <v>0.1591</v>
      </c>
      <c r="T1931" s="3" t="n">
        <v>0.0276</v>
      </c>
    </row>
    <row r="1932" customFormat="false" ht="15" hidden="false" customHeight="true" outlineLevel="0" collapsed="false">
      <c r="A1932" s="3" t="s">
        <v>2913</v>
      </c>
      <c r="B1932" s="3" t="s">
        <v>2629</v>
      </c>
      <c r="C1932" s="3" t="s">
        <v>68</v>
      </c>
      <c r="D1932" s="3" t="s">
        <v>32</v>
      </c>
      <c r="E1932" s="3" t="s">
        <v>33</v>
      </c>
      <c r="F1932" s="3" t="s">
        <v>25</v>
      </c>
      <c r="G1932" s="3" t="s">
        <v>84</v>
      </c>
      <c r="H1932" s="3" t="s">
        <v>42</v>
      </c>
      <c r="I1932" s="3" t="s">
        <v>72</v>
      </c>
      <c r="J1932" s="3" t="n">
        <v>44</v>
      </c>
      <c r="K1932" s="3" t="n">
        <v>2623.03</v>
      </c>
      <c r="L1932" s="3" t="n">
        <v>115413.32</v>
      </c>
      <c r="M1932" s="3" t="n">
        <v>0.1557</v>
      </c>
      <c r="N1932" s="3" t="n">
        <v>17969.85</v>
      </c>
      <c r="O1932" s="3" t="n">
        <v>97443.47</v>
      </c>
      <c r="P1932" s="3" t="n">
        <v>63477.33</v>
      </c>
      <c r="Q1932" s="3" t="n">
        <v>33966.14</v>
      </c>
      <c r="R1932" s="3" t="n">
        <v>0.3486</v>
      </c>
      <c r="S1932" s="3" t="n">
        <v>0.1649</v>
      </c>
      <c r="T1932" s="3" t="n">
        <v>-0.0092</v>
      </c>
    </row>
    <row r="1933" customFormat="false" ht="15" hidden="false" customHeight="true" outlineLevel="0" collapsed="false">
      <c r="A1933" s="3" t="s">
        <v>2914</v>
      </c>
      <c r="B1933" s="3" t="s">
        <v>2915</v>
      </c>
      <c r="C1933" s="3" t="s">
        <v>68</v>
      </c>
      <c r="D1933" s="3" t="s">
        <v>83</v>
      </c>
      <c r="E1933" s="3" t="s">
        <v>48</v>
      </c>
      <c r="F1933" s="3" t="s">
        <v>62</v>
      </c>
      <c r="G1933" s="3" t="s">
        <v>34</v>
      </c>
      <c r="H1933" s="3" t="s">
        <v>42</v>
      </c>
      <c r="I1933" s="3" t="s">
        <v>72</v>
      </c>
      <c r="J1933" s="3" t="n">
        <v>47</v>
      </c>
      <c r="K1933" s="3" t="n">
        <v>2926.62</v>
      </c>
      <c r="L1933" s="3" t="n">
        <v>137551.14</v>
      </c>
      <c r="M1933" s="3" t="n">
        <v>0.1001</v>
      </c>
      <c r="N1933" s="3" t="n">
        <v>13768.87</v>
      </c>
      <c r="O1933" s="3" t="n">
        <v>123782.27</v>
      </c>
      <c r="P1933" s="3" t="n">
        <v>75653.13</v>
      </c>
      <c r="Q1933" s="3" t="n">
        <v>48129.14</v>
      </c>
      <c r="R1933" s="3" t="n">
        <v>0.3888</v>
      </c>
      <c r="S1933" s="3" t="n">
        <v>0.0908</v>
      </c>
      <c r="T1933" s="3" t="n">
        <v>0.0093</v>
      </c>
    </row>
    <row r="1934" customFormat="false" ht="15" hidden="false" customHeight="true" outlineLevel="0" collapsed="false">
      <c r="A1934" s="3" t="s">
        <v>2916</v>
      </c>
      <c r="B1934" s="3" t="s">
        <v>714</v>
      </c>
      <c r="C1934" s="3" t="s">
        <v>156</v>
      </c>
      <c r="D1934" s="3" t="s">
        <v>69</v>
      </c>
      <c r="E1934" s="3" t="s">
        <v>39</v>
      </c>
      <c r="F1934" s="3" t="s">
        <v>70</v>
      </c>
      <c r="G1934" s="3" t="s">
        <v>104</v>
      </c>
      <c r="H1934" s="3" t="s">
        <v>56</v>
      </c>
      <c r="I1934" s="3" t="s">
        <v>57</v>
      </c>
      <c r="J1934" s="3" t="n">
        <v>49</v>
      </c>
      <c r="K1934" s="3" t="n">
        <v>14779.07</v>
      </c>
      <c r="L1934" s="3" t="n">
        <v>724174.43</v>
      </c>
      <c r="M1934" s="3" t="n">
        <v>0.1221</v>
      </c>
      <c r="N1934" s="3" t="n">
        <v>88421.7</v>
      </c>
      <c r="O1934" s="3" t="n">
        <v>635752.73</v>
      </c>
      <c r="P1934" s="3" t="n">
        <v>434504.66</v>
      </c>
      <c r="Q1934" s="3" t="n">
        <v>201248.07</v>
      </c>
      <c r="R1934" s="3" t="n">
        <v>0.3166</v>
      </c>
      <c r="S1934" s="3" t="n">
        <v>0.105</v>
      </c>
      <c r="T1934" s="3" t="n">
        <v>0.0171</v>
      </c>
    </row>
    <row r="1935" customFormat="false" ht="15" hidden="false" customHeight="true" outlineLevel="0" collapsed="false">
      <c r="A1935" s="3" t="s">
        <v>2917</v>
      </c>
      <c r="B1935" s="3" t="s">
        <v>2535</v>
      </c>
      <c r="C1935" s="3" t="s">
        <v>37</v>
      </c>
      <c r="D1935" s="3" t="s">
        <v>54</v>
      </c>
      <c r="E1935" s="3" t="s">
        <v>24</v>
      </c>
      <c r="F1935" s="3" t="s">
        <v>40</v>
      </c>
      <c r="G1935" s="3" t="s">
        <v>63</v>
      </c>
      <c r="H1935" s="3" t="s">
        <v>42</v>
      </c>
      <c r="I1935" s="3" t="s">
        <v>43</v>
      </c>
      <c r="J1935" s="3" t="n">
        <v>37</v>
      </c>
      <c r="K1935" s="3" t="n">
        <v>2758.92</v>
      </c>
      <c r="L1935" s="3" t="n">
        <v>102080.04</v>
      </c>
      <c r="M1935" s="3" t="n">
        <v>0.0728</v>
      </c>
      <c r="N1935" s="3" t="n">
        <v>7431.43</v>
      </c>
      <c r="O1935" s="3" t="n">
        <v>94648.61</v>
      </c>
      <c r="P1935" s="3" t="n">
        <v>56144.02</v>
      </c>
      <c r="Q1935" s="3" t="n">
        <v>38504.59</v>
      </c>
      <c r="R1935" s="3" t="n">
        <v>0.4068</v>
      </c>
      <c r="S1935" s="3" t="n">
        <v>0.0606</v>
      </c>
      <c r="T1935" s="3" t="n">
        <v>0.0122</v>
      </c>
    </row>
    <row r="1936" customFormat="false" ht="15" hidden="false" customHeight="true" outlineLevel="0" collapsed="false">
      <c r="A1936" s="3" t="s">
        <v>2918</v>
      </c>
      <c r="B1936" s="3" t="s">
        <v>2919</v>
      </c>
      <c r="C1936" s="3" t="s">
        <v>156</v>
      </c>
      <c r="D1936" s="3" t="s">
        <v>61</v>
      </c>
      <c r="E1936" s="3" t="s">
        <v>33</v>
      </c>
      <c r="F1936" s="3" t="s">
        <v>62</v>
      </c>
      <c r="G1936" s="3" t="s">
        <v>34</v>
      </c>
      <c r="H1936" s="3" t="s">
        <v>42</v>
      </c>
      <c r="I1936" s="3" t="s">
        <v>43</v>
      </c>
      <c r="J1936" s="3" t="n">
        <v>37</v>
      </c>
      <c r="K1936" s="3" t="n">
        <v>3552.02</v>
      </c>
      <c r="L1936" s="3" t="n">
        <v>131424.74</v>
      </c>
      <c r="M1936" s="3" t="n">
        <v>0.1296</v>
      </c>
      <c r="N1936" s="3" t="n">
        <v>17032.65</v>
      </c>
      <c r="O1936" s="3" t="n">
        <v>114392.09</v>
      </c>
      <c r="P1936" s="3" t="n">
        <v>72283.61</v>
      </c>
      <c r="Q1936" s="3" t="n">
        <v>42108.48</v>
      </c>
      <c r="R1936" s="3" t="n">
        <v>0.3681</v>
      </c>
      <c r="S1936" s="3" t="n">
        <v>0.134</v>
      </c>
      <c r="T1936" s="3" t="n">
        <v>-0.0044</v>
      </c>
    </row>
    <row r="1937" customFormat="false" ht="15" hidden="false" customHeight="true" outlineLevel="0" collapsed="false">
      <c r="A1937" s="3" t="s">
        <v>2920</v>
      </c>
      <c r="B1937" s="3" t="s">
        <v>454</v>
      </c>
      <c r="C1937" s="3" t="s">
        <v>126</v>
      </c>
      <c r="D1937" s="3" t="s">
        <v>23</v>
      </c>
      <c r="E1937" s="3" t="s">
        <v>24</v>
      </c>
      <c r="F1937" s="3" t="s">
        <v>25</v>
      </c>
      <c r="G1937" s="3" t="s">
        <v>26</v>
      </c>
      <c r="H1937" s="3" t="s">
        <v>56</v>
      </c>
      <c r="I1937" s="3" t="s">
        <v>188</v>
      </c>
      <c r="J1937" s="3" t="n">
        <v>48</v>
      </c>
      <c r="K1937" s="3" t="n">
        <v>17069.24</v>
      </c>
      <c r="L1937" s="3" t="n">
        <v>819323.52</v>
      </c>
      <c r="M1937" s="3" t="n">
        <v>0.0893</v>
      </c>
      <c r="N1937" s="3" t="n">
        <v>73165.59</v>
      </c>
      <c r="O1937" s="3" t="n">
        <v>746157.93</v>
      </c>
      <c r="P1937" s="3" t="n">
        <v>491594.11</v>
      </c>
      <c r="Q1937" s="3" t="n">
        <v>254563.82</v>
      </c>
      <c r="R1937" s="3" t="n">
        <v>0.3412</v>
      </c>
      <c r="S1937" s="3" t="n">
        <v>0.0768</v>
      </c>
      <c r="T1937" s="3" t="n">
        <v>0.0125</v>
      </c>
    </row>
    <row r="1938" customFormat="false" ht="15" hidden="false" customHeight="true" outlineLevel="0" collapsed="false">
      <c r="A1938" s="3" t="s">
        <v>2921</v>
      </c>
      <c r="B1938" s="3" t="s">
        <v>1381</v>
      </c>
      <c r="C1938" s="3" t="s">
        <v>93</v>
      </c>
      <c r="D1938" s="3" t="s">
        <v>54</v>
      </c>
      <c r="E1938" s="3" t="s">
        <v>24</v>
      </c>
      <c r="F1938" s="3" t="s">
        <v>40</v>
      </c>
      <c r="G1938" s="3" t="s">
        <v>104</v>
      </c>
      <c r="H1938" s="3" t="s">
        <v>56</v>
      </c>
      <c r="I1938" s="3" t="s">
        <v>188</v>
      </c>
      <c r="J1938" s="3" t="n">
        <v>13</v>
      </c>
      <c r="K1938" s="3" t="n">
        <v>11793.28</v>
      </c>
      <c r="L1938" s="3" t="n">
        <v>153312.64</v>
      </c>
      <c r="M1938" s="3" t="n">
        <v>0.1186</v>
      </c>
      <c r="N1938" s="3" t="n">
        <v>18182.88</v>
      </c>
      <c r="O1938" s="3" t="n">
        <v>135129.76</v>
      </c>
      <c r="P1938" s="3" t="n">
        <v>91987.58</v>
      </c>
      <c r="Q1938" s="3" t="n">
        <v>43142.18</v>
      </c>
      <c r="R1938" s="3" t="n">
        <v>0.3193</v>
      </c>
      <c r="S1938" s="3" t="n">
        <v>0.0979</v>
      </c>
      <c r="T1938" s="3" t="n">
        <v>0.0207</v>
      </c>
    </row>
    <row r="1939" customFormat="false" ht="15" hidden="false" customHeight="true" outlineLevel="0" collapsed="false">
      <c r="A1939" s="3" t="s">
        <v>2922</v>
      </c>
      <c r="B1939" s="3" t="s">
        <v>2026</v>
      </c>
      <c r="C1939" s="3" t="s">
        <v>60</v>
      </c>
      <c r="D1939" s="3" t="s">
        <v>23</v>
      </c>
      <c r="E1939" s="3" t="s">
        <v>24</v>
      </c>
      <c r="F1939" s="3" t="s">
        <v>25</v>
      </c>
      <c r="G1939" s="3" t="s">
        <v>116</v>
      </c>
      <c r="H1939" s="3" t="s">
        <v>56</v>
      </c>
      <c r="I1939" s="3" t="s">
        <v>57</v>
      </c>
      <c r="J1939" s="3" t="n">
        <v>8</v>
      </c>
      <c r="K1939" s="3" t="n">
        <v>11739.16</v>
      </c>
      <c r="L1939" s="3" t="n">
        <v>93913.28</v>
      </c>
      <c r="M1939" s="3" t="n">
        <v>0.1072</v>
      </c>
      <c r="N1939" s="3" t="n">
        <v>10067.5</v>
      </c>
      <c r="O1939" s="3" t="n">
        <v>83845.78</v>
      </c>
      <c r="P1939" s="3" t="n">
        <v>56347.97</v>
      </c>
      <c r="Q1939" s="3" t="n">
        <v>27497.81</v>
      </c>
      <c r="R1939" s="3" t="n">
        <v>0.328</v>
      </c>
      <c r="S1939" s="3" t="n">
        <v>0.0895</v>
      </c>
      <c r="T1939" s="3" t="n">
        <v>0.0177</v>
      </c>
    </row>
    <row r="1940" customFormat="false" ht="15" hidden="false" customHeight="true" outlineLevel="0" collapsed="false">
      <c r="A1940" s="3" t="s">
        <v>2923</v>
      </c>
      <c r="B1940" s="3" t="s">
        <v>2924</v>
      </c>
      <c r="C1940" s="3" t="s">
        <v>120</v>
      </c>
      <c r="D1940" s="3" t="s">
        <v>75</v>
      </c>
      <c r="E1940" s="3" t="s">
        <v>39</v>
      </c>
      <c r="F1940" s="3" t="s">
        <v>25</v>
      </c>
      <c r="G1940" s="3" t="s">
        <v>63</v>
      </c>
      <c r="H1940" s="3" t="s">
        <v>27</v>
      </c>
      <c r="I1940" s="3" t="s">
        <v>173</v>
      </c>
      <c r="J1940" s="3" t="n">
        <v>43</v>
      </c>
      <c r="K1940" s="3" t="n">
        <v>22929.69</v>
      </c>
      <c r="L1940" s="3" t="n">
        <v>985976.67</v>
      </c>
      <c r="M1940" s="3" t="n">
        <v>0.0862</v>
      </c>
      <c r="N1940" s="3" t="n">
        <v>84991.19</v>
      </c>
      <c r="O1940" s="3" t="n">
        <v>900985.48</v>
      </c>
      <c r="P1940" s="3" t="n">
        <v>611305.54</v>
      </c>
      <c r="Q1940" s="3" t="n">
        <v>289679.94</v>
      </c>
      <c r="R1940" s="3" t="n">
        <v>0.3215</v>
      </c>
      <c r="S1940" s="3" t="n">
        <v>0.072</v>
      </c>
      <c r="T1940" s="3" t="n">
        <v>0.0142</v>
      </c>
    </row>
    <row r="1941" customFormat="false" ht="15" hidden="false" customHeight="true" outlineLevel="0" collapsed="false">
      <c r="A1941" s="3" t="s">
        <v>2925</v>
      </c>
      <c r="B1941" s="3" t="s">
        <v>1310</v>
      </c>
      <c r="C1941" s="3" t="s">
        <v>37</v>
      </c>
      <c r="D1941" s="3" t="s">
        <v>47</v>
      </c>
      <c r="E1941" s="3" t="s">
        <v>48</v>
      </c>
      <c r="F1941" s="3" t="s">
        <v>25</v>
      </c>
      <c r="G1941" s="3" t="s">
        <v>41</v>
      </c>
      <c r="H1941" s="3" t="s">
        <v>77</v>
      </c>
      <c r="I1941" s="3" t="s">
        <v>131</v>
      </c>
      <c r="J1941" s="3" t="n">
        <v>3</v>
      </c>
      <c r="K1941" s="3" t="n">
        <v>5583.77</v>
      </c>
      <c r="L1941" s="3" t="n">
        <v>16751.31</v>
      </c>
      <c r="M1941" s="3" t="n">
        <v>0.1716</v>
      </c>
      <c r="N1941" s="3" t="n">
        <v>2874.52</v>
      </c>
      <c r="O1941" s="3" t="n">
        <v>13876.79</v>
      </c>
      <c r="P1941" s="3" t="n">
        <v>11390.89</v>
      </c>
      <c r="Q1941" s="3" t="n">
        <v>2485.9</v>
      </c>
      <c r="R1941" s="3" t="n">
        <v>0.1791</v>
      </c>
      <c r="S1941" s="3" t="n">
        <v>0.1714</v>
      </c>
      <c r="T1941" s="3" t="n">
        <v>0.0002</v>
      </c>
    </row>
    <row r="1942" customFormat="false" ht="15" hidden="false" customHeight="true" outlineLevel="0" collapsed="false">
      <c r="A1942" s="3" t="s">
        <v>2926</v>
      </c>
      <c r="B1942" s="3" t="s">
        <v>900</v>
      </c>
      <c r="C1942" s="3" t="s">
        <v>113</v>
      </c>
      <c r="D1942" s="3" t="s">
        <v>107</v>
      </c>
      <c r="E1942" s="3" t="s">
        <v>33</v>
      </c>
      <c r="F1942" s="3" t="s">
        <v>70</v>
      </c>
      <c r="G1942" s="3" t="s">
        <v>34</v>
      </c>
      <c r="H1942" s="3" t="s">
        <v>77</v>
      </c>
      <c r="I1942" s="3" t="s">
        <v>131</v>
      </c>
      <c r="J1942" s="3" t="n">
        <v>48</v>
      </c>
      <c r="K1942" s="3" t="n">
        <v>5642.32</v>
      </c>
      <c r="L1942" s="3" t="n">
        <v>270831.36</v>
      </c>
      <c r="M1942" s="3" t="n">
        <v>0.088</v>
      </c>
      <c r="N1942" s="3" t="n">
        <v>23833.16</v>
      </c>
      <c r="O1942" s="3" t="n">
        <v>246998.2</v>
      </c>
      <c r="P1942" s="3" t="n">
        <v>184165.32</v>
      </c>
      <c r="Q1942" s="3" t="n">
        <v>62832.88</v>
      </c>
      <c r="R1942" s="3" t="n">
        <v>0.2544</v>
      </c>
      <c r="S1942" s="3" t="n">
        <v>0.0818</v>
      </c>
      <c r="T1942" s="3" t="n">
        <v>0.0062</v>
      </c>
    </row>
    <row r="1943" customFormat="false" ht="15" hidden="false" customHeight="true" outlineLevel="0" collapsed="false">
      <c r="A1943" s="3" t="s">
        <v>2927</v>
      </c>
      <c r="B1943" s="3" t="s">
        <v>217</v>
      </c>
      <c r="C1943" s="3" t="s">
        <v>126</v>
      </c>
      <c r="D1943" s="3" t="s">
        <v>103</v>
      </c>
      <c r="E1943" s="3" t="s">
        <v>24</v>
      </c>
      <c r="F1943" s="3" t="s">
        <v>62</v>
      </c>
      <c r="G1943" s="3" t="s">
        <v>71</v>
      </c>
      <c r="H1943" s="3" t="s">
        <v>64</v>
      </c>
      <c r="I1943" s="3" t="s">
        <v>65</v>
      </c>
      <c r="J1943" s="3" t="n">
        <v>42</v>
      </c>
      <c r="K1943" s="3" t="n">
        <v>4609.54</v>
      </c>
      <c r="L1943" s="3" t="n">
        <v>193600.68</v>
      </c>
      <c r="M1943" s="3" t="n">
        <v>0.0738</v>
      </c>
      <c r="N1943" s="3" t="n">
        <v>14287.73</v>
      </c>
      <c r="O1943" s="3" t="n">
        <v>179312.95</v>
      </c>
      <c r="P1943" s="3" t="n">
        <v>112288.39</v>
      </c>
      <c r="Q1943" s="3" t="n">
        <v>67024.56</v>
      </c>
      <c r="R1943" s="3" t="n">
        <v>0.3738</v>
      </c>
      <c r="S1943" s="3" t="n">
        <v>0.0763</v>
      </c>
      <c r="T1943" s="3" t="n">
        <v>-0.0025</v>
      </c>
    </row>
    <row r="1944" customFormat="false" ht="15" hidden="false" customHeight="true" outlineLevel="0" collapsed="false">
      <c r="A1944" s="3" t="s">
        <v>2928</v>
      </c>
      <c r="B1944" s="3" t="s">
        <v>722</v>
      </c>
      <c r="C1944" s="3" t="s">
        <v>46</v>
      </c>
      <c r="D1944" s="3" t="s">
        <v>61</v>
      </c>
      <c r="E1944" s="3" t="s">
        <v>33</v>
      </c>
      <c r="F1944" s="3" t="s">
        <v>62</v>
      </c>
      <c r="G1944" s="3" t="s">
        <v>41</v>
      </c>
      <c r="H1944" s="3" t="s">
        <v>64</v>
      </c>
      <c r="I1944" s="3" t="s">
        <v>145</v>
      </c>
      <c r="J1944" s="3" t="n">
        <v>19</v>
      </c>
      <c r="K1944" s="3" t="n">
        <v>3904.13</v>
      </c>
      <c r="L1944" s="3" t="n">
        <v>74178.47</v>
      </c>
      <c r="M1944" s="3" t="n">
        <v>0.0735</v>
      </c>
      <c r="N1944" s="3" t="n">
        <v>5452.12</v>
      </c>
      <c r="O1944" s="3" t="n">
        <v>68726.35</v>
      </c>
      <c r="P1944" s="3" t="n">
        <v>43023.51</v>
      </c>
      <c r="Q1944" s="3" t="n">
        <v>25702.84</v>
      </c>
      <c r="R1944" s="3" t="n">
        <v>0.374</v>
      </c>
      <c r="S1944" s="3" t="n">
        <v>0.0726</v>
      </c>
      <c r="T1944" s="3" t="n">
        <v>0.0009</v>
      </c>
    </row>
    <row r="1945" customFormat="false" ht="15" hidden="false" customHeight="true" outlineLevel="0" collapsed="false">
      <c r="A1945" s="3" t="s">
        <v>2929</v>
      </c>
      <c r="B1945" s="3" t="s">
        <v>2265</v>
      </c>
      <c r="C1945" s="3" t="s">
        <v>120</v>
      </c>
      <c r="D1945" s="3" t="s">
        <v>75</v>
      </c>
      <c r="E1945" s="3" t="s">
        <v>39</v>
      </c>
      <c r="F1945" s="3" t="s">
        <v>25</v>
      </c>
      <c r="G1945" s="3" t="s">
        <v>55</v>
      </c>
      <c r="H1945" s="3" t="s">
        <v>42</v>
      </c>
      <c r="I1945" s="3" t="s">
        <v>43</v>
      </c>
      <c r="J1945" s="3" t="n">
        <v>9</v>
      </c>
      <c r="K1945" s="3" t="n">
        <v>2827.23</v>
      </c>
      <c r="L1945" s="3" t="n">
        <v>25445.07</v>
      </c>
      <c r="M1945" s="3" t="n">
        <v>0.1004</v>
      </c>
      <c r="N1945" s="3" t="n">
        <v>2554.69</v>
      </c>
      <c r="O1945" s="3" t="n">
        <v>22890.38</v>
      </c>
      <c r="P1945" s="3" t="n">
        <v>13994.79</v>
      </c>
      <c r="Q1945" s="3" t="n">
        <v>8895.59</v>
      </c>
      <c r="R1945" s="3" t="n">
        <v>0.3886</v>
      </c>
      <c r="S1945" s="3" t="n">
        <v>0.0809</v>
      </c>
      <c r="T1945" s="3" t="n">
        <v>0.0195</v>
      </c>
    </row>
    <row r="1946" customFormat="false" ht="15" hidden="false" customHeight="true" outlineLevel="0" collapsed="false">
      <c r="A1946" s="3" t="s">
        <v>2930</v>
      </c>
      <c r="B1946" s="3" t="s">
        <v>704</v>
      </c>
      <c r="C1946" s="3" t="s">
        <v>156</v>
      </c>
      <c r="D1946" s="3" t="s">
        <v>38</v>
      </c>
      <c r="E1946" s="3" t="s">
        <v>39</v>
      </c>
      <c r="F1946" s="3" t="s">
        <v>40</v>
      </c>
      <c r="G1946" s="3" t="s">
        <v>49</v>
      </c>
      <c r="H1946" s="3" t="s">
        <v>64</v>
      </c>
      <c r="I1946" s="3" t="s">
        <v>145</v>
      </c>
      <c r="J1946" s="3" t="n">
        <v>5</v>
      </c>
      <c r="K1946" s="3" t="n">
        <v>9494.17</v>
      </c>
      <c r="L1946" s="3" t="n">
        <v>47470.85</v>
      </c>
      <c r="M1946" s="3" t="n">
        <v>0.0705</v>
      </c>
      <c r="N1946" s="3" t="n">
        <v>3346.69</v>
      </c>
      <c r="O1946" s="3" t="n">
        <v>44124.16</v>
      </c>
      <c r="P1946" s="3" t="n">
        <v>27533.09</v>
      </c>
      <c r="Q1946" s="3" t="n">
        <v>16591.07</v>
      </c>
      <c r="R1946" s="3" t="n">
        <v>0.376</v>
      </c>
      <c r="S1946" s="3" t="n">
        <v>0.0735</v>
      </c>
      <c r="T1946" s="3" t="n">
        <v>-0.003</v>
      </c>
    </row>
    <row r="1947" customFormat="false" ht="15" hidden="false" customHeight="true" outlineLevel="0" collapsed="false">
      <c r="A1947" s="3" t="s">
        <v>2931</v>
      </c>
      <c r="B1947" s="3" t="s">
        <v>2932</v>
      </c>
      <c r="C1947" s="3" t="s">
        <v>156</v>
      </c>
      <c r="D1947" s="3" t="s">
        <v>69</v>
      </c>
      <c r="E1947" s="3" t="s">
        <v>39</v>
      </c>
      <c r="F1947" s="3" t="s">
        <v>70</v>
      </c>
      <c r="G1947" s="3" t="s">
        <v>49</v>
      </c>
      <c r="H1947" s="3" t="s">
        <v>56</v>
      </c>
      <c r="I1947" s="3" t="s">
        <v>121</v>
      </c>
      <c r="J1947" s="3" t="n">
        <v>45</v>
      </c>
      <c r="K1947" s="3" t="n">
        <v>4051.25</v>
      </c>
      <c r="L1947" s="3" t="n">
        <v>182306.25</v>
      </c>
      <c r="M1947" s="3" t="n">
        <v>0.0592</v>
      </c>
      <c r="N1947" s="3" t="n">
        <v>10792.53</v>
      </c>
      <c r="O1947" s="3" t="n">
        <v>171513.72</v>
      </c>
      <c r="P1947" s="3" t="n">
        <v>109383.75</v>
      </c>
      <c r="Q1947" s="3" t="n">
        <v>62129.97</v>
      </c>
      <c r="R1947" s="3" t="n">
        <v>0.3622</v>
      </c>
      <c r="S1947" s="3" t="n">
        <v>0.0611</v>
      </c>
      <c r="T1947" s="3" t="n">
        <v>-0.0019</v>
      </c>
    </row>
    <row r="1948" customFormat="false" ht="15" hidden="false" customHeight="true" outlineLevel="0" collapsed="false">
      <c r="A1948" s="3" t="s">
        <v>2933</v>
      </c>
      <c r="B1948" s="3" t="s">
        <v>2934</v>
      </c>
      <c r="C1948" s="3" t="s">
        <v>46</v>
      </c>
      <c r="D1948" s="3" t="s">
        <v>69</v>
      </c>
      <c r="E1948" s="3" t="s">
        <v>39</v>
      </c>
      <c r="F1948" s="3" t="s">
        <v>70</v>
      </c>
      <c r="G1948" s="3" t="s">
        <v>41</v>
      </c>
      <c r="H1948" s="3" t="s">
        <v>77</v>
      </c>
      <c r="I1948" s="3" t="s">
        <v>131</v>
      </c>
      <c r="J1948" s="3" t="n">
        <v>28</v>
      </c>
      <c r="K1948" s="3" t="n">
        <v>2522.22</v>
      </c>
      <c r="L1948" s="3" t="n">
        <v>70622.16</v>
      </c>
      <c r="M1948" s="3" t="n">
        <v>0.1187</v>
      </c>
      <c r="N1948" s="3" t="n">
        <v>8382.85</v>
      </c>
      <c r="O1948" s="3" t="n">
        <v>62239.31</v>
      </c>
      <c r="P1948" s="3" t="n">
        <v>48023.07</v>
      </c>
      <c r="Q1948" s="3" t="n">
        <v>14216.24</v>
      </c>
      <c r="R1948" s="3" t="n">
        <v>0.2284</v>
      </c>
      <c r="S1948" s="3" t="n">
        <v>0.1088</v>
      </c>
      <c r="T1948" s="3" t="n">
        <v>0.0099</v>
      </c>
    </row>
    <row r="1949" customFormat="false" ht="15" hidden="false" customHeight="true" outlineLevel="0" collapsed="false">
      <c r="A1949" s="3" t="s">
        <v>2935</v>
      </c>
      <c r="B1949" s="3" t="s">
        <v>2936</v>
      </c>
      <c r="C1949" s="3" t="s">
        <v>93</v>
      </c>
      <c r="D1949" s="3" t="s">
        <v>75</v>
      </c>
      <c r="E1949" s="3" t="s">
        <v>39</v>
      </c>
      <c r="F1949" s="3" t="s">
        <v>25</v>
      </c>
      <c r="G1949" s="3" t="s">
        <v>76</v>
      </c>
      <c r="H1949" s="3" t="s">
        <v>64</v>
      </c>
      <c r="I1949" s="3" t="s">
        <v>65</v>
      </c>
      <c r="J1949" s="3" t="n">
        <v>48</v>
      </c>
      <c r="K1949" s="3" t="n">
        <v>11473.61</v>
      </c>
      <c r="L1949" s="3" t="n">
        <v>550733.28</v>
      </c>
      <c r="M1949" s="3" t="n">
        <v>0.111</v>
      </c>
      <c r="N1949" s="3" t="n">
        <v>61131.39</v>
      </c>
      <c r="O1949" s="3" t="n">
        <v>489601.89</v>
      </c>
      <c r="P1949" s="3" t="n">
        <v>319425.3</v>
      </c>
      <c r="Q1949" s="3" t="n">
        <v>170176.59</v>
      </c>
      <c r="R1949" s="3" t="n">
        <v>0.3476</v>
      </c>
      <c r="S1949" s="3" t="n">
        <v>0.1198</v>
      </c>
      <c r="T1949" s="3" t="n">
        <v>-0.0088</v>
      </c>
    </row>
    <row r="1950" customFormat="false" ht="15" hidden="false" customHeight="true" outlineLevel="0" collapsed="false">
      <c r="A1950" s="3" t="s">
        <v>2937</v>
      </c>
      <c r="B1950" s="3" t="s">
        <v>2938</v>
      </c>
      <c r="C1950" s="3" t="s">
        <v>60</v>
      </c>
      <c r="D1950" s="3" t="s">
        <v>47</v>
      </c>
      <c r="E1950" s="3" t="s">
        <v>48</v>
      </c>
      <c r="F1950" s="3" t="s">
        <v>25</v>
      </c>
      <c r="G1950" s="3" t="s">
        <v>55</v>
      </c>
      <c r="H1950" s="3" t="s">
        <v>27</v>
      </c>
      <c r="I1950" s="3" t="s">
        <v>50</v>
      </c>
      <c r="J1950" s="3" t="n">
        <v>15</v>
      </c>
      <c r="K1950" s="3" t="n">
        <v>13182.52</v>
      </c>
      <c r="L1950" s="3" t="n">
        <v>197737.8</v>
      </c>
      <c r="M1950" s="3" t="n">
        <v>0.1201</v>
      </c>
      <c r="N1950" s="3" t="n">
        <v>23748.31</v>
      </c>
      <c r="O1950" s="3" t="n">
        <v>173989.49</v>
      </c>
      <c r="P1950" s="3" t="n">
        <v>122597.44</v>
      </c>
      <c r="Q1950" s="3" t="n">
        <v>51392.05</v>
      </c>
      <c r="R1950" s="3" t="n">
        <v>0.2954</v>
      </c>
      <c r="S1950" s="3" t="n">
        <v>0.1177</v>
      </c>
      <c r="T1950" s="3" t="n">
        <v>0.0024</v>
      </c>
    </row>
    <row r="1951" customFormat="false" ht="15" hidden="false" customHeight="true" outlineLevel="0" collapsed="false">
      <c r="A1951" s="3" t="s">
        <v>2939</v>
      </c>
      <c r="B1951" s="3" t="s">
        <v>1402</v>
      </c>
      <c r="C1951" s="3" t="s">
        <v>31</v>
      </c>
      <c r="D1951" s="3" t="s">
        <v>32</v>
      </c>
      <c r="E1951" s="3" t="s">
        <v>33</v>
      </c>
      <c r="F1951" s="3" t="s">
        <v>25</v>
      </c>
      <c r="G1951" s="3" t="s">
        <v>26</v>
      </c>
      <c r="H1951" s="3" t="s">
        <v>77</v>
      </c>
      <c r="I1951" s="3" t="s">
        <v>85</v>
      </c>
      <c r="J1951" s="3" t="n">
        <v>28</v>
      </c>
      <c r="K1951" s="3" t="n">
        <v>5827.17</v>
      </c>
      <c r="L1951" s="3" t="n">
        <v>163160.76</v>
      </c>
      <c r="M1951" s="3" t="n">
        <v>0.1386</v>
      </c>
      <c r="N1951" s="3" t="n">
        <v>22614.08</v>
      </c>
      <c r="O1951" s="3" t="n">
        <v>140546.68</v>
      </c>
      <c r="P1951" s="3" t="n">
        <v>110949.32</v>
      </c>
      <c r="Q1951" s="3" t="n">
        <v>29597.36</v>
      </c>
      <c r="R1951" s="3" t="n">
        <v>0.2106</v>
      </c>
      <c r="S1951" s="3" t="n">
        <v>0.1203</v>
      </c>
      <c r="T1951" s="3" t="n">
        <v>0.0183</v>
      </c>
    </row>
    <row r="1952" customFormat="false" ht="15" hidden="false" customHeight="true" outlineLevel="0" collapsed="false">
      <c r="A1952" s="3" t="s">
        <v>2940</v>
      </c>
      <c r="B1952" s="3" t="s">
        <v>1041</v>
      </c>
      <c r="C1952" s="3" t="s">
        <v>60</v>
      </c>
      <c r="D1952" s="3" t="s">
        <v>75</v>
      </c>
      <c r="E1952" s="3" t="s">
        <v>39</v>
      </c>
      <c r="F1952" s="3" t="s">
        <v>25</v>
      </c>
      <c r="G1952" s="3" t="s">
        <v>71</v>
      </c>
      <c r="H1952" s="3" t="s">
        <v>42</v>
      </c>
      <c r="I1952" s="3" t="s">
        <v>72</v>
      </c>
      <c r="J1952" s="3" t="n">
        <v>7</v>
      </c>
      <c r="K1952" s="3" t="n">
        <v>3808.03</v>
      </c>
      <c r="L1952" s="3" t="n">
        <v>26656.21</v>
      </c>
      <c r="M1952" s="3" t="n">
        <v>0.108</v>
      </c>
      <c r="N1952" s="3" t="n">
        <v>2878.87</v>
      </c>
      <c r="O1952" s="3" t="n">
        <v>23777.34</v>
      </c>
      <c r="P1952" s="3" t="n">
        <v>14660.92</v>
      </c>
      <c r="Q1952" s="3" t="n">
        <v>9116.42</v>
      </c>
      <c r="R1952" s="3" t="n">
        <v>0.3834</v>
      </c>
      <c r="S1952" s="3" t="n">
        <v>0.1132</v>
      </c>
      <c r="T1952" s="3" t="n">
        <v>-0.0052</v>
      </c>
    </row>
    <row r="1953" customFormat="false" ht="15" hidden="false" customHeight="true" outlineLevel="0" collapsed="false">
      <c r="A1953" s="3" t="s">
        <v>2941</v>
      </c>
      <c r="B1953" s="3" t="s">
        <v>2932</v>
      </c>
      <c r="C1953" s="3" t="s">
        <v>156</v>
      </c>
      <c r="D1953" s="3" t="s">
        <v>23</v>
      </c>
      <c r="E1953" s="3" t="s">
        <v>24</v>
      </c>
      <c r="F1953" s="3" t="s">
        <v>25</v>
      </c>
      <c r="G1953" s="3" t="s">
        <v>26</v>
      </c>
      <c r="H1953" s="3" t="s">
        <v>27</v>
      </c>
      <c r="I1953" s="3" t="s">
        <v>117</v>
      </c>
      <c r="J1953" s="3" t="n">
        <v>19</v>
      </c>
      <c r="K1953" s="3" t="n">
        <v>30730.62</v>
      </c>
      <c r="L1953" s="3" t="n">
        <v>583881.78</v>
      </c>
      <c r="M1953" s="3" t="n">
        <v>0.0763</v>
      </c>
      <c r="N1953" s="3" t="n">
        <v>44550.18</v>
      </c>
      <c r="O1953" s="3" t="n">
        <v>539331.6</v>
      </c>
      <c r="P1953" s="3" t="n">
        <v>362006.7</v>
      </c>
      <c r="Q1953" s="3" t="n">
        <v>177324.9</v>
      </c>
      <c r="R1953" s="3" t="n">
        <v>0.3288</v>
      </c>
      <c r="S1953" s="3" t="n">
        <v>0.0752</v>
      </c>
      <c r="T1953" s="3" t="n">
        <v>0.0011</v>
      </c>
    </row>
    <row r="1954" customFormat="false" ht="15" hidden="false" customHeight="true" outlineLevel="0" collapsed="false">
      <c r="A1954" s="3" t="s">
        <v>2942</v>
      </c>
      <c r="B1954" s="3" t="s">
        <v>1690</v>
      </c>
      <c r="C1954" s="3" t="s">
        <v>22</v>
      </c>
      <c r="D1954" s="3" t="s">
        <v>47</v>
      </c>
      <c r="E1954" s="3" t="s">
        <v>48</v>
      </c>
      <c r="F1954" s="3" t="s">
        <v>25</v>
      </c>
      <c r="G1954" s="3" t="s">
        <v>71</v>
      </c>
      <c r="H1954" s="3" t="s">
        <v>77</v>
      </c>
      <c r="I1954" s="3" t="s">
        <v>85</v>
      </c>
      <c r="J1954" s="3" t="n">
        <v>28</v>
      </c>
      <c r="K1954" s="3" t="n">
        <v>3367.07</v>
      </c>
      <c r="L1954" s="3" t="n">
        <v>94277.96</v>
      </c>
      <c r="M1954" s="3" t="n">
        <v>0.1393</v>
      </c>
      <c r="N1954" s="3" t="n">
        <v>13132.92</v>
      </c>
      <c r="O1954" s="3" t="n">
        <v>81145.04</v>
      </c>
      <c r="P1954" s="3" t="n">
        <v>64109.01</v>
      </c>
      <c r="Q1954" s="3" t="n">
        <v>17036.03</v>
      </c>
      <c r="R1954" s="3" t="n">
        <v>0.2099</v>
      </c>
      <c r="S1954" s="3" t="n">
        <v>0.127</v>
      </c>
      <c r="T1954" s="3" t="n">
        <v>0.0123</v>
      </c>
    </row>
    <row r="1955" customFormat="false" ht="15" hidden="false" customHeight="true" outlineLevel="0" collapsed="false">
      <c r="A1955" s="3" t="s">
        <v>2943</v>
      </c>
      <c r="B1955" s="3" t="s">
        <v>89</v>
      </c>
      <c r="C1955" s="3" t="s">
        <v>53</v>
      </c>
      <c r="D1955" s="3" t="s">
        <v>38</v>
      </c>
      <c r="E1955" s="3" t="s">
        <v>39</v>
      </c>
      <c r="F1955" s="3" t="s">
        <v>40</v>
      </c>
      <c r="G1955" s="3" t="s">
        <v>76</v>
      </c>
      <c r="H1955" s="3" t="s">
        <v>42</v>
      </c>
      <c r="I1955" s="3" t="s">
        <v>134</v>
      </c>
      <c r="J1955" s="3" t="n">
        <v>12</v>
      </c>
      <c r="K1955" s="3" t="n">
        <v>1988.1</v>
      </c>
      <c r="L1955" s="3" t="n">
        <v>23857.2</v>
      </c>
      <c r="M1955" s="3" t="n">
        <v>0.0773</v>
      </c>
      <c r="N1955" s="3" t="n">
        <v>1844.16</v>
      </c>
      <c r="O1955" s="3" t="n">
        <v>22013.04</v>
      </c>
      <c r="P1955" s="3" t="n">
        <v>13121.46</v>
      </c>
      <c r="Q1955" s="3" t="n">
        <v>8891.58</v>
      </c>
      <c r="R1955" s="3" t="n">
        <v>0.4039</v>
      </c>
      <c r="S1955" s="3" t="n">
        <v>0.073</v>
      </c>
      <c r="T1955" s="3" t="n">
        <v>0.0043</v>
      </c>
    </row>
    <row r="1956" customFormat="false" ht="15" hidden="false" customHeight="true" outlineLevel="0" collapsed="false">
      <c r="A1956" s="3" t="s">
        <v>2944</v>
      </c>
      <c r="B1956" s="3" t="s">
        <v>2046</v>
      </c>
      <c r="C1956" s="3" t="s">
        <v>22</v>
      </c>
      <c r="D1956" s="3" t="s">
        <v>61</v>
      </c>
      <c r="E1956" s="3" t="s">
        <v>33</v>
      </c>
      <c r="F1956" s="3" t="s">
        <v>62</v>
      </c>
      <c r="G1956" s="3" t="s">
        <v>84</v>
      </c>
      <c r="H1956" s="3" t="s">
        <v>64</v>
      </c>
      <c r="I1956" s="3" t="s">
        <v>145</v>
      </c>
      <c r="J1956" s="3" t="n">
        <v>8</v>
      </c>
      <c r="K1956" s="3" t="n">
        <v>6907.66</v>
      </c>
      <c r="L1956" s="3" t="n">
        <v>55261.28</v>
      </c>
      <c r="M1956" s="3" t="n">
        <v>0.0322</v>
      </c>
      <c r="N1956" s="3" t="n">
        <v>1779.41</v>
      </c>
      <c r="O1956" s="3" t="n">
        <v>53481.87</v>
      </c>
      <c r="P1956" s="3" t="n">
        <v>32051.54</v>
      </c>
      <c r="Q1956" s="3" t="n">
        <v>21430.33</v>
      </c>
      <c r="R1956" s="3" t="n">
        <v>0.4007</v>
      </c>
      <c r="S1956" s="3" t="n">
        <v>0.0332</v>
      </c>
      <c r="T1956" s="3" t="n">
        <v>-0.001</v>
      </c>
    </row>
    <row r="1957" customFormat="false" ht="15" hidden="false" customHeight="true" outlineLevel="0" collapsed="false">
      <c r="A1957" s="3" t="s">
        <v>2945</v>
      </c>
      <c r="B1957" s="3" t="s">
        <v>778</v>
      </c>
      <c r="C1957" s="3" t="s">
        <v>120</v>
      </c>
      <c r="D1957" s="3" t="s">
        <v>107</v>
      </c>
      <c r="E1957" s="3" t="s">
        <v>33</v>
      </c>
      <c r="F1957" s="3" t="s">
        <v>70</v>
      </c>
      <c r="G1957" s="3" t="s">
        <v>34</v>
      </c>
      <c r="H1957" s="3" t="s">
        <v>27</v>
      </c>
      <c r="I1957" s="3" t="s">
        <v>28</v>
      </c>
      <c r="J1957" s="3" t="n">
        <v>48</v>
      </c>
      <c r="K1957" s="3" t="n">
        <v>8852.65</v>
      </c>
      <c r="L1957" s="3" t="n">
        <v>424927.2</v>
      </c>
      <c r="M1957" s="3" t="n">
        <v>0.1118</v>
      </c>
      <c r="N1957" s="3" t="n">
        <v>47506.86</v>
      </c>
      <c r="O1957" s="3" t="n">
        <v>377420.34</v>
      </c>
      <c r="P1957" s="3" t="n">
        <v>263454.86</v>
      </c>
      <c r="Q1957" s="3" t="n">
        <v>113965.48</v>
      </c>
      <c r="R1957" s="3" t="n">
        <v>0.302</v>
      </c>
      <c r="S1957" s="3" t="n">
        <v>0.1045</v>
      </c>
      <c r="T1957" s="3" t="n">
        <v>0.0073</v>
      </c>
    </row>
    <row r="1958" customFormat="false" ht="15" hidden="false" customHeight="true" outlineLevel="0" collapsed="false">
      <c r="A1958" s="3" t="s">
        <v>2946</v>
      </c>
      <c r="B1958" s="3" t="s">
        <v>2934</v>
      </c>
      <c r="C1958" s="3" t="s">
        <v>46</v>
      </c>
      <c r="D1958" s="3" t="s">
        <v>54</v>
      </c>
      <c r="E1958" s="3" t="s">
        <v>24</v>
      </c>
      <c r="F1958" s="3" t="s">
        <v>40</v>
      </c>
      <c r="G1958" s="3" t="s">
        <v>41</v>
      </c>
      <c r="H1958" s="3" t="s">
        <v>27</v>
      </c>
      <c r="I1958" s="3" t="s">
        <v>173</v>
      </c>
      <c r="J1958" s="3" t="n">
        <v>3</v>
      </c>
      <c r="K1958" s="3" t="n">
        <v>21561.77</v>
      </c>
      <c r="L1958" s="3" t="n">
        <v>64685.31</v>
      </c>
      <c r="M1958" s="3" t="n">
        <v>0.0979</v>
      </c>
      <c r="N1958" s="3" t="n">
        <v>6332.69</v>
      </c>
      <c r="O1958" s="3" t="n">
        <v>58352.62</v>
      </c>
      <c r="P1958" s="3" t="n">
        <v>40104.89</v>
      </c>
      <c r="Q1958" s="3" t="n">
        <v>18247.73</v>
      </c>
      <c r="R1958" s="3" t="n">
        <v>0.3127</v>
      </c>
      <c r="S1958" s="3" t="n">
        <v>0.0915</v>
      </c>
      <c r="T1958" s="3" t="n">
        <v>0.0064</v>
      </c>
    </row>
    <row r="1959" customFormat="false" ht="15" hidden="false" customHeight="true" outlineLevel="0" collapsed="false">
      <c r="A1959" s="3" t="s">
        <v>2947</v>
      </c>
      <c r="B1959" s="3" t="s">
        <v>2035</v>
      </c>
      <c r="C1959" s="3" t="s">
        <v>113</v>
      </c>
      <c r="D1959" s="3" t="s">
        <v>75</v>
      </c>
      <c r="E1959" s="3" t="s">
        <v>39</v>
      </c>
      <c r="F1959" s="3" t="s">
        <v>25</v>
      </c>
      <c r="G1959" s="3" t="s">
        <v>26</v>
      </c>
      <c r="H1959" s="3" t="s">
        <v>56</v>
      </c>
      <c r="I1959" s="3" t="s">
        <v>188</v>
      </c>
      <c r="J1959" s="3" t="n">
        <v>22</v>
      </c>
      <c r="K1959" s="3" t="n">
        <v>3730.91</v>
      </c>
      <c r="L1959" s="3" t="n">
        <v>82080.02</v>
      </c>
      <c r="M1959" s="3" t="n">
        <v>0.1423</v>
      </c>
      <c r="N1959" s="3" t="n">
        <v>11679.99</v>
      </c>
      <c r="O1959" s="3" t="n">
        <v>70400.03</v>
      </c>
      <c r="P1959" s="3" t="n">
        <v>49248.01</v>
      </c>
      <c r="Q1959" s="3" t="n">
        <v>21152.02</v>
      </c>
      <c r="R1959" s="3" t="n">
        <v>0.3005</v>
      </c>
      <c r="S1959" s="3" t="n">
        <v>0.1355</v>
      </c>
      <c r="T1959" s="3" t="n">
        <v>0.0068</v>
      </c>
    </row>
    <row r="1960" customFormat="false" ht="15" hidden="false" customHeight="true" outlineLevel="0" collapsed="false">
      <c r="A1960" s="3" t="s">
        <v>2948</v>
      </c>
      <c r="B1960" s="3" t="s">
        <v>500</v>
      </c>
      <c r="C1960" s="3" t="s">
        <v>126</v>
      </c>
      <c r="D1960" s="3" t="s">
        <v>47</v>
      </c>
      <c r="E1960" s="3" t="s">
        <v>48</v>
      </c>
      <c r="F1960" s="3" t="s">
        <v>25</v>
      </c>
      <c r="G1960" s="3" t="s">
        <v>34</v>
      </c>
      <c r="H1960" s="3" t="s">
        <v>77</v>
      </c>
      <c r="I1960" s="3" t="s">
        <v>131</v>
      </c>
      <c r="J1960" s="3" t="n">
        <v>46</v>
      </c>
      <c r="K1960" s="3" t="n">
        <v>1458.64</v>
      </c>
      <c r="L1960" s="3" t="n">
        <v>67097.44</v>
      </c>
      <c r="M1960" s="3" t="n">
        <v>0.1097</v>
      </c>
      <c r="N1960" s="3" t="n">
        <v>7360.59</v>
      </c>
      <c r="O1960" s="3" t="n">
        <v>59736.85</v>
      </c>
      <c r="P1960" s="3" t="n">
        <v>45626.26</v>
      </c>
      <c r="Q1960" s="3" t="n">
        <v>14110.59</v>
      </c>
      <c r="R1960" s="3" t="n">
        <v>0.2362</v>
      </c>
      <c r="S1960" s="3" t="n">
        <v>0.0997</v>
      </c>
      <c r="T1960" s="3" t="n">
        <v>0.01</v>
      </c>
    </row>
    <row r="1961" customFormat="false" ht="15" hidden="false" customHeight="true" outlineLevel="0" collapsed="false">
      <c r="A1961" s="3" t="s">
        <v>2949</v>
      </c>
      <c r="B1961" s="3" t="s">
        <v>885</v>
      </c>
      <c r="C1961" s="3" t="s">
        <v>113</v>
      </c>
      <c r="D1961" s="3" t="s">
        <v>107</v>
      </c>
      <c r="E1961" s="3" t="s">
        <v>33</v>
      </c>
      <c r="F1961" s="3" t="s">
        <v>70</v>
      </c>
      <c r="G1961" s="3" t="s">
        <v>76</v>
      </c>
      <c r="H1961" s="3" t="s">
        <v>42</v>
      </c>
      <c r="I1961" s="3" t="s">
        <v>134</v>
      </c>
      <c r="J1961" s="3" t="n">
        <v>26</v>
      </c>
      <c r="K1961" s="3" t="n">
        <v>1198.23</v>
      </c>
      <c r="L1961" s="3" t="n">
        <v>31153.98</v>
      </c>
      <c r="M1961" s="3" t="n">
        <v>0.0387</v>
      </c>
      <c r="N1961" s="3" t="n">
        <v>1205.66</v>
      </c>
      <c r="O1961" s="3" t="n">
        <v>29948.32</v>
      </c>
      <c r="P1961" s="3" t="n">
        <v>17134.69</v>
      </c>
      <c r="Q1961" s="3" t="n">
        <v>12813.63</v>
      </c>
      <c r="R1961" s="3" t="n">
        <v>0.4279</v>
      </c>
      <c r="S1961" s="3" t="n">
        <v>0.0313</v>
      </c>
      <c r="T1961" s="3" t="n">
        <v>0.0074</v>
      </c>
    </row>
    <row r="1962" customFormat="false" ht="15" hidden="false" customHeight="true" outlineLevel="0" collapsed="false">
      <c r="A1962" s="3" t="s">
        <v>2950</v>
      </c>
      <c r="B1962" s="3" t="s">
        <v>1010</v>
      </c>
      <c r="C1962" s="3" t="s">
        <v>93</v>
      </c>
      <c r="D1962" s="3" t="s">
        <v>38</v>
      </c>
      <c r="E1962" s="3" t="s">
        <v>39</v>
      </c>
      <c r="F1962" s="3" t="s">
        <v>40</v>
      </c>
      <c r="G1962" s="3" t="s">
        <v>49</v>
      </c>
      <c r="H1962" s="3" t="s">
        <v>77</v>
      </c>
      <c r="I1962" s="3" t="s">
        <v>131</v>
      </c>
      <c r="J1962" s="3" t="n">
        <v>34</v>
      </c>
      <c r="K1962" s="3" t="n">
        <v>3752.12</v>
      </c>
      <c r="L1962" s="3" t="n">
        <v>127572.08</v>
      </c>
      <c r="M1962" s="3" t="n">
        <v>0.0638</v>
      </c>
      <c r="N1962" s="3" t="n">
        <v>8139.1</v>
      </c>
      <c r="O1962" s="3" t="n">
        <v>119432.98</v>
      </c>
      <c r="P1962" s="3" t="n">
        <v>86749.01</v>
      </c>
      <c r="Q1962" s="3" t="n">
        <v>32683.97</v>
      </c>
      <c r="R1962" s="3" t="n">
        <v>0.2737</v>
      </c>
      <c r="S1962" s="3" t="n">
        <v>0.0592</v>
      </c>
      <c r="T1962" s="3" t="n">
        <v>0.0046</v>
      </c>
    </row>
    <row r="1963" customFormat="false" ht="15" hidden="false" customHeight="true" outlineLevel="0" collapsed="false">
      <c r="A1963" s="3" t="s">
        <v>2951</v>
      </c>
      <c r="B1963" s="3" t="s">
        <v>2400</v>
      </c>
      <c r="C1963" s="3" t="s">
        <v>113</v>
      </c>
      <c r="D1963" s="3" t="s">
        <v>47</v>
      </c>
      <c r="E1963" s="3" t="s">
        <v>48</v>
      </c>
      <c r="F1963" s="3" t="s">
        <v>25</v>
      </c>
      <c r="G1963" s="3" t="s">
        <v>84</v>
      </c>
      <c r="H1963" s="3" t="s">
        <v>56</v>
      </c>
      <c r="I1963" s="3" t="s">
        <v>57</v>
      </c>
      <c r="J1963" s="3" t="n">
        <v>8</v>
      </c>
      <c r="K1963" s="3" t="n">
        <v>2474.94</v>
      </c>
      <c r="L1963" s="3" t="n">
        <v>19799.52</v>
      </c>
      <c r="M1963" s="3" t="n">
        <v>0.1248</v>
      </c>
      <c r="N1963" s="3" t="n">
        <v>2470.98</v>
      </c>
      <c r="O1963" s="3" t="n">
        <v>17328.54</v>
      </c>
      <c r="P1963" s="3" t="n">
        <v>11879.71</v>
      </c>
      <c r="Q1963" s="3" t="n">
        <v>5448.83</v>
      </c>
      <c r="R1963" s="3" t="n">
        <v>0.3144</v>
      </c>
      <c r="S1963" s="3" t="n">
        <v>0.1225</v>
      </c>
      <c r="T1963" s="3" t="n">
        <v>0.0023</v>
      </c>
    </row>
    <row r="1964" customFormat="false" ht="15" hidden="false" customHeight="true" outlineLevel="0" collapsed="false">
      <c r="A1964" s="3" t="s">
        <v>2952</v>
      </c>
      <c r="B1964" s="3" t="s">
        <v>2953</v>
      </c>
      <c r="C1964" s="3" t="s">
        <v>22</v>
      </c>
      <c r="D1964" s="3" t="s">
        <v>75</v>
      </c>
      <c r="E1964" s="3" t="s">
        <v>39</v>
      </c>
      <c r="F1964" s="3" t="s">
        <v>25</v>
      </c>
      <c r="G1964" s="3" t="s">
        <v>63</v>
      </c>
      <c r="H1964" s="3" t="s">
        <v>77</v>
      </c>
      <c r="I1964" s="3" t="s">
        <v>78</v>
      </c>
      <c r="J1964" s="3" t="n">
        <v>28</v>
      </c>
      <c r="K1964" s="3" t="n">
        <v>5470.26</v>
      </c>
      <c r="L1964" s="3" t="n">
        <v>153167.28</v>
      </c>
      <c r="M1964" s="3" t="n">
        <v>0.1175</v>
      </c>
      <c r="N1964" s="3" t="n">
        <v>17997.16</v>
      </c>
      <c r="O1964" s="3" t="n">
        <v>135170.12</v>
      </c>
      <c r="P1964" s="3" t="n">
        <v>104153.75</v>
      </c>
      <c r="Q1964" s="3" t="n">
        <v>31016.37</v>
      </c>
      <c r="R1964" s="3" t="n">
        <v>0.2295</v>
      </c>
      <c r="S1964" s="3" t="n">
        <v>0.1125</v>
      </c>
      <c r="T1964" s="3" t="n">
        <v>0.005</v>
      </c>
    </row>
    <row r="1965" customFormat="false" ht="15" hidden="false" customHeight="true" outlineLevel="0" collapsed="false">
      <c r="A1965" s="3" t="s">
        <v>2954</v>
      </c>
      <c r="B1965" s="3" t="s">
        <v>889</v>
      </c>
      <c r="C1965" s="3" t="s">
        <v>37</v>
      </c>
      <c r="D1965" s="3" t="s">
        <v>75</v>
      </c>
      <c r="E1965" s="3" t="s">
        <v>39</v>
      </c>
      <c r="F1965" s="3" t="s">
        <v>25</v>
      </c>
      <c r="G1965" s="3" t="s">
        <v>104</v>
      </c>
      <c r="H1965" s="3" t="s">
        <v>77</v>
      </c>
      <c r="I1965" s="3" t="s">
        <v>131</v>
      </c>
      <c r="J1965" s="3" t="n">
        <v>18</v>
      </c>
      <c r="K1965" s="3" t="n">
        <v>1476.39</v>
      </c>
      <c r="L1965" s="3" t="n">
        <v>26575.02</v>
      </c>
      <c r="M1965" s="3" t="n">
        <v>0.1566</v>
      </c>
      <c r="N1965" s="3" t="n">
        <v>4161.65</v>
      </c>
      <c r="O1965" s="3" t="n">
        <v>22413.37</v>
      </c>
      <c r="P1965" s="3" t="n">
        <v>18071.01</v>
      </c>
      <c r="Q1965" s="3" t="n">
        <v>4342.36</v>
      </c>
      <c r="R1965" s="3" t="n">
        <v>0.1937</v>
      </c>
      <c r="S1965" s="3" t="n">
        <v>0.1547</v>
      </c>
      <c r="T1965" s="3" t="n">
        <v>0.0019</v>
      </c>
    </row>
    <row r="1966" customFormat="false" ht="15" hidden="false" customHeight="true" outlineLevel="0" collapsed="false">
      <c r="A1966" s="3" t="s">
        <v>2955</v>
      </c>
      <c r="B1966" s="3" t="s">
        <v>200</v>
      </c>
      <c r="C1966" s="3" t="s">
        <v>156</v>
      </c>
      <c r="D1966" s="3" t="s">
        <v>32</v>
      </c>
      <c r="E1966" s="3" t="s">
        <v>33</v>
      </c>
      <c r="F1966" s="3" t="s">
        <v>25</v>
      </c>
      <c r="G1966" s="3" t="s">
        <v>104</v>
      </c>
      <c r="H1966" s="3" t="s">
        <v>27</v>
      </c>
      <c r="I1966" s="3" t="s">
        <v>28</v>
      </c>
      <c r="J1966" s="3" t="n">
        <v>32</v>
      </c>
      <c r="K1966" s="3" t="n">
        <v>22301.8</v>
      </c>
      <c r="L1966" s="3" t="n">
        <v>713657.6</v>
      </c>
      <c r="M1966" s="3" t="n">
        <v>0.1434</v>
      </c>
      <c r="N1966" s="3" t="n">
        <v>102338.5</v>
      </c>
      <c r="O1966" s="3" t="n">
        <v>611319.1</v>
      </c>
      <c r="P1966" s="3" t="n">
        <v>442467.71</v>
      </c>
      <c r="Q1966" s="3" t="n">
        <v>168851.39</v>
      </c>
      <c r="R1966" s="3" t="n">
        <v>0.2762</v>
      </c>
      <c r="S1966" s="3" t="n">
        <v>0.1469</v>
      </c>
      <c r="T1966" s="3" t="n">
        <v>-0.0035</v>
      </c>
    </row>
    <row r="1967" customFormat="false" ht="15" hidden="false" customHeight="true" outlineLevel="0" collapsed="false">
      <c r="A1967" s="3" t="s">
        <v>2956</v>
      </c>
      <c r="B1967" s="3" t="s">
        <v>1123</v>
      </c>
      <c r="C1967" s="3" t="s">
        <v>126</v>
      </c>
      <c r="D1967" s="3" t="s">
        <v>54</v>
      </c>
      <c r="E1967" s="3" t="s">
        <v>24</v>
      </c>
      <c r="F1967" s="3" t="s">
        <v>40</v>
      </c>
      <c r="G1967" s="3" t="s">
        <v>100</v>
      </c>
      <c r="H1967" s="3" t="s">
        <v>56</v>
      </c>
      <c r="I1967" s="3" t="s">
        <v>188</v>
      </c>
      <c r="J1967" s="3" t="n">
        <v>36</v>
      </c>
      <c r="K1967" s="3" t="n">
        <v>14292.36</v>
      </c>
      <c r="L1967" s="3" t="n">
        <v>514524.96</v>
      </c>
      <c r="M1967" s="3" t="n">
        <v>0.0334</v>
      </c>
      <c r="N1967" s="3" t="n">
        <v>17185.13</v>
      </c>
      <c r="O1967" s="3" t="n">
        <v>497339.83</v>
      </c>
      <c r="P1967" s="3" t="n">
        <v>308714.98</v>
      </c>
      <c r="Q1967" s="3" t="n">
        <v>188624.85</v>
      </c>
      <c r="R1967" s="3" t="n">
        <v>0.3793</v>
      </c>
      <c r="S1967" s="3" t="n">
        <v>0.0325</v>
      </c>
      <c r="T1967" s="3" t="n">
        <v>0.0009</v>
      </c>
    </row>
    <row r="1968" customFormat="false" ht="15" hidden="false" customHeight="true" outlineLevel="0" collapsed="false">
      <c r="A1968" s="3" t="s">
        <v>2957</v>
      </c>
      <c r="B1968" s="3" t="s">
        <v>1084</v>
      </c>
      <c r="C1968" s="3" t="s">
        <v>68</v>
      </c>
      <c r="D1968" s="3" t="s">
        <v>103</v>
      </c>
      <c r="E1968" s="3" t="s">
        <v>24</v>
      </c>
      <c r="F1968" s="3" t="s">
        <v>62</v>
      </c>
      <c r="G1968" s="3" t="s">
        <v>49</v>
      </c>
      <c r="H1968" s="3" t="s">
        <v>64</v>
      </c>
      <c r="I1968" s="3" t="s">
        <v>65</v>
      </c>
      <c r="J1968" s="3" t="n">
        <v>3</v>
      </c>
      <c r="K1968" s="3" t="n">
        <v>10060.12</v>
      </c>
      <c r="L1968" s="3" t="n">
        <v>30180.36</v>
      </c>
      <c r="M1968" s="3" t="n">
        <v>0.0428</v>
      </c>
      <c r="N1968" s="3" t="n">
        <v>1291.72</v>
      </c>
      <c r="O1968" s="3" t="n">
        <v>28888.64</v>
      </c>
      <c r="P1968" s="3" t="n">
        <v>17504.61</v>
      </c>
      <c r="Q1968" s="3" t="n">
        <v>11384.03</v>
      </c>
      <c r="R1968" s="3" t="n">
        <v>0.3941</v>
      </c>
      <c r="S1968" s="3" t="n">
        <v>0.0347</v>
      </c>
      <c r="T1968" s="3" t="n">
        <v>0.0081</v>
      </c>
    </row>
    <row r="1969" customFormat="false" ht="15" hidden="false" customHeight="true" outlineLevel="0" collapsed="false">
      <c r="A1969" s="3" t="s">
        <v>2958</v>
      </c>
      <c r="B1969" s="3" t="s">
        <v>1148</v>
      </c>
      <c r="C1969" s="3" t="s">
        <v>68</v>
      </c>
      <c r="D1969" s="3" t="s">
        <v>38</v>
      </c>
      <c r="E1969" s="3" t="s">
        <v>39</v>
      </c>
      <c r="F1969" s="3" t="s">
        <v>40</v>
      </c>
      <c r="G1969" s="3" t="s">
        <v>55</v>
      </c>
      <c r="H1969" s="3" t="s">
        <v>42</v>
      </c>
      <c r="I1969" s="3" t="s">
        <v>72</v>
      </c>
      <c r="J1969" s="3" t="n">
        <v>26</v>
      </c>
      <c r="K1969" s="3" t="n">
        <v>3375.99</v>
      </c>
      <c r="L1969" s="3" t="n">
        <v>87775.74</v>
      </c>
      <c r="M1969" s="3" t="n">
        <v>0.0692</v>
      </c>
      <c r="N1969" s="3" t="n">
        <v>6074.08</v>
      </c>
      <c r="O1969" s="3" t="n">
        <v>81701.66</v>
      </c>
      <c r="P1969" s="3" t="n">
        <v>48276.66</v>
      </c>
      <c r="Q1969" s="3" t="n">
        <v>33425</v>
      </c>
      <c r="R1969" s="3" t="n">
        <v>0.4091</v>
      </c>
      <c r="S1969" s="3" t="n">
        <v>0.0759</v>
      </c>
      <c r="T1969" s="3" t="n">
        <v>-0.0067</v>
      </c>
    </row>
    <row r="1970" customFormat="false" ht="15" hidden="false" customHeight="true" outlineLevel="0" collapsed="false">
      <c r="A1970" s="3" t="s">
        <v>2959</v>
      </c>
      <c r="B1970" s="3" t="s">
        <v>2960</v>
      </c>
      <c r="C1970" s="3" t="s">
        <v>126</v>
      </c>
      <c r="D1970" s="3" t="s">
        <v>23</v>
      </c>
      <c r="E1970" s="3" t="s">
        <v>24</v>
      </c>
      <c r="F1970" s="3" t="s">
        <v>25</v>
      </c>
      <c r="G1970" s="3" t="s">
        <v>34</v>
      </c>
      <c r="H1970" s="3" t="s">
        <v>64</v>
      </c>
      <c r="I1970" s="3" t="s">
        <v>65</v>
      </c>
      <c r="J1970" s="3" t="n">
        <v>29</v>
      </c>
      <c r="K1970" s="3" t="n">
        <v>7169.23</v>
      </c>
      <c r="L1970" s="3" t="n">
        <v>207907.67</v>
      </c>
      <c r="M1970" s="3" t="n">
        <v>0.2046</v>
      </c>
      <c r="N1970" s="3" t="n">
        <v>42537.91</v>
      </c>
      <c r="O1970" s="3" t="n">
        <v>165369.76</v>
      </c>
      <c r="P1970" s="3" t="n">
        <v>120586.45</v>
      </c>
      <c r="Q1970" s="3" t="n">
        <v>44783.31</v>
      </c>
      <c r="R1970" s="3" t="n">
        <v>0.2708</v>
      </c>
      <c r="S1970" s="3" t="n">
        <v>0.17</v>
      </c>
      <c r="T1970" s="3" t="n">
        <v>0.0346</v>
      </c>
    </row>
    <row r="1971" customFormat="false" ht="15" hidden="false" customHeight="true" outlineLevel="0" collapsed="false">
      <c r="A1971" s="3" t="s">
        <v>2961</v>
      </c>
      <c r="B1971" s="3" t="s">
        <v>2846</v>
      </c>
      <c r="C1971" s="3" t="s">
        <v>60</v>
      </c>
      <c r="D1971" s="3" t="s">
        <v>47</v>
      </c>
      <c r="E1971" s="3" t="s">
        <v>48</v>
      </c>
      <c r="F1971" s="3" t="s">
        <v>25</v>
      </c>
      <c r="G1971" s="3" t="s">
        <v>34</v>
      </c>
      <c r="H1971" s="3" t="s">
        <v>27</v>
      </c>
      <c r="I1971" s="3" t="s">
        <v>117</v>
      </c>
      <c r="J1971" s="3" t="n">
        <v>4</v>
      </c>
      <c r="K1971" s="3" t="n">
        <v>23518.57</v>
      </c>
      <c r="L1971" s="3" t="n">
        <v>94074.28</v>
      </c>
      <c r="M1971" s="3" t="n">
        <v>0.1699</v>
      </c>
      <c r="N1971" s="3" t="n">
        <v>15983.22</v>
      </c>
      <c r="O1971" s="3" t="n">
        <v>78091.06</v>
      </c>
      <c r="P1971" s="3" t="n">
        <v>58326.05</v>
      </c>
      <c r="Q1971" s="3" t="n">
        <v>19765.01</v>
      </c>
      <c r="R1971" s="3" t="n">
        <v>0.2531</v>
      </c>
      <c r="S1971" s="3" t="n">
        <v>0.1747</v>
      </c>
      <c r="T1971" s="3" t="n">
        <v>-0.0048</v>
      </c>
    </row>
    <row r="1972" customFormat="false" ht="15" hidden="false" customHeight="true" outlineLevel="0" collapsed="false">
      <c r="A1972" s="3" t="s">
        <v>2962</v>
      </c>
      <c r="B1972" s="3" t="s">
        <v>642</v>
      </c>
      <c r="C1972" s="3" t="s">
        <v>120</v>
      </c>
      <c r="D1972" s="3" t="s">
        <v>47</v>
      </c>
      <c r="E1972" s="3" t="s">
        <v>48</v>
      </c>
      <c r="F1972" s="3" t="s">
        <v>25</v>
      </c>
      <c r="G1972" s="3" t="s">
        <v>26</v>
      </c>
      <c r="H1972" s="3" t="s">
        <v>64</v>
      </c>
      <c r="I1972" s="3" t="s">
        <v>108</v>
      </c>
      <c r="J1972" s="3" t="n">
        <v>33</v>
      </c>
      <c r="K1972" s="3" t="n">
        <v>9199.96</v>
      </c>
      <c r="L1972" s="3" t="n">
        <v>303598.68</v>
      </c>
      <c r="M1972" s="3" t="n">
        <v>0.1511</v>
      </c>
      <c r="N1972" s="3" t="n">
        <v>45873.76</v>
      </c>
      <c r="O1972" s="3" t="n">
        <v>257724.92</v>
      </c>
      <c r="P1972" s="3" t="n">
        <v>176087.23</v>
      </c>
      <c r="Q1972" s="3" t="n">
        <v>81637.69</v>
      </c>
      <c r="R1972" s="3" t="n">
        <v>0.3168</v>
      </c>
      <c r="S1972" s="3" t="n">
        <v>0.166</v>
      </c>
      <c r="T1972" s="3" t="n">
        <v>-0.0149</v>
      </c>
    </row>
    <row r="1973" customFormat="false" ht="15" hidden="false" customHeight="true" outlineLevel="0" collapsed="false">
      <c r="A1973" s="3" t="s">
        <v>2963</v>
      </c>
      <c r="B1973" s="3" t="s">
        <v>2964</v>
      </c>
      <c r="C1973" s="3" t="s">
        <v>31</v>
      </c>
      <c r="D1973" s="3" t="s">
        <v>83</v>
      </c>
      <c r="E1973" s="3" t="s">
        <v>48</v>
      </c>
      <c r="F1973" s="3" t="s">
        <v>62</v>
      </c>
      <c r="G1973" s="3" t="s">
        <v>26</v>
      </c>
      <c r="H1973" s="3" t="s">
        <v>27</v>
      </c>
      <c r="I1973" s="3" t="s">
        <v>28</v>
      </c>
      <c r="J1973" s="3" t="n">
        <v>17</v>
      </c>
      <c r="K1973" s="3" t="n">
        <v>34321.47</v>
      </c>
      <c r="L1973" s="3" t="n">
        <v>583464.99</v>
      </c>
      <c r="M1973" s="3" t="n">
        <v>0.0383</v>
      </c>
      <c r="N1973" s="3" t="n">
        <v>22346.71</v>
      </c>
      <c r="O1973" s="3" t="n">
        <v>561118.28</v>
      </c>
      <c r="P1973" s="3" t="n">
        <v>361748.29</v>
      </c>
      <c r="Q1973" s="3" t="n">
        <v>199369.99</v>
      </c>
      <c r="R1973" s="3" t="n">
        <v>0.3553</v>
      </c>
      <c r="S1973" s="3" t="n">
        <v>0.0403</v>
      </c>
      <c r="T1973" s="3" t="n">
        <v>-0.002</v>
      </c>
    </row>
    <row r="1974" customFormat="false" ht="15" hidden="false" customHeight="true" outlineLevel="0" collapsed="false">
      <c r="A1974" s="3" t="s">
        <v>2965</v>
      </c>
      <c r="B1974" s="3" t="s">
        <v>2240</v>
      </c>
      <c r="C1974" s="3" t="s">
        <v>120</v>
      </c>
      <c r="D1974" s="3" t="s">
        <v>23</v>
      </c>
      <c r="E1974" s="3" t="s">
        <v>24</v>
      </c>
      <c r="F1974" s="3" t="s">
        <v>25</v>
      </c>
      <c r="G1974" s="3" t="s">
        <v>34</v>
      </c>
      <c r="H1974" s="3" t="s">
        <v>64</v>
      </c>
      <c r="I1974" s="3" t="s">
        <v>65</v>
      </c>
      <c r="J1974" s="3" t="n">
        <v>33</v>
      </c>
      <c r="K1974" s="3" t="n">
        <v>7205.42</v>
      </c>
      <c r="L1974" s="3" t="n">
        <v>237778.86</v>
      </c>
      <c r="M1974" s="3" t="n">
        <v>0.2191</v>
      </c>
      <c r="N1974" s="3" t="n">
        <v>52097.35</v>
      </c>
      <c r="O1974" s="3" t="n">
        <v>185681.51</v>
      </c>
      <c r="P1974" s="3" t="n">
        <v>137911.74</v>
      </c>
      <c r="Q1974" s="3" t="n">
        <v>47769.77</v>
      </c>
      <c r="R1974" s="3" t="n">
        <v>0.2573</v>
      </c>
      <c r="S1974" s="3" t="n">
        <v>0.1812</v>
      </c>
      <c r="T1974" s="3" t="n">
        <v>0.0379</v>
      </c>
    </row>
    <row r="1975" customFormat="false" ht="15" hidden="false" customHeight="true" outlineLevel="0" collapsed="false">
      <c r="A1975" s="3" t="s">
        <v>2966</v>
      </c>
      <c r="B1975" s="3" t="s">
        <v>2967</v>
      </c>
      <c r="C1975" s="3" t="s">
        <v>22</v>
      </c>
      <c r="D1975" s="3" t="s">
        <v>32</v>
      </c>
      <c r="E1975" s="3" t="s">
        <v>33</v>
      </c>
      <c r="F1975" s="3" t="s">
        <v>25</v>
      </c>
      <c r="G1975" s="3" t="s">
        <v>71</v>
      </c>
      <c r="H1975" s="3" t="s">
        <v>64</v>
      </c>
      <c r="I1975" s="3" t="s">
        <v>65</v>
      </c>
      <c r="J1975" s="3" t="n">
        <v>41</v>
      </c>
      <c r="K1975" s="3" t="n">
        <v>10229.25</v>
      </c>
      <c r="L1975" s="3" t="n">
        <v>419399.25</v>
      </c>
      <c r="M1975" s="3" t="n">
        <v>0.1509</v>
      </c>
      <c r="N1975" s="3" t="n">
        <v>63287.35</v>
      </c>
      <c r="O1975" s="3" t="n">
        <v>356111.9</v>
      </c>
      <c r="P1975" s="3" t="n">
        <v>243251.56</v>
      </c>
      <c r="Q1975" s="3" t="n">
        <v>112860.34</v>
      </c>
      <c r="R1975" s="3" t="n">
        <v>0.3169</v>
      </c>
      <c r="S1975" s="3" t="n">
        <v>0.1314</v>
      </c>
      <c r="T1975" s="3" t="n">
        <v>0.0195</v>
      </c>
    </row>
    <row r="1976" customFormat="false" ht="15" hidden="false" customHeight="true" outlineLevel="0" collapsed="false">
      <c r="A1976" s="3" t="s">
        <v>2968</v>
      </c>
      <c r="B1976" s="3" t="s">
        <v>2320</v>
      </c>
      <c r="C1976" s="3" t="s">
        <v>120</v>
      </c>
      <c r="D1976" s="3" t="s">
        <v>23</v>
      </c>
      <c r="E1976" s="3" t="s">
        <v>24</v>
      </c>
      <c r="F1976" s="3" t="s">
        <v>25</v>
      </c>
      <c r="G1976" s="3" t="s">
        <v>100</v>
      </c>
      <c r="H1976" s="3" t="s">
        <v>56</v>
      </c>
      <c r="I1976" s="3" t="s">
        <v>121</v>
      </c>
      <c r="J1976" s="3" t="n">
        <v>50</v>
      </c>
      <c r="K1976" s="3" t="n">
        <v>11527.58</v>
      </c>
      <c r="L1976" s="3" t="n">
        <v>576379</v>
      </c>
      <c r="M1976" s="3" t="n">
        <v>0.1713</v>
      </c>
      <c r="N1976" s="3" t="n">
        <v>98733.72</v>
      </c>
      <c r="O1976" s="3" t="n">
        <v>477645.28</v>
      </c>
      <c r="P1976" s="3" t="n">
        <v>345827.4</v>
      </c>
      <c r="Q1976" s="3" t="n">
        <v>131817.88</v>
      </c>
      <c r="R1976" s="3" t="n">
        <v>0.276</v>
      </c>
      <c r="S1976" s="3" t="n">
        <v>0.1413</v>
      </c>
      <c r="T1976" s="3" t="n">
        <v>0.03</v>
      </c>
    </row>
    <row r="1977" customFormat="false" ht="15" hidden="false" customHeight="true" outlineLevel="0" collapsed="false">
      <c r="A1977" s="3" t="s">
        <v>2969</v>
      </c>
      <c r="B1977" s="3" t="s">
        <v>2970</v>
      </c>
      <c r="C1977" s="3" t="s">
        <v>68</v>
      </c>
      <c r="D1977" s="3" t="s">
        <v>83</v>
      </c>
      <c r="E1977" s="3" t="s">
        <v>48</v>
      </c>
      <c r="F1977" s="3" t="s">
        <v>62</v>
      </c>
      <c r="G1977" s="3" t="s">
        <v>100</v>
      </c>
      <c r="H1977" s="3" t="s">
        <v>27</v>
      </c>
      <c r="I1977" s="3" t="s">
        <v>94</v>
      </c>
      <c r="J1977" s="3" t="n">
        <v>19</v>
      </c>
      <c r="K1977" s="3" t="n">
        <v>28030.74</v>
      </c>
      <c r="L1977" s="3" t="n">
        <v>532584.06</v>
      </c>
      <c r="M1977" s="3" t="n">
        <v>0.0764</v>
      </c>
      <c r="N1977" s="3" t="n">
        <v>40689.42</v>
      </c>
      <c r="O1977" s="3" t="n">
        <v>491894.64</v>
      </c>
      <c r="P1977" s="3" t="n">
        <v>330202.12</v>
      </c>
      <c r="Q1977" s="3" t="n">
        <v>161692.52</v>
      </c>
      <c r="R1977" s="3" t="n">
        <v>0.3287</v>
      </c>
      <c r="S1977" s="3" t="n">
        <v>0.0618</v>
      </c>
      <c r="T1977" s="3" t="n">
        <v>0.0146</v>
      </c>
    </row>
    <row r="1978" customFormat="false" ht="15" hidden="false" customHeight="true" outlineLevel="0" collapsed="false">
      <c r="A1978" s="3" t="s">
        <v>2971</v>
      </c>
      <c r="B1978" s="3" t="s">
        <v>2166</v>
      </c>
      <c r="C1978" s="3" t="s">
        <v>120</v>
      </c>
      <c r="D1978" s="3" t="s">
        <v>61</v>
      </c>
      <c r="E1978" s="3" t="s">
        <v>33</v>
      </c>
      <c r="F1978" s="3" t="s">
        <v>62</v>
      </c>
      <c r="G1978" s="3" t="s">
        <v>76</v>
      </c>
      <c r="H1978" s="3" t="s">
        <v>56</v>
      </c>
      <c r="I1978" s="3" t="s">
        <v>57</v>
      </c>
      <c r="J1978" s="3" t="n">
        <v>9</v>
      </c>
      <c r="K1978" s="3" t="n">
        <v>6865.83</v>
      </c>
      <c r="L1978" s="3" t="n">
        <v>61792.47</v>
      </c>
      <c r="M1978" s="3" t="n">
        <v>0.038</v>
      </c>
      <c r="N1978" s="3" t="n">
        <v>2348.11</v>
      </c>
      <c r="O1978" s="3" t="n">
        <v>59444.36</v>
      </c>
      <c r="P1978" s="3" t="n">
        <v>37075.48</v>
      </c>
      <c r="Q1978" s="3" t="n">
        <v>22368.88</v>
      </c>
      <c r="R1978" s="3" t="n">
        <v>0.3763</v>
      </c>
      <c r="S1978" s="3" t="n">
        <v>0.0356</v>
      </c>
      <c r="T1978" s="3" t="n">
        <v>0.0024</v>
      </c>
    </row>
    <row r="1979" customFormat="false" ht="15" hidden="false" customHeight="true" outlineLevel="0" collapsed="false">
      <c r="A1979" s="3" t="s">
        <v>2972</v>
      </c>
      <c r="B1979" s="3" t="s">
        <v>2029</v>
      </c>
      <c r="C1979" s="3" t="s">
        <v>68</v>
      </c>
      <c r="D1979" s="3" t="s">
        <v>103</v>
      </c>
      <c r="E1979" s="3" t="s">
        <v>24</v>
      </c>
      <c r="F1979" s="3" t="s">
        <v>62</v>
      </c>
      <c r="G1979" s="3" t="s">
        <v>26</v>
      </c>
      <c r="H1979" s="3" t="s">
        <v>56</v>
      </c>
      <c r="I1979" s="3" t="s">
        <v>121</v>
      </c>
      <c r="J1979" s="3" t="n">
        <v>37</v>
      </c>
      <c r="K1979" s="3" t="n">
        <v>16833.64</v>
      </c>
      <c r="L1979" s="3" t="n">
        <v>622844.68</v>
      </c>
      <c r="M1979" s="3" t="n">
        <v>0.0791</v>
      </c>
      <c r="N1979" s="3" t="n">
        <v>49267.01</v>
      </c>
      <c r="O1979" s="3" t="n">
        <v>573577.67</v>
      </c>
      <c r="P1979" s="3" t="n">
        <v>373706.81</v>
      </c>
      <c r="Q1979" s="3" t="n">
        <v>199870.86</v>
      </c>
      <c r="R1979" s="3" t="n">
        <v>0.3485</v>
      </c>
      <c r="S1979" s="3" t="n">
        <v>0.0722</v>
      </c>
      <c r="T1979" s="3" t="n">
        <v>0.0069</v>
      </c>
    </row>
    <row r="1980" customFormat="false" ht="15" hidden="false" customHeight="true" outlineLevel="0" collapsed="false">
      <c r="A1980" s="3" t="s">
        <v>2973</v>
      </c>
      <c r="B1980" s="3" t="s">
        <v>183</v>
      </c>
      <c r="C1980" s="3" t="s">
        <v>120</v>
      </c>
      <c r="D1980" s="3" t="s">
        <v>32</v>
      </c>
      <c r="E1980" s="3" t="s">
        <v>33</v>
      </c>
      <c r="F1980" s="3" t="s">
        <v>25</v>
      </c>
      <c r="G1980" s="3" t="s">
        <v>104</v>
      </c>
      <c r="H1980" s="3" t="s">
        <v>56</v>
      </c>
      <c r="I1980" s="3" t="s">
        <v>188</v>
      </c>
      <c r="J1980" s="3" t="n">
        <v>17</v>
      </c>
      <c r="K1980" s="3" t="n">
        <v>14989.92</v>
      </c>
      <c r="L1980" s="3" t="n">
        <v>254828.64</v>
      </c>
      <c r="M1980" s="3" t="n">
        <v>0.1633</v>
      </c>
      <c r="N1980" s="3" t="n">
        <v>41613.52</v>
      </c>
      <c r="O1980" s="3" t="n">
        <v>213215.12</v>
      </c>
      <c r="P1980" s="3" t="n">
        <v>152897.18</v>
      </c>
      <c r="Q1980" s="3" t="n">
        <v>60317.94</v>
      </c>
      <c r="R1980" s="3" t="n">
        <v>0.2829</v>
      </c>
      <c r="S1980" s="3" t="n">
        <v>0.1713</v>
      </c>
      <c r="T1980" s="3" t="n">
        <v>-0.008</v>
      </c>
    </row>
    <row r="1981" customFormat="false" ht="15" hidden="false" customHeight="true" outlineLevel="0" collapsed="false">
      <c r="A1981" s="3" t="s">
        <v>2974</v>
      </c>
      <c r="B1981" s="3" t="s">
        <v>1969</v>
      </c>
      <c r="C1981" s="3" t="s">
        <v>22</v>
      </c>
      <c r="D1981" s="3" t="s">
        <v>75</v>
      </c>
      <c r="E1981" s="3" t="s">
        <v>39</v>
      </c>
      <c r="F1981" s="3" t="s">
        <v>25</v>
      </c>
      <c r="G1981" s="3" t="s">
        <v>55</v>
      </c>
      <c r="H1981" s="3" t="s">
        <v>64</v>
      </c>
      <c r="I1981" s="3" t="s">
        <v>90</v>
      </c>
      <c r="J1981" s="3" t="n">
        <v>39</v>
      </c>
      <c r="K1981" s="3" t="n">
        <v>3766.15</v>
      </c>
      <c r="L1981" s="3" t="n">
        <v>146879.85</v>
      </c>
      <c r="M1981" s="3" t="n">
        <v>0.1513</v>
      </c>
      <c r="N1981" s="3" t="n">
        <v>22222.92</v>
      </c>
      <c r="O1981" s="3" t="n">
        <v>124656.93</v>
      </c>
      <c r="P1981" s="3" t="n">
        <v>85190.31</v>
      </c>
      <c r="Q1981" s="3" t="n">
        <v>39466.62</v>
      </c>
      <c r="R1981" s="3" t="n">
        <v>0.3166</v>
      </c>
      <c r="S1981" s="3" t="n">
        <v>0.1635</v>
      </c>
      <c r="T1981" s="3" t="n">
        <v>-0.0122</v>
      </c>
    </row>
    <row r="1982" customFormat="false" ht="15" hidden="false" customHeight="true" outlineLevel="0" collapsed="false">
      <c r="A1982" s="3" t="s">
        <v>2975</v>
      </c>
      <c r="B1982" s="3" t="s">
        <v>153</v>
      </c>
      <c r="C1982" s="3" t="s">
        <v>31</v>
      </c>
      <c r="D1982" s="3" t="s">
        <v>107</v>
      </c>
      <c r="E1982" s="3" t="s">
        <v>33</v>
      </c>
      <c r="F1982" s="3" t="s">
        <v>70</v>
      </c>
      <c r="G1982" s="3" t="s">
        <v>55</v>
      </c>
      <c r="H1982" s="3" t="s">
        <v>77</v>
      </c>
      <c r="I1982" s="3" t="s">
        <v>85</v>
      </c>
      <c r="J1982" s="3" t="n">
        <v>11</v>
      </c>
      <c r="K1982" s="3" t="n">
        <v>2498</v>
      </c>
      <c r="L1982" s="3" t="n">
        <v>27478</v>
      </c>
      <c r="M1982" s="3" t="n">
        <v>0.06</v>
      </c>
      <c r="N1982" s="3" t="n">
        <v>1648.68</v>
      </c>
      <c r="O1982" s="3" t="n">
        <v>25829.32</v>
      </c>
      <c r="P1982" s="3" t="n">
        <v>18685.04</v>
      </c>
      <c r="Q1982" s="3" t="n">
        <v>7144.28</v>
      </c>
      <c r="R1982" s="3" t="n">
        <v>0.2766</v>
      </c>
      <c r="S1982" s="3" t="n">
        <v>0.0581</v>
      </c>
      <c r="T1982" s="3" t="n">
        <v>0.0019</v>
      </c>
    </row>
    <row r="1983" customFormat="false" ht="15" hidden="false" customHeight="true" outlineLevel="0" collapsed="false">
      <c r="A1983" s="3" t="s">
        <v>2976</v>
      </c>
      <c r="B1983" s="3" t="s">
        <v>521</v>
      </c>
      <c r="C1983" s="3" t="s">
        <v>93</v>
      </c>
      <c r="D1983" s="3" t="s">
        <v>107</v>
      </c>
      <c r="E1983" s="3" t="s">
        <v>33</v>
      </c>
      <c r="F1983" s="3" t="s">
        <v>70</v>
      </c>
      <c r="G1983" s="3" t="s">
        <v>26</v>
      </c>
      <c r="H1983" s="3" t="s">
        <v>64</v>
      </c>
      <c r="I1983" s="3" t="s">
        <v>90</v>
      </c>
      <c r="J1983" s="3" t="n">
        <v>38</v>
      </c>
      <c r="K1983" s="3" t="n">
        <v>9769.41</v>
      </c>
      <c r="L1983" s="3" t="n">
        <v>371237.58</v>
      </c>
      <c r="M1983" s="3" t="n">
        <v>0.0772</v>
      </c>
      <c r="N1983" s="3" t="n">
        <v>28659.54</v>
      </c>
      <c r="O1983" s="3" t="n">
        <v>342578.04</v>
      </c>
      <c r="P1983" s="3" t="n">
        <v>215317.8</v>
      </c>
      <c r="Q1983" s="3" t="n">
        <v>127260.24</v>
      </c>
      <c r="R1983" s="3" t="n">
        <v>0.3715</v>
      </c>
      <c r="S1983" s="3" t="n">
        <v>0.0771</v>
      </c>
      <c r="T1983" s="3" t="n">
        <v>0.0001</v>
      </c>
    </row>
    <row r="1984" customFormat="false" ht="15" hidden="false" customHeight="true" outlineLevel="0" collapsed="false">
      <c r="A1984" s="3" t="s">
        <v>2977</v>
      </c>
      <c r="B1984" s="3" t="s">
        <v>2533</v>
      </c>
      <c r="C1984" s="3" t="s">
        <v>120</v>
      </c>
      <c r="D1984" s="3" t="s">
        <v>32</v>
      </c>
      <c r="E1984" s="3" t="s">
        <v>33</v>
      </c>
      <c r="F1984" s="3" t="s">
        <v>25</v>
      </c>
      <c r="G1984" s="3" t="s">
        <v>55</v>
      </c>
      <c r="H1984" s="3" t="s">
        <v>42</v>
      </c>
      <c r="I1984" s="3" t="s">
        <v>43</v>
      </c>
      <c r="J1984" s="3" t="n">
        <v>46</v>
      </c>
      <c r="K1984" s="3" t="n">
        <v>1741.24</v>
      </c>
      <c r="L1984" s="3" t="n">
        <v>80097.04</v>
      </c>
      <c r="M1984" s="3" t="n">
        <v>0.1483</v>
      </c>
      <c r="N1984" s="3" t="n">
        <v>11878.39</v>
      </c>
      <c r="O1984" s="3" t="n">
        <v>68218.65</v>
      </c>
      <c r="P1984" s="3" t="n">
        <v>44053.37</v>
      </c>
      <c r="Q1984" s="3" t="n">
        <v>24165.28</v>
      </c>
      <c r="R1984" s="3" t="n">
        <v>0.3542</v>
      </c>
      <c r="S1984" s="3" t="n">
        <v>0.1538</v>
      </c>
      <c r="T1984" s="3" t="n">
        <v>-0.0055</v>
      </c>
    </row>
    <row r="1985" customFormat="false" ht="15" hidden="false" customHeight="true" outlineLevel="0" collapsed="false">
      <c r="A1985" s="3" t="s">
        <v>2978</v>
      </c>
      <c r="B1985" s="3" t="s">
        <v>2979</v>
      </c>
      <c r="C1985" s="3" t="s">
        <v>126</v>
      </c>
      <c r="D1985" s="3" t="s">
        <v>47</v>
      </c>
      <c r="E1985" s="3" t="s">
        <v>48</v>
      </c>
      <c r="F1985" s="3" t="s">
        <v>25</v>
      </c>
      <c r="G1985" s="3" t="s">
        <v>63</v>
      </c>
      <c r="H1985" s="3" t="s">
        <v>27</v>
      </c>
      <c r="I1985" s="3" t="s">
        <v>50</v>
      </c>
      <c r="J1985" s="3" t="n">
        <v>36</v>
      </c>
      <c r="K1985" s="3" t="n">
        <v>9408.68</v>
      </c>
      <c r="L1985" s="3" t="n">
        <v>338712.48</v>
      </c>
      <c r="M1985" s="3" t="n">
        <v>0.1163</v>
      </c>
      <c r="N1985" s="3" t="n">
        <v>39392.26</v>
      </c>
      <c r="O1985" s="3" t="n">
        <v>299320.22</v>
      </c>
      <c r="P1985" s="3" t="n">
        <v>210001.74</v>
      </c>
      <c r="Q1985" s="3" t="n">
        <v>89318.48</v>
      </c>
      <c r="R1985" s="3" t="n">
        <v>0.2984</v>
      </c>
      <c r="S1985" s="3" t="n">
        <v>0.1165</v>
      </c>
      <c r="T1985" s="3" t="n">
        <v>-0.0002</v>
      </c>
    </row>
    <row r="1986" customFormat="false" ht="15" hidden="false" customHeight="true" outlineLevel="0" collapsed="false">
      <c r="A1986" s="3" t="s">
        <v>2980</v>
      </c>
      <c r="B1986" s="3" t="s">
        <v>366</v>
      </c>
      <c r="C1986" s="3" t="s">
        <v>93</v>
      </c>
      <c r="D1986" s="3" t="s">
        <v>97</v>
      </c>
      <c r="E1986" s="3" t="s">
        <v>48</v>
      </c>
      <c r="F1986" s="3" t="s">
        <v>40</v>
      </c>
      <c r="G1986" s="3" t="s">
        <v>34</v>
      </c>
      <c r="H1986" s="3" t="s">
        <v>56</v>
      </c>
      <c r="I1986" s="3" t="s">
        <v>121</v>
      </c>
      <c r="J1986" s="3" t="n">
        <v>25</v>
      </c>
      <c r="K1986" s="3" t="n">
        <v>7332.91</v>
      </c>
      <c r="L1986" s="3" t="n">
        <v>183322.75</v>
      </c>
      <c r="M1986" s="3" t="n">
        <v>0.0989</v>
      </c>
      <c r="N1986" s="3" t="n">
        <v>18130.62</v>
      </c>
      <c r="O1986" s="3" t="n">
        <v>165192.13</v>
      </c>
      <c r="P1986" s="3" t="n">
        <v>109993.65</v>
      </c>
      <c r="Q1986" s="3" t="n">
        <v>55198.48</v>
      </c>
      <c r="R1986" s="3" t="n">
        <v>0.3341</v>
      </c>
      <c r="S1986" s="3" t="n">
        <v>0.0963</v>
      </c>
      <c r="T1986" s="3" t="n">
        <v>0.0026</v>
      </c>
    </row>
    <row r="1987" customFormat="false" ht="15" hidden="false" customHeight="true" outlineLevel="0" collapsed="false">
      <c r="A1987" s="3" t="s">
        <v>2981</v>
      </c>
      <c r="B1987" s="3" t="s">
        <v>239</v>
      </c>
      <c r="C1987" s="3" t="s">
        <v>126</v>
      </c>
      <c r="D1987" s="3" t="s">
        <v>23</v>
      </c>
      <c r="E1987" s="3" t="s">
        <v>24</v>
      </c>
      <c r="F1987" s="3" t="s">
        <v>25</v>
      </c>
      <c r="G1987" s="3" t="s">
        <v>76</v>
      </c>
      <c r="H1987" s="3" t="s">
        <v>77</v>
      </c>
      <c r="I1987" s="3" t="s">
        <v>131</v>
      </c>
      <c r="J1987" s="3" t="n">
        <v>39</v>
      </c>
      <c r="K1987" s="3" t="n">
        <v>4271.99</v>
      </c>
      <c r="L1987" s="3" t="n">
        <v>166607.61</v>
      </c>
      <c r="M1987" s="3" t="n">
        <v>0.1725</v>
      </c>
      <c r="N1987" s="3" t="n">
        <v>28739.81</v>
      </c>
      <c r="O1987" s="3" t="n">
        <v>137867.8</v>
      </c>
      <c r="P1987" s="3" t="n">
        <v>113293.17</v>
      </c>
      <c r="Q1987" s="3" t="n">
        <v>24574.63</v>
      </c>
      <c r="R1987" s="3" t="n">
        <v>0.1782</v>
      </c>
      <c r="S1987" s="3" t="n">
        <v>0.1812</v>
      </c>
      <c r="T1987" s="3" t="n">
        <v>-0.0087</v>
      </c>
    </row>
    <row r="1988" customFormat="false" ht="15" hidden="false" customHeight="true" outlineLevel="0" collapsed="false">
      <c r="A1988" s="3" t="s">
        <v>2982</v>
      </c>
      <c r="B1988" s="3" t="s">
        <v>2026</v>
      </c>
      <c r="C1988" s="3" t="s">
        <v>60</v>
      </c>
      <c r="D1988" s="3" t="s">
        <v>47</v>
      </c>
      <c r="E1988" s="3" t="s">
        <v>48</v>
      </c>
      <c r="F1988" s="3" t="s">
        <v>25</v>
      </c>
      <c r="G1988" s="3" t="s">
        <v>34</v>
      </c>
      <c r="H1988" s="3" t="s">
        <v>77</v>
      </c>
      <c r="I1988" s="3" t="s">
        <v>85</v>
      </c>
      <c r="J1988" s="3" t="n">
        <v>40</v>
      </c>
      <c r="K1988" s="3" t="n">
        <v>4657.7</v>
      </c>
      <c r="L1988" s="3" t="n">
        <v>186308</v>
      </c>
      <c r="M1988" s="3" t="n">
        <v>0.1532</v>
      </c>
      <c r="N1988" s="3" t="n">
        <v>28542.39</v>
      </c>
      <c r="O1988" s="3" t="n">
        <v>157765.61</v>
      </c>
      <c r="P1988" s="3" t="n">
        <v>126689.44</v>
      </c>
      <c r="Q1988" s="3" t="n">
        <v>31076.17</v>
      </c>
      <c r="R1988" s="3" t="n">
        <v>0.197</v>
      </c>
      <c r="S1988" s="3" t="n">
        <v>0.1255</v>
      </c>
      <c r="T1988" s="3" t="n">
        <v>0.0277</v>
      </c>
    </row>
    <row r="1989" customFormat="false" ht="15" hidden="false" customHeight="true" outlineLevel="0" collapsed="false">
      <c r="A1989" s="3" t="s">
        <v>2983</v>
      </c>
      <c r="B1989" s="3" t="s">
        <v>160</v>
      </c>
      <c r="C1989" s="3" t="s">
        <v>31</v>
      </c>
      <c r="D1989" s="3" t="s">
        <v>32</v>
      </c>
      <c r="E1989" s="3" t="s">
        <v>33</v>
      </c>
      <c r="F1989" s="3" t="s">
        <v>25</v>
      </c>
      <c r="G1989" s="3" t="s">
        <v>116</v>
      </c>
      <c r="H1989" s="3" t="s">
        <v>64</v>
      </c>
      <c r="I1989" s="3" t="s">
        <v>145</v>
      </c>
      <c r="J1989" s="3" t="n">
        <v>11</v>
      </c>
      <c r="K1989" s="3" t="n">
        <v>6473.42</v>
      </c>
      <c r="L1989" s="3" t="n">
        <v>71207.62</v>
      </c>
      <c r="M1989" s="3" t="n">
        <v>0.1979</v>
      </c>
      <c r="N1989" s="3" t="n">
        <v>14091.99</v>
      </c>
      <c r="O1989" s="3" t="n">
        <v>57115.63</v>
      </c>
      <c r="P1989" s="3" t="n">
        <v>41300.42</v>
      </c>
      <c r="Q1989" s="3" t="n">
        <v>15815.21</v>
      </c>
      <c r="R1989" s="3" t="n">
        <v>0.2769</v>
      </c>
      <c r="S1989" s="3" t="n">
        <v>0.1747</v>
      </c>
      <c r="T1989" s="3" t="n">
        <v>0.0232</v>
      </c>
    </row>
    <row r="1990" customFormat="false" ht="15" hidden="false" customHeight="true" outlineLevel="0" collapsed="false">
      <c r="A1990" s="3" t="s">
        <v>2984</v>
      </c>
      <c r="B1990" s="3" t="s">
        <v>657</v>
      </c>
      <c r="C1990" s="3" t="s">
        <v>68</v>
      </c>
      <c r="D1990" s="3" t="s">
        <v>107</v>
      </c>
      <c r="E1990" s="3" t="s">
        <v>33</v>
      </c>
      <c r="F1990" s="3" t="s">
        <v>70</v>
      </c>
      <c r="G1990" s="3" t="s">
        <v>100</v>
      </c>
      <c r="H1990" s="3" t="s">
        <v>64</v>
      </c>
      <c r="I1990" s="3" t="s">
        <v>65</v>
      </c>
      <c r="J1990" s="3" t="n">
        <v>50</v>
      </c>
      <c r="K1990" s="3" t="n">
        <v>11708.95</v>
      </c>
      <c r="L1990" s="3" t="n">
        <v>585447.5</v>
      </c>
      <c r="M1990" s="3" t="n">
        <v>0.0411</v>
      </c>
      <c r="N1990" s="3" t="n">
        <v>24061.89</v>
      </c>
      <c r="O1990" s="3" t="n">
        <v>561385.61</v>
      </c>
      <c r="P1990" s="3" t="n">
        <v>339559.55</v>
      </c>
      <c r="Q1990" s="3" t="n">
        <v>221826.06</v>
      </c>
      <c r="R1990" s="3" t="n">
        <v>0.3951</v>
      </c>
      <c r="S1990" s="3" t="n">
        <v>0.0378</v>
      </c>
      <c r="T1990" s="3" t="n">
        <v>0.0033</v>
      </c>
    </row>
    <row r="1991" customFormat="false" ht="15" hidden="false" customHeight="true" outlineLevel="0" collapsed="false">
      <c r="A1991" s="3" t="s">
        <v>2985</v>
      </c>
      <c r="B1991" s="3" t="s">
        <v>2760</v>
      </c>
      <c r="C1991" s="3" t="s">
        <v>53</v>
      </c>
      <c r="D1991" s="3" t="s">
        <v>97</v>
      </c>
      <c r="E1991" s="3" t="s">
        <v>48</v>
      </c>
      <c r="F1991" s="3" t="s">
        <v>40</v>
      </c>
      <c r="G1991" s="3" t="s">
        <v>55</v>
      </c>
      <c r="H1991" s="3" t="s">
        <v>56</v>
      </c>
      <c r="I1991" s="3" t="s">
        <v>188</v>
      </c>
      <c r="J1991" s="3" t="n">
        <v>28</v>
      </c>
      <c r="K1991" s="3" t="n">
        <v>2657.41</v>
      </c>
      <c r="L1991" s="3" t="n">
        <v>74407.48</v>
      </c>
      <c r="M1991" s="3" t="n">
        <v>0.0369</v>
      </c>
      <c r="N1991" s="3" t="n">
        <v>2745.64</v>
      </c>
      <c r="O1991" s="3" t="n">
        <v>71661.84</v>
      </c>
      <c r="P1991" s="3" t="n">
        <v>44644.49</v>
      </c>
      <c r="Q1991" s="3" t="n">
        <v>27017.35</v>
      </c>
      <c r="R1991" s="3" t="n">
        <v>0.377</v>
      </c>
      <c r="S1991" s="3" t="n">
        <v>0.0339</v>
      </c>
      <c r="T1991" s="3" t="n">
        <v>0.003</v>
      </c>
    </row>
    <row r="1992" customFormat="false" ht="15" hidden="false" customHeight="true" outlineLevel="0" collapsed="false">
      <c r="A1992" s="3" t="s">
        <v>2986</v>
      </c>
      <c r="B1992" s="3" t="s">
        <v>2924</v>
      </c>
      <c r="C1992" s="3" t="s">
        <v>120</v>
      </c>
      <c r="D1992" s="3" t="s">
        <v>75</v>
      </c>
      <c r="E1992" s="3" t="s">
        <v>39</v>
      </c>
      <c r="F1992" s="3" t="s">
        <v>25</v>
      </c>
      <c r="G1992" s="3" t="s">
        <v>55</v>
      </c>
      <c r="H1992" s="3" t="s">
        <v>56</v>
      </c>
      <c r="I1992" s="3" t="s">
        <v>57</v>
      </c>
      <c r="J1992" s="3" t="n">
        <v>28</v>
      </c>
      <c r="K1992" s="3" t="n">
        <v>11212</v>
      </c>
      <c r="L1992" s="3" t="n">
        <v>313936</v>
      </c>
      <c r="M1992" s="3" t="n">
        <v>0.1377</v>
      </c>
      <c r="N1992" s="3" t="n">
        <v>43228.99</v>
      </c>
      <c r="O1992" s="3" t="n">
        <v>270707.01</v>
      </c>
      <c r="P1992" s="3" t="n">
        <v>188361.6</v>
      </c>
      <c r="Q1992" s="3" t="n">
        <v>82345.41</v>
      </c>
      <c r="R1992" s="3" t="n">
        <v>0.3042</v>
      </c>
      <c r="S1992" s="3" t="n">
        <v>0.1226</v>
      </c>
      <c r="T1992" s="3" t="n">
        <v>0.0151</v>
      </c>
    </row>
    <row r="1993" customFormat="false" ht="15" hidden="false" customHeight="true" outlineLevel="0" collapsed="false">
      <c r="A1993" s="3" t="s">
        <v>2987</v>
      </c>
      <c r="B1993" s="3" t="s">
        <v>2988</v>
      </c>
      <c r="C1993" s="3" t="s">
        <v>60</v>
      </c>
      <c r="D1993" s="3" t="s">
        <v>69</v>
      </c>
      <c r="E1993" s="3" t="s">
        <v>39</v>
      </c>
      <c r="F1993" s="3" t="s">
        <v>70</v>
      </c>
      <c r="G1993" s="3" t="s">
        <v>26</v>
      </c>
      <c r="H1993" s="3" t="s">
        <v>27</v>
      </c>
      <c r="I1993" s="3" t="s">
        <v>94</v>
      </c>
      <c r="J1993" s="3" t="n">
        <v>43</v>
      </c>
      <c r="K1993" s="3" t="n">
        <v>15945.12</v>
      </c>
      <c r="L1993" s="3" t="n">
        <v>685640.16</v>
      </c>
      <c r="M1993" s="3" t="n">
        <v>0.0678</v>
      </c>
      <c r="N1993" s="3" t="n">
        <v>46486.4</v>
      </c>
      <c r="O1993" s="3" t="n">
        <v>639153.76</v>
      </c>
      <c r="P1993" s="3" t="n">
        <v>425096.9</v>
      </c>
      <c r="Q1993" s="3" t="n">
        <v>214056.86</v>
      </c>
      <c r="R1993" s="3" t="n">
        <v>0.3349</v>
      </c>
      <c r="S1993" s="3" t="n">
        <v>0.0745</v>
      </c>
      <c r="T1993" s="3" t="n">
        <v>-0.0067</v>
      </c>
    </row>
    <row r="1994" customFormat="false" ht="15" hidden="false" customHeight="true" outlineLevel="0" collapsed="false">
      <c r="A1994" s="3" t="s">
        <v>2989</v>
      </c>
      <c r="B1994" s="3" t="s">
        <v>2610</v>
      </c>
      <c r="C1994" s="3" t="s">
        <v>113</v>
      </c>
      <c r="D1994" s="3" t="s">
        <v>69</v>
      </c>
      <c r="E1994" s="3" t="s">
        <v>39</v>
      </c>
      <c r="F1994" s="3" t="s">
        <v>70</v>
      </c>
      <c r="G1994" s="3" t="s">
        <v>34</v>
      </c>
      <c r="H1994" s="3" t="s">
        <v>77</v>
      </c>
      <c r="I1994" s="3" t="s">
        <v>131</v>
      </c>
      <c r="J1994" s="3" t="n">
        <v>47</v>
      </c>
      <c r="K1994" s="3" t="n">
        <v>2224.05</v>
      </c>
      <c r="L1994" s="3" t="n">
        <v>104530.35</v>
      </c>
      <c r="M1994" s="3" t="n">
        <v>0.0704</v>
      </c>
      <c r="N1994" s="3" t="n">
        <v>7358.94</v>
      </c>
      <c r="O1994" s="3" t="n">
        <v>97171.41</v>
      </c>
      <c r="P1994" s="3" t="n">
        <v>71080.64</v>
      </c>
      <c r="Q1994" s="3" t="n">
        <v>26090.77</v>
      </c>
      <c r="R1994" s="3" t="n">
        <v>0.2685</v>
      </c>
      <c r="S1994" s="3" t="n">
        <v>0.077</v>
      </c>
      <c r="T1994" s="3" t="n">
        <v>-0.0066</v>
      </c>
    </row>
    <row r="1995" customFormat="false" ht="15" hidden="false" customHeight="true" outlineLevel="0" collapsed="false">
      <c r="A1995" s="3" t="s">
        <v>2990</v>
      </c>
      <c r="B1995" s="3" t="s">
        <v>1748</v>
      </c>
      <c r="C1995" s="3" t="s">
        <v>156</v>
      </c>
      <c r="D1995" s="3" t="s">
        <v>32</v>
      </c>
      <c r="E1995" s="3" t="s">
        <v>33</v>
      </c>
      <c r="F1995" s="3" t="s">
        <v>25</v>
      </c>
      <c r="G1995" s="3" t="s">
        <v>100</v>
      </c>
      <c r="H1995" s="3" t="s">
        <v>42</v>
      </c>
      <c r="I1995" s="3" t="s">
        <v>134</v>
      </c>
      <c r="J1995" s="3" t="n">
        <v>26</v>
      </c>
      <c r="K1995" s="3" t="n">
        <v>2288.65</v>
      </c>
      <c r="L1995" s="3" t="n">
        <v>59504.9</v>
      </c>
      <c r="M1995" s="3" t="n">
        <v>0.153</v>
      </c>
      <c r="N1995" s="3" t="n">
        <v>9104.25</v>
      </c>
      <c r="O1995" s="3" t="n">
        <v>50400.65</v>
      </c>
      <c r="P1995" s="3" t="n">
        <v>32727.7</v>
      </c>
      <c r="Q1995" s="3" t="n">
        <v>17672.95</v>
      </c>
      <c r="R1995" s="3" t="n">
        <v>0.3506</v>
      </c>
      <c r="S1995" s="3" t="n">
        <v>0.1642</v>
      </c>
      <c r="T1995" s="3" t="n">
        <v>-0.0112</v>
      </c>
    </row>
    <row r="1996" customFormat="false" ht="15" hidden="false" customHeight="true" outlineLevel="0" collapsed="false">
      <c r="A1996" s="3" t="s">
        <v>2991</v>
      </c>
      <c r="B1996" s="3" t="s">
        <v>952</v>
      </c>
      <c r="C1996" s="3" t="s">
        <v>31</v>
      </c>
      <c r="D1996" s="3" t="s">
        <v>103</v>
      </c>
      <c r="E1996" s="3" t="s">
        <v>24</v>
      </c>
      <c r="F1996" s="3" t="s">
        <v>62</v>
      </c>
      <c r="G1996" s="3" t="s">
        <v>84</v>
      </c>
      <c r="H1996" s="3" t="s">
        <v>42</v>
      </c>
      <c r="I1996" s="3" t="s">
        <v>134</v>
      </c>
      <c r="J1996" s="3" t="n">
        <v>8</v>
      </c>
      <c r="K1996" s="3" t="n">
        <v>1006.26</v>
      </c>
      <c r="L1996" s="3" t="n">
        <v>8050.08</v>
      </c>
      <c r="M1996" s="3" t="n">
        <v>0.0608</v>
      </c>
      <c r="N1996" s="3" t="n">
        <v>489.44</v>
      </c>
      <c r="O1996" s="3" t="n">
        <v>7560.64</v>
      </c>
      <c r="P1996" s="3" t="n">
        <v>4427.54</v>
      </c>
      <c r="Q1996" s="3" t="n">
        <v>3133.1</v>
      </c>
      <c r="R1996" s="3" t="n">
        <v>0.4144</v>
      </c>
      <c r="S1996" s="3" t="n">
        <v>0.0545</v>
      </c>
      <c r="T1996" s="3" t="n">
        <v>0.0063</v>
      </c>
    </row>
    <row r="1997" customFormat="false" ht="15" hidden="false" customHeight="true" outlineLevel="0" collapsed="false">
      <c r="A1997" s="3" t="s">
        <v>2992</v>
      </c>
      <c r="B1997" s="3" t="s">
        <v>1381</v>
      </c>
      <c r="C1997" s="3" t="s">
        <v>93</v>
      </c>
      <c r="D1997" s="3" t="s">
        <v>32</v>
      </c>
      <c r="E1997" s="3" t="s">
        <v>33</v>
      </c>
      <c r="F1997" s="3" t="s">
        <v>25</v>
      </c>
      <c r="G1997" s="3" t="s">
        <v>76</v>
      </c>
      <c r="H1997" s="3" t="s">
        <v>64</v>
      </c>
      <c r="I1997" s="3" t="s">
        <v>145</v>
      </c>
      <c r="J1997" s="3" t="n">
        <v>37</v>
      </c>
      <c r="K1997" s="3" t="n">
        <v>3254.29</v>
      </c>
      <c r="L1997" s="3" t="n">
        <v>120408.73</v>
      </c>
      <c r="M1997" s="3" t="n">
        <v>0.1584</v>
      </c>
      <c r="N1997" s="3" t="n">
        <v>19072.74</v>
      </c>
      <c r="O1997" s="3" t="n">
        <v>101335.99</v>
      </c>
      <c r="P1997" s="3" t="n">
        <v>69837.06</v>
      </c>
      <c r="Q1997" s="3" t="n">
        <v>31498.93</v>
      </c>
      <c r="R1997" s="3" t="n">
        <v>0.3108</v>
      </c>
      <c r="S1997" s="3" t="n">
        <v>0.1627</v>
      </c>
      <c r="T1997" s="3" t="n">
        <v>-0.0043</v>
      </c>
    </row>
    <row r="1998" customFormat="false" ht="15" hidden="false" customHeight="true" outlineLevel="0" collapsed="false">
      <c r="A1998" s="3" t="s">
        <v>2993</v>
      </c>
      <c r="B1998" s="3" t="s">
        <v>158</v>
      </c>
      <c r="C1998" s="3" t="s">
        <v>156</v>
      </c>
      <c r="D1998" s="3" t="s">
        <v>83</v>
      </c>
      <c r="E1998" s="3" t="s">
        <v>48</v>
      </c>
      <c r="F1998" s="3" t="s">
        <v>62</v>
      </c>
      <c r="G1998" s="3" t="s">
        <v>41</v>
      </c>
      <c r="H1998" s="3" t="s">
        <v>27</v>
      </c>
      <c r="I1998" s="3" t="s">
        <v>94</v>
      </c>
      <c r="J1998" s="3" t="n">
        <v>39</v>
      </c>
      <c r="K1998" s="3" t="n">
        <v>30406.23</v>
      </c>
      <c r="L1998" s="3" t="n">
        <v>1185842.97</v>
      </c>
      <c r="M1998" s="3" t="n">
        <v>0.107</v>
      </c>
      <c r="N1998" s="3" t="n">
        <v>126885.2</v>
      </c>
      <c r="O1998" s="3" t="n">
        <v>1058957.77</v>
      </c>
      <c r="P1998" s="3" t="n">
        <v>735222.64</v>
      </c>
      <c r="Q1998" s="3" t="n">
        <v>323735.13</v>
      </c>
      <c r="R1998" s="3" t="n">
        <v>0.3057</v>
      </c>
      <c r="S1998" s="3" t="n">
        <v>0.1032</v>
      </c>
      <c r="T1998" s="3" t="n">
        <v>0.0038</v>
      </c>
    </row>
    <row r="1999" customFormat="false" ht="15" hidden="false" customHeight="true" outlineLevel="0" collapsed="false">
      <c r="A1999" s="3" t="s">
        <v>2994</v>
      </c>
      <c r="B1999" s="3" t="s">
        <v>967</v>
      </c>
      <c r="C1999" s="3" t="s">
        <v>22</v>
      </c>
      <c r="D1999" s="3" t="s">
        <v>97</v>
      </c>
      <c r="E1999" s="3" t="s">
        <v>48</v>
      </c>
      <c r="F1999" s="3" t="s">
        <v>40</v>
      </c>
      <c r="G1999" s="3" t="s">
        <v>84</v>
      </c>
      <c r="H1999" s="3" t="s">
        <v>27</v>
      </c>
      <c r="I1999" s="3" t="s">
        <v>173</v>
      </c>
      <c r="J1999" s="3" t="n">
        <v>10</v>
      </c>
      <c r="K1999" s="3" t="n">
        <v>34666.49</v>
      </c>
      <c r="L1999" s="3" t="n">
        <v>346664.9</v>
      </c>
      <c r="M1999" s="3" t="n">
        <v>0.0348</v>
      </c>
      <c r="N1999" s="3" t="n">
        <v>12063.94</v>
      </c>
      <c r="O1999" s="3" t="n">
        <v>334600.96</v>
      </c>
      <c r="P1999" s="3" t="n">
        <v>214932.24</v>
      </c>
      <c r="Q1999" s="3" t="n">
        <v>119668.72</v>
      </c>
      <c r="R1999" s="3" t="n">
        <v>0.3576</v>
      </c>
      <c r="S1999" s="3" t="n">
        <v>0.0325</v>
      </c>
      <c r="T1999" s="3" t="n">
        <v>0.0023</v>
      </c>
    </row>
    <row r="2000" customFormat="false" ht="15" hidden="false" customHeight="true" outlineLevel="0" collapsed="false">
      <c r="A2000" s="3" t="s">
        <v>2995</v>
      </c>
      <c r="B2000" s="3" t="s">
        <v>288</v>
      </c>
      <c r="C2000" s="3" t="s">
        <v>53</v>
      </c>
      <c r="D2000" s="3" t="s">
        <v>47</v>
      </c>
      <c r="E2000" s="3" t="s">
        <v>48</v>
      </c>
      <c r="F2000" s="3" t="s">
        <v>25</v>
      </c>
      <c r="G2000" s="3" t="s">
        <v>34</v>
      </c>
      <c r="H2000" s="3" t="s">
        <v>56</v>
      </c>
      <c r="I2000" s="3" t="s">
        <v>188</v>
      </c>
      <c r="J2000" s="3" t="n">
        <v>40</v>
      </c>
      <c r="K2000" s="3" t="n">
        <v>15435.75</v>
      </c>
      <c r="L2000" s="3" t="n">
        <v>617430</v>
      </c>
      <c r="M2000" s="3" t="n">
        <v>0.1459</v>
      </c>
      <c r="N2000" s="3" t="n">
        <v>90083.04</v>
      </c>
      <c r="O2000" s="3" t="n">
        <v>527346.96</v>
      </c>
      <c r="P2000" s="3" t="n">
        <v>370458</v>
      </c>
      <c r="Q2000" s="3" t="n">
        <v>156888.96</v>
      </c>
      <c r="R2000" s="3" t="n">
        <v>0.2975</v>
      </c>
      <c r="S2000" s="3" t="n">
        <v>0.1406</v>
      </c>
      <c r="T2000" s="3" t="n">
        <v>0.0053</v>
      </c>
    </row>
    <row r="2001" customFormat="false" ht="15" hidden="false" customHeight="true" outlineLevel="0" collapsed="false">
      <c r="A2001" s="3" t="s">
        <v>2996</v>
      </c>
      <c r="B2001" s="3" t="s">
        <v>1529</v>
      </c>
      <c r="C2001" s="3" t="s">
        <v>31</v>
      </c>
      <c r="D2001" s="3" t="s">
        <v>38</v>
      </c>
      <c r="E2001" s="3" t="s">
        <v>39</v>
      </c>
      <c r="F2001" s="3" t="s">
        <v>40</v>
      </c>
      <c r="G2001" s="3" t="s">
        <v>34</v>
      </c>
      <c r="H2001" s="3" t="s">
        <v>56</v>
      </c>
      <c r="I2001" s="3" t="s">
        <v>121</v>
      </c>
      <c r="J2001" s="3" t="n">
        <v>38</v>
      </c>
      <c r="K2001" s="3" t="n">
        <v>13182.09</v>
      </c>
      <c r="L2001" s="3" t="n">
        <v>500919.42</v>
      </c>
      <c r="M2001" s="3" t="n">
        <v>0.0945</v>
      </c>
      <c r="N2001" s="3" t="n">
        <v>47336.89</v>
      </c>
      <c r="O2001" s="3" t="n">
        <v>453582.53</v>
      </c>
      <c r="P2001" s="3" t="n">
        <v>300551.65</v>
      </c>
      <c r="Q2001" s="3" t="n">
        <v>153030.88</v>
      </c>
      <c r="R2001" s="3" t="n">
        <v>0.3374</v>
      </c>
      <c r="S2001" s="3" t="n">
        <v>0.0845</v>
      </c>
      <c r="T2001" s="3" t="n">
        <v>0.01</v>
      </c>
    </row>
    <row r="2002" customFormat="false" ht="15" hidden="false" customHeight="true" outlineLevel="0" collapsed="false">
      <c r="A2002" s="3" t="s">
        <v>2997</v>
      </c>
      <c r="B2002" s="3" t="s">
        <v>2510</v>
      </c>
      <c r="C2002" s="3" t="s">
        <v>53</v>
      </c>
      <c r="D2002" s="3" t="s">
        <v>107</v>
      </c>
      <c r="E2002" s="3" t="s">
        <v>33</v>
      </c>
      <c r="F2002" s="3" t="s">
        <v>70</v>
      </c>
      <c r="G2002" s="3" t="s">
        <v>76</v>
      </c>
      <c r="H2002" s="3" t="s">
        <v>77</v>
      </c>
      <c r="I2002" s="3" t="s">
        <v>85</v>
      </c>
      <c r="J2002" s="3" t="n">
        <v>6</v>
      </c>
      <c r="K2002" s="3" t="n">
        <v>4505.71</v>
      </c>
      <c r="L2002" s="3" t="n">
        <v>27034.26</v>
      </c>
      <c r="M2002" s="3" t="n">
        <v>0.0464</v>
      </c>
      <c r="N2002" s="3" t="n">
        <v>1254.39</v>
      </c>
      <c r="O2002" s="3" t="n">
        <v>25779.87</v>
      </c>
      <c r="P2002" s="3" t="n">
        <v>18383.3</v>
      </c>
      <c r="Q2002" s="3" t="n">
        <v>7396.57</v>
      </c>
      <c r="R2002" s="3" t="n">
        <v>0.2869</v>
      </c>
      <c r="S2002" s="3" t="n">
        <v>0.0507</v>
      </c>
      <c r="T2002" s="3" t="n">
        <v>-0.0043</v>
      </c>
    </row>
    <row r="2003" customFormat="false" ht="15" hidden="false" customHeight="true" outlineLevel="0" collapsed="false">
      <c r="A2003" s="3" t="s">
        <v>2998</v>
      </c>
      <c r="B2003" s="3" t="s">
        <v>245</v>
      </c>
      <c r="C2003" s="3" t="s">
        <v>93</v>
      </c>
      <c r="D2003" s="3" t="s">
        <v>23</v>
      </c>
      <c r="E2003" s="3" t="s">
        <v>24</v>
      </c>
      <c r="F2003" s="3" t="s">
        <v>25</v>
      </c>
      <c r="G2003" s="3" t="s">
        <v>116</v>
      </c>
      <c r="H2003" s="3" t="s">
        <v>27</v>
      </c>
      <c r="I2003" s="3" t="s">
        <v>28</v>
      </c>
      <c r="J2003" s="3" t="n">
        <v>47</v>
      </c>
      <c r="K2003" s="3" t="n">
        <v>27638.31</v>
      </c>
      <c r="L2003" s="3" t="n">
        <v>1299000.57</v>
      </c>
      <c r="M2003" s="3" t="n">
        <v>0.1682</v>
      </c>
      <c r="N2003" s="3" t="n">
        <v>218491.9</v>
      </c>
      <c r="O2003" s="3" t="n">
        <v>1080508.67</v>
      </c>
      <c r="P2003" s="3" t="n">
        <v>805380.35</v>
      </c>
      <c r="Q2003" s="3" t="n">
        <v>275128.32</v>
      </c>
      <c r="R2003" s="3" t="n">
        <v>0.2546</v>
      </c>
      <c r="S2003" s="3" t="n">
        <v>0.1847</v>
      </c>
      <c r="T2003" s="3" t="n">
        <v>-0.0165</v>
      </c>
    </row>
    <row r="2004" customFormat="false" ht="15" hidden="false" customHeight="true" outlineLevel="0" collapsed="false">
      <c r="A2004" s="3" t="s">
        <v>2999</v>
      </c>
      <c r="B2004" s="3" t="s">
        <v>1740</v>
      </c>
      <c r="C2004" s="3" t="s">
        <v>22</v>
      </c>
      <c r="D2004" s="3" t="s">
        <v>69</v>
      </c>
      <c r="E2004" s="3" t="s">
        <v>39</v>
      </c>
      <c r="F2004" s="3" t="s">
        <v>70</v>
      </c>
      <c r="G2004" s="3" t="s">
        <v>104</v>
      </c>
      <c r="H2004" s="3" t="s">
        <v>77</v>
      </c>
      <c r="I2004" s="3" t="s">
        <v>85</v>
      </c>
      <c r="J2004" s="3" t="n">
        <v>5</v>
      </c>
      <c r="K2004" s="3" t="n">
        <v>2886.05</v>
      </c>
      <c r="L2004" s="3" t="n">
        <v>14430.25</v>
      </c>
      <c r="M2004" s="3" t="n">
        <v>0.0906</v>
      </c>
      <c r="N2004" s="3" t="n">
        <v>1307.38</v>
      </c>
      <c r="O2004" s="3" t="n">
        <v>13122.87</v>
      </c>
      <c r="P2004" s="3" t="n">
        <v>9812.57</v>
      </c>
      <c r="Q2004" s="3" t="n">
        <v>3310.3</v>
      </c>
      <c r="R2004" s="3" t="n">
        <v>0.2523</v>
      </c>
      <c r="S2004" s="3" t="n">
        <v>0.0787</v>
      </c>
      <c r="T2004" s="3" t="n">
        <v>0.0119</v>
      </c>
    </row>
    <row r="2005" customFormat="false" ht="15" hidden="false" customHeight="true" outlineLevel="0" collapsed="false">
      <c r="A2005" s="3" t="s">
        <v>3000</v>
      </c>
      <c r="B2005" s="3" t="s">
        <v>1556</v>
      </c>
      <c r="C2005" s="3" t="s">
        <v>120</v>
      </c>
      <c r="D2005" s="3" t="s">
        <v>38</v>
      </c>
      <c r="E2005" s="3" t="s">
        <v>39</v>
      </c>
      <c r="F2005" s="3" t="s">
        <v>40</v>
      </c>
      <c r="G2005" s="3" t="s">
        <v>63</v>
      </c>
      <c r="H2005" s="3" t="s">
        <v>56</v>
      </c>
      <c r="I2005" s="3" t="s">
        <v>121</v>
      </c>
      <c r="J2005" s="3" t="n">
        <v>21</v>
      </c>
      <c r="K2005" s="3" t="n">
        <v>5314.26</v>
      </c>
      <c r="L2005" s="3" t="n">
        <v>111599.46</v>
      </c>
      <c r="M2005" s="3" t="n">
        <v>0.0424</v>
      </c>
      <c r="N2005" s="3" t="n">
        <v>4731.82</v>
      </c>
      <c r="O2005" s="3" t="n">
        <v>106867.64</v>
      </c>
      <c r="P2005" s="3" t="n">
        <v>66959.68</v>
      </c>
      <c r="Q2005" s="3" t="n">
        <v>39907.96</v>
      </c>
      <c r="R2005" s="3" t="n">
        <v>0.3734</v>
      </c>
      <c r="S2005" s="3" t="n">
        <v>0.0352</v>
      </c>
      <c r="T2005" s="3" t="n">
        <v>0.0072</v>
      </c>
    </row>
    <row r="2006" customFormat="false" ht="15" hidden="false" customHeight="true" outlineLevel="0" collapsed="false">
      <c r="A2006" s="3" t="s">
        <v>3001</v>
      </c>
      <c r="B2006" s="3" t="s">
        <v>716</v>
      </c>
      <c r="C2006" s="3" t="s">
        <v>22</v>
      </c>
      <c r="D2006" s="3" t="s">
        <v>38</v>
      </c>
      <c r="E2006" s="3" t="s">
        <v>39</v>
      </c>
      <c r="F2006" s="3" t="s">
        <v>40</v>
      </c>
      <c r="G2006" s="3" t="s">
        <v>49</v>
      </c>
      <c r="H2006" s="3" t="s">
        <v>42</v>
      </c>
      <c r="I2006" s="3" t="s">
        <v>134</v>
      </c>
      <c r="J2006" s="3" t="n">
        <v>25</v>
      </c>
      <c r="K2006" s="3" t="n">
        <v>2598.23</v>
      </c>
      <c r="L2006" s="3" t="n">
        <v>64955.75</v>
      </c>
      <c r="M2006" s="3" t="n">
        <v>0.0543</v>
      </c>
      <c r="N2006" s="3" t="n">
        <v>3527.1</v>
      </c>
      <c r="O2006" s="3" t="n">
        <v>61428.65</v>
      </c>
      <c r="P2006" s="3" t="n">
        <v>35725.66</v>
      </c>
      <c r="Q2006" s="3" t="n">
        <v>25702.99</v>
      </c>
      <c r="R2006" s="3" t="n">
        <v>0.4184</v>
      </c>
      <c r="S2006" s="3" t="n">
        <v>0.0438</v>
      </c>
      <c r="T2006" s="3" t="n">
        <v>0.0105</v>
      </c>
    </row>
    <row r="2007" customFormat="false" ht="15" hidden="false" customHeight="true" outlineLevel="0" collapsed="false">
      <c r="A2007" s="3" t="s">
        <v>3002</v>
      </c>
      <c r="B2007" s="3" t="s">
        <v>215</v>
      </c>
      <c r="C2007" s="3" t="s">
        <v>46</v>
      </c>
      <c r="D2007" s="3" t="s">
        <v>23</v>
      </c>
      <c r="E2007" s="3" t="s">
        <v>24</v>
      </c>
      <c r="F2007" s="3" t="s">
        <v>25</v>
      </c>
      <c r="G2007" s="3" t="s">
        <v>41</v>
      </c>
      <c r="H2007" s="3" t="s">
        <v>56</v>
      </c>
      <c r="I2007" s="3" t="s">
        <v>57</v>
      </c>
      <c r="J2007" s="3" t="n">
        <v>38</v>
      </c>
      <c r="K2007" s="3" t="n">
        <v>6779.41</v>
      </c>
      <c r="L2007" s="3" t="n">
        <v>257617.58</v>
      </c>
      <c r="M2007" s="3" t="n">
        <v>0.1431</v>
      </c>
      <c r="N2007" s="3" t="n">
        <v>36865.08</v>
      </c>
      <c r="O2007" s="3" t="n">
        <v>220752.5</v>
      </c>
      <c r="P2007" s="3" t="n">
        <v>154570.55</v>
      </c>
      <c r="Q2007" s="3" t="n">
        <v>66181.95</v>
      </c>
      <c r="R2007" s="3" t="n">
        <v>0.2998</v>
      </c>
      <c r="S2007" s="3" t="n">
        <v>0.1438</v>
      </c>
      <c r="T2007" s="3" t="n">
        <v>-0.0007</v>
      </c>
    </row>
    <row r="2008" customFormat="false" ht="15" hidden="false" customHeight="true" outlineLevel="0" collapsed="false">
      <c r="A2008" s="3" t="s">
        <v>3003</v>
      </c>
      <c r="B2008" s="3" t="s">
        <v>1952</v>
      </c>
      <c r="C2008" s="3" t="s">
        <v>31</v>
      </c>
      <c r="D2008" s="3" t="s">
        <v>54</v>
      </c>
      <c r="E2008" s="3" t="s">
        <v>24</v>
      </c>
      <c r="F2008" s="3" t="s">
        <v>40</v>
      </c>
      <c r="G2008" s="3" t="s">
        <v>63</v>
      </c>
      <c r="H2008" s="3" t="s">
        <v>56</v>
      </c>
      <c r="I2008" s="3" t="s">
        <v>121</v>
      </c>
      <c r="J2008" s="3" t="n">
        <v>27</v>
      </c>
      <c r="K2008" s="3" t="n">
        <v>8901.44</v>
      </c>
      <c r="L2008" s="3" t="n">
        <v>240338.88</v>
      </c>
      <c r="M2008" s="3" t="n">
        <v>0.0325</v>
      </c>
      <c r="N2008" s="3" t="n">
        <v>7811.01</v>
      </c>
      <c r="O2008" s="3" t="n">
        <v>232527.87</v>
      </c>
      <c r="P2008" s="3" t="n">
        <v>144203.33</v>
      </c>
      <c r="Q2008" s="3" t="n">
        <v>88324.54</v>
      </c>
      <c r="R2008" s="3" t="n">
        <v>0.3798</v>
      </c>
      <c r="S2008" s="3" t="n">
        <v>0.0286</v>
      </c>
      <c r="T2008" s="3" t="n">
        <v>0.0039</v>
      </c>
    </row>
    <row r="2009" customFormat="false" ht="15" hidden="false" customHeight="true" outlineLevel="0" collapsed="false">
      <c r="A2009" s="3" t="s">
        <v>3004</v>
      </c>
      <c r="B2009" s="3" t="s">
        <v>2174</v>
      </c>
      <c r="C2009" s="3" t="s">
        <v>156</v>
      </c>
      <c r="D2009" s="3" t="s">
        <v>32</v>
      </c>
      <c r="E2009" s="3" t="s">
        <v>33</v>
      </c>
      <c r="F2009" s="3" t="s">
        <v>25</v>
      </c>
      <c r="G2009" s="3" t="s">
        <v>63</v>
      </c>
      <c r="H2009" s="3" t="s">
        <v>42</v>
      </c>
      <c r="I2009" s="3" t="s">
        <v>134</v>
      </c>
      <c r="J2009" s="3" t="n">
        <v>32</v>
      </c>
      <c r="K2009" s="3" t="n">
        <v>3528.12</v>
      </c>
      <c r="L2009" s="3" t="n">
        <v>112899.84</v>
      </c>
      <c r="M2009" s="3" t="n">
        <v>0.135</v>
      </c>
      <c r="N2009" s="3" t="n">
        <v>15241.48</v>
      </c>
      <c r="O2009" s="3" t="n">
        <v>97658.36</v>
      </c>
      <c r="P2009" s="3" t="n">
        <v>62094.91</v>
      </c>
      <c r="Q2009" s="3" t="n">
        <v>35563.45</v>
      </c>
      <c r="R2009" s="3" t="n">
        <v>0.3642</v>
      </c>
      <c r="S2009" s="3" t="n">
        <v>0.1311</v>
      </c>
      <c r="T2009" s="3" t="n">
        <v>0.0039</v>
      </c>
    </row>
    <row r="2010" customFormat="false" ht="15" hidden="false" customHeight="true" outlineLevel="0" collapsed="false">
      <c r="A2010" s="3" t="s">
        <v>3005</v>
      </c>
      <c r="B2010" s="3" t="s">
        <v>1527</v>
      </c>
      <c r="C2010" s="3" t="s">
        <v>46</v>
      </c>
      <c r="D2010" s="3" t="s">
        <v>54</v>
      </c>
      <c r="E2010" s="3" t="s">
        <v>24</v>
      </c>
      <c r="F2010" s="3" t="s">
        <v>40</v>
      </c>
      <c r="G2010" s="3" t="s">
        <v>34</v>
      </c>
      <c r="H2010" s="3" t="s">
        <v>42</v>
      </c>
      <c r="I2010" s="3" t="s">
        <v>43</v>
      </c>
      <c r="J2010" s="3" t="n">
        <v>39</v>
      </c>
      <c r="K2010" s="3" t="n">
        <v>3234.41</v>
      </c>
      <c r="L2010" s="3" t="n">
        <v>126141.99</v>
      </c>
      <c r="M2010" s="3" t="n">
        <v>0.0567</v>
      </c>
      <c r="N2010" s="3" t="n">
        <v>7152.25</v>
      </c>
      <c r="O2010" s="3" t="n">
        <v>118989.74</v>
      </c>
      <c r="P2010" s="3" t="n">
        <v>69378.09</v>
      </c>
      <c r="Q2010" s="3" t="n">
        <v>49611.65</v>
      </c>
      <c r="R2010" s="3" t="n">
        <v>0.4169</v>
      </c>
      <c r="S2010" s="3" t="n">
        <v>0.0497</v>
      </c>
      <c r="T2010" s="3" t="n">
        <v>0.007</v>
      </c>
    </row>
    <row r="2011" customFormat="false" ht="15" hidden="false" customHeight="true" outlineLevel="0" collapsed="false">
      <c r="A2011" s="3" t="s">
        <v>3006</v>
      </c>
      <c r="B2011" s="3" t="s">
        <v>2289</v>
      </c>
      <c r="C2011" s="3" t="s">
        <v>120</v>
      </c>
      <c r="D2011" s="3" t="s">
        <v>47</v>
      </c>
      <c r="E2011" s="3" t="s">
        <v>48</v>
      </c>
      <c r="F2011" s="3" t="s">
        <v>25</v>
      </c>
      <c r="G2011" s="3" t="s">
        <v>71</v>
      </c>
      <c r="H2011" s="3" t="s">
        <v>77</v>
      </c>
      <c r="I2011" s="3" t="s">
        <v>131</v>
      </c>
      <c r="J2011" s="3" t="n">
        <v>27</v>
      </c>
      <c r="K2011" s="3" t="n">
        <v>2084.76</v>
      </c>
      <c r="L2011" s="3" t="n">
        <v>56288.52</v>
      </c>
      <c r="M2011" s="3" t="n">
        <v>0.11</v>
      </c>
      <c r="N2011" s="3" t="n">
        <v>6191.74</v>
      </c>
      <c r="O2011" s="3" t="n">
        <v>50096.78</v>
      </c>
      <c r="P2011" s="3" t="n">
        <v>38276.19</v>
      </c>
      <c r="Q2011" s="3" t="n">
        <v>11820.59</v>
      </c>
      <c r="R2011" s="3" t="n">
        <v>0.236</v>
      </c>
      <c r="S2011" s="3" t="n">
        <v>0.101</v>
      </c>
      <c r="T2011" s="3" t="n">
        <v>0.009</v>
      </c>
    </row>
    <row r="2012" customFormat="false" ht="15" hidden="false" customHeight="true" outlineLevel="0" collapsed="false">
      <c r="A2012" s="3" t="s">
        <v>3007</v>
      </c>
      <c r="B2012" s="3" t="s">
        <v>1200</v>
      </c>
      <c r="C2012" s="3" t="s">
        <v>31</v>
      </c>
      <c r="D2012" s="3" t="s">
        <v>103</v>
      </c>
      <c r="E2012" s="3" t="s">
        <v>24</v>
      </c>
      <c r="F2012" s="3" t="s">
        <v>62</v>
      </c>
      <c r="G2012" s="3" t="s">
        <v>49</v>
      </c>
      <c r="H2012" s="3" t="s">
        <v>56</v>
      </c>
      <c r="I2012" s="3" t="s">
        <v>121</v>
      </c>
      <c r="J2012" s="3" t="n">
        <v>4</v>
      </c>
      <c r="K2012" s="3" t="n">
        <v>5662.43</v>
      </c>
      <c r="L2012" s="3" t="n">
        <v>22649.72</v>
      </c>
      <c r="M2012" s="3" t="n">
        <v>0.0305</v>
      </c>
      <c r="N2012" s="3" t="n">
        <v>690.82</v>
      </c>
      <c r="O2012" s="3" t="n">
        <v>21958.9</v>
      </c>
      <c r="P2012" s="3" t="n">
        <v>13589.83</v>
      </c>
      <c r="Q2012" s="3" t="n">
        <v>8369.07</v>
      </c>
      <c r="R2012" s="3" t="n">
        <v>0.3811</v>
      </c>
      <c r="S2012" s="3" t="n">
        <v>0.0258</v>
      </c>
      <c r="T2012" s="3" t="n">
        <v>0.0047</v>
      </c>
    </row>
    <row r="2013" customFormat="false" ht="15" hidden="false" customHeight="true" outlineLevel="0" collapsed="false">
      <c r="A2013" s="3" t="s">
        <v>3008</v>
      </c>
      <c r="B2013" s="3" t="s">
        <v>1982</v>
      </c>
      <c r="C2013" s="3" t="s">
        <v>93</v>
      </c>
      <c r="D2013" s="3" t="s">
        <v>75</v>
      </c>
      <c r="E2013" s="3" t="s">
        <v>39</v>
      </c>
      <c r="F2013" s="3" t="s">
        <v>25</v>
      </c>
      <c r="G2013" s="3" t="s">
        <v>41</v>
      </c>
      <c r="H2013" s="3" t="s">
        <v>27</v>
      </c>
      <c r="I2013" s="3" t="s">
        <v>117</v>
      </c>
      <c r="J2013" s="3" t="n">
        <v>49</v>
      </c>
      <c r="K2013" s="3" t="n">
        <v>17411.59</v>
      </c>
      <c r="L2013" s="3" t="n">
        <v>853167.91</v>
      </c>
      <c r="M2013" s="3" t="n">
        <v>0.1994</v>
      </c>
      <c r="N2013" s="3" t="n">
        <v>170121.68</v>
      </c>
      <c r="O2013" s="3" t="n">
        <v>683046.23</v>
      </c>
      <c r="P2013" s="3" t="n">
        <v>528964.1</v>
      </c>
      <c r="Q2013" s="3" t="n">
        <v>154082.13</v>
      </c>
      <c r="R2013" s="3" t="n">
        <v>0.2256</v>
      </c>
      <c r="S2013" s="3" t="n">
        <v>0.1781</v>
      </c>
      <c r="T2013" s="3" t="n">
        <v>0.0213</v>
      </c>
    </row>
    <row r="2014" customFormat="false" ht="15" hidden="false" customHeight="true" outlineLevel="0" collapsed="false">
      <c r="A2014" s="3" t="s">
        <v>3009</v>
      </c>
      <c r="B2014" s="3" t="s">
        <v>1322</v>
      </c>
      <c r="C2014" s="3" t="s">
        <v>120</v>
      </c>
      <c r="D2014" s="3" t="s">
        <v>75</v>
      </c>
      <c r="E2014" s="3" t="s">
        <v>39</v>
      </c>
      <c r="F2014" s="3" t="s">
        <v>25</v>
      </c>
      <c r="G2014" s="3" t="s">
        <v>116</v>
      </c>
      <c r="H2014" s="3" t="s">
        <v>42</v>
      </c>
      <c r="I2014" s="3" t="s">
        <v>72</v>
      </c>
      <c r="J2014" s="3" t="n">
        <v>7</v>
      </c>
      <c r="K2014" s="3" t="n">
        <v>1865.5</v>
      </c>
      <c r="L2014" s="3" t="n">
        <v>13058.5</v>
      </c>
      <c r="M2014" s="3" t="n">
        <v>0.1558</v>
      </c>
      <c r="N2014" s="3" t="n">
        <v>2034.51</v>
      </c>
      <c r="O2014" s="3" t="n">
        <v>11023.99</v>
      </c>
      <c r="P2014" s="3" t="n">
        <v>7182.18</v>
      </c>
      <c r="Q2014" s="3" t="n">
        <v>3841.81</v>
      </c>
      <c r="R2014" s="3" t="n">
        <v>0.3485</v>
      </c>
      <c r="S2014" s="3" t="n">
        <v>0.142</v>
      </c>
      <c r="T2014" s="3" t="n">
        <v>0.0138</v>
      </c>
    </row>
    <row r="2015" customFormat="false" ht="15" hidden="false" customHeight="true" outlineLevel="0" collapsed="false">
      <c r="A2015" s="3" t="s">
        <v>3010</v>
      </c>
      <c r="B2015" s="3" t="s">
        <v>2135</v>
      </c>
      <c r="C2015" s="3" t="s">
        <v>156</v>
      </c>
      <c r="D2015" s="3" t="s">
        <v>107</v>
      </c>
      <c r="E2015" s="3" t="s">
        <v>33</v>
      </c>
      <c r="F2015" s="3" t="s">
        <v>70</v>
      </c>
      <c r="G2015" s="3" t="s">
        <v>100</v>
      </c>
      <c r="H2015" s="3" t="s">
        <v>42</v>
      </c>
      <c r="I2015" s="3" t="s">
        <v>72</v>
      </c>
      <c r="J2015" s="3" t="n">
        <v>4</v>
      </c>
      <c r="K2015" s="3" t="n">
        <v>2737.96</v>
      </c>
      <c r="L2015" s="3" t="n">
        <v>10951.84</v>
      </c>
      <c r="M2015" s="3" t="n">
        <v>0.0303</v>
      </c>
      <c r="N2015" s="3" t="n">
        <v>331.84</v>
      </c>
      <c r="O2015" s="3" t="n">
        <v>10620</v>
      </c>
      <c r="P2015" s="3" t="n">
        <v>6023.51</v>
      </c>
      <c r="Q2015" s="3" t="n">
        <v>4596.49</v>
      </c>
      <c r="R2015" s="3" t="n">
        <v>0.4328</v>
      </c>
      <c r="S2015" s="3" t="n">
        <v>0.0252</v>
      </c>
      <c r="T2015" s="3" t="n">
        <v>0.0051</v>
      </c>
    </row>
    <row r="2016" customFormat="false" ht="15" hidden="false" customHeight="true" outlineLevel="0" collapsed="false">
      <c r="A2016" s="3" t="s">
        <v>3011</v>
      </c>
      <c r="B2016" s="3" t="s">
        <v>410</v>
      </c>
      <c r="C2016" s="3" t="s">
        <v>22</v>
      </c>
      <c r="D2016" s="3" t="s">
        <v>38</v>
      </c>
      <c r="E2016" s="3" t="s">
        <v>39</v>
      </c>
      <c r="F2016" s="3" t="s">
        <v>40</v>
      </c>
      <c r="G2016" s="3" t="s">
        <v>84</v>
      </c>
      <c r="H2016" s="3" t="s">
        <v>56</v>
      </c>
      <c r="I2016" s="3" t="s">
        <v>57</v>
      </c>
      <c r="J2016" s="3" t="n">
        <v>36</v>
      </c>
      <c r="K2016" s="3" t="n">
        <v>13375.47</v>
      </c>
      <c r="L2016" s="3" t="n">
        <v>481516.92</v>
      </c>
      <c r="M2016" s="3" t="n">
        <v>0.0364</v>
      </c>
      <c r="N2016" s="3" t="n">
        <v>17527.22</v>
      </c>
      <c r="O2016" s="3" t="n">
        <v>463989.7</v>
      </c>
      <c r="P2016" s="3" t="n">
        <v>288910.15</v>
      </c>
      <c r="Q2016" s="3" t="n">
        <v>175079.55</v>
      </c>
      <c r="R2016" s="3" t="n">
        <v>0.3773</v>
      </c>
      <c r="S2016" s="3" t="n">
        <v>0.031</v>
      </c>
      <c r="T2016" s="3" t="n">
        <v>0.0054</v>
      </c>
    </row>
    <row r="2017" customFormat="false" ht="15" hidden="false" customHeight="true" outlineLevel="0" collapsed="false">
      <c r="A2017" s="3" t="s">
        <v>3012</v>
      </c>
      <c r="B2017" s="3" t="s">
        <v>2840</v>
      </c>
      <c r="C2017" s="3" t="s">
        <v>31</v>
      </c>
      <c r="D2017" s="3" t="s">
        <v>38</v>
      </c>
      <c r="E2017" s="3" t="s">
        <v>39</v>
      </c>
      <c r="F2017" s="3" t="s">
        <v>40</v>
      </c>
      <c r="G2017" s="3" t="s">
        <v>104</v>
      </c>
      <c r="H2017" s="3" t="s">
        <v>42</v>
      </c>
      <c r="I2017" s="3" t="s">
        <v>134</v>
      </c>
      <c r="J2017" s="3" t="n">
        <v>18</v>
      </c>
      <c r="K2017" s="3" t="n">
        <v>3758.45</v>
      </c>
      <c r="L2017" s="3" t="n">
        <v>67652.1</v>
      </c>
      <c r="M2017" s="3" t="n">
        <v>0.1121</v>
      </c>
      <c r="N2017" s="3" t="n">
        <v>7583.8</v>
      </c>
      <c r="O2017" s="3" t="n">
        <v>60068.3</v>
      </c>
      <c r="P2017" s="3" t="n">
        <v>37208.65</v>
      </c>
      <c r="Q2017" s="3" t="n">
        <v>22859.65</v>
      </c>
      <c r="R2017" s="3" t="n">
        <v>0.3806</v>
      </c>
      <c r="S2017" s="3" t="n">
        <v>0.1163</v>
      </c>
      <c r="T2017" s="3" t="n">
        <v>-0.0042</v>
      </c>
    </row>
    <row r="2018" customFormat="false" ht="15" hidden="false" customHeight="true" outlineLevel="0" collapsed="false">
      <c r="A2018" s="3" t="s">
        <v>3013</v>
      </c>
      <c r="B2018" s="3" t="s">
        <v>561</v>
      </c>
      <c r="C2018" s="3" t="s">
        <v>93</v>
      </c>
      <c r="D2018" s="3" t="s">
        <v>75</v>
      </c>
      <c r="E2018" s="3" t="s">
        <v>39</v>
      </c>
      <c r="F2018" s="3" t="s">
        <v>25</v>
      </c>
      <c r="G2018" s="3" t="s">
        <v>41</v>
      </c>
      <c r="H2018" s="3" t="s">
        <v>77</v>
      </c>
      <c r="I2018" s="3" t="s">
        <v>131</v>
      </c>
      <c r="J2018" s="3" t="n">
        <v>11</v>
      </c>
      <c r="K2018" s="3" t="n">
        <v>4706.14</v>
      </c>
      <c r="L2018" s="3" t="n">
        <v>51767.54</v>
      </c>
      <c r="M2018" s="3" t="n">
        <v>0.1441</v>
      </c>
      <c r="N2018" s="3" t="n">
        <v>7459.7</v>
      </c>
      <c r="O2018" s="3" t="n">
        <v>44307.84</v>
      </c>
      <c r="P2018" s="3" t="n">
        <v>35201.93</v>
      </c>
      <c r="Q2018" s="3" t="n">
        <v>9105.91</v>
      </c>
      <c r="R2018" s="3" t="n">
        <v>0.2055</v>
      </c>
      <c r="S2018" s="3" t="n">
        <v>0.1301</v>
      </c>
      <c r="T2018" s="3" t="n">
        <v>0.014</v>
      </c>
    </row>
    <row r="2019" customFormat="false" ht="15" hidden="false" customHeight="true" outlineLevel="0" collapsed="false">
      <c r="A2019" s="3" t="s">
        <v>3014</v>
      </c>
      <c r="B2019" s="3" t="s">
        <v>3015</v>
      </c>
      <c r="C2019" s="3" t="s">
        <v>37</v>
      </c>
      <c r="D2019" s="3" t="s">
        <v>47</v>
      </c>
      <c r="E2019" s="3" t="s">
        <v>48</v>
      </c>
      <c r="F2019" s="3" t="s">
        <v>25</v>
      </c>
      <c r="G2019" s="3" t="s">
        <v>55</v>
      </c>
      <c r="H2019" s="3" t="s">
        <v>42</v>
      </c>
      <c r="I2019" s="3" t="s">
        <v>72</v>
      </c>
      <c r="J2019" s="3" t="n">
        <v>49</v>
      </c>
      <c r="K2019" s="3" t="n">
        <v>3053.24</v>
      </c>
      <c r="L2019" s="3" t="n">
        <v>149608.76</v>
      </c>
      <c r="M2019" s="3" t="n">
        <v>0.1335</v>
      </c>
      <c r="N2019" s="3" t="n">
        <v>19972.77</v>
      </c>
      <c r="O2019" s="3" t="n">
        <v>129635.99</v>
      </c>
      <c r="P2019" s="3" t="n">
        <v>82284.82</v>
      </c>
      <c r="Q2019" s="3" t="n">
        <v>47351.17</v>
      </c>
      <c r="R2019" s="3" t="n">
        <v>0.3653</v>
      </c>
      <c r="S2019" s="3" t="n">
        <v>0.1458</v>
      </c>
      <c r="T2019" s="3" t="n">
        <v>-0.0123</v>
      </c>
    </row>
    <row r="2020" customFormat="false" ht="15" hidden="false" customHeight="true" outlineLevel="0" collapsed="false">
      <c r="A2020" s="3" t="s">
        <v>3016</v>
      </c>
      <c r="B2020" s="3" t="s">
        <v>1034</v>
      </c>
      <c r="C2020" s="3" t="s">
        <v>53</v>
      </c>
      <c r="D2020" s="3" t="s">
        <v>23</v>
      </c>
      <c r="E2020" s="3" t="s">
        <v>24</v>
      </c>
      <c r="F2020" s="3" t="s">
        <v>25</v>
      </c>
      <c r="G2020" s="3" t="s">
        <v>76</v>
      </c>
      <c r="H2020" s="3" t="s">
        <v>64</v>
      </c>
      <c r="I2020" s="3" t="s">
        <v>145</v>
      </c>
      <c r="J2020" s="3" t="n">
        <v>12</v>
      </c>
      <c r="K2020" s="3" t="n">
        <v>11531.89</v>
      </c>
      <c r="L2020" s="3" t="n">
        <v>138382.68</v>
      </c>
      <c r="M2020" s="3" t="n">
        <v>0.0954</v>
      </c>
      <c r="N2020" s="3" t="n">
        <v>13201.71</v>
      </c>
      <c r="O2020" s="3" t="n">
        <v>125180.97</v>
      </c>
      <c r="P2020" s="3" t="n">
        <v>80261.95</v>
      </c>
      <c r="Q2020" s="3" t="n">
        <v>44919.02</v>
      </c>
      <c r="R2020" s="3" t="n">
        <v>0.3588</v>
      </c>
      <c r="S2020" s="3" t="n">
        <v>0.0907</v>
      </c>
      <c r="T2020" s="3" t="n">
        <v>0.0047</v>
      </c>
    </row>
    <row r="2021" customFormat="false" ht="15" hidden="false" customHeight="true" outlineLevel="0" collapsed="false">
      <c r="A2021" s="3" t="s">
        <v>3017</v>
      </c>
      <c r="B2021" s="3" t="s">
        <v>3018</v>
      </c>
      <c r="C2021" s="3" t="s">
        <v>126</v>
      </c>
      <c r="D2021" s="3" t="s">
        <v>54</v>
      </c>
      <c r="E2021" s="3" t="s">
        <v>24</v>
      </c>
      <c r="F2021" s="3" t="s">
        <v>40</v>
      </c>
      <c r="G2021" s="3" t="s">
        <v>104</v>
      </c>
      <c r="H2021" s="3" t="s">
        <v>42</v>
      </c>
      <c r="I2021" s="3" t="s">
        <v>134</v>
      </c>
      <c r="J2021" s="3" t="n">
        <v>28</v>
      </c>
      <c r="K2021" s="3" t="n">
        <v>610.02</v>
      </c>
      <c r="L2021" s="3" t="n">
        <v>17080.56</v>
      </c>
      <c r="M2021" s="3" t="n">
        <v>0.0888</v>
      </c>
      <c r="N2021" s="3" t="n">
        <v>1516.75</v>
      </c>
      <c r="O2021" s="3" t="n">
        <v>15563.81</v>
      </c>
      <c r="P2021" s="3" t="n">
        <v>9394.31</v>
      </c>
      <c r="Q2021" s="3" t="n">
        <v>6169.5</v>
      </c>
      <c r="R2021" s="3" t="n">
        <v>0.3964</v>
      </c>
      <c r="S2021" s="3" t="n">
        <v>0.0885</v>
      </c>
      <c r="T2021" s="3" t="n">
        <v>0.0003</v>
      </c>
    </row>
    <row r="2022" customFormat="false" ht="15" hidden="false" customHeight="true" outlineLevel="0" collapsed="false">
      <c r="A2022" s="3" t="s">
        <v>3019</v>
      </c>
      <c r="B2022" s="3" t="s">
        <v>2795</v>
      </c>
      <c r="C2022" s="3" t="s">
        <v>93</v>
      </c>
      <c r="D2022" s="3" t="s">
        <v>103</v>
      </c>
      <c r="E2022" s="3" t="s">
        <v>24</v>
      </c>
      <c r="F2022" s="3" t="s">
        <v>62</v>
      </c>
      <c r="G2022" s="3" t="s">
        <v>116</v>
      </c>
      <c r="H2022" s="3" t="s">
        <v>64</v>
      </c>
      <c r="I2022" s="3" t="s">
        <v>108</v>
      </c>
      <c r="J2022" s="3" t="n">
        <v>13</v>
      </c>
      <c r="K2022" s="3" t="n">
        <v>4002.63</v>
      </c>
      <c r="L2022" s="3" t="n">
        <v>52034.19</v>
      </c>
      <c r="M2022" s="3" t="n">
        <v>0.0862</v>
      </c>
      <c r="N2022" s="3" t="n">
        <v>4485.35</v>
      </c>
      <c r="O2022" s="3" t="n">
        <v>47548.84</v>
      </c>
      <c r="P2022" s="3" t="n">
        <v>30179.83</v>
      </c>
      <c r="Q2022" s="3" t="n">
        <v>17369.01</v>
      </c>
      <c r="R2022" s="3" t="n">
        <v>0.3653</v>
      </c>
      <c r="S2022" s="3" t="n">
        <v>0.0764</v>
      </c>
      <c r="T2022" s="3" t="n">
        <v>0.0098</v>
      </c>
    </row>
    <row r="2023" customFormat="false" ht="15" hidden="false" customHeight="true" outlineLevel="0" collapsed="false">
      <c r="A2023" s="3" t="s">
        <v>3020</v>
      </c>
      <c r="B2023" s="3" t="s">
        <v>633</v>
      </c>
      <c r="C2023" s="3" t="s">
        <v>22</v>
      </c>
      <c r="D2023" s="3" t="s">
        <v>107</v>
      </c>
      <c r="E2023" s="3" t="s">
        <v>33</v>
      </c>
      <c r="F2023" s="3" t="s">
        <v>70</v>
      </c>
      <c r="G2023" s="3" t="s">
        <v>26</v>
      </c>
      <c r="H2023" s="3" t="s">
        <v>56</v>
      </c>
      <c r="I2023" s="3" t="s">
        <v>121</v>
      </c>
      <c r="J2023" s="3" t="n">
        <v>44</v>
      </c>
      <c r="K2023" s="3" t="n">
        <v>17634.41</v>
      </c>
      <c r="L2023" s="3" t="n">
        <v>775914.04</v>
      </c>
      <c r="M2023" s="3" t="n">
        <v>0.077</v>
      </c>
      <c r="N2023" s="3" t="n">
        <v>59745.38</v>
      </c>
      <c r="O2023" s="3" t="n">
        <v>716168.66</v>
      </c>
      <c r="P2023" s="3" t="n">
        <v>465548.42</v>
      </c>
      <c r="Q2023" s="3" t="n">
        <v>250620.24</v>
      </c>
      <c r="R2023" s="3" t="n">
        <v>0.3499</v>
      </c>
      <c r="S2023" s="3" t="n">
        <v>0.072</v>
      </c>
      <c r="T2023" s="3" t="n">
        <v>0.005</v>
      </c>
    </row>
    <row r="2024" customFormat="false" ht="15" hidden="false" customHeight="true" outlineLevel="0" collapsed="false">
      <c r="A2024" s="3" t="s">
        <v>3021</v>
      </c>
      <c r="B2024" s="3" t="s">
        <v>3022</v>
      </c>
      <c r="C2024" s="3" t="s">
        <v>60</v>
      </c>
      <c r="D2024" s="3" t="s">
        <v>47</v>
      </c>
      <c r="E2024" s="3" t="s">
        <v>48</v>
      </c>
      <c r="F2024" s="3" t="s">
        <v>25</v>
      </c>
      <c r="G2024" s="3" t="s">
        <v>71</v>
      </c>
      <c r="H2024" s="3" t="s">
        <v>64</v>
      </c>
      <c r="I2024" s="3" t="s">
        <v>108</v>
      </c>
      <c r="J2024" s="3" t="n">
        <v>42</v>
      </c>
      <c r="K2024" s="3" t="n">
        <v>5641.23</v>
      </c>
      <c r="L2024" s="3" t="n">
        <v>236931.66</v>
      </c>
      <c r="M2024" s="3" t="n">
        <v>0.1172</v>
      </c>
      <c r="N2024" s="3" t="n">
        <v>27768.39</v>
      </c>
      <c r="O2024" s="3" t="n">
        <v>209163.27</v>
      </c>
      <c r="P2024" s="3" t="n">
        <v>137420.36</v>
      </c>
      <c r="Q2024" s="3" t="n">
        <v>71742.91</v>
      </c>
      <c r="R2024" s="3" t="n">
        <v>0.343</v>
      </c>
      <c r="S2024" s="3" t="n">
        <v>0.0949</v>
      </c>
      <c r="T2024" s="3" t="n">
        <v>0.0223</v>
      </c>
    </row>
    <row r="2025" customFormat="false" ht="15" hidden="false" customHeight="true" outlineLevel="0" collapsed="false">
      <c r="A2025" s="3" t="s">
        <v>3023</v>
      </c>
      <c r="B2025" s="3" t="s">
        <v>1150</v>
      </c>
      <c r="C2025" s="3" t="s">
        <v>37</v>
      </c>
      <c r="D2025" s="3" t="s">
        <v>107</v>
      </c>
      <c r="E2025" s="3" t="s">
        <v>33</v>
      </c>
      <c r="F2025" s="3" t="s">
        <v>70</v>
      </c>
      <c r="G2025" s="3" t="s">
        <v>71</v>
      </c>
      <c r="H2025" s="3" t="s">
        <v>56</v>
      </c>
      <c r="I2025" s="3" t="s">
        <v>57</v>
      </c>
      <c r="J2025" s="3" t="n">
        <v>5</v>
      </c>
      <c r="K2025" s="3" t="n">
        <v>4715.46</v>
      </c>
      <c r="L2025" s="3" t="n">
        <v>23577.3</v>
      </c>
      <c r="M2025" s="3" t="n">
        <v>0.0749</v>
      </c>
      <c r="N2025" s="3" t="n">
        <v>1765.94</v>
      </c>
      <c r="O2025" s="3" t="n">
        <v>21811.36</v>
      </c>
      <c r="P2025" s="3" t="n">
        <v>14146.38</v>
      </c>
      <c r="Q2025" s="3" t="n">
        <v>7664.98</v>
      </c>
      <c r="R2025" s="3" t="n">
        <v>0.3514</v>
      </c>
      <c r="S2025" s="3" t="n">
        <v>0.076</v>
      </c>
      <c r="T2025" s="3" t="n">
        <v>-0.0011</v>
      </c>
    </row>
    <row r="2026" customFormat="false" ht="15" hidden="false" customHeight="true" outlineLevel="0" collapsed="false">
      <c r="A2026" s="3" t="s">
        <v>3024</v>
      </c>
      <c r="B2026" s="3" t="s">
        <v>2395</v>
      </c>
      <c r="C2026" s="3" t="s">
        <v>113</v>
      </c>
      <c r="D2026" s="3" t="s">
        <v>23</v>
      </c>
      <c r="E2026" s="3" t="s">
        <v>24</v>
      </c>
      <c r="F2026" s="3" t="s">
        <v>25</v>
      </c>
      <c r="G2026" s="3" t="s">
        <v>116</v>
      </c>
      <c r="H2026" s="3" t="s">
        <v>56</v>
      </c>
      <c r="I2026" s="3" t="s">
        <v>188</v>
      </c>
      <c r="J2026" s="3" t="n">
        <v>25</v>
      </c>
      <c r="K2026" s="3" t="n">
        <v>11707.85</v>
      </c>
      <c r="L2026" s="3" t="n">
        <v>292696.25</v>
      </c>
      <c r="M2026" s="3" t="n">
        <v>0.2144</v>
      </c>
      <c r="N2026" s="3" t="n">
        <v>62754.08</v>
      </c>
      <c r="O2026" s="3" t="n">
        <v>229942.17</v>
      </c>
      <c r="P2026" s="3" t="n">
        <v>175617.75</v>
      </c>
      <c r="Q2026" s="3" t="n">
        <v>54324.42</v>
      </c>
      <c r="R2026" s="3" t="n">
        <v>0.2363</v>
      </c>
      <c r="S2026" s="3" t="n">
        <v>0.1737</v>
      </c>
      <c r="T2026" s="3" t="n">
        <v>0.0407</v>
      </c>
    </row>
    <row r="2027" customFormat="false" ht="15" hidden="false" customHeight="true" outlineLevel="0" collapsed="false">
      <c r="A2027" s="3" t="s">
        <v>3025</v>
      </c>
      <c r="B2027" s="3" t="s">
        <v>2670</v>
      </c>
      <c r="C2027" s="3" t="s">
        <v>53</v>
      </c>
      <c r="D2027" s="3" t="s">
        <v>38</v>
      </c>
      <c r="E2027" s="3" t="s">
        <v>39</v>
      </c>
      <c r="F2027" s="3" t="s">
        <v>40</v>
      </c>
      <c r="G2027" s="3" t="s">
        <v>26</v>
      </c>
      <c r="H2027" s="3" t="s">
        <v>64</v>
      </c>
      <c r="I2027" s="3" t="s">
        <v>145</v>
      </c>
      <c r="J2027" s="3" t="n">
        <v>10</v>
      </c>
      <c r="K2027" s="3" t="n">
        <v>7907.87</v>
      </c>
      <c r="L2027" s="3" t="n">
        <v>79078.7</v>
      </c>
      <c r="M2027" s="3" t="n">
        <v>0.0433</v>
      </c>
      <c r="N2027" s="3" t="n">
        <v>3424.11</v>
      </c>
      <c r="O2027" s="3" t="n">
        <v>75654.59</v>
      </c>
      <c r="P2027" s="3" t="n">
        <v>45865.65</v>
      </c>
      <c r="Q2027" s="3" t="n">
        <v>29788.94</v>
      </c>
      <c r="R2027" s="3" t="n">
        <v>0.3937</v>
      </c>
      <c r="S2027" s="3" t="n">
        <v>0.039</v>
      </c>
      <c r="T2027" s="3" t="n">
        <v>0.0043</v>
      </c>
    </row>
    <row r="2028" customFormat="false" ht="15" hidden="false" customHeight="true" outlineLevel="0" collapsed="false">
      <c r="A2028" s="3" t="s">
        <v>3026</v>
      </c>
      <c r="B2028" s="3" t="s">
        <v>3027</v>
      </c>
      <c r="C2028" s="3" t="s">
        <v>68</v>
      </c>
      <c r="D2028" s="3" t="s">
        <v>69</v>
      </c>
      <c r="E2028" s="3" t="s">
        <v>39</v>
      </c>
      <c r="F2028" s="3" t="s">
        <v>70</v>
      </c>
      <c r="G2028" s="3" t="s">
        <v>104</v>
      </c>
      <c r="H2028" s="3" t="s">
        <v>42</v>
      </c>
      <c r="I2028" s="3" t="s">
        <v>43</v>
      </c>
      <c r="J2028" s="3" t="n">
        <v>45</v>
      </c>
      <c r="K2028" s="3" t="n">
        <v>3502.43</v>
      </c>
      <c r="L2028" s="3" t="n">
        <v>157609.35</v>
      </c>
      <c r="M2028" s="3" t="n">
        <v>0.119</v>
      </c>
      <c r="N2028" s="3" t="n">
        <v>18755.51</v>
      </c>
      <c r="O2028" s="3" t="n">
        <v>138853.84</v>
      </c>
      <c r="P2028" s="3" t="n">
        <v>86685.14</v>
      </c>
      <c r="Q2028" s="3" t="n">
        <v>52168.7</v>
      </c>
      <c r="R2028" s="3" t="n">
        <v>0.3757</v>
      </c>
      <c r="S2028" s="3" t="n">
        <v>0.0977</v>
      </c>
      <c r="T2028" s="3" t="n">
        <v>0.0213</v>
      </c>
    </row>
    <row r="2029" customFormat="false" ht="15" hidden="false" customHeight="true" outlineLevel="0" collapsed="false">
      <c r="A2029" s="3" t="s">
        <v>3028</v>
      </c>
      <c r="B2029" s="3" t="s">
        <v>3029</v>
      </c>
      <c r="C2029" s="3" t="s">
        <v>60</v>
      </c>
      <c r="D2029" s="3" t="s">
        <v>47</v>
      </c>
      <c r="E2029" s="3" t="s">
        <v>48</v>
      </c>
      <c r="F2029" s="3" t="s">
        <v>25</v>
      </c>
      <c r="G2029" s="3" t="s">
        <v>100</v>
      </c>
      <c r="H2029" s="3" t="s">
        <v>77</v>
      </c>
      <c r="I2029" s="3" t="s">
        <v>78</v>
      </c>
      <c r="J2029" s="3" t="n">
        <v>5</v>
      </c>
      <c r="K2029" s="3" t="n">
        <v>2575.71</v>
      </c>
      <c r="L2029" s="3" t="n">
        <v>12878.55</v>
      </c>
      <c r="M2029" s="3" t="n">
        <v>0.1398</v>
      </c>
      <c r="N2029" s="3" t="n">
        <v>1800.42</v>
      </c>
      <c r="O2029" s="3" t="n">
        <v>11078.13</v>
      </c>
      <c r="P2029" s="3" t="n">
        <v>8757.41</v>
      </c>
      <c r="Q2029" s="3" t="n">
        <v>2320.72</v>
      </c>
      <c r="R2029" s="3" t="n">
        <v>0.2095</v>
      </c>
      <c r="S2029" s="3" t="n">
        <v>0.1235</v>
      </c>
      <c r="T2029" s="3" t="n">
        <v>0.0163</v>
      </c>
    </row>
    <row r="2030" customFormat="false" ht="15" hidden="false" customHeight="true" outlineLevel="0" collapsed="false">
      <c r="A2030" s="3" t="s">
        <v>3030</v>
      </c>
      <c r="B2030" s="3" t="s">
        <v>3031</v>
      </c>
      <c r="C2030" s="3" t="s">
        <v>68</v>
      </c>
      <c r="D2030" s="3" t="s">
        <v>54</v>
      </c>
      <c r="E2030" s="3" t="s">
        <v>24</v>
      </c>
      <c r="F2030" s="3" t="s">
        <v>40</v>
      </c>
      <c r="G2030" s="3" t="s">
        <v>76</v>
      </c>
      <c r="H2030" s="3" t="s">
        <v>42</v>
      </c>
      <c r="I2030" s="3" t="s">
        <v>134</v>
      </c>
      <c r="J2030" s="3" t="n">
        <v>35</v>
      </c>
      <c r="K2030" s="3" t="n">
        <v>1996.24</v>
      </c>
      <c r="L2030" s="3" t="n">
        <v>69868.4</v>
      </c>
      <c r="M2030" s="3" t="n">
        <v>0.0405</v>
      </c>
      <c r="N2030" s="3" t="n">
        <v>2829.67</v>
      </c>
      <c r="O2030" s="3" t="n">
        <v>67038.73</v>
      </c>
      <c r="P2030" s="3" t="n">
        <v>38427.62</v>
      </c>
      <c r="Q2030" s="3" t="n">
        <v>28611.11</v>
      </c>
      <c r="R2030" s="3" t="n">
        <v>0.4268</v>
      </c>
      <c r="S2030" s="3" t="n">
        <v>0.0431</v>
      </c>
      <c r="T2030" s="3" t="n">
        <v>-0.0026</v>
      </c>
    </row>
    <row r="2031" customFormat="false" ht="15" hidden="false" customHeight="true" outlineLevel="0" collapsed="false">
      <c r="A2031" s="3" t="s">
        <v>3032</v>
      </c>
      <c r="B2031" s="3" t="s">
        <v>513</v>
      </c>
      <c r="C2031" s="3" t="s">
        <v>120</v>
      </c>
      <c r="D2031" s="3" t="s">
        <v>97</v>
      </c>
      <c r="E2031" s="3" t="s">
        <v>48</v>
      </c>
      <c r="F2031" s="3" t="s">
        <v>40</v>
      </c>
      <c r="G2031" s="3" t="s">
        <v>55</v>
      </c>
      <c r="H2031" s="3" t="s">
        <v>27</v>
      </c>
      <c r="I2031" s="3" t="s">
        <v>173</v>
      </c>
      <c r="J2031" s="3" t="n">
        <v>29</v>
      </c>
      <c r="K2031" s="3" t="n">
        <v>27825.31</v>
      </c>
      <c r="L2031" s="3" t="n">
        <v>806933.99</v>
      </c>
      <c r="M2031" s="3" t="n">
        <v>0.0652</v>
      </c>
      <c r="N2031" s="3" t="n">
        <v>52612.1</v>
      </c>
      <c r="O2031" s="3" t="n">
        <v>754321.89</v>
      </c>
      <c r="P2031" s="3" t="n">
        <v>500299.07</v>
      </c>
      <c r="Q2031" s="3" t="n">
        <v>254022.82</v>
      </c>
      <c r="R2031" s="3" t="n">
        <v>0.3368</v>
      </c>
      <c r="S2031" s="3" t="n">
        <v>0.0525</v>
      </c>
      <c r="T2031" s="3" t="n">
        <v>0.0127</v>
      </c>
    </row>
    <row r="2032" customFormat="false" ht="15" hidden="false" customHeight="true" outlineLevel="0" collapsed="false">
      <c r="A2032" s="3" t="s">
        <v>3033</v>
      </c>
      <c r="B2032" s="3" t="s">
        <v>2873</v>
      </c>
      <c r="C2032" s="3" t="s">
        <v>68</v>
      </c>
      <c r="D2032" s="3" t="s">
        <v>23</v>
      </c>
      <c r="E2032" s="3" t="s">
        <v>24</v>
      </c>
      <c r="F2032" s="3" t="s">
        <v>25</v>
      </c>
      <c r="G2032" s="3" t="s">
        <v>71</v>
      </c>
      <c r="H2032" s="3" t="s">
        <v>42</v>
      </c>
      <c r="I2032" s="3" t="s">
        <v>43</v>
      </c>
      <c r="J2032" s="3" t="n">
        <v>10</v>
      </c>
      <c r="K2032" s="3" t="n">
        <v>2585.15</v>
      </c>
      <c r="L2032" s="3" t="n">
        <v>25851.5</v>
      </c>
      <c r="M2032" s="3" t="n">
        <v>0.1737</v>
      </c>
      <c r="N2032" s="3" t="n">
        <v>4490.41</v>
      </c>
      <c r="O2032" s="3" t="n">
        <v>21361.09</v>
      </c>
      <c r="P2032" s="3" t="n">
        <v>14218.33</v>
      </c>
      <c r="Q2032" s="3" t="n">
        <v>7142.76</v>
      </c>
      <c r="R2032" s="3" t="n">
        <v>0.3344</v>
      </c>
      <c r="S2032" s="3" t="n">
        <v>0.1734</v>
      </c>
      <c r="T2032" s="3" t="n">
        <v>0.0003</v>
      </c>
    </row>
    <row r="2033" customFormat="false" ht="15" hidden="false" customHeight="true" outlineLevel="0" collapsed="false">
      <c r="A2033" s="3" t="s">
        <v>3034</v>
      </c>
      <c r="B2033" s="3" t="s">
        <v>2655</v>
      </c>
      <c r="C2033" s="3" t="s">
        <v>60</v>
      </c>
      <c r="D2033" s="3" t="s">
        <v>107</v>
      </c>
      <c r="E2033" s="3" t="s">
        <v>33</v>
      </c>
      <c r="F2033" s="3" t="s">
        <v>70</v>
      </c>
      <c r="G2033" s="3" t="s">
        <v>55</v>
      </c>
      <c r="H2033" s="3" t="s">
        <v>77</v>
      </c>
      <c r="I2033" s="3" t="s">
        <v>85</v>
      </c>
      <c r="J2033" s="3" t="n">
        <v>38</v>
      </c>
      <c r="K2033" s="3" t="n">
        <v>3980.54</v>
      </c>
      <c r="L2033" s="3" t="n">
        <v>151260.52</v>
      </c>
      <c r="M2033" s="3" t="n">
        <v>0.0564</v>
      </c>
      <c r="N2033" s="3" t="n">
        <v>8531.09</v>
      </c>
      <c r="O2033" s="3" t="n">
        <v>142729.43</v>
      </c>
      <c r="P2033" s="3" t="n">
        <v>102857.15</v>
      </c>
      <c r="Q2033" s="3" t="n">
        <v>39872.28</v>
      </c>
      <c r="R2033" s="3" t="n">
        <v>0.2794</v>
      </c>
      <c r="S2033" s="3" t="n">
        <v>0.0601</v>
      </c>
      <c r="T2033" s="3" t="n">
        <v>-0.0037</v>
      </c>
    </row>
    <row r="2034" customFormat="false" ht="15" hidden="false" customHeight="true" outlineLevel="0" collapsed="false">
      <c r="A2034" s="3" t="s">
        <v>3035</v>
      </c>
      <c r="B2034" s="3" t="s">
        <v>1439</v>
      </c>
      <c r="C2034" s="3" t="s">
        <v>120</v>
      </c>
      <c r="D2034" s="3" t="s">
        <v>97</v>
      </c>
      <c r="E2034" s="3" t="s">
        <v>48</v>
      </c>
      <c r="F2034" s="3" t="s">
        <v>40</v>
      </c>
      <c r="G2034" s="3" t="s">
        <v>76</v>
      </c>
      <c r="H2034" s="3" t="s">
        <v>56</v>
      </c>
      <c r="I2034" s="3" t="s">
        <v>188</v>
      </c>
      <c r="J2034" s="3" t="n">
        <v>21</v>
      </c>
      <c r="K2034" s="3" t="n">
        <v>17891.32</v>
      </c>
      <c r="L2034" s="3" t="n">
        <v>375717.72</v>
      </c>
      <c r="M2034" s="3" t="n">
        <v>0.0541</v>
      </c>
      <c r="N2034" s="3" t="n">
        <v>20326.33</v>
      </c>
      <c r="O2034" s="3" t="n">
        <v>355391.39</v>
      </c>
      <c r="P2034" s="3" t="n">
        <v>225430.63</v>
      </c>
      <c r="Q2034" s="3" t="n">
        <v>129960.76</v>
      </c>
      <c r="R2034" s="3" t="n">
        <v>0.3657</v>
      </c>
      <c r="S2034" s="3" t="n">
        <v>0.0568</v>
      </c>
      <c r="T2034" s="3" t="n">
        <v>-0.0027</v>
      </c>
    </row>
    <row r="2035" customFormat="false" ht="15" hidden="false" customHeight="true" outlineLevel="0" collapsed="false">
      <c r="A2035" s="3" t="s">
        <v>3036</v>
      </c>
      <c r="B2035" s="3" t="s">
        <v>1088</v>
      </c>
      <c r="C2035" s="3" t="s">
        <v>120</v>
      </c>
      <c r="D2035" s="3" t="s">
        <v>61</v>
      </c>
      <c r="E2035" s="3" t="s">
        <v>33</v>
      </c>
      <c r="F2035" s="3" t="s">
        <v>62</v>
      </c>
      <c r="G2035" s="3" t="s">
        <v>71</v>
      </c>
      <c r="H2035" s="3" t="s">
        <v>42</v>
      </c>
      <c r="I2035" s="3" t="s">
        <v>134</v>
      </c>
      <c r="J2035" s="3" t="n">
        <v>25</v>
      </c>
      <c r="K2035" s="3" t="n">
        <v>981.36</v>
      </c>
      <c r="L2035" s="3" t="n">
        <v>24534</v>
      </c>
      <c r="M2035" s="3" t="n">
        <v>0.0416</v>
      </c>
      <c r="N2035" s="3" t="n">
        <v>1020.61</v>
      </c>
      <c r="O2035" s="3" t="n">
        <v>23513.39</v>
      </c>
      <c r="P2035" s="3" t="n">
        <v>13493.7</v>
      </c>
      <c r="Q2035" s="3" t="n">
        <v>10019.69</v>
      </c>
      <c r="R2035" s="3" t="n">
        <v>0.4261</v>
      </c>
      <c r="S2035" s="3" t="n">
        <v>0.0441</v>
      </c>
      <c r="T2035" s="3" t="n">
        <v>-0.0025</v>
      </c>
    </row>
    <row r="2036" customFormat="false" ht="15" hidden="false" customHeight="true" outlineLevel="0" collapsed="false">
      <c r="A2036" s="3" t="s">
        <v>3037</v>
      </c>
      <c r="B2036" s="3" t="s">
        <v>2889</v>
      </c>
      <c r="C2036" s="3" t="s">
        <v>113</v>
      </c>
      <c r="D2036" s="3" t="s">
        <v>38</v>
      </c>
      <c r="E2036" s="3" t="s">
        <v>39</v>
      </c>
      <c r="F2036" s="3" t="s">
        <v>40</v>
      </c>
      <c r="G2036" s="3" t="s">
        <v>63</v>
      </c>
      <c r="H2036" s="3" t="s">
        <v>56</v>
      </c>
      <c r="I2036" s="3" t="s">
        <v>121</v>
      </c>
      <c r="J2036" s="3" t="n">
        <v>12</v>
      </c>
      <c r="K2036" s="3" t="n">
        <v>13367.56</v>
      </c>
      <c r="L2036" s="3" t="n">
        <v>160410.72</v>
      </c>
      <c r="M2036" s="3" t="n">
        <v>0.0434</v>
      </c>
      <c r="N2036" s="3" t="n">
        <v>6961.83</v>
      </c>
      <c r="O2036" s="3" t="n">
        <v>153448.89</v>
      </c>
      <c r="P2036" s="3" t="n">
        <v>96246.43</v>
      </c>
      <c r="Q2036" s="3" t="n">
        <v>57202.46</v>
      </c>
      <c r="R2036" s="3" t="n">
        <v>0.3728</v>
      </c>
      <c r="S2036" s="3" t="n">
        <v>0.0455</v>
      </c>
      <c r="T2036" s="3" t="n">
        <v>-0.0021</v>
      </c>
    </row>
    <row r="2037" customFormat="false" ht="15" hidden="false" customHeight="true" outlineLevel="0" collapsed="false">
      <c r="A2037" s="3" t="s">
        <v>3038</v>
      </c>
      <c r="B2037" s="3" t="s">
        <v>1642</v>
      </c>
      <c r="C2037" s="3" t="s">
        <v>68</v>
      </c>
      <c r="D2037" s="3" t="s">
        <v>23</v>
      </c>
      <c r="E2037" s="3" t="s">
        <v>24</v>
      </c>
      <c r="F2037" s="3" t="s">
        <v>25</v>
      </c>
      <c r="G2037" s="3" t="s">
        <v>41</v>
      </c>
      <c r="H2037" s="3" t="s">
        <v>64</v>
      </c>
      <c r="I2037" s="3" t="s">
        <v>90</v>
      </c>
      <c r="J2037" s="3" t="n">
        <v>16</v>
      </c>
      <c r="K2037" s="3" t="n">
        <v>7693.17</v>
      </c>
      <c r="L2037" s="3" t="n">
        <v>123090.72</v>
      </c>
      <c r="M2037" s="3" t="n">
        <v>0.1657</v>
      </c>
      <c r="N2037" s="3" t="n">
        <v>20396.13</v>
      </c>
      <c r="O2037" s="3" t="n">
        <v>102694.59</v>
      </c>
      <c r="P2037" s="3" t="n">
        <v>71392.62</v>
      </c>
      <c r="Q2037" s="3" t="n">
        <v>31301.97</v>
      </c>
      <c r="R2037" s="3" t="n">
        <v>0.3048</v>
      </c>
      <c r="S2037" s="3" t="n">
        <v>0.134</v>
      </c>
      <c r="T2037" s="3" t="n">
        <v>0.0317</v>
      </c>
    </row>
    <row r="2038" customFormat="false" ht="15" hidden="false" customHeight="true" outlineLevel="0" collapsed="false">
      <c r="A2038" s="3" t="s">
        <v>3039</v>
      </c>
      <c r="B2038" s="3" t="s">
        <v>3040</v>
      </c>
      <c r="C2038" s="3" t="s">
        <v>113</v>
      </c>
      <c r="D2038" s="3" t="s">
        <v>75</v>
      </c>
      <c r="E2038" s="3" t="s">
        <v>39</v>
      </c>
      <c r="F2038" s="3" t="s">
        <v>25</v>
      </c>
      <c r="G2038" s="3" t="s">
        <v>41</v>
      </c>
      <c r="H2038" s="3" t="s">
        <v>56</v>
      </c>
      <c r="I2038" s="3" t="s">
        <v>188</v>
      </c>
      <c r="J2038" s="3" t="n">
        <v>33</v>
      </c>
      <c r="K2038" s="3" t="n">
        <v>10273.3</v>
      </c>
      <c r="L2038" s="3" t="n">
        <v>339018.9</v>
      </c>
      <c r="M2038" s="3" t="n">
        <v>0.2154</v>
      </c>
      <c r="N2038" s="3" t="n">
        <v>73024.67</v>
      </c>
      <c r="O2038" s="3" t="n">
        <v>265994.23</v>
      </c>
      <c r="P2038" s="3" t="n">
        <v>203411.34</v>
      </c>
      <c r="Q2038" s="3" t="n">
        <v>62582.89</v>
      </c>
      <c r="R2038" s="3" t="n">
        <v>0.2353</v>
      </c>
      <c r="S2038" s="3" t="n">
        <v>0.1832</v>
      </c>
      <c r="T2038" s="3" t="n">
        <v>0.0322</v>
      </c>
    </row>
    <row r="2039" customFormat="false" ht="15" hidden="false" customHeight="true" outlineLevel="0" collapsed="false">
      <c r="A2039" s="3" t="s">
        <v>3041</v>
      </c>
      <c r="B2039" s="3" t="s">
        <v>3042</v>
      </c>
      <c r="C2039" s="3" t="s">
        <v>68</v>
      </c>
      <c r="D2039" s="3" t="s">
        <v>61</v>
      </c>
      <c r="E2039" s="3" t="s">
        <v>33</v>
      </c>
      <c r="F2039" s="3" t="s">
        <v>62</v>
      </c>
      <c r="G2039" s="3" t="s">
        <v>104</v>
      </c>
      <c r="H2039" s="3" t="s">
        <v>27</v>
      </c>
      <c r="I2039" s="3" t="s">
        <v>28</v>
      </c>
      <c r="J2039" s="3" t="n">
        <v>12</v>
      </c>
      <c r="K2039" s="3" t="n">
        <v>13923.66</v>
      </c>
      <c r="L2039" s="3" t="n">
        <v>167083.92</v>
      </c>
      <c r="M2039" s="3" t="n">
        <v>0.0951</v>
      </c>
      <c r="N2039" s="3" t="n">
        <v>15889.68</v>
      </c>
      <c r="O2039" s="3" t="n">
        <v>151194.24</v>
      </c>
      <c r="P2039" s="3" t="n">
        <v>103592.03</v>
      </c>
      <c r="Q2039" s="3" t="n">
        <v>47602.21</v>
      </c>
      <c r="R2039" s="3" t="n">
        <v>0.3148</v>
      </c>
      <c r="S2039" s="3" t="n">
        <v>0.0871</v>
      </c>
      <c r="T2039" s="3" t="n">
        <v>0.008</v>
      </c>
    </row>
    <row r="2040" customFormat="false" ht="15" hidden="false" customHeight="true" outlineLevel="0" collapsed="false">
      <c r="A2040" s="3" t="s">
        <v>3043</v>
      </c>
      <c r="B2040" s="3" t="s">
        <v>402</v>
      </c>
      <c r="C2040" s="3" t="s">
        <v>93</v>
      </c>
      <c r="D2040" s="3" t="s">
        <v>47</v>
      </c>
      <c r="E2040" s="3" t="s">
        <v>48</v>
      </c>
      <c r="F2040" s="3" t="s">
        <v>25</v>
      </c>
      <c r="G2040" s="3" t="s">
        <v>104</v>
      </c>
      <c r="H2040" s="3" t="s">
        <v>77</v>
      </c>
      <c r="I2040" s="3" t="s">
        <v>131</v>
      </c>
      <c r="J2040" s="3" t="n">
        <v>33</v>
      </c>
      <c r="K2040" s="3" t="n">
        <v>5568.2</v>
      </c>
      <c r="L2040" s="3" t="n">
        <v>183750.6</v>
      </c>
      <c r="M2040" s="3" t="n">
        <v>0.2145</v>
      </c>
      <c r="N2040" s="3" t="n">
        <v>39414.5</v>
      </c>
      <c r="O2040" s="3" t="n">
        <v>144336.1</v>
      </c>
      <c r="P2040" s="3" t="n">
        <v>124950.41</v>
      </c>
      <c r="Q2040" s="3" t="n">
        <v>19385.69</v>
      </c>
      <c r="R2040" s="3" t="n">
        <v>0.1343</v>
      </c>
      <c r="S2040" s="3" t="n">
        <v>0.2176</v>
      </c>
      <c r="T2040" s="3" t="n">
        <v>-0.0031</v>
      </c>
    </row>
    <row r="2041" customFormat="false" ht="15" hidden="false" customHeight="true" outlineLevel="0" collapsed="false">
      <c r="A2041" s="3" t="s">
        <v>3044</v>
      </c>
      <c r="B2041" s="3" t="s">
        <v>258</v>
      </c>
      <c r="C2041" s="3" t="s">
        <v>126</v>
      </c>
      <c r="D2041" s="3" t="s">
        <v>61</v>
      </c>
      <c r="E2041" s="3" t="s">
        <v>33</v>
      </c>
      <c r="F2041" s="3" t="s">
        <v>62</v>
      </c>
      <c r="G2041" s="3" t="s">
        <v>116</v>
      </c>
      <c r="H2041" s="3" t="s">
        <v>27</v>
      </c>
      <c r="I2041" s="3" t="s">
        <v>94</v>
      </c>
      <c r="J2041" s="3" t="n">
        <v>13</v>
      </c>
      <c r="K2041" s="3" t="n">
        <v>34170.56</v>
      </c>
      <c r="L2041" s="3" t="n">
        <v>444217.28</v>
      </c>
      <c r="M2041" s="3" t="n">
        <v>0.1005</v>
      </c>
      <c r="N2041" s="3" t="n">
        <v>44643.84</v>
      </c>
      <c r="O2041" s="3" t="n">
        <v>399573.44</v>
      </c>
      <c r="P2041" s="3" t="n">
        <v>275414.71</v>
      </c>
      <c r="Q2041" s="3" t="n">
        <v>124158.73</v>
      </c>
      <c r="R2041" s="3" t="n">
        <v>0.3107</v>
      </c>
      <c r="S2041" s="3" t="n">
        <v>0.0823</v>
      </c>
      <c r="T2041" s="3" t="n">
        <v>0.0182</v>
      </c>
    </row>
    <row r="2042" customFormat="false" ht="15" hidden="false" customHeight="true" outlineLevel="0" collapsed="false">
      <c r="A2042" s="3" t="s">
        <v>3045</v>
      </c>
      <c r="B2042" s="3" t="s">
        <v>970</v>
      </c>
      <c r="C2042" s="3" t="s">
        <v>68</v>
      </c>
      <c r="D2042" s="3" t="s">
        <v>97</v>
      </c>
      <c r="E2042" s="3" t="s">
        <v>48</v>
      </c>
      <c r="F2042" s="3" t="s">
        <v>40</v>
      </c>
      <c r="G2042" s="3" t="s">
        <v>49</v>
      </c>
      <c r="H2042" s="3" t="s">
        <v>64</v>
      </c>
      <c r="I2042" s="3" t="s">
        <v>145</v>
      </c>
      <c r="J2042" s="3" t="n">
        <v>42</v>
      </c>
      <c r="K2042" s="3" t="n">
        <v>8848.88</v>
      </c>
      <c r="L2042" s="3" t="n">
        <v>371652.96</v>
      </c>
      <c r="M2042" s="3" t="n">
        <v>0.0772</v>
      </c>
      <c r="N2042" s="3" t="n">
        <v>28691.61</v>
      </c>
      <c r="O2042" s="3" t="n">
        <v>342961.35</v>
      </c>
      <c r="P2042" s="3" t="n">
        <v>215558.72</v>
      </c>
      <c r="Q2042" s="3" t="n">
        <v>127402.63</v>
      </c>
      <c r="R2042" s="3" t="n">
        <v>0.3715</v>
      </c>
      <c r="S2042" s="3" t="n">
        <v>0.0792</v>
      </c>
      <c r="T2042" s="3" t="n">
        <v>-0.002</v>
      </c>
    </row>
    <row r="2043" customFormat="false" ht="15" hidden="false" customHeight="true" outlineLevel="0" collapsed="false">
      <c r="A2043" s="3" t="s">
        <v>3046</v>
      </c>
      <c r="B2043" s="3" t="s">
        <v>2840</v>
      </c>
      <c r="C2043" s="3" t="s">
        <v>31</v>
      </c>
      <c r="D2043" s="3" t="s">
        <v>83</v>
      </c>
      <c r="E2043" s="3" t="s">
        <v>48</v>
      </c>
      <c r="F2043" s="3" t="s">
        <v>62</v>
      </c>
      <c r="G2043" s="3" t="s">
        <v>100</v>
      </c>
      <c r="H2043" s="3" t="s">
        <v>42</v>
      </c>
      <c r="I2043" s="3" t="s">
        <v>134</v>
      </c>
      <c r="J2043" s="3" t="n">
        <v>13</v>
      </c>
      <c r="K2043" s="3" t="n">
        <v>2745.3</v>
      </c>
      <c r="L2043" s="3" t="n">
        <v>35688.9</v>
      </c>
      <c r="M2043" s="3" t="n">
        <v>0.0457</v>
      </c>
      <c r="N2043" s="3" t="n">
        <v>1630.98</v>
      </c>
      <c r="O2043" s="3" t="n">
        <v>34057.92</v>
      </c>
      <c r="P2043" s="3" t="n">
        <v>19628.9</v>
      </c>
      <c r="Q2043" s="3" t="n">
        <v>14429.02</v>
      </c>
      <c r="R2043" s="3" t="n">
        <v>0.4237</v>
      </c>
      <c r="S2043" s="3" t="n">
        <v>0.0485</v>
      </c>
      <c r="T2043" s="3" t="n">
        <v>-0.0028</v>
      </c>
    </row>
    <row r="2044" customFormat="false" ht="15" hidden="false" customHeight="true" outlineLevel="0" collapsed="false">
      <c r="A2044" s="3" t="s">
        <v>3047</v>
      </c>
      <c r="B2044" s="3" t="s">
        <v>3048</v>
      </c>
      <c r="C2044" s="3" t="s">
        <v>93</v>
      </c>
      <c r="D2044" s="3" t="s">
        <v>38</v>
      </c>
      <c r="E2044" s="3" t="s">
        <v>39</v>
      </c>
      <c r="F2044" s="3" t="s">
        <v>40</v>
      </c>
      <c r="G2044" s="3" t="s">
        <v>116</v>
      </c>
      <c r="H2044" s="3" t="s">
        <v>42</v>
      </c>
      <c r="I2044" s="3" t="s">
        <v>72</v>
      </c>
      <c r="J2044" s="3" t="n">
        <v>13</v>
      </c>
      <c r="K2044" s="3" t="n">
        <v>622.04</v>
      </c>
      <c r="L2044" s="3" t="n">
        <v>8086.52</v>
      </c>
      <c r="M2044" s="3" t="n">
        <v>0.1265</v>
      </c>
      <c r="N2044" s="3" t="n">
        <v>1022.94</v>
      </c>
      <c r="O2044" s="3" t="n">
        <v>7063.58</v>
      </c>
      <c r="P2044" s="3" t="n">
        <v>4447.59</v>
      </c>
      <c r="Q2044" s="3" t="n">
        <v>2615.99</v>
      </c>
      <c r="R2044" s="3" t="n">
        <v>0.3703</v>
      </c>
      <c r="S2044" s="3" t="n">
        <v>0.1328</v>
      </c>
      <c r="T2044" s="3" t="n">
        <v>-0.0063</v>
      </c>
    </row>
    <row r="2045" customFormat="false" ht="15" hidden="false" customHeight="true" outlineLevel="0" collapsed="false">
      <c r="A2045" s="3" t="s">
        <v>3049</v>
      </c>
      <c r="B2045" s="3" t="s">
        <v>208</v>
      </c>
      <c r="C2045" s="3" t="s">
        <v>46</v>
      </c>
      <c r="D2045" s="3" t="s">
        <v>47</v>
      </c>
      <c r="E2045" s="3" t="s">
        <v>48</v>
      </c>
      <c r="F2045" s="3" t="s">
        <v>25</v>
      </c>
      <c r="G2045" s="3" t="s">
        <v>49</v>
      </c>
      <c r="H2045" s="3" t="s">
        <v>64</v>
      </c>
      <c r="I2045" s="3" t="s">
        <v>65</v>
      </c>
      <c r="J2045" s="3" t="n">
        <v>18</v>
      </c>
      <c r="K2045" s="3" t="n">
        <v>10356.33</v>
      </c>
      <c r="L2045" s="3" t="n">
        <v>186413.94</v>
      </c>
      <c r="M2045" s="3" t="n">
        <v>0.1934</v>
      </c>
      <c r="N2045" s="3" t="n">
        <v>36052.46</v>
      </c>
      <c r="O2045" s="3" t="n">
        <v>150361.48</v>
      </c>
      <c r="P2045" s="3" t="n">
        <v>108120.09</v>
      </c>
      <c r="Q2045" s="3" t="n">
        <v>42241.39</v>
      </c>
      <c r="R2045" s="3" t="n">
        <v>0.2809</v>
      </c>
      <c r="S2045" s="3" t="n">
        <v>0.1801</v>
      </c>
      <c r="T2045" s="3" t="n">
        <v>0.0133</v>
      </c>
    </row>
    <row r="2046" customFormat="false" ht="15" hidden="false" customHeight="true" outlineLevel="0" collapsed="false">
      <c r="A2046" s="3" t="s">
        <v>3050</v>
      </c>
      <c r="B2046" s="3" t="s">
        <v>1551</v>
      </c>
      <c r="C2046" s="3" t="s">
        <v>46</v>
      </c>
      <c r="D2046" s="3" t="s">
        <v>61</v>
      </c>
      <c r="E2046" s="3" t="s">
        <v>33</v>
      </c>
      <c r="F2046" s="3" t="s">
        <v>62</v>
      </c>
      <c r="G2046" s="3" t="s">
        <v>26</v>
      </c>
      <c r="H2046" s="3" t="s">
        <v>42</v>
      </c>
      <c r="I2046" s="3" t="s">
        <v>43</v>
      </c>
      <c r="J2046" s="3" t="n">
        <v>28</v>
      </c>
      <c r="K2046" s="3" t="n">
        <v>661.27</v>
      </c>
      <c r="L2046" s="3" t="n">
        <v>18515.56</v>
      </c>
      <c r="M2046" s="3" t="n">
        <v>0.0786</v>
      </c>
      <c r="N2046" s="3" t="n">
        <v>1455.32</v>
      </c>
      <c r="O2046" s="3" t="n">
        <v>17060.24</v>
      </c>
      <c r="P2046" s="3" t="n">
        <v>10183.56</v>
      </c>
      <c r="Q2046" s="3" t="n">
        <v>6876.68</v>
      </c>
      <c r="R2046" s="3" t="n">
        <v>0.4031</v>
      </c>
      <c r="S2046" s="3" t="n">
        <v>0.0729</v>
      </c>
      <c r="T2046" s="3" t="n">
        <v>0.0057</v>
      </c>
    </row>
    <row r="2047" customFormat="false" ht="15" hidden="false" customHeight="true" outlineLevel="0" collapsed="false">
      <c r="A2047" s="3" t="s">
        <v>3051</v>
      </c>
      <c r="B2047" s="3" t="s">
        <v>3052</v>
      </c>
      <c r="C2047" s="3" t="s">
        <v>22</v>
      </c>
      <c r="D2047" s="3" t="s">
        <v>61</v>
      </c>
      <c r="E2047" s="3" t="s">
        <v>33</v>
      </c>
      <c r="F2047" s="3" t="s">
        <v>62</v>
      </c>
      <c r="G2047" s="3" t="s">
        <v>71</v>
      </c>
      <c r="H2047" s="3" t="s">
        <v>27</v>
      </c>
      <c r="I2047" s="3" t="s">
        <v>28</v>
      </c>
      <c r="J2047" s="3" t="n">
        <v>24</v>
      </c>
      <c r="K2047" s="3" t="n">
        <v>20575.6</v>
      </c>
      <c r="L2047" s="3" t="n">
        <v>493814.4</v>
      </c>
      <c r="M2047" s="3" t="n">
        <v>0.045</v>
      </c>
      <c r="N2047" s="3" t="n">
        <v>22221.65</v>
      </c>
      <c r="O2047" s="3" t="n">
        <v>471592.75</v>
      </c>
      <c r="P2047" s="3" t="n">
        <v>306164.93</v>
      </c>
      <c r="Q2047" s="3" t="n">
        <v>165427.82</v>
      </c>
      <c r="R2047" s="3" t="n">
        <v>0.3508</v>
      </c>
      <c r="S2047" s="3" t="n">
        <v>0.0455</v>
      </c>
      <c r="T2047" s="3" t="n">
        <v>-0.0005</v>
      </c>
    </row>
    <row r="2048" customFormat="false" ht="15" hidden="false" customHeight="true" outlineLevel="0" collapsed="false">
      <c r="A2048" s="3" t="s">
        <v>3053</v>
      </c>
      <c r="B2048" s="3" t="s">
        <v>3054</v>
      </c>
      <c r="C2048" s="3" t="s">
        <v>126</v>
      </c>
      <c r="D2048" s="3" t="s">
        <v>97</v>
      </c>
      <c r="E2048" s="3" t="s">
        <v>48</v>
      </c>
      <c r="F2048" s="3" t="s">
        <v>40</v>
      </c>
      <c r="G2048" s="3" t="s">
        <v>104</v>
      </c>
      <c r="H2048" s="3" t="s">
        <v>64</v>
      </c>
      <c r="I2048" s="3" t="s">
        <v>145</v>
      </c>
      <c r="J2048" s="3" t="n">
        <v>35</v>
      </c>
      <c r="K2048" s="3" t="n">
        <v>10269.87</v>
      </c>
      <c r="L2048" s="3" t="n">
        <v>359445.45</v>
      </c>
      <c r="M2048" s="3" t="n">
        <v>0.0821</v>
      </c>
      <c r="N2048" s="3" t="n">
        <v>29510.47</v>
      </c>
      <c r="O2048" s="3" t="n">
        <v>329934.98</v>
      </c>
      <c r="P2048" s="3" t="n">
        <v>208478.36</v>
      </c>
      <c r="Q2048" s="3" t="n">
        <v>121456.62</v>
      </c>
      <c r="R2048" s="3" t="n">
        <v>0.3681</v>
      </c>
      <c r="S2048" s="3" t="n">
        <v>0.0848</v>
      </c>
      <c r="T2048" s="3" t="n">
        <v>-0.0027</v>
      </c>
    </row>
    <row r="2049" customFormat="false" ht="15" hidden="false" customHeight="true" outlineLevel="0" collapsed="false">
      <c r="A2049" s="3" t="s">
        <v>3055</v>
      </c>
      <c r="B2049" s="3" t="s">
        <v>2395</v>
      </c>
      <c r="C2049" s="3" t="s">
        <v>113</v>
      </c>
      <c r="D2049" s="3" t="s">
        <v>83</v>
      </c>
      <c r="E2049" s="3" t="s">
        <v>48</v>
      </c>
      <c r="F2049" s="3" t="s">
        <v>62</v>
      </c>
      <c r="G2049" s="3" t="s">
        <v>55</v>
      </c>
      <c r="H2049" s="3" t="s">
        <v>27</v>
      </c>
      <c r="I2049" s="3" t="s">
        <v>94</v>
      </c>
      <c r="J2049" s="3" t="n">
        <v>50</v>
      </c>
      <c r="K2049" s="3" t="n">
        <v>8481.42</v>
      </c>
      <c r="L2049" s="3" t="n">
        <v>424071</v>
      </c>
      <c r="M2049" s="3" t="n">
        <v>0.0581</v>
      </c>
      <c r="N2049" s="3" t="n">
        <v>24638.53</v>
      </c>
      <c r="O2049" s="3" t="n">
        <v>399432.47</v>
      </c>
      <c r="P2049" s="3" t="n">
        <v>262924.02</v>
      </c>
      <c r="Q2049" s="3" t="n">
        <v>136508.45</v>
      </c>
      <c r="R2049" s="3" t="n">
        <v>0.3418</v>
      </c>
      <c r="S2049" s="3" t="n">
        <v>0.054</v>
      </c>
      <c r="T2049" s="3" t="n">
        <v>0.0041</v>
      </c>
    </row>
    <row r="2050" customFormat="false" ht="15" hidden="false" customHeight="true" outlineLevel="0" collapsed="false">
      <c r="A2050" s="3" t="s">
        <v>3056</v>
      </c>
      <c r="B2050" s="3" t="s">
        <v>627</v>
      </c>
      <c r="C2050" s="3" t="s">
        <v>31</v>
      </c>
      <c r="D2050" s="3" t="s">
        <v>107</v>
      </c>
      <c r="E2050" s="3" t="s">
        <v>33</v>
      </c>
      <c r="F2050" s="3" t="s">
        <v>70</v>
      </c>
      <c r="G2050" s="3" t="s">
        <v>100</v>
      </c>
      <c r="H2050" s="3" t="s">
        <v>64</v>
      </c>
      <c r="I2050" s="3" t="s">
        <v>145</v>
      </c>
      <c r="J2050" s="3" t="n">
        <v>35</v>
      </c>
      <c r="K2050" s="3" t="n">
        <v>4267.44</v>
      </c>
      <c r="L2050" s="3" t="n">
        <v>149360.4</v>
      </c>
      <c r="M2050" s="3" t="n">
        <v>0.0663</v>
      </c>
      <c r="N2050" s="3" t="n">
        <v>9902.59</v>
      </c>
      <c r="O2050" s="3" t="n">
        <v>139457.81</v>
      </c>
      <c r="P2050" s="3" t="n">
        <v>86629.03</v>
      </c>
      <c r="Q2050" s="3" t="n">
        <v>52828.78</v>
      </c>
      <c r="R2050" s="3" t="n">
        <v>0.3788</v>
      </c>
      <c r="S2050" s="3" t="n">
        <v>0.0562</v>
      </c>
      <c r="T2050" s="3" t="n">
        <v>0.0101</v>
      </c>
    </row>
    <row r="2051" customFormat="false" ht="15" hidden="false" customHeight="true" outlineLevel="0" collapsed="false">
      <c r="A2051" s="3" t="s">
        <v>3057</v>
      </c>
      <c r="B2051" s="3" t="s">
        <v>1729</v>
      </c>
      <c r="C2051" s="3" t="s">
        <v>68</v>
      </c>
      <c r="D2051" s="3" t="s">
        <v>38</v>
      </c>
      <c r="E2051" s="3" t="s">
        <v>39</v>
      </c>
      <c r="F2051" s="3" t="s">
        <v>40</v>
      </c>
      <c r="G2051" s="3" t="s">
        <v>100</v>
      </c>
      <c r="H2051" s="3" t="s">
        <v>77</v>
      </c>
      <c r="I2051" s="3" t="s">
        <v>131</v>
      </c>
      <c r="J2051" s="3" t="n">
        <v>28</v>
      </c>
      <c r="K2051" s="3" t="n">
        <v>2323.58</v>
      </c>
      <c r="L2051" s="3" t="n">
        <v>65060.24</v>
      </c>
      <c r="M2051" s="3" t="n">
        <v>0.0579</v>
      </c>
      <c r="N2051" s="3" t="n">
        <v>3766.99</v>
      </c>
      <c r="O2051" s="3" t="n">
        <v>61293.25</v>
      </c>
      <c r="P2051" s="3" t="n">
        <v>44240.96</v>
      </c>
      <c r="Q2051" s="3" t="n">
        <v>17052.29</v>
      </c>
      <c r="R2051" s="3" t="n">
        <v>0.2782</v>
      </c>
      <c r="S2051" s="3" t="n">
        <v>0.0619</v>
      </c>
      <c r="T2051" s="3" t="n">
        <v>-0.004</v>
      </c>
    </row>
    <row r="2052" customFormat="false" ht="15" hidden="false" customHeight="true" outlineLevel="0" collapsed="false">
      <c r="A2052" s="3" t="s">
        <v>3058</v>
      </c>
      <c r="B2052" s="3" t="s">
        <v>909</v>
      </c>
      <c r="C2052" s="3" t="s">
        <v>22</v>
      </c>
      <c r="D2052" s="3" t="s">
        <v>38</v>
      </c>
      <c r="E2052" s="3" t="s">
        <v>39</v>
      </c>
      <c r="F2052" s="3" t="s">
        <v>40</v>
      </c>
      <c r="G2052" s="3" t="s">
        <v>100</v>
      </c>
      <c r="H2052" s="3" t="s">
        <v>27</v>
      </c>
      <c r="I2052" s="3" t="s">
        <v>173</v>
      </c>
      <c r="J2052" s="3" t="n">
        <v>43</v>
      </c>
      <c r="K2052" s="3" t="n">
        <v>39840.21</v>
      </c>
      <c r="L2052" s="3" t="n">
        <v>1713129.03</v>
      </c>
      <c r="M2052" s="3" t="n">
        <v>0.062</v>
      </c>
      <c r="N2052" s="3" t="n">
        <v>106214</v>
      </c>
      <c r="O2052" s="3" t="n">
        <v>1606915.03</v>
      </c>
      <c r="P2052" s="3" t="n">
        <v>1062140</v>
      </c>
      <c r="Q2052" s="3" t="n">
        <v>544775.03</v>
      </c>
      <c r="R2052" s="3" t="n">
        <v>0.339</v>
      </c>
      <c r="S2052" s="3" t="n">
        <v>0.0564</v>
      </c>
      <c r="T2052" s="3" t="n">
        <v>0.0056</v>
      </c>
    </row>
    <row r="2053" customFormat="false" ht="15" hidden="false" customHeight="true" outlineLevel="0" collapsed="false">
      <c r="A2053" s="3" t="s">
        <v>3059</v>
      </c>
      <c r="B2053" s="3" t="s">
        <v>2767</v>
      </c>
      <c r="C2053" s="3" t="s">
        <v>156</v>
      </c>
      <c r="D2053" s="3" t="s">
        <v>103</v>
      </c>
      <c r="E2053" s="3" t="s">
        <v>24</v>
      </c>
      <c r="F2053" s="3" t="s">
        <v>62</v>
      </c>
      <c r="G2053" s="3" t="s">
        <v>41</v>
      </c>
      <c r="H2053" s="3" t="s">
        <v>56</v>
      </c>
      <c r="I2053" s="3" t="s">
        <v>57</v>
      </c>
      <c r="J2053" s="3" t="n">
        <v>5</v>
      </c>
      <c r="K2053" s="3" t="n">
        <v>7808.34</v>
      </c>
      <c r="L2053" s="3" t="n">
        <v>39041.7</v>
      </c>
      <c r="M2053" s="3" t="n">
        <v>0.1143</v>
      </c>
      <c r="N2053" s="3" t="n">
        <v>4462.47</v>
      </c>
      <c r="O2053" s="3" t="n">
        <v>34579.23</v>
      </c>
      <c r="P2053" s="3" t="n">
        <v>23425.02</v>
      </c>
      <c r="Q2053" s="3" t="n">
        <v>11154.21</v>
      </c>
      <c r="R2053" s="3" t="n">
        <v>0.3226</v>
      </c>
      <c r="S2053" s="3" t="n">
        <v>0.1152</v>
      </c>
      <c r="T2053" s="3" t="n">
        <v>-0.0009</v>
      </c>
    </row>
    <row r="2054" customFormat="false" ht="15" hidden="false" customHeight="true" outlineLevel="0" collapsed="false">
      <c r="A2054" s="3" t="s">
        <v>3060</v>
      </c>
      <c r="B2054" s="3" t="s">
        <v>3042</v>
      </c>
      <c r="C2054" s="3" t="s">
        <v>68</v>
      </c>
      <c r="D2054" s="3" t="s">
        <v>69</v>
      </c>
      <c r="E2054" s="3" t="s">
        <v>39</v>
      </c>
      <c r="F2054" s="3" t="s">
        <v>70</v>
      </c>
      <c r="G2054" s="3" t="s">
        <v>116</v>
      </c>
      <c r="H2054" s="3" t="s">
        <v>64</v>
      </c>
      <c r="I2054" s="3" t="s">
        <v>65</v>
      </c>
      <c r="J2054" s="3" t="n">
        <v>45</v>
      </c>
      <c r="K2054" s="3" t="n">
        <v>4194.31</v>
      </c>
      <c r="L2054" s="3" t="n">
        <v>188743.95</v>
      </c>
      <c r="M2054" s="3" t="n">
        <v>0.1025</v>
      </c>
      <c r="N2054" s="3" t="n">
        <v>19346.25</v>
      </c>
      <c r="O2054" s="3" t="n">
        <v>169397.7</v>
      </c>
      <c r="P2054" s="3" t="n">
        <v>109471.49</v>
      </c>
      <c r="Q2054" s="3" t="n">
        <v>59926.21</v>
      </c>
      <c r="R2054" s="3" t="n">
        <v>0.3538</v>
      </c>
      <c r="S2054" s="3" t="n">
        <v>0.0998</v>
      </c>
      <c r="T2054" s="3" t="n">
        <v>0.0027</v>
      </c>
    </row>
    <row r="2055" customFormat="false" ht="15" hidden="false" customHeight="true" outlineLevel="0" collapsed="false">
      <c r="A2055" s="3" t="s">
        <v>3061</v>
      </c>
      <c r="B2055" s="3" t="s">
        <v>2561</v>
      </c>
      <c r="C2055" s="3" t="s">
        <v>46</v>
      </c>
      <c r="D2055" s="3" t="s">
        <v>75</v>
      </c>
      <c r="E2055" s="3" t="s">
        <v>39</v>
      </c>
      <c r="F2055" s="3" t="s">
        <v>25</v>
      </c>
      <c r="G2055" s="3" t="s">
        <v>76</v>
      </c>
      <c r="H2055" s="3" t="s">
        <v>77</v>
      </c>
      <c r="I2055" s="3" t="s">
        <v>131</v>
      </c>
      <c r="J2055" s="3" t="n">
        <v>36</v>
      </c>
      <c r="K2055" s="3" t="n">
        <v>5893.33</v>
      </c>
      <c r="L2055" s="3" t="n">
        <v>212159.88</v>
      </c>
      <c r="M2055" s="3" t="n">
        <v>0.1736</v>
      </c>
      <c r="N2055" s="3" t="n">
        <v>36830.96</v>
      </c>
      <c r="O2055" s="3" t="n">
        <v>175328.92</v>
      </c>
      <c r="P2055" s="3" t="n">
        <v>144268.72</v>
      </c>
      <c r="Q2055" s="3" t="n">
        <v>31060.2</v>
      </c>
      <c r="R2055" s="3" t="n">
        <v>0.1772</v>
      </c>
      <c r="S2055" s="3" t="n">
        <v>0.1876</v>
      </c>
      <c r="T2055" s="3" t="n">
        <v>-0.014</v>
      </c>
    </row>
    <row r="2056" customFormat="false" ht="15" hidden="false" customHeight="true" outlineLevel="0" collapsed="false">
      <c r="A2056" s="3" t="s">
        <v>3062</v>
      </c>
      <c r="B2056" s="3" t="s">
        <v>838</v>
      </c>
      <c r="C2056" s="3" t="s">
        <v>93</v>
      </c>
      <c r="D2056" s="3" t="s">
        <v>61</v>
      </c>
      <c r="E2056" s="3" t="s">
        <v>33</v>
      </c>
      <c r="F2056" s="3" t="s">
        <v>62</v>
      </c>
      <c r="G2056" s="3" t="s">
        <v>49</v>
      </c>
      <c r="H2056" s="3" t="s">
        <v>77</v>
      </c>
      <c r="I2056" s="3" t="s">
        <v>78</v>
      </c>
      <c r="J2056" s="3" t="n">
        <v>8</v>
      </c>
      <c r="K2056" s="3" t="n">
        <v>3650.38</v>
      </c>
      <c r="L2056" s="3" t="n">
        <v>29203.04</v>
      </c>
      <c r="M2056" s="3" t="n">
        <v>0.053</v>
      </c>
      <c r="N2056" s="3" t="n">
        <v>1547.76</v>
      </c>
      <c r="O2056" s="3" t="n">
        <v>27655.28</v>
      </c>
      <c r="P2056" s="3" t="n">
        <v>19858.07</v>
      </c>
      <c r="Q2056" s="3" t="n">
        <v>7797.21</v>
      </c>
      <c r="R2056" s="3" t="n">
        <v>0.2819</v>
      </c>
      <c r="S2056" s="3" t="n">
        <v>0.047</v>
      </c>
      <c r="T2056" s="3" t="n">
        <v>0.006</v>
      </c>
    </row>
    <row r="2057" customFormat="false" ht="15" hidden="false" customHeight="true" outlineLevel="0" collapsed="false">
      <c r="A2057" s="3" t="s">
        <v>3063</v>
      </c>
      <c r="B2057" s="3" t="s">
        <v>1355</v>
      </c>
      <c r="C2057" s="3" t="s">
        <v>120</v>
      </c>
      <c r="D2057" s="3" t="s">
        <v>61</v>
      </c>
      <c r="E2057" s="3" t="s">
        <v>33</v>
      </c>
      <c r="F2057" s="3" t="s">
        <v>62</v>
      </c>
      <c r="G2057" s="3" t="s">
        <v>76</v>
      </c>
      <c r="H2057" s="3" t="s">
        <v>64</v>
      </c>
      <c r="I2057" s="3" t="s">
        <v>90</v>
      </c>
      <c r="J2057" s="3" t="n">
        <v>12</v>
      </c>
      <c r="K2057" s="3" t="n">
        <v>6465.87</v>
      </c>
      <c r="L2057" s="3" t="n">
        <v>77590.44</v>
      </c>
      <c r="M2057" s="3" t="n">
        <v>0.0692</v>
      </c>
      <c r="N2057" s="3" t="n">
        <v>5369.26</v>
      </c>
      <c r="O2057" s="3" t="n">
        <v>72221.18</v>
      </c>
      <c r="P2057" s="3" t="n">
        <v>45002.46</v>
      </c>
      <c r="Q2057" s="3" t="n">
        <v>27218.72</v>
      </c>
      <c r="R2057" s="3" t="n">
        <v>0.3769</v>
      </c>
      <c r="S2057" s="3" t="n">
        <v>0.0666</v>
      </c>
      <c r="T2057" s="3" t="n">
        <v>0.0026</v>
      </c>
    </row>
    <row r="2058" customFormat="false" ht="15" hidden="false" customHeight="true" outlineLevel="0" collapsed="false">
      <c r="A2058" s="3" t="s">
        <v>3064</v>
      </c>
      <c r="B2058" s="3" t="s">
        <v>1952</v>
      </c>
      <c r="C2058" s="3" t="s">
        <v>31</v>
      </c>
      <c r="D2058" s="3" t="s">
        <v>23</v>
      </c>
      <c r="E2058" s="3" t="s">
        <v>24</v>
      </c>
      <c r="F2058" s="3" t="s">
        <v>25</v>
      </c>
      <c r="G2058" s="3" t="s">
        <v>76</v>
      </c>
      <c r="H2058" s="3" t="s">
        <v>56</v>
      </c>
      <c r="I2058" s="3" t="s">
        <v>188</v>
      </c>
      <c r="J2058" s="3" t="n">
        <v>46</v>
      </c>
      <c r="K2058" s="3" t="n">
        <v>3470.43</v>
      </c>
      <c r="L2058" s="3" t="n">
        <v>159639.78</v>
      </c>
      <c r="M2058" s="3" t="n">
        <v>0.1748</v>
      </c>
      <c r="N2058" s="3" t="n">
        <v>27905.03</v>
      </c>
      <c r="O2058" s="3" t="n">
        <v>131734.75</v>
      </c>
      <c r="P2058" s="3" t="n">
        <v>95783.87</v>
      </c>
      <c r="Q2058" s="3" t="n">
        <v>35950.88</v>
      </c>
      <c r="R2058" s="3" t="n">
        <v>0.2729</v>
      </c>
      <c r="S2058" s="3" t="n">
        <v>0.1538</v>
      </c>
      <c r="T2058" s="3" t="n">
        <v>0.021</v>
      </c>
    </row>
    <row r="2059" customFormat="false" ht="15" hidden="false" customHeight="true" outlineLevel="0" collapsed="false">
      <c r="A2059" s="3" t="s">
        <v>3065</v>
      </c>
      <c r="B2059" s="3" t="s">
        <v>494</v>
      </c>
      <c r="C2059" s="3" t="s">
        <v>53</v>
      </c>
      <c r="D2059" s="3" t="s">
        <v>75</v>
      </c>
      <c r="E2059" s="3" t="s">
        <v>39</v>
      </c>
      <c r="F2059" s="3" t="s">
        <v>25</v>
      </c>
      <c r="G2059" s="3" t="s">
        <v>49</v>
      </c>
      <c r="H2059" s="3" t="s">
        <v>64</v>
      </c>
      <c r="I2059" s="3" t="s">
        <v>90</v>
      </c>
      <c r="J2059" s="3" t="n">
        <v>5</v>
      </c>
      <c r="K2059" s="3" t="n">
        <v>7610.04</v>
      </c>
      <c r="L2059" s="3" t="n">
        <v>38050.2</v>
      </c>
      <c r="M2059" s="3" t="n">
        <v>0.1574</v>
      </c>
      <c r="N2059" s="3" t="n">
        <v>5989.1</v>
      </c>
      <c r="O2059" s="3" t="n">
        <v>32061.1</v>
      </c>
      <c r="P2059" s="3" t="n">
        <v>22069.12</v>
      </c>
      <c r="Q2059" s="3" t="n">
        <v>9991.98</v>
      </c>
      <c r="R2059" s="3" t="n">
        <v>0.3117</v>
      </c>
      <c r="S2059" s="3" t="n">
        <v>0.1599</v>
      </c>
      <c r="T2059" s="3" t="n">
        <v>-0.0025</v>
      </c>
    </row>
    <row r="2060" customFormat="false" ht="15" hidden="false" customHeight="true" outlineLevel="0" collapsed="false">
      <c r="A2060" s="3" t="s">
        <v>3066</v>
      </c>
      <c r="B2060" s="3" t="s">
        <v>3067</v>
      </c>
      <c r="C2060" s="3" t="s">
        <v>22</v>
      </c>
      <c r="D2060" s="3" t="s">
        <v>103</v>
      </c>
      <c r="E2060" s="3" t="s">
        <v>24</v>
      </c>
      <c r="F2060" s="3" t="s">
        <v>62</v>
      </c>
      <c r="G2060" s="3" t="s">
        <v>116</v>
      </c>
      <c r="H2060" s="3" t="s">
        <v>42</v>
      </c>
      <c r="I2060" s="3" t="s">
        <v>43</v>
      </c>
      <c r="J2060" s="3" t="n">
        <v>23</v>
      </c>
      <c r="K2060" s="3" t="n">
        <v>3381.58</v>
      </c>
      <c r="L2060" s="3" t="n">
        <v>77776.34</v>
      </c>
      <c r="M2060" s="3" t="n">
        <v>0.099</v>
      </c>
      <c r="N2060" s="3" t="n">
        <v>7699.86</v>
      </c>
      <c r="O2060" s="3" t="n">
        <v>70076.48</v>
      </c>
      <c r="P2060" s="3" t="n">
        <v>42776.99</v>
      </c>
      <c r="Q2060" s="3" t="n">
        <v>27299.49</v>
      </c>
      <c r="R2060" s="3" t="n">
        <v>0.3896</v>
      </c>
      <c r="S2060" s="3" t="n">
        <v>0.0886</v>
      </c>
      <c r="T2060" s="3" t="n">
        <v>0.0104</v>
      </c>
    </row>
    <row r="2061" customFormat="false" ht="15" hidden="false" customHeight="true" outlineLevel="0" collapsed="false">
      <c r="A2061" s="3" t="s">
        <v>3068</v>
      </c>
      <c r="B2061" s="3" t="s">
        <v>2522</v>
      </c>
      <c r="C2061" s="3" t="s">
        <v>156</v>
      </c>
      <c r="D2061" s="3" t="s">
        <v>107</v>
      </c>
      <c r="E2061" s="3" t="s">
        <v>33</v>
      </c>
      <c r="F2061" s="3" t="s">
        <v>70</v>
      </c>
      <c r="G2061" s="3" t="s">
        <v>55</v>
      </c>
      <c r="H2061" s="3" t="s">
        <v>64</v>
      </c>
      <c r="I2061" s="3" t="s">
        <v>65</v>
      </c>
      <c r="J2061" s="3" t="n">
        <v>24</v>
      </c>
      <c r="K2061" s="3" t="n">
        <v>4273.82</v>
      </c>
      <c r="L2061" s="3" t="n">
        <v>102571.68</v>
      </c>
      <c r="M2061" s="3" t="n">
        <v>0.0548</v>
      </c>
      <c r="N2061" s="3" t="n">
        <v>5620.93</v>
      </c>
      <c r="O2061" s="3" t="n">
        <v>96950.75</v>
      </c>
      <c r="P2061" s="3" t="n">
        <v>59491.57</v>
      </c>
      <c r="Q2061" s="3" t="n">
        <v>37459.18</v>
      </c>
      <c r="R2061" s="3" t="n">
        <v>0.3864</v>
      </c>
      <c r="S2061" s="3" t="n">
        <v>0.0556</v>
      </c>
      <c r="T2061" s="3" t="n">
        <v>-0.0008</v>
      </c>
    </row>
    <row r="2062" customFormat="false" ht="15" hidden="false" customHeight="true" outlineLevel="0" collapsed="false">
      <c r="A2062" s="3" t="s">
        <v>3069</v>
      </c>
      <c r="B2062" s="3" t="s">
        <v>1543</v>
      </c>
      <c r="C2062" s="3" t="s">
        <v>22</v>
      </c>
      <c r="D2062" s="3" t="s">
        <v>32</v>
      </c>
      <c r="E2062" s="3" t="s">
        <v>33</v>
      </c>
      <c r="F2062" s="3" t="s">
        <v>25</v>
      </c>
      <c r="G2062" s="3" t="s">
        <v>71</v>
      </c>
      <c r="H2062" s="3" t="s">
        <v>27</v>
      </c>
      <c r="I2062" s="3" t="s">
        <v>28</v>
      </c>
      <c r="J2062" s="3" t="n">
        <v>46</v>
      </c>
      <c r="K2062" s="3" t="n">
        <v>20777.55</v>
      </c>
      <c r="L2062" s="3" t="n">
        <v>955767.3</v>
      </c>
      <c r="M2062" s="3" t="n">
        <v>0.1477</v>
      </c>
      <c r="N2062" s="3" t="n">
        <v>141166.83</v>
      </c>
      <c r="O2062" s="3" t="n">
        <v>814600.47</v>
      </c>
      <c r="P2062" s="3" t="n">
        <v>592575.73</v>
      </c>
      <c r="Q2062" s="3" t="n">
        <v>222024.74</v>
      </c>
      <c r="R2062" s="3" t="n">
        <v>0.2726</v>
      </c>
      <c r="S2062" s="3" t="n">
        <v>0.1385</v>
      </c>
      <c r="T2062" s="3" t="n">
        <v>0.0092</v>
      </c>
    </row>
    <row r="2063" customFormat="false" ht="15" hidden="false" customHeight="true" outlineLevel="0" collapsed="false">
      <c r="A2063" s="3" t="s">
        <v>3070</v>
      </c>
      <c r="B2063" s="3" t="s">
        <v>2865</v>
      </c>
      <c r="C2063" s="3" t="s">
        <v>37</v>
      </c>
      <c r="D2063" s="3" t="s">
        <v>69</v>
      </c>
      <c r="E2063" s="3" t="s">
        <v>39</v>
      </c>
      <c r="F2063" s="3" t="s">
        <v>70</v>
      </c>
      <c r="G2063" s="3" t="s">
        <v>84</v>
      </c>
      <c r="H2063" s="3" t="s">
        <v>64</v>
      </c>
      <c r="I2063" s="3" t="s">
        <v>145</v>
      </c>
      <c r="J2063" s="3" t="n">
        <v>33</v>
      </c>
      <c r="K2063" s="3" t="n">
        <v>11926.92</v>
      </c>
      <c r="L2063" s="3" t="n">
        <v>393588.36</v>
      </c>
      <c r="M2063" s="3" t="n">
        <v>0.0381</v>
      </c>
      <c r="N2063" s="3" t="n">
        <v>14995.72</v>
      </c>
      <c r="O2063" s="3" t="n">
        <v>378592.64</v>
      </c>
      <c r="P2063" s="3" t="n">
        <v>228281.25</v>
      </c>
      <c r="Q2063" s="3" t="n">
        <v>150311.39</v>
      </c>
      <c r="R2063" s="3" t="n">
        <v>0.397</v>
      </c>
      <c r="S2063" s="3" t="n">
        <v>0.0407</v>
      </c>
      <c r="T2063" s="3" t="n">
        <v>-0.0026</v>
      </c>
    </row>
    <row r="2064" customFormat="false" ht="15" hidden="false" customHeight="true" outlineLevel="0" collapsed="false">
      <c r="A2064" s="3" t="s">
        <v>3071</v>
      </c>
      <c r="B2064" s="3" t="s">
        <v>2398</v>
      </c>
      <c r="C2064" s="3" t="s">
        <v>113</v>
      </c>
      <c r="D2064" s="3" t="s">
        <v>54</v>
      </c>
      <c r="E2064" s="3" t="s">
        <v>24</v>
      </c>
      <c r="F2064" s="3" t="s">
        <v>40</v>
      </c>
      <c r="G2064" s="3" t="s">
        <v>116</v>
      </c>
      <c r="H2064" s="3" t="s">
        <v>27</v>
      </c>
      <c r="I2064" s="3" t="s">
        <v>28</v>
      </c>
      <c r="J2064" s="3" t="n">
        <v>42</v>
      </c>
      <c r="K2064" s="3" t="n">
        <v>23535.19</v>
      </c>
      <c r="L2064" s="3" t="n">
        <v>988477.98</v>
      </c>
      <c r="M2064" s="3" t="n">
        <v>0.1299</v>
      </c>
      <c r="N2064" s="3" t="n">
        <v>128403.29</v>
      </c>
      <c r="O2064" s="3" t="n">
        <v>860074.69</v>
      </c>
      <c r="P2064" s="3" t="n">
        <v>612856.35</v>
      </c>
      <c r="Q2064" s="3" t="n">
        <v>247218.34</v>
      </c>
      <c r="R2064" s="3" t="n">
        <v>0.2874</v>
      </c>
      <c r="S2064" s="3" t="n">
        <v>0.1102</v>
      </c>
      <c r="T2064" s="3" t="n">
        <v>0.0197</v>
      </c>
    </row>
    <row r="2065" customFormat="false" ht="15" hidden="false" customHeight="true" outlineLevel="0" collapsed="false">
      <c r="A2065" s="3" t="s">
        <v>3072</v>
      </c>
      <c r="B2065" s="3" t="s">
        <v>1340</v>
      </c>
      <c r="C2065" s="3" t="s">
        <v>46</v>
      </c>
      <c r="D2065" s="3" t="s">
        <v>54</v>
      </c>
      <c r="E2065" s="3" t="s">
        <v>24</v>
      </c>
      <c r="F2065" s="3" t="s">
        <v>40</v>
      </c>
      <c r="G2065" s="3" t="s">
        <v>116</v>
      </c>
      <c r="H2065" s="3" t="s">
        <v>77</v>
      </c>
      <c r="I2065" s="3" t="s">
        <v>131</v>
      </c>
      <c r="J2065" s="3" t="n">
        <v>27</v>
      </c>
      <c r="K2065" s="3" t="n">
        <v>1854</v>
      </c>
      <c r="L2065" s="3" t="n">
        <v>50058</v>
      </c>
      <c r="M2065" s="3" t="n">
        <v>0.0913</v>
      </c>
      <c r="N2065" s="3" t="n">
        <v>4570.3</v>
      </c>
      <c r="O2065" s="3" t="n">
        <v>45487.7</v>
      </c>
      <c r="P2065" s="3" t="n">
        <v>34039.44</v>
      </c>
      <c r="Q2065" s="3" t="n">
        <v>11448.26</v>
      </c>
      <c r="R2065" s="3" t="n">
        <v>0.2517</v>
      </c>
      <c r="S2065" s="3" t="n">
        <v>0.0732</v>
      </c>
      <c r="T2065" s="3" t="n">
        <v>0.0181</v>
      </c>
    </row>
    <row r="2066" customFormat="false" ht="15" hidden="false" customHeight="true" outlineLevel="0" collapsed="false">
      <c r="A2066" s="3" t="s">
        <v>3073</v>
      </c>
      <c r="B2066" s="3" t="s">
        <v>3074</v>
      </c>
      <c r="C2066" s="3" t="s">
        <v>120</v>
      </c>
      <c r="D2066" s="3" t="s">
        <v>61</v>
      </c>
      <c r="E2066" s="3" t="s">
        <v>33</v>
      </c>
      <c r="F2066" s="3" t="s">
        <v>62</v>
      </c>
      <c r="G2066" s="3" t="s">
        <v>100</v>
      </c>
      <c r="H2066" s="3" t="s">
        <v>27</v>
      </c>
      <c r="I2066" s="3" t="s">
        <v>50</v>
      </c>
      <c r="J2066" s="3" t="n">
        <v>49</v>
      </c>
      <c r="K2066" s="3" t="n">
        <v>28527.37</v>
      </c>
      <c r="L2066" s="3" t="n">
        <v>1397841.13</v>
      </c>
      <c r="M2066" s="3" t="n">
        <v>0.0774</v>
      </c>
      <c r="N2066" s="3" t="n">
        <v>108192.9</v>
      </c>
      <c r="O2066" s="3" t="n">
        <v>1289648.23</v>
      </c>
      <c r="P2066" s="3" t="n">
        <v>866661.5</v>
      </c>
      <c r="Q2066" s="3" t="n">
        <v>422986.73</v>
      </c>
      <c r="R2066" s="3" t="n">
        <v>0.328</v>
      </c>
      <c r="S2066" s="3" t="n">
        <v>0.0647</v>
      </c>
      <c r="T2066" s="3" t="n">
        <v>0.0127</v>
      </c>
    </row>
    <row r="2067" customFormat="false" ht="15" hidden="false" customHeight="true" outlineLevel="0" collapsed="false">
      <c r="A2067" s="3" t="s">
        <v>3075</v>
      </c>
      <c r="B2067" s="3" t="s">
        <v>2294</v>
      </c>
      <c r="C2067" s="3" t="s">
        <v>37</v>
      </c>
      <c r="D2067" s="3" t="s">
        <v>103</v>
      </c>
      <c r="E2067" s="3" t="s">
        <v>24</v>
      </c>
      <c r="F2067" s="3" t="s">
        <v>62</v>
      </c>
      <c r="G2067" s="3" t="s">
        <v>41</v>
      </c>
      <c r="H2067" s="3" t="s">
        <v>27</v>
      </c>
      <c r="I2067" s="3" t="s">
        <v>94</v>
      </c>
      <c r="J2067" s="3" t="n">
        <v>7</v>
      </c>
      <c r="K2067" s="3" t="n">
        <v>35002.9</v>
      </c>
      <c r="L2067" s="3" t="n">
        <v>245020.3</v>
      </c>
      <c r="M2067" s="3" t="n">
        <v>0.1253</v>
      </c>
      <c r="N2067" s="3" t="n">
        <v>30701.04</v>
      </c>
      <c r="O2067" s="3" t="n">
        <v>214319.26</v>
      </c>
      <c r="P2067" s="3" t="n">
        <v>151912.59</v>
      </c>
      <c r="Q2067" s="3" t="n">
        <v>62406.67</v>
      </c>
      <c r="R2067" s="3" t="n">
        <v>0.2912</v>
      </c>
      <c r="S2067" s="3" t="n">
        <v>0.1073</v>
      </c>
      <c r="T2067" s="3" t="n">
        <v>0.018</v>
      </c>
    </row>
    <row r="2068" customFormat="false" ht="15" hidden="false" customHeight="true" outlineLevel="0" collapsed="false">
      <c r="A2068" s="3" t="s">
        <v>3076</v>
      </c>
      <c r="B2068" s="3" t="s">
        <v>164</v>
      </c>
      <c r="C2068" s="3" t="s">
        <v>113</v>
      </c>
      <c r="D2068" s="3" t="s">
        <v>61</v>
      </c>
      <c r="E2068" s="3" t="s">
        <v>33</v>
      </c>
      <c r="F2068" s="3" t="s">
        <v>62</v>
      </c>
      <c r="G2068" s="3" t="s">
        <v>34</v>
      </c>
      <c r="H2068" s="3" t="s">
        <v>27</v>
      </c>
      <c r="I2068" s="3" t="s">
        <v>50</v>
      </c>
      <c r="J2068" s="3" t="n">
        <v>29</v>
      </c>
      <c r="K2068" s="3" t="n">
        <v>38304.14</v>
      </c>
      <c r="L2068" s="3" t="n">
        <v>1110820.06</v>
      </c>
      <c r="M2068" s="3" t="n">
        <v>0.0754</v>
      </c>
      <c r="N2068" s="3" t="n">
        <v>83755.83</v>
      </c>
      <c r="O2068" s="3" t="n">
        <v>1027064.23</v>
      </c>
      <c r="P2068" s="3" t="n">
        <v>688708.44</v>
      </c>
      <c r="Q2068" s="3" t="n">
        <v>338355.79</v>
      </c>
      <c r="R2068" s="3" t="n">
        <v>0.3294</v>
      </c>
      <c r="S2068" s="3" t="n">
        <v>0.0613</v>
      </c>
      <c r="T2068" s="3" t="n">
        <v>0.0141</v>
      </c>
    </row>
    <row r="2069" customFormat="false" ht="15" hidden="false" customHeight="true" outlineLevel="0" collapsed="false">
      <c r="A2069" s="3" t="s">
        <v>3077</v>
      </c>
      <c r="B2069" s="3" t="s">
        <v>929</v>
      </c>
      <c r="C2069" s="3" t="s">
        <v>93</v>
      </c>
      <c r="D2069" s="3" t="s">
        <v>83</v>
      </c>
      <c r="E2069" s="3" t="s">
        <v>48</v>
      </c>
      <c r="F2069" s="3" t="s">
        <v>62</v>
      </c>
      <c r="G2069" s="3" t="s">
        <v>55</v>
      </c>
      <c r="H2069" s="3" t="s">
        <v>27</v>
      </c>
      <c r="I2069" s="3" t="s">
        <v>173</v>
      </c>
      <c r="J2069" s="3" t="n">
        <v>1</v>
      </c>
      <c r="K2069" s="3" t="n">
        <v>18045.12</v>
      </c>
      <c r="L2069" s="3" t="n">
        <v>18045.12</v>
      </c>
      <c r="M2069" s="3" t="n">
        <v>0.0302</v>
      </c>
      <c r="N2069" s="3" t="n">
        <v>544.96</v>
      </c>
      <c r="O2069" s="3" t="n">
        <v>17500.16</v>
      </c>
      <c r="P2069" s="3" t="n">
        <v>11187.97</v>
      </c>
      <c r="Q2069" s="3" t="n">
        <v>6312.19</v>
      </c>
      <c r="R2069" s="3" t="n">
        <v>0.3607</v>
      </c>
      <c r="S2069" s="3" t="n">
        <v>0.0265</v>
      </c>
      <c r="T2069" s="3" t="n">
        <v>0.0037</v>
      </c>
    </row>
    <row r="2070" customFormat="false" ht="15" hidden="false" customHeight="true" outlineLevel="0" collapsed="false">
      <c r="A2070" s="3" t="s">
        <v>3078</v>
      </c>
      <c r="B2070" s="3" t="s">
        <v>2006</v>
      </c>
      <c r="C2070" s="3" t="s">
        <v>126</v>
      </c>
      <c r="D2070" s="3" t="s">
        <v>97</v>
      </c>
      <c r="E2070" s="3" t="s">
        <v>48</v>
      </c>
      <c r="F2070" s="3" t="s">
        <v>40</v>
      </c>
      <c r="G2070" s="3" t="s">
        <v>55</v>
      </c>
      <c r="H2070" s="3" t="s">
        <v>27</v>
      </c>
      <c r="I2070" s="3" t="s">
        <v>94</v>
      </c>
      <c r="J2070" s="3" t="n">
        <v>36</v>
      </c>
      <c r="K2070" s="3" t="n">
        <v>33126.64</v>
      </c>
      <c r="L2070" s="3" t="n">
        <v>1192559.04</v>
      </c>
      <c r="M2070" s="3" t="n">
        <v>0.0656</v>
      </c>
      <c r="N2070" s="3" t="n">
        <v>78231.87</v>
      </c>
      <c r="O2070" s="3" t="n">
        <v>1114327.17</v>
      </c>
      <c r="P2070" s="3" t="n">
        <v>739386.6</v>
      </c>
      <c r="Q2070" s="3" t="n">
        <v>374940.57</v>
      </c>
      <c r="R2070" s="3" t="n">
        <v>0.3365</v>
      </c>
      <c r="S2070" s="3" t="n">
        <v>0.0569</v>
      </c>
      <c r="T2070" s="3" t="n">
        <v>0.0087</v>
      </c>
    </row>
    <row r="2071" customFormat="false" ht="15" hidden="false" customHeight="true" outlineLevel="0" collapsed="false">
      <c r="A2071" s="3" t="s">
        <v>3079</v>
      </c>
      <c r="B2071" s="3" t="s">
        <v>1712</v>
      </c>
      <c r="C2071" s="3" t="s">
        <v>37</v>
      </c>
      <c r="D2071" s="3" t="s">
        <v>23</v>
      </c>
      <c r="E2071" s="3" t="s">
        <v>24</v>
      </c>
      <c r="F2071" s="3" t="s">
        <v>25</v>
      </c>
      <c r="G2071" s="3" t="s">
        <v>63</v>
      </c>
      <c r="H2071" s="3" t="s">
        <v>64</v>
      </c>
      <c r="I2071" s="3" t="s">
        <v>90</v>
      </c>
      <c r="J2071" s="3" t="n">
        <v>37</v>
      </c>
      <c r="K2071" s="3" t="n">
        <v>8337.88</v>
      </c>
      <c r="L2071" s="3" t="n">
        <v>308501.56</v>
      </c>
      <c r="M2071" s="3" t="n">
        <v>0.1493</v>
      </c>
      <c r="N2071" s="3" t="n">
        <v>46059.28</v>
      </c>
      <c r="O2071" s="3" t="n">
        <v>262442.28</v>
      </c>
      <c r="P2071" s="3" t="n">
        <v>178930.9</v>
      </c>
      <c r="Q2071" s="3" t="n">
        <v>83511.38</v>
      </c>
      <c r="R2071" s="3" t="n">
        <v>0.3182</v>
      </c>
      <c r="S2071" s="3" t="n">
        <v>0.1253</v>
      </c>
      <c r="T2071" s="3" t="n">
        <v>0.024</v>
      </c>
    </row>
    <row r="2072" customFormat="false" ht="15" hidden="false" customHeight="true" outlineLevel="0" collapsed="false">
      <c r="A2072" s="3" t="s">
        <v>3080</v>
      </c>
      <c r="B2072" s="3" t="s">
        <v>3027</v>
      </c>
      <c r="C2072" s="3" t="s">
        <v>68</v>
      </c>
      <c r="D2072" s="3" t="s">
        <v>54</v>
      </c>
      <c r="E2072" s="3" t="s">
        <v>24</v>
      </c>
      <c r="F2072" s="3" t="s">
        <v>40</v>
      </c>
      <c r="G2072" s="3" t="s">
        <v>116</v>
      </c>
      <c r="H2072" s="3" t="s">
        <v>42</v>
      </c>
      <c r="I2072" s="3" t="s">
        <v>134</v>
      </c>
      <c r="J2072" s="3" t="n">
        <v>47</v>
      </c>
      <c r="K2072" s="3" t="n">
        <v>1946.97</v>
      </c>
      <c r="L2072" s="3" t="n">
        <v>91507.59</v>
      </c>
      <c r="M2072" s="3" t="n">
        <v>0.0794</v>
      </c>
      <c r="N2072" s="3" t="n">
        <v>7265.7</v>
      </c>
      <c r="O2072" s="3" t="n">
        <v>84241.89</v>
      </c>
      <c r="P2072" s="3" t="n">
        <v>50329.17</v>
      </c>
      <c r="Q2072" s="3" t="n">
        <v>33912.72</v>
      </c>
      <c r="R2072" s="3" t="n">
        <v>0.4026</v>
      </c>
      <c r="S2072" s="3" t="n">
        <v>0.0855</v>
      </c>
      <c r="T2072" s="3" t="n">
        <v>-0.0061</v>
      </c>
    </row>
    <row r="2073" customFormat="false" ht="15" hidden="false" customHeight="true" outlineLevel="0" collapsed="false">
      <c r="A2073" s="3" t="s">
        <v>3081</v>
      </c>
      <c r="B2073" s="3" t="s">
        <v>1458</v>
      </c>
      <c r="C2073" s="3" t="s">
        <v>22</v>
      </c>
      <c r="D2073" s="3" t="s">
        <v>83</v>
      </c>
      <c r="E2073" s="3" t="s">
        <v>48</v>
      </c>
      <c r="F2073" s="3" t="s">
        <v>62</v>
      </c>
      <c r="G2073" s="3" t="s">
        <v>100</v>
      </c>
      <c r="H2073" s="3" t="s">
        <v>64</v>
      </c>
      <c r="I2073" s="3" t="s">
        <v>145</v>
      </c>
      <c r="J2073" s="3" t="n">
        <v>50</v>
      </c>
      <c r="K2073" s="3" t="n">
        <v>3743.78</v>
      </c>
      <c r="L2073" s="3" t="n">
        <v>187189</v>
      </c>
      <c r="M2073" s="3" t="n">
        <v>0.0663</v>
      </c>
      <c r="N2073" s="3" t="n">
        <v>12410.63</v>
      </c>
      <c r="O2073" s="3" t="n">
        <v>174778.37</v>
      </c>
      <c r="P2073" s="3" t="n">
        <v>108569.62</v>
      </c>
      <c r="Q2073" s="3" t="n">
        <v>66208.75</v>
      </c>
      <c r="R2073" s="3" t="n">
        <v>0.3788</v>
      </c>
      <c r="S2073" s="3" t="n">
        <v>0.0537</v>
      </c>
      <c r="T2073" s="3" t="n">
        <v>0.0126</v>
      </c>
    </row>
    <row r="2074" customFormat="false" ht="15" hidden="false" customHeight="true" outlineLevel="0" collapsed="false">
      <c r="A2074" s="3" t="s">
        <v>3082</v>
      </c>
      <c r="B2074" s="3" t="s">
        <v>2348</v>
      </c>
      <c r="C2074" s="3" t="s">
        <v>113</v>
      </c>
      <c r="D2074" s="3" t="s">
        <v>103</v>
      </c>
      <c r="E2074" s="3" t="s">
        <v>24</v>
      </c>
      <c r="F2074" s="3" t="s">
        <v>62</v>
      </c>
      <c r="G2074" s="3" t="s">
        <v>49</v>
      </c>
      <c r="H2074" s="3" t="s">
        <v>27</v>
      </c>
      <c r="I2074" s="3" t="s">
        <v>117</v>
      </c>
      <c r="J2074" s="3" t="n">
        <v>43</v>
      </c>
      <c r="K2074" s="3" t="n">
        <v>32789.86</v>
      </c>
      <c r="L2074" s="3" t="n">
        <v>1409963.98</v>
      </c>
      <c r="M2074" s="3" t="n">
        <v>0.0605</v>
      </c>
      <c r="N2074" s="3" t="n">
        <v>85302.82</v>
      </c>
      <c r="O2074" s="3" t="n">
        <v>1324661.16</v>
      </c>
      <c r="P2074" s="3" t="n">
        <v>874177.67</v>
      </c>
      <c r="Q2074" s="3" t="n">
        <v>450483.49</v>
      </c>
      <c r="R2074" s="3" t="n">
        <v>0.3401</v>
      </c>
      <c r="S2074" s="3" t="n">
        <v>0.0609</v>
      </c>
      <c r="T2074" s="3" t="n">
        <v>-0.0004</v>
      </c>
    </row>
    <row r="2075" customFormat="false" ht="15" hidden="false" customHeight="true" outlineLevel="0" collapsed="false">
      <c r="A2075" s="3" t="s">
        <v>3083</v>
      </c>
      <c r="B2075" s="3" t="s">
        <v>2250</v>
      </c>
      <c r="C2075" s="3" t="s">
        <v>53</v>
      </c>
      <c r="D2075" s="3" t="s">
        <v>61</v>
      </c>
      <c r="E2075" s="3" t="s">
        <v>33</v>
      </c>
      <c r="F2075" s="3" t="s">
        <v>62</v>
      </c>
      <c r="G2075" s="3" t="s">
        <v>34</v>
      </c>
      <c r="H2075" s="3" t="s">
        <v>77</v>
      </c>
      <c r="I2075" s="3" t="s">
        <v>78</v>
      </c>
      <c r="J2075" s="3" t="n">
        <v>47</v>
      </c>
      <c r="K2075" s="3" t="n">
        <v>5859.94</v>
      </c>
      <c r="L2075" s="3" t="n">
        <v>275417.18</v>
      </c>
      <c r="M2075" s="3" t="n">
        <v>0.0782</v>
      </c>
      <c r="N2075" s="3" t="n">
        <v>21537.62</v>
      </c>
      <c r="O2075" s="3" t="n">
        <v>253879.56</v>
      </c>
      <c r="P2075" s="3" t="n">
        <v>187283.68</v>
      </c>
      <c r="Q2075" s="3" t="n">
        <v>66595.88</v>
      </c>
      <c r="R2075" s="3" t="n">
        <v>0.2623</v>
      </c>
      <c r="S2075" s="3" t="n">
        <v>0.0705</v>
      </c>
      <c r="T2075" s="3" t="n">
        <v>0.0077</v>
      </c>
    </row>
    <row r="2076" customFormat="false" ht="15" hidden="false" customHeight="true" outlineLevel="0" collapsed="false">
      <c r="A2076" s="3" t="s">
        <v>3084</v>
      </c>
      <c r="B2076" s="3" t="s">
        <v>2408</v>
      </c>
      <c r="C2076" s="3" t="s">
        <v>93</v>
      </c>
      <c r="D2076" s="3" t="s">
        <v>75</v>
      </c>
      <c r="E2076" s="3" t="s">
        <v>39</v>
      </c>
      <c r="F2076" s="3" t="s">
        <v>25</v>
      </c>
      <c r="G2076" s="3" t="s">
        <v>104</v>
      </c>
      <c r="H2076" s="3" t="s">
        <v>77</v>
      </c>
      <c r="I2076" s="3" t="s">
        <v>85</v>
      </c>
      <c r="J2076" s="3" t="n">
        <v>18</v>
      </c>
      <c r="K2076" s="3" t="n">
        <v>3147.03</v>
      </c>
      <c r="L2076" s="3" t="n">
        <v>56646.54</v>
      </c>
      <c r="M2076" s="3" t="n">
        <v>0.2036</v>
      </c>
      <c r="N2076" s="3" t="n">
        <v>11533.24</v>
      </c>
      <c r="O2076" s="3" t="n">
        <v>45113.3</v>
      </c>
      <c r="P2076" s="3" t="n">
        <v>38519.65</v>
      </c>
      <c r="Q2076" s="3" t="n">
        <v>6593.65</v>
      </c>
      <c r="R2076" s="3" t="n">
        <v>0.1462</v>
      </c>
      <c r="S2076" s="3" t="n">
        <v>0.1747</v>
      </c>
      <c r="T2076" s="3" t="n">
        <v>0.0289</v>
      </c>
    </row>
    <row r="2077" customFormat="false" ht="15" hidden="false" customHeight="true" outlineLevel="0" collapsed="false">
      <c r="A2077" s="3" t="s">
        <v>3085</v>
      </c>
      <c r="B2077" s="3" t="s">
        <v>2050</v>
      </c>
      <c r="C2077" s="3" t="s">
        <v>126</v>
      </c>
      <c r="D2077" s="3" t="s">
        <v>107</v>
      </c>
      <c r="E2077" s="3" t="s">
        <v>33</v>
      </c>
      <c r="F2077" s="3" t="s">
        <v>70</v>
      </c>
      <c r="G2077" s="3" t="s">
        <v>76</v>
      </c>
      <c r="H2077" s="3" t="s">
        <v>64</v>
      </c>
      <c r="I2077" s="3" t="s">
        <v>145</v>
      </c>
      <c r="J2077" s="3" t="n">
        <v>33</v>
      </c>
      <c r="K2077" s="3" t="n">
        <v>11378.54</v>
      </c>
      <c r="L2077" s="3" t="n">
        <v>375491.82</v>
      </c>
      <c r="M2077" s="3" t="n">
        <v>0.0398</v>
      </c>
      <c r="N2077" s="3" t="n">
        <v>14944.57</v>
      </c>
      <c r="O2077" s="3" t="n">
        <v>360547.25</v>
      </c>
      <c r="P2077" s="3" t="n">
        <v>217785.26</v>
      </c>
      <c r="Q2077" s="3" t="n">
        <v>142761.99</v>
      </c>
      <c r="R2077" s="3" t="n">
        <v>0.396</v>
      </c>
      <c r="S2077" s="3" t="n">
        <v>0.0434</v>
      </c>
      <c r="T2077" s="3" t="n">
        <v>-0.0036</v>
      </c>
    </row>
    <row r="2078" customFormat="false" ht="15" hidden="false" customHeight="true" outlineLevel="0" collapsed="false">
      <c r="A2078" s="3" t="s">
        <v>3086</v>
      </c>
      <c r="B2078" s="3" t="s">
        <v>2040</v>
      </c>
      <c r="C2078" s="3" t="s">
        <v>60</v>
      </c>
      <c r="D2078" s="3" t="s">
        <v>103</v>
      </c>
      <c r="E2078" s="3" t="s">
        <v>24</v>
      </c>
      <c r="F2078" s="3" t="s">
        <v>62</v>
      </c>
      <c r="G2078" s="3" t="s">
        <v>71</v>
      </c>
      <c r="H2078" s="3" t="s">
        <v>64</v>
      </c>
      <c r="I2078" s="3" t="s">
        <v>90</v>
      </c>
      <c r="J2078" s="3" t="n">
        <v>20</v>
      </c>
      <c r="K2078" s="3" t="n">
        <v>11721.42</v>
      </c>
      <c r="L2078" s="3" t="n">
        <v>234428.4</v>
      </c>
      <c r="M2078" s="3" t="n">
        <v>0.0503</v>
      </c>
      <c r="N2078" s="3" t="n">
        <v>11791.75</v>
      </c>
      <c r="O2078" s="3" t="n">
        <v>222636.65</v>
      </c>
      <c r="P2078" s="3" t="n">
        <v>135968.47</v>
      </c>
      <c r="Q2078" s="3" t="n">
        <v>86668.18</v>
      </c>
      <c r="R2078" s="3" t="n">
        <v>0.3893</v>
      </c>
      <c r="S2078" s="3" t="n">
        <v>0.0484</v>
      </c>
      <c r="T2078" s="3" t="n">
        <v>0.0019</v>
      </c>
    </row>
    <row r="2079" customFormat="false" ht="15" hidden="false" customHeight="true" outlineLevel="0" collapsed="false">
      <c r="A2079" s="3" t="s">
        <v>3087</v>
      </c>
      <c r="B2079" s="3" t="s">
        <v>469</v>
      </c>
      <c r="C2079" s="3" t="s">
        <v>46</v>
      </c>
      <c r="D2079" s="3" t="s">
        <v>103</v>
      </c>
      <c r="E2079" s="3" t="s">
        <v>24</v>
      </c>
      <c r="F2079" s="3" t="s">
        <v>62</v>
      </c>
      <c r="G2079" s="3" t="s">
        <v>84</v>
      </c>
      <c r="H2079" s="3" t="s">
        <v>42</v>
      </c>
      <c r="I2079" s="3" t="s">
        <v>43</v>
      </c>
      <c r="J2079" s="3" t="n">
        <v>18</v>
      </c>
      <c r="K2079" s="3" t="n">
        <v>3357.07</v>
      </c>
      <c r="L2079" s="3" t="n">
        <v>60427.26</v>
      </c>
      <c r="M2079" s="3" t="n">
        <v>0.0652</v>
      </c>
      <c r="N2079" s="3" t="n">
        <v>3939.86</v>
      </c>
      <c r="O2079" s="3" t="n">
        <v>56487.4</v>
      </c>
      <c r="P2079" s="3" t="n">
        <v>33234.99</v>
      </c>
      <c r="Q2079" s="3" t="n">
        <v>23252.41</v>
      </c>
      <c r="R2079" s="3" t="n">
        <v>0.4116</v>
      </c>
      <c r="S2079" s="3" t="n">
        <v>0.0592</v>
      </c>
      <c r="T2079" s="3" t="n">
        <v>0.006</v>
      </c>
    </row>
    <row r="2080" customFormat="false" ht="15" hidden="false" customHeight="true" outlineLevel="0" collapsed="false">
      <c r="A2080" s="3" t="s">
        <v>3088</v>
      </c>
      <c r="B2080" s="3" t="s">
        <v>155</v>
      </c>
      <c r="C2080" s="3" t="s">
        <v>156</v>
      </c>
      <c r="D2080" s="3" t="s">
        <v>38</v>
      </c>
      <c r="E2080" s="3" t="s">
        <v>39</v>
      </c>
      <c r="F2080" s="3" t="s">
        <v>40</v>
      </c>
      <c r="G2080" s="3" t="s">
        <v>116</v>
      </c>
      <c r="H2080" s="3" t="s">
        <v>42</v>
      </c>
      <c r="I2080" s="3" t="s">
        <v>134</v>
      </c>
      <c r="J2080" s="3" t="n">
        <v>26</v>
      </c>
      <c r="K2080" s="3" t="n">
        <v>1774.78</v>
      </c>
      <c r="L2080" s="3" t="n">
        <v>46144.28</v>
      </c>
      <c r="M2080" s="3" t="n">
        <v>0.0806</v>
      </c>
      <c r="N2080" s="3" t="n">
        <v>3719.23</v>
      </c>
      <c r="O2080" s="3" t="n">
        <v>42425.05</v>
      </c>
      <c r="P2080" s="3" t="n">
        <v>25379.35</v>
      </c>
      <c r="Q2080" s="3" t="n">
        <v>17045.7</v>
      </c>
      <c r="R2080" s="3" t="n">
        <v>0.4018</v>
      </c>
      <c r="S2080" s="3" t="n">
        <v>0.0788</v>
      </c>
      <c r="T2080" s="3" t="n">
        <v>0.0018</v>
      </c>
    </row>
    <row r="2081" customFormat="false" ht="15" hidden="false" customHeight="true" outlineLevel="0" collapsed="false">
      <c r="A2081" s="3" t="s">
        <v>3089</v>
      </c>
      <c r="B2081" s="3" t="s">
        <v>1367</v>
      </c>
      <c r="C2081" s="3" t="s">
        <v>120</v>
      </c>
      <c r="D2081" s="3" t="s">
        <v>107</v>
      </c>
      <c r="E2081" s="3" t="s">
        <v>33</v>
      </c>
      <c r="F2081" s="3" t="s">
        <v>70</v>
      </c>
      <c r="G2081" s="3" t="s">
        <v>116</v>
      </c>
      <c r="H2081" s="3" t="s">
        <v>42</v>
      </c>
      <c r="I2081" s="3" t="s">
        <v>134</v>
      </c>
      <c r="J2081" s="3" t="n">
        <v>41</v>
      </c>
      <c r="K2081" s="3" t="n">
        <v>648.77</v>
      </c>
      <c r="L2081" s="3" t="n">
        <v>26599.57</v>
      </c>
      <c r="M2081" s="3" t="n">
        <v>0.1142</v>
      </c>
      <c r="N2081" s="3" t="n">
        <v>3037.67</v>
      </c>
      <c r="O2081" s="3" t="n">
        <v>23561.9</v>
      </c>
      <c r="P2081" s="3" t="n">
        <v>14629.76</v>
      </c>
      <c r="Q2081" s="3" t="n">
        <v>8932.14</v>
      </c>
      <c r="R2081" s="3" t="n">
        <v>0.3791</v>
      </c>
      <c r="S2081" s="3" t="n">
        <v>0.1219</v>
      </c>
      <c r="T2081" s="3" t="n">
        <v>-0.0077</v>
      </c>
    </row>
    <row r="2082" customFormat="false" ht="15" hidden="false" customHeight="true" outlineLevel="0" collapsed="false">
      <c r="A2082" s="3" t="s">
        <v>3090</v>
      </c>
      <c r="B2082" s="3" t="s">
        <v>728</v>
      </c>
      <c r="C2082" s="3" t="s">
        <v>156</v>
      </c>
      <c r="D2082" s="3" t="s">
        <v>61</v>
      </c>
      <c r="E2082" s="3" t="s">
        <v>33</v>
      </c>
      <c r="F2082" s="3" t="s">
        <v>62</v>
      </c>
      <c r="G2082" s="3" t="s">
        <v>84</v>
      </c>
      <c r="H2082" s="3" t="s">
        <v>27</v>
      </c>
      <c r="I2082" s="3" t="s">
        <v>28</v>
      </c>
      <c r="J2082" s="3" t="n">
        <v>25</v>
      </c>
      <c r="K2082" s="3" t="n">
        <v>32925.09</v>
      </c>
      <c r="L2082" s="3" t="n">
        <v>823127.25</v>
      </c>
      <c r="M2082" s="3" t="n">
        <v>0.0347</v>
      </c>
      <c r="N2082" s="3" t="n">
        <v>28562.52</v>
      </c>
      <c r="O2082" s="3" t="n">
        <v>794564.73</v>
      </c>
      <c r="P2082" s="3" t="n">
        <v>510338.89</v>
      </c>
      <c r="Q2082" s="3" t="n">
        <v>284225.84</v>
      </c>
      <c r="R2082" s="3" t="n">
        <v>0.3577</v>
      </c>
      <c r="S2082" s="3" t="n">
        <v>0.0293</v>
      </c>
      <c r="T2082" s="3" t="n">
        <v>0.0054</v>
      </c>
    </row>
    <row r="2083" customFormat="false" ht="15" hidden="false" customHeight="true" outlineLevel="0" collapsed="false">
      <c r="A2083" s="3" t="s">
        <v>3091</v>
      </c>
      <c r="B2083" s="3" t="s">
        <v>2255</v>
      </c>
      <c r="C2083" s="3" t="s">
        <v>156</v>
      </c>
      <c r="D2083" s="3" t="s">
        <v>54</v>
      </c>
      <c r="E2083" s="3" t="s">
        <v>24</v>
      </c>
      <c r="F2083" s="3" t="s">
        <v>40</v>
      </c>
      <c r="G2083" s="3" t="s">
        <v>63</v>
      </c>
      <c r="H2083" s="3" t="s">
        <v>77</v>
      </c>
      <c r="I2083" s="3" t="s">
        <v>85</v>
      </c>
      <c r="J2083" s="3" t="n">
        <v>45</v>
      </c>
      <c r="K2083" s="3" t="n">
        <v>1459.12</v>
      </c>
      <c r="L2083" s="3" t="n">
        <v>65660.4</v>
      </c>
      <c r="M2083" s="3" t="n">
        <v>0.0389</v>
      </c>
      <c r="N2083" s="3" t="n">
        <v>2554.19</v>
      </c>
      <c r="O2083" s="3" t="n">
        <v>63106.21</v>
      </c>
      <c r="P2083" s="3" t="n">
        <v>44649.07</v>
      </c>
      <c r="Q2083" s="3" t="n">
        <v>18457.14</v>
      </c>
      <c r="R2083" s="3" t="n">
        <v>0.2925</v>
      </c>
      <c r="S2083" s="3" t="n">
        <v>0.0358</v>
      </c>
      <c r="T2083" s="3" t="n">
        <v>0.0031</v>
      </c>
    </row>
    <row r="2084" customFormat="false" ht="15" hidden="false" customHeight="true" outlineLevel="0" collapsed="false">
      <c r="A2084" s="3" t="s">
        <v>3092</v>
      </c>
      <c r="B2084" s="3" t="s">
        <v>1017</v>
      </c>
      <c r="C2084" s="3" t="s">
        <v>22</v>
      </c>
      <c r="D2084" s="3" t="s">
        <v>38</v>
      </c>
      <c r="E2084" s="3" t="s">
        <v>39</v>
      </c>
      <c r="F2084" s="3" t="s">
        <v>40</v>
      </c>
      <c r="G2084" s="3" t="s">
        <v>49</v>
      </c>
      <c r="H2084" s="3" t="s">
        <v>42</v>
      </c>
      <c r="I2084" s="3" t="s">
        <v>43</v>
      </c>
      <c r="J2084" s="3" t="n">
        <v>18</v>
      </c>
      <c r="K2084" s="3" t="n">
        <v>3361.5</v>
      </c>
      <c r="L2084" s="3" t="n">
        <v>60507</v>
      </c>
      <c r="M2084" s="3" t="n">
        <v>0.0649</v>
      </c>
      <c r="N2084" s="3" t="n">
        <v>3926.9</v>
      </c>
      <c r="O2084" s="3" t="n">
        <v>56580.1</v>
      </c>
      <c r="P2084" s="3" t="n">
        <v>33278.85</v>
      </c>
      <c r="Q2084" s="3" t="n">
        <v>23301.25</v>
      </c>
      <c r="R2084" s="3" t="n">
        <v>0.4118</v>
      </c>
      <c r="S2084" s="3" t="n">
        <v>0.0652</v>
      </c>
      <c r="T2084" s="3" t="n">
        <v>-0.0003</v>
      </c>
    </row>
    <row r="2085" customFormat="false" ht="15" hidden="false" customHeight="true" outlineLevel="0" collapsed="false">
      <c r="A2085" s="3" t="s">
        <v>3093</v>
      </c>
      <c r="B2085" s="3" t="s">
        <v>2046</v>
      </c>
      <c r="C2085" s="3" t="s">
        <v>22</v>
      </c>
      <c r="D2085" s="3" t="s">
        <v>32</v>
      </c>
      <c r="E2085" s="3" t="s">
        <v>33</v>
      </c>
      <c r="F2085" s="3" t="s">
        <v>25</v>
      </c>
      <c r="G2085" s="3" t="s">
        <v>41</v>
      </c>
      <c r="H2085" s="3" t="s">
        <v>27</v>
      </c>
      <c r="I2085" s="3" t="s">
        <v>117</v>
      </c>
      <c r="J2085" s="3" t="n">
        <v>21</v>
      </c>
      <c r="K2085" s="3" t="n">
        <v>22007.6</v>
      </c>
      <c r="L2085" s="3" t="n">
        <v>462159.6</v>
      </c>
      <c r="M2085" s="3" t="n">
        <v>0.2155</v>
      </c>
      <c r="N2085" s="3" t="n">
        <v>99595.39</v>
      </c>
      <c r="O2085" s="3" t="n">
        <v>362564.21</v>
      </c>
      <c r="P2085" s="3" t="n">
        <v>286538.95</v>
      </c>
      <c r="Q2085" s="3" t="n">
        <v>76025.26</v>
      </c>
      <c r="R2085" s="3" t="n">
        <v>0.2097</v>
      </c>
      <c r="S2085" s="3" t="n">
        <v>0.1731</v>
      </c>
      <c r="T2085" s="3" t="n">
        <v>0.0424</v>
      </c>
    </row>
    <row r="2086" customFormat="false" ht="15" hidden="false" customHeight="true" outlineLevel="0" collapsed="false">
      <c r="A2086" s="3" t="s">
        <v>3094</v>
      </c>
      <c r="B2086" s="3" t="s">
        <v>3095</v>
      </c>
      <c r="C2086" s="3" t="s">
        <v>37</v>
      </c>
      <c r="D2086" s="3" t="s">
        <v>47</v>
      </c>
      <c r="E2086" s="3" t="s">
        <v>48</v>
      </c>
      <c r="F2086" s="3" t="s">
        <v>25</v>
      </c>
      <c r="G2086" s="3" t="s">
        <v>49</v>
      </c>
      <c r="H2086" s="3" t="s">
        <v>27</v>
      </c>
      <c r="I2086" s="3" t="s">
        <v>28</v>
      </c>
      <c r="J2086" s="3" t="n">
        <v>14</v>
      </c>
      <c r="K2086" s="3" t="n">
        <v>11551.8</v>
      </c>
      <c r="L2086" s="3" t="n">
        <v>161725.2</v>
      </c>
      <c r="M2086" s="3" t="n">
        <v>0.1876</v>
      </c>
      <c r="N2086" s="3" t="n">
        <v>30339.65</v>
      </c>
      <c r="O2086" s="3" t="n">
        <v>131385.55</v>
      </c>
      <c r="P2086" s="3" t="n">
        <v>100269.62</v>
      </c>
      <c r="Q2086" s="3" t="n">
        <v>31115.93</v>
      </c>
      <c r="R2086" s="3" t="n">
        <v>0.2368</v>
      </c>
      <c r="S2086" s="3" t="n">
        <v>0.2045</v>
      </c>
      <c r="T2086" s="3" t="n">
        <v>-0.0169</v>
      </c>
    </row>
    <row r="2087" customFormat="false" ht="15" hidden="false" customHeight="true" outlineLevel="0" collapsed="false">
      <c r="A2087" s="3" t="s">
        <v>3096</v>
      </c>
      <c r="B2087" s="3" t="s">
        <v>1677</v>
      </c>
      <c r="C2087" s="3" t="s">
        <v>156</v>
      </c>
      <c r="D2087" s="3" t="s">
        <v>23</v>
      </c>
      <c r="E2087" s="3" t="s">
        <v>24</v>
      </c>
      <c r="F2087" s="3" t="s">
        <v>25</v>
      </c>
      <c r="G2087" s="3" t="s">
        <v>84</v>
      </c>
      <c r="H2087" s="3" t="s">
        <v>56</v>
      </c>
      <c r="I2087" s="3" t="s">
        <v>57</v>
      </c>
      <c r="J2087" s="3" t="n">
        <v>40</v>
      </c>
      <c r="K2087" s="3" t="n">
        <v>12139.46</v>
      </c>
      <c r="L2087" s="3" t="n">
        <v>485578.4</v>
      </c>
      <c r="M2087" s="3" t="n">
        <v>0.122</v>
      </c>
      <c r="N2087" s="3" t="n">
        <v>59240.56</v>
      </c>
      <c r="O2087" s="3" t="n">
        <v>426337.84</v>
      </c>
      <c r="P2087" s="3" t="n">
        <v>291347.04</v>
      </c>
      <c r="Q2087" s="3" t="n">
        <v>134990.8</v>
      </c>
      <c r="R2087" s="3" t="n">
        <v>0.3166</v>
      </c>
      <c r="S2087" s="3" t="n">
        <v>0.1326</v>
      </c>
      <c r="T2087" s="3" t="n">
        <v>-0.0106</v>
      </c>
    </row>
    <row r="2088" customFormat="false" ht="15" hidden="false" customHeight="true" outlineLevel="0" collapsed="false">
      <c r="A2088" s="3" t="s">
        <v>3097</v>
      </c>
      <c r="B2088" s="3" t="s">
        <v>354</v>
      </c>
      <c r="C2088" s="3" t="s">
        <v>22</v>
      </c>
      <c r="D2088" s="3" t="s">
        <v>83</v>
      </c>
      <c r="E2088" s="3" t="s">
        <v>48</v>
      </c>
      <c r="F2088" s="3" t="s">
        <v>62</v>
      </c>
      <c r="G2088" s="3" t="s">
        <v>26</v>
      </c>
      <c r="H2088" s="3" t="s">
        <v>27</v>
      </c>
      <c r="I2088" s="3" t="s">
        <v>173</v>
      </c>
      <c r="J2088" s="3" t="n">
        <v>9</v>
      </c>
      <c r="K2088" s="3" t="n">
        <v>14120.41</v>
      </c>
      <c r="L2088" s="3" t="n">
        <v>127083.69</v>
      </c>
      <c r="M2088" s="3" t="n">
        <v>0.0532</v>
      </c>
      <c r="N2088" s="3" t="n">
        <v>6760.85</v>
      </c>
      <c r="O2088" s="3" t="n">
        <v>120322.84</v>
      </c>
      <c r="P2088" s="3" t="n">
        <v>78791.89</v>
      </c>
      <c r="Q2088" s="3" t="n">
        <v>41530.95</v>
      </c>
      <c r="R2088" s="3" t="n">
        <v>0.3452</v>
      </c>
      <c r="S2088" s="3" t="n">
        <v>0.0574</v>
      </c>
      <c r="T2088" s="3" t="n">
        <v>-0.0042</v>
      </c>
    </row>
    <row r="2089" customFormat="false" ht="15" hidden="false" customHeight="true" outlineLevel="0" collapsed="false">
      <c r="A2089" s="3" t="s">
        <v>3098</v>
      </c>
      <c r="B2089" s="3" t="s">
        <v>1554</v>
      </c>
      <c r="C2089" s="3" t="s">
        <v>22</v>
      </c>
      <c r="D2089" s="3" t="s">
        <v>97</v>
      </c>
      <c r="E2089" s="3" t="s">
        <v>48</v>
      </c>
      <c r="F2089" s="3" t="s">
        <v>40</v>
      </c>
      <c r="G2089" s="3" t="s">
        <v>49</v>
      </c>
      <c r="H2089" s="3" t="s">
        <v>56</v>
      </c>
      <c r="I2089" s="3" t="s">
        <v>121</v>
      </c>
      <c r="J2089" s="3" t="n">
        <v>15</v>
      </c>
      <c r="K2089" s="3" t="n">
        <v>12302.61</v>
      </c>
      <c r="L2089" s="3" t="n">
        <v>184539.15</v>
      </c>
      <c r="M2089" s="3" t="n">
        <v>0.0633</v>
      </c>
      <c r="N2089" s="3" t="n">
        <v>11681.33</v>
      </c>
      <c r="O2089" s="3" t="n">
        <v>172857.82</v>
      </c>
      <c r="P2089" s="3" t="n">
        <v>110723.49</v>
      </c>
      <c r="Q2089" s="3" t="n">
        <v>62134.33</v>
      </c>
      <c r="R2089" s="3" t="n">
        <v>0.3595</v>
      </c>
      <c r="S2089" s="3" t="n">
        <v>0.0516</v>
      </c>
      <c r="T2089" s="3" t="n">
        <v>0.0117</v>
      </c>
    </row>
    <row r="2090" customFormat="false" ht="15" hidden="false" customHeight="true" outlineLevel="0" collapsed="false">
      <c r="A2090" s="3" t="s">
        <v>3099</v>
      </c>
      <c r="B2090" s="3" t="s">
        <v>525</v>
      </c>
      <c r="C2090" s="3" t="s">
        <v>120</v>
      </c>
      <c r="D2090" s="3" t="s">
        <v>47</v>
      </c>
      <c r="E2090" s="3" t="s">
        <v>48</v>
      </c>
      <c r="F2090" s="3" t="s">
        <v>25</v>
      </c>
      <c r="G2090" s="3" t="s">
        <v>55</v>
      </c>
      <c r="H2090" s="3" t="s">
        <v>42</v>
      </c>
      <c r="I2090" s="3" t="s">
        <v>72</v>
      </c>
      <c r="J2090" s="3" t="n">
        <v>20</v>
      </c>
      <c r="K2090" s="3" t="n">
        <v>1256.81</v>
      </c>
      <c r="L2090" s="3" t="n">
        <v>25136.2</v>
      </c>
      <c r="M2090" s="3" t="n">
        <v>0.1096</v>
      </c>
      <c r="N2090" s="3" t="n">
        <v>2754.93</v>
      </c>
      <c r="O2090" s="3" t="n">
        <v>22381.27</v>
      </c>
      <c r="P2090" s="3" t="n">
        <v>13824.91</v>
      </c>
      <c r="Q2090" s="3" t="n">
        <v>8556.36</v>
      </c>
      <c r="R2090" s="3" t="n">
        <v>0.3823</v>
      </c>
      <c r="S2090" s="3" t="n">
        <v>0.0878</v>
      </c>
      <c r="T2090" s="3" t="n">
        <v>0.0218</v>
      </c>
    </row>
    <row r="2091" customFormat="false" ht="15" hidden="false" customHeight="true" outlineLevel="0" collapsed="false">
      <c r="A2091" s="3" t="s">
        <v>3100</v>
      </c>
      <c r="B2091" s="3" t="s">
        <v>2651</v>
      </c>
      <c r="C2091" s="3" t="s">
        <v>126</v>
      </c>
      <c r="D2091" s="3" t="s">
        <v>103</v>
      </c>
      <c r="E2091" s="3" t="s">
        <v>24</v>
      </c>
      <c r="F2091" s="3" t="s">
        <v>62</v>
      </c>
      <c r="G2091" s="3" t="s">
        <v>34</v>
      </c>
      <c r="H2091" s="3" t="s">
        <v>64</v>
      </c>
      <c r="I2091" s="3" t="s">
        <v>65</v>
      </c>
      <c r="J2091" s="3" t="n">
        <v>33</v>
      </c>
      <c r="K2091" s="3" t="n">
        <v>6855.67</v>
      </c>
      <c r="L2091" s="3" t="n">
        <v>226237.11</v>
      </c>
      <c r="M2091" s="3" t="n">
        <v>0.1195</v>
      </c>
      <c r="N2091" s="3" t="n">
        <v>27035.33</v>
      </c>
      <c r="O2091" s="3" t="n">
        <v>199201.78</v>
      </c>
      <c r="P2091" s="3" t="n">
        <v>131217.52</v>
      </c>
      <c r="Q2091" s="3" t="n">
        <v>67984.26</v>
      </c>
      <c r="R2091" s="3" t="n">
        <v>0.3413</v>
      </c>
      <c r="S2091" s="3" t="n">
        <v>0.0979</v>
      </c>
      <c r="T2091" s="3" t="n">
        <v>0.0216</v>
      </c>
    </row>
    <row r="2092" customFormat="false" ht="15" hidden="false" customHeight="true" outlineLevel="0" collapsed="false">
      <c r="A2092" s="3" t="s">
        <v>3101</v>
      </c>
      <c r="B2092" s="3" t="s">
        <v>36</v>
      </c>
      <c r="C2092" s="3" t="s">
        <v>37</v>
      </c>
      <c r="D2092" s="3" t="s">
        <v>107</v>
      </c>
      <c r="E2092" s="3" t="s">
        <v>33</v>
      </c>
      <c r="F2092" s="3" t="s">
        <v>70</v>
      </c>
      <c r="G2092" s="3" t="s">
        <v>55</v>
      </c>
      <c r="H2092" s="3" t="s">
        <v>42</v>
      </c>
      <c r="I2092" s="3" t="s">
        <v>72</v>
      </c>
      <c r="J2092" s="3" t="n">
        <v>15</v>
      </c>
      <c r="K2092" s="3" t="n">
        <v>3684.5</v>
      </c>
      <c r="L2092" s="3" t="n">
        <v>55267.5</v>
      </c>
      <c r="M2092" s="3" t="n">
        <v>0.0795</v>
      </c>
      <c r="N2092" s="3" t="n">
        <v>4393.77</v>
      </c>
      <c r="O2092" s="3" t="n">
        <v>50873.73</v>
      </c>
      <c r="P2092" s="3" t="n">
        <v>30397.13</v>
      </c>
      <c r="Q2092" s="3" t="n">
        <v>20476.6</v>
      </c>
      <c r="R2092" s="3" t="n">
        <v>0.4025</v>
      </c>
      <c r="S2092" s="3" t="n">
        <v>0.0846</v>
      </c>
      <c r="T2092" s="3" t="n">
        <v>-0.0051</v>
      </c>
    </row>
    <row r="2093" customFormat="false" ht="15" hidden="false" customHeight="true" outlineLevel="0" collapsed="false">
      <c r="A2093" s="3" t="s">
        <v>3102</v>
      </c>
      <c r="B2093" s="3" t="s">
        <v>1588</v>
      </c>
      <c r="C2093" s="3" t="s">
        <v>37</v>
      </c>
      <c r="D2093" s="3" t="s">
        <v>38</v>
      </c>
      <c r="E2093" s="3" t="s">
        <v>39</v>
      </c>
      <c r="F2093" s="3" t="s">
        <v>40</v>
      </c>
      <c r="G2093" s="3" t="s">
        <v>49</v>
      </c>
      <c r="H2093" s="3" t="s">
        <v>64</v>
      </c>
      <c r="I2093" s="3" t="s">
        <v>145</v>
      </c>
      <c r="J2093" s="3" t="n">
        <v>16</v>
      </c>
      <c r="K2093" s="3" t="n">
        <v>9839.69</v>
      </c>
      <c r="L2093" s="3" t="n">
        <v>157435.04</v>
      </c>
      <c r="M2093" s="3" t="n">
        <v>0.0755</v>
      </c>
      <c r="N2093" s="3" t="n">
        <v>11886.35</v>
      </c>
      <c r="O2093" s="3" t="n">
        <v>145548.69</v>
      </c>
      <c r="P2093" s="3" t="n">
        <v>91312.32</v>
      </c>
      <c r="Q2093" s="3" t="n">
        <v>54236.37</v>
      </c>
      <c r="R2093" s="3" t="n">
        <v>0.3726</v>
      </c>
      <c r="S2093" s="3" t="n">
        <v>0.0637</v>
      </c>
      <c r="T2093" s="3" t="n">
        <v>0.0118</v>
      </c>
    </row>
    <row r="2094" customFormat="false" ht="15" hidden="false" customHeight="true" outlineLevel="0" collapsed="false">
      <c r="A2094" s="3" t="s">
        <v>3103</v>
      </c>
      <c r="B2094" s="3" t="s">
        <v>728</v>
      </c>
      <c r="C2094" s="3" t="s">
        <v>156</v>
      </c>
      <c r="D2094" s="3" t="s">
        <v>103</v>
      </c>
      <c r="E2094" s="3" t="s">
        <v>24</v>
      </c>
      <c r="F2094" s="3" t="s">
        <v>62</v>
      </c>
      <c r="G2094" s="3" t="s">
        <v>104</v>
      </c>
      <c r="H2094" s="3" t="s">
        <v>77</v>
      </c>
      <c r="I2094" s="3" t="s">
        <v>131</v>
      </c>
      <c r="J2094" s="3" t="n">
        <v>32</v>
      </c>
      <c r="K2094" s="3" t="n">
        <v>1484.76</v>
      </c>
      <c r="L2094" s="3" t="n">
        <v>47512.32</v>
      </c>
      <c r="M2094" s="3" t="n">
        <v>0.1016</v>
      </c>
      <c r="N2094" s="3" t="n">
        <v>4827.25</v>
      </c>
      <c r="O2094" s="3" t="n">
        <v>42685.07</v>
      </c>
      <c r="P2094" s="3" t="n">
        <v>32308.38</v>
      </c>
      <c r="Q2094" s="3" t="n">
        <v>10376.69</v>
      </c>
      <c r="R2094" s="3" t="n">
        <v>0.2431</v>
      </c>
      <c r="S2094" s="3" t="n">
        <v>0.0934</v>
      </c>
      <c r="T2094" s="3" t="n">
        <v>0.0082</v>
      </c>
    </row>
    <row r="2095" customFormat="false" ht="15" hidden="false" customHeight="true" outlineLevel="0" collapsed="false">
      <c r="A2095" s="3" t="s">
        <v>3104</v>
      </c>
      <c r="B2095" s="3" t="s">
        <v>2361</v>
      </c>
      <c r="C2095" s="3" t="s">
        <v>53</v>
      </c>
      <c r="D2095" s="3" t="s">
        <v>47</v>
      </c>
      <c r="E2095" s="3" t="s">
        <v>48</v>
      </c>
      <c r="F2095" s="3" t="s">
        <v>25</v>
      </c>
      <c r="G2095" s="3" t="s">
        <v>116</v>
      </c>
      <c r="H2095" s="3" t="s">
        <v>56</v>
      </c>
      <c r="I2095" s="3" t="s">
        <v>188</v>
      </c>
      <c r="J2095" s="3" t="n">
        <v>46</v>
      </c>
      <c r="K2095" s="3" t="n">
        <v>10747.77</v>
      </c>
      <c r="L2095" s="3" t="n">
        <v>494397.42</v>
      </c>
      <c r="M2095" s="3" t="n">
        <v>0.1641</v>
      </c>
      <c r="N2095" s="3" t="n">
        <v>81130.62</v>
      </c>
      <c r="O2095" s="3" t="n">
        <v>413266.8</v>
      </c>
      <c r="P2095" s="3" t="n">
        <v>296638.45</v>
      </c>
      <c r="Q2095" s="3" t="n">
        <v>116628.35</v>
      </c>
      <c r="R2095" s="3" t="n">
        <v>0.2822</v>
      </c>
      <c r="S2095" s="3" t="n">
        <v>0.1803</v>
      </c>
      <c r="T2095" s="3" t="n">
        <v>-0.0162</v>
      </c>
    </row>
    <row r="2096" customFormat="false" ht="15" hidden="false" customHeight="true" outlineLevel="0" collapsed="false">
      <c r="A2096" s="3" t="s">
        <v>3105</v>
      </c>
      <c r="B2096" s="3" t="s">
        <v>258</v>
      </c>
      <c r="C2096" s="3" t="s">
        <v>126</v>
      </c>
      <c r="D2096" s="3" t="s">
        <v>107</v>
      </c>
      <c r="E2096" s="3" t="s">
        <v>33</v>
      </c>
      <c r="F2096" s="3" t="s">
        <v>70</v>
      </c>
      <c r="G2096" s="3" t="s">
        <v>71</v>
      </c>
      <c r="H2096" s="3" t="s">
        <v>42</v>
      </c>
      <c r="I2096" s="3" t="s">
        <v>72</v>
      </c>
      <c r="J2096" s="3" t="n">
        <v>14</v>
      </c>
      <c r="K2096" s="3" t="n">
        <v>938.57</v>
      </c>
      <c r="L2096" s="3" t="n">
        <v>13139.98</v>
      </c>
      <c r="M2096" s="3" t="n">
        <v>0.0631</v>
      </c>
      <c r="N2096" s="3" t="n">
        <v>829.13</v>
      </c>
      <c r="O2096" s="3" t="n">
        <v>12310.85</v>
      </c>
      <c r="P2096" s="3" t="n">
        <v>7226.99</v>
      </c>
      <c r="Q2096" s="3" t="n">
        <v>5083.86</v>
      </c>
      <c r="R2096" s="3" t="n">
        <v>0.413</v>
      </c>
      <c r="S2096" s="3" t="n">
        <v>0.0563</v>
      </c>
      <c r="T2096" s="3" t="n">
        <v>0.0068</v>
      </c>
    </row>
    <row r="2097" customFormat="false" ht="15" hidden="false" customHeight="true" outlineLevel="0" collapsed="false">
      <c r="A2097" s="3" t="s">
        <v>3106</v>
      </c>
      <c r="B2097" s="3" t="s">
        <v>759</v>
      </c>
      <c r="C2097" s="3" t="s">
        <v>60</v>
      </c>
      <c r="D2097" s="3" t="s">
        <v>97</v>
      </c>
      <c r="E2097" s="3" t="s">
        <v>48</v>
      </c>
      <c r="F2097" s="3" t="s">
        <v>40</v>
      </c>
      <c r="G2097" s="3" t="s">
        <v>104</v>
      </c>
      <c r="H2097" s="3" t="s">
        <v>42</v>
      </c>
      <c r="I2097" s="3" t="s">
        <v>43</v>
      </c>
      <c r="J2097" s="3" t="n">
        <v>32</v>
      </c>
      <c r="K2097" s="3" t="n">
        <v>509.73</v>
      </c>
      <c r="L2097" s="3" t="n">
        <v>16311.36</v>
      </c>
      <c r="M2097" s="3" t="n">
        <v>0.1033</v>
      </c>
      <c r="N2097" s="3" t="n">
        <v>1684.96</v>
      </c>
      <c r="O2097" s="3" t="n">
        <v>14626.4</v>
      </c>
      <c r="P2097" s="3" t="n">
        <v>8971.25</v>
      </c>
      <c r="Q2097" s="3" t="n">
        <v>5655.15</v>
      </c>
      <c r="R2097" s="3" t="n">
        <v>0.3866</v>
      </c>
      <c r="S2097" s="3" t="n">
        <v>0.093</v>
      </c>
      <c r="T2097" s="3" t="n">
        <v>0.0103</v>
      </c>
    </row>
    <row r="2098" customFormat="false" ht="15" hidden="false" customHeight="true" outlineLevel="0" collapsed="false">
      <c r="A2098" s="3" t="s">
        <v>3107</v>
      </c>
      <c r="B2098" s="3" t="s">
        <v>997</v>
      </c>
      <c r="C2098" s="3" t="s">
        <v>46</v>
      </c>
      <c r="D2098" s="3" t="s">
        <v>32</v>
      </c>
      <c r="E2098" s="3" t="s">
        <v>33</v>
      </c>
      <c r="F2098" s="3" t="s">
        <v>25</v>
      </c>
      <c r="G2098" s="3" t="s">
        <v>71</v>
      </c>
      <c r="H2098" s="3" t="s">
        <v>64</v>
      </c>
      <c r="I2098" s="3" t="s">
        <v>108</v>
      </c>
      <c r="J2098" s="3" t="n">
        <v>1</v>
      </c>
      <c r="K2098" s="3" t="n">
        <v>6131.45</v>
      </c>
      <c r="L2098" s="3" t="n">
        <v>6131.45</v>
      </c>
      <c r="M2098" s="3" t="n">
        <v>0.0906</v>
      </c>
      <c r="N2098" s="3" t="n">
        <v>555.51</v>
      </c>
      <c r="O2098" s="3" t="n">
        <v>5575.94</v>
      </c>
      <c r="P2098" s="3" t="n">
        <v>3556.24</v>
      </c>
      <c r="Q2098" s="3" t="n">
        <v>2019.7</v>
      </c>
      <c r="R2098" s="3" t="n">
        <v>0.3622</v>
      </c>
      <c r="S2098" s="3" t="n">
        <v>0.081</v>
      </c>
      <c r="T2098" s="3" t="n">
        <v>0.0096</v>
      </c>
    </row>
    <row r="2099" customFormat="false" ht="15" hidden="false" customHeight="true" outlineLevel="0" collapsed="false">
      <c r="A2099" s="3" t="s">
        <v>3108</v>
      </c>
      <c r="B2099" s="3" t="s">
        <v>2610</v>
      </c>
      <c r="C2099" s="3" t="s">
        <v>113</v>
      </c>
      <c r="D2099" s="3" t="s">
        <v>75</v>
      </c>
      <c r="E2099" s="3" t="s">
        <v>39</v>
      </c>
      <c r="F2099" s="3" t="s">
        <v>25</v>
      </c>
      <c r="G2099" s="3" t="s">
        <v>76</v>
      </c>
      <c r="H2099" s="3" t="s">
        <v>77</v>
      </c>
      <c r="I2099" s="3" t="s">
        <v>131</v>
      </c>
      <c r="J2099" s="3" t="n">
        <v>35</v>
      </c>
      <c r="K2099" s="3" t="n">
        <v>1707.69</v>
      </c>
      <c r="L2099" s="3" t="n">
        <v>59769.15</v>
      </c>
      <c r="M2099" s="3" t="n">
        <v>0.1293</v>
      </c>
      <c r="N2099" s="3" t="n">
        <v>7728.15</v>
      </c>
      <c r="O2099" s="3" t="n">
        <v>52041</v>
      </c>
      <c r="P2099" s="3" t="n">
        <v>40643.02</v>
      </c>
      <c r="Q2099" s="3" t="n">
        <v>11397.98</v>
      </c>
      <c r="R2099" s="3" t="n">
        <v>0.219</v>
      </c>
      <c r="S2099" s="3" t="n">
        <v>0.1291</v>
      </c>
      <c r="T2099" s="3" t="n">
        <v>0.0002</v>
      </c>
    </row>
    <row r="2100" customFormat="false" ht="15" hidden="false" customHeight="true" outlineLevel="0" collapsed="false">
      <c r="A2100" s="3" t="s">
        <v>3109</v>
      </c>
      <c r="B2100" s="3" t="s">
        <v>1866</v>
      </c>
      <c r="C2100" s="3" t="s">
        <v>156</v>
      </c>
      <c r="D2100" s="3" t="s">
        <v>38</v>
      </c>
      <c r="E2100" s="3" t="s">
        <v>39</v>
      </c>
      <c r="F2100" s="3" t="s">
        <v>40</v>
      </c>
      <c r="G2100" s="3" t="s">
        <v>34</v>
      </c>
      <c r="H2100" s="3" t="s">
        <v>64</v>
      </c>
      <c r="I2100" s="3" t="s">
        <v>108</v>
      </c>
      <c r="J2100" s="3" t="n">
        <v>7</v>
      </c>
      <c r="K2100" s="3" t="n">
        <v>5769.44</v>
      </c>
      <c r="L2100" s="3" t="n">
        <v>40386.08</v>
      </c>
      <c r="M2100" s="3" t="n">
        <v>0.083</v>
      </c>
      <c r="N2100" s="3" t="n">
        <v>3352.04</v>
      </c>
      <c r="O2100" s="3" t="n">
        <v>37034.04</v>
      </c>
      <c r="P2100" s="3" t="n">
        <v>23423.93</v>
      </c>
      <c r="Q2100" s="3" t="n">
        <v>13610.11</v>
      </c>
      <c r="R2100" s="3" t="n">
        <v>0.3675</v>
      </c>
      <c r="S2100" s="3" t="n">
        <v>0.0806</v>
      </c>
      <c r="T2100" s="3" t="n">
        <v>0.0024</v>
      </c>
    </row>
    <row r="2101" customFormat="false" ht="15" hidden="false" customHeight="true" outlineLevel="0" collapsed="false">
      <c r="A2101" s="3" t="s">
        <v>3110</v>
      </c>
      <c r="B2101" s="3" t="s">
        <v>1116</v>
      </c>
      <c r="C2101" s="3" t="s">
        <v>31</v>
      </c>
      <c r="D2101" s="3" t="s">
        <v>23</v>
      </c>
      <c r="E2101" s="3" t="s">
        <v>24</v>
      </c>
      <c r="F2101" s="3" t="s">
        <v>25</v>
      </c>
      <c r="G2101" s="3" t="s">
        <v>104</v>
      </c>
      <c r="H2101" s="3" t="s">
        <v>77</v>
      </c>
      <c r="I2101" s="3" t="s">
        <v>85</v>
      </c>
      <c r="J2101" s="3" t="n">
        <v>1</v>
      </c>
      <c r="K2101" s="3" t="n">
        <v>2909.61</v>
      </c>
      <c r="L2101" s="3" t="n">
        <v>2909.61</v>
      </c>
      <c r="M2101" s="3" t="n">
        <v>0.2208</v>
      </c>
      <c r="N2101" s="3" t="n">
        <v>642.44</v>
      </c>
      <c r="O2101" s="3" t="n">
        <v>2267.17</v>
      </c>
      <c r="P2101" s="3" t="n">
        <v>1978.53</v>
      </c>
      <c r="Q2101" s="3" t="n">
        <v>288.64</v>
      </c>
      <c r="R2101" s="3" t="n">
        <v>0.1273</v>
      </c>
      <c r="S2101" s="3" t="n">
        <v>0.2105</v>
      </c>
      <c r="T2101" s="3" t="n">
        <v>0.0103</v>
      </c>
    </row>
    <row r="2102" customFormat="false" ht="15" hidden="false" customHeight="true" outlineLevel="0" collapsed="false">
      <c r="A2102" s="3" t="s">
        <v>3111</v>
      </c>
      <c r="B2102" s="3" t="s">
        <v>936</v>
      </c>
      <c r="C2102" s="3" t="s">
        <v>156</v>
      </c>
      <c r="D2102" s="3" t="s">
        <v>69</v>
      </c>
      <c r="E2102" s="3" t="s">
        <v>39</v>
      </c>
      <c r="F2102" s="3" t="s">
        <v>70</v>
      </c>
      <c r="G2102" s="3" t="s">
        <v>116</v>
      </c>
      <c r="H2102" s="3" t="s">
        <v>27</v>
      </c>
      <c r="I2102" s="3" t="s">
        <v>117</v>
      </c>
      <c r="J2102" s="3" t="n">
        <v>26</v>
      </c>
      <c r="K2102" s="3" t="n">
        <v>10828.36</v>
      </c>
      <c r="L2102" s="3" t="n">
        <v>281537.36</v>
      </c>
      <c r="M2102" s="3" t="n">
        <v>0.104</v>
      </c>
      <c r="N2102" s="3" t="n">
        <v>29279.89</v>
      </c>
      <c r="O2102" s="3" t="n">
        <v>252257.47</v>
      </c>
      <c r="P2102" s="3" t="n">
        <v>174553.16</v>
      </c>
      <c r="Q2102" s="3" t="n">
        <v>77704.31</v>
      </c>
      <c r="R2102" s="3" t="n">
        <v>0.308</v>
      </c>
      <c r="S2102" s="3" t="n">
        <v>0.092</v>
      </c>
      <c r="T2102" s="3" t="n">
        <v>0.012</v>
      </c>
    </row>
    <row r="2103" customFormat="false" ht="15" hidden="false" customHeight="true" outlineLevel="0" collapsed="false">
      <c r="A2103" s="3" t="s">
        <v>3112</v>
      </c>
      <c r="B2103" s="3" t="s">
        <v>225</v>
      </c>
      <c r="C2103" s="3" t="s">
        <v>93</v>
      </c>
      <c r="D2103" s="3" t="s">
        <v>23</v>
      </c>
      <c r="E2103" s="3" t="s">
        <v>24</v>
      </c>
      <c r="F2103" s="3" t="s">
        <v>25</v>
      </c>
      <c r="G2103" s="3" t="s">
        <v>49</v>
      </c>
      <c r="H2103" s="3" t="s">
        <v>42</v>
      </c>
      <c r="I2103" s="3" t="s">
        <v>134</v>
      </c>
      <c r="J2103" s="3" t="n">
        <v>37</v>
      </c>
      <c r="K2103" s="3" t="n">
        <v>3139.83</v>
      </c>
      <c r="L2103" s="3" t="n">
        <v>116173.71</v>
      </c>
      <c r="M2103" s="3" t="n">
        <v>0.1764</v>
      </c>
      <c r="N2103" s="3" t="n">
        <v>20493.04</v>
      </c>
      <c r="O2103" s="3" t="n">
        <v>95680.67</v>
      </c>
      <c r="P2103" s="3" t="n">
        <v>63895.54</v>
      </c>
      <c r="Q2103" s="3" t="n">
        <v>31785.13</v>
      </c>
      <c r="R2103" s="3" t="n">
        <v>0.3322</v>
      </c>
      <c r="S2103" s="3" t="n">
        <v>0.1582</v>
      </c>
      <c r="T2103" s="3" t="n">
        <v>0.0182</v>
      </c>
    </row>
    <row r="2104" customFormat="false" ht="15" hidden="false" customHeight="true" outlineLevel="0" collapsed="false">
      <c r="A2104" s="3" t="s">
        <v>3113</v>
      </c>
      <c r="B2104" s="3" t="s">
        <v>1674</v>
      </c>
      <c r="C2104" s="3" t="s">
        <v>46</v>
      </c>
      <c r="D2104" s="3" t="s">
        <v>38</v>
      </c>
      <c r="E2104" s="3" t="s">
        <v>39</v>
      </c>
      <c r="F2104" s="3" t="s">
        <v>40</v>
      </c>
      <c r="G2104" s="3" t="s">
        <v>41</v>
      </c>
      <c r="H2104" s="3" t="s">
        <v>64</v>
      </c>
      <c r="I2104" s="3" t="s">
        <v>65</v>
      </c>
      <c r="J2104" s="3" t="n">
        <v>38</v>
      </c>
      <c r="K2104" s="3" t="n">
        <v>8340.77</v>
      </c>
      <c r="L2104" s="3" t="n">
        <v>316949.26</v>
      </c>
      <c r="M2104" s="3" t="n">
        <v>0.101</v>
      </c>
      <c r="N2104" s="3" t="n">
        <v>32011.88</v>
      </c>
      <c r="O2104" s="3" t="n">
        <v>284937.38</v>
      </c>
      <c r="P2104" s="3" t="n">
        <v>183830.57</v>
      </c>
      <c r="Q2104" s="3" t="n">
        <v>101106.81</v>
      </c>
      <c r="R2104" s="3" t="n">
        <v>0.3548</v>
      </c>
      <c r="S2104" s="3" t="n">
        <v>0.0822</v>
      </c>
      <c r="T2104" s="3" t="n">
        <v>0.0188</v>
      </c>
    </row>
    <row r="2105" customFormat="false" ht="15" hidden="false" customHeight="true" outlineLevel="0" collapsed="false">
      <c r="A2105" s="3" t="s">
        <v>3114</v>
      </c>
      <c r="B2105" s="3" t="s">
        <v>892</v>
      </c>
      <c r="C2105" s="3" t="s">
        <v>68</v>
      </c>
      <c r="D2105" s="3" t="s">
        <v>69</v>
      </c>
      <c r="E2105" s="3" t="s">
        <v>39</v>
      </c>
      <c r="F2105" s="3" t="s">
        <v>70</v>
      </c>
      <c r="G2105" s="3" t="s">
        <v>41</v>
      </c>
      <c r="H2105" s="3" t="s">
        <v>77</v>
      </c>
      <c r="I2105" s="3" t="s">
        <v>85</v>
      </c>
      <c r="J2105" s="3" t="n">
        <v>45</v>
      </c>
      <c r="K2105" s="3" t="n">
        <v>5027.23</v>
      </c>
      <c r="L2105" s="3" t="n">
        <v>226225.35</v>
      </c>
      <c r="M2105" s="3" t="n">
        <v>0.0719</v>
      </c>
      <c r="N2105" s="3" t="n">
        <v>16265.6</v>
      </c>
      <c r="O2105" s="3" t="n">
        <v>209959.75</v>
      </c>
      <c r="P2105" s="3" t="n">
        <v>153833.24</v>
      </c>
      <c r="Q2105" s="3" t="n">
        <v>56126.51</v>
      </c>
      <c r="R2105" s="3" t="n">
        <v>0.2673</v>
      </c>
      <c r="S2105" s="3" t="n">
        <v>0.0615</v>
      </c>
      <c r="T2105" s="3" t="n">
        <v>0.0104</v>
      </c>
    </row>
    <row r="2106" customFormat="false" ht="15" hidden="false" customHeight="true" outlineLevel="0" collapsed="false">
      <c r="A2106" s="3" t="s">
        <v>3115</v>
      </c>
      <c r="B2106" s="3" t="s">
        <v>532</v>
      </c>
      <c r="C2106" s="3" t="s">
        <v>120</v>
      </c>
      <c r="D2106" s="3" t="s">
        <v>54</v>
      </c>
      <c r="E2106" s="3" t="s">
        <v>24</v>
      </c>
      <c r="F2106" s="3" t="s">
        <v>40</v>
      </c>
      <c r="G2106" s="3" t="s">
        <v>104</v>
      </c>
      <c r="H2106" s="3" t="s">
        <v>77</v>
      </c>
      <c r="I2106" s="3" t="s">
        <v>78</v>
      </c>
      <c r="J2106" s="3" t="n">
        <v>9</v>
      </c>
      <c r="K2106" s="3" t="n">
        <v>4535.53</v>
      </c>
      <c r="L2106" s="3" t="n">
        <v>40819.77</v>
      </c>
      <c r="M2106" s="3" t="n">
        <v>0.0679</v>
      </c>
      <c r="N2106" s="3" t="n">
        <v>2771.66</v>
      </c>
      <c r="O2106" s="3" t="n">
        <v>38048.11</v>
      </c>
      <c r="P2106" s="3" t="n">
        <v>27757.44</v>
      </c>
      <c r="Q2106" s="3" t="n">
        <v>10290.67</v>
      </c>
      <c r="R2106" s="3" t="n">
        <v>0.2705</v>
      </c>
      <c r="S2106" s="3" t="n">
        <v>0.0706</v>
      </c>
      <c r="T2106" s="3" t="n">
        <v>-0.0027</v>
      </c>
    </row>
    <row r="2107" customFormat="false" ht="15" hidden="false" customHeight="true" outlineLevel="0" collapsed="false">
      <c r="A2107" s="3" t="s">
        <v>3116</v>
      </c>
      <c r="B2107" s="3" t="s">
        <v>1613</v>
      </c>
      <c r="C2107" s="3" t="s">
        <v>60</v>
      </c>
      <c r="D2107" s="3" t="s">
        <v>75</v>
      </c>
      <c r="E2107" s="3" t="s">
        <v>39</v>
      </c>
      <c r="F2107" s="3" t="s">
        <v>25</v>
      </c>
      <c r="G2107" s="3" t="s">
        <v>41</v>
      </c>
      <c r="H2107" s="3" t="s">
        <v>64</v>
      </c>
      <c r="I2107" s="3" t="s">
        <v>65</v>
      </c>
      <c r="J2107" s="3" t="n">
        <v>45</v>
      </c>
      <c r="K2107" s="3" t="n">
        <v>4701.41</v>
      </c>
      <c r="L2107" s="3" t="n">
        <v>211563.45</v>
      </c>
      <c r="M2107" s="3" t="n">
        <v>0.1776</v>
      </c>
      <c r="N2107" s="3" t="n">
        <v>37573.67</v>
      </c>
      <c r="O2107" s="3" t="n">
        <v>173989.78</v>
      </c>
      <c r="P2107" s="3" t="n">
        <v>122706.8</v>
      </c>
      <c r="Q2107" s="3" t="n">
        <v>51282.98</v>
      </c>
      <c r="R2107" s="3" t="n">
        <v>0.2947</v>
      </c>
      <c r="S2107" s="3" t="n">
        <v>0.1457</v>
      </c>
      <c r="T2107" s="3" t="n">
        <v>0.0319</v>
      </c>
    </row>
    <row r="2108" customFormat="false" ht="15" hidden="false" customHeight="true" outlineLevel="0" collapsed="false">
      <c r="A2108" s="3" t="s">
        <v>3117</v>
      </c>
      <c r="B2108" s="3" t="s">
        <v>3118</v>
      </c>
      <c r="C2108" s="3" t="s">
        <v>46</v>
      </c>
      <c r="D2108" s="3" t="s">
        <v>107</v>
      </c>
      <c r="E2108" s="3" t="s">
        <v>33</v>
      </c>
      <c r="F2108" s="3" t="s">
        <v>70</v>
      </c>
      <c r="G2108" s="3" t="s">
        <v>55</v>
      </c>
      <c r="H2108" s="3" t="s">
        <v>27</v>
      </c>
      <c r="I2108" s="3" t="s">
        <v>94</v>
      </c>
      <c r="J2108" s="3" t="n">
        <v>47</v>
      </c>
      <c r="K2108" s="3" t="n">
        <v>37115.55</v>
      </c>
      <c r="L2108" s="3" t="n">
        <v>1744430.85</v>
      </c>
      <c r="M2108" s="3" t="n">
        <v>0.0302</v>
      </c>
      <c r="N2108" s="3" t="n">
        <v>52681.81</v>
      </c>
      <c r="O2108" s="3" t="n">
        <v>1691749.04</v>
      </c>
      <c r="P2108" s="3" t="n">
        <v>1081547.13</v>
      </c>
      <c r="Q2108" s="3" t="n">
        <v>610201.91</v>
      </c>
      <c r="R2108" s="3" t="n">
        <v>0.3607</v>
      </c>
      <c r="S2108" s="3" t="n">
        <v>0.0293</v>
      </c>
      <c r="T2108" s="3" t="n">
        <v>0.0009</v>
      </c>
    </row>
    <row r="2109" customFormat="false" ht="15" hidden="false" customHeight="true" outlineLevel="0" collapsed="false">
      <c r="A2109" s="3" t="s">
        <v>3119</v>
      </c>
      <c r="B2109" s="3" t="s">
        <v>140</v>
      </c>
      <c r="C2109" s="3" t="s">
        <v>22</v>
      </c>
      <c r="D2109" s="3" t="s">
        <v>47</v>
      </c>
      <c r="E2109" s="3" t="s">
        <v>48</v>
      </c>
      <c r="F2109" s="3" t="s">
        <v>25</v>
      </c>
      <c r="G2109" s="3" t="s">
        <v>100</v>
      </c>
      <c r="H2109" s="3" t="s">
        <v>27</v>
      </c>
      <c r="I2109" s="3" t="s">
        <v>28</v>
      </c>
      <c r="J2109" s="3" t="n">
        <v>35</v>
      </c>
      <c r="K2109" s="3" t="n">
        <v>21968.98</v>
      </c>
      <c r="L2109" s="3" t="n">
        <v>768914.3</v>
      </c>
      <c r="M2109" s="3" t="n">
        <v>0.1326</v>
      </c>
      <c r="N2109" s="3" t="n">
        <v>101958.04</v>
      </c>
      <c r="O2109" s="3" t="n">
        <v>666956.26</v>
      </c>
      <c r="P2109" s="3" t="n">
        <v>476726.87</v>
      </c>
      <c r="Q2109" s="3" t="n">
        <v>190229.39</v>
      </c>
      <c r="R2109" s="3" t="n">
        <v>0.2852</v>
      </c>
      <c r="S2109" s="3" t="n">
        <v>0.1351</v>
      </c>
      <c r="T2109" s="3" t="n">
        <v>-0.0025</v>
      </c>
    </row>
    <row r="2110" customFormat="false" ht="15" hidden="false" customHeight="true" outlineLevel="0" collapsed="false">
      <c r="A2110" s="3" t="s">
        <v>3120</v>
      </c>
      <c r="B2110" s="3" t="s">
        <v>2170</v>
      </c>
      <c r="C2110" s="3" t="s">
        <v>120</v>
      </c>
      <c r="D2110" s="3" t="s">
        <v>103</v>
      </c>
      <c r="E2110" s="3" t="s">
        <v>24</v>
      </c>
      <c r="F2110" s="3" t="s">
        <v>62</v>
      </c>
      <c r="G2110" s="3" t="s">
        <v>84</v>
      </c>
      <c r="H2110" s="3" t="s">
        <v>56</v>
      </c>
      <c r="I2110" s="3" t="s">
        <v>121</v>
      </c>
      <c r="J2110" s="3" t="n">
        <v>31</v>
      </c>
      <c r="K2110" s="3" t="n">
        <v>13044.28</v>
      </c>
      <c r="L2110" s="3" t="n">
        <v>404372.68</v>
      </c>
      <c r="M2110" s="3" t="n">
        <v>0.0384</v>
      </c>
      <c r="N2110" s="3" t="n">
        <v>15527.91</v>
      </c>
      <c r="O2110" s="3" t="n">
        <v>388844.77</v>
      </c>
      <c r="P2110" s="3" t="n">
        <v>242623.61</v>
      </c>
      <c r="Q2110" s="3" t="n">
        <v>146221.16</v>
      </c>
      <c r="R2110" s="3" t="n">
        <v>0.376</v>
      </c>
      <c r="S2110" s="3" t="n">
        <v>0.0351</v>
      </c>
      <c r="T2110" s="3" t="n">
        <v>0.0033</v>
      </c>
    </row>
    <row r="2111" customFormat="false" ht="15" hidden="false" customHeight="true" outlineLevel="0" collapsed="false">
      <c r="A2111" s="3" t="s">
        <v>3121</v>
      </c>
      <c r="B2111" s="3" t="s">
        <v>1063</v>
      </c>
      <c r="C2111" s="3" t="s">
        <v>113</v>
      </c>
      <c r="D2111" s="3" t="s">
        <v>107</v>
      </c>
      <c r="E2111" s="3" t="s">
        <v>33</v>
      </c>
      <c r="F2111" s="3" t="s">
        <v>70</v>
      </c>
      <c r="G2111" s="3" t="s">
        <v>49</v>
      </c>
      <c r="H2111" s="3" t="s">
        <v>27</v>
      </c>
      <c r="I2111" s="3" t="s">
        <v>28</v>
      </c>
      <c r="J2111" s="3" t="n">
        <v>31</v>
      </c>
      <c r="K2111" s="3" t="n">
        <v>37349.37</v>
      </c>
      <c r="L2111" s="3" t="n">
        <v>1157830.47</v>
      </c>
      <c r="M2111" s="3" t="n">
        <v>0.0567</v>
      </c>
      <c r="N2111" s="3" t="n">
        <v>65648.99</v>
      </c>
      <c r="O2111" s="3" t="n">
        <v>1092181.48</v>
      </c>
      <c r="P2111" s="3" t="n">
        <v>717854.89</v>
      </c>
      <c r="Q2111" s="3" t="n">
        <v>374326.59</v>
      </c>
      <c r="R2111" s="3" t="n">
        <v>0.3427</v>
      </c>
      <c r="S2111" s="3" t="n">
        <v>0.0465</v>
      </c>
      <c r="T2111" s="3" t="n">
        <v>0.0102</v>
      </c>
    </row>
    <row r="2112" customFormat="false" ht="15" hidden="false" customHeight="true" outlineLevel="0" collapsed="false">
      <c r="A2112" s="3" t="s">
        <v>3122</v>
      </c>
      <c r="B2112" s="3" t="s">
        <v>229</v>
      </c>
      <c r="C2112" s="3" t="s">
        <v>126</v>
      </c>
      <c r="D2112" s="3" t="s">
        <v>47</v>
      </c>
      <c r="E2112" s="3" t="s">
        <v>48</v>
      </c>
      <c r="F2112" s="3" t="s">
        <v>25</v>
      </c>
      <c r="G2112" s="3" t="s">
        <v>100</v>
      </c>
      <c r="H2112" s="3" t="s">
        <v>56</v>
      </c>
      <c r="I2112" s="3" t="s">
        <v>188</v>
      </c>
      <c r="J2112" s="3" t="n">
        <v>31</v>
      </c>
      <c r="K2112" s="3" t="n">
        <v>16537.84</v>
      </c>
      <c r="L2112" s="3" t="n">
        <v>512673.04</v>
      </c>
      <c r="M2112" s="3" t="n">
        <v>0.1793</v>
      </c>
      <c r="N2112" s="3" t="n">
        <v>91922.28</v>
      </c>
      <c r="O2112" s="3" t="n">
        <v>420750.76</v>
      </c>
      <c r="P2112" s="3" t="n">
        <v>307603.82</v>
      </c>
      <c r="Q2112" s="3" t="n">
        <v>113146.94</v>
      </c>
      <c r="R2112" s="3" t="n">
        <v>0.2689</v>
      </c>
      <c r="S2112" s="3" t="n">
        <v>0.1612</v>
      </c>
      <c r="T2112" s="3" t="n">
        <v>0.0181</v>
      </c>
    </row>
    <row r="2113" customFormat="false" ht="15" hidden="false" customHeight="true" outlineLevel="0" collapsed="false">
      <c r="A2113" s="3" t="s">
        <v>3123</v>
      </c>
      <c r="B2113" s="3" t="s">
        <v>3124</v>
      </c>
      <c r="C2113" s="3" t="s">
        <v>60</v>
      </c>
      <c r="D2113" s="3" t="s">
        <v>54</v>
      </c>
      <c r="E2113" s="3" t="s">
        <v>24</v>
      </c>
      <c r="F2113" s="3" t="s">
        <v>40</v>
      </c>
      <c r="G2113" s="3" t="s">
        <v>100</v>
      </c>
      <c r="H2113" s="3" t="s">
        <v>27</v>
      </c>
      <c r="I2113" s="3" t="s">
        <v>28</v>
      </c>
      <c r="J2113" s="3" t="n">
        <v>47</v>
      </c>
      <c r="K2113" s="3" t="n">
        <v>12419.27</v>
      </c>
      <c r="L2113" s="3" t="n">
        <v>583705.69</v>
      </c>
      <c r="M2113" s="3" t="n">
        <v>0.0677</v>
      </c>
      <c r="N2113" s="3" t="n">
        <v>39516.88</v>
      </c>
      <c r="O2113" s="3" t="n">
        <v>544188.81</v>
      </c>
      <c r="P2113" s="3" t="n">
        <v>361897.53</v>
      </c>
      <c r="Q2113" s="3" t="n">
        <v>182291.28</v>
      </c>
      <c r="R2113" s="3" t="n">
        <v>0.335</v>
      </c>
      <c r="S2113" s="3" t="n">
        <v>0.0542</v>
      </c>
      <c r="T2113" s="3" t="n">
        <v>0.0135</v>
      </c>
    </row>
    <row r="2114" customFormat="false" ht="15" hidden="false" customHeight="true" outlineLevel="0" collapsed="false">
      <c r="A2114" s="3" t="s">
        <v>3125</v>
      </c>
      <c r="B2114" s="3" t="s">
        <v>1783</v>
      </c>
      <c r="C2114" s="3" t="s">
        <v>53</v>
      </c>
      <c r="D2114" s="3" t="s">
        <v>75</v>
      </c>
      <c r="E2114" s="3" t="s">
        <v>39</v>
      </c>
      <c r="F2114" s="3" t="s">
        <v>25</v>
      </c>
      <c r="G2114" s="3" t="s">
        <v>55</v>
      </c>
      <c r="H2114" s="3" t="s">
        <v>56</v>
      </c>
      <c r="I2114" s="3" t="s">
        <v>188</v>
      </c>
      <c r="J2114" s="3" t="n">
        <v>9</v>
      </c>
      <c r="K2114" s="3" t="n">
        <v>6712.73</v>
      </c>
      <c r="L2114" s="3" t="n">
        <v>60414.57</v>
      </c>
      <c r="M2114" s="3" t="n">
        <v>0.1684</v>
      </c>
      <c r="N2114" s="3" t="n">
        <v>10173.81</v>
      </c>
      <c r="O2114" s="3" t="n">
        <v>50240.76</v>
      </c>
      <c r="P2114" s="3" t="n">
        <v>36248.74</v>
      </c>
      <c r="Q2114" s="3" t="n">
        <v>13992.02</v>
      </c>
      <c r="R2114" s="3" t="n">
        <v>0.2785</v>
      </c>
      <c r="S2114" s="3" t="n">
        <v>0.1415</v>
      </c>
      <c r="T2114" s="3" t="n">
        <v>0.0269</v>
      </c>
    </row>
    <row r="2115" customFormat="false" ht="15" hidden="false" customHeight="true" outlineLevel="0" collapsed="false">
      <c r="A2115" s="3" t="s">
        <v>3126</v>
      </c>
      <c r="B2115" s="3" t="s">
        <v>850</v>
      </c>
      <c r="C2115" s="3" t="s">
        <v>68</v>
      </c>
      <c r="D2115" s="3" t="s">
        <v>75</v>
      </c>
      <c r="E2115" s="3" t="s">
        <v>39</v>
      </c>
      <c r="F2115" s="3" t="s">
        <v>25</v>
      </c>
      <c r="G2115" s="3" t="s">
        <v>116</v>
      </c>
      <c r="H2115" s="3" t="s">
        <v>27</v>
      </c>
      <c r="I2115" s="3" t="s">
        <v>50</v>
      </c>
      <c r="J2115" s="3" t="n">
        <v>32</v>
      </c>
      <c r="K2115" s="3" t="n">
        <v>16877.58</v>
      </c>
      <c r="L2115" s="3" t="n">
        <v>540082.56</v>
      </c>
      <c r="M2115" s="3" t="n">
        <v>0.221</v>
      </c>
      <c r="N2115" s="3" t="n">
        <v>119358.25</v>
      </c>
      <c r="O2115" s="3" t="n">
        <v>420724.31</v>
      </c>
      <c r="P2115" s="3" t="n">
        <v>334851.19</v>
      </c>
      <c r="Q2115" s="3" t="n">
        <v>85873.12</v>
      </c>
      <c r="R2115" s="3" t="n">
        <v>0.2041</v>
      </c>
      <c r="S2115" s="3" t="n">
        <v>0.2264</v>
      </c>
      <c r="T2115" s="3" t="n">
        <v>-0.0054</v>
      </c>
    </row>
    <row r="2116" customFormat="false" ht="15" hidden="false" customHeight="true" outlineLevel="0" collapsed="false">
      <c r="A2116" s="3" t="s">
        <v>3127</v>
      </c>
      <c r="B2116" s="3" t="s">
        <v>241</v>
      </c>
      <c r="C2116" s="3" t="s">
        <v>120</v>
      </c>
      <c r="D2116" s="3" t="s">
        <v>61</v>
      </c>
      <c r="E2116" s="3" t="s">
        <v>33</v>
      </c>
      <c r="F2116" s="3" t="s">
        <v>62</v>
      </c>
      <c r="G2116" s="3" t="s">
        <v>55</v>
      </c>
      <c r="H2116" s="3" t="s">
        <v>77</v>
      </c>
      <c r="I2116" s="3" t="s">
        <v>78</v>
      </c>
      <c r="J2116" s="3" t="n">
        <v>13</v>
      </c>
      <c r="K2116" s="3" t="n">
        <v>4091.73</v>
      </c>
      <c r="L2116" s="3" t="n">
        <v>53192.49</v>
      </c>
      <c r="M2116" s="3" t="n">
        <v>0.0651</v>
      </c>
      <c r="N2116" s="3" t="n">
        <v>3462.83</v>
      </c>
      <c r="O2116" s="3" t="n">
        <v>49729.66</v>
      </c>
      <c r="P2116" s="3" t="n">
        <v>36170.89</v>
      </c>
      <c r="Q2116" s="3" t="n">
        <v>13558.77</v>
      </c>
      <c r="R2116" s="3" t="n">
        <v>0.2726</v>
      </c>
      <c r="S2116" s="3" t="n">
        <v>0.0664</v>
      </c>
      <c r="T2116" s="3" t="n">
        <v>-0.0013</v>
      </c>
    </row>
    <row r="2117" customFormat="false" ht="15" hidden="false" customHeight="true" outlineLevel="0" collapsed="false">
      <c r="A2117" s="3" t="s">
        <v>3128</v>
      </c>
      <c r="B2117" s="3" t="s">
        <v>1257</v>
      </c>
      <c r="C2117" s="3" t="s">
        <v>60</v>
      </c>
      <c r="D2117" s="3" t="s">
        <v>97</v>
      </c>
      <c r="E2117" s="3" t="s">
        <v>48</v>
      </c>
      <c r="F2117" s="3" t="s">
        <v>40</v>
      </c>
      <c r="G2117" s="3" t="s">
        <v>104</v>
      </c>
      <c r="H2117" s="3" t="s">
        <v>27</v>
      </c>
      <c r="I2117" s="3" t="s">
        <v>117</v>
      </c>
      <c r="J2117" s="3" t="n">
        <v>4</v>
      </c>
      <c r="K2117" s="3" t="n">
        <v>28289.4</v>
      </c>
      <c r="L2117" s="3" t="n">
        <v>113157.6</v>
      </c>
      <c r="M2117" s="3" t="n">
        <v>0.0924</v>
      </c>
      <c r="N2117" s="3" t="n">
        <v>10455.76</v>
      </c>
      <c r="O2117" s="3" t="n">
        <v>102701.84</v>
      </c>
      <c r="P2117" s="3" t="n">
        <v>70157.71</v>
      </c>
      <c r="Q2117" s="3" t="n">
        <v>32544.13</v>
      </c>
      <c r="R2117" s="3" t="n">
        <v>0.3169</v>
      </c>
      <c r="S2117" s="3" t="n">
        <v>0.08</v>
      </c>
      <c r="T2117" s="3" t="n">
        <v>0.0124</v>
      </c>
    </row>
    <row r="2118" customFormat="false" ht="15" hidden="false" customHeight="true" outlineLevel="0" collapsed="false">
      <c r="A2118" s="3" t="s">
        <v>3129</v>
      </c>
      <c r="B2118" s="3" t="s">
        <v>2524</v>
      </c>
      <c r="C2118" s="3" t="s">
        <v>46</v>
      </c>
      <c r="D2118" s="3" t="s">
        <v>75</v>
      </c>
      <c r="E2118" s="3" t="s">
        <v>39</v>
      </c>
      <c r="F2118" s="3" t="s">
        <v>25</v>
      </c>
      <c r="G2118" s="3" t="s">
        <v>84</v>
      </c>
      <c r="H2118" s="3" t="s">
        <v>64</v>
      </c>
      <c r="I2118" s="3" t="s">
        <v>90</v>
      </c>
      <c r="J2118" s="3" t="n">
        <v>9</v>
      </c>
      <c r="K2118" s="3" t="n">
        <v>6232.58</v>
      </c>
      <c r="L2118" s="3" t="n">
        <v>56093.22</v>
      </c>
      <c r="M2118" s="3" t="n">
        <v>0.113</v>
      </c>
      <c r="N2118" s="3" t="n">
        <v>6338.53</v>
      </c>
      <c r="O2118" s="3" t="n">
        <v>49754.69</v>
      </c>
      <c r="P2118" s="3" t="n">
        <v>32534.07</v>
      </c>
      <c r="Q2118" s="3" t="n">
        <v>17220.62</v>
      </c>
      <c r="R2118" s="3" t="n">
        <v>0.3461</v>
      </c>
      <c r="S2118" s="3" t="n">
        <v>0.1148</v>
      </c>
      <c r="T2118" s="3" t="n">
        <v>-0.0018</v>
      </c>
    </row>
    <row r="2119" customFormat="false" ht="15" hidden="false" customHeight="true" outlineLevel="0" collapsed="false">
      <c r="A2119" s="3" t="s">
        <v>3130</v>
      </c>
      <c r="B2119" s="3" t="s">
        <v>655</v>
      </c>
      <c r="C2119" s="3" t="s">
        <v>156</v>
      </c>
      <c r="D2119" s="3" t="s">
        <v>32</v>
      </c>
      <c r="E2119" s="3" t="s">
        <v>33</v>
      </c>
      <c r="F2119" s="3" t="s">
        <v>25</v>
      </c>
      <c r="G2119" s="3" t="s">
        <v>63</v>
      </c>
      <c r="H2119" s="3" t="s">
        <v>64</v>
      </c>
      <c r="I2119" s="3" t="s">
        <v>65</v>
      </c>
      <c r="J2119" s="3" t="n">
        <v>4</v>
      </c>
      <c r="K2119" s="3" t="n">
        <v>6019.19</v>
      </c>
      <c r="L2119" s="3" t="n">
        <v>24076.76</v>
      </c>
      <c r="M2119" s="3" t="n">
        <v>0.122</v>
      </c>
      <c r="N2119" s="3" t="n">
        <v>2937.36</v>
      </c>
      <c r="O2119" s="3" t="n">
        <v>21139.4</v>
      </c>
      <c r="P2119" s="3" t="n">
        <v>13964.52</v>
      </c>
      <c r="Q2119" s="3" t="n">
        <v>7174.88</v>
      </c>
      <c r="R2119" s="3" t="n">
        <v>0.3394</v>
      </c>
      <c r="S2119" s="3" t="n">
        <v>0.1226</v>
      </c>
      <c r="T2119" s="3" t="n">
        <v>-0.0006</v>
      </c>
    </row>
    <row r="2120" customFormat="false" ht="15" hidden="false" customHeight="true" outlineLevel="0" collapsed="false">
      <c r="A2120" s="3" t="s">
        <v>3131</v>
      </c>
      <c r="B2120" s="3" t="s">
        <v>1463</v>
      </c>
      <c r="C2120" s="3" t="s">
        <v>120</v>
      </c>
      <c r="D2120" s="3" t="s">
        <v>32</v>
      </c>
      <c r="E2120" s="3" t="s">
        <v>33</v>
      </c>
      <c r="F2120" s="3" t="s">
        <v>25</v>
      </c>
      <c r="G2120" s="3" t="s">
        <v>55</v>
      </c>
      <c r="H2120" s="3" t="s">
        <v>42</v>
      </c>
      <c r="I2120" s="3" t="s">
        <v>72</v>
      </c>
      <c r="J2120" s="3" t="n">
        <v>29</v>
      </c>
      <c r="K2120" s="3" t="n">
        <v>1307.83</v>
      </c>
      <c r="L2120" s="3" t="n">
        <v>37927.07</v>
      </c>
      <c r="M2120" s="3" t="n">
        <v>0.1213</v>
      </c>
      <c r="N2120" s="3" t="n">
        <v>4600.55</v>
      </c>
      <c r="O2120" s="3" t="n">
        <v>33326.52</v>
      </c>
      <c r="P2120" s="3" t="n">
        <v>20859.89</v>
      </c>
      <c r="Q2120" s="3" t="n">
        <v>12466.63</v>
      </c>
      <c r="R2120" s="3" t="n">
        <v>0.3741</v>
      </c>
      <c r="S2120" s="3" t="n">
        <v>0.1193</v>
      </c>
      <c r="T2120" s="3" t="n">
        <v>0.002</v>
      </c>
    </row>
    <row r="2121" customFormat="false" ht="15" hidden="false" customHeight="true" outlineLevel="0" collapsed="false">
      <c r="A2121" s="3" t="s">
        <v>3132</v>
      </c>
      <c r="B2121" s="3" t="s">
        <v>1088</v>
      </c>
      <c r="C2121" s="3" t="s">
        <v>120</v>
      </c>
      <c r="D2121" s="3" t="s">
        <v>69</v>
      </c>
      <c r="E2121" s="3" t="s">
        <v>39</v>
      </c>
      <c r="F2121" s="3" t="s">
        <v>70</v>
      </c>
      <c r="G2121" s="3" t="s">
        <v>71</v>
      </c>
      <c r="H2121" s="3" t="s">
        <v>64</v>
      </c>
      <c r="I2121" s="3" t="s">
        <v>65</v>
      </c>
      <c r="J2121" s="3" t="n">
        <v>11</v>
      </c>
      <c r="K2121" s="3" t="n">
        <v>3206.26</v>
      </c>
      <c r="L2121" s="3" t="n">
        <v>35268.86</v>
      </c>
      <c r="M2121" s="3" t="n">
        <v>0.0795</v>
      </c>
      <c r="N2121" s="3" t="n">
        <v>2803.87</v>
      </c>
      <c r="O2121" s="3" t="n">
        <v>32464.99</v>
      </c>
      <c r="P2121" s="3" t="n">
        <v>20455.94</v>
      </c>
      <c r="Q2121" s="3" t="n">
        <v>12009.05</v>
      </c>
      <c r="R2121" s="3" t="n">
        <v>0.3699</v>
      </c>
      <c r="S2121" s="3" t="n">
        <v>0.0735</v>
      </c>
      <c r="T2121" s="3" t="n">
        <v>0.006</v>
      </c>
    </row>
    <row r="2122" customFormat="false" ht="15" hidden="false" customHeight="true" outlineLevel="0" collapsed="false">
      <c r="A2122" s="3" t="s">
        <v>3133</v>
      </c>
      <c r="B2122" s="3" t="s">
        <v>504</v>
      </c>
      <c r="C2122" s="3" t="s">
        <v>68</v>
      </c>
      <c r="D2122" s="3" t="s">
        <v>23</v>
      </c>
      <c r="E2122" s="3" t="s">
        <v>24</v>
      </c>
      <c r="F2122" s="3" t="s">
        <v>25</v>
      </c>
      <c r="G2122" s="3" t="s">
        <v>76</v>
      </c>
      <c r="H2122" s="3" t="s">
        <v>27</v>
      </c>
      <c r="I2122" s="3" t="s">
        <v>173</v>
      </c>
      <c r="J2122" s="3" t="n">
        <v>39</v>
      </c>
      <c r="K2122" s="3" t="n">
        <v>20099.84</v>
      </c>
      <c r="L2122" s="3" t="n">
        <v>783893.76</v>
      </c>
      <c r="M2122" s="3" t="n">
        <v>0.1476</v>
      </c>
      <c r="N2122" s="3" t="n">
        <v>115702.72</v>
      </c>
      <c r="O2122" s="3" t="n">
        <v>668191.04</v>
      </c>
      <c r="P2122" s="3" t="n">
        <v>486014.13</v>
      </c>
      <c r="Q2122" s="3" t="n">
        <v>182176.91</v>
      </c>
      <c r="R2122" s="3" t="n">
        <v>0.2726</v>
      </c>
      <c r="S2122" s="3" t="n">
        <v>0.1278</v>
      </c>
      <c r="T2122" s="3" t="n">
        <v>0.0198</v>
      </c>
    </row>
    <row r="2123" customFormat="false" ht="15" hidden="false" customHeight="true" outlineLevel="0" collapsed="false">
      <c r="A2123" s="3" t="s">
        <v>3134</v>
      </c>
      <c r="B2123" s="3" t="s">
        <v>3124</v>
      </c>
      <c r="C2123" s="3" t="s">
        <v>60</v>
      </c>
      <c r="D2123" s="3" t="s">
        <v>32</v>
      </c>
      <c r="E2123" s="3" t="s">
        <v>33</v>
      </c>
      <c r="F2123" s="3" t="s">
        <v>25</v>
      </c>
      <c r="G2123" s="3" t="s">
        <v>26</v>
      </c>
      <c r="H2123" s="3" t="s">
        <v>42</v>
      </c>
      <c r="I2123" s="3" t="s">
        <v>43</v>
      </c>
      <c r="J2123" s="3" t="n">
        <v>18</v>
      </c>
      <c r="K2123" s="3" t="n">
        <v>2394.24</v>
      </c>
      <c r="L2123" s="3" t="n">
        <v>43096.32</v>
      </c>
      <c r="M2123" s="3" t="n">
        <v>0.1043</v>
      </c>
      <c r="N2123" s="3" t="n">
        <v>4494.95</v>
      </c>
      <c r="O2123" s="3" t="n">
        <v>38601.37</v>
      </c>
      <c r="P2123" s="3" t="n">
        <v>23702.98</v>
      </c>
      <c r="Q2123" s="3" t="n">
        <v>14898.39</v>
      </c>
      <c r="R2123" s="3" t="n">
        <v>0.386</v>
      </c>
      <c r="S2123" s="3" t="n">
        <v>0.0882</v>
      </c>
      <c r="T2123" s="3" t="n">
        <v>0.0161</v>
      </c>
    </row>
    <row r="2124" customFormat="false" ht="15" hidden="false" customHeight="true" outlineLevel="0" collapsed="false">
      <c r="A2124" s="3" t="s">
        <v>3135</v>
      </c>
      <c r="B2124" s="3" t="s">
        <v>1186</v>
      </c>
      <c r="C2124" s="3" t="s">
        <v>31</v>
      </c>
      <c r="D2124" s="3" t="s">
        <v>61</v>
      </c>
      <c r="E2124" s="3" t="s">
        <v>33</v>
      </c>
      <c r="F2124" s="3" t="s">
        <v>62</v>
      </c>
      <c r="G2124" s="3" t="s">
        <v>63</v>
      </c>
      <c r="H2124" s="3" t="s">
        <v>64</v>
      </c>
      <c r="I2124" s="3" t="s">
        <v>65</v>
      </c>
      <c r="J2124" s="3" t="n">
        <v>33</v>
      </c>
      <c r="K2124" s="3" t="n">
        <v>7381.63</v>
      </c>
      <c r="L2124" s="3" t="n">
        <v>243593.79</v>
      </c>
      <c r="M2124" s="3" t="n">
        <v>0.0328</v>
      </c>
      <c r="N2124" s="3" t="n">
        <v>7989.88</v>
      </c>
      <c r="O2124" s="3" t="n">
        <v>235603.91</v>
      </c>
      <c r="P2124" s="3" t="n">
        <v>141284.4</v>
      </c>
      <c r="Q2124" s="3" t="n">
        <v>94319.51</v>
      </c>
      <c r="R2124" s="3" t="n">
        <v>0.4003</v>
      </c>
      <c r="S2124" s="3" t="n">
        <v>0.0317</v>
      </c>
      <c r="T2124" s="3" t="n">
        <v>0.0011</v>
      </c>
    </row>
    <row r="2125" customFormat="false" ht="15" hidden="false" customHeight="true" outlineLevel="0" collapsed="false">
      <c r="A2125" s="3" t="s">
        <v>3136</v>
      </c>
      <c r="B2125" s="3" t="s">
        <v>1795</v>
      </c>
      <c r="C2125" s="3" t="s">
        <v>46</v>
      </c>
      <c r="D2125" s="3" t="s">
        <v>103</v>
      </c>
      <c r="E2125" s="3" t="s">
        <v>24</v>
      </c>
      <c r="F2125" s="3" t="s">
        <v>62</v>
      </c>
      <c r="G2125" s="3" t="s">
        <v>84</v>
      </c>
      <c r="H2125" s="3" t="s">
        <v>77</v>
      </c>
      <c r="I2125" s="3" t="s">
        <v>78</v>
      </c>
      <c r="J2125" s="3" t="n">
        <v>3</v>
      </c>
      <c r="K2125" s="3" t="n">
        <v>5779.42</v>
      </c>
      <c r="L2125" s="3" t="n">
        <v>17338.26</v>
      </c>
      <c r="M2125" s="3" t="n">
        <v>0.0492</v>
      </c>
      <c r="N2125" s="3" t="n">
        <v>853.04</v>
      </c>
      <c r="O2125" s="3" t="n">
        <v>16485.22</v>
      </c>
      <c r="P2125" s="3" t="n">
        <v>11790.02</v>
      </c>
      <c r="Q2125" s="3" t="n">
        <v>4695.2</v>
      </c>
      <c r="R2125" s="3" t="n">
        <v>0.2848</v>
      </c>
      <c r="S2125" s="3" t="n">
        <v>0.053</v>
      </c>
      <c r="T2125" s="3" t="n">
        <v>-0.0038</v>
      </c>
    </row>
    <row r="2126" customFormat="false" ht="15" hidden="false" customHeight="true" outlineLevel="0" collapsed="false">
      <c r="A2126" s="3" t="s">
        <v>3137</v>
      </c>
      <c r="B2126" s="3" t="s">
        <v>2091</v>
      </c>
      <c r="C2126" s="3" t="s">
        <v>126</v>
      </c>
      <c r="D2126" s="3" t="s">
        <v>61</v>
      </c>
      <c r="E2126" s="3" t="s">
        <v>33</v>
      </c>
      <c r="F2126" s="3" t="s">
        <v>62</v>
      </c>
      <c r="G2126" s="3" t="s">
        <v>63</v>
      </c>
      <c r="H2126" s="3" t="s">
        <v>56</v>
      </c>
      <c r="I2126" s="3" t="s">
        <v>121</v>
      </c>
      <c r="J2126" s="3" t="n">
        <v>4</v>
      </c>
      <c r="K2126" s="3" t="n">
        <v>7792.81</v>
      </c>
      <c r="L2126" s="3" t="n">
        <v>31171.24</v>
      </c>
      <c r="M2126" s="3" t="n">
        <v>0.0452</v>
      </c>
      <c r="N2126" s="3" t="n">
        <v>1408.94</v>
      </c>
      <c r="O2126" s="3" t="n">
        <v>29762.3</v>
      </c>
      <c r="P2126" s="3" t="n">
        <v>18702.74</v>
      </c>
      <c r="Q2126" s="3" t="n">
        <v>11059.56</v>
      </c>
      <c r="R2126" s="3" t="n">
        <v>0.3716</v>
      </c>
      <c r="S2126" s="3" t="n">
        <v>0.0467</v>
      </c>
      <c r="T2126" s="3" t="n">
        <v>-0.0015</v>
      </c>
    </row>
    <row r="2127" customFormat="false" ht="15" hidden="false" customHeight="true" outlineLevel="0" collapsed="false">
      <c r="A2127" s="3" t="s">
        <v>3138</v>
      </c>
      <c r="B2127" s="3" t="s">
        <v>3139</v>
      </c>
      <c r="C2127" s="3" t="s">
        <v>126</v>
      </c>
      <c r="D2127" s="3" t="s">
        <v>54</v>
      </c>
      <c r="E2127" s="3" t="s">
        <v>24</v>
      </c>
      <c r="F2127" s="3" t="s">
        <v>40</v>
      </c>
      <c r="G2127" s="3" t="s">
        <v>104</v>
      </c>
      <c r="H2127" s="3" t="s">
        <v>42</v>
      </c>
      <c r="I2127" s="3" t="s">
        <v>72</v>
      </c>
      <c r="J2127" s="3" t="n">
        <v>28</v>
      </c>
      <c r="K2127" s="3" t="n">
        <v>2043.41</v>
      </c>
      <c r="L2127" s="3" t="n">
        <v>57215.48</v>
      </c>
      <c r="M2127" s="3" t="n">
        <v>0.0774</v>
      </c>
      <c r="N2127" s="3" t="n">
        <v>4428.48</v>
      </c>
      <c r="O2127" s="3" t="n">
        <v>52787</v>
      </c>
      <c r="P2127" s="3" t="n">
        <v>31468.51</v>
      </c>
      <c r="Q2127" s="3" t="n">
        <v>21318.49</v>
      </c>
      <c r="R2127" s="3" t="n">
        <v>0.4039</v>
      </c>
      <c r="S2127" s="3" t="n">
        <v>0.076</v>
      </c>
      <c r="T2127" s="3" t="n">
        <v>0.0014</v>
      </c>
    </row>
    <row r="2128" customFormat="false" ht="15" hidden="false" customHeight="true" outlineLevel="0" collapsed="false">
      <c r="A2128" s="3" t="s">
        <v>3140</v>
      </c>
      <c r="B2128" s="3" t="s">
        <v>773</v>
      </c>
      <c r="C2128" s="3" t="s">
        <v>60</v>
      </c>
      <c r="D2128" s="3" t="s">
        <v>69</v>
      </c>
      <c r="E2128" s="3" t="s">
        <v>39</v>
      </c>
      <c r="F2128" s="3" t="s">
        <v>70</v>
      </c>
      <c r="G2128" s="3" t="s">
        <v>49</v>
      </c>
      <c r="H2128" s="3" t="s">
        <v>64</v>
      </c>
      <c r="I2128" s="3" t="s">
        <v>90</v>
      </c>
      <c r="J2128" s="3" t="n">
        <v>42</v>
      </c>
      <c r="K2128" s="3" t="n">
        <v>3076.83</v>
      </c>
      <c r="L2128" s="3" t="n">
        <v>129226.86</v>
      </c>
      <c r="M2128" s="3" t="n">
        <v>0.0602</v>
      </c>
      <c r="N2128" s="3" t="n">
        <v>7779.46</v>
      </c>
      <c r="O2128" s="3" t="n">
        <v>121447.4</v>
      </c>
      <c r="P2128" s="3" t="n">
        <v>74951.58</v>
      </c>
      <c r="Q2128" s="3" t="n">
        <v>46495.82</v>
      </c>
      <c r="R2128" s="3" t="n">
        <v>0.3828</v>
      </c>
      <c r="S2128" s="3" t="n">
        <v>0.0564</v>
      </c>
      <c r="T2128" s="3" t="n">
        <v>0.0038</v>
      </c>
    </row>
    <row r="2129" customFormat="false" ht="15" hidden="false" customHeight="true" outlineLevel="0" collapsed="false">
      <c r="A2129" s="3" t="s">
        <v>3141</v>
      </c>
      <c r="B2129" s="3" t="s">
        <v>939</v>
      </c>
      <c r="C2129" s="3" t="s">
        <v>31</v>
      </c>
      <c r="D2129" s="3" t="s">
        <v>75</v>
      </c>
      <c r="E2129" s="3" t="s">
        <v>39</v>
      </c>
      <c r="F2129" s="3" t="s">
        <v>25</v>
      </c>
      <c r="G2129" s="3" t="s">
        <v>41</v>
      </c>
      <c r="H2129" s="3" t="s">
        <v>64</v>
      </c>
      <c r="I2129" s="3" t="s">
        <v>90</v>
      </c>
      <c r="J2129" s="3" t="n">
        <v>8</v>
      </c>
      <c r="K2129" s="3" t="n">
        <v>6904.56</v>
      </c>
      <c r="L2129" s="3" t="n">
        <v>55236.48</v>
      </c>
      <c r="M2129" s="3" t="n">
        <v>0.1821</v>
      </c>
      <c r="N2129" s="3" t="n">
        <v>10058.56</v>
      </c>
      <c r="O2129" s="3" t="n">
        <v>45177.92</v>
      </c>
      <c r="P2129" s="3" t="n">
        <v>32037.16</v>
      </c>
      <c r="Q2129" s="3" t="n">
        <v>13140.76</v>
      </c>
      <c r="R2129" s="3" t="n">
        <v>0.2909</v>
      </c>
      <c r="S2129" s="3" t="n">
        <v>0.1821</v>
      </c>
      <c r="T2129" s="3" t="n">
        <v>0</v>
      </c>
    </row>
    <row r="2130" customFormat="false" ht="15" hidden="false" customHeight="true" outlineLevel="0" collapsed="false">
      <c r="A2130" s="3" t="s">
        <v>3142</v>
      </c>
      <c r="B2130" s="3" t="s">
        <v>1799</v>
      </c>
      <c r="C2130" s="3" t="s">
        <v>120</v>
      </c>
      <c r="D2130" s="3" t="s">
        <v>97</v>
      </c>
      <c r="E2130" s="3" t="s">
        <v>48</v>
      </c>
      <c r="F2130" s="3" t="s">
        <v>40</v>
      </c>
      <c r="G2130" s="3" t="s">
        <v>100</v>
      </c>
      <c r="H2130" s="3" t="s">
        <v>42</v>
      </c>
      <c r="I2130" s="3" t="s">
        <v>72</v>
      </c>
      <c r="J2130" s="3" t="n">
        <v>18</v>
      </c>
      <c r="K2130" s="3" t="n">
        <v>2933.99</v>
      </c>
      <c r="L2130" s="3" t="n">
        <v>52811.82</v>
      </c>
      <c r="M2130" s="3" t="n">
        <v>0.0637</v>
      </c>
      <c r="N2130" s="3" t="n">
        <v>3364.11</v>
      </c>
      <c r="O2130" s="3" t="n">
        <v>49447.71</v>
      </c>
      <c r="P2130" s="3" t="n">
        <v>29046.5</v>
      </c>
      <c r="Q2130" s="3" t="n">
        <v>20401.21</v>
      </c>
      <c r="R2130" s="3" t="n">
        <v>0.4126</v>
      </c>
      <c r="S2130" s="3" t="n">
        <v>0.0639</v>
      </c>
      <c r="T2130" s="3" t="n">
        <v>-0.0002</v>
      </c>
    </row>
    <row r="2131" customFormat="false" ht="15" hidden="false" customHeight="true" outlineLevel="0" collapsed="false">
      <c r="A2131" s="3" t="s">
        <v>3143</v>
      </c>
      <c r="B2131" s="3" t="s">
        <v>954</v>
      </c>
      <c r="C2131" s="3" t="s">
        <v>120</v>
      </c>
      <c r="D2131" s="3" t="s">
        <v>107</v>
      </c>
      <c r="E2131" s="3" t="s">
        <v>33</v>
      </c>
      <c r="F2131" s="3" t="s">
        <v>70</v>
      </c>
      <c r="G2131" s="3" t="s">
        <v>26</v>
      </c>
      <c r="H2131" s="3" t="s">
        <v>27</v>
      </c>
      <c r="I2131" s="3" t="s">
        <v>94</v>
      </c>
      <c r="J2131" s="3" t="n">
        <v>39</v>
      </c>
      <c r="K2131" s="3" t="n">
        <v>23775.75</v>
      </c>
      <c r="L2131" s="3" t="n">
        <v>927254.25</v>
      </c>
      <c r="M2131" s="3" t="n">
        <v>0.0775</v>
      </c>
      <c r="N2131" s="3" t="n">
        <v>71862.2</v>
      </c>
      <c r="O2131" s="3" t="n">
        <v>855392.05</v>
      </c>
      <c r="P2131" s="3" t="n">
        <v>574897.64</v>
      </c>
      <c r="Q2131" s="3" t="n">
        <v>280494.41</v>
      </c>
      <c r="R2131" s="3" t="n">
        <v>0.3279</v>
      </c>
      <c r="S2131" s="3" t="n">
        <v>0.0792</v>
      </c>
      <c r="T2131" s="3" t="n">
        <v>-0.0017</v>
      </c>
    </row>
    <row r="2132" customFormat="false" ht="15" hidden="false" customHeight="true" outlineLevel="0" collapsed="false">
      <c r="A2132" s="3" t="s">
        <v>3144</v>
      </c>
      <c r="B2132" s="3" t="s">
        <v>486</v>
      </c>
      <c r="C2132" s="3" t="s">
        <v>46</v>
      </c>
      <c r="D2132" s="3" t="s">
        <v>47</v>
      </c>
      <c r="E2132" s="3" t="s">
        <v>48</v>
      </c>
      <c r="F2132" s="3" t="s">
        <v>25</v>
      </c>
      <c r="G2132" s="3" t="s">
        <v>26</v>
      </c>
      <c r="H2132" s="3" t="s">
        <v>64</v>
      </c>
      <c r="I2132" s="3" t="s">
        <v>108</v>
      </c>
      <c r="J2132" s="3" t="n">
        <v>46</v>
      </c>
      <c r="K2132" s="3" t="n">
        <v>5800.21</v>
      </c>
      <c r="L2132" s="3" t="n">
        <v>266809.66</v>
      </c>
      <c r="M2132" s="3" t="n">
        <v>0.1223</v>
      </c>
      <c r="N2132" s="3" t="n">
        <v>32630.82</v>
      </c>
      <c r="O2132" s="3" t="n">
        <v>234178.84</v>
      </c>
      <c r="P2132" s="3" t="n">
        <v>154749.6</v>
      </c>
      <c r="Q2132" s="3" t="n">
        <v>79429.24</v>
      </c>
      <c r="R2132" s="3" t="n">
        <v>0.3392</v>
      </c>
      <c r="S2132" s="3" t="n">
        <v>0.1075</v>
      </c>
      <c r="T2132" s="3" t="n">
        <v>0.0148</v>
      </c>
    </row>
    <row r="2133" customFormat="false" ht="15" hidden="false" customHeight="true" outlineLevel="0" collapsed="false">
      <c r="A2133" s="3" t="s">
        <v>3145</v>
      </c>
      <c r="B2133" s="3" t="s">
        <v>2470</v>
      </c>
      <c r="C2133" s="3" t="s">
        <v>93</v>
      </c>
      <c r="D2133" s="3" t="s">
        <v>69</v>
      </c>
      <c r="E2133" s="3" t="s">
        <v>39</v>
      </c>
      <c r="F2133" s="3" t="s">
        <v>70</v>
      </c>
      <c r="G2133" s="3" t="s">
        <v>34</v>
      </c>
      <c r="H2133" s="3" t="s">
        <v>56</v>
      </c>
      <c r="I2133" s="3" t="s">
        <v>57</v>
      </c>
      <c r="J2133" s="3" t="n">
        <v>47</v>
      </c>
      <c r="K2133" s="3" t="n">
        <v>16197.78</v>
      </c>
      <c r="L2133" s="3" t="n">
        <v>761295.66</v>
      </c>
      <c r="M2133" s="3" t="n">
        <v>0.1379</v>
      </c>
      <c r="N2133" s="3" t="n">
        <v>104982.67</v>
      </c>
      <c r="O2133" s="3" t="n">
        <v>656312.99</v>
      </c>
      <c r="P2133" s="3" t="n">
        <v>456777.4</v>
      </c>
      <c r="Q2133" s="3" t="n">
        <v>199535.59</v>
      </c>
      <c r="R2133" s="3" t="n">
        <v>0.304</v>
      </c>
      <c r="S2133" s="3" t="n">
        <v>0.1506</v>
      </c>
      <c r="T2133" s="3" t="n">
        <v>-0.0127</v>
      </c>
    </row>
    <row r="2134" customFormat="false" ht="15" hidden="false" customHeight="true" outlineLevel="0" collapsed="false">
      <c r="A2134" s="3" t="s">
        <v>3146</v>
      </c>
      <c r="B2134" s="3" t="s">
        <v>771</v>
      </c>
      <c r="C2134" s="3" t="s">
        <v>156</v>
      </c>
      <c r="D2134" s="3" t="s">
        <v>75</v>
      </c>
      <c r="E2134" s="3" t="s">
        <v>39</v>
      </c>
      <c r="F2134" s="3" t="s">
        <v>25</v>
      </c>
      <c r="G2134" s="3" t="s">
        <v>104</v>
      </c>
      <c r="H2134" s="3" t="s">
        <v>42</v>
      </c>
      <c r="I2134" s="3" t="s">
        <v>72</v>
      </c>
      <c r="J2134" s="3" t="n">
        <v>16</v>
      </c>
      <c r="K2134" s="3" t="n">
        <v>1776.35</v>
      </c>
      <c r="L2134" s="3" t="n">
        <v>28421.6</v>
      </c>
      <c r="M2134" s="3" t="n">
        <v>0.1302</v>
      </c>
      <c r="N2134" s="3" t="n">
        <v>3700.49</v>
      </c>
      <c r="O2134" s="3" t="n">
        <v>24721.11</v>
      </c>
      <c r="P2134" s="3" t="n">
        <v>15631.88</v>
      </c>
      <c r="Q2134" s="3" t="n">
        <v>9089.23</v>
      </c>
      <c r="R2134" s="3" t="n">
        <v>0.3677</v>
      </c>
      <c r="S2134" s="3" t="n">
        <v>0.1358</v>
      </c>
      <c r="T2134" s="3" t="n">
        <v>-0.0056</v>
      </c>
    </row>
    <row r="2135" customFormat="false" ht="15" hidden="false" customHeight="true" outlineLevel="0" collapsed="false">
      <c r="A2135" s="3" t="s">
        <v>3147</v>
      </c>
      <c r="B2135" s="3" t="s">
        <v>519</v>
      </c>
      <c r="C2135" s="3" t="s">
        <v>31</v>
      </c>
      <c r="D2135" s="3" t="s">
        <v>69</v>
      </c>
      <c r="E2135" s="3" t="s">
        <v>39</v>
      </c>
      <c r="F2135" s="3" t="s">
        <v>70</v>
      </c>
      <c r="G2135" s="3" t="s">
        <v>26</v>
      </c>
      <c r="H2135" s="3" t="s">
        <v>27</v>
      </c>
      <c r="I2135" s="3" t="s">
        <v>28</v>
      </c>
      <c r="J2135" s="3" t="n">
        <v>43</v>
      </c>
      <c r="K2135" s="3" t="n">
        <v>34702.52</v>
      </c>
      <c r="L2135" s="3" t="n">
        <v>1492208.36</v>
      </c>
      <c r="M2135" s="3" t="n">
        <v>0.0565</v>
      </c>
      <c r="N2135" s="3" t="n">
        <v>84309.77</v>
      </c>
      <c r="O2135" s="3" t="n">
        <v>1407898.59</v>
      </c>
      <c r="P2135" s="3" t="n">
        <v>925169.18</v>
      </c>
      <c r="Q2135" s="3" t="n">
        <v>482729.41</v>
      </c>
      <c r="R2135" s="3" t="n">
        <v>0.3429</v>
      </c>
      <c r="S2135" s="3" t="n">
        <v>0.0456</v>
      </c>
      <c r="T2135" s="3" t="n">
        <v>0.0109</v>
      </c>
    </row>
    <row r="2136" customFormat="false" ht="15" hidden="false" customHeight="true" outlineLevel="0" collapsed="false">
      <c r="A2136" s="3" t="s">
        <v>3148</v>
      </c>
      <c r="B2136" s="3" t="s">
        <v>3054</v>
      </c>
      <c r="C2136" s="3" t="s">
        <v>126</v>
      </c>
      <c r="D2136" s="3" t="s">
        <v>97</v>
      </c>
      <c r="E2136" s="3" t="s">
        <v>48</v>
      </c>
      <c r="F2136" s="3" t="s">
        <v>40</v>
      </c>
      <c r="G2136" s="3" t="s">
        <v>84</v>
      </c>
      <c r="H2136" s="3" t="s">
        <v>42</v>
      </c>
      <c r="I2136" s="3" t="s">
        <v>134</v>
      </c>
      <c r="J2136" s="3" t="n">
        <v>25</v>
      </c>
      <c r="K2136" s="3" t="n">
        <v>3224.27</v>
      </c>
      <c r="L2136" s="3" t="n">
        <v>80606.75</v>
      </c>
      <c r="M2136" s="3" t="n">
        <v>0.0758</v>
      </c>
      <c r="N2136" s="3" t="n">
        <v>6109.99</v>
      </c>
      <c r="O2136" s="3" t="n">
        <v>74496.76</v>
      </c>
      <c r="P2136" s="3" t="n">
        <v>44333.71</v>
      </c>
      <c r="Q2136" s="3" t="n">
        <v>30163.05</v>
      </c>
      <c r="R2136" s="3" t="n">
        <v>0.4049</v>
      </c>
      <c r="S2136" s="3" t="n">
        <v>0.072</v>
      </c>
      <c r="T2136" s="3" t="n">
        <v>0.0038</v>
      </c>
    </row>
    <row r="2137" customFormat="false" ht="15" hidden="false" customHeight="true" outlineLevel="0" collapsed="false">
      <c r="A2137" s="3" t="s">
        <v>3149</v>
      </c>
      <c r="B2137" s="3" t="s">
        <v>809</v>
      </c>
      <c r="C2137" s="3" t="s">
        <v>37</v>
      </c>
      <c r="D2137" s="3" t="s">
        <v>83</v>
      </c>
      <c r="E2137" s="3" t="s">
        <v>48</v>
      </c>
      <c r="F2137" s="3" t="s">
        <v>62</v>
      </c>
      <c r="G2137" s="3" t="s">
        <v>26</v>
      </c>
      <c r="H2137" s="3" t="s">
        <v>77</v>
      </c>
      <c r="I2137" s="3" t="s">
        <v>85</v>
      </c>
      <c r="J2137" s="3" t="n">
        <v>18</v>
      </c>
      <c r="K2137" s="3" t="n">
        <v>5495.59</v>
      </c>
      <c r="L2137" s="3" t="n">
        <v>98920.62</v>
      </c>
      <c r="M2137" s="3" t="n">
        <v>0.0661</v>
      </c>
      <c r="N2137" s="3" t="n">
        <v>6538.65</v>
      </c>
      <c r="O2137" s="3" t="n">
        <v>92381.97</v>
      </c>
      <c r="P2137" s="3" t="n">
        <v>67266.02</v>
      </c>
      <c r="Q2137" s="3" t="n">
        <v>25115.95</v>
      </c>
      <c r="R2137" s="3" t="n">
        <v>0.2719</v>
      </c>
      <c r="S2137" s="3" t="n">
        <v>0.0716</v>
      </c>
      <c r="T2137" s="3" t="n">
        <v>-0.0055</v>
      </c>
    </row>
    <row r="2138" customFormat="false" ht="15" hidden="false" customHeight="true" outlineLevel="0" collapsed="false">
      <c r="A2138" s="3" t="s">
        <v>3150</v>
      </c>
      <c r="B2138" s="3" t="s">
        <v>3151</v>
      </c>
      <c r="C2138" s="3" t="s">
        <v>68</v>
      </c>
      <c r="D2138" s="3" t="s">
        <v>103</v>
      </c>
      <c r="E2138" s="3" t="s">
        <v>24</v>
      </c>
      <c r="F2138" s="3" t="s">
        <v>62</v>
      </c>
      <c r="G2138" s="3" t="s">
        <v>49</v>
      </c>
      <c r="H2138" s="3" t="s">
        <v>64</v>
      </c>
      <c r="I2138" s="3" t="s">
        <v>90</v>
      </c>
      <c r="J2138" s="3" t="n">
        <v>18</v>
      </c>
      <c r="K2138" s="3" t="n">
        <v>8078.86</v>
      </c>
      <c r="L2138" s="3" t="n">
        <v>145419.48</v>
      </c>
      <c r="M2138" s="3" t="n">
        <v>0.0497</v>
      </c>
      <c r="N2138" s="3" t="n">
        <v>7227.35</v>
      </c>
      <c r="O2138" s="3" t="n">
        <v>138192.13</v>
      </c>
      <c r="P2138" s="3" t="n">
        <v>84343.3</v>
      </c>
      <c r="Q2138" s="3" t="n">
        <v>53848.83</v>
      </c>
      <c r="R2138" s="3" t="n">
        <v>0.3897</v>
      </c>
      <c r="S2138" s="3" t="n">
        <v>0.0454</v>
      </c>
      <c r="T2138" s="3" t="n">
        <v>0.0043</v>
      </c>
    </row>
    <row r="2139" customFormat="false" ht="15" hidden="false" customHeight="true" outlineLevel="0" collapsed="false">
      <c r="A2139" s="3" t="s">
        <v>3152</v>
      </c>
      <c r="B2139" s="3" t="s">
        <v>1265</v>
      </c>
      <c r="C2139" s="3" t="s">
        <v>46</v>
      </c>
      <c r="D2139" s="3" t="s">
        <v>61</v>
      </c>
      <c r="E2139" s="3" t="s">
        <v>33</v>
      </c>
      <c r="F2139" s="3" t="s">
        <v>62</v>
      </c>
      <c r="G2139" s="3" t="s">
        <v>76</v>
      </c>
      <c r="H2139" s="3" t="s">
        <v>77</v>
      </c>
      <c r="I2139" s="3" t="s">
        <v>131</v>
      </c>
      <c r="J2139" s="3" t="n">
        <v>12</v>
      </c>
      <c r="K2139" s="3" t="n">
        <v>1807.07</v>
      </c>
      <c r="L2139" s="3" t="n">
        <v>21684.84</v>
      </c>
      <c r="M2139" s="3" t="n">
        <v>0.0472</v>
      </c>
      <c r="N2139" s="3" t="n">
        <v>1023.52</v>
      </c>
      <c r="O2139" s="3" t="n">
        <v>20661.32</v>
      </c>
      <c r="P2139" s="3" t="n">
        <v>14745.69</v>
      </c>
      <c r="Q2139" s="3" t="n">
        <v>5915.63</v>
      </c>
      <c r="R2139" s="3" t="n">
        <v>0.2863</v>
      </c>
      <c r="S2139" s="3" t="n">
        <v>0.038</v>
      </c>
      <c r="T2139" s="3" t="n">
        <v>0.0092</v>
      </c>
    </row>
    <row r="2140" customFormat="false" ht="15" hidden="false" customHeight="true" outlineLevel="0" collapsed="false">
      <c r="A2140" s="3" t="s">
        <v>3153</v>
      </c>
      <c r="B2140" s="3" t="s">
        <v>3139</v>
      </c>
      <c r="C2140" s="3" t="s">
        <v>126</v>
      </c>
      <c r="D2140" s="3" t="s">
        <v>97</v>
      </c>
      <c r="E2140" s="3" t="s">
        <v>48</v>
      </c>
      <c r="F2140" s="3" t="s">
        <v>40</v>
      </c>
      <c r="G2140" s="3" t="s">
        <v>49</v>
      </c>
      <c r="H2140" s="3" t="s">
        <v>27</v>
      </c>
      <c r="I2140" s="3" t="s">
        <v>94</v>
      </c>
      <c r="J2140" s="3" t="n">
        <v>40</v>
      </c>
      <c r="K2140" s="3" t="n">
        <v>37609.38</v>
      </c>
      <c r="L2140" s="3" t="n">
        <v>1504375.2</v>
      </c>
      <c r="M2140" s="3" t="n">
        <v>0.0759</v>
      </c>
      <c r="N2140" s="3" t="n">
        <v>114182.08</v>
      </c>
      <c r="O2140" s="3" t="n">
        <v>1390193.12</v>
      </c>
      <c r="P2140" s="3" t="n">
        <v>932712.62</v>
      </c>
      <c r="Q2140" s="3" t="n">
        <v>457480.5</v>
      </c>
      <c r="R2140" s="3" t="n">
        <v>0.3291</v>
      </c>
      <c r="S2140" s="3" t="n">
        <v>0.0722</v>
      </c>
      <c r="T2140" s="3" t="n">
        <v>0.0037</v>
      </c>
    </row>
    <row r="2141" customFormat="false" ht="15" hidden="false" customHeight="true" outlineLevel="0" collapsed="false">
      <c r="A2141" s="3" t="s">
        <v>3154</v>
      </c>
      <c r="B2141" s="3" t="s">
        <v>799</v>
      </c>
      <c r="C2141" s="3" t="s">
        <v>46</v>
      </c>
      <c r="D2141" s="3" t="s">
        <v>103</v>
      </c>
      <c r="E2141" s="3" t="s">
        <v>24</v>
      </c>
      <c r="F2141" s="3" t="s">
        <v>62</v>
      </c>
      <c r="G2141" s="3" t="s">
        <v>55</v>
      </c>
      <c r="H2141" s="3" t="s">
        <v>64</v>
      </c>
      <c r="I2141" s="3" t="s">
        <v>90</v>
      </c>
      <c r="J2141" s="3" t="n">
        <v>24</v>
      </c>
      <c r="K2141" s="3" t="n">
        <v>4283.36</v>
      </c>
      <c r="L2141" s="3" t="n">
        <v>102800.64</v>
      </c>
      <c r="M2141" s="3" t="n">
        <v>0.0588</v>
      </c>
      <c r="N2141" s="3" t="n">
        <v>6044.68</v>
      </c>
      <c r="O2141" s="3" t="n">
        <v>96755.96</v>
      </c>
      <c r="P2141" s="3" t="n">
        <v>59624.37</v>
      </c>
      <c r="Q2141" s="3" t="n">
        <v>37131.59</v>
      </c>
      <c r="R2141" s="3" t="n">
        <v>0.3838</v>
      </c>
      <c r="S2141" s="3" t="n">
        <v>0.0524</v>
      </c>
      <c r="T2141" s="3" t="n">
        <v>0.0064</v>
      </c>
    </row>
    <row r="2142" customFormat="false" ht="15" hidden="false" customHeight="true" outlineLevel="0" collapsed="false">
      <c r="A2142" s="3" t="s">
        <v>3155</v>
      </c>
      <c r="B2142" s="3" t="s">
        <v>963</v>
      </c>
      <c r="C2142" s="3" t="s">
        <v>120</v>
      </c>
      <c r="D2142" s="3" t="s">
        <v>83</v>
      </c>
      <c r="E2142" s="3" t="s">
        <v>48</v>
      </c>
      <c r="F2142" s="3" t="s">
        <v>62</v>
      </c>
      <c r="G2142" s="3" t="s">
        <v>34</v>
      </c>
      <c r="H2142" s="3" t="s">
        <v>64</v>
      </c>
      <c r="I2142" s="3" t="s">
        <v>65</v>
      </c>
      <c r="J2142" s="3" t="n">
        <v>18</v>
      </c>
      <c r="K2142" s="3" t="n">
        <v>3121.92</v>
      </c>
      <c r="L2142" s="3" t="n">
        <v>56194.56</v>
      </c>
      <c r="M2142" s="3" t="n">
        <v>0.0716</v>
      </c>
      <c r="N2142" s="3" t="n">
        <v>4023.53</v>
      </c>
      <c r="O2142" s="3" t="n">
        <v>52171.03</v>
      </c>
      <c r="P2142" s="3" t="n">
        <v>32592.84</v>
      </c>
      <c r="Q2142" s="3" t="n">
        <v>19578.19</v>
      </c>
      <c r="R2142" s="3" t="n">
        <v>0.3753</v>
      </c>
      <c r="S2142" s="3" t="n">
        <v>0.0629</v>
      </c>
      <c r="T2142" s="3" t="n">
        <v>0.0087</v>
      </c>
    </row>
    <row r="2143" customFormat="false" ht="15" hidden="false" customHeight="true" outlineLevel="0" collapsed="false">
      <c r="A2143" s="3" t="s">
        <v>3156</v>
      </c>
      <c r="B2143" s="3" t="s">
        <v>972</v>
      </c>
      <c r="C2143" s="3" t="s">
        <v>60</v>
      </c>
      <c r="D2143" s="3" t="s">
        <v>47</v>
      </c>
      <c r="E2143" s="3" t="s">
        <v>48</v>
      </c>
      <c r="F2143" s="3" t="s">
        <v>25</v>
      </c>
      <c r="G2143" s="3" t="s">
        <v>104</v>
      </c>
      <c r="H2143" s="3" t="s">
        <v>27</v>
      </c>
      <c r="I2143" s="3" t="s">
        <v>50</v>
      </c>
      <c r="J2143" s="3" t="n">
        <v>17</v>
      </c>
      <c r="K2143" s="3" t="n">
        <v>39926.28</v>
      </c>
      <c r="L2143" s="3" t="n">
        <v>678746.76</v>
      </c>
      <c r="M2143" s="3" t="n">
        <v>0.1791</v>
      </c>
      <c r="N2143" s="3" t="n">
        <v>121563.54</v>
      </c>
      <c r="O2143" s="3" t="n">
        <v>557183.22</v>
      </c>
      <c r="P2143" s="3" t="n">
        <v>420822.99</v>
      </c>
      <c r="Q2143" s="3" t="n">
        <v>136360.23</v>
      </c>
      <c r="R2143" s="3" t="n">
        <v>0.2447</v>
      </c>
      <c r="S2143" s="3" t="n">
        <v>0.1939</v>
      </c>
      <c r="T2143" s="3" t="n">
        <v>-0.0148</v>
      </c>
    </row>
    <row r="2144" customFormat="false" ht="15" hidden="false" customHeight="true" outlineLevel="0" collapsed="false">
      <c r="A2144" s="3" t="s">
        <v>3157</v>
      </c>
      <c r="B2144" s="3" t="s">
        <v>3158</v>
      </c>
      <c r="C2144" s="3" t="s">
        <v>31</v>
      </c>
      <c r="D2144" s="3" t="s">
        <v>61</v>
      </c>
      <c r="E2144" s="3" t="s">
        <v>33</v>
      </c>
      <c r="F2144" s="3" t="s">
        <v>62</v>
      </c>
      <c r="G2144" s="3" t="s">
        <v>76</v>
      </c>
      <c r="H2144" s="3" t="s">
        <v>42</v>
      </c>
      <c r="I2144" s="3" t="s">
        <v>134</v>
      </c>
      <c r="J2144" s="3" t="n">
        <v>4</v>
      </c>
      <c r="K2144" s="3" t="n">
        <v>1247.22</v>
      </c>
      <c r="L2144" s="3" t="n">
        <v>4988.88</v>
      </c>
      <c r="M2144" s="3" t="n">
        <v>0.0526</v>
      </c>
      <c r="N2144" s="3" t="n">
        <v>262.42</v>
      </c>
      <c r="O2144" s="3" t="n">
        <v>4726.46</v>
      </c>
      <c r="P2144" s="3" t="n">
        <v>2743.88</v>
      </c>
      <c r="Q2144" s="3" t="n">
        <v>1982.58</v>
      </c>
      <c r="R2144" s="3" t="n">
        <v>0.4195</v>
      </c>
      <c r="S2144" s="3" t="n">
        <v>0.0456</v>
      </c>
      <c r="T2144" s="3" t="n">
        <v>0.007</v>
      </c>
    </row>
    <row r="2145" customFormat="false" ht="15" hidden="false" customHeight="true" outlineLevel="0" collapsed="false">
      <c r="A2145" s="3" t="s">
        <v>3159</v>
      </c>
      <c r="B2145" s="3" t="s">
        <v>498</v>
      </c>
      <c r="C2145" s="3" t="s">
        <v>120</v>
      </c>
      <c r="D2145" s="3" t="s">
        <v>83</v>
      </c>
      <c r="E2145" s="3" t="s">
        <v>48</v>
      </c>
      <c r="F2145" s="3" t="s">
        <v>62</v>
      </c>
      <c r="G2145" s="3" t="s">
        <v>71</v>
      </c>
      <c r="H2145" s="3" t="s">
        <v>64</v>
      </c>
      <c r="I2145" s="3" t="s">
        <v>65</v>
      </c>
      <c r="J2145" s="3" t="n">
        <v>2</v>
      </c>
      <c r="K2145" s="3" t="n">
        <v>11133</v>
      </c>
      <c r="L2145" s="3" t="n">
        <v>22266</v>
      </c>
      <c r="M2145" s="3" t="n">
        <v>0.0567</v>
      </c>
      <c r="N2145" s="3" t="n">
        <v>1262.48</v>
      </c>
      <c r="O2145" s="3" t="n">
        <v>21003.52</v>
      </c>
      <c r="P2145" s="3" t="n">
        <v>12914.28</v>
      </c>
      <c r="Q2145" s="3" t="n">
        <v>8089.24</v>
      </c>
      <c r="R2145" s="3" t="n">
        <v>0.3851</v>
      </c>
      <c r="S2145" s="3" t="n">
        <v>0.0538</v>
      </c>
      <c r="T2145" s="3" t="n">
        <v>0.0029</v>
      </c>
    </row>
    <row r="2146" customFormat="false" ht="15" hidden="false" customHeight="true" outlineLevel="0" collapsed="false">
      <c r="A2146" s="3" t="s">
        <v>3160</v>
      </c>
      <c r="B2146" s="3" t="s">
        <v>1322</v>
      </c>
      <c r="C2146" s="3" t="s">
        <v>120</v>
      </c>
      <c r="D2146" s="3" t="s">
        <v>107</v>
      </c>
      <c r="E2146" s="3" t="s">
        <v>33</v>
      </c>
      <c r="F2146" s="3" t="s">
        <v>70</v>
      </c>
      <c r="G2146" s="3" t="s">
        <v>41</v>
      </c>
      <c r="H2146" s="3" t="s">
        <v>42</v>
      </c>
      <c r="I2146" s="3" t="s">
        <v>43</v>
      </c>
      <c r="J2146" s="3" t="n">
        <v>6</v>
      </c>
      <c r="K2146" s="3" t="n">
        <v>3761.72</v>
      </c>
      <c r="L2146" s="3" t="n">
        <v>22570.32</v>
      </c>
      <c r="M2146" s="3" t="n">
        <v>0.0904</v>
      </c>
      <c r="N2146" s="3" t="n">
        <v>2040.36</v>
      </c>
      <c r="O2146" s="3" t="n">
        <v>20529.96</v>
      </c>
      <c r="P2146" s="3" t="n">
        <v>12413.68</v>
      </c>
      <c r="Q2146" s="3" t="n">
        <v>8116.28</v>
      </c>
      <c r="R2146" s="3" t="n">
        <v>0.3953</v>
      </c>
      <c r="S2146" s="3" t="n">
        <v>0.0971</v>
      </c>
      <c r="T2146" s="3" t="n">
        <v>-0.0067</v>
      </c>
    </row>
    <row r="2147" customFormat="false" ht="15" hidden="false" customHeight="true" outlineLevel="0" collapsed="false">
      <c r="A2147" s="3" t="s">
        <v>3161</v>
      </c>
      <c r="B2147" s="3" t="s">
        <v>1395</v>
      </c>
      <c r="C2147" s="3" t="s">
        <v>31</v>
      </c>
      <c r="D2147" s="3" t="s">
        <v>107</v>
      </c>
      <c r="E2147" s="3" t="s">
        <v>33</v>
      </c>
      <c r="F2147" s="3" t="s">
        <v>70</v>
      </c>
      <c r="G2147" s="3" t="s">
        <v>41</v>
      </c>
      <c r="H2147" s="3" t="s">
        <v>42</v>
      </c>
      <c r="I2147" s="3" t="s">
        <v>134</v>
      </c>
      <c r="J2147" s="3" t="n">
        <v>43</v>
      </c>
      <c r="K2147" s="3" t="n">
        <v>1231.9</v>
      </c>
      <c r="L2147" s="3" t="n">
        <v>52971.7</v>
      </c>
      <c r="M2147" s="3" t="n">
        <v>0.0998</v>
      </c>
      <c r="N2147" s="3" t="n">
        <v>5286.58</v>
      </c>
      <c r="O2147" s="3" t="n">
        <v>47685.12</v>
      </c>
      <c r="P2147" s="3" t="n">
        <v>29134.44</v>
      </c>
      <c r="Q2147" s="3" t="n">
        <v>18550.68</v>
      </c>
      <c r="R2147" s="3" t="n">
        <v>0.389</v>
      </c>
      <c r="S2147" s="3" t="n">
        <v>0.1065</v>
      </c>
      <c r="T2147" s="3" t="n">
        <v>-0.0067</v>
      </c>
    </row>
    <row r="2148" customFormat="false" ht="15" hidden="false" customHeight="true" outlineLevel="0" collapsed="false">
      <c r="A2148" s="3" t="s">
        <v>3162</v>
      </c>
      <c r="B2148" s="3" t="s">
        <v>1502</v>
      </c>
      <c r="C2148" s="3" t="s">
        <v>68</v>
      </c>
      <c r="D2148" s="3" t="s">
        <v>107</v>
      </c>
      <c r="E2148" s="3" t="s">
        <v>33</v>
      </c>
      <c r="F2148" s="3" t="s">
        <v>70</v>
      </c>
      <c r="G2148" s="3" t="s">
        <v>76</v>
      </c>
      <c r="H2148" s="3" t="s">
        <v>77</v>
      </c>
      <c r="I2148" s="3" t="s">
        <v>78</v>
      </c>
      <c r="J2148" s="3" t="n">
        <v>42</v>
      </c>
      <c r="K2148" s="3" t="n">
        <v>5251.88</v>
      </c>
      <c r="L2148" s="3" t="n">
        <v>220578.96</v>
      </c>
      <c r="M2148" s="3" t="n">
        <v>0.0745</v>
      </c>
      <c r="N2148" s="3" t="n">
        <v>16433.13</v>
      </c>
      <c r="O2148" s="3" t="n">
        <v>204145.83</v>
      </c>
      <c r="P2148" s="3" t="n">
        <v>149993.69</v>
      </c>
      <c r="Q2148" s="3" t="n">
        <v>54152.14</v>
      </c>
      <c r="R2148" s="3" t="n">
        <v>0.2653</v>
      </c>
      <c r="S2148" s="3" t="n">
        <v>0.0607</v>
      </c>
      <c r="T2148" s="3" t="n">
        <v>0.0138</v>
      </c>
    </row>
    <row r="2149" customFormat="false" ht="15" hidden="false" customHeight="true" outlineLevel="0" collapsed="false">
      <c r="A2149" s="3" t="s">
        <v>3163</v>
      </c>
      <c r="B2149" s="3" t="s">
        <v>1148</v>
      </c>
      <c r="C2149" s="3" t="s">
        <v>68</v>
      </c>
      <c r="D2149" s="3" t="s">
        <v>83</v>
      </c>
      <c r="E2149" s="3" t="s">
        <v>48</v>
      </c>
      <c r="F2149" s="3" t="s">
        <v>62</v>
      </c>
      <c r="G2149" s="3" t="s">
        <v>71</v>
      </c>
      <c r="H2149" s="3" t="s">
        <v>64</v>
      </c>
      <c r="I2149" s="3" t="s">
        <v>108</v>
      </c>
      <c r="J2149" s="3" t="n">
        <v>44</v>
      </c>
      <c r="K2149" s="3" t="n">
        <v>11403.83</v>
      </c>
      <c r="L2149" s="3" t="n">
        <v>501768.52</v>
      </c>
      <c r="M2149" s="3" t="n">
        <v>0.0313</v>
      </c>
      <c r="N2149" s="3" t="n">
        <v>15705.35</v>
      </c>
      <c r="O2149" s="3" t="n">
        <v>486063.17</v>
      </c>
      <c r="P2149" s="3" t="n">
        <v>291025.74</v>
      </c>
      <c r="Q2149" s="3" t="n">
        <v>195037.43</v>
      </c>
      <c r="R2149" s="3" t="n">
        <v>0.4013</v>
      </c>
      <c r="S2149" s="3" t="n">
        <v>0.0289</v>
      </c>
      <c r="T2149" s="3" t="n">
        <v>0.0024</v>
      </c>
    </row>
    <row r="2150" customFormat="false" ht="15" hidden="false" customHeight="true" outlineLevel="0" collapsed="false">
      <c r="A2150" s="3" t="s">
        <v>3164</v>
      </c>
      <c r="B2150" s="3" t="s">
        <v>3165</v>
      </c>
      <c r="C2150" s="3" t="s">
        <v>46</v>
      </c>
      <c r="D2150" s="3" t="s">
        <v>103</v>
      </c>
      <c r="E2150" s="3" t="s">
        <v>24</v>
      </c>
      <c r="F2150" s="3" t="s">
        <v>62</v>
      </c>
      <c r="G2150" s="3" t="s">
        <v>84</v>
      </c>
      <c r="H2150" s="3" t="s">
        <v>64</v>
      </c>
      <c r="I2150" s="3" t="s">
        <v>108</v>
      </c>
      <c r="J2150" s="3" t="n">
        <v>9</v>
      </c>
      <c r="K2150" s="3" t="n">
        <v>7165.19</v>
      </c>
      <c r="L2150" s="3" t="n">
        <v>64486.71</v>
      </c>
      <c r="M2150" s="3" t="n">
        <v>0.0589</v>
      </c>
      <c r="N2150" s="3" t="n">
        <v>3798.27</v>
      </c>
      <c r="O2150" s="3" t="n">
        <v>60688.44</v>
      </c>
      <c r="P2150" s="3" t="n">
        <v>37402.29</v>
      </c>
      <c r="Q2150" s="3" t="n">
        <v>23286.15</v>
      </c>
      <c r="R2150" s="3" t="n">
        <v>0.3837</v>
      </c>
      <c r="S2150" s="3" t="n">
        <v>0.0591</v>
      </c>
      <c r="T2150" s="3" t="n">
        <v>-0.0002</v>
      </c>
    </row>
    <row r="2151" customFormat="false" ht="15" hidden="false" customHeight="true" outlineLevel="0" collapsed="false">
      <c r="A2151" s="3" t="s">
        <v>3166</v>
      </c>
      <c r="B2151" s="3" t="s">
        <v>2706</v>
      </c>
      <c r="C2151" s="3" t="s">
        <v>22</v>
      </c>
      <c r="D2151" s="3" t="s">
        <v>47</v>
      </c>
      <c r="E2151" s="3" t="s">
        <v>48</v>
      </c>
      <c r="F2151" s="3" t="s">
        <v>25</v>
      </c>
      <c r="G2151" s="3" t="s">
        <v>84</v>
      </c>
      <c r="H2151" s="3" t="s">
        <v>64</v>
      </c>
      <c r="I2151" s="3" t="s">
        <v>108</v>
      </c>
      <c r="J2151" s="3" t="n">
        <v>18</v>
      </c>
      <c r="K2151" s="3" t="n">
        <v>3030.65</v>
      </c>
      <c r="L2151" s="3" t="n">
        <v>54551.7</v>
      </c>
      <c r="M2151" s="3" t="n">
        <v>0.1672</v>
      </c>
      <c r="N2151" s="3" t="n">
        <v>9121.04</v>
      </c>
      <c r="O2151" s="3" t="n">
        <v>45430.66</v>
      </c>
      <c r="P2151" s="3" t="n">
        <v>31639.99</v>
      </c>
      <c r="Q2151" s="3" t="n">
        <v>13790.67</v>
      </c>
      <c r="R2151" s="3" t="n">
        <v>0.3036</v>
      </c>
      <c r="S2151" s="3" t="n">
        <v>0.1802</v>
      </c>
      <c r="T2151" s="3" t="n">
        <v>-0.013</v>
      </c>
    </row>
    <row r="2152" customFormat="false" ht="15" hidden="false" customHeight="true" outlineLevel="0" collapsed="false">
      <c r="A2152" s="3" t="s">
        <v>3167</v>
      </c>
      <c r="B2152" s="3" t="s">
        <v>3168</v>
      </c>
      <c r="C2152" s="3" t="s">
        <v>37</v>
      </c>
      <c r="D2152" s="3" t="s">
        <v>23</v>
      </c>
      <c r="E2152" s="3" t="s">
        <v>24</v>
      </c>
      <c r="F2152" s="3" t="s">
        <v>25</v>
      </c>
      <c r="G2152" s="3" t="s">
        <v>84</v>
      </c>
      <c r="H2152" s="3" t="s">
        <v>42</v>
      </c>
      <c r="I2152" s="3" t="s">
        <v>43</v>
      </c>
      <c r="J2152" s="3" t="n">
        <v>5</v>
      </c>
      <c r="K2152" s="3" t="n">
        <v>3763.5</v>
      </c>
      <c r="L2152" s="3" t="n">
        <v>18817.5</v>
      </c>
      <c r="M2152" s="3" t="n">
        <v>0.1461</v>
      </c>
      <c r="N2152" s="3" t="n">
        <v>2749.24</v>
      </c>
      <c r="O2152" s="3" t="n">
        <v>16068.26</v>
      </c>
      <c r="P2152" s="3" t="n">
        <v>10349.62</v>
      </c>
      <c r="Q2152" s="3" t="n">
        <v>5718.64</v>
      </c>
      <c r="R2152" s="3" t="n">
        <v>0.3559</v>
      </c>
      <c r="S2152" s="3" t="n">
        <v>0.1453</v>
      </c>
      <c r="T2152" s="3" t="n">
        <v>0.0008</v>
      </c>
    </row>
    <row r="2153" customFormat="false" ht="15" hidden="false" customHeight="true" outlineLevel="0" collapsed="false">
      <c r="A2153" s="3" t="s">
        <v>3169</v>
      </c>
      <c r="B2153" s="3" t="s">
        <v>1884</v>
      </c>
      <c r="C2153" s="3" t="s">
        <v>126</v>
      </c>
      <c r="D2153" s="3" t="s">
        <v>23</v>
      </c>
      <c r="E2153" s="3" t="s">
        <v>24</v>
      </c>
      <c r="F2153" s="3" t="s">
        <v>25</v>
      </c>
      <c r="G2153" s="3" t="s">
        <v>104</v>
      </c>
      <c r="H2153" s="3" t="s">
        <v>27</v>
      </c>
      <c r="I2153" s="3" t="s">
        <v>28</v>
      </c>
      <c r="J2153" s="3" t="n">
        <v>31</v>
      </c>
      <c r="K2153" s="3" t="n">
        <v>37464.8</v>
      </c>
      <c r="L2153" s="3" t="n">
        <v>1161408.8</v>
      </c>
      <c r="M2153" s="3" t="n">
        <v>0.1522</v>
      </c>
      <c r="N2153" s="3" t="n">
        <v>176766.42</v>
      </c>
      <c r="O2153" s="3" t="n">
        <v>984642.38</v>
      </c>
      <c r="P2153" s="3" t="n">
        <v>720073.46</v>
      </c>
      <c r="Q2153" s="3" t="n">
        <v>264568.92</v>
      </c>
      <c r="R2153" s="3" t="n">
        <v>0.2687</v>
      </c>
      <c r="S2153" s="3" t="n">
        <v>0.1303</v>
      </c>
      <c r="T2153" s="3" t="n">
        <v>0.0219</v>
      </c>
    </row>
    <row r="2154" customFormat="false" ht="15" hidden="false" customHeight="true" outlineLevel="0" collapsed="false">
      <c r="A2154" s="3" t="s">
        <v>3170</v>
      </c>
      <c r="B2154" s="3" t="s">
        <v>672</v>
      </c>
      <c r="C2154" s="3" t="s">
        <v>120</v>
      </c>
      <c r="D2154" s="3" t="s">
        <v>83</v>
      </c>
      <c r="E2154" s="3" t="s">
        <v>48</v>
      </c>
      <c r="F2154" s="3" t="s">
        <v>62</v>
      </c>
      <c r="G2154" s="3" t="s">
        <v>63</v>
      </c>
      <c r="H2154" s="3" t="s">
        <v>64</v>
      </c>
      <c r="I2154" s="3" t="s">
        <v>65</v>
      </c>
      <c r="J2154" s="3" t="n">
        <v>20</v>
      </c>
      <c r="K2154" s="3" t="n">
        <v>3238.23</v>
      </c>
      <c r="L2154" s="3" t="n">
        <v>64764.6</v>
      </c>
      <c r="M2154" s="3" t="n">
        <v>0.0413</v>
      </c>
      <c r="N2154" s="3" t="n">
        <v>2674.78</v>
      </c>
      <c r="O2154" s="3" t="n">
        <v>62089.82</v>
      </c>
      <c r="P2154" s="3" t="n">
        <v>37563.47</v>
      </c>
      <c r="Q2154" s="3" t="n">
        <v>24526.35</v>
      </c>
      <c r="R2154" s="3" t="n">
        <v>0.395</v>
      </c>
      <c r="S2154" s="3" t="n">
        <v>0.0426</v>
      </c>
      <c r="T2154" s="3" t="n">
        <v>-0.0013</v>
      </c>
    </row>
    <row r="2155" customFormat="false" ht="15" hidden="false" customHeight="true" outlineLevel="0" collapsed="false">
      <c r="A2155" s="3" t="s">
        <v>3171</v>
      </c>
      <c r="B2155" s="3" t="s">
        <v>771</v>
      </c>
      <c r="C2155" s="3" t="s">
        <v>156</v>
      </c>
      <c r="D2155" s="3" t="s">
        <v>69</v>
      </c>
      <c r="E2155" s="3" t="s">
        <v>39</v>
      </c>
      <c r="F2155" s="3" t="s">
        <v>70</v>
      </c>
      <c r="G2155" s="3" t="s">
        <v>71</v>
      </c>
      <c r="H2155" s="3" t="s">
        <v>77</v>
      </c>
      <c r="I2155" s="3" t="s">
        <v>85</v>
      </c>
      <c r="J2155" s="3" t="n">
        <v>32</v>
      </c>
      <c r="K2155" s="3" t="n">
        <v>4531.81</v>
      </c>
      <c r="L2155" s="3" t="n">
        <v>145017.92</v>
      </c>
      <c r="M2155" s="3" t="n">
        <v>0.0797</v>
      </c>
      <c r="N2155" s="3" t="n">
        <v>11557.93</v>
      </c>
      <c r="O2155" s="3" t="n">
        <v>133459.99</v>
      </c>
      <c r="P2155" s="3" t="n">
        <v>98612.19</v>
      </c>
      <c r="Q2155" s="3" t="n">
        <v>34847.8</v>
      </c>
      <c r="R2155" s="3" t="n">
        <v>0.2611</v>
      </c>
      <c r="S2155" s="3" t="n">
        <v>0.0685</v>
      </c>
      <c r="T2155" s="3" t="n">
        <v>0.0112</v>
      </c>
    </row>
    <row r="2156" customFormat="false" ht="15" hidden="false" customHeight="true" outlineLevel="0" collapsed="false">
      <c r="A2156" s="3" t="s">
        <v>3172</v>
      </c>
      <c r="B2156" s="3" t="s">
        <v>1645</v>
      </c>
      <c r="C2156" s="3" t="s">
        <v>46</v>
      </c>
      <c r="D2156" s="3" t="s">
        <v>69</v>
      </c>
      <c r="E2156" s="3" t="s">
        <v>39</v>
      </c>
      <c r="F2156" s="3" t="s">
        <v>70</v>
      </c>
      <c r="G2156" s="3" t="s">
        <v>49</v>
      </c>
      <c r="H2156" s="3" t="s">
        <v>77</v>
      </c>
      <c r="I2156" s="3" t="s">
        <v>85</v>
      </c>
      <c r="J2156" s="3" t="n">
        <v>10</v>
      </c>
      <c r="K2156" s="3" t="n">
        <v>2885.11</v>
      </c>
      <c r="L2156" s="3" t="n">
        <v>28851.1</v>
      </c>
      <c r="M2156" s="3" t="n">
        <v>0.0559</v>
      </c>
      <c r="N2156" s="3" t="n">
        <v>1612.78</v>
      </c>
      <c r="O2156" s="3" t="n">
        <v>27238.32</v>
      </c>
      <c r="P2156" s="3" t="n">
        <v>19618.75</v>
      </c>
      <c r="Q2156" s="3" t="n">
        <v>7619.57</v>
      </c>
      <c r="R2156" s="3" t="n">
        <v>0.2797</v>
      </c>
      <c r="S2156" s="3" t="n">
        <v>0.0477</v>
      </c>
      <c r="T2156" s="3" t="n">
        <v>0.0082</v>
      </c>
    </row>
    <row r="2157" customFormat="false" ht="15" hidden="false" customHeight="true" outlineLevel="0" collapsed="false">
      <c r="A2157" s="3" t="s">
        <v>3173</v>
      </c>
      <c r="B2157" s="3" t="s">
        <v>3174</v>
      </c>
      <c r="C2157" s="3" t="s">
        <v>93</v>
      </c>
      <c r="D2157" s="3" t="s">
        <v>97</v>
      </c>
      <c r="E2157" s="3" t="s">
        <v>48</v>
      </c>
      <c r="F2157" s="3" t="s">
        <v>40</v>
      </c>
      <c r="G2157" s="3" t="s">
        <v>71</v>
      </c>
      <c r="H2157" s="3" t="s">
        <v>27</v>
      </c>
      <c r="I2157" s="3" t="s">
        <v>94</v>
      </c>
      <c r="J2157" s="3" t="n">
        <v>47</v>
      </c>
      <c r="K2157" s="3" t="n">
        <v>13967.58</v>
      </c>
      <c r="L2157" s="3" t="n">
        <v>656476.26</v>
      </c>
      <c r="M2157" s="3" t="n">
        <v>0.0616</v>
      </c>
      <c r="N2157" s="3" t="n">
        <v>40438.94</v>
      </c>
      <c r="O2157" s="3" t="n">
        <v>616037.32</v>
      </c>
      <c r="P2157" s="3" t="n">
        <v>407015.28</v>
      </c>
      <c r="Q2157" s="3" t="n">
        <v>209022.04</v>
      </c>
      <c r="R2157" s="3" t="n">
        <v>0.3393</v>
      </c>
      <c r="S2157" s="3" t="n">
        <v>0.0637</v>
      </c>
      <c r="T2157" s="3" t="n">
        <v>-0.0021</v>
      </c>
    </row>
    <row r="2158" customFormat="false" ht="15" hidden="false" customHeight="true" outlineLevel="0" collapsed="false">
      <c r="A2158" s="3" t="s">
        <v>3175</v>
      </c>
      <c r="B2158" s="3" t="s">
        <v>1386</v>
      </c>
      <c r="C2158" s="3" t="s">
        <v>53</v>
      </c>
      <c r="D2158" s="3" t="s">
        <v>103</v>
      </c>
      <c r="E2158" s="3" t="s">
        <v>24</v>
      </c>
      <c r="F2158" s="3" t="s">
        <v>62</v>
      </c>
      <c r="G2158" s="3" t="s">
        <v>55</v>
      </c>
      <c r="H2158" s="3" t="s">
        <v>64</v>
      </c>
      <c r="I2158" s="3" t="s">
        <v>145</v>
      </c>
      <c r="J2158" s="3" t="n">
        <v>43</v>
      </c>
      <c r="K2158" s="3" t="n">
        <v>6170.24</v>
      </c>
      <c r="L2158" s="3" t="n">
        <v>265320.32</v>
      </c>
      <c r="M2158" s="3" t="n">
        <v>0.0641</v>
      </c>
      <c r="N2158" s="3" t="n">
        <v>17007.03</v>
      </c>
      <c r="O2158" s="3" t="n">
        <v>248313.29</v>
      </c>
      <c r="P2158" s="3" t="n">
        <v>153885.79</v>
      </c>
      <c r="Q2158" s="3" t="n">
        <v>94427.5</v>
      </c>
      <c r="R2158" s="3" t="n">
        <v>0.3803</v>
      </c>
      <c r="S2158" s="3" t="n">
        <v>0.0542</v>
      </c>
      <c r="T2158" s="3" t="n">
        <v>0.0099</v>
      </c>
    </row>
    <row r="2159" customFormat="false" ht="15" hidden="false" customHeight="true" outlineLevel="0" collapsed="false">
      <c r="A2159" s="3" t="s">
        <v>3176</v>
      </c>
      <c r="B2159" s="3" t="s">
        <v>292</v>
      </c>
      <c r="C2159" s="3" t="s">
        <v>126</v>
      </c>
      <c r="D2159" s="3" t="s">
        <v>75</v>
      </c>
      <c r="E2159" s="3" t="s">
        <v>39</v>
      </c>
      <c r="F2159" s="3" t="s">
        <v>25</v>
      </c>
      <c r="G2159" s="3" t="s">
        <v>26</v>
      </c>
      <c r="H2159" s="3" t="s">
        <v>77</v>
      </c>
      <c r="I2159" s="3" t="s">
        <v>131</v>
      </c>
      <c r="J2159" s="3" t="n">
        <v>34</v>
      </c>
      <c r="K2159" s="3" t="n">
        <v>4156.55</v>
      </c>
      <c r="L2159" s="3" t="n">
        <v>141322.7</v>
      </c>
      <c r="M2159" s="3" t="n">
        <v>0.1141</v>
      </c>
      <c r="N2159" s="3" t="n">
        <v>16124.92</v>
      </c>
      <c r="O2159" s="3" t="n">
        <v>125197.78</v>
      </c>
      <c r="P2159" s="3" t="n">
        <v>96099.44</v>
      </c>
      <c r="Q2159" s="3" t="n">
        <v>29098.34</v>
      </c>
      <c r="R2159" s="3" t="n">
        <v>0.2324</v>
      </c>
      <c r="S2159" s="3" t="n">
        <v>0.1037</v>
      </c>
      <c r="T2159" s="3" t="n">
        <v>0.0104</v>
      </c>
    </row>
    <row r="2160" customFormat="false" ht="15" hidden="false" customHeight="true" outlineLevel="0" collapsed="false">
      <c r="A2160" s="3" t="s">
        <v>3177</v>
      </c>
      <c r="B2160" s="3" t="s">
        <v>771</v>
      </c>
      <c r="C2160" s="3" t="s">
        <v>156</v>
      </c>
      <c r="D2160" s="3" t="s">
        <v>83</v>
      </c>
      <c r="E2160" s="3" t="s">
        <v>48</v>
      </c>
      <c r="F2160" s="3" t="s">
        <v>62</v>
      </c>
      <c r="G2160" s="3" t="s">
        <v>34</v>
      </c>
      <c r="H2160" s="3" t="s">
        <v>64</v>
      </c>
      <c r="I2160" s="3" t="s">
        <v>145</v>
      </c>
      <c r="J2160" s="3" t="n">
        <v>28</v>
      </c>
      <c r="K2160" s="3" t="n">
        <v>4162.82</v>
      </c>
      <c r="L2160" s="3" t="n">
        <v>116558.96</v>
      </c>
      <c r="M2160" s="3" t="n">
        <v>0.0916</v>
      </c>
      <c r="N2160" s="3" t="n">
        <v>10676.8</v>
      </c>
      <c r="O2160" s="3" t="n">
        <v>105882.16</v>
      </c>
      <c r="P2160" s="3" t="n">
        <v>67604.2</v>
      </c>
      <c r="Q2160" s="3" t="n">
        <v>38277.96</v>
      </c>
      <c r="R2160" s="3" t="n">
        <v>0.3615</v>
      </c>
      <c r="S2160" s="3" t="n">
        <v>0.0862</v>
      </c>
      <c r="T2160" s="3" t="n">
        <v>0.0054</v>
      </c>
    </row>
    <row r="2161" customFormat="false" ht="15" hidden="false" customHeight="true" outlineLevel="0" collapsed="false">
      <c r="A2161" s="3" t="s">
        <v>3178</v>
      </c>
      <c r="B2161" s="3" t="s">
        <v>2428</v>
      </c>
      <c r="C2161" s="3" t="s">
        <v>68</v>
      </c>
      <c r="D2161" s="3" t="s">
        <v>61</v>
      </c>
      <c r="E2161" s="3" t="s">
        <v>33</v>
      </c>
      <c r="F2161" s="3" t="s">
        <v>62</v>
      </c>
      <c r="G2161" s="3" t="s">
        <v>84</v>
      </c>
      <c r="H2161" s="3" t="s">
        <v>27</v>
      </c>
      <c r="I2161" s="3" t="s">
        <v>94</v>
      </c>
      <c r="J2161" s="3" t="n">
        <v>12</v>
      </c>
      <c r="K2161" s="3" t="n">
        <v>9457.97</v>
      </c>
      <c r="L2161" s="3" t="n">
        <v>113495.64</v>
      </c>
      <c r="M2161" s="3" t="n">
        <v>0.0495</v>
      </c>
      <c r="N2161" s="3" t="n">
        <v>5618.03</v>
      </c>
      <c r="O2161" s="3" t="n">
        <v>107877.61</v>
      </c>
      <c r="P2161" s="3" t="n">
        <v>70367.3</v>
      </c>
      <c r="Q2161" s="3" t="n">
        <v>37510.31</v>
      </c>
      <c r="R2161" s="3" t="n">
        <v>0.3477</v>
      </c>
      <c r="S2161" s="3" t="n">
        <v>0.0513</v>
      </c>
      <c r="T2161" s="3" t="n">
        <v>-0.0018</v>
      </c>
    </row>
    <row r="2162" customFormat="false" ht="15" hidden="false" customHeight="true" outlineLevel="0" collapsed="false">
      <c r="A2162" s="3" t="s">
        <v>3179</v>
      </c>
      <c r="B2162" s="3" t="s">
        <v>2621</v>
      </c>
      <c r="C2162" s="3" t="s">
        <v>46</v>
      </c>
      <c r="D2162" s="3" t="s">
        <v>61</v>
      </c>
      <c r="E2162" s="3" t="s">
        <v>33</v>
      </c>
      <c r="F2162" s="3" t="s">
        <v>62</v>
      </c>
      <c r="G2162" s="3" t="s">
        <v>34</v>
      </c>
      <c r="H2162" s="3" t="s">
        <v>56</v>
      </c>
      <c r="I2162" s="3" t="s">
        <v>188</v>
      </c>
      <c r="J2162" s="3" t="n">
        <v>7</v>
      </c>
      <c r="K2162" s="3" t="n">
        <v>8098.13</v>
      </c>
      <c r="L2162" s="3" t="n">
        <v>56686.91</v>
      </c>
      <c r="M2162" s="3" t="n">
        <v>0.0557</v>
      </c>
      <c r="N2162" s="3" t="n">
        <v>3157.46</v>
      </c>
      <c r="O2162" s="3" t="n">
        <v>53529.45</v>
      </c>
      <c r="P2162" s="3" t="n">
        <v>34012.15</v>
      </c>
      <c r="Q2162" s="3" t="n">
        <v>19517.3</v>
      </c>
      <c r="R2162" s="3" t="n">
        <v>0.3646</v>
      </c>
      <c r="S2162" s="3" t="n">
        <v>0.0462</v>
      </c>
      <c r="T2162" s="3" t="n">
        <v>0.0095</v>
      </c>
    </row>
    <row r="2163" customFormat="false" ht="15" hidden="false" customHeight="true" outlineLevel="0" collapsed="false">
      <c r="A2163" s="3" t="s">
        <v>3180</v>
      </c>
      <c r="B2163" s="3" t="s">
        <v>2019</v>
      </c>
      <c r="C2163" s="3" t="s">
        <v>68</v>
      </c>
      <c r="D2163" s="3" t="s">
        <v>23</v>
      </c>
      <c r="E2163" s="3" t="s">
        <v>24</v>
      </c>
      <c r="F2163" s="3" t="s">
        <v>25</v>
      </c>
      <c r="G2163" s="3" t="s">
        <v>100</v>
      </c>
      <c r="H2163" s="3" t="s">
        <v>56</v>
      </c>
      <c r="I2163" s="3" t="s">
        <v>188</v>
      </c>
      <c r="J2163" s="3" t="n">
        <v>41</v>
      </c>
      <c r="K2163" s="3" t="n">
        <v>12844.33</v>
      </c>
      <c r="L2163" s="3" t="n">
        <v>526617.53</v>
      </c>
      <c r="M2163" s="3" t="n">
        <v>0.1746</v>
      </c>
      <c r="N2163" s="3" t="n">
        <v>91947.42</v>
      </c>
      <c r="O2163" s="3" t="n">
        <v>434670.11</v>
      </c>
      <c r="P2163" s="3" t="n">
        <v>315970.52</v>
      </c>
      <c r="Q2163" s="3" t="n">
        <v>118699.59</v>
      </c>
      <c r="R2163" s="3" t="n">
        <v>0.2731</v>
      </c>
      <c r="S2163" s="3" t="n">
        <v>0.1746</v>
      </c>
      <c r="T2163" s="3" t="n">
        <v>0</v>
      </c>
    </row>
    <row r="2164" customFormat="false" ht="15" hidden="false" customHeight="true" outlineLevel="0" collapsed="false">
      <c r="A2164" s="3" t="s">
        <v>3181</v>
      </c>
      <c r="B2164" s="3" t="s">
        <v>74</v>
      </c>
      <c r="C2164" s="3" t="s">
        <v>37</v>
      </c>
      <c r="D2164" s="3" t="s">
        <v>23</v>
      </c>
      <c r="E2164" s="3" t="s">
        <v>24</v>
      </c>
      <c r="F2164" s="3" t="s">
        <v>25</v>
      </c>
      <c r="G2164" s="3" t="s">
        <v>76</v>
      </c>
      <c r="H2164" s="3" t="s">
        <v>77</v>
      </c>
      <c r="I2164" s="3" t="s">
        <v>85</v>
      </c>
      <c r="J2164" s="3" t="n">
        <v>17</v>
      </c>
      <c r="K2164" s="3" t="n">
        <v>3763.84</v>
      </c>
      <c r="L2164" s="3" t="n">
        <v>63985.28</v>
      </c>
      <c r="M2164" s="3" t="n">
        <v>0.1472</v>
      </c>
      <c r="N2164" s="3" t="n">
        <v>9418.63</v>
      </c>
      <c r="O2164" s="3" t="n">
        <v>54566.65</v>
      </c>
      <c r="P2164" s="3" t="n">
        <v>43509.99</v>
      </c>
      <c r="Q2164" s="3" t="n">
        <v>11056.66</v>
      </c>
      <c r="R2164" s="3" t="n">
        <v>0.2026</v>
      </c>
      <c r="S2164" s="3" t="n">
        <v>0.1373</v>
      </c>
      <c r="T2164" s="3" t="n">
        <v>0.0099</v>
      </c>
    </row>
    <row r="2165" customFormat="false" ht="15" hidden="false" customHeight="true" outlineLevel="0" collapsed="false">
      <c r="A2165" s="3" t="s">
        <v>3182</v>
      </c>
      <c r="B2165" s="3" t="s">
        <v>1206</v>
      </c>
      <c r="C2165" s="3" t="s">
        <v>60</v>
      </c>
      <c r="D2165" s="3" t="s">
        <v>54</v>
      </c>
      <c r="E2165" s="3" t="s">
        <v>24</v>
      </c>
      <c r="F2165" s="3" t="s">
        <v>40</v>
      </c>
      <c r="G2165" s="3" t="s">
        <v>34</v>
      </c>
      <c r="H2165" s="3" t="s">
        <v>64</v>
      </c>
      <c r="I2165" s="3" t="s">
        <v>108</v>
      </c>
      <c r="J2165" s="3" t="n">
        <v>14</v>
      </c>
      <c r="K2165" s="3" t="n">
        <v>11817.1</v>
      </c>
      <c r="L2165" s="3" t="n">
        <v>165439.4</v>
      </c>
      <c r="M2165" s="3" t="n">
        <v>0.1384</v>
      </c>
      <c r="N2165" s="3" t="n">
        <v>22896.81</v>
      </c>
      <c r="O2165" s="3" t="n">
        <v>142542.59</v>
      </c>
      <c r="P2165" s="3" t="n">
        <v>95954.85</v>
      </c>
      <c r="Q2165" s="3" t="n">
        <v>46587.74</v>
      </c>
      <c r="R2165" s="3" t="n">
        <v>0.3268</v>
      </c>
      <c r="S2165" s="3" t="n">
        <v>0.1503</v>
      </c>
      <c r="T2165" s="3" t="n">
        <v>-0.0119</v>
      </c>
    </row>
    <row r="2166" customFormat="false" ht="15" hidden="false" customHeight="true" outlineLevel="0" collapsed="false">
      <c r="A2166" s="3" t="s">
        <v>3183</v>
      </c>
      <c r="B2166" s="3" t="s">
        <v>596</v>
      </c>
      <c r="C2166" s="3" t="s">
        <v>60</v>
      </c>
      <c r="D2166" s="3" t="s">
        <v>97</v>
      </c>
      <c r="E2166" s="3" t="s">
        <v>48</v>
      </c>
      <c r="F2166" s="3" t="s">
        <v>40</v>
      </c>
      <c r="G2166" s="3" t="s">
        <v>71</v>
      </c>
      <c r="H2166" s="3" t="s">
        <v>56</v>
      </c>
      <c r="I2166" s="3" t="s">
        <v>188</v>
      </c>
      <c r="J2166" s="3" t="n">
        <v>39</v>
      </c>
      <c r="K2166" s="3" t="n">
        <v>3698.09</v>
      </c>
      <c r="L2166" s="3" t="n">
        <v>144225.51</v>
      </c>
      <c r="M2166" s="3" t="n">
        <v>0.0446</v>
      </c>
      <c r="N2166" s="3" t="n">
        <v>6432.46</v>
      </c>
      <c r="O2166" s="3" t="n">
        <v>137793.05</v>
      </c>
      <c r="P2166" s="3" t="n">
        <v>86535.31</v>
      </c>
      <c r="Q2166" s="3" t="n">
        <v>51257.74</v>
      </c>
      <c r="R2166" s="3" t="n">
        <v>0.372</v>
      </c>
      <c r="S2166" s="3" t="n">
        <v>0.0403</v>
      </c>
      <c r="T2166" s="3" t="n">
        <v>0.0043</v>
      </c>
    </row>
    <row r="2167" customFormat="false" ht="15" hidden="false" customHeight="true" outlineLevel="0" collapsed="false">
      <c r="A2167" s="3" t="s">
        <v>3184</v>
      </c>
      <c r="B2167" s="3" t="s">
        <v>1150</v>
      </c>
      <c r="C2167" s="3" t="s">
        <v>37</v>
      </c>
      <c r="D2167" s="3" t="s">
        <v>23</v>
      </c>
      <c r="E2167" s="3" t="s">
        <v>24</v>
      </c>
      <c r="F2167" s="3" t="s">
        <v>25</v>
      </c>
      <c r="G2167" s="3" t="s">
        <v>26</v>
      </c>
      <c r="H2167" s="3" t="s">
        <v>56</v>
      </c>
      <c r="I2167" s="3" t="s">
        <v>188</v>
      </c>
      <c r="J2167" s="3" t="n">
        <v>44</v>
      </c>
      <c r="K2167" s="3" t="n">
        <v>15050.99</v>
      </c>
      <c r="L2167" s="3" t="n">
        <v>662243.56</v>
      </c>
      <c r="M2167" s="3" t="n">
        <v>0.1163</v>
      </c>
      <c r="N2167" s="3" t="n">
        <v>77018.93</v>
      </c>
      <c r="O2167" s="3" t="n">
        <v>585224.63</v>
      </c>
      <c r="P2167" s="3" t="n">
        <v>397346.14</v>
      </c>
      <c r="Q2167" s="3" t="n">
        <v>187878.49</v>
      </c>
      <c r="R2167" s="3" t="n">
        <v>0.321</v>
      </c>
      <c r="S2167" s="3" t="n">
        <v>0.1072</v>
      </c>
      <c r="T2167" s="3" t="n">
        <v>0.0091</v>
      </c>
    </row>
    <row r="2168" customFormat="false" ht="15" hidden="false" customHeight="true" outlineLevel="0" collapsed="false">
      <c r="A2168" s="3" t="s">
        <v>3185</v>
      </c>
      <c r="B2168" s="3" t="s">
        <v>561</v>
      </c>
      <c r="C2168" s="3" t="s">
        <v>93</v>
      </c>
      <c r="D2168" s="3" t="s">
        <v>47</v>
      </c>
      <c r="E2168" s="3" t="s">
        <v>48</v>
      </c>
      <c r="F2168" s="3" t="s">
        <v>25</v>
      </c>
      <c r="G2168" s="3" t="s">
        <v>34</v>
      </c>
      <c r="H2168" s="3" t="s">
        <v>64</v>
      </c>
      <c r="I2168" s="3" t="s">
        <v>145</v>
      </c>
      <c r="J2168" s="3" t="n">
        <v>4</v>
      </c>
      <c r="K2168" s="3" t="n">
        <v>6344.32</v>
      </c>
      <c r="L2168" s="3" t="n">
        <v>25377.28</v>
      </c>
      <c r="M2168" s="3" t="n">
        <v>0.1903</v>
      </c>
      <c r="N2168" s="3" t="n">
        <v>4829.3</v>
      </c>
      <c r="O2168" s="3" t="n">
        <v>20547.98</v>
      </c>
      <c r="P2168" s="3" t="n">
        <v>14718.82</v>
      </c>
      <c r="Q2168" s="3" t="n">
        <v>5829.16</v>
      </c>
      <c r="R2168" s="3" t="n">
        <v>0.2837</v>
      </c>
      <c r="S2168" s="3" t="n">
        <v>0.2016</v>
      </c>
      <c r="T2168" s="3" t="n">
        <v>-0.0113</v>
      </c>
    </row>
    <row r="2169" customFormat="false" ht="15" hidden="false" customHeight="true" outlineLevel="0" collapsed="false">
      <c r="A2169" s="3" t="s">
        <v>3186</v>
      </c>
      <c r="B2169" s="3" t="s">
        <v>3187</v>
      </c>
      <c r="C2169" s="3" t="s">
        <v>68</v>
      </c>
      <c r="D2169" s="3" t="s">
        <v>69</v>
      </c>
      <c r="E2169" s="3" t="s">
        <v>39</v>
      </c>
      <c r="F2169" s="3" t="s">
        <v>70</v>
      </c>
      <c r="G2169" s="3" t="s">
        <v>100</v>
      </c>
      <c r="H2169" s="3" t="s">
        <v>27</v>
      </c>
      <c r="I2169" s="3" t="s">
        <v>28</v>
      </c>
      <c r="J2169" s="3" t="n">
        <v>26</v>
      </c>
      <c r="K2169" s="3" t="n">
        <v>9773.5</v>
      </c>
      <c r="L2169" s="3" t="n">
        <v>254111</v>
      </c>
      <c r="M2169" s="3" t="n">
        <v>0.0642</v>
      </c>
      <c r="N2169" s="3" t="n">
        <v>16313.93</v>
      </c>
      <c r="O2169" s="3" t="n">
        <v>237797.07</v>
      </c>
      <c r="P2169" s="3" t="n">
        <v>157548.82</v>
      </c>
      <c r="Q2169" s="3" t="n">
        <v>80248.25</v>
      </c>
      <c r="R2169" s="3" t="n">
        <v>0.3375</v>
      </c>
      <c r="S2169" s="3" t="n">
        <v>0.0567</v>
      </c>
      <c r="T2169" s="3" t="n">
        <v>0.0075</v>
      </c>
    </row>
    <row r="2170" customFormat="false" ht="15" hidden="false" customHeight="true" outlineLevel="0" collapsed="false">
      <c r="A2170" s="3" t="s">
        <v>3188</v>
      </c>
      <c r="B2170" s="3" t="s">
        <v>498</v>
      </c>
      <c r="C2170" s="3" t="s">
        <v>120</v>
      </c>
      <c r="D2170" s="3" t="s">
        <v>69</v>
      </c>
      <c r="E2170" s="3" t="s">
        <v>39</v>
      </c>
      <c r="F2170" s="3" t="s">
        <v>70</v>
      </c>
      <c r="G2170" s="3" t="s">
        <v>71</v>
      </c>
      <c r="H2170" s="3" t="s">
        <v>27</v>
      </c>
      <c r="I2170" s="3" t="s">
        <v>173</v>
      </c>
      <c r="J2170" s="3" t="n">
        <v>36</v>
      </c>
      <c r="K2170" s="3" t="n">
        <v>18088.17</v>
      </c>
      <c r="L2170" s="3" t="n">
        <v>651174.12</v>
      </c>
      <c r="M2170" s="3" t="n">
        <v>0.0775</v>
      </c>
      <c r="N2170" s="3" t="n">
        <v>50465.99</v>
      </c>
      <c r="O2170" s="3" t="n">
        <v>600708.13</v>
      </c>
      <c r="P2170" s="3" t="n">
        <v>403727.95</v>
      </c>
      <c r="Q2170" s="3" t="n">
        <v>196980.18</v>
      </c>
      <c r="R2170" s="3" t="n">
        <v>0.3279</v>
      </c>
      <c r="S2170" s="3" t="n">
        <v>0.0772</v>
      </c>
      <c r="T2170" s="3" t="n">
        <v>0.0003</v>
      </c>
    </row>
    <row r="2171" customFormat="false" ht="15" hidden="false" customHeight="true" outlineLevel="0" collapsed="false">
      <c r="A2171" s="3" t="s">
        <v>3189</v>
      </c>
      <c r="B2171" s="3" t="s">
        <v>1889</v>
      </c>
      <c r="C2171" s="3" t="s">
        <v>31</v>
      </c>
      <c r="D2171" s="3" t="s">
        <v>103</v>
      </c>
      <c r="E2171" s="3" t="s">
        <v>24</v>
      </c>
      <c r="F2171" s="3" t="s">
        <v>62</v>
      </c>
      <c r="G2171" s="3" t="s">
        <v>71</v>
      </c>
      <c r="H2171" s="3" t="s">
        <v>64</v>
      </c>
      <c r="I2171" s="3" t="s">
        <v>65</v>
      </c>
      <c r="J2171" s="3" t="n">
        <v>50</v>
      </c>
      <c r="K2171" s="3" t="n">
        <v>3645.63</v>
      </c>
      <c r="L2171" s="3" t="n">
        <v>182281.5</v>
      </c>
      <c r="M2171" s="3" t="n">
        <v>0.0493</v>
      </c>
      <c r="N2171" s="3" t="n">
        <v>8986.48</v>
      </c>
      <c r="O2171" s="3" t="n">
        <v>173295.02</v>
      </c>
      <c r="P2171" s="3" t="n">
        <v>105723.27</v>
      </c>
      <c r="Q2171" s="3" t="n">
        <v>67571.75</v>
      </c>
      <c r="R2171" s="3" t="n">
        <v>0.3899</v>
      </c>
      <c r="S2171" s="3" t="n">
        <v>0.0492</v>
      </c>
      <c r="T2171" s="3" t="n">
        <v>0.0001</v>
      </c>
    </row>
    <row r="2172" customFormat="false" ht="15" hidden="false" customHeight="true" outlineLevel="0" collapsed="false">
      <c r="A2172" s="3" t="s">
        <v>3190</v>
      </c>
      <c r="B2172" s="3" t="s">
        <v>477</v>
      </c>
      <c r="C2172" s="3" t="s">
        <v>46</v>
      </c>
      <c r="D2172" s="3" t="s">
        <v>107</v>
      </c>
      <c r="E2172" s="3" t="s">
        <v>33</v>
      </c>
      <c r="F2172" s="3" t="s">
        <v>70</v>
      </c>
      <c r="G2172" s="3" t="s">
        <v>63</v>
      </c>
      <c r="H2172" s="3" t="s">
        <v>42</v>
      </c>
      <c r="I2172" s="3" t="s">
        <v>72</v>
      </c>
      <c r="J2172" s="3" t="n">
        <v>47</v>
      </c>
      <c r="K2172" s="3" t="n">
        <v>1302.34</v>
      </c>
      <c r="L2172" s="3" t="n">
        <v>61209.98</v>
      </c>
      <c r="M2172" s="3" t="n">
        <v>0.0537</v>
      </c>
      <c r="N2172" s="3" t="n">
        <v>3286.98</v>
      </c>
      <c r="O2172" s="3" t="n">
        <v>57923</v>
      </c>
      <c r="P2172" s="3" t="n">
        <v>33665.49</v>
      </c>
      <c r="Q2172" s="3" t="n">
        <v>24257.51</v>
      </c>
      <c r="R2172" s="3" t="n">
        <v>0.4188</v>
      </c>
      <c r="S2172" s="3" t="n">
        <v>0.0492</v>
      </c>
      <c r="T2172" s="3" t="n">
        <v>0.0045</v>
      </c>
    </row>
    <row r="2173" customFormat="false" ht="15" hidden="false" customHeight="true" outlineLevel="0" collapsed="false">
      <c r="A2173" s="3" t="s">
        <v>3191</v>
      </c>
      <c r="B2173" s="3" t="s">
        <v>1299</v>
      </c>
      <c r="C2173" s="3" t="s">
        <v>22</v>
      </c>
      <c r="D2173" s="3" t="s">
        <v>103</v>
      </c>
      <c r="E2173" s="3" t="s">
        <v>24</v>
      </c>
      <c r="F2173" s="3" t="s">
        <v>62</v>
      </c>
      <c r="G2173" s="3" t="s">
        <v>104</v>
      </c>
      <c r="H2173" s="3" t="s">
        <v>42</v>
      </c>
      <c r="I2173" s="3" t="s">
        <v>134</v>
      </c>
      <c r="J2173" s="3" t="n">
        <v>17</v>
      </c>
      <c r="K2173" s="3" t="n">
        <v>1765.36</v>
      </c>
      <c r="L2173" s="3" t="n">
        <v>30011.12</v>
      </c>
      <c r="M2173" s="3" t="n">
        <v>0.1104</v>
      </c>
      <c r="N2173" s="3" t="n">
        <v>3313.23</v>
      </c>
      <c r="O2173" s="3" t="n">
        <v>26697.89</v>
      </c>
      <c r="P2173" s="3" t="n">
        <v>16506.12</v>
      </c>
      <c r="Q2173" s="3" t="n">
        <v>10191.77</v>
      </c>
      <c r="R2173" s="3" t="n">
        <v>0.3817</v>
      </c>
      <c r="S2173" s="3" t="n">
        <v>0.1005</v>
      </c>
      <c r="T2173" s="3" t="n">
        <v>0.0099</v>
      </c>
    </row>
    <row r="2174" customFormat="false" ht="15" hidden="false" customHeight="true" outlineLevel="0" collapsed="false">
      <c r="A2174" s="3" t="s">
        <v>3192</v>
      </c>
      <c r="B2174" s="3" t="s">
        <v>3074</v>
      </c>
      <c r="C2174" s="3" t="s">
        <v>120</v>
      </c>
      <c r="D2174" s="3" t="s">
        <v>47</v>
      </c>
      <c r="E2174" s="3" t="s">
        <v>48</v>
      </c>
      <c r="F2174" s="3" t="s">
        <v>25</v>
      </c>
      <c r="G2174" s="3" t="s">
        <v>116</v>
      </c>
      <c r="H2174" s="3" t="s">
        <v>42</v>
      </c>
      <c r="I2174" s="3" t="s">
        <v>43</v>
      </c>
      <c r="J2174" s="3" t="n">
        <v>44</v>
      </c>
      <c r="K2174" s="3" t="n">
        <v>2481.79</v>
      </c>
      <c r="L2174" s="3" t="n">
        <v>109198.76</v>
      </c>
      <c r="M2174" s="3" t="n">
        <v>0.142</v>
      </c>
      <c r="N2174" s="3" t="n">
        <v>15506.22</v>
      </c>
      <c r="O2174" s="3" t="n">
        <v>93692.54</v>
      </c>
      <c r="P2174" s="3" t="n">
        <v>60059.32</v>
      </c>
      <c r="Q2174" s="3" t="n">
        <v>33633.22</v>
      </c>
      <c r="R2174" s="3" t="n">
        <v>0.359</v>
      </c>
      <c r="S2174" s="3" t="n">
        <v>0.1382</v>
      </c>
      <c r="T2174" s="3" t="n">
        <v>0.0038</v>
      </c>
    </row>
    <row r="2175" customFormat="false" ht="15" hidden="false" customHeight="true" outlineLevel="0" collapsed="false">
      <c r="A2175" s="3" t="s">
        <v>3193</v>
      </c>
      <c r="B2175" s="3" t="s">
        <v>3194</v>
      </c>
      <c r="C2175" s="3" t="s">
        <v>22</v>
      </c>
      <c r="D2175" s="3" t="s">
        <v>47</v>
      </c>
      <c r="E2175" s="3" t="s">
        <v>48</v>
      </c>
      <c r="F2175" s="3" t="s">
        <v>25</v>
      </c>
      <c r="G2175" s="3" t="s">
        <v>55</v>
      </c>
      <c r="H2175" s="3" t="s">
        <v>56</v>
      </c>
      <c r="I2175" s="3" t="s">
        <v>188</v>
      </c>
      <c r="J2175" s="3" t="n">
        <v>36</v>
      </c>
      <c r="K2175" s="3" t="n">
        <v>7136.65</v>
      </c>
      <c r="L2175" s="3" t="n">
        <v>256919.4</v>
      </c>
      <c r="M2175" s="3" t="n">
        <v>0.1592</v>
      </c>
      <c r="N2175" s="3" t="n">
        <v>40901.57</v>
      </c>
      <c r="O2175" s="3" t="n">
        <v>216017.83</v>
      </c>
      <c r="P2175" s="3" t="n">
        <v>154151.64</v>
      </c>
      <c r="Q2175" s="3" t="n">
        <v>61866.19</v>
      </c>
      <c r="R2175" s="3" t="n">
        <v>0.2864</v>
      </c>
      <c r="S2175" s="3" t="n">
        <v>0.1502</v>
      </c>
      <c r="T2175" s="3" t="n">
        <v>0.009</v>
      </c>
    </row>
    <row r="2176" customFormat="false" ht="15" hidden="false" customHeight="true" outlineLevel="0" collapsed="false">
      <c r="A2176" s="3" t="s">
        <v>3195</v>
      </c>
      <c r="B2176" s="3" t="s">
        <v>3196</v>
      </c>
      <c r="C2176" s="3" t="s">
        <v>68</v>
      </c>
      <c r="D2176" s="3" t="s">
        <v>32</v>
      </c>
      <c r="E2176" s="3" t="s">
        <v>33</v>
      </c>
      <c r="F2176" s="3" t="s">
        <v>25</v>
      </c>
      <c r="G2176" s="3" t="s">
        <v>76</v>
      </c>
      <c r="H2176" s="3" t="s">
        <v>64</v>
      </c>
      <c r="I2176" s="3" t="s">
        <v>65</v>
      </c>
      <c r="J2176" s="3" t="n">
        <v>11</v>
      </c>
      <c r="K2176" s="3" t="n">
        <v>4518.55</v>
      </c>
      <c r="L2176" s="3" t="n">
        <v>49704.05</v>
      </c>
      <c r="M2176" s="3" t="n">
        <v>0.109</v>
      </c>
      <c r="N2176" s="3" t="n">
        <v>5417.74</v>
      </c>
      <c r="O2176" s="3" t="n">
        <v>44286.31</v>
      </c>
      <c r="P2176" s="3" t="n">
        <v>28828.35</v>
      </c>
      <c r="Q2176" s="3" t="n">
        <v>15457.96</v>
      </c>
      <c r="R2176" s="3" t="n">
        <v>0.349</v>
      </c>
      <c r="S2176" s="3" t="n">
        <v>0.0904</v>
      </c>
      <c r="T2176" s="3" t="n">
        <v>0.0186</v>
      </c>
    </row>
    <row r="2177" customFormat="false" ht="15" hidden="false" customHeight="true" outlineLevel="0" collapsed="false">
      <c r="A2177" s="3" t="s">
        <v>3197</v>
      </c>
      <c r="B2177" s="3" t="s">
        <v>3198</v>
      </c>
      <c r="C2177" s="3" t="s">
        <v>31</v>
      </c>
      <c r="D2177" s="3" t="s">
        <v>97</v>
      </c>
      <c r="E2177" s="3" t="s">
        <v>48</v>
      </c>
      <c r="F2177" s="3" t="s">
        <v>40</v>
      </c>
      <c r="G2177" s="3" t="s">
        <v>76</v>
      </c>
      <c r="H2177" s="3" t="s">
        <v>27</v>
      </c>
      <c r="I2177" s="3" t="s">
        <v>117</v>
      </c>
      <c r="J2177" s="3" t="n">
        <v>13</v>
      </c>
      <c r="K2177" s="3" t="n">
        <v>10345.33</v>
      </c>
      <c r="L2177" s="3" t="n">
        <v>134489.29</v>
      </c>
      <c r="M2177" s="3" t="n">
        <v>0.0586</v>
      </c>
      <c r="N2177" s="3" t="n">
        <v>7881.07</v>
      </c>
      <c r="O2177" s="3" t="n">
        <v>126608.22</v>
      </c>
      <c r="P2177" s="3" t="n">
        <v>83383.36</v>
      </c>
      <c r="Q2177" s="3" t="n">
        <v>43224.86</v>
      </c>
      <c r="R2177" s="3" t="n">
        <v>0.3414</v>
      </c>
      <c r="S2177" s="3" t="n">
        <v>0.0628</v>
      </c>
      <c r="T2177" s="3" t="n">
        <v>-0.0042</v>
      </c>
    </row>
    <row r="2178" customFormat="false" ht="15" hidden="false" customHeight="true" outlineLevel="0" collapsed="false">
      <c r="A2178" s="3" t="s">
        <v>3199</v>
      </c>
      <c r="B2178" s="3" t="s">
        <v>3200</v>
      </c>
      <c r="C2178" s="3" t="s">
        <v>68</v>
      </c>
      <c r="D2178" s="3" t="s">
        <v>38</v>
      </c>
      <c r="E2178" s="3" t="s">
        <v>39</v>
      </c>
      <c r="F2178" s="3" t="s">
        <v>40</v>
      </c>
      <c r="G2178" s="3" t="s">
        <v>100</v>
      </c>
      <c r="H2178" s="3" t="s">
        <v>77</v>
      </c>
      <c r="I2178" s="3" t="s">
        <v>78</v>
      </c>
      <c r="J2178" s="3" t="n">
        <v>30</v>
      </c>
      <c r="K2178" s="3" t="n">
        <v>3919.34</v>
      </c>
      <c r="L2178" s="3" t="n">
        <v>117580.2</v>
      </c>
      <c r="M2178" s="3" t="n">
        <v>0.0503</v>
      </c>
      <c r="N2178" s="3" t="n">
        <v>5914.28</v>
      </c>
      <c r="O2178" s="3" t="n">
        <v>111665.92</v>
      </c>
      <c r="P2178" s="3" t="n">
        <v>79954.54</v>
      </c>
      <c r="Q2178" s="3" t="n">
        <v>31711.38</v>
      </c>
      <c r="R2178" s="3" t="n">
        <v>0.284</v>
      </c>
      <c r="S2178" s="3" t="n">
        <v>0.0474</v>
      </c>
      <c r="T2178" s="3" t="n">
        <v>0.0029</v>
      </c>
    </row>
    <row r="2179" customFormat="false" ht="15" hidden="false" customHeight="true" outlineLevel="0" collapsed="false">
      <c r="A2179" s="3" t="s">
        <v>3201</v>
      </c>
      <c r="B2179" s="3" t="s">
        <v>237</v>
      </c>
      <c r="C2179" s="3" t="s">
        <v>113</v>
      </c>
      <c r="D2179" s="3" t="s">
        <v>61</v>
      </c>
      <c r="E2179" s="3" t="s">
        <v>33</v>
      </c>
      <c r="F2179" s="3" t="s">
        <v>62</v>
      </c>
      <c r="G2179" s="3" t="s">
        <v>84</v>
      </c>
      <c r="H2179" s="3" t="s">
        <v>64</v>
      </c>
      <c r="I2179" s="3" t="s">
        <v>90</v>
      </c>
      <c r="J2179" s="3" t="n">
        <v>15</v>
      </c>
      <c r="K2179" s="3" t="n">
        <v>11038.77</v>
      </c>
      <c r="L2179" s="3" t="n">
        <v>165581.55</v>
      </c>
      <c r="M2179" s="3" t="n">
        <v>0.034</v>
      </c>
      <c r="N2179" s="3" t="n">
        <v>5629.77</v>
      </c>
      <c r="O2179" s="3" t="n">
        <v>159951.78</v>
      </c>
      <c r="P2179" s="3" t="n">
        <v>96037.3</v>
      </c>
      <c r="Q2179" s="3" t="n">
        <v>63914.48</v>
      </c>
      <c r="R2179" s="3" t="n">
        <v>0.3996</v>
      </c>
      <c r="S2179" s="3" t="n">
        <v>0.0285</v>
      </c>
      <c r="T2179" s="3" t="n">
        <v>0.0055</v>
      </c>
    </row>
    <row r="2180" customFormat="false" ht="15" hidden="false" customHeight="true" outlineLevel="0" collapsed="false">
      <c r="A2180" s="3" t="s">
        <v>3202</v>
      </c>
      <c r="B2180" s="3" t="s">
        <v>3203</v>
      </c>
      <c r="C2180" s="3" t="s">
        <v>93</v>
      </c>
      <c r="D2180" s="3" t="s">
        <v>23</v>
      </c>
      <c r="E2180" s="3" t="s">
        <v>24</v>
      </c>
      <c r="F2180" s="3" t="s">
        <v>25</v>
      </c>
      <c r="G2180" s="3" t="s">
        <v>104</v>
      </c>
      <c r="H2180" s="3" t="s">
        <v>77</v>
      </c>
      <c r="I2180" s="3" t="s">
        <v>85</v>
      </c>
      <c r="J2180" s="3" t="n">
        <v>22</v>
      </c>
      <c r="K2180" s="3" t="n">
        <v>3409.83</v>
      </c>
      <c r="L2180" s="3" t="n">
        <v>75016.26</v>
      </c>
      <c r="M2180" s="3" t="n">
        <v>0.2233</v>
      </c>
      <c r="N2180" s="3" t="n">
        <v>16751.13</v>
      </c>
      <c r="O2180" s="3" t="n">
        <v>58265.13</v>
      </c>
      <c r="P2180" s="3" t="n">
        <v>51011.06</v>
      </c>
      <c r="Q2180" s="3" t="n">
        <v>7254.07</v>
      </c>
      <c r="R2180" s="3" t="n">
        <v>0.1245</v>
      </c>
      <c r="S2180" s="3" t="n">
        <v>0.2221</v>
      </c>
      <c r="T2180" s="3" t="n">
        <v>0.0012</v>
      </c>
    </row>
    <row r="2181" customFormat="false" ht="15" hidden="false" customHeight="true" outlineLevel="0" collapsed="false">
      <c r="A2181" s="3" t="s">
        <v>3204</v>
      </c>
      <c r="B2181" s="3" t="s">
        <v>3205</v>
      </c>
      <c r="C2181" s="3" t="s">
        <v>126</v>
      </c>
      <c r="D2181" s="3" t="s">
        <v>47</v>
      </c>
      <c r="E2181" s="3" t="s">
        <v>48</v>
      </c>
      <c r="F2181" s="3" t="s">
        <v>25</v>
      </c>
      <c r="G2181" s="3" t="s">
        <v>71</v>
      </c>
      <c r="H2181" s="3" t="s">
        <v>42</v>
      </c>
      <c r="I2181" s="3" t="s">
        <v>43</v>
      </c>
      <c r="J2181" s="3" t="n">
        <v>41</v>
      </c>
      <c r="K2181" s="3" t="n">
        <v>3775.89</v>
      </c>
      <c r="L2181" s="3" t="n">
        <v>154811.49</v>
      </c>
      <c r="M2181" s="3" t="n">
        <v>0.1763</v>
      </c>
      <c r="N2181" s="3" t="n">
        <v>27293.27</v>
      </c>
      <c r="O2181" s="3" t="n">
        <v>127518.22</v>
      </c>
      <c r="P2181" s="3" t="n">
        <v>85146.32</v>
      </c>
      <c r="Q2181" s="3" t="n">
        <v>42371.9</v>
      </c>
      <c r="R2181" s="3" t="n">
        <v>0.3323</v>
      </c>
      <c r="S2181" s="3" t="n">
        <v>0.1517</v>
      </c>
      <c r="T2181" s="3" t="n">
        <v>0.0246</v>
      </c>
    </row>
    <row r="2182" customFormat="false" ht="15" hidden="false" customHeight="true" outlineLevel="0" collapsed="false">
      <c r="A2182" s="3" t="s">
        <v>3206</v>
      </c>
      <c r="B2182" s="3" t="s">
        <v>2542</v>
      </c>
      <c r="C2182" s="3" t="s">
        <v>37</v>
      </c>
      <c r="D2182" s="3" t="s">
        <v>38</v>
      </c>
      <c r="E2182" s="3" t="s">
        <v>39</v>
      </c>
      <c r="F2182" s="3" t="s">
        <v>40</v>
      </c>
      <c r="G2182" s="3" t="s">
        <v>49</v>
      </c>
      <c r="H2182" s="3" t="s">
        <v>27</v>
      </c>
      <c r="I2182" s="3" t="s">
        <v>173</v>
      </c>
      <c r="J2182" s="3" t="n">
        <v>2</v>
      </c>
      <c r="K2182" s="3" t="n">
        <v>17880.53</v>
      </c>
      <c r="L2182" s="3" t="n">
        <v>35761.06</v>
      </c>
      <c r="M2182" s="3" t="n">
        <v>0.0777</v>
      </c>
      <c r="N2182" s="3" t="n">
        <v>2778.63</v>
      </c>
      <c r="O2182" s="3" t="n">
        <v>32982.43</v>
      </c>
      <c r="P2182" s="3" t="n">
        <v>22171.86</v>
      </c>
      <c r="Q2182" s="3" t="n">
        <v>10810.57</v>
      </c>
      <c r="R2182" s="3" t="n">
        <v>0.3278</v>
      </c>
      <c r="S2182" s="3" t="n">
        <v>0.0664</v>
      </c>
      <c r="T2182" s="3" t="n">
        <v>0.0113</v>
      </c>
    </row>
    <row r="2183" customFormat="false" ht="15" hidden="false" customHeight="true" outlineLevel="0" collapsed="false">
      <c r="A2183" s="3" t="s">
        <v>3207</v>
      </c>
      <c r="B2183" s="3" t="s">
        <v>1141</v>
      </c>
      <c r="C2183" s="3" t="s">
        <v>37</v>
      </c>
      <c r="D2183" s="3" t="s">
        <v>61</v>
      </c>
      <c r="E2183" s="3" t="s">
        <v>33</v>
      </c>
      <c r="F2183" s="3" t="s">
        <v>62</v>
      </c>
      <c r="G2183" s="3" t="s">
        <v>41</v>
      </c>
      <c r="H2183" s="3" t="s">
        <v>64</v>
      </c>
      <c r="I2183" s="3" t="s">
        <v>65</v>
      </c>
      <c r="J2183" s="3" t="n">
        <v>5</v>
      </c>
      <c r="K2183" s="3" t="n">
        <v>4089.46</v>
      </c>
      <c r="L2183" s="3" t="n">
        <v>20447.3</v>
      </c>
      <c r="M2183" s="3" t="n">
        <v>0.0685</v>
      </c>
      <c r="N2183" s="3" t="n">
        <v>1400.64</v>
      </c>
      <c r="O2183" s="3" t="n">
        <v>19046.66</v>
      </c>
      <c r="P2183" s="3" t="n">
        <v>11859.43</v>
      </c>
      <c r="Q2183" s="3" t="n">
        <v>7187.23</v>
      </c>
      <c r="R2183" s="3" t="n">
        <v>0.3773</v>
      </c>
      <c r="S2183" s="3" t="n">
        <v>0.0648</v>
      </c>
      <c r="T2183" s="3" t="n">
        <v>0.0037</v>
      </c>
    </row>
    <row r="2184" customFormat="false" ht="15" hidden="false" customHeight="true" outlineLevel="0" collapsed="false">
      <c r="A2184" s="3" t="s">
        <v>3208</v>
      </c>
      <c r="B2184" s="3" t="s">
        <v>704</v>
      </c>
      <c r="C2184" s="3" t="s">
        <v>156</v>
      </c>
      <c r="D2184" s="3" t="s">
        <v>47</v>
      </c>
      <c r="E2184" s="3" t="s">
        <v>48</v>
      </c>
      <c r="F2184" s="3" t="s">
        <v>25</v>
      </c>
      <c r="G2184" s="3" t="s">
        <v>55</v>
      </c>
      <c r="H2184" s="3" t="s">
        <v>42</v>
      </c>
      <c r="I2184" s="3" t="s">
        <v>134</v>
      </c>
      <c r="J2184" s="3" t="n">
        <v>19</v>
      </c>
      <c r="K2184" s="3" t="n">
        <v>2740.29</v>
      </c>
      <c r="L2184" s="3" t="n">
        <v>52065.51</v>
      </c>
      <c r="M2184" s="3" t="n">
        <v>0.1509</v>
      </c>
      <c r="N2184" s="3" t="n">
        <v>7856.69</v>
      </c>
      <c r="O2184" s="3" t="n">
        <v>44208.82</v>
      </c>
      <c r="P2184" s="3" t="n">
        <v>28636.03</v>
      </c>
      <c r="Q2184" s="3" t="n">
        <v>15572.79</v>
      </c>
      <c r="R2184" s="3" t="n">
        <v>0.3523</v>
      </c>
      <c r="S2184" s="3" t="n">
        <v>0.127</v>
      </c>
      <c r="T2184" s="3" t="n">
        <v>0.0239</v>
      </c>
    </row>
    <row r="2185" customFormat="false" ht="15" hidden="false" customHeight="true" outlineLevel="0" collapsed="false">
      <c r="A2185" s="3" t="s">
        <v>3209</v>
      </c>
      <c r="B2185" s="3" t="s">
        <v>3196</v>
      </c>
      <c r="C2185" s="3" t="s">
        <v>68</v>
      </c>
      <c r="D2185" s="3" t="s">
        <v>107</v>
      </c>
      <c r="E2185" s="3" t="s">
        <v>33</v>
      </c>
      <c r="F2185" s="3" t="s">
        <v>70</v>
      </c>
      <c r="G2185" s="3" t="s">
        <v>76</v>
      </c>
      <c r="H2185" s="3" t="s">
        <v>77</v>
      </c>
      <c r="I2185" s="3" t="s">
        <v>78</v>
      </c>
      <c r="J2185" s="3" t="n">
        <v>43</v>
      </c>
      <c r="K2185" s="3" t="n">
        <v>2684.1</v>
      </c>
      <c r="L2185" s="3" t="n">
        <v>115416.3</v>
      </c>
      <c r="M2185" s="3" t="n">
        <v>0.0681</v>
      </c>
      <c r="N2185" s="3" t="n">
        <v>7859.85</v>
      </c>
      <c r="O2185" s="3" t="n">
        <v>107556.45</v>
      </c>
      <c r="P2185" s="3" t="n">
        <v>78483.08</v>
      </c>
      <c r="Q2185" s="3" t="n">
        <v>29073.37</v>
      </c>
      <c r="R2185" s="3" t="n">
        <v>0.2703</v>
      </c>
      <c r="S2185" s="3" t="n">
        <v>0.0627</v>
      </c>
      <c r="T2185" s="3" t="n">
        <v>0.0054</v>
      </c>
    </row>
    <row r="2186" customFormat="false" ht="15" hidden="false" customHeight="true" outlineLevel="0" collapsed="false">
      <c r="A2186" s="3" t="s">
        <v>3210</v>
      </c>
      <c r="B2186" s="3" t="s">
        <v>742</v>
      </c>
      <c r="C2186" s="3" t="s">
        <v>113</v>
      </c>
      <c r="D2186" s="3" t="s">
        <v>38</v>
      </c>
      <c r="E2186" s="3" t="s">
        <v>39</v>
      </c>
      <c r="F2186" s="3" t="s">
        <v>40</v>
      </c>
      <c r="G2186" s="3" t="s">
        <v>84</v>
      </c>
      <c r="H2186" s="3" t="s">
        <v>77</v>
      </c>
      <c r="I2186" s="3" t="s">
        <v>85</v>
      </c>
      <c r="J2186" s="3" t="n">
        <v>6</v>
      </c>
      <c r="K2186" s="3" t="n">
        <v>5632.11</v>
      </c>
      <c r="L2186" s="3" t="n">
        <v>33792.66</v>
      </c>
      <c r="M2186" s="3" t="n">
        <v>0.051</v>
      </c>
      <c r="N2186" s="3" t="n">
        <v>1723.43</v>
      </c>
      <c r="O2186" s="3" t="n">
        <v>32069.23</v>
      </c>
      <c r="P2186" s="3" t="n">
        <v>22979.01</v>
      </c>
      <c r="Q2186" s="3" t="n">
        <v>9090.22</v>
      </c>
      <c r="R2186" s="3" t="n">
        <v>0.2835</v>
      </c>
      <c r="S2186" s="3" t="n">
        <v>0.0467</v>
      </c>
      <c r="T2186" s="3" t="n">
        <v>0.0043</v>
      </c>
    </row>
    <row r="2187" customFormat="false" ht="15" hidden="false" customHeight="true" outlineLevel="0" collapsed="false">
      <c r="A2187" s="3" t="s">
        <v>3211</v>
      </c>
      <c r="B2187" s="3" t="s">
        <v>1383</v>
      </c>
      <c r="C2187" s="3" t="s">
        <v>37</v>
      </c>
      <c r="D2187" s="3" t="s">
        <v>103</v>
      </c>
      <c r="E2187" s="3" t="s">
        <v>24</v>
      </c>
      <c r="F2187" s="3" t="s">
        <v>62</v>
      </c>
      <c r="G2187" s="3" t="s">
        <v>104</v>
      </c>
      <c r="H2187" s="3" t="s">
        <v>77</v>
      </c>
      <c r="I2187" s="3" t="s">
        <v>85</v>
      </c>
      <c r="J2187" s="3" t="n">
        <v>22</v>
      </c>
      <c r="K2187" s="3" t="n">
        <v>2433.27</v>
      </c>
      <c r="L2187" s="3" t="n">
        <v>53531.94</v>
      </c>
      <c r="M2187" s="3" t="n">
        <v>0.0679</v>
      </c>
      <c r="N2187" s="3" t="n">
        <v>3634.82</v>
      </c>
      <c r="O2187" s="3" t="n">
        <v>49897.12</v>
      </c>
      <c r="P2187" s="3" t="n">
        <v>36401.72</v>
      </c>
      <c r="Q2187" s="3" t="n">
        <v>13495.4</v>
      </c>
      <c r="R2187" s="3" t="n">
        <v>0.2705</v>
      </c>
      <c r="S2187" s="3" t="n">
        <v>0.0607</v>
      </c>
      <c r="T2187" s="3" t="n">
        <v>0.0072</v>
      </c>
    </row>
    <row r="2188" customFormat="false" ht="15" hidden="false" customHeight="true" outlineLevel="0" collapsed="false">
      <c r="A2188" s="3" t="s">
        <v>3212</v>
      </c>
      <c r="B2188" s="3" t="s">
        <v>517</v>
      </c>
      <c r="C2188" s="3" t="s">
        <v>113</v>
      </c>
      <c r="D2188" s="3" t="s">
        <v>69</v>
      </c>
      <c r="E2188" s="3" t="s">
        <v>39</v>
      </c>
      <c r="F2188" s="3" t="s">
        <v>70</v>
      </c>
      <c r="G2188" s="3" t="s">
        <v>104</v>
      </c>
      <c r="H2188" s="3" t="s">
        <v>77</v>
      </c>
      <c r="I2188" s="3" t="s">
        <v>131</v>
      </c>
      <c r="J2188" s="3" t="n">
        <v>25</v>
      </c>
      <c r="K2188" s="3" t="n">
        <v>4026.54</v>
      </c>
      <c r="L2188" s="3" t="n">
        <v>100663.5</v>
      </c>
      <c r="M2188" s="3" t="n">
        <v>0.1214</v>
      </c>
      <c r="N2188" s="3" t="n">
        <v>12220.55</v>
      </c>
      <c r="O2188" s="3" t="n">
        <v>88442.95</v>
      </c>
      <c r="P2188" s="3" t="n">
        <v>68451.18</v>
      </c>
      <c r="Q2188" s="3" t="n">
        <v>19991.77</v>
      </c>
      <c r="R2188" s="3" t="n">
        <v>0.226</v>
      </c>
      <c r="S2188" s="3" t="n">
        <v>0.1321</v>
      </c>
      <c r="T2188" s="3" t="n">
        <v>-0.0107</v>
      </c>
    </row>
    <row r="2189" customFormat="false" ht="15" hidden="false" customHeight="true" outlineLevel="0" collapsed="false">
      <c r="A2189" s="3" t="s">
        <v>3213</v>
      </c>
      <c r="B2189" s="3" t="s">
        <v>486</v>
      </c>
      <c r="C2189" s="3" t="s">
        <v>46</v>
      </c>
      <c r="D2189" s="3" t="s">
        <v>83</v>
      </c>
      <c r="E2189" s="3" t="s">
        <v>48</v>
      </c>
      <c r="F2189" s="3" t="s">
        <v>62</v>
      </c>
      <c r="G2189" s="3" t="s">
        <v>71</v>
      </c>
      <c r="H2189" s="3" t="s">
        <v>27</v>
      </c>
      <c r="I2189" s="3" t="s">
        <v>28</v>
      </c>
      <c r="J2189" s="3" t="n">
        <v>23</v>
      </c>
      <c r="K2189" s="3" t="n">
        <v>26093.84</v>
      </c>
      <c r="L2189" s="3" t="n">
        <v>600158.32</v>
      </c>
      <c r="M2189" s="3" t="n">
        <v>0.0369</v>
      </c>
      <c r="N2189" s="3" t="n">
        <v>22145.84</v>
      </c>
      <c r="O2189" s="3" t="n">
        <v>578012.48</v>
      </c>
      <c r="P2189" s="3" t="n">
        <v>372098.16</v>
      </c>
      <c r="Q2189" s="3" t="n">
        <v>205914.32</v>
      </c>
      <c r="R2189" s="3" t="n">
        <v>0.3562</v>
      </c>
      <c r="S2189" s="3" t="n">
        <v>0.032</v>
      </c>
      <c r="T2189" s="3" t="n">
        <v>0.0049</v>
      </c>
    </row>
    <row r="2190" customFormat="false" ht="15" hidden="false" customHeight="true" outlineLevel="0" collapsed="false">
      <c r="A2190" s="3" t="s">
        <v>3214</v>
      </c>
      <c r="B2190" s="3" t="s">
        <v>792</v>
      </c>
      <c r="C2190" s="3" t="s">
        <v>37</v>
      </c>
      <c r="D2190" s="3" t="s">
        <v>69</v>
      </c>
      <c r="E2190" s="3" t="s">
        <v>39</v>
      </c>
      <c r="F2190" s="3" t="s">
        <v>70</v>
      </c>
      <c r="G2190" s="3" t="s">
        <v>55</v>
      </c>
      <c r="H2190" s="3" t="s">
        <v>27</v>
      </c>
      <c r="I2190" s="3" t="s">
        <v>50</v>
      </c>
      <c r="J2190" s="3" t="n">
        <v>1</v>
      </c>
      <c r="K2190" s="3" t="n">
        <v>22910.45</v>
      </c>
      <c r="L2190" s="3" t="n">
        <v>22910.45</v>
      </c>
      <c r="M2190" s="3" t="n">
        <v>0.039</v>
      </c>
      <c r="N2190" s="3" t="n">
        <v>893.51</v>
      </c>
      <c r="O2190" s="3" t="n">
        <v>22016.94</v>
      </c>
      <c r="P2190" s="3" t="n">
        <v>14204.48</v>
      </c>
      <c r="Q2190" s="3" t="n">
        <v>7812.46</v>
      </c>
      <c r="R2190" s="3" t="n">
        <v>0.3548</v>
      </c>
      <c r="S2190" s="3" t="n">
        <v>0.0325</v>
      </c>
      <c r="T2190" s="3" t="n">
        <v>0.0065</v>
      </c>
    </row>
    <row r="2191" customFormat="false" ht="15" hidden="false" customHeight="true" outlineLevel="0" collapsed="false">
      <c r="A2191" s="3" t="s">
        <v>3215</v>
      </c>
      <c r="B2191" s="3" t="s">
        <v>3216</v>
      </c>
      <c r="C2191" s="3" t="s">
        <v>22</v>
      </c>
      <c r="D2191" s="3" t="s">
        <v>107</v>
      </c>
      <c r="E2191" s="3" t="s">
        <v>33</v>
      </c>
      <c r="F2191" s="3" t="s">
        <v>70</v>
      </c>
      <c r="G2191" s="3" t="s">
        <v>63</v>
      </c>
      <c r="H2191" s="3" t="s">
        <v>64</v>
      </c>
      <c r="I2191" s="3" t="s">
        <v>90</v>
      </c>
      <c r="J2191" s="3" t="n">
        <v>28</v>
      </c>
      <c r="K2191" s="3" t="n">
        <v>9069.79</v>
      </c>
      <c r="L2191" s="3" t="n">
        <v>253954.12</v>
      </c>
      <c r="M2191" s="3" t="n">
        <v>0.045</v>
      </c>
      <c r="N2191" s="3" t="n">
        <v>11427.94</v>
      </c>
      <c r="O2191" s="3" t="n">
        <v>242526.18</v>
      </c>
      <c r="P2191" s="3" t="n">
        <v>147293.39</v>
      </c>
      <c r="Q2191" s="3" t="n">
        <v>95232.79</v>
      </c>
      <c r="R2191" s="3" t="n">
        <v>0.3927</v>
      </c>
      <c r="S2191" s="3" t="n">
        <v>0.0475</v>
      </c>
      <c r="T2191" s="3" t="n">
        <v>-0.0025</v>
      </c>
    </row>
    <row r="2192" customFormat="false" ht="15" hidden="false" customHeight="true" outlineLevel="0" collapsed="false">
      <c r="A2192" s="3" t="s">
        <v>3217</v>
      </c>
      <c r="B2192" s="3" t="s">
        <v>469</v>
      </c>
      <c r="C2192" s="3" t="s">
        <v>46</v>
      </c>
      <c r="D2192" s="3" t="s">
        <v>38</v>
      </c>
      <c r="E2192" s="3" t="s">
        <v>39</v>
      </c>
      <c r="F2192" s="3" t="s">
        <v>40</v>
      </c>
      <c r="G2192" s="3" t="s">
        <v>55</v>
      </c>
      <c r="H2192" s="3" t="s">
        <v>42</v>
      </c>
      <c r="I2192" s="3" t="s">
        <v>72</v>
      </c>
      <c r="J2192" s="3" t="n">
        <v>37</v>
      </c>
      <c r="K2192" s="3" t="n">
        <v>3474.79</v>
      </c>
      <c r="L2192" s="3" t="n">
        <v>128567.23</v>
      </c>
      <c r="M2192" s="3" t="n">
        <v>0.0682</v>
      </c>
      <c r="N2192" s="3" t="n">
        <v>8768.29</v>
      </c>
      <c r="O2192" s="3" t="n">
        <v>119798.94</v>
      </c>
      <c r="P2192" s="3" t="n">
        <v>70711.98</v>
      </c>
      <c r="Q2192" s="3" t="n">
        <v>49086.96</v>
      </c>
      <c r="R2192" s="3" t="n">
        <v>0.4097</v>
      </c>
      <c r="S2192" s="3" t="n">
        <v>0.0617</v>
      </c>
      <c r="T2192" s="3" t="n">
        <v>0.0065</v>
      </c>
    </row>
    <row r="2193" customFormat="false" ht="15" hidden="false" customHeight="true" outlineLevel="0" collapsed="false">
      <c r="A2193" s="3" t="s">
        <v>3218</v>
      </c>
      <c r="B2193" s="3" t="s">
        <v>2057</v>
      </c>
      <c r="C2193" s="3" t="s">
        <v>126</v>
      </c>
      <c r="D2193" s="3" t="s">
        <v>54</v>
      </c>
      <c r="E2193" s="3" t="s">
        <v>24</v>
      </c>
      <c r="F2193" s="3" t="s">
        <v>40</v>
      </c>
      <c r="G2193" s="3" t="s">
        <v>63</v>
      </c>
      <c r="H2193" s="3" t="s">
        <v>77</v>
      </c>
      <c r="I2193" s="3" t="s">
        <v>85</v>
      </c>
      <c r="J2193" s="3" t="n">
        <v>22</v>
      </c>
      <c r="K2193" s="3" t="n">
        <v>2390.47</v>
      </c>
      <c r="L2193" s="3" t="n">
        <v>52590.34</v>
      </c>
      <c r="M2193" s="3" t="n">
        <v>0.0677</v>
      </c>
      <c r="N2193" s="3" t="n">
        <v>3560.37</v>
      </c>
      <c r="O2193" s="3" t="n">
        <v>49029.97</v>
      </c>
      <c r="P2193" s="3" t="n">
        <v>35761.43</v>
      </c>
      <c r="Q2193" s="3" t="n">
        <v>13268.54</v>
      </c>
      <c r="R2193" s="3" t="n">
        <v>0.2706</v>
      </c>
      <c r="S2193" s="3" t="n">
        <v>0.0693</v>
      </c>
      <c r="T2193" s="3" t="n">
        <v>-0.0016</v>
      </c>
    </row>
    <row r="2194" customFormat="false" ht="15" hidden="false" customHeight="true" outlineLevel="0" collapsed="false">
      <c r="A2194" s="3" t="s">
        <v>3219</v>
      </c>
      <c r="B2194" s="3" t="s">
        <v>1790</v>
      </c>
      <c r="C2194" s="3" t="s">
        <v>53</v>
      </c>
      <c r="D2194" s="3" t="s">
        <v>54</v>
      </c>
      <c r="E2194" s="3" t="s">
        <v>24</v>
      </c>
      <c r="F2194" s="3" t="s">
        <v>40</v>
      </c>
      <c r="G2194" s="3" t="s">
        <v>76</v>
      </c>
      <c r="H2194" s="3" t="s">
        <v>42</v>
      </c>
      <c r="I2194" s="3" t="s">
        <v>43</v>
      </c>
      <c r="J2194" s="3" t="n">
        <v>26</v>
      </c>
      <c r="K2194" s="3" t="n">
        <v>2641.95</v>
      </c>
      <c r="L2194" s="3" t="n">
        <v>68690.7</v>
      </c>
      <c r="M2194" s="3" t="n">
        <v>0.0585</v>
      </c>
      <c r="N2194" s="3" t="n">
        <v>4018.41</v>
      </c>
      <c r="O2194" s="3" t="n">
        <v>64672.29</v>
      </c>
      <c r="P2194" s="3" t="n">
        <v>37779.89</v>
      </c>
      <c r="Q2194" s="3" t="n">
        <v>26892.4</v>
      </c>
      <c r="R2194" s="3" t="n">
        <v>0.4158</v>
      </c>
      <c r="S2194" s="3" t="n">
        <v>0.06</v>
      </c>
      <c r="T2194" s="3" t="n">
        <v>-0.0015</v>
      </c>
    </row>
    <row r="2195" customFormat="false" ht="15" hidden="false" customHeight="true" outlineLevel="0" collapsed="false">
      <c r="A2195" s="3" t="s">
        <v>3220</v>
      </c>
      <c r="B2195" s="3" t="s">
        <v>1123</v>
      </c>
      <c r="C2195" s="3" t="s">
        <v>126</v>
      </c>
      <c r="D2195" s="3" t="s">
        <v>69</v>
      </c>
      <c r="E2195" s="3" t="s">
        <v>39</v>
      </c>
      <c r="F2195" s="3" t="s">
        <v>70</v>
      </c>
      <c r="G2195" s="3" t="s">
        <v>55</v>
      </c>
      <c r="H2195" s="3" t="s">
        <v>42</v>
      </c>
      <c r="I2195" s="3" t="s">
        <v>134</v>
      </c>
      <c r="J2195" s="3" t="n">
        <v>15</v>
      </c>
      <c r="K2195" s="3" t="n">
        <v>2078.12</v>
      </c>
      <c r="L2195" s="3" t="n">
        <v>31171.8</v>
      </c>
      <c r="M2195" s="3" t="n">
        <v>0.0587</v>
      </c>
      <c r="N2195" s="3" t="n">
        <v>1829.78</v>
      </c>
      <c r="O2195" s="3" t="n">
        <v>29342.02</v>
      </c>
      <c r="P2195" s="3" t="n">
        <v>17144.49</v>
      </c>
      <c r="Q2195" s="3" t="n">
        <v>12197.53</v>
      </c>
      <c r="R2195" s="3" t="n">
        <v>0.4157</v>
      </c>
      <c r="S2195" s="3" t="n">
        <v>0.0625</v>
      </c>
      <c r="T2195" s="3" t="n">
        <v>-0.0038</v>
      </c>
    </row>
    <row r="2196" customFormat="false" ht="15" hidden="false" customHeight="true" outlineLevel="0" collapsed="false">
      <c r="A2196" s="3" t="s">
        <v>3221</v>
      </c>
      <c r="B2196" s="3" t="s">
        <v>408</v>
      </c>
      <c r="C2196" s="3" t="s">
        <v>60</v>
      </c>
      <c r="D2196" s="3" t="s">
        <v>54</v>
      </c>
      <c r="E2196" s="3" t="s">
        <v>24</v>
      </c>
      <c r="F2196" s="3" t="s">
        <v>40</v>
      </c>
      <c r="G2196" s="3" t="s">
        <v>71</v>
      </c>
      <c r="H2196" s="3" t="s">
        <v>27</v>
      </c>
      <c r="I2196" s="3" t="s">
        <v>94</v>
      </c>
      <c r="J2196" s="3" t="n">
        <v>45</v>
      </c>
      <c r="K2196" s="3" t="n">
        <v>34776.69</v>
      </c>
      <c r="L2196" s="3" t="n">
        <v>1564951.05</v>
      </c>
      <c r="M2196" s="3" t="n">
        <v>0.0581</v>
      </c>
      <c r="N2196" s="3" t="n">
        <v>90923.66</v>
      </c>
      <c r="O2196" s="3" t="n">
        <v>1474027.39</v>
      </c>
      <c r="P2196" s="3" t="n">
        <v>970269.65</v>
      </c>
      <c r="Q2196" s="3" t="n">
        <v>503757.74</v>
      </c>
      <c r="R2196" s="3" t="n">
        <v>0.3418</v>
      </c>
      <c r="S2196" s="3" t="n">
        <v>0.0504</v>
      </c>
      <c r="T2196" s="3" t="n">
        <v>0.0077</v>
      </c>
    </row>
    <row r="2197" customFormat="false" ht="15" hidden="false" customHeight="true" outlineLevel="0" collapsed="false">
      <c r="A2197" s="3" t="s">
        <v>3222</v>
      </c>
      <c r="B2197" s="3" t="s">
        <v>2237</v>
      </c>
      <c r="C2197" s="3" t="s">
        <v>113</v>
      </c>
      <c r="D2197" s="3" t="s">
        <v>38</v>
      </c>
      <c r="E2197" s="3" t="s">
        <v>39</v>
      </c>
      <c r="F2197" s="3" t="s">
        <v>40</v>
      </c>
      <c r="G2197" s="3" t="s">
        <v>63</v>
      </c>
      <c r="H2197" s="3" t="s">
        <v>42</v>
      </c>
      <c r="I2197" s="3" t="s">
        <v>72</v>
      </c>
      <c r="J2197" s="3" t="n">
        <v>47</v>
      </c>
      <c r="K2197" s="3" t="n">
        <v>949.06</v>
      </c>
      <c r="L2197" s="3" t="n">
        <v>44605.82</v>
      </c>
      <c r="M2197" s="3" t="n">
        <v>0.0539</v>
      </c>
      <c r="N2197" s="3" t="n">
        <v>2404.25</v>
      </c>
      <c r="O2197" s="3" t="n">
        <v>42201.57</v>
      </c>
      <c r="P2197" s="3" t="n">
        <v>24533.2</v>
      </c>
      <c r="Q2197" s="3" t="n">
        <v>17668.37</v>
      </c>
      <c r="R2197" s="3" t="n">
        <v>0.4187</v>
      </c>
      <c r="S2197" s="3" t="n">
        <v>0.059</v>
      </c>
      <c r="T2197" s="3" t="n">
        <v>-0.0051</v>
      </c>
    </row>
    <row r="2198" customFormat="false" ht="15" hidden="false" customHeight="true" outlineLevel="0" collapsed="false">
      <c r="A2198" s="3" t="s">
        <v>3223</v>
      </c>
      <c r="B2198" s="3" t="s">
        <v>2116</v>
      </c>
      <c r="C2198" s="3" t="s">
        <v>156</v>
      </c>
      <c r="D2198" s="3" t="s">
        <v>23</v>
      </c>
      <c r="E2198" s="3" t="s">
        <v>24</v>
      </c>
      <c r="F2198" s="3" t="s">
        <v>25</v>
      </c>
      <c r="G2198" s="3" t="s">
        <v>100</v>
      </c>
      <c r="H2198" s="3" t="s">
        <v>56</v>
      </c>
      <c r="I2198" s="3" t="s">
        <v>121</v>
      </c>
      <c r="J2198" s="3" t="n">
        <v>18</v>
      </c>
      <c r="K2198" s="3" t="n">
        <v>11322.19</v>
      </c>
      <c r="L2198" s="3" t="n">
        <v>203799.42</v>
      </c>
      <c r="M2198" s="3" t="n">
        <v>0.0876</v>
      </c>
      <c r="N2198" s="3" t="n">
        <v>17852.83</v>
      </c>
      <c r="O2198" s="3" t="n">
        <v>185946.59</v>
      </c>
      <c r="P2198" s="3" t="n">
        <v>122279.65</v>
      </c>
      <c r="Q2198" s="3" t="n">
        <v>63666.94</v>
      </c>
      <c r="R2198" s="3" t="n">
        <v>0.3424</v>
      </c>
      <c r="S2198" s="3" t="n">
        <v>0.0963</v>
      </c>
      <c r="T2198" s="3" t="n">
        <v>-0.0087</v>
      </c>
    </row>
    <row r="2199" customFormat="false" ht="15" hidden="false" customHeight="true" outlineLevel="0" collapsed="false">
      <c r="A2199" s="3" t="s">
        <v>3224</v>
      </c>
      <c r="B2199" s="3" t="s">
        <v>561</v>
      </c>
      <c r="C2199" s="3" t="s">
        <v>93</v>
      </c>
      <c r="D2199" s="3" t="s">
        <v>38</v>
      </c>
      <c r="E2199" s="3" t="s">
        <v>39</v>
      </c>
      <c r="F2199" s="3" t="s">
        <v>40</v>
      </c>
      <c r="G2199" s="3" t="s">
        <v>104</v>
      </c>
      <c r="H2199" s="3" t="s">
        <v>77</v>
      </c>
      <c r="I2199" s="3" t="s">
        <v>131</v>
      </c>
      <c r="J2199" s="3" t="n">
        <v>8</v>
      </c>
      <c r="K2199" s="3" t="n">
        <v>4518.11</v>
      </c>
      <c r="L2199" s="3" t="n">
        <v>36144.88</v>
      </c>
      <c r="M2199" s="3" t="n">
        <v>0.1235</v>
      </c>
      <c r="N2199" s="3" t="n">
        <v>4463.89</v>
      </c>
      <c r="O2199" s="3" t="n">
        <v>31680.99</v>
      </c>
      <c r="P2199" s="3" t="n">
        <v>24578.52</v>
      </c>
      <c r="Q2199" s="3" t="n">
        <v>7102.47</v>
      </c>
      <c r="R2199" s="3" t="n">
        <v>0.2242</v>
      </c>
      <c r="S2199" s="3" t="n">
        <v>0.1109</v>
      </c>
      <c r="T2199" s="3" t="n">
        <v>0.0126</v>
      </c>
    </row>
    <row r="2200" customFormat="false" ht="15" hidden="false" customHeight="true" outlineLevel="0" collapsed="false">
      <c r="A2200" s="3" t="s">
        <v>3225</v>
      </c>
      <c r="B2200" s="3" t="s">
        <v>1208</v>
      </c>
      <c r="C2200" s="3" t="s">
        <v>93</v>
      </c>
      <c r="D2200" s="3" t="s">
        <v>107</v>
      </c>
      <c r="E2200" s="3" t="s">
        <v>33</v>
      </c>
      <c r="F2200" s="3" t="s">
        <v>70</v>
      </c>
      <c r="G2200" s="3" t="s">
        <v>76</v>
      </c>
      <c r="H2200" s="3" t="s">
        <v>42</v>
      </c>
      <c r="I2200" s="3" t="s">
        <v>43</v>
      </c>
      <c r="J2200" s="3" t="n">
        <v>27</v>
      </c>
      <c r="K2200" s="3" t="n">
        <v>2706.04</v>
      </c>
      <c r="L2200" s="3" t="n">
        <v>73063.08</v>
      </c>
      <c r="M2200" s="3" t="n">
        <v>0.0485</v>
      </c>
      <c r="N2200" s="3" t="n">
        <v>3543.56</v>
      </c>
      <c r="O2200" s="3" t="n">
        <v>69519.52</v>
      </c>
      <c r="P2200" s="3" t="n">
        <v>40184.69</v>
      </c>
      <c r="Q2200" s="3" t="n">
        <v>29334.83</v>
      </c>
      <c r="R2200" s="3" t="n">
        <v>0.422</v>
      </c>
      <c r="S2200" s="3" t="n">
        <v>0.0505</v>
      </c>
      <c r="T2200" s="3" t="n">
        <v>-0.002</v>
      </c>
    </row>
    <row r="2201" customFormat="false" ht="15" hidden="false" customHeight="true" outlineLevel="0" collapsed="false">
      <c r="A2201" s="3" t="s">
        <v>3226</v>
      </c>
      <c r="B2201" s="3" t="s">
        <v>2953</v>
      </c>
      <c r="C2201" s="3" t="s">
        <v>22</v>
      </c>
      <c r="D2201" s="3" t="s">
        <v>75</v>
      </c>
      <c r="E2201" s="3" t="s">
        <v>39</v>
      </c>
      <c r="F2201" s="3" t="s">
        <v>25</v>
      </c>
      <c r="G2201" s="3" t="s">
        <v>34</v>
      </c>
      <c r="H2201" s="3" t="s">
        <v>64</v>
      </c>
      <c r="I2201" s="3" t="s">
        <v>65</v>
      </c>
      <c r="J2201" s="3" t="n">
        <v>20</v>
      </c>
      <c r="K2201" s="3" t="n">
        <v>3091.45</v>
      </c>
      <c r="L2201" s="3" t="n">
        <v>61829</v>
      </c>
      <c r="M2201" s="3" t="n">
        <v>0.1507</v>
      </c>
      <c r="N2201" s="3" t="n">
        <v>9317.63</v>
      </c>
      <c r="O2201" s="3" t="n">
        <v>52511.37</v>
      </c>
      <c r="P2201" s="3" t="n">
        <v>35860.82</v>
      </c>
      <c r="Q2201" s="3" t="n">
        <v>16650.55</v>
      </c>
      <c r="R2201" s="3" t="n">
        <v>0.3171</v>
      </c>
      <c r="S2201" s="3" t="n">
        <v>0.1273</v>
      </c>
      <c r="T2201" s="3" t="n">
        <v>0.0234</v>
      </c>
    </row>
    <row r="2202" customFormat="false" ht="15" hidden="false" customHeight="true" outlineLevel="0" collapsed="false">
      <c r="A2202" s="3" t="s">
        <v>3227</v>
      </c>
      <c r="B2202" s="3" t="s">
        <v>1608</v>
      </c>
      <c r="C2202" s="3" t="s">
        <v>120</v>
      </c>
      <c r="D2202" s="3" t="s">
        <v>38</v>
      </c>
      <c r="E2202" s="3" t="s">
        <v>39</v>
      </c>
      <c r="F2202" s="3" t="s">
        <v>40</v>
      </c>
      <c r="G2202" s="3" t="s">
        <v>104</v>
      </c>
      <c r="H2202" s="3" t="s">
        <v>64</v>
      </c>
      <c r="I2202" s="3" t="s">
        <v>65</v>
      </c>
      <c r="J2202" s="3" t="n">
        <v>48</v>
      </c>
      <c r="K2202" s="3" t="n">
        <v>4272.92</v>
      </c>
      <c r="L2202" s="3" t="n">
        <v>205100.16</v>
      </c>
      <c r="M2202" s="3" t="n">
        <v>0.098</v>
      </c>
      <c r="N2202" s="3" t="n">
        <v>20099.82</v>
      </c>
      <c r="O2202" s="3" t="n">
        <v>185000.34</v>
      </c>
      <c r="P2202" s="3" t="n">
        <v>118958.09</v>
      </c>
      <c r="Q2202" s="3" t="n">
        <v>66042.25</v>
      </c>
      <c r="R2202" s="3" t="n">
        <v>0.357</v>
      </c>
      <c r="S2202" s="3" t="n">
        <v>0.0844</v>
      </c>
      <c r="T2202" s="3" t="n">
        <v>0.0136</v>
      </c>
    </row>
    <row r="2203" customFormat="false" ht="15" hidden="false" customHeight="true" outlineLevel="0" collapsed="false">
      <c r="A2203" s="3" t="s">
        <v>3228</v>
      </c>
      <c r="B2203" s="3" t="s">
        <v>854</v>
      </c>
      <c r="C2203" s="3" t="s">
        <v>37</v>
      </c>
      <c r="D2203" s="3" t="s">
        <v>83</v>
      </c>
      <c r="E2203" s="3" t="s">
        <v>48</v>
      </c>
      <c r="F2203" s="3" t="s">
        <v>62</v>
      </c>
      <c r="G2203" s="3" t="s">
        <v>49</v>
      </c>
      <c r="H2203" s="3" t="s">
        <v>42</v>
      </c>
      <c r="I2203" s="3" t="s">
        <v>134</v>
      </c>
      <c r="J2203" s="3" t="n">
        <v>39</v>
      </c>
      <c r="K2203" s="3" t="n">
        <v>2350.68</v>
      </c>
      <c r="L2203" s="3" t="n">
        <v>91676.52</v>
      </c>
      <c r="M2203" s="3" t="n">
        <v>0.0496</v>
      </c>
      <c r="N2203" s="3" t="n">
        <v>4547.16</v>
      </c>
      <c r="O2203" s="3" t="n">
        <v>87129.36</v>
      </c>
      <c r="P2203" s="3" t="n">
        <v>50422.09</v>
      </c>
      <c r="Q2203" s="3" t="n">
        <v>36707.27</v>
      </c>
      <c r="R2203" s="3" t="n">
        <v>0.4213</v>
      </c>
      <c r="S2203" s="3" t="n">
        <v>0.0483</v>
      </c>
      <c r="T2203" s="3" t="n">
        <v>0.0013</v>
      </c>
    </row>
    <row r="2204" customFormat="false" ht="15" hidden="false" customHeight="true" outlineLevel="0" collapsed="false">
      <c r="A2204" s="3" t="s">
        <v>3229</v>
      </c>
      <c r="B2204" s="3" t="s">
        <v>946</v>
      </c>
      <c r="C2204" s="3" t="s">
        <v>22</v>
      </c>
      <c r="D2204" s="3" t="s">
        <v>23</v>
      </c>
      <c r="E2204" s="3" t="s">
        <v>24</v>
      </c>
      <c r="F2204" s="3" t="s">
        <v>25</v>
      </c>
      <c r="G2204" s="3" t="s">
        <v>100</v>
      </c>
      <c r="H2204" s="3" t="s">
        <v>77</v>
      </c>
      <c r="I2204" s="3" t="s">
        <v>131</v>
      </c>
      <c r="J2204" s="3" t="n">
        <v>6</v>
      </c>
      <c r="K2204" s="3" t="n">
        <v>5711.62</v>
      </c>
      <c r="L2204" s="3" t="n">
        <v>34269.72</v>
      </c>
      <c r="M2204" s="3" t="n">
        <v>0.1649</v>
      </c>
      <c r="N2204" s="3" t="n">
        <v>5651.08</v>
      </c>
      <c r="O2204" s="3" t="n">
        <v>28618.64</v>
      </c>
      <c r="P2204" s="3" t="n">
        <v>23303.41</v>
      </c>
      <c r="Q2204" s="3" t="n">
        <v>5315.23</v>
      </c>
      <c r="R2204" s="3" t="n">
        <v>0.1857</v>
      </c>
      <c r="S2204" s="3" t="n">
        <v>0.1448</v>
      </c>
      <c r="T2204" s="3" t="n">
        <v>0.0201</v>
      </c>
    </row>
    <row r="2205" customFormat="false" ht="15" hidden="false" customHeight="true" outlineLevel="0" collapsed="false">
      <c r="A2205" s="3" t="s">
        <v>3230</v>
      </c>
      <c r="B2205" s="3" t="s">
        <v>909</v>
      </c>
      <c r="C2205" s="3" t="s">
        <v>22</v>
      </c>
      <c r="D2205" s="3" t="s">
        <v>103</v>
      </c>
      <c r="E2205" s="3" t="s">
        <v>24</v>
      </c>
      <c r="F2205" s="3" t="s">
        <v>62</v>
      </c>
      <c r="G2205" s="3" t="s">
        <v>34</v>
      </c>
      <c r="H2205" s="3" t="s">
        <v>56</v>
      </c>
      <c r="I2205" s="3" t="s">
        <v>57</v>
      </c>
      <c r="J2205" s="3" t="n">
        <v>21</v>
      </c>
      <c r="K2205" s="3" t="n">
        <v>6150</v>
      </c>
      <c r="L2205" s="3" t="n">
        <v>129150</v>
      </c>
      <c r="M2205" s="3" t="n">
        <v>0.0787</v>
      </c>
      <c r="N2205" s="3" t="n">
        <v>10164.11</v>
      </c>
      <c r="O2205" s="3" t="n">
        <v>118985.89</v>
      </c>
      <c r="P2205" s="3" t="n">
        <v>77490</v>
      </c>
      <c r="Q2205" s="3" t="n">
        <v>41495.89</v>
      </c>
      <c r="R2205" s="3" t="n">
        <v>0.3487</v>
      </c>
      <c r="S2205" s="3" t="n">
        <v>0.0682</v>
      </c>
      <c r="T2205" s="3" t="n">
        <v>0.0105</v>
      </c>
    </row>
    <row r="2206" customFormat="false" ht="15" hidden="false" customHeight="true" outlineLevel="0" collapsed="false">
      <c r="A2206" s="3" t="s">
        <v>3231</v>
      </c>
      <c r="B2206" s="3" t="s">
        <v>3232</v>
      </c>
      <c r="C2206" s="3" t="s">
        <v>31</v>
      </c>
      <c r="D2206" s="3" t="s">
        <v>107</v>
      </c>
      <c r="E2206" s="3" t="s">
        <v>33</v>
      </c>
      <c r="F2206" s="3" t="s">
        <v>70</v>
      </c>
      <c r="G2206" s="3" t="s">
        <v>104</v>
      </c>
      <c r="H2206" s="3" t="s">
        <v>56</v>
      </c>
      <c r="I2206" s="3" t="s">
        <v>57</v>
      </c>
      <c r="J2206" s="3" t="n">
        <v>19</v>
      </c>
      <c r="K2206" s="3" t="n">
        <v>16160.29</v>
      </c>
      <c r="L2206" s="3" t="n">
        <v>307045.51</v>
      </c>
      <c r="M2206" s="3" t="n">
        <v>0.1021</v>
      </c>
      <c r="N2206" s="3" t="n">
        <v>31349.35</v>
      </c>
      <c r="O2206" s="3" t="n">
        <v>275696.16</v>
      </c>
      <c r="P2206" s="3" t="n">
        <v>184227.31</v>
      </c>
      <c r="Q2206" s="3" t="n">
        <v>91468.85</v>
      </c>
      <c r="R2206" s="3" t="n">
        <v>0.3318</v>
      </c>
      <c r="S2206" s="3" t="n">
        <v>0.0865</v>
      </c>
      <c r="T2206" s="3" t="n">
        <v>0.0156</v>
      </c>
    </row>
    <row r="2207" customFormat="false" ht="15" hidden="false" customHeight="true" outlineLevel="0" collapsed="false">
      <c r="A2207" s="3" t="s">
        <v>3233</v>
      </c>
      <c r="B2207" s="3" t="s">
        <v>1100</v>
      </c>
      <c r="C2207" s="3" t="s">
        <v>120</v>
      </c>
      <c r="D2207" s="3" t="s">
        <v>23</v>
      </c>
      <c r="E2207" s="3" t="s">
        <v>24</v>
      </c>
      <c r="F2207" s="3" t="s">
        <v>25</v>
      </c>
      <c r="G2207" s="3" t="s">
        <v>34</v>
      </c>
      <c r="H2207" s="3" t="s">
        <v>64</v>
      </c>
      <c r="I2207" s="3" t="s">
        <v>65</v>
      </c>
      <c r="J2207" s="3" t="n">
        <v>30</v>
      </c>
      <c r="K2207" s="3" t="n">
        <v>4754.13</v>
      </c>
      <c r="L2207" s="3" t="n">
        <v>142623.9</v>
      </c>
      <c r="M2207" s="3" t="n">
        <v>0.1342</v>
      </c>
      <c r="N2207" s="3" t="n">
        <v>19140.13</v>
      </c>
      <c r="O2207" s="3" t="n">
        <v>123483.77</v>
      </c>
      <c r="P2207" s="3" t="n">
        <v>82721.86</v>
      </c>
      <c r="Q2207" s="3" t="n">
        <v>40761.91</v>
      </c>
      <c r="R2207" s="3" t="n">
        <v>0.3301</v>
      </c>
      <c r="S2207" s="3" t="n">
        <v>0.1081</v>
      </c>
      <c r="T2207" s="3" t="n">
        <v>0.0261</v>
      </c>
    </row>
    <row r="2208" customFormat="false" ht="15" hidden="false" customHeight="true" outlineLevel="0" collapsed="false">
      <c r="A2208" s="3" t="s">
        <v>3234</v>
      </c>
      <c r="B2208" s="3" t="s">
        <v>2621</v>
      </c>
      <c r="C2208" s="3" t="s">
        <v>46</v>
      </c>
      <c r="D2208" s="3" t="s">
        <v>69</v>
      </c>
      <c r="E2208" s="3" t="s">
        <v>39</v>
      </c>
      <c r="F2208" s="3" t="s">
        <v>70</v>
      </c>
      <c r="G2208" s="3" t="s">
        <v>55</v>
      </c>
      <c r="H2208" s="3" t="s">
        <v>77</v>
      </c>
      <c r="I2208" s="3" t="s">
        <v>85</v>
      </c>
      <c r="J2208" s="3" t="n">
        <v>48</v>
      </c>
      <c r="K2208" s="3" t="n">
        <v>3195.29</v>
      </c>
      <c r="L2208" s="3" t="n">
        <v>153373.92</v>
      </c>
      <c r="M2208" s="3" t="n">
        <v>0.0647</v>
      </c>
      <c r="N2208" s="3" t="n">
        <v>9923.29</v>
      </c>
      <c r="O2208" s="3" t="n">
        <v>143450.63</v>
      </c>
      <c r="P2208" s="3" t="n">
        <v>104294.27</v>
      </c>
      <c r="Q2208" s="3" t="n">
        <v>39156.36</v>
      </c>
      <c r="R2208" s="3" t="n">
        <v>0.273</v>
      </c>
      <c r="S2208" s="3" t="n">
        <v>0.0669</v>
      </c>
      <c r="T2208" s="3" t="n">
        <v>-0.0022</v>
      </c>
    </row>
    <row r="2209" customFormat="false" ht="15" hidden="false" customHeight="true" outlineLevel="0" collapsed="false">
      <c r="A2209" s="3" t="s">
        <v>3235</v>
      </c>
      <c r="B2209" s="3" t="s">
        <v>312</v>
      </c>
      <c r="C2209" s="3" t="s">
        <v>60</v>
      </c>
      <c r="D2209" s="3" t="s">
        <v>107</v>
      </c>
      <c r="E2209" s="3" t="s">
        <v>33</v>
      </c>
      <c r="F2209" s="3" t="s">
        <v>70</v>
      </c>
      <c r="G2209" s="3" t="s">
        <v>100</v>
      </c>
      <c r="H2209" s="3" t="s">
        <v>27</v>
      </c>
      <c r="I2209" s="3" t="s">
        <v>28</v>
      </c>
      <c r="J2209" s="3" t="n">
        <v>42</v>
      </c>
      <c r="K2209" s="3" t="n">
        <v>33327.03</v>
      </c>
      <c r="L2209" s="3" t="n">
        <v>1399735.26</v>
      </c>
      <c r="M2209" s="3" t="n">
        <v>0.0457</v>
      </c>
      <c r="N2209" s="3" t="n">
        <v>63967.9</v>
      </c>
      <c r="O2209" s="3" t="n">
        <v>1335767.36</v>
      </c>
      <c r="P2209" s="3" t="n">
        <v>867835.86</v>
      </c>
      <c r="Q2209" s="3" t="n">
        <v>467931.5</v>
      </c>
      <c r="R2209" s="3" t="n">
        <v>0.3503</v>
      </c>
      <c r="S2209" s="3" t="n">
        <v>0.0444</v>
      </c>
      <c r="T2209" s="3" t="n">
        <v>0.0013</v>
      </c>
    </row>
    <row r="2210" customFormat="false" ht="15" hidden="false" customHeight="true" outlineLevel="0" collapsed="false">
      <c r="A2210" s="3" t="s">
        <v>3236</v>
      </c>
      <c r="B2210" s="3" t="s">
        <v>921</v>
      </c>
      <c r="C2210" s="3" t="s">
        <v>93</v>
      </c>
      <c r="D2210" s="3" t="s">
        <v>54</v>
      </c>
      <c r="E2210" s="3" t="s">
        <v>24</v>
      </c>
      <c r="F2210" s="3" t="s">
        <v>40</v>
      </c>
      <c r="G2210" s="3" t="s">
        <v>104</v>
      </c>
      <c r="H2210" s="3" t="s">
        <v>77</v>
      </c>
      <c r="I2210" s="3" t="s">
        <v>85</v>
      </c>
      <c r="J2210" s="3" t="n">
        <v>42</v>
      </c>
      <c r="K2210" s="3" t="n">
        <v>1934.36</v>
      </c>
      <c r="L2210" s="3" t="n">
        <v>81243.12</v>
      </c>
      <c r="M2210" s="3" t="n">
        <v>0.081</v>
      </c>
      <c r="N2210" s="3" t="n">
        <v>6580.69</v>
      </c>
      <c r="O2210" s="3" t="n">
        <v>74662.43</v>
      </c>
      <c r="P2210" s="3" t="n">
        <v>55245.32</v>
      </c>
      <c r="Q2210" s="3" t="n">
        <v>19417.11</v>
      </c>
      <c r="R2210" s="3" t="n">
        <v>0.2601</v>
      </c>
      <c r="S2210" s="3" t="n">
        <v>0.0754</v>
      </c>
      <c r="T2210" s="3" t="n">
        <v>0.0056</v>
      </c>
    </row>
    <row r="2211" customFormat="false" ht="15" hidden="false" customHeight="true" outlineLevel="0" collapsed="false">
      <c r="A2211" s="3" t="s">
        <v>3237</v>
      </c>
      <c r="B2211" s="3" t="s">
        <v>481</v>
      </c>
      <c r="C2211" s="3" t="s">
        <v>37</v>
      </c>
      <c r="D2211" s="3" t="s">
        <v>54</v>
      </c>
      <c r="E2211" s="3" t="s">
        <v>24</v>
      </c>
      <c r="F2211" s="3" t="s">
        <v>40</v>
      </c>
      <c r="G2211" s="3" t="s">
        <v>76</v>
      </c>
      <c r="H2211" s="3" t="s">
        <v>27</v>
      </c>
      <c r="I2211" s="3" t="s">
        <v>173</v>
      </c>
      <c r="J2211" s="3" t="n">
        <v>3</v>
      </c>
      <c r="K2211" s="3" t="n">
        <v>14026.36</v>
      </c>
      <c r="L2211" s="3" t="n">
        <v>42079.08</v>
      </c>
      <c r="M2211" s="3" t="n">
        <v>0.0451</v>
      </c>
      <c r="N2211" s="3" t="n">
        <v>1897.77</v>
      </c>
      <c r="O2211" s="3" t="n">
        <v>40181.31</v>
      </c>
      <c r="P2211" s="3" t="n">
        <v>26089.03</v>
      </c>
      <c r="Q2211" s="3" t="n">
        <v>14092.28</v>
      </c>
      <c r="R2211" s="3" t="n">
        <v>0.3507</v>
      </c>
      <c r="S2211" s="3" t="n">
        <v>0.0369</v>
      </c>
      <c r="T2211" s="3" t="n">
        <v>0.0082</v>
      </c>
    </row>
    <row r="2212" customFormat="false" ht="15" hidden="false" customHeight="true" outlineLevel="0" collapsed="false">
      <c r="A2212" s="3" t="s">
        <v>3238</v>
      </c>
      <c r="B2212" s="3" t="s">
        <v>1645</v>
      </c>
      <c r="C2212" s="3" t="s">
        <v>46</v>
      </c>
      <c r="D2212" s="3" t="s">
        <v>69</v>
      </c>
      <c r="E2212" s="3" t="s">
        <v>39</v>
      </c>
      <c r="F2212" s="3" t="s">
        <v>70</v>
      </c>
      <c r="G2212" s="3" t="s">
        <v>104</v>
      </c>
      <c r="H2212" s="3" t="s">
        <v>56</v>
      </c>
      <c r="I2212" s="3" t="s">
        <v>57</v>
      </c>
      <c r="J2212" s="3" t="n">
        <v>36</v>
      </c>
      <c r="K2212" s="3" t="n">
        <v>4613.91</v>
      </c>
      <c r="L2212" s="3" t="n">
        <v>166100.76</v>
      </c>
      <c r="M2212" s="3" t="n">
        <v>0.0917</v>
      </c>
      <c r="N2212" s="3" t="n">
        <v>15231.44</v>
      </c>
      <c r="O2212" s="3" t="n">
        <v>150869.32</v>
      </c>
      <c r="P2212" s="3" t="n">
        <v>99660.46</v>
      </c>
      <c r="Q2212" s="3" t="n">
        <v>51208.86</v>
      </c>
      <c r="R2212" s="3" t="n">
        <v>0.3394</v>
      </c>
      <c r="S2212" s="3" t="n">
        <v>0.0827</v>
      </c>
      <c r="T2212" s="3" t="n">
        <v>0.009</v>
      </c>
    </row>
    <row r="2213" customFormat="false" ht="15" hidden="false" customHeight="true" outlineLevel="0" collapsed="false">
      <c r="A2213" s="3" t="s">
        <v>3239</v>
      </c>
      <c r="B2213" s="3" t="s">
        <v>1092</v>
      </c>
      <c r="C2213" s="3" t="s">
        <v>53</v>
      </c>
      <c r="D2213" s="3" t="s">
        <v>83</v>
      </c>
      <c r="E2213" s="3" t="s">
        <v>48</v>
      </c>
      <c r="F2213" s="3" t="s">
        <v>62</v>
      </c>
      <c r="G2213" s="3" t="s">
        <v>41</v>
      </c>
      <c r="H2213" s="3" t="s">
        <v>42</v>
      </c>
      <c r="I2213" s="3" t="s">
        <v>72</v>
      </c>
      <c r="J2213" s="3" t="n">
        <v>9</v>
      </c>
      <c r="K2213" s="3" t="n">
        <v>1196.4</v>
      </c>
      <c r="L2213" s="3" t="n">
        <v>10767.6</v>
      </c>
      <c r="M2213" s="3" t="n">
        <v>0.0821</v>
      </c>
      <c r="N2213" s="3" t="n">
        <v>884.02</v>
      </c>
      <c r="O2213" s="3" t="n">
        <v>9883.58</v>
      </c>
      <c r="P2213" s="3" t="n">
        <v>5922.18</v>
      </c>
      <c r="Q2213" s="3" t="n">
        <v>3961.4</v>
      </c>
      <c r="R2213" s="3" t="n">
        <v>0.4008</v>
      </c>
      <c r="S2213" s="3" t="n">
        <v>0.0659</v>
      </c>
      <c r="T2213" s="3" t="n">
        <v>0.0162</v>
      </c>
    </row>
    <row r="2214" customFormat="false" ht="15" hidden="false" customHeight="true" outlineLevel="0" collapsed="false">
      <c r="A2214" s="3" t="s">
        <v>3240</v>
      </c>
      <c r="B2214" s="3" t="s">
        <v>1285</v>
      </c>
      <c r="C2214" s="3" t="s">
        <v>53</v>
      </c>
      <c r="D2214" s="3" t="s">
        <v>32</v>
      </c>
      <c r="E2214" s="3" t="s">
        <v>33</v>
      </c>
      <c r="F2214" s="3" t="s">
        <v>25</v>
      </c>
      <c r="G2214" s="3" t="s">
        <v>63</v>
      </c>
      <c r="H2214" s="3" t="s">
        <v>64</v>
      </c>
      <c r="I2214" s="3" t="s">
        <v>145</v>
      </c>
      <c r="J2214" s="3" t="n">
        <v>7</v>
      </c>
      <c r="K2214" s="3" t="n">
        <v>8162.55</v>
      </c>
      <c r="L2214" s="3" t="n">
        <v>57137.85</v>
      </c>
      <c r="M2214" s="3" t="n">
        <v>0.151</v>
      </c>
      <c r="N2214" s="3" t="n">
        <v>8627.82</v>
      </c>
      <c r="O2214" s="3" t="n">
        <v>48510.03</v>
      </c>
      <c r="P2214" s="3" t="n">
        <v>33139.95</v>
      </c>
      <c r="Q2214" s="3" t="n">
        <v>15370.08</v>
      </c>
      <c r="R2214" s="3" t="n">
        <v>0.3168</v>
      </c>
      <c r="S2214" s="3" t="n">
        <v>0.1218</v>
      </c>
      <c r="T2214" s="3" t="n">
        <v>0.0292</v>
      </c>
    </row>
    <row r="2215" customFormat="false" ht="15" hidden="false" customHeight="true" outlineLevel="0" collapsed="false">
      <c r="A2215" s="3" t="s">
        <v>3241</v>
      </c>
      <c r="B2215" s="3" t="s">
        <v>1287</v>
      </c>
      <c r="C2215" s="3" t="s">
        <v>31</v>
      </c>
      <c r="D2215" s="3" t="s">
        <v>69</v>
      </c>
      <c r="E2215" s="3" t="s">
        <v>39</v>
      </c>
      <c r="F2215" s="3" t="s">
        <v>70</v>
      </c>
      <c r="G2215" s="3" t="s">
        <v>84</v>
      </c>
      <c r="H2215" s="3" t="s">
        <v>42</v>
      </c>
      <c r="I2215" s="3" t="s">
        <v>134</v>
      </c>
      <c r="J2215" s="3" t="n">
        <v>47</v>
      </c>
      <c r="K2215" s="3" t="n">
        <v>2043.41</v>
      </c>
      <c r="L2215" s="3" t="n">
        <v>96040.27</v>
      </c>
      <c r="M2215" s="3" t="n">
        <v>0.0646</v>
      </c>
      <c r="N2215" s="3" t="n">
        <v>6204.2</v>
      </c>
      <c r="O2215" s="3" t="n">
        <v>89836.07</v>
      </c>
      <c r="P2215" s="3" t="n">
        <v>52822.15</v>
      </c>
      <c r="Q2215" s="3" t="n">
        <v>37013.92</v>
      </c>
      <c r="R2215" s="3" t="n">
        <v>0.412</v>
      </c>
      <c r="S2215" s="3" t="n">
        <v>0.0669</v>
      </c>
      <c r="T2215" s="3" t="n">
        <v>-0.0023</v>
      </c>
    </row>
    <row r="2216" customFormat="false" ht="15" hidden="false" customHeight="true" outlineLevel="0" collapsed="false">
      <c r="A2216" s="3" t="s">
        <v>3242</v>
      </c>
      <c r="B2216" s="3" t="s">
        <v>1023</v>
      </c>
      <c r="C2216" s="3" t="s">
        <v>37</v>
      </c>
      <c r="D2216" s="3" t="s">
        <v>103</v>
      </c>
      <c r="E2216" s="3" t="s">
        <v>24</v>
      </c>
      <c r="F2216" s="3" t="s">
        <v>62</v>
      </c>
      <c r="G2216" s="3" t="s">
        <v>63</v>
      </c>
      <c r="H2216" s="3" t="s">
        <v>27</v>
      </c>
      <c r="I2216" s="3" t="s">
        <v>173</v>
      </c>
      <c r="J2216" s="3" t="n">
        <v>31</v>
      </c>
      <c r="K2216" s="3" t="n">
        <v>12543.82</v>
      </c>
      <c r="L2216" s="3" t="n">
        <v>388858.42</v>
      </c>
      <c r="M2216" s="3" t="n">
        <v>0.0605</v>
      </c>
      <c r="N2216" s="3" t="n">
        <v>23525.93</v>
      </c>
      <c r="O2216" s="3" t="n">
        <v>365332.49</v>
      </c>
      <c r="P2216" s="3" t="n">
        <v>241092.22</v>
      </c>
      <c r="Q2216" s="3" t="n">
        <v>124240.27</v>
      </c>
      <c r="R2216" s="3" t="n">
        <v>0.3401</v>
      </c>
      <c r="S2216" s="3" t="n">
        <v>0.062</v>
      </c>
      <c r="T2216" s="3" t="n">
        <v>-0.0015</v>
      </c>
    </row>
    <row r="2217" customFormat="false" ht="15" hidden="false" customHeight="true" outlineLevel="0" collapsed="false">
      <c r="A2217" s="3" t="s">
        <v>3243</v>
      </c>
      <c r="B2217" s="3" t="s">
        <v>492</v>
      </c>
      <c r="C2217" s="3" t="s">
        <v>60</v>
      </c>
      <c r="D2217" s="3" t="s">
        <v>103</v>
      </c>
      <c r="E2217" s="3" t="s">
        <v>24</v>
      </c>
      <c r="F2217" s="3" t="s">
        <v>62</v>
      </c>
      <c r="G2217" s="3" t="s">
        <v>41</v>
      </c>
      <c r="H2217" s="3" t="s">
        <v>64</v>
      </c>
      <c r="I2217" s="3" t="s">
        <v>65</v>
      </c>
      <c r="J2217" s="3" t="n">
        <v>24</v>
      </c>
      <c r="K2217" s="3" t="n">
        <v>5501.95</v>
      </c>
      <c r="L2217" s="3" t="n">
        <v>132046.8</v>
      </c>
      <c r="M2217" s="3" t="n">
        <v>0.0637</v>
      </c>
      <c r="N2217" s="3" t="n">
        <v>8411.38</v>
      </c>
      <c r="O2217" s="3" t="n">
        <v>123635.42</v>
      </c>
      <c r="P2217" s="3" t="n">
        <v>76587.14</v>
      </c>
      <c r="Q2217" s="3" t="n">
        <v>47048.28</v>
      </c>
      <c r="R2217" s="3" t="n">
        <v>0.3805</v>
      </c>
      <c r="S2217" s="3" t="n">
        <v>0.0683</v>
      </c>
      <c r="T2217" s="3" t="n">
        <v>-0.0046</v>
      </c>
    </row>
    <row r="2218" customFormat="false" ht="15" hidden="false" customHeight="true" outlineLevel="0" collapsed="false">
      <c r="A2218" s="3" t="s">
        <v>3244</v>
      </c>
      <c r="B2218" s="3" t="s">
        <v>2159</v>
      </c>
      <c r="C2218" s="3" t="s">
        <v>113</v>
      </c>
      <c r="D2218" s="3" t="s">
        <v>97</v>
      </c>
      <c r="E2218" s="3" t="s">
        <v>48</v>
      </c>
      <c r="F2218" s="3" t="s">
        <v>40</v>
      </c>
      <c r="G2218" s="3" t="s">
        <v>76</v>
      </c>
      <c r="H2218" s="3" t="s">
        <v>56</v>
      </c>
      <c r="I2218" s="3" t="s">
        <v>121</v>
      </c>
      <c r="J2218" s="3" t="n">
        <v>11</v>
      </c>
      <c r="K2218" s="3" t="n">
        <v>15057.04</v>
      </c>
      <c r="L2218" s="3" t="n">
        <v>165627.44</v>
      </c>
      <c r="M2218" s="3" t="n">
        <v>0.0417</v>
      </c>
      <c r="N2218" s="3" t="n">
        <v>6906.66</v>
      </c>
      <c r="O2218" s="3" t="n">
        <v>158720.78</v>
      </c>
      <c r="P2218" s="3" t="n">
        <v>99376.46</v>
      </c>
      <c r="Q2218" s="3" t="n">
        <v>59344.32</v>
      </c>
      <c r="R2218" s="3" t="n">
        <v>0.3739</v>
      </c>
      <c r="S2218" s="3" t="n">
        <v>0.0368</v>
      </c>
      <c r="T2218" s="3" t="n">
        <v>0.0049</v>
      </c>
    </row>
    <row r="2219" customFormat="false" ht="15" hidden="false" customHeight="true" outlineLevel="0" collapsed="false">
      <c r="A2219" s="3" t="s">
        <v>3245</v>
      </c>
      <c r="B2219" s="3" t="s">
        <v>1255</v>
      </c>
      <c r="C2219" s="3" t="s">
        <v>156</v>
      </c>
      <c r="D2219" s="3" t="s">
        <v>75</v>
      </c>
      <c r="E2219" s="3" t="s">
        <v>39</v>
      </c>
      <c r="F2219" s="3" t="s">
        <v>25</v>
      </c>
      <c r="G2219" s="3" t="s">
        <v>100</v>
      </c>
      <c r="H2219" s="3" t="s">
        <v>27</v>
      </c>
      <c r="I2219" s="3" t="s">
        <v>117</v>
      </c>
      <c r="J2219" s="3" t="n">
        <v>5</v>
      </c>
      <c r="K2219" s="3" t="n">
        <v>17472.16</v>
      </c>
      <c r="L2219" s="3" t="n">
        <v>87360.8</v>
      </c>
      <c r="M2219" s="3" t="n">
        <v>0.1813</v>
      </c>
      <c r="N2219" s="3" t="n">
        <v>15838.51</v>
      </c>
      <c r="O2219" s="3" t="n">
        <v>71522.29</v>
      </c>
      <c r="P2219" s="3" t="n">
        <v>54163.7</v>
      </c>
      <c r="Q2219" s="3" t="n">
        <v>17358.59</v>
      </c>
      <c r="R2219" s="3" t="n">
        <v>0.2427</v>
      </c>
      <c r="S2219" s="3" t="n">
        <v>0.15</v>
      </c>
      <c r="T2219" s="3" t="n">
        <v>0.0313</v>
      </c>
    </row>
    <row r="2220" customFormat="false" ht="15" hidden="false" customHeight="true" outlineLevel="0" collapsed="false">
      <c r="A2220" s="3" t="s">
        <v>3246</v>
      </c>
      <c r="B2220" s="3" t="s">
        <v>1340</v>
      </c>
      <c r="C2220" s="3" t="s">
        <v>46</v>
      </c>
      <c r="D2220" s="3" t="s">
        <v>97</v>
      </c>
      <c r="E2220" s="3" t="s">
        <v>48</v>
      </c>
      <c r="F2220" s="3" t="s">
        <v>40</v>
      </c>
      <c r="G2220" s="3" t="s">
        <v>71</v>
      </c>
      <c r="H2220" s="3" t="s">
        <v>64</v>
      </c>
      <c r="I2220" s="3" t="s">
        <v>108</v>
      </c>
      <c r="J2220" s="3" t="n">
        <v>19</v>
      </c>
      <c r="K2220" s="3" t="n">
        <v>10173.62</v>
      </c>
      <c r="L2220" s="3" t="n">
        <v>193298.78</v>
      </c>
      <c r="M2220" s="3" t="n">
        <v>0.0326</v>
      </c>
      <c r="N2220" s="3" t="n">
        <v>6301.54</v>
      </c>
      <c r="O2220" s="3" t="n">
        <v>186997.24</v>
      </c>
      <c r="P2220" s="3" t="n">
        <v>112113.29</v>
      </c>
      <c r="Q2220" s="3" t="n">
        <v>74883.95</v>
      </c>
      <c r="R2220" s="3" t="n">
        <v>0.4005</v>
      </c>
      <c r="S2220" s="3" t="n">
        <v>0.0267</v>
      </c>
      <c r="T2220" s="3" t="n">
        <v>0.0059</v>
      </c>
    </row>
    <row r="2221" customFormat="false" ht="15" hidden="false" customHeight="true" outlineLevel="0" collapsed="false">
      <c r="A2221" s="3" t="s">
        <v>3247</v>
      </c>
      <c r="B2221" s="3" t="s">
        <v>1367</v>
      </c>
      <c r="C2221" s="3" t="s">
        <v>120</v>
      </c>
      <c r="D2221" s="3" t="s">
        <v>97</v>
      </c>
      <c r="E2221" s="3" t="s">
        <v>48</v>
      </c>
      <c r="F2221" s="3" t="s">
        <v>40</v>
      </c>
      <c r="G2221" s="3" t="s">
        <v>71</v>
      </c>
      <c r="H2221" s="3" t="s">
        <v>77</v>
      </c>
      <c r="I2221" s="3" t="s">
        <v>78</v>
      </c>
      <c r="J2221" s="3" t="n">
        <v>30</v>
      </c>
      <c r="K2221" s="3" t="n">
        <v>5438.87</v>
      </c>
      <c r="L2221" s="3" t="n">
        <v>163166.1</v>
      </c>
      <c r="M2221" s="3" t="n">
        <v>0.0665</v>
      </c>
      <c r="N2221" s="3" t="n">
        <v>10850.55</v>
      </c>
      <c r="O2221" s="3" t="n">
        <v>152315.55</v>
      </c>
      <c r="P2221" s="3" t="n">
        <v>110952.95</v>
      </c>
      <c r="Q2221" s="3" t="n">
        <v>41362.6</v>
      </c>
      <c r="R2221" s="3" t="n">
        <v>0.2716</v>
      </c>
      <c r="S2221" s="3" t="n">
        <v>0.0698</v>
      </c>
      <c r="T2221" s="3" t="n">
        <v>-0.0033</v>
      </c>
    </row>
    <row r="2222" customFormat="false" ht="15" hidden="false" customHeight="true" outlineLevel="0" collapsed="false">
      <c r="A2222" s="3" t="s">
        <v>3248</v>
      </c>
      <c r="B2222" s="3" t="s">
        <v>2398</v>
      </c>
      <c r="C2222" s="3" t="s">
        <v>113</v>
      </c>
      <c r="D2222" s="3" t="s">
        <v>83</v>
      </c>
      <c r="E2222" s="3" t="s">
        <v>48</v>
      </c>
      <c r="F2222" s="3" t="s">
        <v>62</v>
      </c>
      <c r="G2222" s="3" t="s">
        <v>76</v>
      </c>
      <c r="H2222" s="3" t="s">
        <v>77</v>
      </c>
      <c r="I2222" s="3" t="s">
        <v>78</v>
      </c>
      <c r="J2222" s="3" t="n">
        <v>40</v>
      </c>
      <c r="K2222" s="3" t="n">
        <v>3186.82</v>
      </c>
      <c r="L2222" s="3" t="n">
        <v>127472.8</v>
      </c>
      <c r="M2222" s="3" t="n">
        <v>0.0693</v>
      </c>
      <c r="N2222" s="3" t="n">
        <v>8833.87</v>
      </c>
      <c r="O2222" s="3" t="n">
        <v>118638.93</v>
      </c>
      <c r="P2222" s="3" t="n">
        <v>86681.5</v>
      </c>
      <c r="Q2222" s="3" t="n">
        <v>31957.43</v>
      </c>
      <c r="R2222" s="3" t="n">
        <v>0.2694</v>
      </c>
      <c r="S2222" s="3" t="n">
        <v>0.0747</v>
      </c>
      <c r="T2222" s="3" t="n">
        <v>-0.0054</v>
      </c>
    </row>
    <row r="2223" customFormat="false" ht="15" hidden="false" customHeight="true" outlineLevel="0" collapsed="false">
      <c r="A2223" s="3" t="s">
        <v>3249</v>
      </c>
      <c r="B2223" s="3" t="s">
        <v>3250</v>
      </c>
      <c r="C2223" s="3" t="s">
        <v>93</v>
      </c>
      <c r="D2223" s="3" t="s">
        <v>32</v>
      </c>
      <c r="E2223" s="3" t="s">
        <v>33</v>
      </c>
      <c r="F2223" s="3" t="s">
        <v>25</v>
      </c>
      <c r="G2223" s="3" t="s">
        <v>71</v>
      </c>
      <c r="H2223" s="3" t="s">
        <v>77</v>
      </c>
      <c r="I2223" s="3" t="s">
        <v>78</v>
      </c>
      <c r="J2223" s="3" t="n">
        <v>35</v>
      </c>
      <c r="K2223" s="3" t="n">
        <v>3799.8</v>
      </c>
      <c r="L2223" s="3" t="n">
        <v>132993</v>
      </c>
      <c r="M2223" s="3" t="n">
        <v>0.1489</v>
      </c>
      <c r="N2223" s="3" t="n">
        <v>19802.66</v>
      </c>
      <c r="O2223" s="3" t="n">
        <v>113190.34</v>
      </c>
      <c r="P2223" s="3" t="n">
        <v>90435.24</v>
      </c>
      <c r="Q2223" s="3" t="n">
        <v>22755.1</v>
      </c>
      <c r="R2223" s="3" t="n">
        <v>0.201</v>
      </c>
      <c r="S2223" s="3" t="n">
        <v>0.1472</v>
      </c>
      <c r="T2223" s="3" t="n">
        <v>0.0017</v>
      </c>
    </row>
    <row r="2224" customFormat="false" ht="15" hidden="false" customHeight="true" outlineLevel="0" collapsed="false">
      <c r="A2224" s="3" t="s">
        <v>3251</v>
      </c>
      <c r="B2224" s="3" t="s">
        <v>1310</v>
      </c>
      <c r="C2224" s="3" t="s">
        <v>37</v>
      </c>
      <c r="D2224" s="3" t="s">
        <v>103</v>
      </c>
      <c r="E2224" s="3" t="s">
        <v>24</v>
      </c>
      <c r="F2224" s="3" t="s">
        <v>62</v>
      </c>
      <c r="G2224" s="3" t="s">
        <v>41</v>
      </c>
      <c r="H2224" s="3" t="s">
        <v>56</v>
      </c>
      <c r="I2224" s="3" t="s">
        <v>188</v>
      </c>
      <c r="J2224" s="3" t="n">
        <v>39</v>
      </c>
      <c r="K2224" s="3" t="n">
        <v>4488.83</v>
      </c>
      <c r="L2224" s="3" t="n">
        <v>175064.37</v>
      </c>
      <c r="M2224" s="3" t="n">
        <v>0.0902</v>
      </c>
      <c r="N2224" s="3" t="n">
        <v>15790.81</v>
      </c>
      <c r="O2224" s="3" t="n">
        <v>159273.56</v>
      </c>
      <c r="P2224" s="3" t="n">
        <v>105038.62</v>
      </c>
      <c r="Q2224" s="3" t="n">
        <v>54234.94</v>
      </c>
      <c r="R2224" s="3" t="n">
        <v>0.3405</v>
      </c>
      <c r="S2224" s="3" t="n">
        <v>0.0826</v>
      </c>
      <c r="T2224" s="3" t="n">
        <v>0.0076</v>
      </c>
    </row>
    <row r="2225" customFormat="false" ht="15" hidden="false" customHeight="true" outlineLevel="0" collapsed="false">
      <c r="A2225" s="3" t="s">
        <v>3252</v>
      </c>
      <c r="B2225" s="3" t="s">
        <v>652</v>
      </c>
      <c r="C2225" s="3" t="s">
        <v>53</v>
      </c>
      <c r="D2225" s="3" t="s">
        <v>107</v>
      </c>
      <c r="E2225" s="3" t="s">
        <v>33</v>
      </c>
      <c r="F2225" s="3" t="s">
        <v>70</v>
      </c>
      <c r="G2225" s="3" t="s">
        <v>76</v>
      </c>
      <c r="H2225" s="3" t="s">
        <v>42</v>
      </c>
      <c r="I2225" s="3" t="s">
        <v>72</v>
      </c>
      <c r="J2225" s="3" t="n">
        <v>47</v>
      </c>
      <c r="K2225" s="3" t="n">
        <v>3702</v>
      </c>
      <c r="L2225" s="3" t="n">
        <v>173994</v>
      </c>
      <c r="M2225" s="3" t="n">
        <v>0.067</v>
      </c>
      <c r="N2225" s="3" t="n">
        <v>11657.6</v>
      </c>
      <c r="O2225" s="3" t="n">
        <v>162336.4</v>
      </c>
      <c r="P2225" s="3" t="n">
        <v>95696.7</v>
      </c>
      <c r="Q2225" s="3" t="n">
        <v>66639.7</v>
      </c>
      <c r="R2225" s="3" t="n">
        <v>0.4105</v>
      </c>
      <c r="S2225" s="3" t="n">
        <v>0.0633</v>
      </c>
      <c r="T2225" s="3" t="n">
        <v>0.0037</v>
      </c>
    </row>
    <row r="2226" customFormat="false" ht="15" hidden="false" customHeight="true" outlineLevel="0" collapsed="false">
      <c r="A2226" s="3" t="s">
        <v>3253</v>
      </c>
      <c r="B2226" s="3" t="s">
        <v>633</v>
      </c>
      <c r="C2226" s="3" t="s">
        <v>22</v>
      </c>
      <c r="D2226" s="3" t="s">
        <v>23</v>
      </c>
      <c r="E2226" s="3" t="s">
        <v>24</v>
      </c>
      <c r="F2226" s="3" t="s">
        <v>25</v>
      </c>
      <c r="G2226" s="3" t="s">
        <v>55</v>
      </c>
      <c r="H2226" s="3" t="s">
        <v>64</v>
      </c>
      <c r="I2226" s="3" t="s">
        <v>90</v>
      </c>
      <c r="J2226" s="3" t="n">
        <v>5</v>
      </c>
      <c r="K2226" s="3" t="n">
        <v>9924.79</v>
      </c>
      <c r="L2226" s="3" t="n">
        <v>49623.95</v>
      </c>
      <c r="M2226" s="3" t="n">
        <v>0.1177</v>
      </c>
      <c r="N2226" s="3" t="n">
        <v>5840.74</v>
      </c>
      <c r="O2226" s="3" t="n">
        <v>43783.21</v>
      </c>
      <c r="P2226" s="3" t="n">
        <v>28781.89</v>
      </c>
      <c r="Q2226" s="3" t="n">
        <v>15001.32</v>
      </c>
      <c r="R2226" s="3" t="n">
        <v>0.3426</v>
      </c>
      <c r="S2226" s="3" t="n">
        <v>0.0972</v>
      </c>
      <c r="T2226" s="3" t="n">
        <v>0.0205</v>
      </c>
    </row>
    <row r="2227" customFormat="false" ht="15" hidden="false" customHeight="true" outlineLevel="0" collapsed="false">
      <c r="A2227" s="3" t="s">
        <v>3254</v>
      </c>
      <c r="B2227" s="3" t="s">
        <v>639</v>
      </c>
      <c r="C2227" s="3" t="s">
        <v>31</v>
      </c>
      <c r="D2227" s="3" t="s">
        <v>32</v>
      </c>
      <c r="E2227" s="3" t="s">
        <v>33</v>
      </c>
      <c r="F2227" s="3" t="s">
        <v>25</v>
      </c>
      <c r="G2227" s="3" t="s">
        <v>84</v>
      </c>
      <c r="H2227" s="3" t="s">
        <v>27</v>
      </c>
      <c r="I2227" s="3" t="s">
        <v>94</v>
      </c>
      <c r="J2227" s="3" t="n">
        <v>3</v>
      </c>
      <c r="K2227" s="3" t="n">
        <v>38912.33</v>
      </c>
      <c r="L2227" s="3" t="n">
        <v>116736.99</v>
      </c>
      <c r="M2227" s="3" t="n">
        <v>0.1095</v>
      </c>
      <c r="N2227" s="3" t="n">
        <v>12782.7</v>
      </c>
      <c r="O2227" s="3" t="n">
        <v>103954.29</v>
      </c>
      <c r="P2227" s="3" t="n">
        <v>72376.93</v>
      </c>
      <c r="Q2227" s="3" t="n">
        <v>31577.36</v>
      </c>
      <c r="R2227" s="3" t="n">
        <v>0.3038</v>
      </c>
      <c r="S2227" s="3" t="n">
        <v>0.1141</v>
      </c>
      <c r="T2227" s="3" t="n">
        <v>-0.0046</v>
      </c>
    </row>
    <row r="2228" customFormat="false" ht="15" hidden="false" customHeight="true" outlineLevel="0" collapsed="false">
      <c r="A2228" s="3" t="s">
        <v>3255</v>
      </c>
      <c r="B2228" s="3" t="s">
        <v>354</v>
      </c>
      <c r="C2228" s="3" t="s">
        <v>22</v>
      </c>
      <c r="D2228" s="3" t="s">
        <v>97</v>
      </c>
      <c r="E2228" s="3" t="s">
        <v>48</v>
      </c>
      <c r="F2228" s="3" t="s">
        <v>40</v>
      </c>
      <c r="G2228" s="3" t="s">
        <v>71</v>
      </c>
      <c r="H2228" s="3" t="s">
        <v>56</v>
      </c>
      <c r="I2228" s="3" t="s">
        <v>188</v>
      </c>
      <c r="J2228" s="3" t="n">
        <v>5</v>
      </c>
      <c r="K2228" s="3" t="n">
        <v>16661.29</v>
      </c>
      <c r="L2228" s="3" t="n">
        <v>83306.45</v>
      </c>
      <c r="M2228" s="3" t="n">
        <v>0.0527</v>
      </c>
      <c r="N2228" s="3" t="n">
        <v>4390.25</v>
      </c>
      <c r="O2228" s="3" t="n">
        <v>78916.2</v>
      </c>
      <c r="P2228" s="3" t="n">
        <v>49983.87</v>
      </c>
      <c r="Q2228" s="3" t="n">
        <v>28932.33</v>
      </c>
      <c r="R2228" s="3" t="n">
        <v>0.3666</v>
      </c>
      <c r="S2228" s="3" t="n">
        <v>0.0558</v>
      </c>
      <c r="T2228" s="3" t="n">
        <v>-0.0031</v>
      </c>
    </row>
    <row r="2229" customFormat="false" ht="15" hidden="false" customHeight="true" outlineLevel="0" collapsed="false">
      <c r="A2229" s="3" t="s">
        <v>3256</v>
      </c>
      <c r="B2229" s="3" t="s">
        <v>905</v>
      </c>
      <c r="C2229" s="3" t="s">
        <v>53</v>
      </c>
      <c r="D2229" s="3" t="s">
        <v>83</v>
      </c>
      <c r="E2229" s="3" t="s">
        <v>48</v>
      </c>
      <c r="F2229" s="3" t="s">
        <v>62</v>
      </c>
      <c r="G2229" s="3" t="s">
        <v>104</v>
      </c>
      <c r="H2229" s="3" t="s">
        <v>42</v>
      </c>
      <c r="I2229" s="3" t="s">
        <v>72</v>
      </c>
      <c r="J2229" s="3" t="n">
        <v>15</v>
      </c>
      <c r="K2229" s="3" t="n">
        <v>3292.78</v>
      </c>
      <c r="L2229" s="3" t="n">
        <v>49391.7</v>
      </c>
      <c r="M2229" s="3" t="n">
        <v>0.094</v>
      </c>
      <c r="N2229" s="3" t="n">
        <v>4642.82</v>
      </c>
      <c r="O2229" s="3" t="n">
        <v>44748.88</v>
      </c>
      <c r="P2229" s="3" t="n">
        <v>27165.44</v>
      </c>
      <c r="Q2229" s="3" t="n">
        <v>17583.44</v>
      </c>
      <c r="R2229" s="3" t="n">
        <v>0.3929</v>
      </c>
      <c r="S2229" s="3" t="n">
        <v>0.0948</v>
      </c>
      <c r="T2229" s="3" t="n">
        <v>-0.0008</v>
      </c>
    </row>
    <row r="2230" customFormat="false" ht="15" hidden="false" customHeight="true" outlineLevel="0" collapsed="false">
      <c r="A2230" s="3" t="s">
        <v>3257</v>
      </c>
      <c r="B2230" s="3" t="s">
        <v>687</v>
      </c>
      <c r="C2230" s="3" t="s">
        <v>60</v>
      </c>
      <c r="D2230" s="3" t="s">
        <v>75</v>
      </c>
      <c r="E2230" s="3" t="s">
        <v>39</v>
      </c>
      <c r="F2230" s="3" t="s">
        <v>25</v>
      </c>
      <c r="G2230" s="3" t="s">
        <v>26</v>
      </c>
      <c r="H2230" s="3" t="s">
        <v>56</v>
      </c>
      <c r="I2230" s="3" t="s">
        <v>57</v>
      </c>
      <c r="J2230" s="3" t="n">
        <v>49</v>
      </c>
      <c r="K2230" s="3" t="n">
        <v>16171.99</v>
      </c>
      <c r="L2230" s="3" t="n">
        <v>792427.51</v>
      </c>
      <c r="M2230" s="3" t="n">
        <v>0.0836</v>
      </c>
      <c r="N2230" s="3" t="n">
        <v>66246.94</v>
      </c>
      <c r="O2230" s="3" t="n">
        <v>726180.57</v>
      </c>
      <c r="P2230" s="3" t="n">
        <v>475456.51</v>
      </c>
      <c r="Q2230" s="3" t="n">
        <v>250724.06</v>
      </c>
      <c r="R2230" s="3" t="n">
        <v>0.3453</v>
      </c>
      <c r="S2230" s="3" t="n">
        <v>0.0705</v>
      </c>
      <c r="T2230" s="3" t="n">
        <v>0.0131</v>
      </c>
    </row>
    <row r="2231" customFormat="false" ht="15" hidden="false" customHeight="true" outlineLevel="0" collapsed="false">
      <c r="A2231" s="3" t="s">
        <v>3258</v>
      </c>
      <c r="B2231" s="3" t="s">
        <v>2988</v>
      </c>
      <c r="C2231" s="3" t="s">
        <v>60</v>
      </c>
      <c r="D2231" s="3" t="s">
        <v>83</v>
      </c>
      <c r="E2231" s="3" t="s">
        <v>48</v>
      </c>
      <c r="F2231" s="3" t="s">
        <v>62</v>
      </c>
      <c r="G2231" s="3" t="s">
        <v>76</v>
      </c>
      <c r="H2231" s="3" t="s">
        <v>77</v>
      </c>
      <c r="I2231" s="3" t="s">
        <v>85</v>
      </c>
      <c r="J2231" s="3" t="n">
        <v>36</v>
      </c>
      <c r="K2231" s="3" t="n">
        <v>2398.91</v>
      </c>
      <c r="L2231" s="3" t="n">
        <v>86360.76</v>
      </c>
      <c r="M2231" s="3" t="n">
        <v>0.0527</v>
      </c>
      <c r="N2231" s="3" t="n">
        <v>4551.21</v>
      </c>
      <c r="O2231" s="3" t="n">
        <v>81809.55</v>
      </c>
      <c r="P2231" s="3" t="n">
        <v>58725.32</v>
      </c>
      <c r="Q2231" s="3" t="n">
        <v>23084.23</v>
      </c>
      <c r="R2231" s="3" t="n">
        <v>0.2822</v>
      </c>
      <c r="S2231" s="3" t="n">
        <v>0.0425</v>
      </c>
      <c r="T2231" s="3" t="n">
        <v>0.0102</v>
      </c>
    </row>
    <row r="2232" customFormat="false" ht="15" hidden="false" customHeight="true" outlineLevel="0" collapsed="false">
      <c r="A2232" s="3" t="s">
        <v>3259</v>
      </c>
      <c r="B2232" s="3" t="s">
        <v>440</v>
      </c>
      <c r="C2232" s="3" t="s">
        <v>53</v>
      </c>
      <c r="D2232" s="3" t="s">
        <v>54</v>
      </c>
      <c r="E2232" s="3" t="s">
        <v>24</v>
      </c>
      <c r="F2232" s="3" t="s">
        <v>40</v>
      </c>
      <c r="G2232" s="3" t="s">
        <v>116</v>
      </c>
      <c r="H2232" s="3" t="s">
        <v>64</v>
      </c>
      <c r="I2232" s="3" t="s">
        <v>108</v>
      </c>
      <c r="J2232" s="3" t="n">
        <v>25</v>
      </c>
      <c r="K2232" s="3" t="n">
        <v>6381.12</v>
      </c>
      <c r="L2232" s="3" t="n">
        <v>159528</v>
      </c>
      <c r="M2232" s="3" t="n">
        <v>0.1114</v>
      </c>
      <c r="N2232" s="3" t="n">
        <v>17771.42</v>
      </c>
      <c r="O2232" s="3" t="n">
        <v>141756.58</v>
      </c>
      <c r="P2232" s="3" t="n">
        <v>92526.24</v>
      </c>
      <c r="Q2232" s="3" t="n">
        <v>49230.34</v>
      </c>
      <c r="R2232" s="3" t="n">
        <v>0.3473</v>
      </c>
      <c r="S2232" s="3" t="n">
        <v>0.1088</v>
      </c>
      <c r="T2232" s="3" t="n">
        <v>0.0026</v>
      </c>
    </row>
    <row r="2233" customFormat="false" ht="15" hidden="false" customHeight="true" outlineLevel="0" collapsed="false">
      <c r="A2233" s="3" t="s">
        <v>3260</v>
      </c>
      <c r="B2233" s="3" t="s">
        <v>1031</v>
      </c>
      <c r="C2233" s="3" t="s">
        <v>126</v>
      </c>
      <c r="D2233" s="3" t="s">
        <v>23</v>
      </c>
      <c r="E2233" s="3" t="s">
        <v>24</v>
      </c>
      <c r="F2233" s="3" t="s">
        <v>25</v>
      </c>
      <c r="G2233" s="3" t="s">
        <v>34</v>
      </c>
      <c r="H2233" s="3" t="s">
        <v>77</v>
      </c>
      <c r="I2233" s="3" t="s">
        <v>131</v>
      </c>
      <c r="J2233" s="3" t="n">
        <v>1</v>
      </c>
      <c r="K2233" s="3" t="n">
        <v>4752.18</v>
      </c>
      <c r="L2233" s="3" t="n">
        <v>4752.18</v>
      </c>
      <c r="M2233" s="3" t="n">
        <v>0.198</v>
      </c>
      <c r="N2233" s="3" t="n">
        <v>940.93</v>
      </c>
      <c r="O2233" s="3" t="n">
        <v>3811.25</v>
      </c>
      <c r="P2233" s="3" t="n">
        <v>3231.48</v>
      </c>
      <c r="Q2233" s="3" t="n">
        <v>579.77</v>
      </c>
      <c r="R2233" s="3" t="n">
        <v>0.1521</v>
      </c>
      <c r="S2233" s="3" t="n">
        <v>0.1759</v>
      </c>
      <c r="T2233" s="3" t="n">
        <v>0.0221</v>
      </c>
    </row>
    <row r="2234" customFormat="false" ht="15" hidden="false" customHeight="true" outlineLevel="0" collapsed="false">
      <c r="A2234" s="3" t="s">
        <v>3261</v>
      </c>
      <c r="B2234" s="3" t="s">
        <v>854</v>
      </c>
      <c r="C2234" s="3" t="s">
        <v>37</v>
      </c>
      <c r="D2234" s="3" t="s">
        <v>83</v>
      </c>
      <c r="E2234" s="3" t="s">
        <v>48</v>
      </c>
      <c r="F2234" s="3" t="s">
        <v>62</v>
      </c>
      <c r="G2234" s="3" t="s">
        <v>100</v>
      </c>
      <c r="H2234" s="3" t="s">
        <v>27</v>
      </c>
      <c r="I2234" s="3" t="s">
        <v>50</v>
      </c>
      <c r="J2234" s="3" t="n">
        <v>32</v>
      </c>
      <c r="K2234" s="3" t="n">
        <v>34899.77</v>
      </c>
      <c r="L2234" s="3" t="n">
        <v>1116792.64</v>
      </c>
      <c r="M2234" s="3" t="n">
        <v>0.0554</v>
      </c>
      <c r="N2234" s="3" t="n">
        <v>61870.31</v>
      </c>
      <c r="O2234" s="3" t="n">
        <v>1054922.33</v>
      </c>
      <c r="P2234" s="3" t="n">
        <v>692411.44</v>
      </c>
      <c r="Q2234" s="3" t="n">
        <v>362510.89</v>
      </c>
      <c r="R2234" s="3" t="n">
        <v>0.3436</v>
      </c>
      <c r="S2234" s="3" t="n">
        <v>0.0445</v>
      </c>
      <c r="T2234" s="3" t="n">
        <v>0.0109</v>
      </c>
    </row>
    <row r="2235" customFormat="false" ht="15" hidden="false" customHeight="true" outlineLevel="0" collapsed="false">
      <c r="A2235" s="3" t="s">
        <v>3262</v>
      </c>
      <c r="B2235" s="3" t="s">
        <v>370</v>
      </c>
      <c r="C2235" s="3" t="s">
        <v>37</v>
      </c>
      <c r="D2235" s="3" t="s">
        <v>83</v>
      </c>
      <c r="E2235" s="3" t="s">
        <v>48</v>
      </c>
      <c r="F2235" s="3" t="s">
        <v>62</v>
      </c>
      <c r="G2235" s="3" t="s">
        <v>104</v>
      </c>
      <c r="H2235" s="3" t="s">
        <v>27</v>
      </c>
      <c r="I2235" s="3" t="s">
        <v>117</v>
      </c>
      <c r="J2235" s="3" t="n">
        <v>40</v>
      </c>
      <c r="K2235" s="3" t="n">
        <v>35525.8</v>
      </c>
      <c r="L2235" s="3" t="n">
        <v>1421032</v>
      </c>
      <c r="M2235" s="3" t="n">
        <v>0.1148</v>
      </c>
      <c r="N2235" s="3" t="n">
        <v>163134.47</v>
      </c>
      <c r="O2235" s="3" t="n">
        <v>1257897.53</v>
      </c>
      <c r="P2235" s="3" t="n">
        <v>881039.84</v>
      </c>
      <c r="Q2235" s="3" t="n">
        <v>376857.69</v>
      </c>
      <c r="R2235" s="3" t="n">
        <v>0.2996</v>
      </c>
      <c r="S2235" s="3" t="n">
        <v>0.0943</v>
      </c>
      <c r="T2235" s="3" t="n">
        <v>0.0205</v>
      </c>
    </row>
    <row r="2236" customFormat="false" ht="15" hidden="false" customHeight="true" outlineLevel="0" collapsed="false">
      <c r="A2236" s="3" t="s">
        <v>3263</v>
      </c>
      <c r="B2236" s="3" t="s">
        <v>799</v>
      </c>
      <c r="C2236" s="3" t="s">
        <v>46</v>
      </c>
      <c r="D2236" s="3" t="s">
        <v>103</v>
      </c>
      <c r="E2236" s="3" t="s">
        <v>24</v>
      </c>
      <c r="F2236" s="3" t="s">
        <v>62</v>
      </c>
      <c r="G2236" s="3" t="s">
        <v>84</v>
      </c>
      <c r="H2236" s="3" t="s">
        <v>64</v>
      </c>
      <c r="I2236" s="3" t="s">
        <v>90</v>
      </c>
      <c r="J2236" s="3" t="n">
        <v>45</v>
      </c>
      <c r="K2236" s="3" t="n">
        <v>5316.41</v>
      </c>
      <c r="L2236" s="3" t="n">
        <v>239238.45</v>
      </c>
      <c r="M2236" s="3" t="n">
        <v>0.0752</v>
      </c>
      <c r="N2236" s="3" t="n">
        <v>17990.73</v>
      </c>
      <c r="O2236" s="3" t="n">
        <v>221247.72</v>
      </c>
      <c r="P2236" s="3" t="n">
        <v>138758.3</v>
      </c>
      <c r="Q2236" s="3" t="n">
        <v>82489.42</v>
      </c>
      <c r="R2236" s="3" t="n">
        <v>0.3728</v>
      </c>
      <c r="S2236" s="3" t="n">
        <v>0.0698</v>
      </c>
      <c r="T2236" s="3" t="n">
        <v>0.0054</v>
      </c>
    </row>
    <row r="2237" customFormat="false" ht="15" hidden="false" customHeight="true" outlineLevel="0" collapsed="false">
      <c r="A2237" s="3" t="s">
        <v>3264</v>
      </c>
      <c r="B2237" s="3" t="s">
        <v>2428</v>
      </c>
      <c r="C2237" s="3" t="s">
        <v>68</v>
      </c>
      <c r="D2237" s="3" t="s">
        <v>23</v>
      </c>
      <c r="E2237" s="3" t="s">
        <v>24</v>
      </c>
      <c r="F2237" s="3" t="s">
        <v>25</v>
      </c>
      <c r="G2237" s="3" t="s">
        <v>55</v>
      </c>
      <c r="H2237" s="3" t="s">
        <v>64</v>
      </c>
      <c r="I2237" s="3" t="s">
        <v>108</v>
      </c>
      <c r="J2237" s="3" t="n">
        <v>27</v>
      </c>
      <c r="K2237" s="3" t="n">
        <v>9669.73</v>
      </c>
      <c r="L2237" s="3" t="n">
        <v>261082.71</v>
      </c>
      <c r="M2237" s="3" t="n">
        <v>0.0965</v>
      </c>
      <c r="N2237" s="3" t="n">
        <v>25194.48</v>
      </c>
      <c r="O2237" s="3" t="n">
        <v>235888.23</v>
      </c>
      <c r="P2237" s="3" t="n">
        <v>151427.97</v>
      </c>
      <c r="Q2237" s="3" t="n">
        <v>84460.26</v>
      </c>
      <c r="R2237" s="3" t="n">
        <v>0.3581</v>
      </c>
      <c r="S2237" s="3" t="n">
        <v>0.0909</v>
      </c>
      <c r="T2237" s="3" t="n">
        <v>0.0056</v>
      </c>
    </row>
    <row r="2238" customFormat="false" ht="15" hidden="false" customHeight="true" outlineLevel="0" collapsed="false">
      <c r="A2238" s="3" t="s">
        <v>3265</v>
      </c>
      <c r="B2238" s="3" t="s">
        <v>2967</v>
      </c>
      <c r="C2238" s="3" t="s">
        <v>22</v>
      </c>
      <c r="D2238" s="3" t="s">
        <v>75</v>
      </c>
      <c r="E2238" s="3" t="s">
        <v>39</v>
      </c>
      <c r="F2238" s="3" t="s">
        <v>25</v>
      </c>
      <c r="G2238" s="3" t="s">
        <v>55</v>
      </c>
      <c r="H2238" s="3" t="s">
        <v>64</v>
      </c>
      <c r="I2238" s="3" t="s">
        <v>145</v>
      </c>
      <c r="J2238" s="3" t="n">
        <v>27</v>
      </c>
      <c r="K2238" s="3" t="n">
        <v>4382.5</v>
      </c>
      <c r="L2238" s="3" t="n">
        <v>118327.5</v>
      </c>
      <c r="M2238" s="3" t="n">
        <v>0.106</v>
      </c>
      <c r="N2238" s="3" t="n">
        <v>12542.72</v>
      </c>
      <c r="O2238" s="3" t="n">
        <v>105784.78</v>
      </c>
      <c r="P2238" s="3" t="n">
        <v>68629.95</v>
      </c>
      <c r="Q2238" s="3" t="n">
        <v>37154.83</v>
      </c>
      <c r="R2238" s="3" t="n">
        <v>0.3512</v>
      </c>
      <c r="S2238" s="3" t="n">
        <v>0.0893</v>
      </c>
      <c r="T2238" s="3" t="n">
        <v>0.0167</v>
      </c>
    </row>
    <row r="2239" customFormat="false" ht="15" hidden="false" customHeight="true" outlineLevel="0" collapsed="false">
      <c r="A2239" s="3" t="s">
        <v>3266</v>
      </c>
      <c r="B2239" s="3" t="s">
        <v>573</v>
      </c>
      <c r="C2239" s="3" t="s">
        <v>60</v>
      </c>
      <c r="D2239" s="3" t="s">
        <v>38</v>
      </c>
      <c r="E2239" s="3" t="s">
        <v>39</v>
      </c>
      <c r="F2239" s="3" t="s">
        <v>40</v>
      </c>
      <c r="G2239" s="3" t="s">
        <v>71</v>
      </c>
      <c r="H2239" s="3" t="s">
        <v>64</v>
      </c>
      <c r="I2239" s="3" t="s">
        <v>65</v>
      </c>
      <c r="J2239" s="3" t="n">
        <v>47</v>
      </c>
      <c r="K2239" s="3" t="n">
        <v>6319.97</v>
      </c>
      <c r="L2239" s="3" t="n">
        <v>297038.59</v>
      </c>
      <c r="M2239" s="3" t="n">
        <v>0.0764</v>
      </c>
      <c r="N2239" s="3" t="n">
        <v>22693.75</v>
      </c>
      <c r="O2239" s="3" t="n">
        <v>274344.84</v>
      </c>
      <c r="P2239" s="3" t="n">
        <v>172282.38</v>
      </c>
      <c r="Q2239" s="3" t="n">
        <v>102062.46</v>
      </c>
      <c r="R2239" s="3" t="n">
        <v>0.372</v>
      </c>
      <c r="S2239" s="3" t="n">
        <v>0.0747</v>
      </c>
      <c r="T2239" s="3" t="n">
        <v>0.0017</v>
      </c>
    </row>
    <row r="2240" customFormat="false" ht="15" hidden="false" customHeight="true" outlineLevel="0" collapsed="false">
      <c r="A2240" s="3" t="s">
        <v>3267</v>
      </c>
      <c r="B2240" s="3" t="s">
        <v>1447</v>
      </c>
      <c r="C2240" s="3" t="s">
        <v>37</v>
      </c>
      <c r="D2240" s="3" t="s">
        <v>61</v>
      </c>
      <c r="E2240" s="3" t="s">
        <v>33</v>
      </c>
      <c r="F2240" s="3" t="s">
        <v>62</v>
      </c>
      <c r="G2240" s="3" t="s">
        <v>63</v>
      </c>
      <c r="H2240" s="3" t="s">
        <v>27</v>
      </c>
      <c r="I2240" s="3" t="s">
        <v>50</v>
      </c>
      <c r="J2240" s="3" t="n">
        <v>10</v>
      </c>
      <c r="K2240" s="3" t="n">
        <v>14987.72</v>
      </c>
      <c r="L2240" s="3" t="n">
        <v>149877.2</v>
      </c>
      <c r="M2240" s="3" t="n">
        <v>0.0596</v>
      </c>
      <c r="N2240" s="3" t="n">
        <v>8932.68</v>
      </c>
      <c r="O2240" s="3" t="n">
        <v>140944.52</v>
      </c>
      <c r="P2240" s="3" t="n">
        <v>92923.86</v>
      </c>
      <c r="Q2240" s="3" t="n">
        <v>48020.66</v>
      </c>
      <c r="R2240" s="3" t="n">
        <v>0.3407</v>
      </c>
      <c r="S2240" s="3" t="n">
        <v>0.0612</v>
      </c>
      <c r="T2240" s="3" t="n">
        <v>-0.0016</v>
      </c>
    </row>
    <row r="2241" customFormat="false" ht="15" hidden="false" customHeight="true" outlineLevel="0" collapsed="false">
      <c r="A2241" s="3" t="s">
        <v>3268</v>
      </c>
      <c r="B2241" s="3" t="s">
        <v>2840</v>
      </c>
      <c r="C2241" s="3" t="s">
        <v>31</v>
      </c>
      <c r="D2241" s="3" t="s">
        <v>97</v>
      </c>
      <c r="E2241" s="3" t="s">
        <v>48</v>
      </c>
      <c r="F2241" s="3" t="s">
        <v>40</v>
      </c>
      <c r="G2241" s="3" t="s">
        <v>34</v>
      </c>
      <c r="H2241" s="3" t="s">
        <v>56</v>
      </c>
      <c r="I2241" s="3" t="s">
        <v>57</v>
      </c>
      <c r="J2241" s="3" t="n">
        <v>30</v>
      </c>
      <c r="K2241" s="3" t="n">
        <v>8974.27</v>
      </c>
      <c r="L2241" s="3" t="n">
        <v>269228.1</v>
      </c>
      <c r="M2241" s="3" t="n">
        <v>0.1159</v>
      </c>
      <c r="N2241" s="3" t="n">
        <v>31203.54</v>
      </c>
      <c r="O2241" s="3" t="n">
        <v>238024.56</v>
      </c>
      <c r="P2241" s="3" t="n">
        <v>161536.86</v>
      </c>
      <c r="Q2241" s="3" t="n">
        <v>76487.7</v>
      </c>
      <c r="R2241" s="3" t="n">
        <v>0.3213</v>
      </c>
      <c r="S2241" s="3" t="n">
        <v>0.0987</v>
      </c>
      <c r="T2241" s="3" t="n">
        <v>0.0172</v>
      </c>
    </row>
    <row r="2242" customFormat="false" ht="15" hidden="false" customHeight="true" outlineLevel="0" collapsed="false">
      <c r="A2242" s="3" t="s">
        <v>3269</v>
      </c>
      <c r="B2242" s="3" t="s">
        <v>2915</v>
      </c>
      <c r="C2242" s="3" t="s">
        <v>68</v>
      </c>
      <c r="D2242" s="3" t="s">
        <v>38</v>
      </c>
      <c r="E2242" s="3" t="s">
        <v>39</v>
      </c>
      <c r="F2242" s="3" t="s">
        <v>40</v>
      </c>
      <c r="G2242" s="3" t="s">
        <v>41</v>
      </c>
      <c r="H2242" s="3" t="s">
        <v>42</v>
      </c>
      <c r="I2242" s="3" t="s">
        <v>72</v>
      </c>
      <c r="J2242" s="3" t="n">
        <v>25</v>
      </c>
      <c r="K2242" s="3" t="n">
        <v>649.61</v>
      </c>
      <c r="L2242" s="3" t="n">
        <v>16240.25</v>
      </c>
      <c r="M2242" s="3" t="n">
        <v>0.0803</v>
      </c>
      <c r="N2242" s="3" t="n">
        <v>1304.09</v>
      </c>
      <c r="O2242" s="3" t="n">
        <v>14936.16</v>
      </c>
      <c r="P2242" s="3" t="n">
        <v>8932.14</v>
      </c>
      <c r="Q2242" s="3" t="n">
        <v>6004.02</v>
      </c>
      <c r="R2242" s="3" t="n">
        <v>0.402</v>
      </c>
      <c r="S2242" s="3" t="n">
        <v>0.0649</v>
      </c>
      <c r="T2242" s="3" t="n">
        <v>0.0154</v>
      </c>
    </row>
    <row r="2243" customFormat="false" ht="15" hidden="false" customHeight="true" outlineLevel="0" collapsed="false">
      <c r="A2243" s="3" t="s">
        <v>3270</v>
      </c>
      <c r="B2243" s="3" t="s">
        <v>714</v>
      </c>
      <c r="C2243" s="3" t="s">
        <v>156</v>
      </c>
      <c r="D2243" s="3" t="s">
        <v>23</v>
      </c>
      <c r="E2243" s="3" t="s">
        <v>24</v>
      </c>
      <c r="F2243" s="3" t="s">
        <v>25</v>
      </c>
      <c r="G2243" s="3" t="s">
        <v>116</v>
      </c>
      <c r="H2243" s="3" t="s">
        <v>56</v>
      </c>
      <c r="I2243" s="3" t="s">
        <v>57</v>
      </c>
      <c r="J2243" s="3" t="n">
        <v>47</v>
      </c>
      <c r="K2243" s="3" t="n">
        <v>5112.51</v>
      </c>
      <c r="L2243" s="3" t="n">
        <v>240287.97</v>
      </c>
      <c r="M2243" s="3" t="n">
        <v>0.1781</v>
      </c>
      <c r="N2243" s="3" t="n">
        <v>42795.29</v>
      </c>
      <c r="O2243" s="3" t="n">
        <v>197492.68</v>
      </c>
      <c r="P2243" s="3" t="n">
        <v>144172.78</v>
      </c>
      <c r="Q2243" s="3" t="n">
        <v>53319.9</v>
      </c>
      <c r="R2243" s="3" t="n">
        <v>0.27</v>
      </c>
      <c r="S2243" s="3" t="n">
        <v>0.1448</v>
      </c>
      <c r="T2243" s="3" t="n">
        <v>0.0333</v>
      </c>
    </row>
    <row r="2244" customFormat="false" ht="15" hidden="false" customHeight="true" outlineLevel="0" collapsed="false">
      <c r="A2244" s="3" t="s">
        <v>3271</v>
      </c>
      <c r="B2244" s="3" t="s">
        <v>2967</v>
      </c>
      <c r="C2244" s="3" t="s">
        <v>22</v>
      </c>
      <c r="D2244" s="3" t="s">
        <v>38</v>
      </c>
      <c r="E2244" s="3" t="s">
        <v>39</v>
      </c>
      <c r="F2244" s="3" t="s">
        <v>40</v>
      </c>
      <c r="G2244" s="3" t="s">
        <v>26</v>
      </c>
      <c r="H2244" s="3" t="s">
        <v>56</v>
      </c>
      <c r="I2244" s="3" t="s">
        <v>188</v>
      </c>
      <c r="J2244" s="3" t="n">
        <v>5</v>
      </c>
      <c r="K2244" s="3" t="n">
        <v>15688.63</v>
      </c>
      <c r="L2244" s="3" t="n">
        <v>78443.15</v>
      </c>
      <c r="M2244" s="3" t="n">
        <v>0.0709</v>
      </c>
      <c r="N2244" s="3" t="n">
        <v>5561.62</v>
      </c>
      <c r="O2244" s="3" t="n">
        <v>72881.53</v>
      </c>
      <c r="P2244" s="3" t="n">
        <v>47065.89</v>
      </c>
      <c r="Q2244" s="3" t="n">
        <v>25815.64</v>
      </c>
      <c r="R2244" s="3" t="n">
        <v>0.3542</v>
      </c>
      <c r="S2244" s="3" t="n">
        <v>0.0605</v>
      </c>
      <c r="T2244" s="3" t="n">
        <v>0.0104</v>
      </c>
    </row>
    <row r="2245" customFormat="false" ht="15" hidden="false" customHeight="true" outlineLevel="0" collapsed="false">
      <c r="A2245" s="3" t="s">
        <v>3272</v>
      </c>
      <c r="B2245" s="3" t="s">
        <v>1001</v>
      </c>
      <c r="C2245" s="3" t="s">
        <v>46</v>
      </c>
      <c r="D2245" s="3" t="s">
        <v>75</v>
      </c>
      <c r="E2245" s="3" t="s">
        <v>39</v>
      </c>
      <c r="F2245" s="3" t="s">
        <v>25</v>
      </c>
      <c r="G2245" s="3" t="s">
        <v>116</v>
      </c>
      <c r="H2245" s="3" t="s">
        <v>27</v>
      </c>
      <c r="I2245" s="3" t="s">
        <v>117</v>
      </c>
      <c r="J2245" s="3" t="n">
        <v>19</v>
      </c>
      <c r="K2245" s="3" t="n">
        <v>19907.62</v>
      </c>
      <c r="L2245" s="3" t="n">
        <v>378244.78</v>
      </c>
      <c r="M2245" s="3" t="n">
        <v>0.193</v>
      </c>
      <c r="N2245" s="3" t="n">
        <v>73001.24</v>
      </c>
      <c r="O2245" s="3" t="n">
        <v>305243.54</v>
      </c>
      <c r="P2245" s="3" t="n">
        <v>234511.76</v>
      </c>
      <c r="Q2245" s="3" t="n">
        <v>70731.78</v>
      </c>
      <c r="R2245" s="3" t="n">
        <v>0.2317</v>
      </c>
      <c r="S2245" s="3" t="n">
        <v>0.1856</v>
      </c>
      <c r="T2245" s="3" t="n">
        <v>0.0074</v>
      </c>
    </row>
    <row r="2246" customFormat="false" ht="15" hidden="false" customHeight="true" outlineLevel="0" collapsed="false">
      <c r="A2246" s="3" t="s">
        <v>3273</v>
      </c>
      <c r="B2246" s="3" t="s">
        <v>2328</v>
      </c>
      <c r="C2246" s="3" t="s">
        <v>120</v>
      </c>
      <c r="D2246" s="3" t="s">
        <v>47</v>
      </c>
      <c r="E2246" s="3" t="s">
        <v>48</v>
      </c>
      <c r="F2246" s="3" t="s">
        <v>25</v>
      </c>
      <c r="G2246" s="3" t="s">
        <v>100</v>
      </c>
      <c r="H2246" s="3" t="s">
        <v>56</v>
      </c>
      <c r="I2246" s="3" t="s">
        <v>57</v>
      </c>
      <c r="J2246" s="3" t="n">
        <v>26</v>
      </c>
      <c r="K2246" s="3" t="n">
        <v>9992.06</v>
      </c>
      <c r="L2246" s="3" t="n">
        <v>259793.56</v>
      </c>
      <c r="M2246" s="3" t="n">
        <v>0.0856</v>
      </c>
      <c r="N2246" s="3" t="n">
        <v>22238.33</v>
      </c>
      <c r="O2246" s="3" t="n">
        <v>237555.23</v>
      </c>
      <c r="P2246" s="3" t="n">
        <v>155876.14</v>
      </c>
      <c r="Q2246" s="3" t="n">
        <v>81679.09</v>
      </c>
      <c r="R2246" s="3" t="n">
        <v>0.3438</v>
      </c>
      <c r="S2246" s="3" t="n">
        <v>0.0821</v>
      </c>
      <c r="T2246" s="3" t="n">
        <v>0.0035</v>
      </c>
    </row>
    <row r="2247" customFormat="false" ht="15" hidden="false" customHeight="true" outlineLevel="0" collapsed="false">
      <c r="A2247" s="3" t="s">
        <v>3274</v>
      </c>
      <c r="B2247" s="3" t="s">
        <v>1996</v>
      </c>
      <c r="C2247" s="3" t="s">
        <v>156</v>
      </c>
      <c r="D2247" s="3" t="s">
        <v>54</v>
      </c>
      <c r="E2247" s="3" t="s">
        <v>24</v>
      </c>
      <c r="F2247" s="3" t="s">
        <v>40</v>
      </c>
      <c r="G2247" s="3" t="s">
        <v>104</v>
      </c>
      <c r="H2247" s="3" t="s">
        <v>56</v>
      </c>
      <c r="I2247" s="3" t="s">
        <v>121</v>
      </c>
      <c r="J2247" s="3" t="n">
        <v>20</v>
      </c>
      <c r="K2247" s="3" t="n">
        <v>8231.41</v>
      </c>
      <c r="L2247" s="3" t="n">
        <v>164628.2</v>
      </c>
      <c r="M2247" s="3" t="n">
        <v>0.121</v>
      </c>
      <c r="N2247" s="3" t="n">
        <v>19920.01</v>
      </c>
      <c r="O2247" s="3" t="n">
        <v>144708.19</v>
      </c>
      <c r="P2247" s="3" t="n">
        <v>98776.92</v>
      </c>
      <c r="Q2247" s="3" t="n">
        <v>45931.27</v>
      </c>
      <c r="R2247" s="3" t="n">
        <v>0.3174</v>
      </c>
      <c r="S2247" s="3" t="n">
        <v>0.0983</v>
      </c>
      <c r="T2247" s="3" t="n">
        <v>0.0227</v>
      </c>
    </row>
    <row r="2248" customFormat="false" ht="15" hidden="false" customHeight="true" outlineLevel="0" collapsed="false">
      <c r="A2248" s="3" t="s">
        <v>3275</v>
      </c>
      <c r="B2248" s="3" t="s">
        <v>1430</v>
      </c>
      <c r="C2248" s="3" t="s">
        <v>37</v>
      </c>
      <c r="D2248" s="3" t="s">
        <v>47</v>
      </c>
      <c r="E2248" s="3" t="s">
        <v>48</v>
      </c>
      <c r="F2248" s="3" t="s">
        <v>25</v>
      </c>
      <c r="G2248" s="3" t="s">
        <v>84</v>
      </c>
      <c r="H2248" s="3" t="s">
        <v>64</v>
      </c>
      <c r="I2248" s="3" t="s">
        <v>90</v>
      </c>
      <c r="J2248" s="3" t="n">
        <v>31</v>
      </c>
      <c r="K2248" s="3" t="n">
        <v>8744.53</v>
      </c>
      <c r="L2248" s="3" t="n">
        <v>271080.43</v>
      </c>
      <c r="M2248" s="3" t="n">
        <v>0.1073</v>
      </c>
      <c r="N2248" s="3" t="n">
        <v>29086.93</v>
      </c>
      <c r="O2248" s="3" t="n">
        <v>241993.5</v>
      </c>
      <c r="P2248" s="3" t="n">
        <v>157226.65</v>
      </c>
      <c r="Q2248" s="3" t="n">
        <v>84766.85</v>
      </c>
      <c r="R2248" s="3" t="n">
        <v>0.3503</v>
      </c>
      <c r="S2248" s="3" t="n">
        <v>0.1108</v>
      </c>
      <c r="T2248" s="3" t="n">
        <v>-0.0035</v>
      </c>
    </row>
    <row r="2249" customFormat="false" ht="15" hidden="false" customHeight="true" outlineLevel="0" collapsed="false">
      <c r="A2249" s="3" t="s">
        <v>3276</v>
      </c>
      <c r="B2249" s="3" t="s">
        <v>390</v>
      </c>
      <c r="C2249" s="3" t="s">
        <v>120</v>
      </c>
      <c r="D2249" s="3" t="s">
        <v>47</v>
      </c>
      <c r="E2249" s="3" t="s">
        <v>48</v>
      </c>
      <c r="F2249" s="3" t="s">
        <v>25</v>
      </c>
      <c r="G2249" s="3" t="s">
        <v>63</v>
      </c>
      <c r="H2249" s="3" t="s">
        <v>77</v>
      </c>
      <c r="I2249" s="3" t="s">
        <v>78</v>
      </c>
      <c r="J2249" s="3" t="n">
        <v>50</v>
      </c>
      <c r="K2249" s="3" t="n">
        <v>4794.88</v>
      </c>
      <c r="L2249" s="3" t="n">
        <v>239744</v>
      </c>
      <c r="M2249" s="3" t="n">
        <v>0.1549</v>
      </c>
      <c r="N2249" s="3" t="n">
        <v>37136.35</v>
      </c>
      <c r="O2249" s="3" t="n">
        <v>202607.65</v>
      </c>
      <c r="P2249" s="3" t="n">
        <v>163025.92</v>
      </c>
      <c r="Q2249" s="3" t="n">
        <v>39581.73</v>
      </c>
      <c r="R2249" s="3" t="n">
        <v>0.1954</v>
      </c>
      <c r="S2249" s="3" t="n">
        <v>0.1341</v>
      </c>
      <c r="T2249" s="3" t="n">
        <v>0.0208</v>
      </c>
    </row>
    <row r="2250" customFormat="false" ht="15" hidden="false" customHeight="true" outlineLevel="0" collapsed="false">
      <c r="A2250" s="3" t="s">
        <v>3277</v>
      </c>
      <c r="B2250" s="3" t="s">
        <v>1572</v>
      </c>
      <c r="C2250" s="3" t="s">
        <v>113</v>
      </c>
      <c r="D2250" s="3" t="s">
        <v>23</v>
      </c>
      <c r="E2250" s="3" t="s">
        <v>24</v>
      </c>
      <c r="F2250" s="3" t="s">
        <v>25</v>
      </c>
      <c r="G2250" s="3" t="s">
        <v>55</v>
      </c>
      <c r="H2250" s="3" t="s">
        <v>64</v>
      </c>
      <c r="I2250" s="3" t="s">
        <v>65</v>
      </c>
      <c r="J2250" s="3" t="n">
        <v>28</v>
      </c>
      <c r="K2250" s="3" t="n">
        <v>4268.18</v>
      </c>
      <c r="L2250" s="3" t="n">
        <v>119509.04</v>
      </c>
      <c r="M2250" s="3" t="n">
        <v>0.1248</v>
      </c>
      <c r="N2250" s="3" t="n">
        <v>14914.73</v>
      </c>
      <c r="O2250" s="3" t="n">
        <v>104594.31</v>
      </c>
      <c r="P2250" s="3" t="n">
        <v>69315.24</v>
      </c>
      <c r="Q2250" s="3" t="n">
        <v>35279.07</v>
      </c>
      <c r="R2250" s="3" t="n">
        <v>0.3373</v>
      </c>
      <c r="S2250" s="3" t="n">
        <v>0.1067</v>
      </c>
      <c r="T2250" s="3" t="n">
        <v>0.0181</v>
      </c>
    </row>
    <row r="2251" customFormat="false" ht="15" hidden="false" customHeight="true" outlineLevel="0" collapsed="false">
      <c r="A2251" s="3" t="s">
        <v>3278</v>
      </c>
      <c r="B2251" s="3" t="s">
        <v>3279</v>
      </c>
      <c r="C2251" s="3" t="s">
        <v>120</v>
      </c>
      <c r="D2251" s="3" t="s">
        <v>54</v>
      </c>
      <c r="E2251" s="3" t="s">
        <v>24</v>
      </c>
      <c r="F2251" s="3" t="s">
        <v>40</v>
      </c>
      <c r="G2251" s="3" t="s">
        <v>76</v>
      </c>
      <c r="H2251" s="3" t="s">
        <v>27</v>
      </c>
      <c r="I2251" s="3" t="s">
        <v>28</v>
      </c>
      <c r="J2251" s="3" t="n">
        <v>17</v>
      </c>
      <c r="K2251" s="3" t="n">
        <v>13219.04</v>
      </c>
      <c r="L2251" s="3" t="n">
        <v>224723.68</v>
      </c>
      <c r="M2251" s="3" t="n">
        <v>0.0566</v>
      </c>
      <c r="N2251" s="3" t="n">
        <v>12719.36</v>
      </c>
      <c r="O2251" s="3" t="n">
        <v>212004.32</v>
      </c>
      <c r="P2251" s="3" t="n">
        <v>139328.68</v>
      </c>
      <c r="Q2251" s="3" t="n">
        <v>72675.64</v>
      </c>
      <c r="R2251" s="3" t="n">
        <v>0.3428</v>
      </c>
      <c r="S2251" s="3" t="n">
        <v>0.0501</v>
      </c>
      <c r="T2251" s="3" t="n">
        <v>0.0065</v>
      </c>
    </row>
    <row r="2252" customFormat="false" ht="15" hidden="false" customHeight="true" outlineLevel="0" collapsed="false">
      <c r="A2252" s="3" t="s">
        <v>3280</v>
      </c>
      <c r="B2252" s="3" t="s">
        <v>1590</v>
      </c>
      <c r="C2252" s="3" t="s">
        <v>93</v>
      </c>
      <c r="D2252" s="3" t="s">
        <v>83</v>
      </c>
      <c r="E2252" s="3" t="s">
        <v>48</v>
      </c>
      <c r="F2252" s="3" t="s">
        <v>62</v>
      </c>
      <c r="G2252" s="3" t="s">
        <v>26</v>
      </c>
      <c r="H2252" s="3" t="s">
        <v>56</v>
      </c>
      <c r="I2252" s="3" t="s">
        <v>121</v>
      </c>
      <c r="J2252" s="3" t="n">
        <v>6</v>
      </c>
      <c r="K2252" s="3" t="n">
        <v>15853.46</v>
      </c>
      <c r="L2252" s="3" t="n">
        <v>95120.76</v>
      </c>
      <c r="M2252" s="3" t="n">
        <v>0.0536</v>
      </c>
      <c r="N2252" s="3" t="n">
        <v>5098.47</v>
      </c>
      <c r="O2252" s="3" t="n">
        <v>90022.29</v>
      </c>
      <c r="P2252" s="3" t="n">
        <v>57072.46</v>
      </c>
      <c r="Q2252" s="3" t="n">
        <v>32949.83</v>
      </c>
      <c r="R2252" s="3" t="n">
        <v>0.366</v>
      </c>
      <c r="S2252" s="3" t="n">
        <v>0.0453</v>
      </c>
      <c r="T2252" s="3" t="n">
        <v>0.0083</v>
      </c>
    </row>
    <row r="2253" customFormat="false" ht="15" hidden="false" customHeight="true" outlineLevel="0" collapsed="false">
      <c r="A2253" s="3" t="s">
        <v>3281</v>
      </c>
      <c r="B2253" s="3" t="s">
        <v>266</v>
      </c>
      <c r="C2253" s="3" t="s">
        <v>60</v>
      </c>
      <c r="D2253" s="3" t="s">
        <v>47</v>
      </c>
      <c r="E2253" s="3" t="s">
        <v>48</v>
      </c>
      <c r="F2253" s="3" t="s">
        <v>25</v>
      </c>
      <c r="G2253" s="3" t="s">
        <v>55</v>
      </c>
      <c r="H2253" s="3" t="s">
        <v>56</v>
      </c>
      <c r="I2253" s="3" t="s">
        <v>121</v>
      </c>
      <c r="J2253" s="3" t="n">
        <v>18</v>
      </c>
      <c r="K2253" s="3" t="n">
        <v>17628.23</v>
      </c>
      <c r="L2253" s="3" t="n">
        <v>317308.14</v>
      </c>
      <c r="M2253" s="3" t="n">
        <v>0.1409</v>
      </c>
      <c r="N2253" s="3" t="n">
        <v>44708.72</v>
      </c>
      <c r="O2253" s="3" t="n">
        <v>272599.42</v>
      </c>
      <c r="P2253" s="3" t="n">
        <v>190384.88</v>
      </c>
      <c r="Q2253" s="3" t="n">
        <v>82214.54</v>
      </c>
      <c r="R2253" s="3" t="n">
        <v>0.3016</v>
      </c>
      <c r="S2253" s="3" t="n">
        <v>0.1344</v>
      </c>
      <c r="T2253" s="3" t="n">
        <v>0.0065</v>
      </c>
    </row>
    <row r="2254" customFormat="false" ht="15" hidden="false" customHeight="true" outlineLevel="0" collapsed="false">
      <c r="A2254" s="3" t="s">
        <v>3282</v>
      </c>
      <c r="B2254" s="3" t="s">
        <v>1452</v>
      </c>
      <c r="C2254" s="3" t="s">
        <v>60</v>
      </c>
      <c r="D2254" s="3" t="s">
        <v>69</v>
      </c>
      <c r="E2254" s="3" t="s">
        <v>39</v>
      </c>
      <c r="F2254" s="3" t="s">
        <v>70</v>
      </c>
      <c r="G2254" s="3" t="s">
        <v>104</v>
      </c>
      <c r="H2254" s="3" t="s">
        <v>27</v>
      </c>
      <c r="I2254" s="3" t="s">
        <v>94</v>
      </c>
      <c r="J2254" s="3" t="n">
        <v>28</v>
      </c>
      <c r="K2254" s="3" t="n">
        <v>9824.42</v>
      </c>
      <c r="L2254" s="3" t="n">
        <v>275083.76</v>
      </c>
      <c r="M2254" s="3" t="n">
        <v>0.0719</v>
      </c>
      <c r="N2254" s="3" t="n">
        <v>19778.52</v>
      </c>
      <c r="O2254" s="3" t="n">
        <v>255305.24</v>
      </c>
      <c r="P2254" s="3" t="n">
        <v>170551.93</v>
      </c>
      <c r="Q2254" s="3" t="n">
        <v>84753.31</v>
      </c>
      <c r="R2254" s="3" t="n">
        <v>0.332</v>
      </c>
      <c r="S2254" s="3" t="n">
        <v>0.0728</v>
      </c>
      <c r="T2254" s="3" t="n">
        <v>-0.0009</v>
      </c>
    </row>
    <row r="2255" customFormat="false" ht="15" hidden="false" customHeight="true" outlineLevel="0" collapsed="false">
      <c r="A2255" s="3" t="s">
        <v>3283</v>
      </c>
      <c r="B2255" s="3" t="s">
        <v>1355</v>
      </c>
      <c r="C2255" s="3" t="s">
        <v>120</v>
      </c>
      <c r="D2255" s="3" t="s">
        <v>32</v>
      </c>
      <c r="E2255" s="3" t="s">
        <v>33</v>
      </c>
      <c r="F2255" s="3" t="s">
        <v>25</v>
      </c>
      <c r="G2255" s="3" t="s">
        <v>34</v>
      </c>
      <c r="H2255" s="3" t="s">
        <v>27</v>
      </c>
      <c r="I2255" s="3" t="s">
        <v>50</v>
      </c>
      <c r="J2255" s="3" t="n">
        <v>35</v>
      </c>
      <c r="K2255" s="3" t="n">
        <v>31935.86</v>
      </c>
      <c r="L2255" s="3" t="n">
        <v>1117755.1</v>
      </c>
      <c r="M2255" s="3" t="n">
        <v>0.1579</v>
      </c>
      <c r="N2255" s="3" t="n">
        <v>176493.53</v>
      </c>
      <c r="O2255" s="3" t="n">
        <v>941261.57</v>
      </c>
      <c r="P2255" s="3" t="n">
        <v>693008.16</v>
      </c>
      <c r="Q2255" s="3" t="n">
        <v>248253.41</v>
      </c>
      <c r="R2255" s="3" t="n">
        <v>0.2637</v>
      </c>
      <c r="S2255" s="3" t="n">
        <v>0.1265</v>
      </c>
      <c r="T2255" s="3" t="n">
        <v>0.0314</v>
      </c>
    </row>
    <row r="2256" customFormat="false" ht="15" hidden="false" customHeight="true" outlineLevel="0" collapsed="false">
      <c r="A2256" s="3" t="s">
        <v>3284</v>
      </c>
      <c r="B2256" s="3" t="s">
        <v>615</v>
      </c>
      <c r="C2256" s="3" t="s">
        <v>37</v>
      </c>
      <c r="D2256" s="3" t="s">
        <v>23</v>
      </c>
      <c r="E2256" s="3" t="s">
        <v>24</v>
      </c>
      <c r="F2256" s="3" t="s">
        <v>25</v>
      </c>
      <c r="G2256" s="3" t="s">
        <v>41</v>
      </c>
      <c r="H2256" s="3" t="s">
        <v>27</v>
      </c>
      <c r="I2256" s="3" t="s">
        <v>50</v>
      </c>
      <c r="J2256" s="3" t="n">
        <v>34</v>
      </c>
      <c r="K2256" s="3" t="n">
        <v>16644.89</v>
      </c>
      <c r="L2256" s="3" t="n">
        <v>565926.26</v>
      </c>
      <c r="M2256" s="3" t="n">
        <v>0.179</v>
      </c>
      <c r="N2256" s="3" t="n">
        <v>101300.8</v>
      </c>
      <c r="O2256" s="3" t="n">
        <v>464625.46</v>
      </c>
      <c r="P2256" s="3" t="n">
        <v>350874.28</v>
      </c>
      <c r="Q2256" s="3" t="n">
        <v>113751.18</v>
      </c>
      <c r="R2256" s="3" t="n">
        <v>0.2448</v>
      </c>
      <c r="S2256" s="3" t="n">
        <v>0.1729</v>
      </c>
      <c r="T2256" s="3" t="n">
        <v>0.0061</v>
      </c>
    </row>
    <row r="2257" customFormat="false" ht="15" hidden="false" customHeight="true" outlineLevel="0" collapsed="false">
      <c r="A2257" s="3" t="s">
        <v>3285</v>
      </c>
      <c r="B2257" s="3" t="s">
        <v>67</v>
      </c>
      <c r="C2257" s="3" t="s">
        <v>68</v>
      </c>
      <c r="D2257" s="3" t="s">
        <v>75</v>
      </c>
      <c r="E2257" s="3" t="s">
        <v>39</v>
      </c>
      <c r="F2257" s="3" t="s">
        <v>25</v>
      </c>
      <c r="G2257" s="3" t="s">
        <v>41</v>
      </c>
      <c r="H2257" s="3" t="s">
        <v>77</v>
      </c>
      <c r="I2257" s="3" t="s">
        <v>85</v>
      </c>
      <c r="J2257" s="3" t="n">
        <v>37</v>
      </c>
      <c r="K2257" s="3" t="n">
        <v>4367.93</v>
      </c>
      <c r="L2257" s="3" t="n">
        <v>161613.41</v>
      </c>
      <c r="M2257" s="3" t="n">
        <v>0.1514</v>
      </c>
      <c r="N2257" s="3" t="n">
        <v>24468.27</v>
      </c>
      <c r="O2257" s="3" t="n">
        <v>137145.14</v>
      </c>
      <c r="P2257" s="3" t="n">
        <v>109897.12</v>
      </c>
      <c r="Q2257" s="3" t="n">
        <v>27248.02</v>
      </c>
      <c r="R2257" s="3" t="n">
        <v>0.1987</v>
      </c>
      <c r="S2257" s="3" t="n">
        <v>0.1528</v>
      </c>
      <c r="T2257" s="3" t="n">
        <v>-0.0014</v>
      </c>
    </row>
    <row r="2258" customFormat="false" ht="15" hidden="false" customHeight="true" outlineLevel="0" collapsed="false">
      <c r="A2258" s="3" t="s">
        <v>3286</v>
      </c>
      <c r="B2258" s="3" t="s">
        <v>1084</v>
      </c>
      <c r="C2258" s="3" t="s">
        <v>68</v>
      </c>
      <c r="D2258" s="3" t="s">
        <v>75</v>
      </c>
      <c r="E2258" s="3" t="s">
        <v>39</v>
      </c>
      <c r="F2258" s="3" t="s">
        <v>25</v>
      </c>
      <c r="G2258" s="3" t="s">
        <v>34</v>
      </c>
      <c r="H2258" s="3" t="s">
        <v>77</v>
      </c>
      <c r="I2258" s="3" t="s">
        <v>78</v>
      </c>
      <c r="J2258" s="3" t="n">
        <v>12</v>
      </c>
      <c r="K2258" s="3" t="n">
        <v>5317.41</v>
      </c>
      <c r="L2258" s="3" t="n">
        <v>63808.92</v>
      </c>
      <c r="M2258" s="3" t="n">
        <v>0.2199</v>
      </c>
      <c r="N2258" s="3" t="n">
        <v>14031.58</v>
      </c>
      <c r="O2258" s="3" t="n">
        <v>49777.34</v>
      </c>
      <c r="P2258" s="3" t="n">
        <v>43390.07</v>
      </c>
      <c r="Q2258" s="3" t="n">
        <v>6387.27</v>
      </c>
      <c r="R2258" s="3" t="n">
        <v>0.1283</v>
      </c>
      <c r="S2258" s="3" t="n">
        <v>0.2161</v>
      </c>
      <c r="T2258" s="3" t="n">
        <v>0.0038</v>
      </c>
    </row>
    <row r="2259" customFormat="false" ht="15" hidden="false" customHeight="true" outlineLevel="0" collapsed="false">
      <c r="A2259" s="3" t="s">
        <v>3287</v>
      </c>
      <c r="B2259" s="3" t="s">
        <v>642</v>
      </c>
      <c r="C2259" s="3" t="s">
        <v>120</v>
      </c>
      <c r="D2259" s="3" t="s">
        <v>47</v>
      </c>
      <c r="E2259" s="3" t="s">
        <v>48</v>
      </c>
      <c r="F2259" s="3" t="s">
        <v>25</v>
      </c>
      <c r="G2259" s="3" t="s">
        <v>84</v>
      </c>
      <c r="H2259" s="3" t="s">
        <v>64</v>
      </c>
      <c r="I2259" s="3" t="s">
        <v>108</v>
      </c>
      <c r="J2259" s="3" t="n">
        <v>48</v>
      </c>
      <c r="K2259" s="3" t="n">
        <v>6667.58</v>
      </c>
      <c r="L2259" s="3" t="n">
        <v>320043.84</v>
      </c>
      <c r="M2259" s="3" t="n">
        <v>0.1011</v>
      </c>
      <c r="N2259" s="3" t="n">
        <v>32356.43</v>
      </c>
      <c r="O2259" s="3" t="n">
        <v>287687.41</v>
      </c>
      <c r="P2259" s="3" t="n">
        <v>185625.43</v>
      </c>
      <c r="Q2259" s="3" t="n">
        <v>102061.98</v>
      </c>
      <c r="R2259" s="3" t="n">
        <v>0.3548</v>
      </c>
      <c r="S2259" s="3" t="n">
        <v>0.1076</v>
      </c>
      <c r="T2259" s="3" t="n">
        <v>-0.0065</v>
      </c>
    </row>
    <row r="2260" customFormat="false" ht="15" hidden="false" customHeight="true" outlineLevel="0" collapsed="false">
      <c r="A2260" s="3" t="s">
        <v>3288</v>
      </c>
      <c r="B2260" s="3" t="s">
        <v>1090</v>
      </c>
      <c r="C2260" s="3" t="s">
        <v>126</v>
      </c>
      <c r="D2260" s="3" t="s">
        <v>107</v>
      </c>
      <c r="E2260" s="3" t="s">
        <v>33</v>
      </c>
      <c r="F2260" s="3" t="s">
        <v>70</v>
      </c>
      <c r="G2260" s="3" t="s">
        <v>63</v>
      </c>
      <c r="H2260" s="3" t="s">
        <v>77</v>
      </c>
      <c r="I2260" s="3" t="s">
        <v>131</v>
      </c>
      <c r="J2260" s="3" t="n">
        <v>16</v>
      </c>
      <c r="K2260" s="3" t="n">
        <v>3383.4</v>
      </c>
      <c r="L2260" s="3" t="n">
        <v>54134.4</v>
      </c>
      <c r="M2260" s="3" t="n">
        <v>0.0517</v>
      </c>
      <c r="N2260" s="3" t="n">
        <v>2798.75</v>
      </c>
      <c r="O2260" s="3" t="n">
        <v>51335.65</v>
      </c>
      <c r="P2260" s="3" t="n">
        <v>36811.39</v>
      </c>
      <c r="Q2260" s="3" t="n">
        <v>14524.26</v>
      </c>
      <c r="R2260" s="3" t="n">
        <v>0.2829</v>
      </c>
      <c r="S2260" s="3" t="n">
        <v>0.0563</v>
      </c>
      <c r="T2260" s="3" t="n">
        <v>-0.0046</v>
      </c>
    </row>
    <row r="2261" customFormat="false" ht="15" hidden="false" customHeight="true" outlineLevel="0" collapsed="false">
      <c r="A2261" s="3" t="s">
        <v>3289</v>
      </c>
      <c r="B2261" s="3" t="s">
        <v>580</v>
      </c>
      <c r="C2261" s="3" t="s">
        <v>53</v>
      </c>
      <c r="D2261" s="3" t="s">
        <v>61</v>
      </c>
      <c r="E2261" s="3" t="s">
        <v>33</v>
      </c>
      <c r="F2261" s="3" t="s">
        <v>62</v>
      </c>
      <c r="G2261" s="3" t="s">
        <v>34</v>
      </c>
      <c r="H2261" s="3" t="s">
        <v>27</v>
      </c>
      <c r="I2261" s="3" t="s">
        <v>28</v>
      </c>
      <c r="J2261" s="3" t="n">
        <v>33</v>
      </c>
      <c r="K2261" s="3" t="n">
        <v>12961.68</v>
      </c>
      <c r="L2261" s="3" t="n">
        <v>427735.44</v>
      </c>
      <c r="M2261" s="3" t="n">
        <v>0.0976</v>
      </c>
      <c r="N2261" s="3" t="n">
        <v>41746.98</v>
      </c>
      <c r="O2261" s="3" t="n">
        <v>385988.46</v>
      </c>
      <c r="P2261" s="3" t="n">
        <v>265195.97</v>
      </c>
      <c r="Q2261" s="3" t="n">
        <v>120792.49</v>
      </c>
      <c r="R2261" s="3" t="n">
        <v>0.3129</v>
      </c>
      <c r="S2261" s="3" t="n">
        <v>0.0991</v>
      </c>
      <c r="T2261" s="3" t="n">
        <v>-0.0015</v>
      </c>
    </row>
    <row r="2262" customFormat="false" ht="15" hidden="false" customHeight="true" outlineLevel="0" collapsed="false">
      <c r="A2262" s="3" t="s">
        <v>3290</v>
      </c>
      <c r="B2262" s="3" t="s">
        <v>1302</v>
      </c>
      <c r="C2262" s="3" t="s">
        <v>22</v>
      </c>
      <c r="D2262" s="3" t="s">
        <v>75</v>
      </c>
      <c r="E2262" s="3" t="s">
        <v>39</v>
      </c>
      <c r="F2262" s="3" t="s">
        <v>25</v>
      </c>
      <c r="G2262" s="3" t="s">
        <v>100</v>
      </c>
      <c r="H2262" s="3" t="s">
        <v>27</v>
      </c>
      <c r="I2262" s="3" t="s">
        <v>94</v>
      </c>
      <c r="J2262" s="3" t="n">
        <v>15</v>
      </c>
      <c r="K2262" s="3" t="n">
        <v>31394.87</v>
      </c>
      <c r="L2262" s="3" t="n">
        <v>470923.05</v>
      </c>
      <c r="M2262" s="3" t="n">
        <v>0.1024</v>
      </c>
      <c r="N2262" s="3" t="n">
        <v>48222.52</v>
      </c>
      <c r="O2262" s="3" t="n">
        <v>422700.53</v>
      </c>
      <c r="P2262" s="3" t="n">
        <v>291972.29</v>
      </c>
      <c r="Q2262" s="3" t="n">
        <v>130728.24</v>
      </c>
      <c r="R2262" s="3" t="n">
        <v>0.3093</v>
      </c>
      <c r="S2262" s="3" t="n">
        <v>0.0982</v>
      </c>
      <c r="T2262" s="3" t="n">
        <v>0.0042</v>
      </c>
    </row>
    <row r="2263" customFormat="false" ht="15" hidden="false" customHeight="true" outlineLevel="0" collapsed="false">
      <c r="A2263" s="3" t="s">
        <v>3291</v>
      </c>
      <c r="B2263" s="3" t="s">
        <v>3292</v>
      </c>
      <c r="C2263" s="3" t="s">
        <v>31</v>
      </c>
      <c r="D2263" s="3" t="s">
        <v>103</v>
      </c>
      <c r="E2263" s="3" t="s">
        <v>24</v>
      </c>
      <c r="F2263" s="3" t="s">
        <v>62</v>
      </c>
      <c r="G2263" s="3" t="s">
        <v>84</v>
      </c>
      <c r="H2263" s="3" t="s">
        <v>27</v>
      </c>
      <c r="I2263" s="3" t="s">
        <v>173</v>
      </c>
      <c r="J2263" s="3" t="n">
        <v>7</v>
      </c>
      <c r="K2263" s="3" t="n">
        <v>23776.27</v>
      </c>
      <c r="L2263" s="3" t="n">
        <v>166433.89</v>
      </c>
      <c r="M2263" s="3" t="n">
        <v>0.0625</v>
      </c>
      <c r="N2263" s="3" t="n">
        <v>10402.12</v>
      </c>
      <c r="O2263" s="3" t="n">
        <v>156031.77</v>
      </c>
      <c r="P2263" s="3" t="n">
        <v>103189.01</v>
      </c>
      <c r="Q2263" s="3" t="n">
        <v>52842.76</v>
      </c>
      <c r="R2263" s="3" t="n">
        <v>0.3387</v>
      </c>
      <c r="S2263" s="3" t="n">
        <v>0.0642</v>
      </c>
      <c r="T2263" s="3" t="n">
        <v>-0.0017</v>
      </c>
    </row>
    <row r="2264" customFormat="false" ht="15" hidden="false" customHeight="true" outlineLevel="0" collapsed="false">
      <c r="A2264" s="3" t="s">
        <v>3293</v>
      </c>
      <c r="B2264" s="3" t="s">
        <v>3294</v>
      </c>
      <c r="C2264" s="3" t="s">
        <v>53</v>
      </c>
      <c r="D2264" s="3" t="s">
        <v>97</v>
      </c>
      <c r="E2264" s="3" t="s">
        <v>48</v>
      </c>
      <c r="F2264" s="3" t="s">
        <v>40</v>
      </c>
      <c r="G2264" s="3" t="s">
        <v>41</v>
      </c>
      <c r="H2264" s="3" t="s">
        <v>42</v>
      </c>
      <c r="I2264" s="3" t="s">
        <v>72</v>
      </c>
      <c r="J2264" s="3" t="n">
        <v>35</v>
      </c>
      <c r="K2264" s="3" t="n">
        <v>521.96</v>
      </c>
      <c r="L2264" s="3" t="n">
        <v>18268.6</v>
      </c>
      <c r="M2264" s="3" t="n">
        <v>0.1104</v>
      </c>
      <c r="N2264" s="3" t="n">
        <v>2016.85</v>
      </c>
      <c r="O2264" s="3" t="n">
        <v>16251.75</v>
      </c>
      <c r="P2264" s="3" t="n">
        <v>10047.73</v>
      </c>
      <c r="Q2264" s="3" t="n">
        <v>6204.02</v>
      </c>
      <c r="R2264" s="3" t="n">
        <v>0.3817</v>
      </c>
      <c r="S2264" s="3" t="n">
        <v>0.0965</v>
      </c>
      <c r="T2264" s="3" t="n">
        <v>0.0139</v>
      </c>
    </row>
    <row r="2265" customFormat="false" ht="15" hidden="false" customHeight="true" outlineLevel="0" collapsed="false">
      <c r="A2265" s="3" t="s">
        <v>3295</v>
      </c>
      <c r="B2265" s="3" t="s">
        <v>3296</v>
      </c>
      <c r="C2265" s="3" t="s">
        <v>68</v>
      </c>
      <c r="D2265" s="3" t="s">
        <v>61</v>
      </c>
      <c r="E2265" s="3" t="s">
        <v>33</v>
      </c>
      <c r="F2265" s="3" t="s">
        <v>62</v>
      </c>
      <c r="G2265" s="3" t="s">
        <v>84</v>
      </c>
      <c r="H2265" s="3" t="s">
        <v>56</v>
      </c>
      <c r="I2265" s="3" t="s">
        <v>188</v>
      </c>
      <c r="J2265" s="3" t="n">
        <v>27</v>
      </c>
      <c r="K2265" s="3" t="n">
        <v>11707.18</v>
      </c>
      <c r="L2265" s="3" t="n">
        <v>316093.86</v>
      </c>
      <c r="M2265" s="3" t="n">
        <v>0.0358</v>
      </c>
      <c r="N2265" s="3" t="n">
        <v>11316.16</v>
      </c>
      <c r="O2265" s="3" t="n">
        <v>304777.7</v>
      </c>
      <c r="P2265" s="3" t="n">
        <v>189656.32</v>
      </c>
      <c r="Q2265" s="3" t="n">
        <v>115121.38</v>
      </c>
      <c r="R2265" s="3" t="n">
        <v>0.3777</v>
      </c>
      <c r="S2265" s="3" t="n">
        <v>0.0361</v>
      </c>
      <c r="T2265" s="3" t="n">
        <v>-0.0003</v>
      </c>
    </row>
    <row r="2266" customFormat="false" ht="15" hidden="false" customHeight="true" outlineLevel="0" collapsed="false">
      <c r="A2266" s="3" t="s">
        <v>3297</v>
      </c>
      <c r="B2266" s="3" t="s">
        <v>668</v>
      </c>
      <c r="C2266" s="3" t="s">
        <v>126</v>
      </c>
      <c r="D2266" s="3" t="s">
        <v>103</v>
      </c>
      <c r="E2266" s="3" t="s">
        <v>24</v>
      </c>
      <c r="F2266" s="3" t="s">
        <v>62</v>
      </c>
      <c r="G2266" s="3" t="s">
        <v>55</v>
      </c>
      <c r="H2266" s="3" t="s">
        <v>56</v>
      </c>
      <c r="I2266" s="3" t="s">
        <v>57</v>
      </c>
      <c r="J2266" s="3" t="n">
        <v>42</v>
      </c>
      <c r="K2266" s="3" t="n">
        <v>15651.66</v>
      </c>
      <c r="L2266" s="3" t="n">
        <v>657369.72</v>
      </c>
      <c r="M2266" s="3" t="n">
        <v>0.0423</v>
      </c>
      <c r="N2266" s="3" t="n">
        <v>27806.74</v>
      </c>
      <c r="O2266" s="3" t="n">
        <v>629562.98</v>
      </c>
      <c r="P2266" s="3" t="n">
        <v>394421.83</v>
      </c>
      <c r="Q2266" s="3" t="n">
        <v>235141.15</v>
      </c>
      <c r="R2266" s="3" t="n">
        <v>0.3735</v>
      </c>
      <c r="S2266" s="3" t="n">
        <v>0.0383</v>
      </c>
      <c r="T2266" s="3" t="n">
        <v>0.004</v>
      </c>
    </row>
    <row r="2267" customFormat="false" ht="15" hidden="false" customHeight="true" outlineLevel="0" collapsed="false">
      <c r="A2267" s="3" t="s">
        <v>3298</v>
      </c>
      <c r="B2267" s="3" t="s">
        <v>797</v>
      </c>
      <c r="C2267" s="3" t="s">
        <v>46</v>
      </c>
      <c r="D2267" s="3" t="s">
        <v>83</v>
      </c>
      <c r="E2267" s="3" t="s">
        <v>48</v>
      </c>
      <c r="F2267" s="3" t="s">
        <v>62</v>
      </c>
      <c r="G2267" s="3" t="s">
        <v>26</v>
      </c>
      <c r="H2267" s="3" t="s">
        <v>64</v>
      </c>
      <c r="I2267" s="3" t="s">
        <v>65</v>
      </c>
      <c r="J2267" s="3" t="n">
        <v>10</v>
      </c>
      <c r="K2267" s="3" t="n">
        <v>10397.18</v>
      </c>
      <c r="L2267" s="3" t="n">
        <v>103971.8</v>
      </c>
      <c r="M2267" s="3" t="n">
        <v>0.0651</v>
      </c>
      <c r="N2267" s="3" t="n">
        <v>6768.56</v>
      </c>
      <c r="O2267" s="3" t="n">
        <v>97203.24</v>
      </c>
      <c r="P2267" s="3" t="n">
        <v>60303.64</v>
      </c>
      <c r="Q2267" s="3" t="n">
        <v>36899.6</v>
      </c>
      <c r="R2267" s="3" t="n">
        <v>0.3796</v>
      </c>
      <c r="S2267" s="3" t="n">
        <v>0.0593</v>
      </c>
      <c r="T2267" s="3" t="n">
        <v>0.0058</v>
      </c>
    </row>
    <row r="2268" customFormat="false" ht="15" hidden="false" customHeight="true" outlineLevel="0" collapsed="false">
      <c r="A2268" s="3" t="s">
        <v>3299</v>
      </c>
      <c r="B2268" s="3" t="s">
        <v>1307</v>
      </c>
      <c r="C2268" s="3" t="s">
        <v>113</v>
      </c>
      <c r="D2268" s="3" t="s">
        <v>47</v>
      </c>
      <c r="E2268" s="3" t="s">
        <v>48</v>
      </c>
      <c r="F2268" s="3" t="s">
        <v>25</v>
      </c>
      <c r="G2268" s="3" t="s">
        <v>41</v>
      </c>
      <c r="H2268" s="3" t="s">
        <v>56</v>
      </c>
      <c r="I2268" s="3" t="s">
        <v>57</v>
      </c>
      <c r="J2268" s="3" t="n">
        <v>23</v>
      </c>
      <c r="K2268" s="3" t="n">
        <v>11786.17</v>
      </c>
      <c r="L2268" s="3" t="n">
        <v>271081.91</v>
      </c>
      <c r="M2268" s="3" t="n">
        <v>0.1392</v>
      </c>
      <c r="N2268" s="3" t="n">
        <v>37734.6</v>
      </c>
      <c r="O2268" s="3" t="n">
        <v>233347.31</v>
      </c>
      <c r="P2268" s="3" t="n">
        <v>162649.15</v>
      </c>
      <c r="Q2268" s="3" t="n">
        <v>70698.16</v>
      </c>
      <c r="R2268" s="3" t="n">
        <v>0.303</v>
      </c>
      <c r="S2268" s="3" t="n">
        <v>0.1242</v>
      </c>
      <c r="T2268" s="3" t="n">
        <v>0.015</v>
      </c>
    </row>
    <row r="2269" customFormat="false" ht="15" hidden="false" customHeight="true" outlineLevel="0" collapsed="false">
      <c r="A2269" s="3" t="s">
        <v>3300</v>
      </c>
      <c r="B2269" s="3" t="s">
        <v>795</v>
      </c>
      <c r="C2269" s="3" t="s">
        <v>156</v>
      </c>
      <c r="D2269" s="3" t="s">
        <v>107</v>
      </c>
      <c r="E2269" s="3" t="s">
        <v>33</v>
      </c>
      <c r="F2269" s="3" t="s">
        <v>70</v>
      </c>
      <c r="G2269" s="3" t="s">
        <v>41</v>
      </c>
      <c r="H2269" s="3" t="s">
        <v>56</v>
      </c>
      <c r="I2269" s="3" t="s">
        <v>121</v>
      </c>
      <c r="J2269" s="3" t="n">
        <v>15</v>
      </c>
      <c r="K2269" s="3" t="n">
        <v>7494.86</v>
      </c>
      <c r="L2269" s="3" t="n">
        <v>112422.9</v>
      </c>
      <c r="M2269" s="3" t="n">
        <v>0.107</v>
      </c>
      <c r="N2269" s="3" t="n">
        <v>12029.25</v>
      </c>
      <c r="O2269" s="3" t="n">
        <v>100393.65</v>
      </c>
      <c r="P2269" s="3" t="n">
        <v>67453.74</v>
      </c>
      <c r="Q2269" s="3" t="n">
        <v>32939.91</v>
      </c>
      <c r="R2269" s="3" t="n">
        <v>0.3281</v>
      </c>
      <c r="S2269" s="3" t="n">
        <v>0.1101</v>
      </c>
      <c r="T2269" s="3" t="n">
        <v>-0.0031</v>
      </c>
    </row>
    <row r="2270" customFormat="false" ht="15" hidden="false" customHeight="true" outlineLevel="0" collapsed="false">
      <c r="A2270" s="3" t="s">
        <v>3301</v>
      </c>
      <c r="B2270" s="3" t="s">
        <v>3203</v>
      </c>
      <c r="C2270" s="3" t="s">
        <v>93</v>
      </c>
      <c r="D2270" s="3" t="s">
        <v>97</v>
      </c>
      <c r="E2270" s="3" t="s">
        <v>48</v>
      </c>
      <c r="F2270" s="3" t="s">
        <v>40</v>
      </c>
      <c r="G2270" s="3" t="s">
        <v>55</v>
      </c>
      <c r="H2270" s="3" t="s">
        <v>42</v>
      </c>
      <c r="I2270" s="3" t="s">
        <v>43</v>
      </c>
      <c r="J2270" s="3" t="n">
        <v>2</v>
      </c>
      <c r="K2270" s="3" t="n">
        <v>3515.79</v>
      </c>
      <c r="L2270" s="3" t="n">
        <v>7031.58</v>
      </c>
      <c r="M2270" s="3" t="n">
        <v>0.0523</v>
      </c>
      <c r="N2270" s="3" t="n">
        <v>367.75</v>
      </c>
      <c r="O2270" s="3" t="n">
        <v>6663.83</v>
      </c>
      <c r="P2270" s="3" t="n">
        <v>3867.37</v>
      </c>
      <c r="Q2270" s="3" t="n">
        <v>2796.46</v>
      </c>
      <c r="R2270" s="3" t="n">
        <v>0.4196</v>
      </c>
      <c r="S2270" s="3" t="n">
        <v>0.044</v>
      </c>
      <c r="T2270" s="3" t="n">
        <v>0.0083</v>
      </c>
    </row>
    <row r="2271" customFormat="false" ht="15" hidden="false" customHeight="true" outlineLevel="0" collapsed="false">
      <c r="A2271" s="3" t="s">
        <v>3302</v>
      </c>
      <c r="B2271" s="3" t="s">
        <v>260</v>
      </c>
      <c r="C2271" s="3" t="s">
        <v>31</v>
      </c>
      <c r="D2271" s="3" t="s">
        <v>38</v>
      </c>
      <c r="E2271" s="3" t="s">
        <v>39</v>
      </c>
      <c r="F2271" s="3" t="s">
        <v>40</v>
      </c>
      <c r="G2271" s="3" t="s">
        <v>55</v>
      </c>
      <c r="H2271" s="3" t="s">
        <v>77</v>
      </c>
      <c r="I2271" s="3" t="s">
        <v>78</v>
      </c>
      <c r="J2271" s="3" t="n">
        <v>20</v>
      </c>
      <c r="K2271" s="3" t="n">
        <v>5944.62</v>
      </c>
      <c r="L2271" s="3" t="n">
        <v>118892.4</v>
      </c>
      <c r="M2271" s="3" t="n">
        <v>0.0331</v>
      </c>
      <c r="N2271" s="3" t="n">
        <v>3935.34</v>
      </c>
      <c r="O2271" s="3" t="n">
        <v>114957.06</v>
      </c>
      <c r="P2271" s="3" t="n">
        <v>80846.83</v>
      </c>
      <c r="Q2271" s="3" t="n">
        <v>34110.23</v>
      </c>
      <c r="R2271" s="3" t="n">
        <v>0.2967</v>
      </c>
      <c r="S2271" s="3" t="n">
        <v>0.0322</v>
      </c>
      <c r="T2271" s="3" t="n">
        <v>0.0009</v>
      </c>
    </row>
    <row r="2272" customFormat="false" ht="15" hidden="false" customHeight="true" outlineLevel="0" collapsed="false">
      <c r="A2272" s="3" t="s">
        <v>3303</v>
      </c>
      <c r="B2272" s="3" t="s">
        <v>2428</v>
      </c>
      <c r="C2272" s="3" t="s">
        <v>68</v>
      </c>
      <c r="D2272" s="3" t="s">
        <v>47</v>
      </c>
      <c r="E2272" s="3" t="s">
        <v>48</v>
      </c>
      <c r="F2272" s="3" t="s">
        <v>25</v>
      </c>
      <c r="G2272" s="3" t="s">
        <v>100</v>
      </c>
      <c r="H2272" s="3" t="s">
        <v>77</v>
      </c>
      <c r="I2272" s="3" t="s">
        <v>131</v>
      </c>
      <c r="J2272" s="3" t="n">
        <v>39</v>
      </c>
      <c r="K2272" s="3" t="n">
        <v>1218.47</v>
      </c>
      <c r="L2272" s="3" t="n">
        <v>47520.33</v>
      </c>
      <c r="M2272" s="3" t="n">
        <v>0.1477</v>
      </c>
      <c r="N2272" s="3" t="n">
        <v>7018.75</v>
      </c>
      <c r="O2272" s="3" t="n">
        <v>40501.58</v>
      </c>
      <c r="P2272" s="3" t="n">
        <v>32313.82</v>
      </c>
      <c r="Q2272" s="3" t="n">
        <v>8187.76</v>
      </c>
      <c r="R2272" s="3" t="n">
        <v>0.2022</v>
      </c>
      <c r="S2272" s="3" t="n">
        <v>0.1295</v>
      </c>
      <c r="T2272" s="3" t="n">
        <v>0.0182</v>
      </c>
    </row>
    <row r="2273" customFormat="false" ht="15" hidden="false" customHeight="true" outlineLevel="0" collapsed="false">
      <c r="A2273" s="3" t="s">
        <v>3304</v>
      </c>
      <c r="B2273" s="3" t="s">
        <v>1598</v>
      </c>
      <c r="C2273" s="3" t="s">
        <v>113</v>
      </c>
      <c r="D2273" s="3" t="s">
        <v>103</v>
      </c>
      <c r="E2273" s="3" t="s">
        <v>24</v>
      </c>
      <c r="F2273" s="3" t="s">
        <v>62</v>
      </c>
      <c r="G2273" s="3" t="s">
        <v>76</v>
      </c>
      <c r="H2273" s="3" t="s">
        <v>56</v>
      </c>
      <c r="I2273" s="3" t="s">
        <v>121</v>
      </c>
      <c r="J2273" s="3" t="n">
        <v>5</v>
      </c>
      <c r="K2273" s="3" t="n">
        <v>8490.05</v>
      </c>
      <c r="L2273" s="3" t="n">
        <v>42450.25</v>
      </c>
      <c r="M2273" s="3" t="n">
        <v>0.0777</v>
      </c>
      <c r="N2273" s="3" t="n">
        <v>3298.38</v>
      </c>
      <c r="O2273" s="3" t="n">
        <v>39151.87</v>
      </c>
      <c r="P2273" s="3" t="n">
        <v>25470.15</v>
      </c>
      <c r="Q2273" s="3" t="n">
        <v>13681.72</v>
      </c>
      <c r="R2273" s="3" t="n">
        <v>0.3495</v>
      </c>
      <c r="S2273" s="3" t="n">
        <v>0.0809</v>
      </c>
      <c r="T2273" s="3" t="n">
        <v>-0.0032</v>
      </c>
    </row>
    <row r="2274" customFormat="false" ht="15" hidden="false" customHeight="true" outlineLevel="0" collapsed="false">
      <c r="A2274" s="3" t="s">
        <v>3305</v>
      </c>
      <c r="B2274" s="3" t="s">
        <v>452</v>
      </c>
      <c r="C2274" s="3" t="s">
        <v>68</v>
      </c>
      <c r="D2274" s="3" t="s">
        <v>107</v>
      </c>
      <c r="E2274" s="3" t="s">
        <v>33</v>
      </c>
      <c r="F2274" s="3" t="s">
        <v>70</v>
      </c>
      <c r="G2274" s="3" t="s">
        <v>63</v>
      </c>
      <c r="H2274" s="3" t="s">
        <v>42</v>
      </c>
      <c r="I2274" s="3" t="s">
        <v>43</v>
      </c>
      <c r="J2274" s="3" t="n">
        <v>19</v>
      </c>
      <c r="K2274" s="3" t="n">
        <v>2117.15</v>
      </c>
      <c r="L2274" s="3" t="n">
        <v>40225.85</v>
      </c>
      <c r="M2274" s="3" t="n">
        <v>0.0719</v>
      </c>
      <c r="N2274" s="3" t="n">
        <v>2892.24</v>
      </c>
      <c r="O2274" s="3" t="n">
        <v>37333.61</v>
      </c>
      <c r="P2274" s="3" t="n">
        <v>22124.22</v>
      </c>
      <c r="Q2274" s="3" t="n">
        <v>15209.39</v>
      </c>
      <c r="R2274" s="3" t="n">
        <v>0.4074</v>
      </c>
      <c r="S2274" s="3" t="n">
        <v>0.0779</v>
      </c>
      <c r="T2274" s="3" t="n">
        <v>-0.006</v>
      </c>
    </row>
    <row r="2275" customFormat="false" ht="15" hidden="false" customHeight="true" outlineLevel="0" collapsed="false">
      <c r="A2275" s="3" t="s">
        <v>3306</v>
      </c>
      <c r="B2275" s="3" t="s">
        <v>563</v>
      </c>
      <c r="C2275" s="3" t="s">
        <v>46</v>
      </c>
      <c r="D2275" s="3" t="s">
        <v>103</v>
      </c>
      <c r="E2275" s="3" t="s">
        <v>24</v>
      </c>
      <c r="F2275" s="3" t="s">
        <v>62</v>
      </c>
      <c r="G2275" s="3" t="s">
        <v>26</v>
      </c>
      <c r="H2275" s="3" t="s">
        <v>64</v>
      </c>
      <c r="I2275" s="3" t="s">
        <v>90</v>
      </c>
      <c r="J2275" s="3" t="n">
        <v>35</v>
      </c>
      <c r="K2275" s="3" t="n">
        <v>8233.72</v>
      </c>
      <c r="L2275" s="3" t="n">
        <v>288180.2</v>
      </c>
      <c r="M2275" s="3" t="n">
        <v>0.0353</v>
      </c>
      <c r="N2275" s="3" t="n">
        <v>10172.76</v>
      </c>
      <c r="O2275" s="3" t="n">
        <v>278007.44</v>
      </c>
      <c r="P2275" s="3" t="n">
        <v>167144.52</v>
      </c>
      <c r="Q2275" s="3" t="n">
        <v>110862.92</v>
      </c>
      <c r="R2275" s="3" t="n">
        <v>0.3988</v>
      </c>
      <c r="S2275" s="3" t="n">
        <v>0.0314</v>
      </c>
      <c r="T2275" s="3" t="n">
        <v>0.0039</v>
      </c>
    </row>
    <row r="2276" customFormat="false" ht="15" hidden="false" customHeight="true" outlineLevel="0" collapsed="false">
      <c r="A2276" s="3" t="s">
        <v>3307</v>
      </c>
      <c r="B2276" s="3" t="s">
        <v>692</v>
      </c>
      <c r="C2276" s="3" t="s">
        <v>60</v>
      </c>
      <c r="D2276" s="3" t="s">
        <v>38</v>
      </c>
      <c r="E2276" s="3" t="s">
        <v>39</v>
      </c>
      <c r="F2276" s="3" t="s">
        <v>40</v>
      </c>
      <c r="G2276" s="3" t="s">
        <v>76</v>
      </c>
      <c r="H2276" s="3" t="s">
        <v>56</v>
      </c>
      <c r="I2276" s="3" t="s">
        <v>188</v>
      </c>
      <c r="J2276" s="3" t="n">
        <v>1</v>
      </c>
      <c r="K2276" s="3" t="n">
        <v>6640.25</v>
      </c>
      <c r="L2276" s="3" t="n">
        <v>6640.25</v>
      </c>
      <c r="M2276" s="3" t="n">
        <v>0.0696</v>
      </c>
      <c r="N2276" s="3" t="n">
        <v>462.16</v>
      </c>
      <c r="O2276" s="3" t="n">
        <v>6178.09</v>
      </c>
      <c r="P2276" s="3" t="n">
        <v>3984.15</v>
      </c>
      <c r="Q2276" s="3" t="n">
        <v>2193.94</v>
      </c>
      <c r="R2276" s="3" t="n">
        <v>0.3551</v>
      </c>
      <c r="S2276" s="3" t="n">
        <v>0.0695</v>
      </c>
      <c r="T2276" s="3" t="n">
        <v>0.0001</v>
      </c>
    </row>
    <row r="2277" customFormat="false" ht="15" hidden="false" customHeight="true" outlineLevel="0" collapsed="false">
      <c r="A2277" s="3" t="s">
        <v>3308</v>
      </c>
      <c r="B2277" s="3" t="s">
        <v>1036</v>
      </c>
      <c r="C2277" s="3" t="s">
        <v>156</v>
      </c>
      <c r="D2277" s="3" t="s">
        <v>107</v>
      </c>
      <c r="E2277" s="3" t="s">
        <v>33</v>
      </c>
      <c r="F2277" s="3" t="s">
        <v>70</v>
      </c>
      <c r="G2277" s="3" t="s">
        <v>49</v>
      </c>
      <c r="H2277" s="3" t="s">
        <v>77</v>
      </c>
      <c r="I2277" s="3" t="s">
        <v>131</v>
      </c>
      <c r="J2277" s="3" t="n">
        <v>8</v>
      </c>
      <c r="K2277" s="3" t="n">
        <v>5831.29</v>
      </c>
      <c r="L2277" s="3" t="n">
        <v>46650.32</v>
      </c>
      <c r="M2277" s="3" t="n">
        <v>0.0718</v>
      </c>
      <c r="N2277" s="3" t="n">
        <v>3349.49</v>
      </c>
      <c r="O2277" s="3" t="n">
        <v>43300.83</v>
      </c>
      <c r="P2277" s="3" t="n">
        <v>31722.22</v>
      </c>
      <c r="Q2277" s="3" t="n">
        <v>11578.61</v>
      </c>
      <c r="R2277" s="3" t="n">
        <v>0.2674</v>
      </c>
      <c r="S2277" s="3" t="n">
        <v>0.061</v>
      </c>
      <c r="T2277" s="3" t="n">
        <v>0.0108</v>
      </c>
    </row>
    <row r="2278" customFormat="false" ht="15" hidden="false" customHeight="true" outlineLevel="0" collapsed="false">
      <c r="A2278" s="3" t="s">
        <v>3309</v>
      </c>
      <c r="B2278" s="3" t="s">
        <v>2073</v>
      </c>
      <c r="C2278" s="3" t="s">
        <v>113</v>
      </c>
      <c r="D2278" s="3" t="s">
        <v>75</v>
      </c>
      <c r="E2278" s="3" t="s">
        <v>39</v>
      </c>
      <c r="F2278" s="3" t="s">
        <v>25</v>
      </c>
      <c r="G2278" s="3" t="s">
        <v>63</v>
      </c>
      <c r="H2278" s="3" t="s">
        <v>77</v>
      </c>
      <c r="I2278" s="3" t="s">
        <v>131</v>
      </c>
      <c r="J2278" s="3" t="n">
        <v>36</v>
      </c>
      <c r="K2278" s="3" t="n">
        <v>3121.03</v>
      </c>
      <c r="L2278" s="3" t="n">
        <v>112357.08</v>
      </c>
      <c r="M2278" s="3" t="n">
        <v>0.105</v>
      </c>
      <c r="N2278" s="3" t="n">
        <v>11797.49</v>
      </c>
      <c r="O2278" s="3" t="n">
        <v>100559.59</v>
      </c>
      <c r="P2278" s="3" t="n">
        <v>76402.81</v>
      </c>
      <c r="Q2278" s="3" t="n">
        <v>24156.78</v>
      </c>
      <c r="R2278" s="3" t="n">
        <v>0.2402</v>
      </c>
      <c r="S2278" s="3" t="n">
        <v>0.0925</v>
      </c>
      <c r="T2278" s="3" t="n">
        <v>0.0125</v>
      </c>
    </row>
    <row r="2279" customFormat="false" ht="15" hidden="false" customHeight="true" outlineLevel="0" collapsed="false">
      <c r="A2279" s="3" t="s">
        <v>3310</v>
      </c>
      <c r="B2279" s="3" t="s">
        <v>2280</v>
      </c>
      <c r="C2279" s="3" t="s">
        <v>113</v>
      </c>
      <c r="D2279" s="3" t="s">
        <v>54</v>
      </c>
      <c r="E2279" s="3" t="s">
        <v>24</v>
      </c>
      <c r="F2279" s="3" t="s">
        <v>40</v>
      </c>
      <c r="G2279" s="3" t="s">
        <v>116</v>
      </c>
      <c r="H2279" s="3" t="s">
        <v>42</v>
      </c>
      <c r="I2279" s="3" t="s">
        <v>72</v>
      </c>
      <c r="J2279" s="3" t="n">
        <v>1</v>
      </c>
      <c r="K2279" s="3" t="n">
        <v>3195.6</v>
      </c>
      <c r="L2279" s="3" t="n">
        <v>3195.6</v>
      </c>
      <c r="M2279" s="3" t="n">
        <v>0.0994</v>
      </c>
      <c r="N2279" s="3" t="n">
        <v>317.64</v>
      </c>
      <c r="O2279" s="3" t="n">
        <v>2877.96</v>
      </c>
      <c r="P2279" s="3" t="n">
        <v>1757.58</v>
      </c>
      <c r="Q2279" s="3" t="n">
        <v>1120.38</v>
      </c>
      <c r="R2279" s="3" t="n">
        <v>0.3893</v>
      </c>
      <c r="S2279" s="3" t="n">
        <v>0.1056</v>
      </c>
      <c r="T2279" s="3" t="n">
        <v>-0.0062</v>
      </c>
    </row>
    <row r="2280" customFormat="false" ht="15" hidden="false" customHeight="true" outlineLevel="0" collapsed="false">
      <c r="A2280" s="3" t="s">
        <v>3311</v>
      </c>
      <c r="B2280" s="3" t="s">
        <v>1982</v>
      </c>
      <c r="C2280" s="3" t="s">
        <v>93</v>
      </c>
      <c r="D2280" s="3" t="s">
        <v>32</v>
      </c>
      <c r="E2280" s="3" t="s">
        <v>33</v>
      </c>
      <c r="F2280" s="3" t="s">
        <v>25</v>
      </c>
      <c r="G2280" s="3" t="s">
        <v>76</v>
      </c>
      <c r="H2280" s="3" t="s">
        <v>42</v>
      </c>
      <c r="I2280" s="3" t="s">
        <v>134</v>
      </c>
      <c r="J2280" s="3" t="n">
        <v>35</v>
      </c>
      <c r="K2280" s="3" t="n">
        <v>2833.65</v>
      </c>
      <c r="L2280" s="3" t="n">
        <v>99177.75</v>
      </c>
      <c r="M2280" s="3" t="n">
        <v>0.1471</v>
      </c>
      <c r="N2280" s="3" t="n">
        <v>14589.05</v>
      </c>
      <c r="O2280" s="3" t="n">
        <v>84588.7</v>
      </c>
      <c r="P2280" s="3" t="n">
        <v>54547.76</v>
      </c>
      <c r="Q2280" s="3" t="n">
        <v>30040.94</v>
      </c>
      <c r="R2280" s="3" t="n">
        <v>0.3551</v>
      </c>
      <c r="S2280" s="3" t="n">
        <v>0.1292</v>
      </c>
      <c r="T2280" s="3" t="n">
        <v>0.0179</v>
      </c>
    </row>
    <row r="2281" customFormat="false" ht="15" hidden="false" customHeight="true" outlineLevel="0" collapsed="false">
      <c r="A2281" s="3" t="s">
        <v>3312</v>
      </c>
      <c r="B2281" s="3" t="s">
        <v>1010</v>
      </c>
      <c r="C2281" s="3" t="s">
        <v>93</v>
      </c>
      <c r="D2281" s="3" t="s">
        <v>97</v>
      </c>
      <c r="E2281" s="3" t="s">
        <v>48</v>
      </c>
      <c r="F2281" s="3" t="s">
        <v>40</v>
      </c>
      <c r="G2281" s="3" t="s">
        <v>49</v>
      </c>
      <c r="H2281" s="3" t="s">
        <v>27</v>
      </c>
      <c r="I2281" s="3" t="s">
        <v>94</v>
      </c>
      <c r="J2281" s="3" t="n">
        <v>16</v>
      </c>
      <c r="K2281" s="3" t="n">
        <v>21311.81</v>
      </c>
      <c r="L2281" s="3" t="n">
        <v>340988.96</v>
      </c>
      <c r="M2281" s="3" t="n">
        <v>0.0307</v>
      </c>
      <c r="N2281" s="3" t="n">
        <v>10468.36</v>
      </c>
      <c r="O2281" s="3" t="n">
        <v>330520.6</v>
      </c>
      <c r="P2281" s="3" t="n">
        <v>211413.16</v>
      </c>
      <c r="Q2281" s="3" t="n">
        <v>119107.44</v>
      </c>
      <c r="R2281" s="3" t="n">
        <v>0.3604</v>
      </c>
      <c r="S2281" s="3" t="n">
        <v>0.0318</v>
      </c>
      <c r="T2281" s="3" t="n">
        <v>-0.0011</v>
      </c>
    </row>
    <row r="2282" customFormat="false" ht="15" hidden="false" customHeight="true" outlineLevel="0" collapsed="false">
      <c r="A2282" s="3" t="s">
        <v>3313</v>
      </c>
      <c r="B2282" s="3" t="s">
        <v>3314</v>
      </c>
      <c r="C2282" s="3" t="s">
        <v>37</v>
      </c>
      <c r="D2282" s="3" t="s">
        <v>32</v>
      </c>
      <c r="E2282" s="3" t="s">
        <v>33</v>
      </c>
      <c r="F2282" s="3" t="s">
        <v>25</v>
      </c>
      <c r="G2282" s="3" t="s">
        <v>34</v>
      </c>
      <c r="H2282" s="3" t="s">
        <v>27</v>
      </c>
      <c r="I2282" s="3" t="s">
        <v>28</v>
      </c>
      <c r="J2282" s="3" t="n">
        <v>23</v>
      </c>
      <c r="K2282" s="3" t="n">
        <v>9469.58</v>
      </c>
      <c r="L2282" s="3" t="n">
        <v>217800.34</v>
      </c>
      <c r="M2282" s="3" t="n">
        <v>0.2029</v>
      </c>
      <c r="N2282" s="3" t="n">
        <v>44191.69</v>
      </c>
      <c r="O2282" s="3" t="n">
        <v>173608.65</v>
      </c>
      <c r="P2282" s="3" t="n">
        <v>135036.21</v>
      </c>
      <c r="Q2282" s="3" t="n">
        <v>38572.44</v>
      </c>
      <c r="R2282" s="3" t="n">
        <v>0.2222</v>
      </c>
      <c r="S2282" s="3" t="n">
        <v>0.2016</v>
      </c>
      <c r="T2282" s="3" t="n">
        <v>0.0013</v>
      </c>
    </row>
    <row r="2283" customFormat="false" ht="15" hidden="false" customHeight="true" outlineLevel="0" collapsed="false">
      <c r="A2283" s="3" t="s">
        <v>3315</v>
      </c>
      <c r="B2283" s="3" t="s">
        <v>435</v>
      </c>
      <c r="C2283" s="3" t="s">
        <v>31</v>
      </c>
      <c r="D2283" s="3" t="s">
        <v>32</v>
      </c>
      <c r="E2283" s="3" t="s">
        <v>33</v>
      </c>
      <c r="F2283" s="3" t="s">
        <v>25</v>
      </c>
      <c r="G2283" s="3" t="s">
        <v>76</v>
      </c>
      <c r="H2283" s="3" t="s">
        <v>42</v>
      </c>
      <c r="I2283" s="3" t="s">
        <v>134</v>
      </c>
      <c r="J2283" s="3" t="n">
        <v>17</v>
      </c>
      <c r="K2283" s="3" t="n">
        <v>839.82</v>
      </c>
      <c r="L2283" s="3" t="n">
        <v>14276.94</v>
      </c>
      <c r="M2283" s="3" t="n">
        <v>0.1237</v>
      </c>
      <c r="N2283" s="3" t="n">
        <v>1766.06</v>
      </c>
      <c r="O2283" s="3" t="n">
        <v>12510.88</v>
      </c>
      <c r="P2283" s="3" t="n">
        <v>7852.32</v>
      </c>
      <c r="Q2283" s="3" t="n">
        <v>4658.56</v>
      </c>
      <c r="R2283" s="3" t="n">
        <v>0.3724</v>
      </c>
      <c r="S2283" s="3" t="n">
        <v>0.1353</v>
      </c>
      <c r="T2283" s="3" t="n">
        <v>-0.0116</v>
      </c>
    </row>
    <row r="2284" customFormat="false" ht="15" hidden="false" customHeight="true" outlineLevel="0" collapsed="false">
      <c r="A2284" s="3" t="s">
        <v>3316</v>
      </c>
      <c r="B2284" s="3" t="s">
        <v>728</v>
      </c>
      <c r="C2284" s="3" t="s">
        <v>156</v>
      </c>
      <c r="D2284" s="3" t="s">
        <v>23</v>
      </c>
      <c r="E2284" s="3" t="s">
        <v>24</v>
      </c>
      <c r="F2284" s="3" t="s">
        <v>25</v>
      </c>
      <c r="G2284" s="3" t="s">
        <v>84</v>
      </c>
      <c r="H2284" s="3" t="s">
        <v>42</v>
      </c>
      <c r="I2284" s="3" t="s">
        <v>134</v>
      </c>
      <c r="J2284" s="3" t="n">
        <v>33</v>
      </c>
      <c r="K2284" s="3" t="n">
        <v>2493.19</v>
      </c>
      <c r="L2284" s="3" t="n">
        <v>82275.27</v>
      </c>
      <c r="M2284" s="3" t="n">
        <v>0.1812</v>
      </c>
      <c r="N2284" s="3" t="n">
        <v>14908.28</v>
      </c>
      <c r="O2284" s="3" t="n">
        <v>67366.99</v>
      </c>
      <c r="P2284" s="3" t="n">
        <v>45251.4</v>
      </c>
      <c r="Q2284" s="3" t="n">
        <v>22115.59</v>
      </c>
      <c r="R2284" s="3" t="n">
        <v>0.3283</v>
      </c>
      <c r="S2284" s="3" t="n">
        <v>0.1805</v>
      </c>
      <c r="T2284" s="3" t="n">
        <v>0.0007</v>
      </c>
    </row>
    <row r="2285" customFormat="false" ht="15" hidden="false" customHeight="true" outlineLevel="0" collapsed="false">
      <c r="A2285" s="3" t="s">
        <v>3317</v>
      </c>
      <c r="B2285" s="3" t="s">
        <v>2889</v>
      </c>
      <c r="C2285" s="3" t="s">
        <v>113</v>
      </c>
      <c r="D2285" s="3" t="s">
        <v>107</v>
      </c>
      <c r="E2285" s="3" t="s">
        <v>33</v>
      </c>
      <c r="F2285" s="3" t="s">
        <v>70</v>
      </c>
      <c r="G2285" s="3" t="s">
        <v>63</v>
      </c>
      <c r="H2285" s="3" t="s">
        <v>77</v>
      </c>
      <c r="I2285" s="3" t="s">
        <v>131</v>
      </c>
      <c r="J2285" s="3" t="n">
        <v>3</v>
      </c>
      <c r="K2285" s="3" t="n">
        <v>5415.3</v>
      </c>
      <c r="L2285" s="3" t="n">
        <v>16245.9</v>
      </c>
      <c r="M2285" s="3" t="n">
        <v>0.0316</v>
      </c>
      <c r="N2285" s="3" t="n">
        <v>513.37</v>
      </c>
      <c r="O2285" s="3" t="n">
        <v>15732.53</v>
      </c>
      <c r="P2285" s="3" t="n">
        <v>11047.21</v>
      </c>
      <c r="Q2285" s="3" t="n">
        <v>4685.32</v>
      </c>
      <c r="R2285" s="3" t="n">
        <v>0.2978</v>
      </c>
      <c r="S2285" s="3" t="n">
        <v>0.0293</v>
      </c>
      <c r="T2285" s="3" t="n">
        <v>0.0023</v>
      </c>
    </row>
    <row r="2286" customFormat="false" ht="15" hidden="false" customHeight="true" outlineLevel="0" collapsed="false">
      <c r="A2286" s="3" t="s">
        <v>3318</v>
      </c>
      <c r="B2286" s="3" t="s">
        <v>2339</v>
      </c>
      <c r="C2286" s="3" t="s">
        <v>120</v>
      </c>
      <c r="D2286" s="3" t="s">
        <v>97</v>
      </c>
      <c r="E2286" s="3" t="s">
        <v>48</v>
      </c>
      <c r="F2286" s="3" t="s">
        <v>40</v>
      </c>
      <c r="G2286" s="3" t="s">
        <v>34</v>
      </c>
      <c r="H2286" s="3" t="s">
        <v>27</v>
      </c>
      <c r="I2286" s="3" t="s">
        <v>28</v>
      </c>
      <c r="J2286" s="3" t="n">
        <v>19</v>
      </c>
      <c r="K2286" s="3" t="n">
        <v>16684.27</v>
      </c>
      <c r="L2286" s="3" t="n">
        <v>317001.13</v>
      </c>
      <c r="M2286" s="3" t="n">
        <v>0.1039</v>
      </c>
      <c r="N2286" s="3" t="n">
        <v>32936.42</v>
      </c>
      <c r="O2286" s="3" t="n">
        <v>284064.71</v>
      </c>
      <c r="P2286" s="3" t="n">
        <v>196540.7</v>
      </c>
      <c r="Q2286" s="3" t="n">
        <v>87524.01</v>
      </c>
      <c r="R2286" s="3" t="n">
        <v>0.3081</v>
      </c>
      <c r="S2286" s="3" t="n">
        <v>0.1019</v>
      </c>
      <c r="T2286" s="3" t="n">
        <v>0.002</v>
      </c>
    </row>
    <row r="2287" customFormat="false" ht="15" hidden="false" customHeight="true" outlineLevel="0" collapsed="false">
      <c r="A2287" s="3" t="s">
        <v>3319</v>
      </c>
      <c r="B2287" s="3" t="s">
        <v>1626</v>
      </c>
      <c r="C2287" s="3" t="s">
        <v>46</v>
      </c>
      <c r="D2287" s="3" t="s">
        <v>32</v>
      </c>
      <c r="E2287" s="3" t="s">
        <v>33</v>
      </c>
      <c r="F2287" s="3" t="s">
        <v>25</v>
      </c>
      <c r="G2287" s="3" t="s">
        <v>76</v>
      </c>
      <c r="H2287" s="3" t="s">
        <v>77</v>
      </c>
      <c r="I2287" s="3" t="s">
        <v>78</v>
      </c>
      <c r="J2287" s="3" t="n">
        <v>28</v>
      </c>
      <c r="K2287" s="3" t="n">
        <v>4393.27</v>
      </c>
      <c r="L2287" s="3" t="n">
        <v>123011.56</v>
      </c>
      <c r="M2287" s="3" t="n">
        <v>0.1723</v>
      </c>
      <c r="N2287" s="3" t="n">
        <v>21194.89</v>
      </c>
      <c r="O2287" s="3" t="n">
        <v>101816.67</v>
      </c>
      <c r="P2287" s="3" t="n">
        <v>83647.86</v>
      </c>
      <c r="Q2287" s="3" t="n">
        <v>18168.81</v>
      </c>
      <c r="R2287" s="3" t="n">
        <v>0.1784</v>
      </c>
      <c r="S2287" s="3" t="n">
        <v>0.1463</v>
      </c>
      <c r="T2287" s="3" t="n">
        <v>0.026</v>
      </c>
    </row>
    <row r="2288" customFormat="false" ht="15" hidden="false" customHeight="true" outlineLevel="0" collapsed="false">
      <c r="A2288" s="3" t="s">
        <v>3320</v>
      </c>
      <c r="B2288" s="3" t="s">
        <v>2294</v>
      </c>
      <c r="C2288" s="3" t="s">
        <v>37</v>
      </c>
      <c r="D2288" s="3" t="s">
        <v>32</v>
      </c>
      <c r="E2288" s="3" t="s">
        <v>33</v>
      </c>
      <c r="F2288" s="3" t="s">
        <v>25</v>
      </c>
      <c r="G2288" s="3" t="s">
        <v>41</v>
      </c>
      <c r="H2288" s="3" t="s">
        <v>77</v>
      </c>
      <c r="I2288" s="3" t="s">
        <v>131</v>
      </c>
      <c r="J2288" s="3" t="n">
        <v>23</v>
      </c>
      <c r="K2288" s="3" t="n">
        <v>1760.78</v>
      </c>
      <c r="L2288" s="3" t="n">
        <v>40497.94</v>
      </c>
      <c r="M2288" s="3" t="n">
        <v>0.1746</v>
      </c>
      <c r="N2288" s="3" t="n">
        <v>7070.94</v>
      </c>
      <c r="O2288" s="3" t="n">
        <v>33427</v>
      </c>
      <c r="P2288" s="3" t="n">
        <v>27538.6</v>
      </c>
      <c r="Q2288" s="3" t="n">
        <v>5888.4</v>
      </c>
      <c r="R2288" s="3" t="n">
        <v>0.1762</v>
      </c>
      <c r="S2288" s="3" t="n">
        <v>0.1885</v>
      </c>
      <c r="T2288" s="3" t="n">
        <v>-0.0139</v>
      </c>
    </row>
    <row r="2289" customFormat="false" ht="15" hidden="false" customHeight="true" outlineLevel="0" collapsed="false">
      <c r="A2289" s="3" t="s">
        <v>3321</v>
      </c>
      <c r="B2289" s="3" t="s">
        <v>1212</v>
      </c>
      <c r="C2289" s="3" t="s">
        <v>126</v>
      </c>
      <c r="D2289" s="3" t="s">
        <v>75</v>
      </c>
      <c r="E2289" s="3" t="s">
        <v>39</v>
      </c>
      <c r="F2289" s="3" t="s">
        <v>25</v>
      </c>
      <c r="G2289" s="3" t="s">
        <v>116</v>
      </c>
      <c r="H2289" s="3" t="s">
        <v>64</v>
      </c>
      <c r="I2289" s="3" t="s">
        <v>108</v>
      </c>
      <c r="J2289" s="3" t="n">
        <v>22</v>
      </c>
      <c r="K2289" s="3" t="n">
        <v>8480.9</v>
      </c>
      <c r="L2289" s="3" t="n">
        <v>186579.8</v>
      </c>
      <c r="M2289" s="3" t="n">
        <v>0.2022</v>
      </c>
      <c r="N2289" s="3" t="n">
        <v>37726.44</v>
      </c>
      <c r="O2289" s="3" t="n">
        <v>148853.36</v>
      </c>
      <c r="P2289" s="3" t="n">
        <v>108216.28</v>
      </c>
      <c r="Q2289" s="3" t="n">
        <v>40637.08</v>
      </c>
      <c r="R2289" s="3" t="n">
        <v>0.273</v>
      </c>
      <c r="S2289" s="3" t="n">
        <v>0.1885</v>
      </c>
      <c r="T2289" s="3" t="n">
        <v>0.0137</v>
      </c>
    </row>
    <row r="2290" customFormat="false" ht="15" hidden="false" customHeight="true" outlineLevel="0" collapsed="false">
      <c r="A2290" s="3" t="s">
        <v>3322</v>
      </c>
      <c r="B2290" s="3" t="s">
        <v>3168</v>
      </c>
      <c r="C2290" s="3" t="s">
        <v>37</v>
      </c>
      <c r="D2290" s="3" t="s">
        <v>32</v>
      </c>
      <c r="E2290" s="3" t="s">
        <v>33</v>
      </c>
      <c r="F2290" s="3" t="s">
        <v>25</v>
      </c>
      <c r="G2290" s="3" t="s">
        <v>76</v>
      </c>
      <c r="H2290" s="3" t="s">
        <v>42</v>
      </c>
      <c r="I2290" s="3" t="s">
        <v>134</v>
      </c>
      <c r="J2290" s="3" t="n">
        <v>25</v>
      </c>
      <c r="K2290" s="3" t="n">
        <v>2181.4</v>
      </c>
      <c r="L2290" s="3" t="n">
        <v>54535</v>
      </c>
      <c r="M2290" s="3" t="n">
        <v>0.1083</v>
      </c>
      <c r="N2290" s="3" t="n">
        <v>5906.14</v>
      </c>
      <c r="O2290" s="3" t="n">
        <v>48628.86</v>
      </c>
      <c r="P2290" s="3" t="n">
        <v>29994.25</v>
      </c>
      <c r="Q2290" s="3" t="n">
        <v>18634.61</v>
      </c>
      <c r="R2290" s="3" t="n">
        <v>0.3832</v>
      </c>
      <c r="S2290" s="3" t="n">
        <v>0.0987</v>
      </c>
      <c r="T2290" s="3" t="n">
        <v>0.0096</v>
      </c>
    </row>
    <row r="2291" customFormat="false" ht="15" hidden="false" customHeight="true" outlineLevel="0" collapsed="false">
      <c r="A2291" s="3" t="s">
        <v>3323</v>
      </c>
      <c r="B2291" s="3" t="s">
        <v>467</v>
      </c>
      <c r="C2291" s="3" t="s">
        <v>37</v>
      </c>
      <c r="D2291" s="3" t="s">
        <v>69</v>
      </c>
      <c r="E2291" s="3" t="s">
        <v>39</v>
      </c>
      <c r="F2291" s="3" t="s">
        <v>70</v>
      </c>
      <c r="G2291" s="3" t="s">
        <v>49</v>
      </c>
      <c r="H2291" s="3" t="s">
        <v>56</v>
      </c>
      <c r="I2291" s="3" t="s">
        <v>57</v>
      </c>
      <c r="J2291" s="3" t="n">
        <v>15</v>
      </c>
      <c r="K2291" s="3" t="n">
        <v>4731.56</v>
      </c>
      <c r="L2291" s="3" t="n">
        <v>70973.4</v>
      </c>
      <c r="M2291" s="3" t="n">
        <v>0.0567</v>
      </c>
      <c r="N2291" s="3" t="n">
        <v>4024.19</v>
      </c>
      <c r="O2291" s="3" t="n">
        <v>66949.21</v>
      </c>
      <c r="P2291" s="3" t="n">
        <v>42584.04</v>
      </c>
      <c r="Q2291" s="3" t="n">
        <v>24365.17</v>
      </c>
      <c r="R2291" s="3" t="n">
        <v>0.3639</v>
      </c>
      <c r="S2291" s="3" t="n">
        <v>0.0455</v>
      </c>
      <c r="T2291" s="3" t="n">
        <v>0.0112</v>
      </c>
    </row>
    <row r="2292" customFormat="false" ht="15" hidden="false" customHeight="true" outlineLevel="0" collapsed="false">
      <c r="A2292" s="3" t="s">
        <v>3324</v>
      </c>
      <c r="B2292" s="3" t="s">
        <v>376</v>
      </c>
      <c r="C2292" s="3" t="s">
        <v>22</v>
      </c>
      <c r="D2292" s="3" t="s">
        <v>61</v>
      </c>
      <c r="E2292" s="3" t="s">
        <v>33</v>
      </c>
      <c r="F2292" s="3" t="s">
        <v>62</v>
      </c>
      <c r="G2292" s="3" t="s">
        <v>49</v>
      </c>
      <c r="H2292" s="3" t="s">
        <v>64</v>
      </c>
      <c r="I2292" s="3" t="s">
        <v>145</v>
      </c>
      <c r="J2292" s="3" t="n">
        <v>14</v>
      </c>
      <c r="K2292" s="3" t="n">
        <v>9557.89</v>
      </c>
      <c r="L2292" s="3" t="n">
        <v>133810.46</v>
      </c>
      <c r="M2292" s="3" t="n">
        <v>0.0351</v>
      </c>
      <c r="N2292" s="3" t="n">
        <v>4696.75</v>
      </c>
      <c r="O2292" s="3" t="n">
        <v>129113.71</v>
      </c>
      <c r="P2292" s="3" t="n">
        <v>77610.07</v>
      </c>
      <c r="Q2292" s="3" t="n">
        <v>51503.64</v>
      </c>
      <c r="R2292" s="3" t="n">
        <v>0.3989</v>
      </c>
      <c r="S2292" s="3" t="n">
        <v>0.0281</v>
      </c>
      <c r="T2292" s="3" t="n">
        <v>0.007</v>
      </c>
    </row>
    <row r="2293" customFormat="false" ht="15" hidden="false" customHeight="true" outlineLevel="0" collapsed="false">
      <c r="A2293" s="3" t="s">
        <v>3325</v>
      </c>
      <c r="B2293" s="3" t="s">
        <v>138</v>
      </c>
      <c r="C2293" s="3" t="s">
        <v>22</v>
      </c>
      <c r="D2293" s="3" t="s">
        <v>69</v>
      </c>
      <c r="E2293" s="3" t="s">
        <v>39</v>
      </c>
      <c r="F2293" s="3" t="s">
        <v>70</v>
      </c>
      <c r="G2293" s="3" t="s">
        <v>71</v>
      </c>
      <c r="H2293" s="3" t="s">
        <v>77</v>
      </c>
      <c r="I2293" s="3" t="s">
        <v>131</v>
      </c>
      <c r="J2293" s="3" t="n">
        <v>6</v>
      </c>
      <c r="K2293" s="3" t="n">
        <v>2087.21</v>
      </c>
      <c r="L2293" s="3" t="n">
        <v>12523.26</v>
      </c>
      <c r="M2293" s="3" t="n">
        <v>0.0765</v>
      </c>
      <c r="N2293" s="3" t="n">
        <v>958.03</v>
      </c>
      <c r="O2293" s="3" t="n">
        <v>11565.23</v>
      </c>
      <c r="P2293" s="3" t="n">
        <v>8515.82</v>
      </c>
      <c r="Q2293" s="3" t="n">
        <v>3049.41</v>
      </c>
      <c r="R2293" s="3" t="n">
        <v>0.2637</v>
      </c>
      <c r="S2293" s="3" t="n">
        <v>0.0826</v>
      </c>
      <c r="T2293" s="3" t="n">
        <v>-0.0061</v>
      </c>
    </row>
    <row r="2294" customFormat="false" ht="15" hidden="false" customHeight="true" outlineLevel="0" collapsed="false">
      <c r="A2294" s="3" t="s">
        <v>3326</v>
      </c>
      <c r="B2294" s="3" t="s">
        <v>235</v>
      </c>
      <c r="C2294" s="3" t="s">
        <v>126</v>
      </c>
      <c r="D2294" s="3" t="s">
        <v>83</v>
      </c>
      <c r="E2294" s="3" t="s">
        <v>48</v>
      </c>
      <c r="F2294" s="3" t="s">
        <v>62</v>
      </c>
      <c r="G2294" s="3" t="s">
        <v>71</v>
      </c>
      <c r="H2294" s="3" t="s">
        <v>64</v>
      </c>
      <c r="I2294" s="3" t="s">
        <v>108</v>
      </c>
      <c r="J2294" s="3" t="n">
        <v>32</v>
      </c>
      <c r="K2294" s="3" t="n">
        <v>11729.2</v>
      </c>
      <c r="L2294" s="3" t="n">
        <v>375334.4</v>
      </c>
      <c r="M2294" s="3" t="n">
        <v>0.0379</v>
      </c>
      <c r="N2294" s="3" t="n">
        <v>14225.17</v>
      </c>
      <c r="O2294" s="3" t="n">
        <v>361109.23</v>
      </c>
      <c r="P2294" s="3" t="n">
        <v>217693.95</v>
      </c>
      <c r="Q2294" s="3" t="n">
        <v>143415.28</v>
      </c>
      <c r="R2294" s="3" t="n">
        <v>0.3972</v>
      </c>
      <c r="S2294" s="3" t="n">
        <v>0.0364</v>
      </c>
      <c r="T2294" s="3" t="n">
        <v>0.0015</v>
      </c>
    </row>
    <row r="2295" customFormat="false" ht="15" hidden="false" customHeight="true" outlineLevel="0" collapsed="false">
      <c r="A2295" s="3" t="s">
        <v>3327</v>
      </c>
      <c r="B2295" s="3" t="s">
        <v>227</v>
      </c>
      <c r="C2295" s="3" t="s">
        <v>37</v>
      </c>
      <c r="D2295" s="3" t="s">
        <v>107</v>
      </c>
      <c r="E2295" s="3" t="s">
        <v>33</v>
      </c>
      <c r="F2295" s="3" t="s">
        <v>70</v>
      </c>
      <c r="G2295" s="3" t="s">
        <v>100</v>
      </c>
      <c r="H2295" s="3" t="s">
        <v>64</v>
      </c>
      <c r="I2295" s="3" t="s">
        <v>145</v>
      </c>
      <c r="J2295" s="3" t="n">
        <v>44</v>
      </c>
      <c r="K2295" s="3" t="n">
        <v>5888.87</v>
      </c>
      <c r="L2295" s="3" t="n">
        <v>259110.28</v>
      </c>
      <c r="M2295" s="3" t="n">
        <v>0.0461</v>
      </c>
      <c r="N2295" s="3" t="n">
        <v>11944.98</v>
      </c>
      <c r="O2295" s="3" t="n">
        <v>247165.3</v>
      </c>
      <c r="P2295" s="3" t="n">
        <v>150283.96</v>
      </c>
      <c r="Q2295" s="3" t="n">
        <v>96881.34</v>
      </c>
      <c r="R2295" s="3" t="n">
        <v>0.392</v>
      </c>
      <c r="S2295" s="3" t="n">
        <v>0.0392</v>
      </c>
      <c r="T2295" s="3" t="n">
        <v>0.0069</v>
      </c>
    </row>
    <row r="2296" customFormat="false" ht="15" hidden="false" customHeight="true" outlineLevel="0" collapsed="false">
      <c r="A2296" s="3" t="s">
        <v>3328</v>
      </c>
      <c r="B2296" s="3" t="s">
        <v>467</v>
      </c>
      <c r="C2296" s="3" t="s">
        <v>37</v>
      </c>
      <c r="D2296" s="3" t="s">
        <v>38</v>
      </c>
      <c r="E2296" s="3" t="s">
        <v>39</v>
      </c>
      <c r="F2296" s="3" t="s">
        <v>40</v>
      </c>
      <c r="G2296" s="3" t="s">
        <v>71</v>
      </c>
      <c r="H2296" s="3" t="s">
        <v>42</v>
      </c>
      <c r="I2296" s="3" t="s">
        <v>43</v>
      </c>
      <c r="J2296" s="3" t="n">
        <v>9</v>
      </c>
      <c r="K2296" s="3" t="n">
        <v>3445.94</v>
      </c>
      <c r="L2296" s="3" t="n">
        <v>31013.46</v>
      </c>
      <c r="M2296" s="3" t="n">
        <v>0.0656</v>
      </c>
      <c r="N2296" s="3" t="n">
        <v>2034.48</v>
      </c>
      <c r="O2296" s="3" t="n">
        <v>28978.98</v>
      </c>
      <c r="P2296" s="3" t="n">
        <v>17057.4</v>
      </c>
      <c r="Q2296" s="3" t="n">
        <v>11921.58</v>
      </c>
      <c r="R2296" s="3" t="n">
        <v>0.4114</v>
      </c>
      <c r="S2296" s="3" t="n">
        <v>0.0545</v>
      </c>
      <c r="T2296" s="3" t="n">
        <v>0.0111</v>
      </c>
    </row>
    <row r="2297" customFormat="false" ht="15" hidden="false" customHeight="true" outlineLevel="0" collapsed="false">
      <c r="A2297" s="3" t="s">
        <v>3329</v>
      </c>
      <c r="B2297" s="3" t="s">
        <v>1297</v>
      </c>
      <c r="C2297" s="3" t="s">
        <v>22</v>
      </c>
      <c r="D2297" s="3" t="s">
        <v>61</v>
      </c>
      <c r="E2297" s="3" t="s">
        <v>33</v>
      </c>
      <c r="F2297" s="3" t="s">
        <v>62</v>
      </c>
      <c r="G2297" s="3" t="s">
        <v>84</v>
      </c>
      <c r="H2297" s="3" t="s">
        <v>56</v>
      </c>
      <c r="I2297" s="3" t="s">
        <v>57</v>
      </c>
      <c r="J2297" s="3" t="n">
        <v>6</v>
      </c>
      <c r="K2297" s="3" t="n">
        <v>7891.89</v>
      </c>
      <c r="L2297" s="3" t="n">
        <v>47351.34</v>
      </c>
      <c r="M2297" s="3" t="n">
        <v>0.0524</v>
      </c>
      <c r="N2297" s="3" t="n">
        <v>2481.21</v>
      </c>
      <c r="O2297" s="3" t="n">
        <v>44870.13</v>
      </c>
      <c r="P2297" s="3" t="n">
        <v>28410.8</v>
      </c>
      <c r="Q2297" s="3" t="n">
        <v>16459.33</v>
      </c>
      <c r="R2297" s="3" t="n">
        <v>0.3668</v>
      </c>
      <c r="S2297" s="3" t="n">
        <v>0.0472</v>
      </c>
      <c r="T2297" s="3" t="n">
        <v>0.0052</v>
      </c>
    </row>
    <row r="2298" customFormat="false" ht="15" hidden="false" customHeight="true" outlineLevel="0" collapsed="false">
      <c r="A2298" s="3" t="s">
        <v>3330</v>
      </c>
      <c r="B2298" s="3" t="s">
        <v>999</v>
      </c>
      <c r="C2298" s="3" t="s">
        <v>93</v>
      </c>
      <c r="D2298" s="3" t="s">
        <v>32</v>
      </c>
      <c r="E2298" s="3" t="s">
        <v>33</v>
      </c>
      <c r="F2298" s="3" t="s">
        <v>25</v>
      </c>
      <c r="G2298" s="3" t="s">
        <v>104</v>
      </c>
      <c r="H2298" s="3" t="s">
        <v>56</v>
      </c>
      <c r="I2298" s="3" t="s">
        <v>121</v>
      </c>
      <c r="J2298" s="3" t="n">
        <v>39</v>
      </c>
      <c r="K2298" s="3" t="n">
        <v>7812.36</v>
      </c>
      <c r="L2298" s="3" t="n">
        <v>304682.04</v>
      </c>
      <c r="M2298" s="3" t="n">
        <v>0.1428</v>
      </c>
      <c r="N2298" s="3" t="n">
        <v>43508.6</v>
      </c>
      <c r="O2298" s="3" t="n">
        <v>261173.44</v>
      </c>
      <c r="P2298" s="3" t="n">
        <v>182809.22</v>
      </c>
      <c r="Q2298" s="3" t="n">
        <v>78364.22</v>
      </c>
      <c r="R2298" s="3" t="n">
        <v>0.3</v>
      </c>
      <c r="S2298" s="3" t="n">
        <v>0.1241</v>
      </c>
      <c r="T2298" s="3" t="n">
        <v>0.0187</v>
      </c>
    </row>
    <row r="2299" customFormat="false" ht="15" hidden="false" customHeight="true" outlineLevel="0" collapsed="false">
      <c r="A2299" s="3" t="s">
        <v>3331</v>
      </c>
      <c r="B2299" s="3" t="s">
        <v>177</v>
      </c>
      <c r="C2299" s="3" t="s">
        <v>126</v>
      </c>
      <c r="D2299" s="3" t="s">
        <v>103</v>
      </c>
      <c r="E2299" s="3" t="s">
        <v>24</v>
      </c>
      <c r="F2299" s="3" t="s">
        <v>62</v>
      </c>
      <c r="G2299" s="3" t="s">
        <v>41</v>
      </c>
      <c r="H2299" s="3" t="s">
        <v>64</v>
      </c>
      <c r="I2299" s="3" t="s">
        <v>145</v>
      </c>
      <c r="J2299" s="3" t="n">
        <v>34</v>
      </c>
      <c r="K2299" s="3" t="n">
        <v>5678.07</v>
      </c>
      <c r="L2299" s="3" t="n">
        <v>193054.38</v>
      </c>
      <c r="M2299" s="3" t="n">
        <v>0.1207</v>
      </c>
      <c r="N2299" s="3" t="n">
        <v>23301.66</v>
      </c>
      <c r="O2299" s="3" t="n">
        <v>169752.72</v>
      </c>
      <c r="P2299" s="3" t="n">
        <v>111971.54</v>
      </c>
      <c r="Q2299" s="3" t="n">
        <v>57781.18</v>
      </c>
      <c r="R2299" s="3" t="n">
        <v>0.3404</v>
      </c>
      <c r="S2299" s="3" t="n">
        <v>0.1006</v>
      </c>
      <c r="T2299" s="3" t="n">
        <v>0.0201</v>
      </c>
    </row>
    <row r="2300" customFormat="false" ht="15" hidden="false" customHeight="true" outlineLevel="0" collapsed="false">
      <c r="A2300" s="3" t="s">
        <v>3332</v>
      </c>
      <c r="B2300" s="3" t="s">
        <v>1449</v>
      </c>
      <c r="C2300" s="3" t="s">
        <v>53</v>
      </c>
      <c r="D2300" s="3" t="s">
        <v>83</v>
      </c>
      <c r="E2300" s="3" t="s">
        <v>48</v>
      </c>
      <c r="F2300" s="3" t="s">
        <v>62</v>
      </c>
      <c r="G2300" s="3" t="s">
        <v>55</v>
      </c>
      <c r="H2300" s="3" t="s">
        <v>27</v>
      </c>
      <c r="I2300" s="3" t="s">
        <v>50</v>
      </c>
      <c r="J2300" s="3" t="n">
        <v>37</v>
      </c>
      <c r="K2300" s="3" t="n">
        <v>17608.97</v>
      </c>
      <c r="L2300" s="3" t="n">
        <v>651531.89</v>
      </c>
      <c r="M2300" s="3" t="n">
        <v>0.053</v>
      </c>
      <c r="N2300" s="3" t="n">
        <v>34531.19</v>
      </c>
      <c r="O2300" s="3" t="n">
        <v>617000.7</v>
      </c>
      <c r="P2300" s="3" t="n">
        <v>403949.77</v>
      </c>
      <c r="Q2300" s="3" t="n">
        <v>213050.93</v>
      </c>
      <c r="R2300" s="3" t="n">
        <v>0.3453</v>
      </c>
      <c r="S2300" s="3" t="n">
        <v>0.047</v>
      </c>
      <c r="T2300" s="3" t="n">
        <v>0.006</v>
      </c>
    </row>
    <row r="2301" customFormat="false" ht="15" hidden="false" customHeight="true" outlineLevel="0" collapsed="false">
      <c r="A2301" s="3" t="s">
        <v>3333</v>
      </c>
      <c r="B2301" s="3" t="s">
        <v>3334</v>
      </c>
      <c r="C2301" s="3" t="s">
        <v>113</v>
      </c>
      <c r="D2301" s="3" t="s">
        <v>38</v>
      </c>
      <c r="E2301" s="3" t="s">
        <v>39</v>
      </c>
      <c r="F2301" s="3" t="s">
        <v>40</v>
      </c>
      <c r="G2301" s="3" t="s">
        <v>49</v>
      </c>
      <c r="H2301" s="3" t="s">
        <v>64</v>
      </c>
      <c r="I2301" s="3" t="s">
        <v>65</v>
      </c>
      <c r="J2301" s="3" t="n">
        <v>33</v>
      </c>
      <c r="K2301" s="3" t="n">
        <v>5082.31</v>
      </c>
      <c r="L2301" s="3" t="n">
        <v>167716.23</v>
      </c>
      <c r="M2301" s="3" t="n">
        <v>0.0567</v>
      </c>
      <c r="N2301" s="3" t="n">
        <v>9509.51</v>
      </c>
      <c r="O2301" s="3" t="n">
        <v>158206.72</v>
      </c>
      <c r="P2301" s="3" t="n">
        <v>97275.41</v>
      </c>
      <c r="Q2301" s="3" t="n">
        <v>60931.31</v>
      </c>
      <c r="R2301" s="3" t="n">
        <v>0.3851</v>
      </c>
      <c r="S2301" s="3" t="n">
        <v>0.0487</v>
      </c>
      <c r="T2301" s="3" t="n">
        <v>0.008</v>
      </c>
    </row>
    <row r="2302" customFormat="false" ht="15" hidden="false" customHeight="true" outlineLevel="0" collapsed="false">
      <c r="A2302" s="3" t="s">
        <v>3335</v>
      </c>
      <c r="B2302" s="3" t="s">
        <v>333</v>
      </c>
      <c r="C2302" s="3" t="s">
        <v>68</v>
      </c>
      <c r="D2302" s="3" t="s">
        <v>107</v>
      </c>
      <c r="E2302" s="3" t="s">
        <v>33</v>
      </c>
      <c r="F2302" s="3" t="s">
        <v>70</v>
      </c>
      <c r="G2302" s="3" t="s">
        <v>116</v>
      </c>
      <c r="H2302" s="3" t="s">
        <v>64</v>
      </c>
      <c r="I2302" s="3" t="s">
        <v>90</v>
      </c>
      <c r="J2302" s="3" t="n">
        <v>5</v>
      </c>
      <c r="K2302" s="3" t="n">
        <v>10864.62</v>
      </c>
      <c r="L2302" s="3" t="n">
        <v>54323.1</v>
      </c>
      <c r="M2302" s="3" t="n">
        <v>0.094</v>
      </c>
      <c r="N2302" s="3" t="n">
        <v>5106.37</v>
      </c>
      <c r="O2302" s="3" t="n">
        <v>49216.73</v>
      </c>
      <c r="P2302" s="3" t="n">
        <v>31507.4</v>
      </c>
      <c r="Q2302" s="3" t="n">
        <v>17709.33</v>
      </c>
      <c r="R2302" s="3" t="n">
        <v>0.3598</v>
      </c>
      <c r="S2302" s="3" t="n">
        <v>0.1011</v>
      </c>
      <c r="T2302" s="3" t="n">
        <v>-0.0071</v>
      </c>
    </row>
    <row r="2303" customFormat="false" ht="15" hidden="false" customHeight="true" outlineLevel="0" collapsed="false">
      <c r="A2303" s="3" t="s">
        <v>3336</v>
      </c>
      <c r="B2303" s="3" t="s">
        <v>138</v>
      </c>
      <c r="C2303" s="3" t="s">
        <v>22</v>
      </c>
      <c r="D2303" s="3" t="s">
        <v>75</v>
      </c>
      <c r="E2303" s="3" t="s">
        <v>39</v>
      </c>
      <c r="F2303" s="3" t="s">
        <v>25</v>
      </c>
      <c r="G2303" s="3" t="s">
        <v>100</v>
      </c>
      <c r="H2303" s="3" t="s">
        <v>77</v>
      </c>
      <c r="I2303" s="3" t="s">
        <v>131</v>
      </c>
      <c r="J2303" s="3" t="n">
        <v>35</v>
      </c>
      <c r="K2303" s="3" t="n">
        <v>3477.28</v>
      </c>
      <c r="L2303" s="3" t="n">
        <v>121704.8</v>
      </c>
      <c r="M2303" s="3" t="n">
        <v>0.1794</v>
      </c>
      <c r="N2303" s="3" t="n">
        <v>21833.84</v>
      </c>
      <c r="O2303" s="3" t="n">
        <v>99870.96</v>
      </c>
      <c r="P2303" s="3" t="n">
        <v>82759.26</v>
      </c>
      <c r="Q2303" s="3" t="n">
        <v>17111.7</v>
      </c>
      <c r="R2303" s="3" t="n">
        <v>0.1713</v>
      </c>
      <c r="S2303" s="3" t="n">
        <v>0.1625</v>
      </c>
      <c r="T2303" s="3" t="n">
        <v>0.0169</v>
      </c>
    </row>
    <row r="2304" customFormat="false" ht="15" hidden="false" customHeight="true" outlineLevel="0" collapsed="false">
      <c r="A2304" s="3" t="s">
        <v>3337</v>
      </c>
      <c r="B2304" s="3" t="s">
        <v>907</v>
      </c>
      <c r="C2304" s="3" t="s">
        <v>37</v>
      </c>
      <c r="D2304" s="3" t="s">
        <v>75</v>
      </c>
      <c r="E2304" s="3" t="s">
        <v>39</v>
      </c>
      <c r="F2304" s="3" t="s">
        <v>25</v>
      </c>
      <c r="G2304" s="3" t="s">
        <v>84</v>
      </c>
      <c r="H2304" s="3" t="s">
        <v>77</v>
      </c>
      <c r="I2304" s="3" t="s">
        <v>85</v>
      </c>
      <c r="J2304" s="3" t="n">
        <v>19</v>
      </c>
      <c r="K2304" s="3" t="n">
        <v>2142.24</v>
      </c>
      <c r="L2304" s="3" t="n">
        <v>40702.56</v>
      </c>
      <c r="M2304" s="3" t="n">
        <v>0.1461</v>
      </c>
      <c r="N2304" s="3" t="n">
        <v>5946.64</v>
      </c>
      <c r="O2304" s="3" t="n">
        <v>34755.92</v>
      </c>
      <c r="P2304" s="3" t="n">
        <v>27677.74</v>
      </c>
      <c r="Q2304" s="3" t="n">
        <v>7078.18</v>
      </c>
      <c r="R2304" s="3" t="n">
        <v>0.2037</v>
      </c>
      <c r="S2304" s="3" t="n">
        <v>0.1469</v>
      </c>
      <c r="T2304" s="3" t="n">
        <v>-0.0008</v>
      </c>
    </row>
    <row r="2305" customFormat="false" ht="15" hidden="false" customHeight="true" outlineLevel="0" collapsed="false">
      <c r="A2305" s="3" t="s">
        <v>3338</v>
      </c>
      <c r="B2305" s="3" t="s">
        <v>1560</v>
      </c>
      <c r="C2305" s="3" t="s">
        <v>113</v>
      </c>
      <c r="D2305" s="3" t="s">
        <v>103</v>
      </c>
      <c r="E2305" s="3" t="s">
        <v>24</v>
      </c>
      <c r="F2305" s="3" t="s">
        <v>62</v>
      </c>
      <c r="G2305" s="3" t="s">
        <v>84</v>
      </c>
      <c r="H2305" s="3" t="s">
        <v>64</v>
      </c>
      <c r="I2305" s="3" t="s">
        <v>65</v>
      </c>
      <c r="J2305" s="3" t="n">
        <v>27</v>
      </c>
      <c r="K2305" s="3" t="n">
        <v>9223.59</v>
      </c>
      <c r="L2305" s="3" t="n">
        <v>249036.93</v>
      </c>
      <c r="M2305" s="3" t="n">
        <v>0.0463</v>
      </c>
      <c r="N2305" s="3" t="n">
        <v>11530.41</v>
      </c>
      <c r="O2305" s="3" t="n">
        <v>237506.52</v>
      </c>
      <c r="P2305" s="3" t="n">
        <v>144441.42</v>
      </c>
      <c r="Q2305" s="3" t="n">
        <v>93065.1</v>
      </c>
      <c r="R2305" s="3" t="n">
        <v>0.3918</v>
      </c>
      <c r="S2305" s="3" t="n">
        <v>0.0499</v>
      </c>
      <c r="T2305" s="3" t="n">
        <v>-0.0036</v>
      </c>
    </row>
    <row r="2306" customFormat="false" ht="15" hidden="false" customHeight="true" outlineLevel="0" collapsed="false">
      <c r="A2306" s="3" t="s">
        <v>3339</v>
      </c>
      <c r="B2306" s="3" t="s">
        <v>513</v>
      </c>
      <c r="C2306" s="3" t="s">
        <v>120</v>
      </c>
      <c r="D2306" s="3" t="s">
        <v>97</v>
      </c>
      <c r="E2306" s="3" t="s">
        <v>48</v>
      </c>
      <c r="F2306" s="3" t="s">
        <v>40</v>
      </c>
      <c r="G2306" s="3" t="s">
        <v>100</v>
      </c>
      <c r="H2306" s="3" t="s">
        <v>64</v>
      </c>
      <c r="I2306" s="3" t="s">
        <v>90</v>
      </c>
      <c r="J2306" s="3" t="n">
        <v>33</v>
      </c>
      <c r="K2306" s="3" t="n">
        <v>3450.02</v>
      </c>
      <c r="L2306" s="3" t="n">
        <v>113850.66</v>
      </c>
      <c r="M2306" s="3" t="n">
        <v>0.0582</v>
      </c>
      <c r="N2306" s="3" t="n">
        <v>6626.11</v>
      </c>
      <c r="O2306" s="3" t="n">
        <v>107224.55</v>
      </c>
      <c r="P2306" s="3" t="n">
        <v>66033.38</v>
      </c>
      <c r="Q2306" s="3" t="n">
        <v>41191.17</v>
      </c>
      <c r="R2306" s="3" t="n">
        <v>0.3842</v>
      </c>
      <c r="S2306" s="3" t="n">
        <v>0.0528</v>
      </c>
      <c r="T2306" s="3" t="n">
        <v>0.0054</v>
      </c>
    </row>
    <row r="2307" customFormat="false" ht="15" hidden="false" customHeight="true" outlineLevel="0" collapsed="false">
      <c r="A2307" s="3" t="s">
        <v>3340</v>
      </c>
      <c r="B2307" s="3" t="s">
        <v>192</v>
      </c>
      <c r="C2307" s="3" t="s">
        <v>31</v>
      </c>
      <c r="D2307" s="3" t="s">
        <v>23</v>
      </c>
      <c r="E2307" s="3" t="s">
        <v>24</v>
      </c>
      <c r="F2307" s="3" t="s">
        <v>25</v>
      </c>
      <c r="G2307" s="3" t="s">
        <v>76</v>
      </c>
      <c r="H2307" s="3" t="s">
        <v>77</v>
      </c>
      <c r="I2307" s="3" t="s">
        <v>131</v>
      </c>
      <c r="J2307" s="3" t="n">
        <v>25</v>
      </c>
      <c r="K2307" s="3" t="n">
        <v>2540.24</v>
      </c>
      <c r="L2307" s="3" t="n">
        <v>63506</v>
      </c>
      <c r="M2307" s="3" t="n">
        <v>0.1536</v>
      </c>
      <c r="N2307" s="3" t="n">
        <v>9754.52</v>
      </c>
      <c r="O2307" s="3" t="n">
        <v>53751.48</v>
      </c>
      <c r="P2307" s="3" t="n">
        <v>43184.08</v>
      </c>
      <c r="Q2307" s="3" t="n">
        <v>10567.4</v>
      </c>
      <c r="R2307" s="3" t="n">
        <v>0.1966</v>
      </c>
      <c r="S2307" s="3" t="n">
        <v>0.1571</v>
      </c>
      <c r="T2307" s="3" t="n">
        <v>-0.0035</v>
      </c>
    </row>
    <row r="2308" customFormat="false" ht="15" hidden="false" customHeight="true" outlineLevel="0" collapsed="false">
      <c r="A2308" s="3" t="s">
        <v>3341</v>
      </c>
      <c r="B2308" s="3" t="s">
        <v>1664</v>
      </c>
      <c r="C2308" s="3" t="s">
        <v>60</v>
      </c>
      <c r="D2308" s="3" t="s">
        <v>75</v>
      </c>
      <c r="E2308" s="3" t="s">
        <v>39</v>
      </c>
      <c r="F2308" s="3" t="s">
        <v>25</v>
      </c>
      <c r="G2308" s="3" t="s">
        <v>55</v>
      </c>
      <c r="H2308" s="3" t="s">
        <v>56</v>
      </c>
      <c r="I2308" s="3" t="s">
        <v>57</v>
      </c>
      <c r="J2308" s="3" t="n">
        <v>20</v>
      </c>
      <c r="K2308" s="3" t="n">
        <v>16914.28</v>
      </c>
      <c r="L2308" s="3" t="n">
        <v>338285.6</v>
      </c>
      <c r="M2308" s="3" t="n">
        <v>0.1463</v>
      </c>
      <c r="N2308" s="3" t="n">
        <v>49491.18</v>
      </c>
      <c r="O2308" s="3" t="n">
        <v>288794.42</v>
      </c>
      <c r="P2308" s="3" t="n">
        <v>202971.36</v>
      </c>
      <c r="Q2308" s="3" t="n">
        <v>85823.06</v>
      </c>
      <c r="R2308" s="3" t="n">
        <v>0.2972</v>
      </c>
      <c r="S2308" s="3" t="n">
        <v>0.1428</v>
      </c>
      <c r="T2308" s="3" t="n">
        <v>0.0035</v>
      </c>
    </row>
    <row r="2309" customFormat="false" ht="15" hidden="false" customHeight="true" outlineLevel="0" collapsed="false">
      <c r="A2309" s="3" t="s">
        <v>3342</v>
      </c>
      <c r="B2309" s="3" t="s">
        <v>1566</v>
      </c>
      <c r="C2309" s="3" t="s">
        <v>37</v>
      </c>
      <c r="D2309" s="3" t="s">
        <v>38</v>
      </c>
      <c r="E2309" s="3" t="s">
        <v>39</v>
      </c>
      <c r="F2309" s="3" t="s">
        <v>40</v>
      </c>
      <c r="G2309" s="3" t="s">
        <v>71</v>
      </c>
      <c r="H2309" s="3" t="s">
        <v>42</v>
      </c>
      <c r="I2309" s="3" t="s">
        <v>134</v>
      </c>
      <c r="J2309" s="3" t="n">
        <v>17</v>
      </c>
      <c r="K2309" s="3" t="n">
        <v>3278.53</v>
      </c>
      <c r="L2309" s="3" t="n">
        <v>55735.01</v>
      </c>
      <c r="M2309" s="3" t="n">
        <v>0.0786</v>
      </c>
      <c r="N2309" s="3" t="n">
        <v>4380.77</v>
      </c>
      <c r="O2309" s="3" t="n">
        <v>51354.24</v>
      </c>
      <c r="P2309" s="3" t="n">
        <v>30654.26</v>
      </c>
      <c r="Q2309" s="3" t="n">
        <v>20699.98</v>
      </c>
      <c r="R2309" s="3" t="n">
        <v>0.4031</v>
      </c>
      <c r="S2309" s="3" t="n">
        <v>0.0641</v>
      </c>
      <c r="T2309" s="3" t="n">
        <v>0.0145</v>
      </c>
    </row>
    <row r="2310" customFormat="false" ht="15" hidden="false" customHeight="true" outlineLevel="0" collapsed="false">
      <c r="A2310" s="3" t="s">
        <v>3343</v>
      </c>
      <c r="B2310" s="3" t="s">
        <v>3344</v>
      </c>
      <c r="C2310" s="3" t="s">
        <v>37</v>
      </c>
      <c r="D2310" s="3" t="s">
        <v>38</v>
      </c>
      <c r="E2310" s="3" t="s">
        <v>39</v>
      </c>
      <c r="F2310" s="3" t="s">
        <v>40</v>
      </c>
      <c r="G2310" s="3" t="s">
        <v>104</v>
      </c>
      <c r="H2310" s="3" t="s">
        <v>56</v>
      </c>
      <c r="I2310" s="3" t="s">
        <v>121</v>
      </c>
      <c r="J2310" s="3" t="n">
        <v>8</v>
      </c>
      <c r="K2310" s="3" t="n">
        <v>13031.9</v>
      </c>
      <c r="L2310" s="3" t="n">
        <v>104255.2</v>
      </c>
      <c r="M2310" s="3" t="n">
        <v>0.0762</v>
      </c>
      <c r="N2310" s="3" t="n">
        <v>7944.25</v>
      </c>
      <c r="O2310" s="3" t="n">
        <v>96310.95</v>
      </c>
      <c r="P2310" s="3" t="n">
        <v>62553.12</v>
      </c>
      <c r="Q2310" s="3" t="n">
        <v>33757.83</v>
      </c>
      <c r="R2310" s="3" t="n">
        <v>0.3505</v>
      </c>
      <c r="S2310" s="3" t="n">
        <v>0.072</v>
      </c>
      <c r="T2310" s="3" t="n">
        <v>0.0042</v>
      </c>
    </row>
    <row r="2311" customFormat="false" ht="15" hidden="false" customHeight="true" outlineLevel="0" collapsed="false">
      <c r="A2311" s="3" t="s">
        <v>3345</v>
      </c>
      <c r="B2311" s="3" t="s">
        <v>3346</v>
      </c>
      <c r="C2311" s="3" t="s">
        <v>22</v>
      </c>
      <c r="D2311" s="3" t="s">
        <v>38</v>
      </c>
      <c r="E2311" s="3" t="s">
        <v>39</v>
      </c>
      <c r="F2311" s="3" t="s">
        <v>40</v>
      </c>
      <c r="G2311" s="3" t="s">
        <v>34</v>
      </c>
      <c r="H2311" s="3" t="s">
        <v>27</v>
      </c>
      <c r="I2311" s="3" t="s">
        <v>94</v>
      </c>
      <c r="J2311" s="3" t="n">
        <v>44</v>
      </c>
      <c r="K2311" s="3" t="n">
        <v>34645.13</v>
      </c>
      <c r="L2311" s="3" t="n">
        <v>1524385.72</v>
      </c>
      <c r="M2311" s="3" t="n">
        <v>0.092</v>
      </c>
      <c r="N2311" s="3" t="n">
        <v>140243.49</v>
      </c>
      <c r="O2311" s="3" t="n">
        <v>1384142.23</v>
      </c>
      <c r="P2311" s="3" t="n">
        <v>945119.15</v>
      </c>
      <c r="Q2311" s="3" t="n">
        <v>439023.08</v>
      </c>
      <c r="R2311" s="3" t="n">
        <v>0.3172</v>
      </c>
      <c r="S2311" s="3" t="n">
        <v>0.0885</v>
      </c>
      <c r="T2311" s="3" t="n">
        <v>0.0035</v>
      </c>
    </row>
    <row r="2312" customFormat="false" ht="15" hidden="false" customHeight="true" outlineLevel="0" collapsed="false">
      <c r="A2312" s="3" t="s">
        <v>3347</v>
      </c>
      <c r="B2312" s="3" t="s">
        <v>2915</v>
      </c>
      <c r="C2312" s="3" t="s">
        <v>68</v>
      </c>
      <c r="D2312" s="3" t="s">
        <v>47</v>
      </c>
      <c r="E2312" s="3" t="s">
        <v>48</v>
      </c>
      <c r="F2312" s="3" t="s">
        <v>25</v>
      </c>
      <c r="G2312" s="3" t="s">
        <v>76</v>
      </c>
      <c r="H2312" s="3" t="s">
        <v>56</v>
      </c>
      <c r="I2312" s="3" t="s">
        <v>57</v>
      </c>
      <c r="J2312" s="3" t="n">
        <v>19</v>
      </c>
      <c r="K2312" s="3" t="n">
        <v>4723.22</v>
      </c>
      <c r="L2312" s="3" t="n">
        <v>89741.18</v>
      </c>
      <c r="M2312" s="3" t="n">
        <v>0.1484</v>
      </c>
      <c r="N2312" s="3" t="n">
        <v>13317.59</v>
      </c>
      <c r="O2312" s="3" t="n">
        <v>76423.59</v>
      </c>
      <c r="P2312" s="3" t="n">
        <v>53844.71</v>
      </c>
      <c r="Q2312" s="3" t="n">
        <v>22578.88</v>
      </c>
      <c r="R2312" s="3" t="n">
        <v>0.2954</v>
      </c>
      <c r="S2312" s="3" t="n">
        <v>0.1533</v>
      </c>
      <c r="T2312" s="3" t="n">
        <v>-0.0049</v>
      </c>
    </row>
    <row r="2313" customFormat="false" ht="15" hidden="false" customHeight="true" outlineLevel="0" collapsed="false">
      <c r="A2313" s="3" t="s">
        <v>3348</v>
      </c>
      <c r="B2313" s="3" t="s">
        <v>1178</v>
      </c>
      <c r="C2313" s="3" t="s">
        <v>60</v>
      </c>
      <c r="D2313" s="3" t="s">
        <v>54</v>
      </c>
      <c r="E2313" s="3" t="s">
        <v>24</v>
      </c>
      <c r="F2313" s="3" t="s">
        <v>40</v>
      </c>
      <c r="G2313" s="3" t="s">
        <v>55</v>
      </c>
      <c r="H2313" s="3" t="s">
        <v>56</v>
      </c>
      <c r="I2313" s="3" t="s">
        <v>121</v>
      </c>
      <c r="J2313" s="3" t="n">
        <v>38</v>
      </c>
      <c r="K2313" s="3" t="n">
        <v>13587.15</v>
      </c>
      <c r="L2313" s="3" t="n">
        <v>516311.7</v>
      </c>
      <c r="M2313" s="3" t="n">
        <v>0.0485</v>
      </c>
      <c r="N2313" s="3" t="n">
        <v>25041.12</v>
      </c>
      <c r="O2313" s="3" t="n">
        <v>491270.58</v>
      </c>
      <c r="P2313" s="3" t="n">
        <v>309787.02</v>
      </c>
      <c r="Q2313" s="3" t="n">
        <v>181483.56</v>
      </c>
      <c r="R2313" s="3" t="n">
        <v>0.3694</v>
      </c>
      <c r="S2313" s="3" t="n">
        <v>0.047</v>
      </c>
      <c r="T2313" s="3" t="n">
        <v>0.0015</v>
      </c>
    </row>
    <row r="2314" customFormat="false" ht="15" hidden="false" customHeight="true" outlineLevel="0" collapsed="false">
      <c r="A2314" s="3" t="s">
        <v>3349</v>
      </c>
      <c r="B2314" s="3" t="s">
        <v>1514</v>
      </c>
      <c r="C2314" s="3" t="s">
        <v>120</v>
      </c>
      <c r="D2314" s="3" t="s">
        <v>103</v>
      </c>
      <c r="E2314" s="3" t="s">
        <v>24</v>
      </c>
      <c r="F2314" s="3" t="s">
        <v>62</v>
      </c>
      <c r="G2314" s="3" t="s">
        <v>71</v>
      </c>
      <c r="H2314" s="3" t="s">
        <v>77</v>
      </c>
      <c r="I2314" s="3" t="s">
        <v>78</v>
      </c>
      <c r="J2314" s="3" t="n">
        <v>23</v>
      </c>
      <c r="K2314" s="3" t="n">
        <v>4607.9</v>
      </c>
      <c r="L2314" s="3" t="n">
        <v>105981.7</v>
      </c>
      <c r="M2314" s="3" t="n">
        <v>0.0677</v>
      </c>
      <c r="N2314" s="3" t="n">
        <v>7174.96</v>
      </c>
      <c r="O2314" s="3" t="n">
        <v>98806.74</v>
      </c>
      <c r="P2314" s="3" t="n">
        <v>72067.56</v>
      </c>
      <c r="Q2314" s="3" t="n">
        <v>26739.18</v>
      </c>
      <c r="R2314" s="3" t="n">
        <v>0.2706</v>
      </c>
      <c r="S2314" s="3" t="n">
        <v>0.0734</v>
      </c>
      <c r="T2314" s="3" t="n">
        <v>-0.0057</v>
      </c>
    </row>
    <row r="2315" customFormat="false" ht="15" hidden="false" customHeight="true" outlineLevel="0" collapsed="false">
      <c r="A2315" s="3" t="s">
        <v>3350</v>
      </c>
      <c r="B2315" s="3" t="s">
        <v>449</v>
      </c>
      <c r="C2315" s="3" t="s">
        <v>22</v>
      </c>
      <c r="D2315" s="3" t="s">
        <v>97</v>
      </c>
      <c r="E2315" s="3" t="s">
        <v>48</v>
      </c>
      <c r="F2315" s="3" t="s">
        <v>40</v>
      </c>
      <c r="G2315" s="3" t="s">
        <v>104</v>
      </c>
      <c r="H2315" s="3" t="s">
        <v>27</v>
      </c>
      <c r="I2315" s="3" t="s">
        <v>94</v>
      </c>
      <c r="J2315" s="3" t="n">
        <v>5</v>
      </c>
      <c r="K2315" s="3" t="n">
        <v>13732.8</v>
      </c>
      <c r="L2315" s="3" t="n">
        <v>68664</v>
      </c>
      <c r="M2315" s="3" t="n">
        <v>0.0954</v>
      </c>
      <c r="N2315" s="3" t="n">
        <v>6550.55</v>
      </c>
      <c r="O2315" s="3" t="n">
        <v>62113.45</v>
      </c>
      <c r="P2315" s="3" t="n">
        <v>42571.68</v>
      </c>
      <c r="Q2315" s="3" t="n">
        <v>19541.77</v>
      </c>
      <c r="R2315" s="3" t="n">
        <v>0.3146</v>
      </c>
      <c r="S2315" s="3" t="n">
        <v>0.0998</v>
      </c>
      <c r="T2315" s="3" t="n">
        <v>-0.0044</v>
      </c>
    </row>
    <row r="2316" customFormat="false" ht="15" hidden="false" customHeight="true" outlineLevel="0" collapsed="false">
      <c r="A2316" s="3" t="s">
        <v>3351</v>
      </c>
      <c r="B2316" s="3" t="s">
        <v>3352</v>
      </c>
      <c r="C2316" s="3" t="s">
        <v>37</v>
      </c>
      <c r="D2316" s="3" t="s">
        <v>54</v>
      </c>
      <c r="E2316" s="3" t="s">
        <v>24</v>
      </c>
      <c r="F2316" s="3" t="s">
        <v>40</v>
      </c>
      <c r="G2316" s="3" t="s">
        <v>34</v>
      </c>
      <c r="H2316" s="3" t="s">
        <v>56</v>
      </c>
      <c r="I2316" s="3" t="s">
        <v>121</v>
      </c>
      <c r="J2316" s="3" t="n">
        <v>29</v>
      </c>
      <c r="K2316" s="3" t="n">
        <v>12228.76</v>
      </c>
      <c r="L2316" s="3" t="n">
        <v>354634.04</v>
      </c>
      <c r="M2316" s="3" t="n">
        <v>0.1134</v>
      </c>
      <c r="N2316" s="3" t="n">
        <v>40215.5</v>
      </c>
      <c r="O2316" s="3" t="n">
        <v>314418.54</v>
      </c>
      <c r="P2316" s="3" t="n">
        <v>212780.42</v>
      </c>
      <c r="Q2316" s="3" t="n">
        <v>101638.12</v>
      </c>
      <c r="R2316" s="3" t="n">
        <v>0.3233</v>
      </c>
      <c r="S2316" s="3" t="n">
        <v>0.1163</v>
      </c>
      <c r="T2316" s="3" t="n">
        <v>-0.0029</v>
      </c>
    </row>
    <row r="2317" customFormat="false" ht="15" hidden="false" customHeight="true" outlineLevel="0" collapsed="false">
      <c r="A2317" s="3" t="s">
        <v>3353</v>
      </c>
      <c r="B2317" s="3" t="s">
        <v>1765</v>
      </c>
      <c r="C2317" s="3" t="s">
        <v>113</v>
      </c>
      <c r="D2317" s="3" t="s">
        <v>107</v>
      </c>
      <c r="E2317" s="3" t="s">
        <v>33</v>
      </c>
      <c r="F2317" s="3" t="s">
        <v>70</v>
      </c>
      <c r="G2317" s="3" t="s">
        <v>49</v>
      </c>
      <c r="H2317" s="3" t="s">
        <v>42</v>
      </c>
      <c r="I2317" s="3" t="s">
        <v>134</v>
      </c>
      <c r="J2317" s="3" t="n">
        <v>18</v>
      </c>
      <c r="K2317" s="3" t="n">
        <v>3338.1</v>
      </c>
      <c r="L2317" s="3" t="n">
        <v>60085.8</v>
      </c>
      <c r="M2317" s="3" t="n">
        <v>0.0697</v>
      </c>
      <c r="N2317" s="3" t="n">
        <v>4187.98</v>
      </c>
      <c r="O2317" s="3" t="n">
        <v>55897.82</v>
      </c>
      <c r="P2317" s="3" t="n">
        <v>33047.19</v>
      </c>
      <c r="Q2317" s="3" t="n">
        <v>22850.63</v>
      </c>
      <c r="R2317" s="3" t="n">
        <v>0.4088</v>
      </c>
      <c r="S2317" s="3" t="n">
        <v>0.0647</v>
      </c>
      <c r="T2317" s="3" t="n">
        <v>0.005</v>
      </c>
    </row>
    <row r="2318" customFormat="false" ht="15" hidden="false" customHeight="true" outlineLevel="0" collapsed="false">
      <c r="A2318" s="3" t="s">
        <v>3354</v>
      </c>
      <c r="B2318" s="3" t="s">
        <v>874</v>
      </c>
      <c r="C2318" s="3" t="s">
        <v>113</v>
      </c>
      <c r="D2318" s="3" t="s">
        <v>75</v>
      </c>
      <c r="E2318" s="3" t="s">
        <v>39</v>
      </c>
      <c r="F2318" s="3" t="s">
        <v>25</v>
      </c>
      <c r="G2318" s="3" t="s">
        <v>100</v>
      </c>
      <c r="H2318" s="3" t="s">
        <v>56</v>
      </c>
      <c r="I2318" s="3" t="s">
        <v>57</v>
      </c>
      <c r="J2318" s="3" t="n">
        <v>12</v>
      </c>
      <c r="K2318" s="3" t="n">
        <v>3676.98</v>
      </c>
      <c r="L2318" s="3" t="n">
        <v>44123.76</v>
      </c>
      <c r="M2318" s="3" t="n">
        <v>0.1574</v>
      </c>
      <c r="N2318" s="3" t="n">
        <v>6945.08</v>
      </c>
      <c r="O2318" s="3" t="n">
        <v>37178.68</v>
      </c>
      <c r="P2318" s="3" t="n">
        <v>26474.26</v>
      </c>
      <c r="Q2318" s="3" t="n">
        <v>10704.42</v>
      </c>
      <c r="R2318" s="3" t="n">
        <v>0.2879</v>
      </c>
      <c r="S2318" s="3" t="n">
        <v>0.1508</v>
      </c>
      <c r="T2318" s="3" t="n">
        <v>0.0066</v>
      </c>
    </row>
    <row r="2319" customFormat="false" ht="15" hidden="false" customHeight="true" outlineLevel="0" collapsed="false">
      <c r="A2319" s="3" t="s">
        <v>3355</v>
      </c>
      <c r="B2319" s="3" t="s">
        <v>1365</v>
      </c>
      <c r="C2319" s="3" t="s">
        <v>68</v>
      </c>
      <c r="D2319" s="3" t="s">
        <v>103</v>
      </c>
      <c r="E2319" s="3" t="s">
        <v>24</v>
      </c>
      <c r="F2319" s="3" t="s">
        <v>62</v>
      </c>
      <c r="G2319" s="3" t="s">
        <v>116</v>
      </c>
      <c r="H2319" s="3" t="s">
        <v>77</v>
      </c>
      <c r="I2319" s="3" t="s">
        <v>85</v>
      </c>
      <c r="J2319" s="3" t="n">
        <v>37</v>
      </c>
      <c r="K2319" s="3" t="n">
        <v>4921.73</v>
      </c>
      <c r="L2319" s="3" t="n">
        <v>182104.01</v>
      </c>
      <c r="M2319" s="3" t="n">
        <v>0.1017</v>
      </c>
      <c r="N2319" s="3" t="n">
        <v>18519.98</v>
      </c>
      <c r="O2319" s="3" t="n">
        <v>163584.03</v>
      </c>
      <c r="P2319" s="3" t="n">
        <v>123830.73</v>
      </c>
      <c r="Q2319" s="3" t="n">
        <v>39753.3</v>
      </c>
      <c r="R2319" s="3" t="n">
        <v>0.243</v>
      </c>
      <c r="S2319" s="3" t="n">
        <v>0.1068</v>
      </c>
      <c r="T2319" s="3" t="n">
        <v>-0.0051</v>
      </c>
    </row>
    <row r="2320" customFormat="false" ht="15" hidden="false" customHeight="true" outlineLevel="0" collapsed="false">
      <c r="A2320" s="3" t="s">
        <v>3356</v>
      </c>
      <c r="B2320" s="3" t="s">
        <v>692</v>
      </c>
      <c r="C2320" s="3" t="s">
        <v>60</v>
      </c>
      <c r="D2320" s="3" t="s">
        <v>61</v>
      </c>
      <c r="E2320" s="3" t="s">
        <v>33</v>
      </c>
      <c r="F2320" s="3" t="s">
        <v>62</v>
      </c>
      <c r="G2320" s="3" t="s">
        <v>55</v>
      </c>
      <c r="H2320" s="3" t="s">
        <v>42</v>
      </c>
      <c r="I2320" s="3" t="s">
        <v>134</v>
      </c>
      <c r="J2320" s="3" t="n">
        <v>2</v>
      </c>
      <c r="K2320" s="3" t="n">
        <v>539.75</v>
      </c>
      <c r="L2320" s="3" t="n">
        <v>1079.5</v>
      </c>
      <c r="M2320" s="3" t="n">
        <v>0.0669</v>
      </c>
      <c r="N2320" s="3" t="n">
        <v>72.22</v>
      </c>
      <c r="O2320" s="3" t="n">
        <v>1007.28</v>
      </c>
      <c r="P2320" s="3" t="n">
        <v>593.73</v>
      </c>
      <c r="Q2320" s="3" t="n">
        <v>413.55</v>
      </c>
      <c r="R2320" s="3" t="n">
        <v>0.4106</v>
      </c>
      <c r="S2320" s="3" t="n">
        <v>0.0702</v>
      </c>
      <c r="T2320" s="3" t="n">
        <v>-0.0033</v>
      </c>
    </row>
    <row r="2321" customFormat="false" ht="15" hidden="false" customHeight="true" outlineLevel="0" collapsed="false">
      <c r="A2321" s="3" t="s">
        <v>3357</v>
      </c>
      <c r="B2321" s="3" t="s">
        <v>1465</v>
      </c>
      <c r="C2321" s="3" t="s">
        <v>31</v>
      </c>
      <c r="D2321" s="3" t="s">
        <v>83</v>
      </c>
      <c r="E2321" s="3" t="s">
        <v>48</v>
      </c>
      <c r="F2321" s="3" t="s">
        <v>62</v>
      </c>
      <c r="G2321" s="3" t="s">
        <v>104</v>
      </c>
      <c r="H2321" s="3" t="s">
        <v>77</v>
      </c>
      <c r="I2321" s="3" t="s">
        <v>85</v>
      </c>
      <c r="J2321" s="3" t="n">
        <v>10</v>
      </c>
      <c r="K2321" s="3" t="n">
        <v>2977.95</v>
      </c>
      <c r="L2321" s="3" t="n">
        <v>29779.5</v>
      </c>
      <c r="M2321" s="3" t="n">
        <v>0.095</v>
      </c>
      <c r="N2321" s="3" t="n">
        <v>2829.05</v>
      </c>
      <c r="O2321" s="3" t="n">
        <v>26950.45</v>
      </c>
      <c r="P2321" s="3" t="n">
        <v>20250.06</v>
      </c>
      <c r="Q2321" s="3" t="n">
        <v>6700.39</v>
      </c>
      <c r="R2321" s="3" t="n">
        <v>0.2486</v>
      </c>
      <c r="S2321" s="3" t="n">
        <v>0.0927</v>
      </c>
      <c r="T2321" s="3" t="n">
        <v>0.0023</v>
      </c>
    </row>
    <row r="2322" customFormat="false" ht="15" hidden="false" customHeight="true" outlineLevel="0" collapsed="false">
      <c r="A2322" s="3" t="s">
        <v>3358</v>
      </c>
      <c r="B2322" s="3" t="s">
        <v>262</v>
      </c>
      <c r="C2322" s="3" t="s">
        <v>156</v>
      </c>
      <c r="D2322" s="3" t="s">
        <v>69</v>
      </c>
      <c r="E2322" s="3" t="s">
        <v>39</v>
      </c>
      <c r="F2322" s="3" t="s">
        <v>70</v>
      </c>
      <c r="G2322" s="3" t="s">
        <v>71</v>
      </c>
      <c r="H2322" s="3" t="s">
        <v>42</v>
      </c>
      <c r="I2322" s="3" t="s">
        <v>43</v>
      </c>
      <c r="J2322" s="3" t="n">
        <v>21</v>
      </c>
      <c r="K2322" s="3" t="n">
        <v>3401.71</v>
      </c>
      <c r="L2322" s="3" t="n">
        <v>71435.91</v>
      </c>
      <c r="M2322" s="3" t="n">
        <v>0.0672</v>
      </c>
      <c r="N2322" s="3" t="n">
        <v>4800.49</v>
      </c>
      <c r="O2322" s="3" t="n">
        <v>66635.42</v>
      </c>
      <c r="P2322" s="3" t="n">
        <v>39289.75</v>
      </c>
      <c r="Q2322" s="3" t="n">
        <v>27345.67</v>
      </c>
      <c r="R2322" s="3" t="n">
        <v>0.4104</v>
      </c>
      <c r="S2322" s="3" t="n">
        <v>0.069</v>
      </c>
      <c r="T2322" s="3" t="n">
        <v>-0.0018</v>
      </c>
    </row>
    <row r="2323" customFormat="false" ht="15" hidden="false" customHeight="true" outlineLevel="0" collapsed="false">
      <c r="A2323" s="3" t="s">
        <v>3359</v>
      </c>
      <c r="B2323" s="3" t="s">
        <v>498</v>
      </c>
      <c r="C2323" s="3" t="s">
        <v>120</v>
      </c>
      <c r="D2323" s="3" t="s">
        <v>83</v>
      </c>
      <c r="E2323" s="3" t="s">
        <v>48</v>
      </c>
      <c r="F2323" s="3" t="s">
        <v>62</v>
      </c>
      <c r="G2323" s="3" t="s">
        <v>34</v>
      </c>
      <c r="H2323" s="3" t="s">
        <v>27</v>
      </c>
      <c r="I2323" s="3" t="s">
        <v>50</v>
      </c>
      <c r="J2323" s="3" t="n">
        <v>26</v>
      </c>
      <c r="K2323" s="3" t="n">
        <v>12049.17</v>
      </c>
      <c r="L2323" s="3" t="n">
        <v>313278.42</v>
      </c>
      <c r="M2323" s="3" t="n">
        <v>0.0808</v>
      </c>
      <c r="N2323" s="3" t="n">
        <v>25312.9</v>
      </c>
      <c r="O2323" s="3" t="n">
        <v>287965.52</v>
      </c>
      <c r="P2323" s="3" t="n">
        <v>194232.62</v>
      </c>
      <c r="Q2323" s="3" t="n">
        <v>93732.9</v>
      </c>
      <c r="R2323" s="3" t="n">
        <v>0.3255</v>
      </c>
      <c r="S2323" s="3" t="n">
        <v>0.0786</v>
      </c>
      <c r="T2323" s="3" t="n">
        <v>0.0022</v>
      </c>
    </row>
    <row r="2324" customFormat="false" ht="15" hidden="false" customHeight="true" outlineLevel="0" collapsed="false">
      <c r="A2324" s="3" t="s">
        <v>3360</v>
      </c>
      <c r="B2324" s="3" t="s">
        <v>3361</v>
      </c>
      <c r="C2324" s="3" t="s">
        <v>93</v>
      </c>
      <c r="D2324" s="3" t="s">
        <v>38</v>
      </c>
      <c r="E2324" s="3" t="s">
        <v>39</v>
      </c>
      <c r="F2324" s="3" t="s">
        <v>40</v>
      </c>
      <c r="G2324" s="3" t="s">
        <v>34</v>
      </c>
      <c r="H2324" s="3" t="s">
        <v>27</v>
      </c>
      <c r="I2324" s="3" t="s">
        <v>28</v>
      </c>
      <c r="J2324" s="3" t="n">
        <v>35</v>
      </c>
      <c r="K2324" s="3" t="n">
        <v>38672.83</v>
      </c>
      <c r="L2324" s="3" t="n">
        <v>1353549.05</v>
      </c>
      <c r="M2324" s="3" t="n">
        <v>0.0792</v>
      </c>
      <c r="N2324" s="3" t="n">
        <v>107201.08</v>
      </c>
      <c r="O2324" s="3" t="n">
        <v>1246347.97</v>
      </c>
      <c r="P2324" s="3" t="n">
        <v>839200.41</v>
      </c>
      <c r="Q2324" s="3" t="n">
        <v>407147.56</v>
      </c>
      <c r="R2324" s="3" t="n">
        <v>0.3267</v>
      </c>
      <c r="S2324" s="3" t="n">
        <v>0.0707</v>
      </c>
      <c r="T2324" s="3" t="n">
        <v>0.0085</v>
      </c>
    </row>
    <row r="2325" customFormat="false" ht="15" hidden="false" customHeight="true" outlineLevel="0" collapsed="false">
      <c r="A2325" s="3" t="s">
        <v>3362</v>
      </c>
      <c r="B2325" s="3" t="s">
        <v>3031</v>
      </c>
      <c r="C2325" s="3" t="s">
        <v>68</v>
      </c>
      <c r="D2325" s="3" t="s">
        <v>23</v>
      </c>
      <c r="E2325" s="3" t="s">
        <v>24</v>
      </c>
      <c r="F2325" s="3" t="s">
        <v>25</v>
      </c>
      <c r="G2325" s="3" t="s">
        <v>116</v>
      </c>
      <c r="H2325" s="3" t="s">
        <v>42</v>
      </c>
      <c r="I2325" s="3" t="s">
        <v>134</v>
      </c>
      <c r="J2325" s="3" t="n">
        <v>28</v>
      </c>
      <c r="K2325" s="3" t="n">
        <v>1351.72</v>
      </c>
      <c r="L2325" s="3" t="n">
        <v>37848.16</v>
      </c>
      <c r="M2325" s="3" t="n">
        <v>0.1181</v>
      </c>
      <c r="N2325" s="3" t="n">
        <v>4469.87</v>
      </c>
      <c r="O2325" s="3" t="n">
        <v>33378.29</v>
      </c>
      <c r="P2325" s="3" t="n">
        <v>20816.49</v>
      </c>
      <c r="Q2325" s="3" t="n">
        <v>12561.8</v>
      </c>
      <c r="R2325" s="3" t="n">
        <v>0.3763</v>
      </c>
      <c r="S2325" s="3" t="n">
        <v>0.1227</v>
      </c>
      <c r="T2325" s="3" t="n">
        <v>-0.0046</v>
      </c>
    </row>
    <row r="2326" customFormat="false" ht="15" hidden="false" customHeight="true" outlineLevel="0" collapsed="false">
      <c r="A2326" s="3" t="s">
        <v>3363</v>
      </c>
      <c r="B2326" s="3" t="s">
        <v>1229</v>
      </c>
      <c r="C2326" s="3" t="s">
        <v>93</v>
      </c>
      <c r="D2326" s="3" t="s">
        <v>107</v>
      </c>
      <c r="E2326" s="3" t="s">
        <v>33</v>
      </c>
      <c r="F2326" s="3" t="s">
        <v>70</v>
      </c>
      <c r="G2326" s="3" t="s">
        <v>76</v>
      </c>
      <c r="H2326" s="3" t="s">
        <v>27</v>
      </c>
      <c r="I2326" s="3" t="s">
        <v>28</v>
      </c>
      <c r="J2326" s="3" t="n">
        <v>9</v>
      </c>
      <c r="K2326" s="3" t="n">
        <v>18487.69</v>
      </c>
      <c r="L2326" s="3" t="n">
        <v>166389.21</v>
      </c>
      <c r="M2326" s="3" t="n">
        <v>0.045</v>
      </c>
      <c r="N2326" s="3" t="n">
        <v>7487.51</v>
      </c>
      <c r="O2326" s="3" t="n">
        <v>158901.7</v>
      </c>
      <c r="P2326" s="3" t="n">
        <v>103161.31</v>
      </c>
      <c r="Q2326" s="3" t="n">
        <v>55740.39</v>
      </c>
      <c r="R2326" s="3" t="n">
        <v>0.3508</v>
      </c>
      <c r="S2326" s="3" t="n">
        <v>0.0388</v>
      </c>
      <c r="T2326" s="3" t="n">
        <v>0.0062</v>
      </c>
    </row>
    <row r="2327" customFormat="false" ht="15" hidden="false" customHeight="true" outlineLevel="0" collapsed="false">
      <c r="A2327" s="3" t="s">
        <v>3364</v>
      </c>
      <c r="B2327" s="3" t="s">
        <v>1524</v>
      </c>
      <c r="C2327" s="3" t="s">
        <v>60</v>
      </c>
      <c r="D2327" s="3" t="s">
        <v>61</v>
      </c>
      <c r="E2327" s="3" t="s">
        <v>33</v>
      </c>
      <c r="F2327" s="3" t="s">
        <v>62</v>
      </c>
      <c r="G2327" s="3" t="s">
        <v>100</v>
      </c>
      <c r="H2327" s="3" t="s">
        <v>42</v>
      </c>
      <c r="I2327" s="3" t="s">
        <v>72</v>
      </c>
      <c r="J2327" s="3" t="n">
        <v>25</v>
      </c>
      <c r="K2327" s="3" t="n">
        <v>2236.66</v>
      </c>
      <c r="L2327" s="3" t="n">
        <v>55916.5</v>
      </c>
      <c r="M2327" s="3" t="n">
        <v>0.0679</v>
      </c>
      <c r="N2327" s="3" t="n">
        <v>3796.73</v>
      </c>
      <c r="O2327" s="3" t="n">
        <v>52119.77</v>
      </c>
      <c r="P2327" s="3" t="n">
        <v>30754.08</v>
      </c>
      <c r="Q2327" s="3" t="n">
        <v>21365.69</v>
      </c>
      <c r="R2327" s="3" t="n">
        <v>0.4099</v>
      </c>
      <c r="S2327" s="3" t="n">
        <v>0.0729</v>
      </c>
      <c r="T2327" s="3" t="n">
        <v>-0.005</v>
      </c>
    </row>
    <row r="2328" customFormat="false" ht="15" hidden="false" customHeight="true" outlineLevel="0" collapsed="false">
      <c r="A2328" s="3" t="s">
        <v>3365</v>
      </c>
      <c r="B2328" s="3" t="s">
        <v>1575</v>
      </c>
      <c r="C2328" s="3" t="s">
        <v>113</v>
      </c>
      <c r="D2328" s="3" t="s">
        <v>61</v>
      </c>
      <c r="E2328" s="3" t="s">
        <v>33</v>
      </c>
      <c r="F2328" s="3" t="s">
        <v>62</v>
      </c>
      <c r="G2328" s="3" t="s">
        <v>100</v>
      </c>
      <c r="H2328" s="3" t="s">
        <v>64</v>
      </c>
      <c r="I2328" s="3" t="s">
        <v>145</v>
      </c>
      <c r="J2328" s="3" t="n">
        <v>26</v>
      </c>
      <c r="K2328" s="3" t="n">
        <v>9485.62</v>
      </c>
      <c r="L2328" s="3" t="n">
        <v>246626.12</v>
      </c>
      <c r="M2328" s="3" t="n">
        <v>0.0584</v>
      </c>
      <c r="N2328" s="3" t="n">
        <v>14402.97</v>
      </c>
      <c r="O2328" s="3" t="n">
        <v>232223.15</v>
      </c>
      <c r="P2328" s="3" t="n">
        <v>143043.15</v>
      </c>
      <c r="Q2328" s="3" t="n">
        <v>89180</v>
      </c>
      <c r="R2328" s="3" t="n">
        <v>0.384</v>
      </c>
      <c r="S2328" s="3" t="n">
        <v>0.0529</v>
      </c>
      <c r="T2328" s="3" t="n">
        <v>0.0055</v>
      </c>
    </row>
    <row r="2329" customFormat="false" ht="15" hidden="false" customHeight="true" outlineLevel="0" collapsed="false">
      <c r="A2329" s="3" t="s">
        <v>3366</v>
      </c>
      <c r="B2329" s="3" t="s">
        <v>1497</v>
      </c>
      <c r="C2329" s="3" t="s">
        <v>31</v>
      </c>
      <c r="D2329" s="3" t="s">
        <v>38</v>
      </c>
      <c r="E2329" s="3" t="s">
        <v>39</v>
      </c>
      <c r="F2329" s="3" t="s">
        <v>40</v>
      </c>
      <c r="G2329" s="3" t="s">
        <v>71</v>
      </c>
      <c r="H2329" s="3" t="s">
        <v>27</v>
      </c>
      <c r="I2329" s="3" t="s">
        <v>28</v>
      </c>
      <c r="J2329" s="3" t="n">
        <v>21</v>
      </c>
      <c r="K2329" s="3" t="n">
        <v>18683.63</v>
      </c>
      <c r="L2329" s="3" t="n">
        <v>392356.23</v>
      </c>
      <c r="M2329" s="3" t="n">
        <v>0.0788</v>
      </c>
      <c r="N2329" s="3" t="n">
        <v>30917.67</v>
      </c>
      <c r="O2329" s="3" t="n">
        <v>361438.56</v>
      </c>
      <c r="P2329" s="3" t="n">
        <v>243260.86</v>
      </c>
      <c r="Q2329" s="3" t="n">
        <v>118177.7</v>
      </c>
      <c r="R2329" s="3" t="n">
        <v>0.327</v>
      </c>
      <c r="S2329" s="3" t="n">
        <v>0.0652</v>
      </c>
      <c r="T2329" s="3" t="n">
        <v>0.0136</v>
      </c>
    </row>
    <row r="2330" customFormat="false" ht="15" hidden="false" customHeight="true" outlineLevel="0" collapsed="false">
      <c r="A2330" s="3" t="s">
        <v>3367</v>
      </c>
      <c r="B2330" s="3" t="s">
        <v>3368</v>
      </c>
      <c r="C2330" s="3" t="s">
        <v>46</v>
      </c>
      <c r="D2330" s="3" t="s">
        <v>23</v>
      </c>
      <c r="E2330" s="3" t="s">
        <v>24</v>
      </c>
      <c r="F2330" s="3" t="s">
        <v>25</v>
      </c>
      <c r="G2330" s="3" t="s">
        <v>71</v>
      </c>
      <c r="H2330" s="3" t="s">
        <v>42</v>
      </c>
      <c r="I2330" s="3" t="s">
        <v>134</v>
      </c>
      <c r="J2330" s="3" t="n">
        <v>42</v>
      </c>
      <c r="K2330" s="3" t="n">
        <v>1362.09</v>
      </c>
      <c r="L2330" s="3" t="n">
        <v>57207.78</v>
      </c>
      <c r="M2330" s="3" t="n">
        <v>0.1176</v>
      </c>
      <c r="N2330" s="3" t="n">
        <v>6727.63</v>
      </c>
      <c r="O2330" s="3" t="n">
        <v>50480.15</v>
      </c>
      <c r="P2330" s="3" t="n">
        <v>31464.28</v>
      </c>
      <c r="Q2330" s="3" t="n">
        <v>19015.87</v>
      </c>
      <c r="R2330" s="3" t="n">
        <v>0.3767</v>
      </c>
      <c r="S2330" s="3" t="n">
        <v>0.1025</v>
      </c>
      <c r="T2330" s="3" t="n">
        <v>0.0151</v>
      </c>
    </row>
    <row r="2331" customFormat="false" ht="15" hidden="false" customHeight="true" outlineLevel="0" collapsed="false">
      <c r="A2331" s="3" t="s">
        <v>3369</v>
      </c>
      <c r="B2331" s="3" t="s">
        <v>443</v>
      </c>
      <c r="C2331" s="3" t="s">
        <v>126</v>
      </c>
      <c r="D2331" s="3" t="s">
        <v>83</v>
      </c>
      <c r="E2331" s="3" t="s">
        <v>48</v>
      </c>
      <c r="F2331" s="3" t="s">
        <v>62</v>
      </c>
      <c r="G2331" s="3" t="s">
        <v>49</v>
      </c>
      <c r="H2331" s="3" t="s">
        <v>56</v>
      </c>
      <c r="I2331" s="3" t="s">
        <v>188</v>
      </c>
      <c r="J2331" s="3" t="n">
        <v>8</v>
      </c>
      <c r="K2331" s="3" t="n">
        <v>7547.48</v>
      </c>
      <c r="L2331" s="3" t="n">
        <v>60379.84</v>
      </c>
      <c r="M2331" s="3" t="n">
        <v>0.0351</v>
      </c>
      <c r="N2331" s="3" t="n">
        <v>2119.33</v>
      </c>
      <c r="O2331" s="3" t="n">
        <v>58260.51</v>
      </c>
      <c r="P2331" s="3" t="n">
        <v>36227.9</v>
      </c>
      <c r="Q2331" s="3" t="n">
        <v>22032.61</v>
      </c>
      <c r="R2331" s="3" t="n">
        <v>0.3782</v>
      </c>
      <c r="S2331" s="3" t="n">
        <v>0.0306</v>
      </c>
      <c r="T2331" s="3" t="n">
        <v>0.0045</v>
      </c>
    </row>
    <row r="2332" customFormat="false" ht="15" hidden="false" customHeight="true" outlineLevel="0" collapsed="false">
      <c r="A2332" s="3" t="s">
        <v>3370</v>
      </c>
      <c r="B2332" s="3" t="s">
        <v>944</v>
      </c>
      <c r="C2332" s="3" t="s">
        <v>113</v>
      </c>
      <c r="D2332" s="3" t="s">
        <v>23</v>
      </c>
      <c r="E2332" s="3" t="s">
        <v>24</v>
      </c>
      <c r="F2332" s="3" t="s">
        <v>25</v>
      </c>
      <c r="G2332" s="3" t="s">
        <v>71</v>
      </c>
      <c r="H2332" s="3" t="s">
        <v>56</v>
      </c>
      <c r="I2332" s="3" t="s">
        <v>188</v>
      </c>
      <c r="J2332" s="3" t="n">
        <v>33</v>
      </c>
      <c r="K2332" s="3" t="n">
        <v>4144.38</v>
      </c>
      <c r="L2332" s="3" t="n">
        <v>136764.54</v>
      </c>
      <c r="M2332" s="3" t="n">
        <v>0.1533</v>
      </c>
      <c r="N2332" s="3" t="n">
        <v>20966</v>
      </c>
      <c r="O2332" s="3" t="n">
        <v>115798.54</v>
      </c>
      <c r="P2332" s="3" t="n">
        <v>82058.72</v>
      </c>
      <c r="Q2332" s="3" t="n">
        <v>33739.82</v>
      </c>
      <c r="R2332" s="3" t="n">
        <v>0.2914</v>
      </c>
      <c r="S2332" s="3" t="n">
        <v>0.1436</v>
      </c>
      <c r="T2332" s="3" t="n">
        <v>0.0097</v>
      </c>
    </row>
    <row r="2333" customFormat="false" ht="15" hidden="false" customHeight="true" outlineLevel="0" collapsed="false">
      <c r="A2333" s="3" t="s">
        <v>3371</v>
      </c>
      <c r="B2333" s="3" t="s">
        <v>190</v>
      </c>
      <c r="C2333" s="3" t="s">
        <v>53</v>
      </c>
      <c r="D2333" s="3" t="s">
        <v>75</v>
      </c>
      <c r="E2333" s="3" t="s">
        <v>39</v>
      </c>
      <c r="F2333" s="3" t="s">
        <v>25</v>
      </c>
      <c r="G2333" s="3" t="s">
        <v>63</v>
      </c>
      <c r="H2333" s="3" t="s">
        <v>56</v>
      </c>
      <c r="I2333" s="3" t="s">
        <v>121</v>
      </c>
      <c r="J2333" s="3" t="n">
        <v>42</v>
      </c>
      <c r="K2333" s="3" t="n">
        <v>17948.3</v>
      </c>
      <c r="L2333" s="3" t="n">
        <v>753828.6</v>
      </c>
      <c r="M2333" s="3" t="n">
        <v>0.0893</v>
      </c>
      <c r="N2333" s="3" t="n">
        <v>67316.89</v>
      </c>
      <c r="O2333" s="3" t="n">
        <v>686511.71</v>
      </c>
      <c r="P2333" s="3" t="n">
        <v>452297.16</v>
      </c>
      <c r="Q2333" s="3" t="n">
        <v>234214.55</v>
      </c>
      <c r="R2333" s="3" t="n">
        <v>0.3412</v>
      </c>
      <c r="S2333" s="3" t="n">
        <v>0.0793</v>
      </c>
      <c r="T2333" s="3" t="n">
        <v>0.01</v>
      </c>
    </row>
    <row r="2334" customFormat="false" ht="15" hidden="false" customHeight="true" outlineLevel="0" collapsed="false">
      <c r="A2334" s="3" t="s">
        <v>3372</v>
      </c>
      <c r="B2334" s="3" t="s">
        <v>923</v>
      </c>
      <c r="C2334" s="3" t="s">
        <v>22</v>
      </c>
      <c r="D2334" s="3" t="s">
        <v>107</v>
      </c>
      <c r="E2334" s="3" t="s">
        <v>33</v>
      </c>
      <c r="F2334" s="3" t="s">
        <v>70</v>
      </c>
      <c r="G2334" s="3" t="s">
        <v>76</v>
      </c>
      <c r="H2334" s="3" t="s">
        <v>27</v>
      </c>
      <c r="I2334" s="3" t="s">
        <v>173</v>
      </c>
      <c r="J2334" s="3" t="n">
        <v>46</v>
      </c>
      <c r="K2334" s="3" t="n">
        <v>16205.59</v>
      </c>
      <c r="L2334" s="3" t="n">
        <v>745457.14</v>
      </c>
      <c r="M2334" s="3" t="n">
        <v>0.0641</v>
      </c>
      <c r="N2334" s="3" t="n">
        <v>47783.8</v>
      </c>
      <c r="O2334" s="3" t="n">
        <v>697673.34</v>
      </c>
      <c r="P2334" s="3" t="n">
        <v>462183.43</v>
      </c>
      <c r="Q2334" s="3" t="n">
        <v>235489.91</v>
      </c>
      <c r="R2334" s="3" t="n">
        <v>0.3375</v>
      </c>
      <c r="S2334" s="3" t="n">
        <v>0.052</v>
      </c>
      <c r="T2334" s="3" t="n">
        <v>0.0121</v>
      </c>
    </row>
    <row r="2335" customFormat="false" ht="15" hidden="false" customHeight="true" outlineLevel="0" collapsed="false">
      <c r="A2335" s="3" t="s">
        <v>3373</v>
      </c>
      <c r="B2335" s="3" t="s">
        <v>2526</v>
      </c>
      <c r="C2335" s="3" t="s">
        <v>113</v>
      </c>
      <c r="D2335" s="3" t="s">
        <v>61</v>
      </c>
      <c r="E2335" s="3" t="s">
        <v>33</v>
      </c>
      <c r="F2335" s="3" t="s">
        <v>62</v>
      </c>
      <c r="G2335" s="3" t="s">
        <v>84</v>
      </c>
      <c r="H2335" s="3" t="s">
        <v>56</v>
      </c>
      <c r="I2335" s="3" t="s">
        <v>121</v>
      </c>
      <c r="J2335" s="3" t="n">
        <v>21</v>
      </c>
      <c r="K2335" s="3" t="n">
        <v>17342.39</v>
      </c>
      <c r="L2335" s="3" t="n">
        <v>364190.19</v>
      </c>
      <c r="M2335" s="3" t="n">
        <v>0.0617</v>
      </c>
      <c r="N2335" s="3" t="n">
        <v>22470.53</v>
      </c>
      <c r="O2335" s="3" t="n">
        <v>341719.66</v>
      </c>
      <c r="P2335" s="3" t="n">
        <v>218514.11</v>
      </c>
      <c r="Q2335" s="3" t="n">
        <v>123205.55</v>
      </c>
      <c r="R2335" s="3" t="n">
        <v>0.3605</v>
      </c>
      <c r="S2335" s="3" t="n">
        <v>0.0556</v>
      </c>
      <c r="T2335" s="3" t="n">
        <v>0.0061</v>
      </c>
    </row>
    <row r="2336" customFormat="false" ht="15" hidden="false" customHeight="true" outlineLevel="0" collapsed="false">
      <c r="A2336" s="3" t="s">
        <v>3374</v>
      </c>
      <c r="B2336" s="3" t="s">
        <v>704</v>
      </c>
      <c r="C2336" s="3" t="s">
        <v>156</v>
      </c>
      <c r="D2336" s="3" t="s">
        <v>23</v>
      </c>
      <c r="E2336" s="3" t="s">
        <v>24</v>
      </c>
      <c r="F2336" s="3" t="s">
        <v>25</v>
      </c>
      <c r="G2336" s="3" t="s">
        <v>76</v>
      </c>
      <c r="H2336" s="3" t="s">
        <v>42</v>
      </c>
      <c r="I2336" s="3" t="s">
        <v>134</v>
      </c>
      <c r="J2336" s="3" t="n">
        <v>24</v>
      </c>
      <c r="K2336" s="3" t="n">
        <v>649.99</v>
      </c>
      <c r="L2336" s="3" t="n">
        <v>15599.76</v>
      </c>
      <c r="M2336" s="3" t="n">
        <v>0.1212</v>
      </c>
      <c r="N2336" s="3" t="n">
        <v>1890.69</v>
      </c>
      <c r="O2336" s="3" t="n">
        <v>13709.07</v>
      </c>
      <c r="P2336" s="3" t="n">
        <v>8579.87</v>
      </c>
      <c r="Q2336" s="3" t="n">
        <v>5129.2</v>
      </c>
      <c r="R2336" s="3" t="n">
        <v>0.3741</v>
      </c>
      <c r="S2336" s="3" t="n">
        <v>0.1019</v>
      </c>
      <c r="T2336" s="3" t="n">
        <v>0.0193</v>
      </c>
    </row>
    <row r="2337" customFormat="false" ht="15" hidden="false" customHeight="true" outlineLevel="0" collapsed="false">
      <c r="A2337" s="3" t="s">
        <v>3375</v>
      </c>
      <c r="B2337" s="3" t="s">
        <v>1621</v>
      </c>
      <c r="C2337" s="3" t="s">
        <v>68</v>
      </c>
      <c r="D2337" s="3" t="s">
        <v>69</v>
      </c>
      <c r="E2337" s="3" t="s">
        <v>39</v>
      </c>
      <c r="F2337" s="3" t="s">
        <v>70</v>
      </c>
      <c r="G2337" s="3" t="s">
        <v>41</v>
      </c>
      <c r="H2337" s="3" t="s">
        <v>27</v>
      </c>
      <c r="I2337" s="3" t="s">
        <v>50</v>
      </c>
      <c r="J2337" s="3" t="n">
        <v>14</v>
      </c>
      <c r="K2337" s="3" t="n">
        <v>23571.4</v>
      </c>
      <c r="L2337" s="3" t="n">
        <v>329999.6</v>
      </c>
      <c r="M2337" s="3" t="n">
        <v>0.1085</v>
      </c>
      <c r="N2337" s="3" t="n">
        <v>35804.96</v>
      </c>
      <c r="O2337" s="3" t="n">
        <v>294194.64</v>
      </c>
      <c r="P2337" s="3" t="n">
        <v>204599.75</v>
      </c>
      <c r="Q2337" s="3" t="n">
        <v>89594.89</v>
      </c>
      <c r="R2337" s="3" t="n">
        <v>0.3045</v>
      </c>
      <c r="S2337" s="3" t="n">
        <v>0.1151</v>
      </c>
      <c r="T2337" s="3" t="n">
        <v>-0.0066</v>
      </c>
    </row>
    <row r="2338" customFormat="false" ht="15" hidden="false" customHeight="true" outlineLevel="0" collapsed="false">
      <c r="A2338" s="3" t="s">
        <v>3376</v>
      </c>
      <c r="B2338" s="3" t="s">
        <v>1285</v>
      </c>
      <c r="C2338" s="3" t="s">
        <v>53</v>
      </c>
      <c r="D2338" s="3" t="s">
        <v>54</v>
      </c>
      <c r="E2338" s="3" t="s">
        <v>24</v>
      </c>
      <c r="F2338" s="3" t="s">
        <v>40</v>
      </c>
      <c r="G2338" s="3" t="s">
        <v>76</v>
      </c>
      <c r="H2338" s="3" t="s">
        <v>42</v>
      </c>
      <c r="I2338" s="3" t="s">
        <v>72</v>
      </c>
      <c r="J2338" s="3" t="n">
        <v>34</v>
      </c>
      <c r="K2338" s="3" t="n">
        <v>2086.51</v>
      </c>
      <c r="L2338" s="3" t="n">
        <v>70941.34</v>
      </c>
      <c r="M2338" s="3" t="n">
        <v>0.0677</v>
      </c>
      <c r="N2338" s="3" t="n">
        <v>4802.73</v>
      </c>
      <c r="O2338" s="3" t="n">
        <v>66138.61</v>
      </c>
      <c r="P2338" s="3" t="n">
        <v>39017.74</v>
      </c>
      <c r="Q2338" s="3" t="n">
        <v>27120.87</v>
      </c>
      <c r="R2338" s="3" t="n">
        <v>0.4101</v>
      </c>
      <c r="S2338" s="3" t="n">
        <v>0.0662</v>
      </c>
      <c r="T2338" s="3" t="n">
        <v>0.0015</v>
      </c>
    </row>
    <row r="2339" customFormat="false" ht="15" hidden="false" customHeight="true" outlineLevel="0" collapsed="false">
      <c r="A2339" s="3" t="s">
        <v>3377</v>
      </c>
      <c r="B2339" s="3" t="s">
        <v>2720</v>
      </c>
      <c r="C2339" s="3" t="s">
        <v>31</v>
      </c>
      <c r="D2339" s="3" t="s">
        <v>69</v>
      </c>
      <c r="E2339" s="3" t="s">
        <v>39</v>
      </c>
      <c r="F2339" s="3" t="s">
        <v>70</v>
      </c>
      <c r="G2339" s="3" t="s">
        <v>63</v>
      </c>
      <c r="H2339" s="3" t="s">
        <v>27</v>
      </c>
      <c r="I2339" s="3" t="s">
        <v>94</v>
      </c>
      <c r="J2339" s="3" t="n">
        <v>3</v>
      </c>
      <c r="K2339" s="3" t="n">
        <v>26404.25</v>
      </c>
      <c r="L2339" s="3" t="n">
        <v>79212.75</v>
      </c>
      <c r="M2339" s="3" t="n">
        <v>0.0509</v>
      </c>
      <c r="N2339" s="3" t="n">
        <v>4031.93</v>
      </c>
      <c r="O2339" s="3" t="n">
        <v>75180.82</v>
      </c>
      <c r="P2339" s="3" t="n">
        <v>49111.9</v>
      </c>
      <c r="Q2339" s="3" t="n">
        <v>26068.92</v>
      </c>
      <c r="R2339" s="3" t="n">
        <v>0.3467</v>
      </c>
      <c r="S2339" s="3" t="n">
        <v>0.0447</v>
      </c>
      <c r="T2339" s="3" t="n">
        <v>0.0062</v>
      </c>
    </row>
    <row r="2340" customFormat="false" ht="15" hidden="false" customHeight="true" outlineLevel="0" collapsed="false">
      <c r="A2340" s="3" t="s">
        <v>3378</v>
      </c>
      <c r="B2340" s="3" t="s">
        <v>1216</v>
      </c>
      <c r="C2340" s="3" t="s">
        <v>126</v>
      </c>
      <c r="D2340" s="3" t="s">
        <v>23</v>
      </c>
      <c r="E2340" s="3" t="s">
        <v>24</v>
      </c>
      <c r="F2340" s="3" t="s">
        <v>25</v>
      </c>
      <c r="G2340" s="3" t="s">
        <v>26</v>
      </c>
      <c r="H2340" s="3" t="s">
        <v>56</v>
      </c>
      <c r="I2340" s="3" t="s">
        <v>121</v>
      </c>
      <c r="J2340" s="3" t="n">
        <v>37</v>
      </c>
      <c r="K2340" s="3" t="n">
        <v>16717.86</v>
      </c>
      <c r="L2340" s="3" t="n">
        <v>618560.82</v>
      </c>
      <c r="M2340" s="3" t="n">
        <v>0.1191</v>
      </c>
      <c r="N2340" s="3" t="n">
        <v>73670.59</v>
      </c>
      <c r="O2340" s="3" t="n">
        <v>544890.23</v>
      </c>
      <c r="P2340" s="3" t="n">
        <v>371136.49</v>
      </c>
      <c r="Q2340" s="3" t="n">
        <v>173753.74</v>
      </c>
      <c r="R2340" s="3" t="n">
        <v>0.3189</v>
      </c>
      <c r="S2340" s="3" t="n">
        <v>0.1289</v>
      </c>
      <c r="T2340" s="3" t="n">
        <v>-0.0098</v>
      </c>
    </row>
    <row r="2341" customFormat="false" ht="15" hidden="false" customHeight="true" outlineLevel="0" collapsed="false">
      <c r="A2341" s="3" t="s">
        <v>3379</v>
      </c>
      <c r="B2341" s="3" t="s">
        <v>3380</v>
      </c>
      <c r="C2341" s="3" t="s">
        <v>53</v>
      </c>
      <c r="D2341" s="3" t="s">
        <v>107</v>
      </c>
      <c r="E2341" s="3" t="s">
        <v>33</v>
      </c>
      <c r="F2341" s="3" t="s">
        <v>70</v>
      </c>
      <c r="G2341" s="3" t="s">
        <v>49</v>
      </c>
      <c r="H2341" s="3" t="s">
        <v>77</v>
      </c>
      <c r="I2341" s="3" t="s">
        <v>78</v>
      </c>
      <c r="J2341" s="3" t="n">
        <v>23</v>
      </c>
      <c r="K2341" s="3" t="n">
        <v>4821.11</v>
      </c>
      <c r="L2341" s="3" t="n">
        <v>110885.53</v>
      </c>
      <c r="M2341" s="3" t="n">
        <v>0.0356</v>
      </c>
      <c r="N2341" s="3" t="n">
        <v>3947.52</v>
      </c>
      <c r="O2341" s="3" t="n">
        <v>106938.01</v>
      </c>
      <c r="P2341" s="3" t="n">
        <v>75402.16</v>
      </c>
      <c r="Q2341" s="3" t="n">
        <v>31535.85</v>
      </c>
      <c r="R2341" s="3" t="n">
        <v>0.2949</v>
      </c>
      <c r="S2341" s="3" t="n">
        <v>0.0374</v>
      </c>
      <c r="T2341" s="3" t="n">
        <v>-0.0018</v>
      </c>
    </row>
    <row r="2342" customFormat="false" ht="15" hidden="false" customHeight="true" outlineLevel="0" collapsed="false">
      <c r="A2342" s="3" t="s">
        <v>3381</v>
      </c>
      <c r="B2342" s="3" t="s">
        <v>2879</v>
      </c>
      <c r="C2342" s="3" t="s">
        <v>53</v>
      </c>
      <c r="D2342" s="3" t="s">
        <v>103</v>
      </c>
      <c r="E2342" s="3" t="s">
        <v>24</v>
      </c>
      <c r="F2342" s="3" t="s">
        <v>62</v>
      </c>
      <c r="G2342" s="3" t="s">
        <v>84</v>
      </c>
      <c r="H2342" s="3" t="s">
        <v>56</v>
      </c>
      <c r="I2342" s="3" t="s">
        <v>121</v>
      </c>
      <c r="J2342" s="3" t="n">
        <v>32</v>
      </c>
      <c r="K2342" s="3" t="n">
        <v>4172.56</v>
      </c>
      <c r="L2342" s="3" t="n">
        <v>133521.92</v>
      </c>
      <c r="M2342" s="3" t="n">
        <v>0.0362</v>
      </c>
      <c r="N2342" s="3" t="n">
        <v>4833.49</v>
      </c>
      <c r="O2342" s="3" t="n">
        <v>128688.43</v>
      </c>
      <c r="P2342" s="3" t="n">
        <v>80113.15</v>
      </c>
      <c r="Q2342" s="3" t="n">
        <v>48575.28</v>
      </c>
      <c r="R2342" s="3" t="n">
        <v>0.3775</v>
      </c>
      <c r="S2342" s="3" t="n">
        <v>0.0386</v>
      </c>
      <c r="T2342" s="3" t="n">
        <v>-0.0024</v>
      </c>
    </row>
    <row r="2343" customFormat="false" ht="15" hidden="false" customHeight="true" outlineLevel="0" collapsed="false">
      <c r="A2343" s="3" t="s">
        <v>3382</v>
      </c>
      <c r="B2343" s="3" t="s">
        <v>235</v>
      </c>
      <c r="C2343" s="3" t="s">
        <v>126</v>
      </c>
      <c r="D2343" s="3" t="s">
        <v>32</v>
      </c>
      <c r="E2343" s="3" t="s">
        <v>33</v>
      </c>
      <c r="F2343" s="3" t="s">
        <v>25</v>
      </c>
      <c r="G2343" s="3" t="s">
        <v>100</v>
      </c>
      <c r="H2343" s="3" t="s">
        <v>77</v>
      </c>
      <c r="I2343" s="3" t="s">
        <v>85</v>
      </c>
      <c r="J2343" s="3" t="n">
        <v>7</v>
      </c>
      <c r="K2343" s="3" t="n">
        <v>5928.57</v>
      </c>
      <c r="L2343" s="3" t="n">
        <v>41499.99</v>
      </c>
      <c r="M2343" s="3" t="n">
        <v>0.175</v>
      </c>
      <c r="N2343" s="3" t="n">
        <v>7262.5</v>
      </c>
      <c r="O2343" s="3" t="n">
        <v>34237.49</v>
      </c>
      <c r="P2343" s="3" t="n">
        <v>28219.99</v>
      </c>
      <c r="Q2343" s="3" t="n">
        <v>6017.5</v>
      </c>
      <c r="R2343" s="3" t="n">
        <v>0.1758</v>
      </c>
      <c r="S2343" s="3" t="n">
        <v>0.1807</v>
      </c>
      <c r="T2343" s="3" t="n">
        <v>-0.0057</v>
      </c>
    </row>
    <row r="2344" customFormat="false" ht="15" hidden="false" customHeight="true" outlineLevel="0" collapsed="false">
      <c r="A2344" s="3" t="s">
        <v>3383</v>
      </c>
      <c r="B2344" s="3" t="s">
        <v>1381</v>
      </c>
      <c r="C2344" s="3" t="s">
        <v>93</v>
      </c>
      <c r="D2344" s="3" t="s">
        <v>32</v>
      </c>
      <c r="E2344" s="3" t="s">
        <v>33</v>
      </c>
      <c r="F2344" s="3" t="s">
        <v>25</v>
      </c>
      <c r="G2344" s="3" t="s">
        <v>34</v>
      </c>
      <c r="H2344" s="3" t="s">
        <v>64</v>
      </c>
      <c r="I2344" s="3" t="s">
        <v>145</v>
      </c>
      <c r="J2344" s="3" t="n">
        <v>49</v>
      </c>
      <c r="K2344" s="3" t="n">
        <v>8315.83</v>
      </c>
      <c r="L2344" s="3" t="n">
        <v>407475.67</v>
      </c>
      <c r="M2344" s="3" t="n">
        <v>0.1411</v>
      </c>
      <c r="N2344" s="3" t="n">
        <v>57494.82</v>
      </c>
      <c r="O2344" s="3" t="n">
        <v>349980.85</v>
      </c>
      <c r="P2344" s="3" t="n">
        <v>236335.89</v>
      </c>
      <c r="Q2344" s="3" t="n">
        <v>113644.96</v>
      </c>
      <c r="R2344" s="3" t="n">
        <v>0.3247</v>
      </c>
      <c r="S2344" s="3" t="n">
        <v>0.1316</v>
      </c>
      <c r="T2344" s="3" t="n">
        <v>0.0095</v>
      </c>
    </row>
    <row r="2345" customFormat="false" ht="15" hidden="false" customHeight="true" outlineLevel="0" collapsed="false">
      <c r="A2345" s="3" t="s">
        <v>3384</v>
      </c>
      <c r="B2345" s="3" t="s">
        <v>1938</v>
      </c>
      <c r="C2345" s="3" t="s">
        <v>93</v>
      </c>
      <c r="D2345" s="3" t="s">
        <v>97</v>
      </c>
      <c r="E2345" s="3" t="s">
        <v>48</v>
      </c>
      <c r="F2345" s="3" t="s">
        <v>40</v>
      </c>
      <c r="G2345" s="3" t="s">
        <v>34</v>
      </c>
      <c r="H2345" s="3" t="s">
        <v>42</v>
      </c>
      <c r="I2345" s="3" t="s">
        <v>72</v>
      </c>
      <c r="J2345" s="3" t="n">
        <v>14</v>
      </c>
      <c r="K2345" s="3" t="n">
        <v>3063.04</v>
      </c>
      <c r="L2345" s="3" t="n">
        <v>42882.56</v>
      </c>
      <c r="M2345" s="3" t="n">
        <v>0.1007</v>
      </c>
      <c r="N2345" s="3" t="n">
        <v>4318.27</v>
      </c>
      <c r="O2345" s="3" t="n">
        <v>38564.29</v>
      </c>
      <c r="P2345" s="3" t="n">
        <v>23585.41</v>
      </c>
      <c r="Q2345" s="3" t="n">
        <v>14978.88</v>
      </c>
      <c r="R2345" s="3" t="n">
        <v>0.3884</v>
      </c>
      <c r="S2345" s="3" t="n">
        <v>0.081</v>
      </c>
      <c r="T2345" s="3" t="n">
        <v>0.0197</v>
      </c>
    </row>
    <row r="2346" customFormat="false" ht="15" hidden="false" customHeight="true" outlineLevel="0" collapsed="false">
      <c r="A2346" s="3" t="s">
        <v>3385</v>
      </c>
      <c r="B2346" s="3" t="s">
        <v>3279</v>
      </c>
      <c r="C2346" s="3" t="s">
        <v>120</v>
      </c>
      <c r="D2346" s="3" t="s">
        <v>54</v>
      </c>
      <c r="E2346" s="3" t="s">
        <v>24</v>
      </c>
      <c r="F2346" s="3" t="s">
        <v>40</v>
      </c>
      <c r="G2346" s="3" t="s">
        <v>26</v>
      </c>
      <c r="H2346" s="3" t="s">
        <v>27</v>
      </c>
      <c r="I2346" s="3" t="s">
        <v>117</v>
      </c>
      <c r="J2346" s="3" t="n">
        <v>1</v>
      </c>
      <c r="K2346" s="3" t="n">
        <v>8269.72</v>
      </c>
      <c r="L2346" s="3" t="n">
        <v>8269.72</v>
      </c>
      <c r="M2346" s="3" t="n">
        <v>0.0611</v>
      </c>
      <c r="N2346" s="3" t="n">
        <v>505.28</v>
      </c>
      <c r="O2346" s="3" t="n">
        <v>7764.44</v>
      </c>
      <c r="P2346" s="3" t="n">
        <v>5127.23</v>
      </c>
      <c r="Q2346" s="3" t="n">
        <v>2637.21</v>
      </c>
      <c r="R2346" s="3" t="n">
        <v>0.3397</v>
      </c>
      <c r="S2346" s="3" t="n">
        <v>0.0662</v>
      </c>
      <c r="T2346" s="3" t="n">
        <v>-0.0051</v>
      </c>
    </row>
    <row r="2347" customFormat="false" ht="15" hidden="false" customHeight="true" outlineLevel="0" collapsed="false">
      <c r="A2347" s="3" t="s">
        <v>3386</v>
      </c>
      <c r="B2347" s="3" t="s">
        <v>692</v>
      </c>
      <c r="C2347" s="3" t="s">
        <v>60</v>
      </c>
      <c r="D2347" s="3" t="s">
        <v>103</v>
      </c>
      <c r="E2347" s="3" t="s">
        <v>24</v>
      </c>
      <c r="F2347" s="3" t="s">
        <v>62</v>
      </c>
      <c r="G2347" s="3" t="s">
        <v>104</v>
      </c>
      <c r="H2347" s="3" t="s">
        <v>64</v>
      </c>
      <c r="I2347" s="3" t="s">
        <v>90</v>
      </c>
      <c r="J2347" s="3" t="n">
        <v>9</v>
      </c>
      <c r="K2347" s="3" t="n">
        <v>4676.61</v>
      </c>
      <c r="L2347" s="3" t="n">
        <v>42089.49</v>
      </c>
      <c r="M2347" s="3" t="n">
        <v>0.0837</v>
      </c>
      <c r="N2347" s="3" t="n">
        <v>3522.89</v>
      </c>
      <c r="O2347" s="3" t="n">
        <v>38566.6</v>
      </c>
      <c r="P2347" s="3" t="n">
        <v>24411.9</v>
      </c>
      <c r="Q2347" s="3" t="n">
        <v>14154.7</v>
      </c>
      <c r="R2347" s="3" t="n">
        <v>0.367</v>
      </c>
      <c r="S2347" s="3" t="n">
        <v>0.0914</v>
      </c>
      <c r="T2347" s="3" t="n">
        <v>-0.0077</v>
      </c>
    </row>
    <row r="2348" customFormat="false" ht="15" hidden="false" customHeight="true" outlineLevel="0" collapsed="false">
      <c r="A2348" s="3" t="s">
        <v>3387</v>
      </c>
      <c r="B2348" s="3" t="s">
        <v>382</v>
      </c>
      <c r="C2348" s="3" t="s">
        <v>93</v>
      </c>
      <c r="D2348" s="3" t="s">
        <v>54</v>
      </c>
      <c r="E2348" s="3" t="s">
        <v>24</v>
      </c>
      <c r="F2348" s="3" t="s">
        <v>40</v>
      </c>
      <c r="G2348" s="3" t="s">
        <v>34</v>
      </c>
      <c r="H2348" s="3" t="s">
        <v>27</v>
      </c>
      <c r="I2348" s="3" t="s">
        <v>117</v>
      </c>
      <c r="J2348" s="3" t="n">
        <v>40</v>
      </c>
      <c r="K2348" s="3" t="n">
        <v>36622.04</v>
      </c>
      <c r="L2348" s="3" t="n">
        <v>1464881.6</v>
      </c>
      <c r="M2348" s="3" t="n">
        <v>0.0778</v>
      </c>
      <c r="N2348" s="3" t="n">
        <v>113967.79</v>
      </c>
      <c r="O2348" s="3" t="n">
        <v>1350913.81</v>
      </c>
      <c r="P2348" s="3" t="n">
        <v>908226.59</v>
      </c>
      <c r="Q2348" s="3" t="n">
        <v>442687.22</v>
      </c>
      <c r="R2348" s="3" t="n">
        <v>0.3277</v>
      </c>
      <c r="S2348" s="3" t="n">
        <v>0.0731</v>
      </c>
      <c r="T2348" s="3" t="n">
        <v>0.0047</v>
      </c>
    </row>
    <row r="2349" customFormat="false" ht="15" hidden="false" customHeight="true" outlineLevel="0" collapsed="false">
      <c r="A2349" s="3" t="s">
        <v>3388</v>
      </c>
      <c r="B2349" s="3" t="s">
        <v>3389</v>
      </c>
      <c r="C2349" s="3" t="s">
        <v>126</v>
      </c>
      <c r="D2349" s="3" t="s">
        <v>32</v>
      </c>
      <c r="E2349" s="3" t="s">
        <v>33</v>
      </c>
      <c r="F2349" s="3" t="s">
        <v>25</v>
      </c>
      <c r="G2349" s="3" t="s">
        <v>116</v>
      </c>
      <c r="H2349" s="3" t="s">
        <v>42</v>
      </c>
      <c r="I2349" s="3" t="s">
        <v>134</v>
      </c>
      <c r="J2349" s="3" t="n">
        <v>46</v>
      </c>
      <c r="K2349" s="3" t="n">
        <v>568.88</v>
      </c>
      <c r="L2349" s="3" t="n">
        <v>26168.48</v>
      </c>
      <c r="M2349" s="3" t="n">
        <v>0.2132</v>
      </c>
      <c r="N2349" s="3" t="n">
        <v>5579.12</v>
      </c>
      <c r="O2349" s="3" t="n">
        <v>20589.36</v>
      </c>
      <c r="P2349" s="3" t="n">
        <v>14392.66</v>
      </c>
      <c r="Q2349" s="3" t="n">
        <v>6196.7</v>
      </c>
      <c r="R2349" s="3" t="n">
        <v>0.301</v>
      </c>
      <c r="S2349" s="3" t="n">
        <v>0.177</v>
      </c>
      <c r="T2349" s="3" t="n">
        <v>0.0362</v>
      </c>
    </row>
    <row r="2350" customFormat="false" ht="15" hidden="false" customHeight="true" outlineLevel="0" collapsed="false">
      <c r="A2350" s="3" t="s">
        <v>3390</v>
      </c>
      <c r="B2350" s="3" t="s">
        <v>372</v>
      </c>
      <c r="C2350" s="3" t="s">
        <v>22</v>
      </c>
      <c r="D2350" s="3" t="s">
        <v>69</v>
      </c>
      <c r="E2350" s="3" t="s">
        <v>39</v>
      </c>
      <c r="F2350" s="3" t="s">
        <v>70</v>
      </c>
      <c r="G2350" s="3" t="s">
        <v>49</v>
      </c>
      <c r="H2350" s="3" t="s">
        <v>64</v>
      </c>
      <c r="I2350" s="3" t="s">
        <v>145</v>
      </c>
      <c r="J2350" s="3" t="n">
        <v>16</v>
      </c>
      <c r="K2350" s="3" t="n">
        <v>11980.48</v>
      </c>
      <c r="L2350" s="3" t="n">
        <v>191687.68</v>
      </c>
      <c r="M2350" s="3" t="n">
        <v>0.072</v>
      </c>
      <c r="N2350" s="3" t="n">
        <v>13801.51</v>
      </c>
      <c r="O2350" s="3" t="n">
        <v>177886.17</v>
      </c>
      <c r="P2350" s="3" t="n">
        <v>111178.85</v>
      </c>
      <c r="Q2350" s="3" t="n">
        <v>66707.32</v>
      </c>
      <c r="R2350" s="3" t="n">
        <v>0.375</v>
      </c>
      <c r="S2350" s="3" t="n">
        <v>0.0589</v>
      </c>
      <c r="T2350" s="3" t="n">
        <v>0.0131</v>
      </c>
    </row>
    <row r="2351" customFormat="false" ht="15" hidden="false" customHeight="true" outlineLevel="0" collapsed="false">
      <c r="A2351" s="3" t="s">
        <v>3391</v>
      </c>
      <c r="B2351" s="3" t="s">
        <v>1174</v>
      </c>
      <c r="C2351" s="3" t="s">
        <v>93</v>
      </c>
      <c r="D2351" s="3" t="s">
        <v>83</v>
      </c>
      <c r="E2351" s="3" t="s">
        <v>48</v>
      </c>
      <c r="F2351" s="3" t="s">
        <v>62</v>
      </c>
      <c r="G2351" s="3" t="s">
        <v>116</v>
      </c>
      <c r="H2351" s="3" t="s">
        <v>56</v>
      </c>
      <c r="I2351" s="3" t="s">
        <v>57</v>
      </c>
      <c r="J2351" s="3" t="n">
        <v>10</v>
      </c>
      <c r="K2351" s="3" t="n">
        <v>17276.02</v>
      </c>
      <c r="L2351" s="3" t="n">
        <v>172760.2</v>
      </c>
      <c r="M2351" s="3" t="n">
        <v>0.0683</v>
      </c>
      <c r="N2351" s="3" t="n">
        <v>11799.52</v>
      </c>
      <c r="O2351" s="3" t="n">
        <v>160960.68</v>
      </c>
      <c r="P2351" s="3" t="n">
        <v>103656.12</v>
      </c>
      <c r="Q2351" s="3" t="n">
        <v>57304.56</v>
      </c>
      <c r="R2351" s="3" t="n">
        <v>0.356</v>
      </c>
      <c r="S2351" s="3" t="n">
        <v>0.0552</v>
      </c>
      <c r="T2351" s="3" t="n">
        <v>0.0131</v>
      </c>
    </row>
    <row r="2352" customFormat="false" ht="15" hidden="false" customHeight="true" outlineLevel="0" collapsed="false">
      <c r="A2352" s="3" t="s">
        <v>3392</v>
      </c>
      <c r="B2352" s="3" t="s">
        <v>2526</v>
      </c>
      <c r="C2352" s="3" t="s">
        <v>113</v>
      </c>
      <c r="D2352" s="3" t="s">
        <v>97</v>
      </c>
      <c r="E2352" s="3" t="s">
        <v>48</v>
      </c>
      <c r="F2352" s="3" t="s">
        <v>40</v>
      </c>
      <c r="G2352" s="3" t="s">
        <v>41</v>
      </c>
      <c r="H2352" s="3" t="s">
        <v>56</v>
      </c>
      <c r="I2352" s="3" t="s">
        <v>57</v>
      </c>
      <c r="J2352" s="3" t="n">
        <v>17</v>
      </c>
      <c r="K2352" s="3" t="n">
        <v>13910.54</v>
      </c>
      <c r="L2352" s="3" t="n">
        <v>236479.18</v>
      </c>
      <c r="M2352" s="3" t="n">
        <v>0.1163</v>
      </c>
      <c r="N2352" s="3" t="n">
        <v>27502.53</v>
      </c>
      <c r="O2352" s="3" t="n">
        <v>208976.65</v>
      </c>
      <c r="P2352" s="3" t="n">
        <v>141887.51</v>
      </c>
      <c r="Q2352" s="3" t="n">
        <v>67089.14</v>
      </c>
      <c r="R2352" s="3" t="n">
        <v>0.321</v>
      </c>
      <c r="S2352" s="3" t="n">
        <v>0.0994</v>
      </c>
      <c r="T2352" s="3" t="n">
        <v>0.0169</v>
      </c>
    </row>
    <row r="2353" customFormat="false" ht="15" hidden="false" customHeight="true" outlineLevel="0" collapsed="false">
      <c r="A2353" s="3" t="s">
        <v>3393</v>
      </c>
      <c r="B2353" s="3" t="s">
        <v>288</v>
      </c>
      <c r="C2353" s="3" t="s">
        <v>53</v>
      </c>
      <c r="D2353" s="3" t="s">
        <v>103</v>
      </c>
      <c r="E2353" s="3" t="s">
        <v>24</v>
      </c>
      <c r="F2353" s="3" t="s">
        <v>62</v>
      </c>
      <c r="G2353" s="3" t="s">
        <v>76</v>
      </c>
      <c r="H2353" s="3" t="s">
        <v>27</v>
      </c>
      <c r="I2353" s="3" t="s">
        <v>173</v>
      </c>
      <c r="J2353" s="3" t="n">
        <v>12</v>
      </c>
      <c r="K2353" s="3" t="n">
        <v>33390.43</v>
      </c>
      <c r="L2353" s="3" t="n">
        <v>400685.16</v>
      </c>
      <c r="M2353" s="3" t="n">
        <v>0.0445</v>
      </c>
      <c r="N2353" s="3" t="n">
        <v>17830.49</v>
      </c>
      <c r="O2353" s="3" t="n">
        <v>382854.67</v>
      </c>
      <c r="P2353" s="3" t="n">
        <v>248424.8</v>
      </c>
      <c r="Q2353" s="3" t="n">
        <v>134429.87</v>
      </c>
      <c r="R2353" s="3" t="n">
        <v>0.3511</v>
      </c>
      <c r="S2353" s="3" t="n">
        <v>0.0467</v>
      </c>
      <c r="T2353" s="3" t="n">
        <v>-0.0022</v>
      </c>
    </row>
    <row r="2354" customFormat="false" ht="15" hidden="false" customHeight="true" outlineLevel="0" collapsed="false">
      <c r="A2354" s="3" t="s">
        <v>3394</v>
      </c>
      <c r="B2354" s="3" t="s">
        <v>272</v>
      </c>
      <c r="C2354" s="3" t="s">
        <v>22</v>
      </c>
      <c r="D2354" s="3" t="s">
        <v>97</v>
      </c>
      <c r="E2354" s="3" t="s">
        <v>48</v>
      </c>
      <c r="F2354" s="3" t="s">
        <v>40</v>
      </c>
      <c r="G2354" s="3" t="s">
        <v>63</v>
      </c>
      <c r="H2354" s="3" t="s">
        <v>64</v>
      </c>
      <c r="I2354" s="3" t="s">
        <v>108</v>
      </c>
      <c r="J2354" s="3" t="n">
        <v>35</v>
      </c>
      <c r="K2354" s="3" t="n">
        <v>3897.11</v>
      </c>
      <c r="L2354" s="3" t="n">
        <v>136398.85</v>
      </c>
      <c r="M2354" s="3" t="n">
        <v>0.0714</v>
      </c>
      <c r="N2354" s="3" t="n">
        <v>9738.88</v>
      </c>
      <c r="O2354" s="3" t="n">
        <v>126659.97</v>
      </c>
      <c r="P2354" s="3" t="n">
        <v>79111.33</v>
      </c>
      <c r="Q2354" s="3" t="n">
        <v>47548.64</v>
      </c>
      <c r="R2354" s="3" t="n">
        <v>0.3754</v>
      </c>
      <c r="S2354" s="3" t="n">
        <v>0.0579</v>
      </c>
      <c r="T2354" s="3" t="n">
        <v>0.0135</v>
      </c>
    </row>
    <row r="2355" customFormat="false" ht="15" hidden="false" customHeight="true" outlineLevel="0" collapsed="false">
      <c r="A2355" s="3" t="s">
        <v>3395</v>
      </c>
      <c r="B2355" s="3" t="s">
        <v>194</v>
      </c>
      <c r="C2355" s="3" t="s">
        <v>93</v>
      </c>
      <c r="D2355" s="3" t="s">
        <v>54</v>
      </c>
      <c r="E2355" s="3" t="s">
        <v>24</v>
      </c>
      <c r="F2355" s="3" t="s">
        <v>40</v>
      </c>
      <c r="G2355" s="3" t="s">
        <v>63</v>
      </c>
      <c r="H2355" s="3" t="s">
        <v>77</v>
      </c>
      <c r="I2355" s="3" t="s">
        <v>85</v>
      </c>
      <c r="J2355" s="3" t="n">
        <v>25</v>
      </c>
      <c r="K2355" s="3" t="n">
        <v>1676.24</v>
      </c>
      <c r="L2355" s="3" t="n">
        <v>41906</v>
      </c>
      <c r="M2355" s="3" t="n">
        <v>0.0408</v>
      </c>
      <c r="N2355" s="3" t="n">
        <v>1709.76</v>
      </c>
      <c r="O2355" s="3" t="n">
        <v>40196.24</v>
      </c>
      <c r="P2355" s="3" t="n">
        <v>28496.08</v>
      </c>
      <c r="Q2355" s="3" t="n">
        <v>11700.16</v>
      </c>
      <c r="R2355" s="3" t="n">
        <v>0.2911</v>
      </c>
      <c r="S2355" s="3" t="n">
        <v>0.0328</v>
      </c>
      <c r="T2355" s="3" t="n">
        <v>0.008</v>
      </c>
    </row>
    <row r="2356" customFormat="false" ht="15" hidden="false" customHeight="true" outlineLevel="0" collapsed="false">
      <c r="A2356" s="3" t="s">
        <v>3396</v>
      </c>
      <c r="B2356" s="3" t="s">
        <v>2026</v>
      </c>
      <c r="C2356" s="3" t="s">
        <v>60</v>
      </c>
      <c r="D2356" s="3" t="s">
        <v>107</v>
      </c>
      <c r="E2356" s="3" t="s">
        <v>33</v>
      </c>
      <c r="F2356" s="3" t="s">
        <v>70</v>
      </c>
      <c r="G2356" s="3" t="s">
        <v>26</v>
      </c>
      <c r="H2356" s="3" t="s">
        <v>77</v>
      </c>
      <c r="I2356" s="3" t="s">
        <v>78</v>
      </c>
      <c r="J2356" s="3" t="n">
        <v>4</v>
      </c>
      <c r="K2356" s="3" t="n">
        <v>4333.43</v>
      </c>
      <c r="L2356" s="3" t="n">
        <v>17333.72</v>
      </c>
      <c r="M2356" s="3" t="n">
        <v>0.0767</v>
      </c>
      <c r="N2356" s="3" t="n">
        <v>1329.5</v>
      </c>
      <c r="O2356" s="3" t="n">
        <v>16004.22</v>
      </c>
      <c r="P2356" s="3" t="n">
        <v>11786.93</v>
      </c>
      <c r="Q2356" s="3" t="n">
        <v>4217.29</v>
      </c>
      <c r="R2356" s="3" t="n">
        <v>0.2635</v>
      </c>
      <c r="S2356" s="3" t="n">
        <v>0.0793</v>
      </c>
      <c r="T2356" s="3" t="n">
        <v>-0.0026</v>
      </c>
    </row>
    <row r="2357" customFormat="false" ht="15" hidden="false" customHeight="true" outlineLevel="0" collapsed="false">
      <c r="A2357" s="3" t="s">
        <v>3397</v>
      </c>
      <c r="B2357" s="3" t="s">
        <v>1332</v>
      </c>
      <c r="C2357" s="3" t="s">
        <v>31</v>
      </c>
      <c r="D2357" s="3" t="s">
        <v>32</v>
      </c>
      <c r="E2357" s="3" t="s">
        <v>33</v>
      </c>
      <c r="F2357" s="3" t="s">
        <v>25</v>
      </c>
      <c r="G2357" s="3" t="s">
        <v>34</v>
      </c>
      <c r="H2357" s="3" t="s">
        <v>56</v>
      </c>
      <c r="I2357" s="3" t="s">
        <v>57</v>
      </c>
      <c r="J2357" s="3" t="n">
        <v>27</v>
      </c>
      <c r="K2357" s="3" t="n">
        <v>8254.78</v>
      </c>
      <c r="L2357" s="3" t="n">
        <v>222879.06</v>
      </c>
      <c r="M2357" s="3" t="n">
        <v>0.1461</v>
      </c>
      <c r="N2357" s="3" t="n">
        <v>32562.63</v>
      </c>
      <c r="O2357" s="3" t="n">
        <v>190316.43</v>
      </c>
      <c r="P2357" s="3" t="n">
        <v>133727.44</v>
      </c>
      <c r="Q2357" s="3" t="n">
        <v>56588.99</v>
      </c>
      <c r="R2357" s="3" t="n">
        <v>0.2973</v>
      </c>
      <c r="S2357" s="3" t="n">
        <v>0.1589</v>
      </c>
      <c r="T2357" s="3" t="n">
        <v>-0.0128</v>
      </c>
    </row>
    <row r="2358" customFormat="false" ht="15" hidden="false" customHeight="true" outlineLevel="0" collapsed="false">
      <c r="A2358" s="3" t="s">
        <v>3398</v>
      </c>
      <c r="B2358" s="3" t="s">
        <v>2489</v>
      </c>
      <c r="C2358" s="3" t="s">
        <v>22</v>
      </c>
      <c r="D2358" s="3" t="s">
        <v>38</v>
      </c>
      <c r="E2358" s="3" t="s">
        <v>39</v>
      </c>
      <c r="F2358" s="3" t="s">
        <v>40</v>
      </c>
      <c r="G2358" s="3" t="s">
        <v>49</v>
      </c>
      <c r="H2358" s="3" t="s">
        <v>27</v>
      </c>
      <c r="I2358" s="3" t="s">
        <v>28</v>
      </c>
      <c r="J2358" s="3" t="n">
        <v>39</v>
      </c>
      <c r="K2358" s="3" t="n">
        <v>22875.08</v>
      </c>
      <c r="L2358" s="3" t="n">
        <v>892128.12</v>
      </c>
      <c r="M2358" s="3" t="n">
        <v>0.0456</v>
      </c>
      <c r="N2358" s="3" t="n">
        <v>40681.04</v>
      </c>
      <c r="O2358" s="3" t="n">
        <v>851447.08</v>
      </c>
      <c r="P2358" s="3" t="n">
        <v>553119.43</v>
      </c>
      <c r="Q2358" s="3" t="n">
        <v>298327.65</v>
      </c>
      <c r="R2358" s="3" t="n">
        <v>0.3504</v>
      </c>
      <c r="S2358" s="3" t="n">
        <v>0.0378</v>
      </c>
      <c r="T2358" s="3" t="n">
        <v>0.0078</v>
      </c>
    </row>
    <row r="2359" customFormat="false" ht="15" hidden="false" customHeight="true" outlineLevel="0" collapsed="false">
      <c r="A2359" s="3" t="s">
        <v>3399</v>
      </c>
      <c r="B2359" s="3" t="s">
        <v>1063</v>
      </c>
      <c r="C2359" s="3" t="s">
        <v>113</v>
      </c>
      <c r="D2359" s="3" t="s">
        <v>69</v>
      </c>
      <c r="E2359" s="3" t="s">
        <v>39</v>
      </c>
      <c r="F2359" s="3" t="s">
        <v>70</v>
      </c>
      <c r="G2359" s="3" t="s">
        <v>55</v>
      </c>
      <c r="H2359" s="3" t="s">
        <v>64</v>
      </c>
      <c r="I2359" s="3" t="s">
        <v>145</v>
      </c>
      <c r="J2359" s="3" t="n">
        <v>2</v>
      </c>
      <c r="K2359" s="3" t="n">
        <v>11691.27</v>
      </c>
      <c r="L2359" s="3" t="n">
        <v>23382.54</v>
      </c>
      <c r="M2359" s="3" t="n">
        <v>0.0699</v>
      </c>
      <c r="N2359" s="3" t="n">
        <v>1634.44</v>
      </c>
      <c r="O2359" s="3" t="n">
        <v>21748.1</v>
      </c>
      <c r="P2359" s="3" t="n">
        <v>13561.87</v>
      </c>
      <c r="Q2359" s="3" t="n">
        <v>8186.23</v>
      </c>
      <c r="R2359" s="3" t="n">
        <v>0.3764</v>
      </c>
      <c r="S2359" s="3" t="n">
        <v>0.0688</v>
      </c>
      <c r="T2359" s="3" t="n">
        <v>0.0011</v>
      </c>
    </row>
    <row r="2360" customFormat="false" ht="15" hidden="false" customHeight="true" outlineLevel="0" collapsed="false">
      <c r="A2360" s="3" t="s">
        <v>3400</v>
      </c>
      <c r="B2360" s="3" t="s">
        <v>1307</v>
      </c>
      <c r="C2360" s="3" t="s">
        <v>113</v>
      </c>
      <c r="D2360" s="3" t="s">
        <v>61</v>
      </c>
      <c r="E2360" s="3" t="s">
        <v>33</v>
      </c>
      <c r="F2360" s="3" t="s">
        <v>62</v>
      </c>
      <c r="G2360" s="3" t="s">
        <v>71</v>
      </c>
      <c r="H2360" s="3" t="s">
        <v>64</v>
      </c>
      <c r="I2360" s="3" t="s">
        <v>65</v>
      </c>
      <c r="J2360" s="3" t="n">
        <v>11</v>
      </c>
      <c r="K2360" s="3" t="n">
        <v>7063.24</v>
      </c>
      <c r="L2360" s="3" t="n">
        <v>77695.64</v>
      </c>
      <c r="M2360" s="3" t="n">
        <v>0.0347</v>
      </c>
      <c r="N2360" s="3" t="n">
        <v>2696.04</v>
      </c>
      <c r="O2360" s="3" t="n">
        <v>74999.6</v>
      </c>
      <c r="P2360" s="3" t="n">
        <v>45063.47</v>
      </c>
      <c r="Q2360" s="3" t="n">
        <v>29936.13</v>
      </c>
      <c r="R2360" s="3" t="n">
        <v>0.3992</v>
      </c>
      <c r="S2360" s="3" t="n">
        <v>0.0334</v>
      </c>
      <c r="T2360" s="3" t="n">
        <v>0.0013</v>
      </c>
    </row>
    <row r="2361" customFormat="false" ht="15" hidden="false" customHeight="true" outlineLevel="0" collapsed="false">
      <c r="A2361" s="3" t="s">
        <v>3401</v>
      </c>
      <c r="B2361" s="3" t="s">
        <v>1202</v>
      </c>
      <c r="C2361" s="3" t="s">
        <v>113</v>
      </c>
      <c r="D2361" s="3" t="s">
        <v>47</v>
      </c>
      <c r="E2361" s="3" t="s">
        <v>48</v>
      </c>
      <c r="F2361" s="3" t="s">
        <v>25</v>
      </c>
      <c r="G2361" s="3" t="s">
        <v>26</v>
      </c>
      <c r="H2361" s="3" t="s">
        <v>56</v>
      </c>
      <c r="I2361" s="3" t="s">
        <v>188</v>
      </c>
      <c r="J2361" s="3" t="n">
        <v>5</v>
      </c>
      <c r="K2361" s="3" t="n">
        <v>10149.06</v>
      </c>
      <c r="L2361" s="3" t="n">
        <v>50745.3</v>
      </c>
      <c r="M2361" s="3" t="n">
        <v>0.1424</v>
      </c>
      <c r="N2361" s="3" t="n">
        <v>7226.13</v>
      </c>
      <c r="O2361" s="3" t="n">
        <v>43519.17</v>
      </c>
      <c r="P2361" s="3" t="n">
        <v>30447.18</v>
      </c>
      <c r="Q2361" s="3" t="n">
        <v>13071.99</v>
      </c>
      <c r="R2361" s="3" t="n">
        <v>0.3004</v>
      </c>
      <c r="S2361" s="3" t="n">
        <v>0.119</v>
      </c>
      <c r="T2361" s="3" t="n">
        <v>0.0234</v>
      </c>
    </row>
    <row r="2362" customFormat="false" ht="15" hidden="false" customHeight="true" outlineLevel="0" collapsed="false">
      <c r="A2362" s="3" t="s">
        <v>3402</v>
      </c>
      <c r="B2362" s="3" t="s">
        <v>744</v>
      </c>
      <c r="C2362" s="3" t="s">
        <v>120</v>
      </c>
      <c r="D2362" s="3" t="s">
        <v>54</v>
      </c>
      <c r="E2362" s="3" t="s">
        <v>24</v>
      </c>
      <c r="F2362" s="3" t="s">
        <v>40</v>
      </c>
      <c r="G2362" s="3" t="s">
        <v>76</v>
      </c>
      <c r="H2362" s="3" t="s">
        <v>42</v>
      </c>
      <c r="I2362" s="3" t="s">
        <v>72</v>
      </c>
      <c r="J2362" s="3" t="n">
        <v>8</v>
      </c>
      <c r="K2362" s="3" t="n">
        <v>3102.19</v>
      </c>
      <c r="L2362" s="3" t="n">
        <v>24817.52</v>
      </c>
      <c r="M2362" s="3" t="n">
        <v>0.0799</v>
      </c>
      <c r="N2362" s="3" t="n">
        <v>1982.92</v>
      </c>
      <c r="O2362" s="3" t="n">
        <v>22834.6</v>
      </c>
      <c r="P2362" s="3" t="n">
        <v>13649.64</v>
      </c>
      <c r="Q2362" s="3" t="n">
        <v>9184.96</v>
      </c>
      <c r="R2362" s="3" t="n">
        <v>0.4022</v>
      </c>
      <c r="S2362" s="3" t="n">
        <v>0.0776</v>
      </c>
      <c r="T2362" s="3" t="n">
        <v>0.0023</v>
      </c>
    </row>
    <row r="2363" customFormat="false" ht="15" hidden="false" customHeight="true" outlineLevel="0" collapsed="false">
      <c r="A2363" s="3" t="s">
        <v>3403</v>
      </c>
      <c r="B2363" s="3" t="s">
        <v>1417</v>
      </c>
      <c r="C2363" s="3" t="s">
        <v>60</v>
      </c>
      <c r="D2363" s="3" t="s">
        <v>107</v>
      </c>
      <c r="E2363" s="3" t="s">
        <v>33</v>
      </c>
      <c r="F2363" s="3" t="s">
        <v>70</v>
      </c>
      <c r="G2363" s="3" t="s">
        <v>104</v>
      </c>
      <c r="H2363" s="3" t="s">
        <v>27</v>
      </c>
      <c r="I2363" s="3" t="s">
        <v>173</v>
      </c>
      <c r="J2363" s="3" t="n">
        <v>20</v>
      </c>
      <c r="K2363" s="3" t="n">
        <v>22553.22</v>
      </c>
      <c r="L2363" s="3" t="n">
        <v>451064.4</v>
      </c>
      <c r="M2363" s="3" t="n">
        <v>0.0644</v>
      </c>
      <c r="N2363" s="3" t="n">
        <v>29048.55</v>
      </c>
      <c r="O2363" s="3" t="n">
        <v>422015.85</v>
      </c>
      <c r="P2363" s="3" t="n">
        <v>279659.93</v>
      </c>
      <c r="Q2363" s="3" t="n">
        <v>142355.92</v>
      </c>
      <c r="R2363" s="3" t="n">
        <v>0.3373</v>
      </c>
      <c r="S2363" s="3" t="n">
        <v>0.0675</v>
      </c>
      <c r="T2363" s="3" t="n">
        <v>-0.0031</v>
      </c>
    </row>
    <row r="2364" customFormat="false" ht="15" hidden="false" customHeight="true" outlineLevel="0" collapsed="false">
      <c r="A2364" s="3" t="s">
        <v>3404</v>
      </c>
      <c r="B2364" s="3" t="s">
        <v>844</v>
      </c>
      <c r="C2364" s="3" t="s">
        <v>37</v>
      </c>
      <c r="D2364" s="3" t="s">
        <v>54</v>
      </c>
      <c r="E2364" s="3" t="s">
        <v>24</v>
      </c>
      <c r="F2364" s="3" t="s">
        <v>40</v>
      </c>
      <c r="G2364" s="3" t="s">
        <v>41</v>
      </c>
      <c r="H2364" s="3" t="s">
        <v>42</v>
      </c>
      <c r="I2364" s="3" t="s">
        <v>43</v>
      </c>
      <c r="J2364" s="3" t="n">
        <v>6</v>
      </c>
      <c r="K2364" s="3" t="n">
        <v>1761.91</v>
      </c>
      <c r="L2364" s="3" t="n">
        <v>10571.46</v>
      </c>
      <c r="M2364" s="3" t="n">
        <v>0.083</v>
      </c>
      <c r="N2364" s="3" t="n">
        <v>877.43</v>
      </c>
      <c r="O2364" s="3" t="n">
        <v>9694.03</v>
      </c>
      <c r="P2364" s="3" t="n">
        <v>5814.3</v>
      </c>
      <c r="Q2364" s="3" t="n">
        <v>3879.73</v>
      </c>
      <c r="R2364" s="3" t="n">
        <v>0.4002</v>
      </c>
      <c r="S2364" s="3" t="n">
        <v>0.0709</v>
      </c>
      <c r="T2364" s="3" t="n">
        <v>0.0121</v>
      </c>
    </row>
    <row r="2365" customFormat="false" ht="15" hidden="false" customHeight="true" outlineLevel="0" collapsed="false">
      <c r="A2365" s="3" t="s">
        <v>3405</v>
      </c>
      <c r="B2365" s="3" t="s">
        <v>1090</v>
      </c>
      <c r="C2365" s="3" t="s">
        <v>126</v>
      </c>
      <c r="D2365" s="3" t="s">
        <v>38</v>
      </c>
      <c r="E2365" s="3" t="s">
        <v>39</v>
      </c>
      <c r="F2365" s="3" t="s">
        <v>40</v>
      </c>
      <c r="G2365" s="3" t="s">
        <v>41</v>
      </c>
      <c r="H2365" s="3" t="s">
        <v>42</v>
      </c>
      <c r="I2365" s="3" t="s">
        <v>43</v>
      </c>
      <c r="J2365" s="3" t="n">
        <v>43</v>
      </c>
      <c r="K2365" s="3" t="n">
        <v>3840.22</v>
      </c>
      <c r="L2365" s="3" t="n">
        <v>165129.46</v>
      </c>
      <c r="M2365" s="3" t="n">
        <v>0.1099</v>
      </c>
      <c r="N2365" s="3" t="n">
        <v>18147.73</v>
      </c>
      <c r="O2365" s="3" t="n">
        <v>146981.73</v>
      </c>
      <c r="P2365" s="3" t="n">
        <v>90821.2</v>
      </c>
      <c r="Q2365" s="3" t="n">
        <v>56160.53</v>
      </c>
      <c r="R2365" s="3" t="n">
        <v>0.3821</v>
      </c>
      <c r="S2365" s="3" t="n">
        <v>0.1123</v>
      </c>
      <c r="T2365" s="3" t="n">
        <v>-0.0024</v>
      </c>
    </row>
    <row r="2366" customFormat="false" ht="15" hidden="false" customHeight="true" outlineLevel="0" collapsed="false">
      <c r="A2366" s="3" t="s">
        <v>3406</v>
      </c>
      <c r="B2366" s="3" t="s">
        <v>2230</v>
      </c>
      <c r="C2366" s="3" t="s">
        <v>31</v>
      </c>
      <c r="D2366" s="3" t="s">
        <v>83</v>
      </c>
      <c r="E2366" s="3" t="s">
        <v>48</v>
      </c>
      <c r="F2366" s="3" t="s">
        <v>62</v>
      </c>
      <c r="G2366" s="3" t="s">
        <v>63</v>
      </c>
      <c r="H2366" s="3" t="s">
        <v>77</v>
      </c>
      <c r="I2366" s="3" t="s">
        <v>131</v>
      </c>
      <c r="J2366" s="3" t="n">
        <v>14</v>
      </c>
      <c r="K2366" s="3" t="n">
        <v>4161.72</v>
      </c>
      <c r="L2366" s="3" t="n">
        <v>58264.08</v>
      </c>
      <c r="M2366" s="3" t="n">
        <v>0.0637</v>
      </c>
      <c r="N2366" s="3" t="n">
        <v>3711.42</v>
      </c>
      <c r="O2366" s="3" t="n">
        <v>54552.66</v>
      </c>
      <c r="P2366" s="3" t="n">
        <v>39619.57</v>
      </c>
      <c r="Q2366" s="3" t="n">
        <v>14933.09</v>
      </c>
      <c r="R2366" s="3" t="n">
        <v>0.2737</v>
      </c>
      <c r="S2366" s="3" t="n">
        <v>0.0632</v>
      </c>
      <c r="T2366" s="3" t="n">
        <v>0.0005</v>
      </c>
    </row>
    <row r="2367" customFormat="false" ht="15" hidden="false" customHeight="true" outlineLevel="0" collapsed="false">
      <c r="A2367" s="3" t="s">
        <v>3407</v>
      </c>
      <c r="B2367" s="3" t="s">
        <v>1699</v>
      </c>
      <c r="C2367" s="3" t="s">
        <v>126</v>
      </c>
      <c r="D2367" s="3" t="s">
        <v>103</v>
      </c>
      <c r="E2367" s="3" t="s">
        <v>24</v>
      </c>
      <c r="F2367" s="3" t="s">
        <v>62</v>
      </c>
      <c r="G2367" s="3" t="s">
        <v>34</v>
      </c>
      <c r="H2367" s="3" t="s">
        <v>42</v>
      </c>
      <c r="I2367" s="3" t="s">
        <v>43</v>
      </c>
      <c r="J2367" s="3" t="n">
        <v>31</v>
      </c>
      <c r="K2367" s="3" t="n">
        <v>3730.32</v>
      </c>
      <c r="L2367" s="3" t="n">
        <v>115639.92</v>
      </c>
      <c r="M2367" s="3" t="n">
        <v>0.0965</v>
      </c>
      <c r="N2367" s="3" t="n">
        <v>11159.25</v>
      </c>
      <c r="O2367" s="3" t="n">
        <v>104480.67</v>
      </c>
      <c r="P2367" s="3" t="n">
        <v>63601.96</v>
      </c>
      <c r="Q2367" s="3" t="n">
        <v>40878.71</v>
      </c>
      <c r="R2367" s="3" t="n">
        <v>0.3913</v>
      </c>
      <c r="S2367" s="3" t="n">
        <v>0.0981</v>
      </c>
      <c r="T2367" s="3" t="n">
        <v>-0.0016</v>
      </c>
    </row>
    <row r="2368" customFormat="false" ht="15" hidden="false" customHeight="true" outlineLevel="0" collapsed="false">
      <c r="A2368" s="3" t="s">
        <v>3408</v>
      </c>
      <c r="B2368" s="3" t="s">
        <v>1110</v>
      </c>
      <c r="C2368" s="3" t="s">
        <v>46</v>
      </c>
      <c r="D2368" s="3" t="s">
        <v>32</v>
      </c>
      <c r="E2368" s="3" t="s">
        <v>33</v>
      </c>
      <c r="F2368" s="3" t="s">
        <v>25</v>
      </c>
      <c r="G2368" s="3" t="s">
        <v>49</v>
      </c>
      <c r="H2368" s="3" t="s">
        <v>64</v>
      </c>
      <c r="I2368" s="3" t="s">
        <v>145</v>
      </c>
      <c r="J2368" s="3" t="n">
        <v>23</v>
      </c>
      <c r="K2368" s="3" t="n">
        <v>10444.45</v>
      </c>
      <c r="L2368" s="3" t="n">
        <v>240222.35</v>
      </c>
      <c r="M2368" s="3" t="n">
        <v>0.1273</v>
      </c>
      <c r="N2368" s="3" t="n">
        <v>30580.31</v>
      </c>
      <c r="O2368" s="3" t="n">
        <v>209642.04</v>
      </c>
      <c r="P2368" s="3" t="n">
        <v>139328.96</v>
      </c>
      <c r="Q2368" s="3" t="n">
        <v>70313.08</v>
      </c>
      <c r="R2368" s="3" t="n">
        <v>0.3354</v>
      </c>
      <c r="S2368" s="3" t="n">
        <v>0.1032</v>
      </c>
      <c r="T2368" s="3" t="n">
        <v>0.0241</v>
      </c>
    </row>
    <row r="2369" customFormat="false" ht="15" hidden="false" customHeight="true" outlineLevel="0" collapsed="false">
      <c r="A2369" s="3" t="s">
        <v>3409</v>
      </c>
      <c r="B2369" s="3" t="s">
        <v>532</v>
      </c>
      <c r="C2369" s="3" t="s">
        <v>120</v>
      </c>
      <c r="D2369" s="3" t="s">
        <v>61</v>
      </c>
      <c r="E2369" s="3" t="s">
        <v>33</v>
      </c>
      <c r="F2369" s="3" t="s">
        <v>62</v>
      </c>
      <c r="G2369" s="3" t="s">
        <v>71</v>
      </c>
      <c r="H2369" s="3" t="s">
        <v>27</v>
      </c>
      <c r="I2369" s="3" t="s">
        <v>94</v>
      </c>
      <c r="J2369" s="3" t="n">
        <v>35</v>
      </c>
      <c r="K2369" s="3" t="n">
        <v>11534.08</v>
      </c>
      <c r="L2369" s="3" t="n">
        <v>403692.8</v>
      </c>
      <c r="M2369" s="3" t="n">
        <v>0.0591</v>
      </c>
      <c r="N2369" s="3" t="n">
        <v>23858.24</v>
      </c>
      <c r="O2369" s="3" t="n">
        <v>379834.56</v>
      </c>
      <c r="P2369" s="3" t="n">
        <v>250289.54</v>
      </c>
      <c r="Q2369" s="3" t="n">
        <v>129545.02</v>
      </c>
      <c r="R2369" s="3" t="n">
        <v>0.3411</v>
      </c>
      <c r="S2369" s="3" t="n">
        <v>0.0503</v>
      </c>
      <c r="T2369" s="3" t="n">
        <v>0.0088</v>
      </c>
    </row>
    <row r="2370" customFormat="false" ht="15" hidden="false" customHeight="true" outlineLevel="0" collapsed="false">
      <c r="A2370" s="3" t="s">
        <v>3410</v>
      </c>
      <c r="B2370" s="3" t="s">
        <v>1771</v>
      </c>
      <c r="C2370" s="3" t="s">
        <v>53</v>
      </c>
      <c r="D2370" s="3" t="s">
        <v>47</v>
      </c>
      <c r="E2370" s="3" t="s">
        <v>48</v>
      </c>
      <c r="F2370" s="3" t="s">
        <v>25</v>
      </c>
      <c r="G2370" s="3" t="s">
        <v>26</v>
      </c>
      <c r="H2370" s="3" t="s">
        <v>56</v>
      </c>
      <c r="I2370" s="3" t="s">
        <v>57</v>
      </c>
      <c r="J2370" s="3" t="n">
        <v>39</v>
      </c>
      <c r="K2370" s="3" t="n">
        <v>6568.57</v>
      </c>
      <c r="L2370" s="3" t="n">
        <v>256174.23</v>
      </c>
      <c r="M2370" s="3" t="n">
        <v>0.1809</v>
      </c>
      <c r="N2370" s="3" t="n">
        <v>46341.92</v>
      </c>
      <c r="O2370" s="3" t="n">
        <v>209832.31</v>
      </c>
      <c r="P2370" s="3" t="n">
        <v>153704.54</v>
      </c>
      <c r="Q2370" s="3" t="n">
        <v>56127.77</v>
      </c>
      <c r="R2370" s="3" t="n">
        <v>0.2675</v>
      </c>
      <c r="S2370" s="3" t="n">
        <v>0.1707</v>
      </c>
      <c r="T2370" s="3" t="n">
        <v>0.0102</v>
      </c>
    </row>
    <row r="2371" customFormat="false" ht="15" hidden="false" customHeight="true" outlineLevel="0" collapsed="false">
      <c r="A2371" s="3" t="s">
        <v>3411</v>
      </c>
      <c r="B2371" s="3" t="s">
        <v>155</v>
      </c>
      <c r="C2371" s="3" t="s">
        <v>156</v>
      </c>
      <c r="D2371" s="3" t="s">
        <v>47</v>
      </c>
      <c r="E2371" s="3" t="s">
        <v>48</v>
      </c>
      <c r="F2371" s="3" t="s">
        <v>25</v>
      </c>
      <c r="G2371" s="3" t="s">
        <v>63</v>
      </c>
      <c r="H2371" s="3" t="s">
        <v>56</v>
      </c>
      <c r="I2371" s="3" t="s">
        <v>121</v>
      </c>
      <c r="J2371" s="3" t="n">
        <v>30</v>
      </c>
      <c r="K2371" s="3" t="n">
        <v>4030.43</v>
      </c>
      <c r="L2371" s="3" t="n">
        <v>120912.9</v>
      </c>
      <c r="M2371" s="3" t="n">
        <v>0.0937</v>
      </c>
      <c r="N2371" s="3" t="n">
        <v>11329.54</v>
      </c>
      <c r="O2371" s="3" t="n">
        <v>109583.36</v>
      </c>
      <c r="P2371" s="3" t="n">
        <v>72547.74</v>
      </c>
      <c r="Q2371" s="3" t="n">
        <v>37035.62</v>
      </c>
      <c r="R2371" s="3" t="n">
        <v>0.338</v>
      </c>
      <c r="S2371" s="3" t="n">
        <v>0.089</v>
      </c>
      <c r="T2371" s="3" t="n">
        <v>0.0047</v>
      </c>
    </row>
    <row r="2372" customFormat="false" ht="15" hidden="false" customHeight="true" outlineLevel="0" collapsed="false">
      <c r="A2372" s="3" t="s">
        <v>3412</v>
      </c>
      <c r="B2372" s="3" t="s">
        <v>2533</v>
      </c>
      <c r="C2372" s="3" t="s">
        <v>120</v>
      </c>
      <c r="D2372" s="3" t="s">
        <v>54</v>
      </c>
      <c r="E2372" s="3" t="s">
        <v>24</v>
      </c>
      <c r="F2372" s="3" t="s">
        <v>40</v>
      </c>
      <c r="G2372" s="3" t="s">
        <v>76</v>
      </c>
      <c r="H2372" s="3" t="s">
        <v>42</v>
      </c>
      <c r="I2372" s="3" t="s">
        <v>134</v>
      </c>
      <c r="J2372" s="3" t="n">
        <v>48</v>
      </c>
      <c r="K2372" s="3" t="n">
        <v>582.72</v>
      </c>
      <c r="L2372" s="3" t="n">
        <v>27970.56</v>
      </c>
      <c r="M2372" s="3" t="n">
        <v>0.0415</v>
      </c>
      <c r="N2372" s="3" t="n">
        <v>1160.78</v>
      </c>
      <c r="O2372" s="3" t="n">
        <v>26809.78</v>
      </c>
      <c r="P2372" s="3" t="n">
        <v>15383.81</v>
      </c>
      <c r="Q2372" s="3" t="n">
        <v>11425.97</v>
      </c>
      <c r="R2372" s="3" t="n">
        <v>0.4262</v>
      </c>
      <c r="S2372" s="3" t="n">
        <v>0.0454</v>
      </c>
      <c r="T2372" s="3" t="n">
        <v>-0.0039</v>
      </c>
    </row>
    <row r="2373" customFormat="false" ht="15" hidden="false" customHeight="true" outlineLevel="0" collapsed="false">
      <c r="A2373" s="3" t="s">
        <v>3413</v>
      </c>
      <c r="B2373" s="3" t="s">
        <v>591</v>
      </c>
      <c r="C2373" s="3" t="s">
        <v>31</v>
      </c>
      <c r="D2373" s="3" t="s">
        <v>61</v>
      </c>
      <c r="E2373" s="3" t="s">
        <v>33</v>
      </c>
      <c r="F2373" s="3" t="s">
        <v>62</v>
      </c>
      <c r="G2373" s="3" t="s">
        <v>84</v>
      </c>
      <c r="H2373" s="3" t="s">
        <v>56</v>
      </c>
      <c r="I2373" s="3" t="s">
        <v>188</v>
      </c>
      <c r="J2373" s="3" t="n">
        <v>37</v>
      </c>
      <c r="K2373" s="3" t="n">
        <v>6665.21</v>
      </c>
      <c r="L2373" s="3" t="n">
        <v>246612.77</v>
      </c>
      <c r="M2373" s="3" t="n">
        <v>0.0365</v>
      </c>
      <c r="N2373" s="3" t="n">
        <v>9001.37</v>
      </c>
      <c r="O2373" s="3" t="n">
        <v>237611.4</v>
      </c>
      <c r="P2373" s="3" t="n">
        <v>147967.66</v>
      </c>
      <c r="Q2373" s="3" t="n">
        <v>89643.74</v>
      </c>
      <c r="R2373" s="3" t="n">
        <v>0.3773</v>
      </c>
      <c r="S2373" s="3" t="n">
        <v>0.0325</v>
      </c>
      <c r="T2373" s="3" t="n">
        <v>0.004</v>
      </c>
    </row>
    <row r="2374" customFormat="false" ht="15" hidden="false" customHeight="true" outlineLevel="0" collapsed="false">
      <c r="A2374" s="3" t="s">
        <v>3414</v>
      </c>
      <c r="B2374" s="3" t="s">
        <v>742</v>
      </c>
      <c r="C2374" s="3" t="s">
        <v>113</v>
      </c>
      <c r="D2374" s="3" t="s">
        <v>32</v>
      </c>
      <c r="E2374" s="3" t="s">
        <v>33</v>
      </c>
      <c r="F2374" s="3" t="s">
        <v>25</v>
      </c>
      <c r="G2374" s="3" t="s">
        <v>26</v>
      </c>
      <c r="H2374" s="3" t="s">
        <v>77</v>
      </c>
      <c r="I2374" s="3" t="s">
        <v>85</v>
      </c>
      <c r="J2374" s="3" t="n">
        <v>34</v>
      </c>
      <c r="K2374" s="3" t="n">
        <v>4685.28</v>
      </c>
      <c r="L2374" s="3" t="n">
        <v>159299.52</v>
      </c>
      <c r="M2374" s="3" t="n">
        <v>0.1781</v>
      </c>
      <c r="N2374" s="3" t="n">
        <v>28371.24</v>
      </c>
      <c r="O2374" s="3" t="n">
        <v>130928.28</v>
      </c>
      <c r="P2374" s="3" t="n">
        <v>108323.67</v>
      </c>
      <c r="Q2374" s="3" t="n">
        <v>22604.61</v>
      </c>
      <c r="R2374" s="3" t="n">
        <v>0.1726</v>
      </c>
      <c r="S2374" s="3" t="n">
        <v>0.1635</v>
      </c>
      <c r="T2374" s="3" t="n">
        <v>0.0146</v>
      </c>
    </row>
    <row r="2375" customFormat="false" ht="15" hidden="false" customHeight="true" outlineLevel="0" collapsed="false">
      <c r="A2375" s="3" t="s">
        <v>3415</v>
      </c>
      <c r="B2375" s="3" t="s">
        <v>2569</v>
      </c>
      <c r="C2375" s="3" t="s">
        <v>68</v>
      </c>
      <c r="D2375" s="3" t="s">
        <v>97</v>
      </c>
      <c r="E2375" s="3" t="s">
        <v>48</v>
      </c>
      <c r="F2375" s="3" t="s">
        <v>40</v>
      </c>
      <c r="G2375" s="3" t="s">
        <v>49</v>
      </c>
      <c r="H2375" s="3" t="s">
        <v>64</v>
      </c>
      <c r="I2375" s="3" t="s">
        <v>108</v>
      </c>
      <c r="J2375" s="3" t="n">
        <v>18</v>
      </c>
      <c r="K2375" s="3" t="n">
        <v>11816.83</v>
      </c>
      <c r="L2375" s="3" t="n">
        <v>212702.94</v>
      </c>
      <c r="M2375" s="3" t="n">
        <v>0.057</v>
      </c>
      <c r="N2375" s="3" t="n">
        <v>12124.07</v>
      </c>
      <c r="O2375" s="3" t="n">
        <v>200578.87</v>
      </c>
      <c r="P2375" s="3" t="n">
        <v>123367.71</v>
      </c>
      <c r="Q2375" s="3" t="n">
        <v>77211.16</v>
      </c>
      <c r="R2375" s="3" t="n">
        <v>0.3849</v>
      </c>
      <c r="S2375" s="3" t="n">
        <v>0.0531</v>
      </c>
      <c r="T2375" s="3" t="n">
        <v>0.0039</v>
      </c>
    </row>
    <row r="2376" customFormat="false" ht="15" hidden="false" customHeight="true" outlineLevel="0" collapsed="false">
      <c r="A2376" s="3" t="s">
        <v>3416</v>
      </c>
      <c r="B2376" s="3" t="s">
        <v>1578</v>
      </c>
      <c r="C2376" s="3" t="s">
        <v>126</v>
      </c>
      <c r="D2376" s="3" t="s">
        <v>83</v>
      </c>
      <c r="E2376" s="3" t="s">
        <v>48</v>
      </c>
      <c r="F2376" s="3" t="s">
        <v>62</v>
      </c>
      <c r="G2376" s="3" t="s">
        <v>41</v>
      </c>
      <c r="H2376" s="3" t="s">
        <v>27</v>
      </c>
      <c r="I2376" s="3" t="s">
        <v>94</v>
      </c>
      <c r="J2376" s="3" t="n">
        <v>37</v>
      </c>
      <c r="K2376" s="3" t="n">
        <v>11752.59</v>
      </c>
      <c r="L2376" s="3" t="n">
        <v>434845.83</v>
      </c>
      <c r="M2376" s="3" t="n">
        <v>0.1147</v>
      </c>
      <c r="N2376" s="3" t="n">
        <v>49876.82</v>
      </c>
      <c r="O2376" s="3" t="n">
        <v>384969.01</v>
      </c>
      <c r="P2376" s="3" t="n">
        <v>269604.41</v>
      </c>
      <c r="Q2376" s="3" t="n">
        <v>115364.6</v>
      </c>
      <c r="R2376" s="3" t="n">
        <v>0.2997</v>
      </c>
      <c r="S2376" s="3" t="n">
        <v>0.1066</v>
      </c>
      <c r="T2376" s="3" t="n">
        <v>0.0081</v>
      </c>
    </row>
    <row r="2377" customFormat="false" ht="15" hidden="false" customHeight="true" outlineLevel="0" collapsed="false">
      <c r="A2377" s="3" t="s">
        <v>3417</v>
      </c>
      <c r="B2377" s="3" t="s">
        <v>2267</v>
      </c>
      <c r="C2377" s="3" t="s">
        <v>60</v>
      </c>
      <c r="D2377" s="3" t="s">
        <v>75</v>
      </c>
      <c r="E2377" s="3" t="s">
        <v>39</v>
      </c>
      <c r="F2377" s="3" t="s">
        <v>25</v>
      </c>
      <c r="G2377" s="3" t="s">
        <v>116</v>
      </c>
      <c r="H2377" s="3" t="s">
        <v>27</v>
      </c>
      <c r="I2377" s="3" t="s">
        <v>117</v>
      </c>
      <c r="J2377" s="3" t="n">
        <v>13</v>
      </c>
      <c r="K2377" s="3" t="n">
        <v>39931.87</v>
      </c>
      <c r="L2377" s="3" t="n">
        <v>519114.31</v>
      </c>
      <c r="M2377" s="3" t="n">
        <v>0.2041</v>
      </c>
      <c r="N2377" s="3" t="n">
        <v>105951.23</v>
      </c>
      <c r="O2377" s="3" t="n">
        <v>413163.08</v>
      </c>
      <c r="P2377" s="3" t="n">
        <v>321850.87</v>
      </c>
      <c r="Q2377" s="3" t="n">
        <v>91312.21</v>
      </c>
      <c r="R2377" s="3" t="n">
        <v>0.221</v>
      </c>
      <c r="S2377" s="3" t="n">
        <v>0.2163</v>
      </c>
      <c r="T2377" s="3" t="n">
        <v>-0.0122</v>
      </c>
    </row>
    <row r="2378" customFormat="false" ht="15" hidden="false" customHeight="true" outlineLevel="0" collapsed="false">
      <c r="A2378" s="3" t="s">
        <v>3418</v>
      </c>
      <c r="B2378" s="3" t="s">
        <v>452</v>
      </c>
      <c r="C2378" s="3" t="s">
        <v>68</v>
      </c>
      <c r="D2378" s="3" t="s">
        <v>103</v>
      </c>
      <c r="E2378" s="3" t="s">
        <v>24</v>
      </c>
      <c r="F2378" s="3" t="s">
        <v>62</v>
      </c>
      <c r="G2378" s="3" t="s">
        <v>34</v>
      </c>
      <c r="H2378" s="3" t="s">
        <v>42</v>
      </c>
      <c r="I2378" s="3" t="s">
        <v>43</v>
      </c>
      <c r="J2378" s="3" t="n">
        <v>1</v>
      </c>
      <c r="K2378" s="3" t="n">
        <v>3164.77</v>
      </c>
      <c r="L2378" s="3" t="n">
        <v>3164.77</v>
      </c>
      <c r="M2378" s="3" t="n">
        <v>0.0538</v>
      </c>
      <c r="N2378" s="3" t="n">
        <v>170.26</v>
      </c>
      <c r="O2378" s="3" t="n">
        <v>2994.51</v>
      </c>
      <c r="P2378" s="3" t="n">
        <v>1740.62</v>
      </c>
      <c r="Q2378" s="3" t="n">
        <v>1253.89</v>
      </c>
      <c r="R2378" s="3" t="n">
        <v>0.4187</v>
      </c>
      <c r="S2378" s="3" t="n">
        <v>0.0491</v>
      </c>
      <c r="T2378" s="3" t="n">
        <v>0.0047</v>
      </c>
    </row>
    <row r="2379" customFormat="false" ht="15" hidden="false" customHeight="true" outlineLevel="0" collapsed="false">
      <c r="A2379" s="3" t="s">
        <v>3419</v>
      </c>
      <c r="B2379" s="3" t="s">
        <v>740</v>
      </c>
      <c r="C2379" s="3" t="s">
        <v>120</v>
      </c>
      <c r="D2379" s="3" t="s">
        <v>54</v>
      </c>
      <c r="E2379" s="3" t="s">
        <v>24</v>
      </c>
      <c r="F2379" s="3" t="s">
        <v>40</v>
      </c>
      <c r="G2379" s="3" t="s">
        <v>34</v>
      </c>
      <c r="H2379" s="3" t="s">
        <v>77</v>
      </c>
      <c r="I2379" s="3" t="s">
        <v>78</v>
      </c>
      <c r="J2379" s="3" t="n">
        <v>40</v>
      </c>
      <c r="K2379" s="3" t="n">
        <v>4049.97</v>
      </c>
      <c r="L2379" s="3" t="n">
        <v>161998.8</v>
      </c>
      <c r="M2379" s="3" t="n">
        <v>0.0709</v>
      </c>
      <c r="N2379" s="3" t="n">
        <v>11485.71</v>
      </c>
      <c r="O2379" s="3" t="n">
        <v>150513.09</v>
      </c>
      <c r="P2379" s="3" t="n">
        <v>110159.18</v>
      </c>
      <c r="Q2379" s="3" t="n">
        <v>40353.91</v>
      </c>
      <c r="R2379" s="3" t="n">
        <v>0.2681</v>
      </c>
      <c r="S2379" s="3" t="n">
        <v>0.0593</v>
      </c>
      <c r="T2379" s="3" t="n">
        <v>0.0116</v>
      </c>
    </row>
    <row r="2380" customFormat="false" ht="15" hidden="false" customHeight="true" outlineLevel="0" collapsed="false">
      <c r="A2380" s="3" t="s">
        <v>3420</v>
      </c>
      <c r="B2380" s="3" t="s">
        <v>3421</v>
      </c>
      <c r="C2380" s="3" t="s">
        <v>60</v>
      </c>
      <c r="D2380" s="3" t="s">
        <v>61</v>
      </c>
      <c r="E2380" s="3" t="s">
        <v>33</v>
      </c>
      <c r="F2380" s="3" t="s">
        <v>62</v>
      </c>
      <c r="G2380" s="3" t="s">
        <v>104</v>
      </c>
      <c r="H2380" s="3" t="s">
        <v>77</v>
      </c>
      <c r="I2380" s="3" t="s">
        <v>131</v>
      </c>
      <c r="J2380" s="3" t="n">
        <v>6</v>
      </c>
      <c r="K2380" s="3" t="n">
        <v>3982.3</v>
      </c>
      <c r="L2380" s="3" t="n">
        <v>23893.8</v>
      </c>
      <c r="M2380" s="3" t="n">
        <v>0.0993</v>
      </c>
      <c r="N2380" s="3" t="n">
        <v>2372.65</v>
      </c>
      <c r="O2380" s="3" t="n">
        <v>21521.15</v>
      </c>
      <c r="P2380" s="3" t="n">
        <v>16247.78</v>
      </c>
      <c r="Q2380" s="3" t="n">
        <v>5273.37</v>
      </c>
      <c r="R2380" s="3" t="n">
        <v>0.245</v>
      </c>
      <c r="S2380" s="3" t="n">
        <v>0.1039</v>
      </c>
      <c r="T2380" s="3" t="n">
        <v>-0.0046</v>
      </c>
    </row>
    <row r="2381" customFormat="false" ht="15" hidden="false" customHeight="true" outlineLevel="0" collapsed="false">
      <c r="A2381" s="3" t="s">
        <v>3422</v>
      </c>
      <c r="B2381" s="3" t="s">
        <v>3423</v>
      </c>
      <c r="C2381" s="3" t="s">
        <v>93</v>
      </c>
      <c r="D2381" s="3" t="s">
        <v>75</v>
      </c>
      <c r="E2381" s="3" t="s">
        <v>39</v>
      </c>
      <c r="F2381" s="3" t="s">
        <v>25</v>
      </c>
      <c r="G2381" s="3" t="s">
        <v>84</v>
      </c>
      <c r="H2381" s="3" t="s">
        <v>77</v>
      </c>
      <c r="I2381" s="3" t="s">
        <v>131</v>
      </c>
      <c r="J2381" s="3" t="n">
        <v>38</v>
      </c>
      <c r="K2381" s="3" t="n">
        <v>4762.39</v>
      </c>
      <c r="L2381" s="3" t="n">
        <v>180970.82</v>
      </c>
      <c r="M2381" s="3" t="n">
        <v>0.1793</v>
      </c>
      <c r="N2381" s="3" t="n">
        <v>32448.07</v>
      </c>
      <c r="O2381" s="3" t="n">
        <v>148522.75</v>
      </c>
      <c r="P2381" s="3" t="n">
        <v>123060.16</v>
      </c>
      <c r="Q2381" s="3" t="n">
        <v>25462.59</v>
      </c>
      <c r="R2381" s="3" t="n">
        <v>0.1714</v>
      </c>
      <c r="S2381" s="3" t="n">
        <v>0.1832</v>
      </c>
      <c r="T2381" s="3" t="n">
        <v>-0.0039</v>
      </c>
    </row>
    <row r="2382" customFormat="false" ht="15" hidden="false" customHeight="true" outlineLevel="0" collapsed="false">
      <c r="A2382" s="3" t="s">
        <v>3424</v>
      </c>
      <c r="B2382" s="3" t="s">
        <v>663</v>
      </c>
      <c r="C2382" s="3" t="s">
        <v>22</v>
      </c>
      <c r="D2382" s="3" t="s">
        <v>38</v>
      </c>
      <c r="E2382" s="3" t="s">
        <v>39</v>
      </c>
      <c r="F2382" s="3" t="s">
        <v>40</v>
      </c>
      <c r="G2382" s="3" t="s">
        <v>104</v>
      </c>
      <c r="H2382" s="3" t="s">
        <v>27</v>
      </c>
      <c r="I2382" s="3" t="s">
        <v>173</v>
      </c>
      <c r="J2382" s="3" t="n">
        <v>47</v>
      </c>
      <c r="K2382" s="3" t="n">
        <v>25336.86</v>
      </c>
      <c r="L2382" s="3" t="n">
        <v>1190832.42</v>
      </c>
      <c r="M2382" s="3" t="n">
        <v>0.0886</v>
      </c>
      <c r="N2382" s="3" t="n">
        <v>105507.75</v>
      </c>
      <c r="O2382" s="3" t="n">
        <v>1085324.67</v>
      </c>
      <c r="P2382" s="3" t="n">
        <v>738316.1</v>
      </c>
      <c r="Q2382" s="3" t="n">
        <v>347008.57</v>
      </c>
      <c r="R2382" s="3" t="n">
        <v>0.3197</v>
      </c>
      <c r="S2382" s="3" t="n">
        <v>0.0959</v>
      </c>
      <c r="T2382" s="3" t="n">
        <v>-0.0073</v>
      </c>
    </row>
    <row r="2383" customFormat="false" ht="15" hidden="false" customHeight="true" outlineLevel="0" collapsed="false">
      <c r="A2383" s="3" t="s">
        <v>3425</v>
      </c>
      <c r="B2383" s="3" t="s">
        <v>3027</v>
      </c>
      <c r="C2383" s="3" t="s">
        <v>68</v>
      </c>
      <c r="D2383" s="3" t="s">
        <v>107</v>
      </c>
      <c r="E2383" s="3" t="s">
        <v>33</v>
      </c>
      <c r="F2383" s="3" t="s">
        <v>70</v>
      </c>
      <c r="G2383" s="3" t="s">
        <v>76</v>
      </c>
      <c r="H2383" s="3" t="s">
        <v>77</v>
      </c>
      <c r="I2383" s="3" t="s">
        <v>78</v>
      </c>
      <c r="J2383" s="3" t="n">
        <v>3</v>
      </c>
      <c r="K2383" s="3" t="n">
        <v>3064.84</v>
      </c>
      <c r="L2383" s="3" t="n">
        <v>9194.52</v>
      </c>
      <c r="M2383" s="3" t="n">
        <v>0.0325</v>
      </c>
      <c r="N2383" s="3" t="n">
        <v>298.82</v>
      </c>
      <c r="O2383" s="3" t="n">
        <v>8895.7</v>
      </c>
      <c r="P2383" s="3" t="n">
        <v>6252.27</v>
      </c>
      <c r="Q2383" s="3" t="n">
        <v>2643.43</v>
      </c>
      <c r="R2383" s="3" t="n">
        <v>0.2972</v>
      </c>
      <c r="S2383" s="3" t="n">
        <v>0.0287</v>
      </c>
      <c r="T2383" s="3" t="n">
        <v>0.0038</v>
      </c>
    </row>
    <row r="2384" customFormat="false" ht="15" hidden="false" customHeight="true" outlineLevel="0" collapsed="false">
      <c r="A2384" s="3" t="s">
        <v>3426</v>
      </c>
      <c r="B2384" s="3" t="s">
        <v>663</v>
      </c>
      <c r="C2384" s="3" t="s">
        <v>22</v>
      </c>
      <c r="D2384" s="3" t="s">
        <v>69</v>
      </c>
      <c r="E2384" s="3" t="s">
        <v>39</v>
      </c>
      <c r="F2384" s="3" t="s">
        <v>70</v>
      </c>
      <c r="G2384" s="3" t="s">
        <v>116</v>
      </c>
      <c r="H2384" s="3" t="s">
        <v>64</v>
      </c>
      <c r="I2384" s="3" t="s">
        <v>90</v>
      </c>
      <c r="J2384" s="3" t="n">
        <v>47</v>
      </c>
      <c r="K2384" s="3" t="n">
        <v>11012.87</v>
      </c>
      <c r="L2384" s="3" t="n">
        <v>517604.89</v>
      </c>
      <c r="M2384" s="3" t="n">
        <v>0.1299</v>
      </c>
      <c r="N2384" s="3" t="n">
        <v>67236.88</v>
      </c>
      <c r="O2384" s="3" t="n">
        <v>450368.01</v>
      </c>
      <c r="P2384" s="3" t="n">
        <v>300210.84</v>
      </c>
      <c r="Q2384" s="3" t="n">
        <v>150157.17</v>
      </c>
      <c r="R2384" s="3" t="n">
        <v>0.3334</v>
      </c>
      <c r="S2384" s="3" t="n">
        <v>0.1401</v>
      </c>
      <c r="T2384" s="3" t="n">
        <v>-0.0102</v>
      </c>
    </row>
    <row r="2385" customFormat="false" ht="15" hidden="false" customHeight="true" outlineLevel="0" collapsed="false">
      <c r="A2385" s="3" t="s">
        <v>3427</v>
      </c>
      <c r="B2385" s="3" t="s">
        <v>523</v>
      </c>
      <c r="C2385" s="3" t="s">
        <v>37</v>
      </c>
      <c r="D2385" s="3" t="s">
        <v>107</v>
      </c>
      <c r="E2385" s="3" t="s">
        <v>33</v>
      </c>
      <c r="F2385" s="3" t="s">
        <v>70</v>
      </c>
      <c r="G2385" s="3" t="s">
        <v>116</v>
      </c>
      <c r="H2385" s="3" t="s">
        <v>27</v>
      </c>
      <c r="I2385" s="3" t="s">
        <v>50</v>
      </c>
      <c r="J2385" s="3" t="n">
        <v>36</v>
      </c>
      <c r="K2385" s="3" t="n">
        <v>29188.89</v>
      </c>
      <c r="L2385" s="3" t="n">
        <v>1050800.04</v>
      </c>
      <c r="M2385" s="3" t="n">
        <v>0.1101</v>
      </c>
      <c r="N2385" s="3" t="n">
        <v>115693.08</v>
      </c>
      <c r="O2385" s="3" t="n">
        <v>935106.96</v>
      </c>
      <c r="P2385" s="3" t="n">
        <v>651496.02</v>
      </c>
      <c r="Q2385" s="3" t="n">
        <v>283610.94</v>
      </c>
      <c r="R2385" s="3" t="n">
        <v>0.3033</v>
      </c>
      <c r="S2385" s="3" t="n">
        <v>0.1046</v>
      </c>
      <c r="T2385" s="3" t="n">
        <v>0.0055</v>
      </c>
    </row>
    <row r="2386" customFormat="false" ht="15" hidden="false" customHeight="true" outlineLevel="0" collapsed="false">
      <c r="A2386" s="3" t="s">
        <v>3428</v>
      </c>
      <c r="B2386" s="3" t="s">
        <v>946</v>
      </c>
      <c r="C2386" s="3" t="s">
        <v>22</v>
      </c>
      <c r="D2386" s="3" t="s">
        <v>38</v>
      </c>
      <c r="E2386" s="3" t="s">
        <v>39</v>
      </c>
      <c r="F2386" s="3" t="s">
        <v>40</v>
      </c>
      <c r="G2386" s="3" t="s">
        <v>104</v>
      </c>
      <c r="H2386" s="3" t="s">
        <v>42</v>
      </c>
      <c r="I2386" s="3" t="s">
        <v>43</v>
      </c>
      <c r="J2386" s="3" t="n">
        <v>17</v>
      </c>
      <c r="K2386" s="3" t="n">
        <v>1161.89</v>
      </c>
      <c r="L2386" s="3" t="n">
        <v>19752.13</v>
      </c>
      <c r="M2386" s="3" t="n">
        <v>0.1168</v>
      </c>
      <c r="N2386" s="3" t="n">
        <v>2307.05</v>
      </c>
      <c r="O2386" s="3" t="n">
        <v>17445.08</v>
      </c>
      <c r="P2386" s="3" t="n">
        <v>10863.67</v>
      </c>
      <c r="Q2386" s="3" t="n">
        <v>6581.41</v>
      </c>
      <c r="R2386" s="3" t="n">
        <v>0.3773</v>
      </c>
      <c r="S2386" s="3" t="n">
        <v>0.1062</v>
      </c>
      <c r="T2386" s="3" t="n">
        <v>0.0106</v>
      </c>
    </row>
    <row r="2387" customFormat="false" ht="15" hidden="false" customHeight="true" outlineLevel="0" collapsed="false">
      <c r="A2387" s="3" t="s">
        <v>3429</v>
      </c>
      <c r="B2387" s="3" t="s">
        <v>1038</v>
      </c>
      <c r="C2387" s="3" t="s">
        <v>53</v>
      </c>
      <c r="D2387" s="3" t="s">
        <v>103</v>
      </c>
      <c r="E2387" s="3" t="s">
        <v>24</v>
      </c>
      <c r="F2387" s="3" t="s">
        <v>62</v>
      </c>
      <c r="G2387" s="3" t="s">
        <v>63</v>
      </c>
      <c r="H2387" s="3" t="s">
        <v>64</v>
      </c>
      <c r="I2387" s="3" t="s">
        <v>145</v>
      </c>
      <c r="J2387" s="3" t="n">
        <v>29</v>
      </c>
      <c r="K2387" s="3" t="n">
        <v>6700.04</v>
      </c>
      <c r="L2387" s="3" t="n">
        <v>194301.16</v>
      </c>
      <c r="M2387" s="3" t="n">
        <v>0.0461</v>
      </c>
      <c r="N2387" s="3" t="n">
        <v>8957.28</v>
      </c>
      <c r="O2387" s="3" t="n">
        <v>185343.88</v>
      </c>
      <c r="P2387" s="3" t="n">
        <v>112694.67</v>
      </c>
      <c r="Q2387" s="3" t="n">
        <v>72649.21</v>
      </c>
      <c r="R2387" s="3" t="n">
        <v>0.392</v>
      </c>
      <c r="S2387" s="3" t="n">
        <v>0.0408</v>
      </c>
      <c r="T2387" s="3" t="n">
        <v>0.0053</v>
      </c>
    </row>
    <row r="2388" customFormat="false" ht="15" hidden="false" customHeight="true" outlineLevel="0" collapsed="false">
      <c r="A2388" s="3" t="s">
        <v>3430</v>
      </c>
      <c r="B2388" s="3" t="s">
        <v>2823</v>
      </c>
      <c r="C2388" s="3" t="s">
        <v>22</v>
      </c>
      <c r="D2388" s="3" t="s">
        <v>97</v>
      </c>
      <c r="E2388" s="3" t="s">
        <v>48</v>
      </c>
      <c r="F2388" s="3" t="s">
        <v>40</v>
      </c>
      <c r="G2388" s="3" t="s">
        <v>63</v>
      </c>
      <c r="H2388" s="3" t="s">
        <v>42</v>
      </c>
      <c r="I2388" s="3" t="s">
        <v>134</v>
      </c>
      <c r="J2388" s="3" t="n">
        <v>46</v>
      </c>
      <c r="K2388" s="3" t="n">
        <v>2045.66</v>
      </c>
      <c r="L2388" s="3" t="n">
        <v>94100.36</v>
      </c>
      <c r="M2388" s="3" t="n">
        <v>0.0327</v>
      </c>
      <c r="N2388" s="3" t="n">
        <v>3077.08</v>
      </c>
      <c r="O2388" s="3" t="n">
        <v>91023.28</v>
      </c>
      <c r="P2388" s="3" t="n">
        <v>51755.2</v>
      </c>
      <c r="Q2388" s="3" t="n">
        <v>39268.08</v>
      </c>
      <c r="R2388" s="3" t="n">
        <v>0.4314</v>
      </c>
      <c r="S2388" s="3" t="n">
        <v>0.0315</v>
      </c>
      <c r="T2388" s="3" t="n">
        <v>0.0012</v>
      </c>
    </row>
    <row r="2389" customFormat="false" ht="15" hidden="false" customHeight="true" outlineLevel="0" collapsed="false">
      <c r="A2389" s="3" t="s">
        <v>3431</v>
      </c>
      <c r="B2389" s="3" t="s">
        <v>3421</v>
      </c>
      <c r="C2389" s="3" t="s">
        <v>60</v>
      </c>
      <c r="D2389" s="3" t="s">
        <v>54</v>
      </c>
      <c r="E2389" s="3" t="s">
        <v>24</v>
      </c>
      <c r="F2389" s="3" t="s">
        <v>40</v>
      </c>
      <c r="G2389" s="3" t="s">
        <v>26</v>
      </c>
      <c r="H2389" s="3" t="s">
        <v>27</v>
      </c>
      <c r="I2389" s="3" t="s">
        <v>117</v>
      </c>
      <c r="J2389" s="3" t="n">
        <v>6</v>
      </c>
      <c r="K2389" s="3" t="n">
        <v>32639.71</v>
      </c>
      <c r="L2389" s="3" t="n">
        <v>195838.26</v>
      </c>
      <c r="M2389" s="3" t="n">
        <v>0.0644</v>
      </c>
      <c r="N2389" s="3" t="n">
        <v>12611.98</v>
      </c>
      <c r="O2389" s="3" t="n">
        <v>183226.28</v>
      </c>
      <c r="P2389" s="3" t="n">
        <v>121419.72</v>
      </c>
      <c r="Q2389" s="3" t="n">
        <v>61806.56</v>
      </c>
      <c r="R2389" s="3" t="n">
        <v>0.3373</v>
      </c>
      <c r="S2389" s="3" t="n">
        <v>0.0693</v>
      </c>
      <c r="T2389" s="3" t="n">
        <v>-0.0049</v>
      </c>
    </row>
    <row r="2390" customFormat="false" ht="15" hidden="false" customHeight="true" outlineLevel="0" collapsed="false">
      <c r="A2390" s="3" t="s">
        <v>3432</v>
      </c>
      <c r="B2390" s="3" t="s">
        <v>1645</v>
      </c>
      <c r="C2390" s="3" t="s">
        <v>46</v>
      </c>
      <c r="D2390" s="3" t="s">
        <v>23</v>
      </c>
      <c r="E2390" s="3" t="s">
        <v>24</v>
      </c>
      <c r="F2390" s="3" t="s">
        <v>25</v>
      </c>
      <c r="G2390" s="3" t="s">
        <v>55</v>
      </c>
      <c r="H2390" s="3" t="s">
        <v>64</v>
      </c>
      <c r="I2390" s="3" t="s">
        <v>90</v>
      </c>
      <c r="J2390" s="3" t="n">
        <v>19</v>
      </c>
      <c r="K2390" s="3" t="n">
        <v>11301.98</v>
      </c>
      <c r="L2390" s="3" t="n">
        <v>214737.62</v>
      </c>
      <c r="M2390" s="3" t="n">
        <v>0.1304</v>
      </c>
      <c r="N2390" s="3" t="n">
        <v>28001.79</v>
      </c>
      <c r="O2390" s="3" t="n">
        <v>186735.83</v>
      </c>
      <c r="P2390" s="3" t="n">
        <v>124547.82</v>
      </c>
      <c r="Q2390" s="3" t="n">
        <v>62188.01</v>
      </c>
      <c r="R2390" s="3" t="n">
        <v>0.333</v>
      </c>
      <c r="S2390" s="3" t="n">
        <v>0.1098</v>
      </c>
      <c r="T2390" s="3" t="n">
        <v>0.0206</v>
      </c>
    </row>
    <row r="2391" customFormat="false" ht="15" hidden="false" customHeight="true" outlineLevel="0" collapsed="false">
      <c r="A2391" s="3" t="s">
        <v>3433</v>
      </c>
      <c r="B2391" s="3" t="s">
        <v>3434</v>
      </c>
      <c r="C2391" s="3" t="s">
        <v>53</v>
      </c>
      <c r="D2391" s="3" t="s">
        <v>107</v>
      </c>
      <c r="E2391" s="3" t="s">
        <v>33</v>
      </c>
      <c r="F2391" s="3" t="s">
        <v>70</v>
      </c>
      <c r="G2391" s="3" t="s">
        <v>116</v>
      </c>
      <c r="H2391" s="3" t="s">
        <v>42</v>
      </c>
      <c r="I2391" s="3" t="s">
        <v>72</v>
      </c>
      <c r="J2391" s="3" t="n">
        <v>45</v>
      </c>
      <c r="K2391" s="3" t="n">
        <v>2239.08</v>
      </c>
      <c r="L2391" s="3" t="n">
        <v>100758.6</v>
      </c>
      <c r="M2391" s="3" t="n">
        <v>0.0717</v>
      </c>
      <c r="N2391" s="3" t="n">
        <v>7224.39</v>
      </c>
      <c r="O2391" s="3" t="n">
        <v>93534.21</v>
      </c>
      <c r="P2391" s="3" t="n">
        <v>55417.23</v>
      </c>
      <c r="Q2391" s="3" t="n">
        <v>38116.98</v>
      </c>
      <c r="R2391" s="3" t="n">
        <v>0.4075</v>
      </c>
      <c r="S2391" s="3" t="n">
        <v>0.0743</v>
      </c>
      <c r="T2391" s="3" t="n">
        <v>-0.0026</v>
      </c>
    </row>
    <row r="2392" customFormat="false" ht="15" hidden="false" customHeight="true" outlineLevel="0" collapsed="false">
      <c r="A2392" s="3" t="s">
        <v>3435</v>
      </c>
      <c r="B2392" s="3" t="s">
        <v>862</v>
      </c>
      <c r="C2392" s="3" t="s">
        <v>93</v>
      </c>
      <c r="D2392" s="3" t="s">
        <v>103</v>
      </c>
      <c r="E2392" s="3" t="s">
        <v>24</v>
      </c>
      <c r="F2392" s="3" t="s">
        <v>62</v>
      </c>
      <c r="G2392" s="3" t="s">
        <v>76</v>
      </c>
      <c r="H2392" s="3" t="s">
        <v>64</v>
      </c>
      <c r="I2392" s="3" t="s">
        <v>90</v>
      </c>
      <c r="J2392" s="3" t="n">
        <v>15</v>
      </c>
      <c r="K2392" s="3" t="n">
        <v>4437.92</v>
      </c>
      <c r="L2392" s="3" t="n">
        <v>66568.8</v>
      </c>
      <c r="M2392" s="3" t="n">
        <v>0.0472</v>
      </c>
      <c r="N2392" s="3" t="n">
        <v>3142.05</v>
      </c>
      <c r="O2392" s="3" t="n">
        <v>63426.75</v>
      </c>
      <c r="P2392" s="3" t="n">
        <v>38609.9</v>
      </c>
      <c r="Q2392" s="3" t="n">
        <v>24816.85</v>
      </c>
      <c r="R2392" s="3" t="n">
        <v>0.3913</v>
      </c>
      <c r="S2392" s="3" t="n">
        <v>0.038</v>
      </c>
      <c r="T2392" s="3" t="n">
        <v>0.0092</v>
      </c>
    </row>
    <row r="2393" customFormat="false" ht="15" hidden="false" customHeight="true" outlineLevel="0" collapsed="false">
      <c r="A2393" s="3" t="s">
        <v>3436</v>
      </c>
      <c r="B2393" s="3" t="s">
        <v>647</v>
      </c>
      <c r="C2393" s="3" t="s">
        <v>60</v>
      </c>
      <c r="D2393" s="3" t="s">
        <v>54</v>
      </c>
      <c r="E2393" s="3" t="s">
        <v>24</v>
      </c>
      <c r="F2393" s="3" t="s">
        <v>40</v>
      </c>
      <c r="G2393" s="3" t="s">
        <v>55</v>
      </c>
      <c r="H2393" s="3" t="s">
        <v>27</v>
      </c>
      <c r="I2393" s="3" t="s">
        <v>117</v>
      </c>
      <c r="J2393" s="3" t="n">
        <v>50</v>
      </c>
      <c r="K2393" s="3" t="n">
        <v>11030.44</v>
      </c>
      <c r="L2393" s="3" t="n">
        <v>551522</v>
      </c>
      <c r="M2393" s="3" t="n">
        <v>0.058</v>
      </c>
      <c r="N2393" s="3" t="n">
        <v>31988.28</v>
      </c>
      <c r="O2393" s="3" t="n">
        <v>519533.72</v>
      </c>
      <c r="P2393" s="3" t="n">
        <v>341943.64</v>
      </c>
      <c r="Q2393" s="3" t="n">
        <v>177590.08</v>
      </c>
      <c r="R2393" s="3" t="n">
        <v>0.3418</v>
      </c>
      <c r="S2393" s="3" t="n">
        <v>0.056</v>
      </c>
      <c r="T2393" s="3" t="n">
        <v>0.002</v>
      </c>
    </row>
    <row r="2394" customFormat="false" ht="15" hidden="false" customHeight="true" outlineLevel="0" collapsed="false">
      <c r="A2394" s="3" t="s">
        <v>3437</v>
      </c>
      <c r="B2394" s="3" t="s">
        <v>1430</v>
      </c>
      <c r="C2394" s="3" t="s">
        <v>37</v>
      </c>
      <c r="D2394" s="3" t="s">
        <v>103</v>
      </c>
      <c r="E2394" s="3" t="s">
        <v>24</v>
      </c>
      <c r="F2394" s="3" t="s">
        <v>62</v>
      </c>
      <c r="G2394" s="3" t="s">
        <v>116</v>
      </c>
      <c r="H2394" s="3" t="s">
        <v>27</v>
      </c>
      <c r="I2394" s="3" t="s">
        <v>94</v>
      </c>
      <c r="J2394" s="3" t="n">
        <v>5</v>
      </c>
      <c r="K2394" s="3" t="n">
        <v>29971.8</v>
      </c>
      <c r="L2394" s="3" t="n">
        <v>149859</v>
      </c>
      <c r="M2394" s="3" t="n">
        <v>0.1129</v>
      </c>
      <c r="N2394" s="3" t="n">
        <v>16919.08</v>
      </c>
      <c r="O2394" s="3" t="n">
        <v>132939.92</v>
      </c>
      <c r="P2394" s="3" t="n">
        <v>92912.58</v>
      </c>
      <c r="Q2394" s="3" t="n">
        <v>40027.34</v>
      </c>
      <c r="R2394" s="3" t="n">
        <v>0.3011</v>
      </c>
      <c r="S2394" s="3" t="n">
        <v>0.102</v>
      </c>
      <c r="T2394" s="3" t="n">
        <v>0.0109</v>
      </c>
    </row>
    <row r="2395" customFormat="false" ht="15" hidden="false" customHeight="true" outlineLevel="0" collapsed="false">
      <c r="A2395" s="3" t="s">
        <v>3438</v>
      </c>
      <c r="B2395" s="3" t="s">
        <v>3439</v>
      </c>
      <c r="C2395" s="3" t="s">
        <v>113</v>
      </c>
      <c r="D2395" s="3" t="s">
        <v>32</v>
      </c>
      <c r="E2395" s="3" t="s">
        <v>33</v>
      </c>
      <c r="F2395" s="3" t="s">
        <v>25</v>
      </c>
      <c r="G2395" s="3" t="s">
        <v>63</v>
      </c>
      <c r="H2395" s="3" t="s">
        <v>42</v>
      </c>
      <c r="I2395" s="3" t="s">
        <v>72</v>
      </c>
      <c r="J2395" s="3" t="n">
        <v>3</v>
      </c>
      <c r="K2395" s="3" t="n">
        <v>900.48</v>
      </c>
      <c r="L2395" s="3" t="n">
        <v>2701.44</v>
      </c>
      <c r="M2395" s="3" t="n">
        <v>0.1212</v>
      </c>
      <c r="N2395" s="3" t="n">
        <v>327.41</v>
      </c>
      <c r="O2395" s="3" t="n">
        <v>2374.03</v>
      </c>
      <c r="P2395" s="3" t="n">
        <v>1485.79</v>
      </c>
      <c r="Q2395" s="3" t="n">
        <v>888.24</v>
      </c>
      <c r="R2395" s="3" t="n">
        <v>0.3741</v>
      </c>
      <c r="S2395" s="3" t="n">
        <v>0.0989</v>
      </c>
      <c r="T2395" s="3" t="n">
        <v>0.0223</v>
      </c>
    </row>
    <row r="2396" customFormat="false" ht="15" hidden="false" customHeight="true" outlineLevel="0" collapsed="false">
      <c r="A2396" s="3" t="s">
        <v>3440</v>
      </c>
      <c r="B2396" s="3" t="s">
        <v>1088</v>
      </c>
      <c r="C2396" s="3" t="s">
        <v>120</v>
      </c>
      <c r="D2396" s="3" t="s">
        <v>47</v>
      </c>
      <c r="E2396" s="3" t="s">
        <v>48</v>
      </c>
      <c r="F2396" s="3" t="s">
        <v>25</v>
      </c>
      <c r="G2396" s="3" t="s">
        <v>104</v>
      </c>
      <c r="H2396" s="3" t="s">
        <v>77</v>
      </c>
      <c r="I2396" s="3" t="s">
        <v>131</v>
      </c>
      <c r="J2396" s="3" t="n">
        <v>36</v>
      </c>
      <c r="K2396" s="3" t="n">
        <v>1609.21</v>
      </c>
      <c r="L2396" s="3" t="n">
        <v>57931.56</v>
      </c>
      <c r="M2396" s="3" t="n">
        <v>0.117</v>
      </c>
      <c r="N2396" s="3" t="n">
        <v>6777.99</v>
      </c>
      <c r="O2396" s="3" t="n">
        <v>51153.57</v>
      </c>
      <c r="P2396" s="3" t="n">
        <v>39393.46</v>
      </c>
      <c r="Q2396" s="3" t="n">
        <v>11760.11</v>
      </c>
      <c r="R2396" s="3" t="n">
        <v>0.2299</v>
      </c>
      <c r="S2396" s="3" t="n">
        <v>0.119</v>
      </c>
      <c r="T2396" s="3" t="n">
        <v>-0.002</v>
      </c>
    </row>
    <row r="2397" customFormat="false" ht="15" hidden="false" customHeight="true" outlineLevel="0" collapsed="false">
      <c r="A2397" s="3" t="s">
        <v>3441</v>
      </c>
      <c r="B2397" s="3" t="s">
        <v>1352</v>
      </c>
      <c r="C2397" s="3" t="s">
        <v>120</v>
      </c>
      <c r="D2397" s="3" t="s">
        <v>97</v>
      </c>
      <c r="E2397" s="3" t="s">
        <v>48</v>
      </c>
      <c r="F2397" s="3" t="s">
        <v>40</v>
      </c>
      <c r="G2397" s="3" t="s">
        <v>41</v>
      </c>
      <c r="H2397" s="3" t="s">
        <v>64</v>
      </c>
      <c r="I2397" s="3" t="s">
        <v>108</v>
      </c>
      <c r="J2397" s="3" t="n">
        <v>41</v>
      </c>
      <c r="K2397" s="3" t="n">
        <v>8110.18</v>
      </c>
      <c r="L2397" s="3" t="n">
        <v>332517.38</v>
      </c>
      <c r="M2397" s="3" t="n">
        <v>0.0854</v>
      </c>
      <c r="N2397" s="3" t="n">
        <v>28396.98</v>
      </c>
      <c r="O2397" s="3" t="n">
        <v>304120.4</v>
      </c>
      <c r="P2397" s="3" t="n">
        <v>192860.08</v>
      </c>
      <c r="Q2397" s="3" t="n">
        <v>111260.32</v>
      </c>
      <c r="R2397" s="3" t="n">
        <v>0.3658</v>
      </c>
      <c r="S2397" s="3" t="n">
        <v>0.0691</v>
      </c>
      <c r="T2397" s="3" t="n">
        <v>0.0163</v>
      </c>
    </row>
    <row r="2398" customFormat="false" ht="15" hidden="false" customHeight="true" outlineLevel="0" collapsed="false">
      <c r="A2398" s="3" t="s">
        <v>3442</v>
      </c>
      <c r="B2398" s="3" t="s">
        <v>227</v>
      </c>
      <c r="C2398" s="3" t="s">
        <v>37</v>
      </c>
      <c r="D2398" s="3" t="s">
        <v>54</v>
      </c>
      <c r="E2398" s="3" t="s">
        <v>24</v>
      </c>
      <c r="F2398" s="3" t="s">
        <v>40</v>
      </c>
      <c r="G2398" s="3" t="s">
        <v>49</v>
      </c>
      <c r="H2398" s="3" t="s">
        <v>56</v>
      </c>
      <c r="I2398" s="3" t="s">
        <v>121</v>
      </c>
      <c r="J2398" s="3" t="n">
        <v>48</v>
      </c>
      <c r="K2398" s="3" t="n">
        <v>2184.45</v>
      </c>
      <c r="L2398" s="3" t="n">
        <v>104853.6</v>
      </c>
      <c r="M2398" s="3" t="n">
        <v>0.0515</v>
      </c>
      <c r="N2398" s="3" t="n">
        <v>5399.96</v>
      </c>
      <c r="O2398" s="3" t="n">
        <v>99453.64</v>
      </c>
      <c r="P2398" s="3" t="n">
        <v>62912.16</v>
      </c>
      <c r="Q2398" s="3" t="n">
        <v>36541.48</v>
      </c>
      <c r="R2398" s="3" t="n">
        <v>0.3674</v>
      </c>
      <c r="S2398" s="3" t="n">
        <v>0.0446</v>
      </c>
      <c r="T2398" s="3" t="n">
        <v>0.0069</v>
      </c>
    </row>
    <row r="2399" customFormat="false" ht="15" hidden="false" customHeight="true" outlineLevel="0" collapsed="false">
      <c r="A2399" s="3" t="s">
        <v>3443</v>
      </c>
      <c r="B2399" s="3" t="s">
        <v>3444</v>
      </c>
      <c r="C2399" s="3" t="s">
        <v>60</v>
      </c>
      <c r="D2399" s="3" t="s">
        <v>97</v>
      </c>
      <c r="E2399" s="3" t="s">
        <v>48</v>
      </c>
      <c r="F2399" s="3" t="s">
        <v>40</v>
      </c>
      <c r="G2399" s="3" t="s">
        <v>63</v>
      </c>
      <c r="H2399" s="3" t="s">
        <v>42</v>
      </c>
      <c r="I2399" s="3" t="s">
        <v>134</v>
      </c>
      <c r="J2399" s="3" t="n">
        <v>20</v>
      </c>
      <c r="K2399" s="3" t="n">
        <v>3038.92</v>
      </c>
      <c r="L2399" s="3" t="n">
        <v>60778.4</v>
      </c>
      <c r="M2399" s="3" t="n">
        <v>0.0628</v>
      </c>
      <c r="N2399" s="3" t="n">
        <v>3816.88</v>
      </c>
      <c r="O2399" s="3" t="n">
        <v>56961.52</v>
      </c>
      <c r="P2399" s="3" t="n">
        <v>33428.12</v>
      </c>
      <c r="Q2399" s="3" t="n">
        <v>23533.4</v>
      </c>
      <c r="R2399" s="3" t="n">
        <v>0.4131</v>
      </c>
      <c r="S2399" s="3" t="n">
        <v>0.0686</v>
      </c>
      <c r="T2399" s="3" t="n">
        <v>-0.0058</v>
      </c>
    </row>
    <row r="2400" customFormat="false" ht="15" hidden="false" customHeight="true" outlineLevel="0" collapsed="false">
      <c r="A2400" s="3" t="s">
        <v>3445</v>
      </c>
      <c r="B2400" s="3" t="s">
        <v>128</v>
      </c>
      <c r="C2400" s="3" t="s">
        <v>53</v>
      </c>
      <c r="D2400" s="3" t="s">
        <v>47</v>
      </c>
      <c r="E2400" s="3" t="s">
        <v>48</v>
      </c>
      <c r="F2400" s="3" t="s">
        <v>25</v>
      </c>
      <c r="G2400" s="3" t="s">
        <v>63</v>
      </c>
      <c r="H2400" s="3" t="s">
        <v>64</v>
      </c>
      <c r="I2400" s="3" t="s">
        <v>145</v>
      </c>
      <c r="J2400" s="3" t="n">
        <v>2</v>
      </c>
      <c r="K2400" s="3" t="n">
        <v>10426.96</v>
      </c>
      <c r="L2400" s="3" t="n">
        <v>20853.92</v>
      </c>
      <c r="M2400" s="3" t="n">
        <v>0.0824</v>
      </c>
      <c r="N2400" s="3" t="n">
        <v>1718.36</v>
      </c>
      <c r="O2400" s="3" t="n">
        <v>19135.56</v>
      </c>
      <c r="P2400" s="3" t="n">
        <v>12095.27</v>
      </c>
      <c r="Q2400" s="3" t="n">
        <v>7040.29</v>
      </c>
      <c r="R2400" s="3" t="n">
        <v>0.3679</v>
      </c>
      <c r="S2400" s="3" t="n">
        <v>0.0661</v>
      </c>
      <c r="T2400" s="3" t="n">
        <v>0.0163</v>
      </c>
    </row>
    <row r="2401" customFormat="false" ht="15" hidden="false" customHeight="true" outlineLevel="0" collapsed="false">
      <c r="A2401" s="3" t="s">
        <v>3446</v>
      </c>
      <c r="B2401" s="3" t="s">
        <v>1535</v>
      </c>
      <c r="C2401" s="3" t="s">
        <v>31</v>
      </c>
      <c r="D2401" s="3" t="s">
        <v>83</v>
      </c>
      <c r="E2401" s="3" t="s">
        <v>48</v>
      </c>
      <c r="F2401" s="3" t="s">
        <v>62</v>
      </c>
      <c r="G2401" s="3" t="s">
        <v>84</v>
      </c>
      <c r="H2401" s="3" t="s">
        <v>64</v>
      </c>
      <c r="I2401" s="3" t="s">
        <v>145</v>
      </c>
      <c r="J2401" s="3" t="n">
        <v>17</v>
      </c>
      <c r="K2401" s="3" t="n">
        <v>10608.1</v>
      </c>
      <c r="L2401" s="3" t="n">
        <v>180337.7</v>
      </c>
      <c r="M2401" s="3" t="n">
        <v>0.0417</v>
      </c>
      <c r="N2401" s="3" t="n">
        <v>7520.08</v>
      </c>
      <c r="O2401" s="3" t="n">
        <v>172817.62</v>
      </c>
      <c r="P2401" s="3" t="n">
        <v>104595.87</v>
      </c>
      <c r="Q2401" s="3" t="n">
        <v>68221.75</v>
      </c>
      <c r="R2401" s="3" t="n">
        <v>0.3948</v>
      </c>
      <c r="S2401" s="3" t="n">
        <v>0.0344</v>
      </c>
      <c r="T2401" s="3" t="n">
        <v>0.0073</v>
      </c>
    </row>
    <row r="2402" customFormat="false" ht="15" hidden="false" customHeight="true" outlineLevel="0" collapsed="false">
      <c r="A2402" s="3" t="s">
        <v>3447</v>
      </c>
      <c r="B2402" s="3" t="s">
        <v>3448</v>
      </c>
      <c r="C2402" s="3" t="s">
        <v>113</v>
      </c>
      <c r="D2402" s="3" t="s">
        <v>47</v>
      </c>
      <c r="E2402" s="3" t="s">
        <v>48</v>
      </c>
      <c r="F2402" s="3" t="s">
        <v>25</v>
      </c>
      <c r="G2402" s="3" t="s">
        <v>41</v>
      </c>
      <c r="H2402" s="3" t="s">
        <v>56</v>
      </c>
      <c r="I2402" s="3" t="s">
        <v>188</v>
      </c>
      <c r="J2402" s="3" t="n">
        <v>49</v>
      </c>
      <c r="K2402" s="3" t="n">
        <v>17043.22</v>
      </c>
      <c r="L2402" s="3" t="n">
        <v>835117.78</v>
      </c>
      <c r="M2402" s="3" t="n">
        <v>0.1825</v>
      </c>
      <c r="N2402" s="3" t="n">
        <v>152408.99</v>
      </c>
      <c r="O2402" s="3" t="n">
        <v>682708.79</v>
      </c>
      <c r="P2402" s="3" t="n">
        <v>501070.67</v>
      </c>
      <c r="Q2402" s="3" t="n">
        <v>181638.12</v>
      </c>
      <c r="R2402" s="3" t="n">
        <v>0.2661</v>
      </c>
      <c r="S2402" s="3" t="n">
        <v>0.1676</v>
      </c>
      <c r="T2402" s="3" t="n">
        <v>0.0149</v>
      </c>
    </row>
    <row r="2403" customFormat="false" ht="15" hidden="false" customHeight="true" outlineLevel="0" collapsed="false">
      <c r="A2403" s="3" t="s">
        <v>3449</v>
      </c>
      <c r="B2403" s="3" t="s">
        <v>3165</v>
      </c>
      <c r="C2403" s="3" t="s">
        <v>46</v>
      </c>
      <c r="D2403" s="3" t="s">
        <v>32</v>
      </c>
      <c r="E2403" s="3" t="s">
        <v>33</v>
      </c>
      <c r="F2403" s="3" t="s">
        <v>25</v>
      </c>
      <c r="G2403" s="3" t="s">
        <v>63</v>
      </c>
      <c r="H2403" s="3" t="s">
        <v>56</v>
      </c>
      <c r="I2403" s="3" t="s">
        <v>57</v>
      </c>
      <c r="J2403" s="3" t="n">
        <v>25</v>
      </c>
      <c r="K2403" s="3" t="n">
        <v>13257.48</v>
      </c>
      <c r="L2403" s="3" t="n">
        <v>331437</v>
      </c>
      <c r="M2403" s="3" t="n">
        <v>0.1913</v>
      </c>
      <c r="N2403" s="3" t="n">
        <v>63403.9</v>
      </c>
      <c r="O2403" s="3" t="n">
        <v>268033.1</v>
      </c>
      <c r="P2403" s="3" t="n">
        <v>198862.2</v>
      </c>
      <c r="Q2403" s="3" t="n">
        <v>69170.9</v>
      </c>
      <c r="R2403" s="3" t="n">
        <v>0.2581</v>
      </c>
      <c r="S2403" s="3" t="n">
        <v>0.2077</v>
      </c>
      <c r="T2403" s="3" t="n">
        <v>-0.0164</v>
      </c>
    </row>
    <row r="2404" customFormat="false" ht="15" hidden="false" customHeight="true" outlineLevel="0" collapsed="false">
      <c r="A2404" s="3" t="s">
        <v>3450</v>
      </c>
      <c r="B2404" s="3" t="s">
        <v>1123</v>
      </c>
      <c r="C2404" s="3" t="s">
        <v>126</v>
      </c>
      <c r="D2404" s="3" t="s">
        <v>75</v>
      </c>
      <c r="E2404" s="3" t="s">
        <v>39</v>
      </c>
      <c r="F2404" s="3" t="s">
        <v>25</v>
      </c>
      <c r="G2404" s="3" t="s">
        <v>55</v>
      </c>
      <c r="H2404" s="3" t="s">
        <v>42</v>
      </c>
      <c r="I2404" s="3" t="s">
        <v>43</v>
      </c>
      <c r="J2404" s="3" t="n">
        <v>27</v>
      </c>
      <c r="K2404" s="3" t="n">
        <v>3577.62</v>
      </c>
      <c r="L2404" s="3" t="n">
        <v>96595.74</v>
      </c>
      <c r="M2404" s="3" t="n">
        <v>0.148</v>
      </c>
      <c r="N2404" s="3" t="n">
        <v>14296.17</v>
      </c>
      <c r="O2404" s="3" t="n">
        <v>82299.57</v>
      </c>
      <c r="P2404" s="3" t="n">
        <v>53127.66</v>
      </c>
      <c r="Q2404" s="3" t="n">
        <v>29171.91</v>
      </c>
      <c r="R2404" s="3" t="n">
        <v>0.3545</v>
      </c>
      <c r="S2404" s="3" t="n">
        <v>0.1535</v>
      </c>
      <c r="T2404" s="3" t="n">
        <v>-0.0055</v>
      </c>
    </row>
    <row r="2405" customFormat="false" ht="15" hidden="false" customHeight="true" outlineLevel="0" collapsed="false">
      <c r="A2405" s="3" t="s">
        <v>3451</v>
      </c>
      <c r="B2405" s="3" t="s">
        <v>2135</v>
      </c>
      <c r="C2405" s="3" t="s">
        <v>156</v>
      </c>
      <c r="D2405" s="3" t="s">
        <v>54</v>
      </c>
      <c r="E2405" s="3" t="s">
        <v>24</v>
      </c>
      <c r="F2405" s="3" t="s">
        <v>40</v>
      </c>
      <c r="G2405" s="3" t="s">
        <v>116</v>
      </c>
      <c r="H2405" s="3" t="s">
        <v>77</v>
      </c>
      <c r="I2405" s="3" t="s">
        <v>78</v>
      </c>
      <c r="J2405" s="3" t="n">
        <v>38</v>
      </c>
      <c r="K2405" s="3" t="n">
        <v>4379.48</v>
      </c>
      <c r="L2405" s="3" t="n">
        <v>166420.24</v>
      </c>
      <c r="M2405" s="3" t="n">
        <v>0.0613</v>
      </c>
      <c r="N2405" s="3" t="n">
        <v>10201.56</v>
      </c>
      <c r="O2405" s="3" t="n">
        <v>156218.68</v>
      </c>
      <c r="P2405" s="3" t="n">
        <v>113165.76</v>
      </c>
      <c r="Q2405" s="3" t="n">
        <v>43052.92</v>
      </c>
      <c r="R2405" s="3" t="n">
        <v>0.2756</v>
      </c>
      <c r="S2405" s="3" t="n">
        <v>0.0497</v>
      </c>
      <c r="T2405" s="3" t="n">
        <v>0.0116</v>
      </c>
    </row>
    <row r="2406" customFormat="false" ht="15" hidden="false" customHeight="true" outlineLevel="0" collapsed="false">
      <c r="A2406" s="3" t="s">
        <v>3452</v>
      </c>
      <c r="B2406" s="3" t="s">
        <v>1556</v>
      </c>
      <c r="C2406" s="3" t="s">
        <v>120</v>
      </c>
      <c r="D2406" s="3" t="s">
        <v>61</v>
      </c>
      <c r="E2406" s="3" t="s">
        <v>33</v>
      </c>
      <c r="F2406" s="3" t="s">
        <v>62</v>
      </c>
      <c r="G2406" s="3" t="s">
        <v>100</v>
      </c>
      <c r="H2406" s="3" t="s">
        <v>56</v>
      </c>
      <c r="I2406" s="3" t="s">
        <v>57</v>
      </c>
      <c r="J2406" s="3" t="n">
        <v>20</v>
      </c>
      <c r="K2406" s="3" t="n">
        <v>11050</v>
      </c>
      <c r="L2406" s="3" t="n">
        <v>221000</v>
      </c>
      <c r="M2406" s="3" t="n">
        <v>0.0787</v>
      </c>
      <c r="N2406" s="3" t="n">
        <v>17392.7</v>
      </c>
      <c r="O2406" s="3" t="n">
        <v>203607.3</v>
      </c>
      <c r="P2406" s="3" t="n">
        <v>132600</v>
      </c>
      <c r="Q2406" s="3" t="n">
        <v>71007.3</v>
      </c>
      <c r="R2406" s="3" t="n">
        <v>0.3487</v>
      </c>
      <c r="S2406" s="3" t="n">
        <v>0.0685</v>
      </c>
      <c r="T2406" s="3" t="n">
        <v>0.0102</v>
      </c>
    </row>
    <row r="2407" customFormat="false" ht="15" hidden="false" customHeight="true" outlineLevel="0" collapsed="false">
      <c r="A2407" s="3" t="s">
        <v>3453</v>
      </c>
      <c r="B2407" s="3" t="s">
        <v>683</v>
      </c>
      <c r="C2407" s="3" t="s">
        <v>60</v>
      </c>
      <c r="D2407" s="3" t="s">
        <v>54</v>
      </c>
      <c r="E2407" s="3" t="s">
        <v>24</v>
      </c>
      <c r="F2407" s="3" t="s">
        <v>40</v>
      </c>
      <c r="G2407" s="3" t="s">
        <v>104</v>
      </c>
      <c r="H2407" s="3" t="s">
        <v>64</v>
      </c>
      <c r="I2407" s="3" t="s">
        <v>145</v>
      </c>
      <c r="J2407" s="3" t="n">
        <v>27</v>
      </c>
      <c r="K2407" s="3" t="n">
        <v>5765.15</v>
      </c>
      <c r="L2407" s="3" t="n">
        <v>155659.05</v>
      </c>
      <c r="M2407" s="3" t="n">
        <v>0.1241</v>
      </c>
      <c r="N2407" s="3" t="n">
        <v>19317.29</v>
      </c>
      <c r="O2407" s="3" t="n">
        <v>136341.76</v>
      </c>
      <c r="P2407" s="3" t="n">
        <v>90282.25</v>
      </c>
      <c r="Q2407" s="3" t="n">
        <v>46059.51</v>
      </c>
      <c r="R2407" s="3" t="n">
        <v>0.3378</v>
      </c>
      <c r="S2407" s="3" t="n">
        <v>0.1345</v>
      </c>
      <c r="T2407" s="3" t="n">
        <v>-0.0104</v>
      </c>
    </row>
    <row r="2408" customFormat="false" ht="15" hidden="false" customHeight="true" outlineLevel="0" collapsed="false">
      <c r="A2408" s="3" t="s">
        <v>3454</v>
      </c>
      <c r="B2408" s="3" t="s">
        <v>3455</v>
      </c>
      <c r="C2408" s="3" t="s">
        <v>60</v>
      </c>
      <c r="D2408" s="3" t="s">
        <v>75</v>
      </c>
      <c r="E2408" s="3" t="s">
        <v>39</v>
      </c>
      <c r="F2408" s="3" t="s">
        <v>25</v>
      </c>
      <c r="G2408" s="3" t="s">
        <v>71</v>
      </c>
      <c r="H2408" s="3" t="s">
        <v>27</v>
      </c>
      <c r="I2408" s="3" t="s">
        <v>50</v>
      </c>
      <c r="J2408" s="3" t="n">
        <v>17</v>
      </c>
      <c r="K2408" s="3" t="n">
        <v>21850.36</v>
      </c>
      <c r="L2408" s="3" t="n">
        <v>371456.12</v>
      </c>
      <c r="M2408" s="3" t="n">
        <v>0.1603</v>
      </c>
      <c r="N2408" s="3" t="n">
        <v>59544.42</v>
      </c>
      <c r="O2408" s="3" t="n">
        <v>311911.7</v>
      </c>
      <c r="P2408" s="3" t="n">
        <v>230302.79</v>
      </c>
      <c r="Q2408" s="3" t="n">
        <v>81608.91</v>
      </c>
      <c r="R2408" s="3" t="n">
        <v>0.2616</v>
      </c>
      <c r="S2408" s="3" t="n">
        <v>0.1454</v>
      </c>
      <c r="T2408" s="3" t="n">
        <v>0.0149</v>
      </c>
    </row>
    <row r="2409" customFormat="false" ht="15" hidden="false" customHeight="true" outlineLevel="0" collapsed="false">
      <c r="A2409" s="3" t="s">
        <v>3456</v>
      </c>
      <c r="B2409" s="3" t="s">
        <v>3457</v>
      </c>
      <c r="C2409" s="3" t="s">
        <v>22</v>
      </c>
      <c r="D2409" s="3" t="s">
        <v>38</v>
      </c>
      <c r="E2409" s="3" t="s">
        <v>39</v>
      </c>
      <c r="F2409" s="3" t="s">
        <v>40</v>
      </c>
      <c r="G2409" s="3" t="s">
        <v>63</v>
      </c>
      <c r="H2409" s="3" t="s">
        <v>64</v>
      </c>
      <c r="I2409" s="3" t="s">
        <v>65</v>
      </c>
      <c r="J2409" s="3" t="n">
        <v>18</v>
      </c>
      <c r="K2409" s="3" t="n">
        <v>8939.32</v>
      </c>
      <c r="L2409" s="3" t="n">
        <v>160907.76</v>
      </c>
      <c r="M2409" s="3" t="n">
        <v>0.0701</v>
      </c>
      <c r="N2409" s="3" t="n">
        <v>11279.63</v>
      </c>
      <c r="O2409" s="3" t="n">
        <v>149628.13</v>
      </c>
      <c r="P2409" s="3" t="n">
        <v>93326.5</v>
      </c>
      <c r="Q2409" s="3" t="n">
        <v>56301.63</v>
      </c>
      <c r="R2409" s="3" t="n">
        <v>0.3763</v>
      </c>
      <c r="S2409" s="3" t="n">
        <v>0.0721</v>
      </c>
      <c r="T2409" s="3" t="n">
        <v>-0.002</v>
      </c>
    </row>
    <row r="2410" customFormat="false" ht="15" hidden="false" customHeight="true" outlineLevel="0" collapsed="false">
      <c r="A2410" s="3" t="s">
        <v>3458</v>
      </c>
      <c r="B2410" s="3" t="s">
        <v>655</v>
      </c>
      <c r="C2410" s="3" t="s">
        <v>156</v>
      </c>
      <c r="D2410" s="3" t="s">
        <v>61</v>
      </c>
      <c r="E2410" s="3" t="s">
        <v>33</v>
      </c>
      <c r="F2410" s="3" t="s">
        <v>62</v>
      </c>
      <c r="G2410" s="3" t="s">
        <v>34</v>
      </c>
      <c r="H2410" s="3" t="s">
        <v>56</v>
      </c>
      <c r="I2410" s="3" t="s">
        <v>57</v>
      </c>
      <c r="J2410" s="3" t="n">
        <v>6</v>
      </c>
      <c r="K2410" s="3" t="n">
        <v>10747.23</v>
      </c>
      <c r="L2410" s="3" t="n">
        <v>64483.38</v>
      </c>
      <c r="M2410" s="3" t="n">
        <v>0.0951</v>
      </c>
      <c r="N2410" s="3" t="n">
        <v>6132.37</v>
      </c>
      <c r="O2410" s="3" t="n">
        <v>58351.01</v>
      </c>
      <c r="P2410" s="3" t="n">
        <v>38690.03</v>
      </c>
      <c r="Q2410" s="3" t="n">
        <v>19660.98</v>
      </c>
      <c r="R2410" s="3" t="n">
        <v>0.3369</v>
      </c>
      <c r="S2410" s="3" t="n">
        <v>0.1005</v>
      </c>
      <c r="T2410" s="3" t="n">
        <v>-0.0054</v>
      </c>
    </row>
    <row r="2411" customFormat="false" ht="15" hidden="false" customHeight="true" outlineLevel="0" collapsed="false">
      <c r="A2411" s="3" t="s">
        <v>3459</v>
      </c>
      <c r="B2411" s="3" t="s">
        <v>2073</v>
      </c>
      <c r="C2411" s="3" t="s">
        <v>113</v>
      </c>
      <c r="D2411" s="3" t="s">
        <v>47</v>
      </c>
      <c r="E2411" s="3" t="s">
        <v>48</v>
      </c>
      <c r="F2411" s="3" t="s">
        <v>25</v>
      </c>
      <c r="G2411" s="3" t="s">
        <v>34</v>
      </c>
      <c r="H2411" s="3" t="s">
        <v>64</v>
      </c>
      <c r="I2411" s="3" t="s">
        <v>145</v>
      </c>
      <c r="J2411" s="3" t="n">
        <v>38</v>
      </c>
      <c r="K2411" s="3" t="n">
        <v>6036.27</v>
      </c>
      <c r="L2411" s="3" t="n">
        <v>229378.26</v>
      </c>
      <c r="M2411" s="3" t="n">
        <v>0.204</v>
      </c>
      <c r="N2411" s="3" t="n">
        <v>46793.17</v>
      </c>
      <c r="O2411" s="3" t="n">
        <v>182585.09</v>
      </c>
      <c r="P2411" s="3" t="n">
        <v>133039.39</v>
      </c>
      <c r="Q2411" s="3" t="n">
        <v>49545.7</v>
      </c>
      <c r="R2411" s="3" t="n">
        <v>0.2714</v>
      </c>
      <c r="S2411" s="3" t="n">
        <v>0.2076</v>
      </c>
      <c r="T2411" s="3" t="n">
        <v>-0.0036</v>
      </c>
    </row>
    <row r="2412" customFormat="false" ht="15" hidden="false" customHeight="true" outlineLevel="0" collapsed="false">
      <c r="A2412" s="3" t="s">
        <v>3460</v>
      </c>
      <c r="B2412" s="3" t="s">
        <v>627</v>
      </c>
      <c r="C2412" s="3" t="s">
        <v>31</v>
      </c>
      <c r="D2412" s="3" t="s">
        <v>107</v>
      </c>
      <c r="E2412" s="3" t="s">
        <v>33</v>
      </c>
      <c r="F2412" s="3" t="s">
        <v>70</v>
      </c>
      <c r="G2412" s="3" t="s">
        <v>55</v>
      </c>
      <c r="H2412" s="3" t="s">
        <v>56</v>
      </c>
      <c r="I2412" s="3" t="s">
        <v>57</v>
      </c>
      <c r="J2412" s="3" t="n">
        <v>35</v>
      </c>
      <c r="K2412" s="3" t="n">
        <v>14821.93</v>
      </c>
      <c r="L2412" s="3" t="n">
        <v>518767.55</v>
      </c>
      <c r="M2412" s="3" t="n">
        <v>0.0312</v>
      </c>
      <c r="N2412" s="3" t="n">
        <v>16185.55</v>
      </c>
      <c r="O2412" s="3" t="n">
        <v>502582</v>
      </c>
      <c r="P2412" s="3" t="n">
        <v>311260.53</v>
      </c>
      <c r="Q2412" s="3" t="n">
        <v>191321.47</v>
      </c>
      <c r="R2412" s="3" t="n">
        <v>0.3807</v>
      </c>
      <c r="S2412" s="3" t="n">
        <v>0.0287</v>
      </c>
      <c r="T2412" s="3" t="n">
        <v>0.0025</v>
      </c>
    </row>
    <row r="2413" customFormat="false" ht="15" hidden="false" customHeight="true" outlineLevel="0" collapsed="false">
      <c r="A2413" s="3" t="s">
        <v>3461</v>
      </c>
      <c r="B2413" s="3" t="s">
        <v>1086</v>
      </c>
      <c r="C2413" s="3" t="s">
        <v>113</v>
      </c>
      <c r="D2413" s="3" t="s">
        <v>32</v>
      </c>
      <c r="E2413" s="3" t="s">
        <v>33</v>
      </c>
      <c r="F2413" s="3" t="s">
        <v>25</v>
      </c>
      <c r="G2413" s="3" t="s">
        <v>116</v>
      </c>
      <c r="H2413" s="3" t="s">
        <v>42</v>
      </c>
      <c r="I2413" s="3" t="s">
        <v>43</v>
      </c>
      <c r="J2413" s="3" t="n">
        <v>12</v>
      </c>
      <c r="K2413" s="3" t="n">
        <v>3975.37</v>
      </c>
      <c r="L2413" s="3" t="n">
        <v>47704.44</v>
      </c>
      <c r="M2413" s="3" t="n">
        <v>0.1746</v>
      </c>
      <c r="N2413" s="3" t="n">
        <v>8329.2</v>
      </c>
      <c r="O2413" s="3" t="n">
        <v>39375.24</v>
      </c>
      <c r="P2413" s="3" t="n">
        <v>26237.44</v>
      </c>
      <c r="Q2413" s="3" t="n">
        <v>13137.8</v>
      </c>
      <c r="R2413" s="3" t="n">
        <v>0.3337</v>
      </c>
      <c r="S2413" s="3" t="n">
        <v>0.1741</v>
      </c>
      <c r="T2413" s="3" t="n">
        <v>0.0005</v>
      </c>
    </row>
    <row r="2414" customFormat="false" ht="15" hidden="false" customHeight="true" outlineLevel="0" collapsed="false">
      <c r="A2414" s="3" t="s">
        <v>3462</v>
      </c>
      <c r="B2414" s="3" t="s">
        <v>3463</v>
      </c>
      <c r="C2414" s="3" t="s">
        <v>68</v>
      </c>
      <c r="D2414" s="3" t="s">
        <v>54</v>
      </c>
      <c r="E2414" s="3" t="s">
        <v>24</v>
      </c>
      <c r="F2414" s="3" t="s">
        <v>40</v>
      </c>
      <c r="G2414" s="3" t="s">
        <v>34</v>
      </c>
      <c r="H2414" s="3" t="s">
        <v>27</v>
      </c>
      <c r="I2414" s="3" t="s">
        <v>117</v>
      </c>
      <c r="J2414" s="3" t="n">
        <v>8</v>
      </c>
      <c r="K2414" s="3" t="n">
        <v>35622.08</v>
      </c>
      <c r="L2414" s="3" t="n">
        <v>284976.64</v>
      </c>
      <c r="M2414" s="3" t="n">
        <v>0.0874</v>
      </c>
      <c r="N2414" s="3" t="n">
        <v>24906.96</v>
      </c>
      <c r="O2414" s="3" t="n">
        <v>260069.68</v>
      </c>
      <c r="P2414" s="3" t="n">
        <v>176685.52</v>
      </c>
      <c r="Q2414" s="3" t="n">
        <v>83384.16</v>
      </c>
      <c r="R2414" s="3" t="n">
        <v>0.3206</v>
      </c>
      <c r="S2414" s="3" t="n">
        <v>0.0811</v>
      </c>
      <c r="T2414" s="3" t="n">
        <v>0.0063</v>
      </c>
    </row>
    <row r="2415" customFormat="false" ht="15" hidden="false" customHeight="true" outlineLevel="0" collapsed="false">
      <c r="A2415" s="3" t="s">
        <v>3464</v>
      </c>
      <c r="B2415" s="3" t="s">
        <v>2823</v>
      </c>
      <c r="C2415" s="3" t="s">
        <v>22</v>
      </c>
      <c r="D2415" s="3" t="s">
        <v>69</v>
      </c>
      <c r="E2415" s="3" t="s">
        <v>39</v>
      </c>
      <c r="F2415" s="3" t="s">
        <v>70</v>
      </c>
      <c r="G2415" s="3" t="s">
        <v>116</v>
      </c>
      <c r="H2415" s="3" t="s">
        <v>77</v>
      </c>
      <c r="I2415" s="3" t="s">
        <v>131</v>
      </c>
      <c r="J2415" s="3" t="n">
        <v>42</v>
      </c>
      <c r="K2415" s="3" t="n">
        <v>4624.94</v>
      </c>
      <c r="L2415" s="3" t="n">
        <v>194247.48</v>
      </c>
      <c r="M2415" s="3" t="n">
        <v>0.109</v>
      </c>
      <c r="N2415" s="3" t="n">
        <v>21172.98</v>
      </c>
      <c r="O2415" s="3" t="n">
        <v>173074.5</v>
      </c>
      <c r="P2415" s="3" t="n">
        <v>132088.29</v>
      </c>
      <c r="Q2415" s="3" t="n">
        <v>40986.21</v>
      </c>
      <c r="R2415" s="3" t="n">
        <v>0.2368</v>
      </c>
      <c r="S2415" s="3" t="n">
        <v>0.0938</v>
      </c>
      <c r="T2415" s="3" t="n">
        <v>0.0152</v>
      </c>
    </row>
    <row r="2416" customFormat="false" ht="15" hidden="false" customHeight="true" outlineLevel="0" collapsed="false">
      <c r="A2416" s="3" t="s">
        <v>3465</v>
      </c>
      <c r="B2416" s="3" t="s">
        <v>354</v>
      </c>
      <c r="C2416" s="3" t="s">
        <v>22</v>
      </c>
      <c r="D2416" s="3" t="s">
        <v>32</v>
      </c>
      <c r="E2416" s="3" t="s">
        <v>33</v>
      </c>
      <c r="F2416" s="3" t="s">
        <v>25</v>
      </c>
      <c r="G2416" s="3" t="s">
        <v>55</v>
      </c>
      <c r="H2416" s="3" t="s">
        <v>64</v>
      </c>
      <c r="I2416" s="3" t="s">
        <v>65</v>
      </c>
      <c r="J2416" s="3" t="n">
        <v>38</v>
      </c>
      <c r="K2416" s="3" t="n">
        <v>7020.5</v>
      </c>
      <c r="L2416" s="3" t="n">
        <v>266779</v>
      </c>
      <c r="M2416" s="3" t="n">
        <v>0.1741</v>
      </c>
      <c r="N2416" s="3" t="n">
        <v>46446.22</v>
      </c>
      <c r="O2416" s="3" t="n">
        <v>220332.78</v>
      </c>
      <c r="P2416" s="3" t="n">
        <v>154731.82</v>
      </c>
      <c r="Q2416" s="3" t="n">
        <v>65600.96</v>
      </c>
      <c r="R2416" s="3" t="n">
        <v>0.2977</v>
      </c>
      <c r="S2416" s="3" t="n">
        <v>0.1435</v>
      </c>
      <c r="T2416" s="3" t="n">
        <v>0.0306</v>
      </c>
    </row>
    <row r="2417" customFormat="false" ht="15" hidden="false" customHeight="true" outlineLevel="0" collapsed="false">
      <c r="A2417" s="3" t="s">
        <v>3466</v>
      </c>
      <c r="B2417" s="3" t="s">
        <v>3196</v>
      </c>
      <c r="C2417" s="3" t="s">
        <v>68</v>
      </c>
      <c r="D2417" s="3" t="s">
        <v>54</v>
      </c>
      <c r="E2417" s="3" t="s">
        <v>24</v>
      </c>
      <c r="F2417" s="3" t="s">
        <v>40</v>
      </c>
      <c r="G2417" s="3" t="s">
        <v>34</v>
      </c>
      <c r="H2417" s="3" t="s">
        <v>27</v>
      </c>
      <c r="I2417" s="3" t="s">
        <v>28</v>
      </c>
      <c r="J2417" s="3" t="n">
        <v>31</v>
      </c>
      <c r="K2417" s="3" t="n">
        <v>17530.05</v>
      </c>
      <c r="L2417" s="3" t="n">
        <v>543431.55</v>
      </c>
      <c r="M2417" s="3" t="n">
        <v>0.1003</v>
      </c>
      <c r="N2417" s="3" t="n">
        <v>54506.18</v>
      </c>
      <c r="O2417" s="3" t="n">
        <v>488925.37</v>
      </c>
      <c r="P2417" s="3" t="n">
        <v>336927.56</v>
      </c>
      <c r="Q2417" s="3" t="n">
        <v>151997.81</v>
      </c>
      <c r="R2417" s="3" t="n">
        <v>0.3109</v>
      </c>
      <c r="S2417" s="3" t="n">
        <v>0.1027</v>
      </c>
      <c r="T2417" s="3" t="n">
        <v>-0.0024</v>
      </c>
    </row>
    <row r="2418" customFormat="false" ht="15" hidden="false" customHeight="true" outlineLevel="0" collapsed="false">
      <c r="A2418" s="3" t="s">
        <v>3467</v>
      </c>
      <c r="B2418" s="3" t="s">
        <v>2097</v>
      </c>
      <c r="C2418" s="3" t="s">
        <v>46</v>
      </c>
      <c r="D2418" s="3" t="s">
        <v>38</v>
      </c>
      <c r="E2418" s="3" t="s">
        <v>39</v>
      </c>
      <c r="F2418" s="3" t="s">
        <v>40</v>
      </c>
      <c r="G2418" s="3" t="s">
        <v>100</v>
      </c>
      <c r="H2418" s="3" t="s">
        <v>77</v>
      </c>
      <c r="I2418" s="3" t="s">
        <v>85</v>
      </c>
      <c r="J2418" s="3" t="n">
        <v>50</v>
      </c>
      <c r="K2418" s="3" t="n">
        <v>3191.72</v>
      </c>
      <c r="L2418" s="3" t="n">
        <v>159586</v>
      </c>
      <c r="M2418" s="3" t="n">
        <v>0.0675</v>
      </c>
      <c r="N2418" s="3" t="n">
        <v>10772.06</v>
      </c>
      <c r="O2418" s="3" t="n">
        <v>148813.94</v>
      </c>
      <c r="P2418" s="3" t="n">
        <v>108518.48</v>
      </c>
      <c r="Q2418" s="3" t="n">
        <v>40295.46</v>
      </c>
      <c r="R2418" s="3" t="n">
        <v>0.2708</v>
      </c>
      <c r="S2418" s="3" t="n">
        <v>0.0719</v>
      </c>
      <c r="T2418" s="3" t="n">
        <v>-0.0044</v>
      </c>
    </row>
    <row r="2419" customFormat="false" ht="15" hidden="false" customHeight="true" outlineLevel="0" collapsed="false">
      <c r="A2419" s="3" t="s">
        <v>3468</v>
      </c>
      <c r="B2419" s="3" t="s">
        <v>2760</v>
      </c>
      <c r="C2419" s="3" t="s">
        <v>53</v>
      </c>
      <c r="D2419" s="3" t="s">
        <v>75</v>
      </c>
      <c r="E2419" s="3" t="s">
        <v>39</v>
      </c>
      <c r="F2419" s="3" t="s">
        <v>25</v>
      </c>
      <c r="G2419" s="3" t="s">
        <v>26</v>
      </c>
      <c r="H2419" s="3" t="s">
        <v>42</v>
      </c>
      <c r="I2419" s="3" t="s">
        <v>72</v>
      </c>
      <c r="J2419" s="3" t="n">
        <v>49</v>
      </c>
      <c r="K2419" s="3" t="n">
        <v>2658.94</v>
      </c>
      <c r="L2419" s="3" t="n">
        <v>130288.06</v>
      </c>
      <c r="M2419" s="3" t="n">
        <v>0.1773</v>
      </c>
      <c r="N2419" s="3" t="n">
        <v>23100.07</v>
      </c>
      <c r="O2419" s="3" t="n">
        <v>107187.99</v>
      </c>
      <c r="P2419" s="3" t="n">
        <v>71658.43</v>
      </c>
      <c r="Q2419" s="3" t="n">
        <v>35529.56</v>
      </c>
      <c r="R2419" s="3" t="n">
        <v>0.3315</v>
      </c>
      <c r="S2419" s="3" t="n">
        <v>0.1471</v>
      </c>
      <c r="T2419" s="3" t="n">
        <v>0.0302</v>
      </c>
    </row>
    <row r="2420" customFormat="false" ht="15" hidden="false" customHeight="true" outlineLevel="0" collapsed="false">
      <c r="A2420" s="3" t="s">
        <v>3469</v>
      </c>
      <c r="B2420" s="3" t="s">
        <v>2166</v>
      </c>
      <c r="C2420" s="3" t="s">
        <v>120</v>
      </c>
      <c r="D2420" s="3" t="s">
        <v>23</v>
      </c>
      <c r="E2420" s="3" t="s">
        <v>24</v>
      </c>
      <c r="F2420" s="3" t="s">
        <v>25</v>
      </c>
      <c r="G2420" s="3" t="s">
        <v>84</v>
      </c>
      <c r="H2420" s="3" t="s">
        <v>42</v>
      </c>
      <c r="I2420" s="3" t="s">
        <v>72</v>
      </c>
      <c r="J2420" s="3" t="n">
        <v>22</v>
      </c>
      <c r="K2420" s="3" t="n">
        <v>3375.16</v>
      </c>
      <c r="L2420" s="3" t="n">
        <v>74253.52</v>
      </c>
      <c r="M2420" s="3" t="n">
        <v>0.1871</v>
      </c>
      <c r="N2420" s="3" t="n">
        <v>13892.83</v>
      </c>
      <c r="O2420" s="3" t="n">
        <v>60360.69</v>
      </c>
      <c r="P2420" s="3" t="n">
        <v>40839.44</v>
      </c>
      <c r="Q2420" s="3" t="n">
        <v>19521.25</v>
      </c>
      <c r="R2420" s="3" t="n">
        <v>0.3234</v>
      </c>
      <c r="S2420" s="3" t="n">
        <v>0.154</v>
      </c>
      <c r="T2420" s="3" t="n">
        <v>0.0331</v>
      </c>
    </row>
    <row r="2421" customFormat="false" ht="15" hidden="false" customHeight="true" outlineLevel="0" collapsed="false">
      <c r="A2421" s="3" t="s">
        <v>3470</v>
      </c>
      <c r="B2421" s="3" t="s">
        <v>1208</v>
      </c>
      <c r="C2421" s="3" t="s">
        <v>93</v>
      </c>
      <c r="D2421" s="3" t="s">
        <v>83</v>
      </c>
      <c r="E2421" s="3" t="s">
        <v>48</v>
      </c>
      <c r="F2421" s="3" t="s">
        <v>62</v>
      </c>
      <c r="G2421" s="3" t="s">
        <v>49</v>
      </c>
      <c r="H2421" s="3" t="s">
        <v>42</v>
      </c>
      <c r="I2421" s="3" t="s">
        <v>43</v>
      </c>
      <c r="J2421" s="3" t="n">
        <v>46</v>
      </c>
      <c r="K2421" s="3" t="n">
        <v>2355.38</v>
      </c>
      <c r="L2421" s="3" t="n">
        <v>108347.48</v>
      </c>
      <c r="M2421" s="3" t="n">
        <v>0.036</v>
      </c>
      <c r="N2421" s="3" t="n">
        <v>3900.51</v>
      </c>
      <c r="O2421" s="3" t="n">
        <v>104446.97</v>
      </c>
      <c r="P2421" s="3" t="n">
        <v>59591.11</v>
      </c>
      <c r="Q2421" s="3" t="n">
        <v>44855.86</v>
      </c>
      <c r="R2421" s="3" t="n">
        <v>0.4295</v>
      </c>
      <c r="S2421" s="3" t="n">
        <v>0.0387</v>
      </c>
      <c r="T2421" s="3" t="n">
        <v>-0.0027</v>
      </c>
    </row>
    <row r="2422" customFormat="false" ht="15" hidden="false" customHeight="true" outlineLevel="0" collapsed="false">
      <c r="A2422" s="3" t="s">
        <v>3471</v>
      </c>
      <c r="B2422" s="3" t="s">
        <v>1468</v>
      </c>
      <c r="C2422" s="3" t="s">
        <v>93</v>
      </c>
      <c r="D2422" s="3" t="s">
        <v>107</v>
      </c>
      <c r="E2422" s="3" t="s">
        <v>33</v>
      </c>
      <c r="F2422" s="3" t="s">
        <v>70</v>
      </c>
      <c r="G2422" s="3" t="s">
        <v>84</v>
      </c>
      <c r="H2422" s="3" t="s">
        <v>56</v>
      </c>
      <c r="I2422" s="3" t="s">
        <v>121</v>
      </c>
      <c r="J2422" s="3" t="n">
        <v>1</v>
      </c>
      <c r="K2422" s="3" t="n">
        <v>10361.38</v>
      </c>
      <c r="L2422" s="3" t="n">
        <v>10361.38</v>
      </c>
      <c r="M2422" s="3" t="n">
        <v>0.0536</v>
      </c>
      <c r="N2422" s="3" t="n">
        <v>555.37</v>
      </c>
      <c r="O2422" s="3" t="n">
        <v>9806.01</v>
      </c>
      <c r="P2422" s="3" t="n">
        <v>6216.83</v>
      </c>
      <c r="Q2422" s="3" t="n">
        <v>3589.18</v>
      </c>
      <c r="R2422" s="3" t="n">
        <v>0.366</v>
      </c>
      <c r="S2422" s="3" t="n">
        <v>0.0525</v>
      </c>
      <c r="T2422" s="3" t="n">
        <v>0.0011</v>
      </c>
    </row>
    <row r="2423" customFormat="false" ht="15" hidden="false" customHeight="true" outlineLevel="0" collapsed="false">
      <c r="A2423" s="3" t="s">
        <v>3472</v>
      </c>
      <c r="B2423" s="3" t="s">
        <v>1381</v>
      </c>
      <c r="C2423" s="3" t="s">
        <v>93</v>
      </c>
      <c r="D2423" s="3" t="s">
        <v>32</v>
      </c>
      <c r="E2423" s="3" t="s">
        <v>33</v>
      </c>
      <c r="F2423" s="3" t="s">
        <v>25</v>
      </c>
      <c r="G2423" s="3" t="s">
        <v>116</v>
      </c>
      <c r="H2423" s="3" t="s">
        <v>64</v>
      </c>
      <c r="I2423" s="3" t="s">
        <v>90</v>
      </c>
      <c r="J2423" s="3" t="n">
        <v>7</v>
      </c>
      <c r="K2423" s="3" t="n">
        <v>11509.44</v>
      </c>
      <c r="L2423" s="3" t="n">
        <v>80566.08</v>
      </c>
      <c r="M2423" s="3" t="n">
        <v>0.176</v>
      </c>
      <c r="N2423" s="3" t="n">
        <v>14179.63</v>
      </c>
      <c r="O2423" s="3" t="n">
        <v>66386.45</v>
      </c>
      <c r="P2423" s="3" t="n">
        <v>46728.33</v>
      </c>
      <c r="Q2423" s="3" t="n">
        <v>19658.12</v>
      </c>
      <c r="R2423" s="3" t="n">
        <v>0.2961</v>
      </c>
      <c r="S2423" s="3" t="n">
        <v>0.1924</v>
      </c>
      <c r="T2423" s="3" t="n">
        <v>-0.0164</v>
      </c>
    </row>
    <row r="2424" customFormat="false" ht="15" hidden="false" customHeight="true" outlineLevel="0" collapsed="false">
      <c r="A2424" s="3" t="s">
        <v>3473</v>
      </c>
      <c r="B2424" s="3" t="s">
        <v>89</v>
      </c>
      <c r="C2424" s="3" t="s">
        <v>53</v>
      </c>
      <c r="D2424" s="3" t="s">
        <v>75</v>
      </c>
      <c r="E2424" s="3" t="s">
        <v>39</v>
      </c>
      <c r="F2424" s="3" t="s">
        <v>25</v>
      </c>
      <c r="G2424" s="3" t="s">
        <v>71</v>
      </c>
      <c r="H2424" s="3" t="s">
        <v>64</v>
      </c>
      <c r="I2424" s="3" t="s">
        <v>108</v>
      </c>
      <c r="J2424" s="3" t="n">
        <v>49</v>
      </c>
      <c r="K2424" s="3" t="n">
        <v>8361.5</v>
      </c>
      <c r="L2424" s="3" t="n">
        <v>409713.5</v>
      </c>
      <c r="M2424" s="3" t="n">
        <v>0.1784</v>
      </c>
      <c r="N2424" s="3" t="n">
        <v>73092.89</v>
      </c>
      <c r="O2424" s="3" t="n">
        <v>336620.61</v>
      </c>
      <c r="P2424" s="3" t="n">
        <v>237633.83</v>
      </c>
      <c r="Q2424" s="3" t="n">
        <v>98986.78</v>
      </c>
      <c r="R2424" s="3" t="n">
        <v>0.2941</v>
      </c>
      <c r="S2424" s="3" t="n">
        <v>0.1685</v>
      </c>
      <c r="T2424" s="3" t="n">
        <v>0.0099</v>
      </c>
    </row>
    <row r="2425" customFormat="false" ht="15" hidden="false" customHeight="true" outlineLevel="0" collapsed="false">
      <c r="A2425" s="3" t="s">
        <v>3474</v>
      </c>
      <c r="B2425" s="3" t="s">
        <v>202</v>
      </c>
      <c r="C2425" s="3" t="s">
        <v>31</v>
      </c>
      <c r="D2425" s="3" t="s">
        <v>61</v>
      </c>
      <c r="E2425" s="3" t="s">
        <v>33</v>
      </c>
      <c r="F2425" s="3" t="s">
        <v>62</v>
      </c>
      <c r="G2425" s="3" t="s">
        <v>84</v>
      </c>
      <c r="H2425" s="3" t="s">
        <v>56</v>
      </c>
      <c r="I2425" s="3" t="s">
        <v>188</v>
      </c>
      <c r="J2425" s="3" t="n">
        <v>15</v>
      </c>
      <c r="K2425" s="3" t="n">
        <v>7421.57</v>
      </c>
      <c r="L2425" s="3" t="n">
        <v>111323.55</v>
      </c>
      <c r="M2425" s="3" t="n">
        <v>0.032</v>
      </c>
      <c r="N2425" s="3" t="n">
        <v>3562.35</v>
      </c>
      <c r="O2425" s="3" t="n">
        <v>107761.2</v>
      </c>
      <c r="P2425" s="3" t="n">
        <v>66794.13</v>
      </c>
      <c r="Q2425" s="3" t="n">
        <v>40967.07</v>
      </c>
      <c r="R2425" s="3" t="n">
        <v>0.3802</v>
      </c>
      <c r="S2425" s="3" t="n">
        <v>0.031</v>
      </c>
      <c r="T2425" s="3" t="n">
        <v>0.001</v>
      </c>
    </row>
    <row r="2426" customFormat="false" ht="15" hidden="false" customHeight="true" outlineLevel="0" collapsed="false">
      <c r="A2426" s="3" t="s">
        <v>3475</v>
      </c>
      <c r="B2426" s="3" t="s">
        <v>2934</v>
      </c>
      <c r="C2426" s="3" t="s">
        <v>46</v>
      </c>
      <c r="D2426" s="3" t="s">
        <v>61</v>
      </c>
      <c r="E2426" s="3" t="s">
        <v>33</v>
      </c>
      <c r="F2426" s="3" t="s">
        <v>62</v>
      </c>
      <c r="G2426" s="3" t="s">
        <v>76</v>
      </c>
      <c r="H2426" s="3" t="s">
        <v>27</v>
      </c>
      <c r="I2426" s="3" t="s">
        <v>117</v>
      </c>
      <c r="J2426" s="3" t="n">
        <v>44</v>
      </c>
      <c r="K2426" s="3" t="n">
        <v>25504.96</v>
      </c>
      <c r="L2426" s="3" t="n">
        <v>1122218.24</v>
      </c>
      <c r="M2426" s="3" t="n">
        <v>0.0661</v>
      </c>
      <c r="N2426" s="3" t="n">
        <v>74178.63</v>
      </c>
      <c r="O2426" s="3" t="n">
        <v>1048039.61</v>
      </c>
      <c r="P2426" s="3" t="n">
        <v>695775.31</v>
      </c>
      <c r="Q2426" s="3" t="n">
        <v>352264.3</v>
      </c>
      <c r="R2426" s="3" t="n">
        <v>0.3361</v>
      </c>
      <c r="S2426" s="3" t="n">
        <v>0.0685</v>
      </c>
      <c r="T2426" s="3" t="n">
        <v>-0.0024</v>
      </c>
    </row>
    <row r="2427" customFormat="false" ht="15" hidden="false" customHeight="true" outlineLevel="0" collapsed="false">
      <c r="A2427" s="3" t="s">
        <v>3476</v>
      </c>
      <c r="B2427" s="3" t="s">
        <v>2741</v>
      </c>
      <c r="C2427" s="3" t="s">
        <v>60</v>
      </c>
      <c r="D2427" s="3" t="s">
        <v>83</v>
      </c>
      <c r="E2427" s="3" t="s">
        <v>48</v>
      </c>
      <c r="F2427" s="3" t="s">
        <v>62</v>
      </c>
      <c r="G2427" s="3" t="s">
        <v>104</v>
      </c>
      <c r="H2427" s="3" t="s">
        <v>56</v>
      </c>
      <c r="I2427" s="3" t="s">
        <v>188</v>
      </c>
      <c r="J2427" s="3" t="n">
        <v>17</v>
      </c>
      <c r="K2427" s="3" t="n">
        <v>4715.46</v>
      </c>
      <c r="L2427" s="3" t="n">
        <v>80162.82</v>
      </c>
      <c r="M2427" s="3" t="n">
        <v>0.0952</v>
      </c>
      <c r="N2427" s="3" t="n">
        <v>7631.5</v>
      </c>
      <c r="O2427" s="3" t="n">
        <v>72531.32</v>
      </c>
      <c r="P2427" s="3" t="n">
        <v>48097.69</v>
      </c>
      <c r="Q2427" s="3" t="n">
        <v>24433.63</v>
      </c>
      <c r="R2427" s="3" t="n">
        <v>0.3369</v>
      </c>
      <c r="S2427" s="3" t="n">
        <v>0.0822</v>
      </c>
      <c r="T2427" s="3" t="n">
        <v>0.013</v>
      </c>
    </row>
    <row r="2428" customFormat="false" ht="15" hidden="false" customHeight="true" outlineLevel="0" collapsed="false">
      <c r="A2428" s="3" t="s">
        <v>3477</v>
      </c>
      <c r="B2428" s="3" t="s">
        <v>1682</v>
      </c>
      <c r="C2428" s="3" t="s">
        <v>46</v>
      </c>
      <c r="D2428" s="3" t="s">
        <v>47</v>
      </c>
      <c r="E2428" s="3" t="s">
        <v>48</v>
      </c>
      <c r="F2428" s="3" t="s">
        <v>25</v>
      </c>
      <c r="G2428" s="3" t="s">
        <v>116</v>
      </c>
      <c r="H2428" s="3" t="s">
        <v>64</v>
      </c>
      <c r="I2428" s="3" t="s">
        <v>108</v>
      </c>
      <c r="J2428" s="3" t="n">
        <v>3</v>
      </c>
      <c r="K2428" s="3" t="n">
        <v>6516.33</v>
      </c>
      <c r="L2428" s="3" t="n">
        <v>19548.99</v>
      </c>
      <c r="M2428" s="3" t="n">
        <v>0.187</v>
      </c>
      <c r="N2428" s="3" t="n">
        <v>3655.66</v>
      </c>
      <c r="O2428" s="3" t="n">
        <v>15893.33</v>
      </c>
      <c r="P2428" s="3" t="n">
        <v>11338.41</v>
      </c>
      <c r="Q2428" s="3" t="n">
        <v>4554.92</v>
      </c>
      <c r="R2428" s="3" t="n">
        <v>0.2866</v>
      </c>
      <c r="S2428" s="3" t="n">
        <v>0.1805</v>
      </c>
      <c r="T2428" s="3" t="n">
        <v>0.0065</v>
      </c>
    </row>
    <row r="2429" customFormat="false" ht="15" hidden="false" customHeight="true" outlineLevel="0" collapsed="false">
      <c r="A2429" s="3" t="s">
        <v>3478</v>
      </c>
      <c r="B2429" s="3" t="s">
        <v>747</v>
      </c>
      <c r="C2429" s="3" t="s">
        <v>37</v>
      </c>
      <c r="D2429" s="3" t="s">
        <v>83</v>
      </c>
      <c r="E2429" s="3" t="s">
        <v>48</v>
      </c>
      <c r="F2429" s="3" t="s">
        <v>62</v>
      </c>
      <c r="G2429" s="3" t="s">
        <v>71</v>
      </c>
      <c r="H2429" s="3" t="s">
        <v>42</v>
      </c>
      <c r="I2429" s="3" t="s">
        <v>134</v>
      </c>
      <c r="J2429" s="3" t="n">
        <v>25</v>
      </c>
      <c r="K2429" s="3" t="n">
        <v>2152.56</v>
      </c>
      <c r="L2429" s="3" t="n">
        <v>53814</v>
      </c>
      <c r="M2429" s="3" t="n">
        <v>0.07</v>
      </c>
      <c r="N2429" s="3" t="n">
        <v>3766.98</v>
      </c>
      <c r="O2429" s="3" t="n">
        <v>50047.02</v>
      </c>
      <c r="P2429" s="3" t="n">
        <v>29597.7</v>
      </c>
      <c r="Q2429" s="3" t="n">
        <v>20449.32</v>
      </c>
      <c r="R2429" s="3" t="n">
        <v>0.4086</v>
      </c>
      <c r="S2429" s="3" t="n">
        <v>0.0574</v>
      </c>
      <c r="T2429" s="3" t="n">
        <v>0.0126</v>
      </c>
    </row>
    <row r="2430" customFormat="false" ht="15" hidden="false" customHeight="true" outlineLevel="0" collapsed="false">
      <c r="A2430" s="3" t="s">
        <v>3479</v>
      </c>
      <c r="B2430" s="3" t="s">
        <v>1206</v>
      </c>
      <c r="C2430" s="3" t="s">
        <v>60</v>
      </c>
      <c r="D2430" s="3" t="s">
        <v>38</v>
      </c>
      <c r="E2430" s="3" t="s">
        <v>39</v>
      </c>
      <c r="F2430" s="3" t="s">
        <v>40</v>
      </c>
      <c r="G2430" s="3" t="s">
        <v>55</v>
      </c>
      <c r="H2430" s="3" t="s">
        <v>27</v>
      </c>
      <c r="I2430" s="3" t="s">
        <v>117</v>
      </c>
      <c r="J2430" s="3" t="n">
        <v>24</v>
      </c>
      <c r="K2430" s="3" t="n">
        <v>35190.54</v>
      </c>
      <c r="L2430" s="3" t="n">
        <v>844572.96</v>
      </c>
      <c r="M2430" s="3" t="n">
        <v>0.0648</v>
      </c>
      <c r="N2430" s="3" t="n">
        <v>54728.33</v>
      </c>
      <c r="O2430" s="3" t="n">
        <v>789844.63</v>
      </c>
      <c r="P2430" s="3" t="n">
        <v>523635.24</v>
      </c>
      <c r="Q2430" s="3" t="n">
        <v>266209.39</v>
      </c>
      <c r="R2430" s="3" t="n">
        <v>0.337</v>
      </c>
      <c r="S2430" s="3" t="n">
        <v>0.0536</v>
      </c>
      <c r="T2430" s="3" t="n">
        <v>0.0112</v>
      </c>
    </row>
    <row r="2431" customFormat="false" ht="15" hidden="false" customHeight="true" outlineLevel="0" collapsed="false">
      <c r="A2431" s="3" t="s">
        <v>3480</v>
      </c>
      <c r="B2431" s="3" t="s">
        <v>155</v>
      </c>
      <c r="C2431" s="3" t="s">
        <v>156</v>
      </c>
      <c r="D2431" s="3" t="s">
        <v>32</v>
      </c>
      <c r="E2431" s="3" t="s">
        <v>33</v>
      </c>
      <c r="F2431" s="3" t="s">
        <v>25</v>
      </c>
      <c r="G2431" s="3" t="s">
        <v>76</v>
      </c>
      <c r="H2431" s="3" t="s">
        <v>27</v>
      </c>
      <c r="I2431" s="3" t="s">
        <v>173</v>
      </c>
      <c r="J2431" s="3" t="n">
        <v>25</v>
      </c>
      <c r="K2431" s="3" t="n">
        <v>34350.45</v>
      </c>
      <c r="L2431" s="3" t="n">
        <v>858761.25</v>
      </c>
      <c r="M2431" s="3" t="n">
        <v>0.1121</v>
      </c>
      <c r="N2431" s="3" t="n">
        <v>96267.14</v>
      </c>
      <c r="O2431" s="3" t="n">
        <v>762494.11</v>
      </c>
      <c r="P2431" s="3" t="n">
        <v>532431.97</v>
      </c>
      <c r="Q2431" s="3" t="n">
        <v>230062.14</v>
      </c>
      <c r="R2431" s="3" t="n">
        <v>0.3017</v>
      </c>
      <c r="S2431" s="3" t="n">
        <v>0.097</v>
      </c>
      <c r="T2431" s="3" t="n">
        <v>0.0151</v>
      </c>
    </row>
    <row r="2432" customFormat="false" ht="15" hidden="false" customHeight="true" outlineLevel="0" collapsed="false">
      <c r="A2432" s="3" t="s">
        <v>3481</v>
      </c>
      <c r="B2432" s="3" t="s">
        <v>1095</v>
      </c>
      <c r="C2432" s="3" t="s">
        <v>113</v>
      </c>
      <c r="D2432" s="3" t="s">
        <v>103</v>
      </c>
      <c r="E2432" s="3" t="s">
        <v>24</v>
      </c>
      <c r="F2432" s="3" t="s">
        <v>62</v>
      </c>
      <c r="G2432" s="3" t="s">
        <v>76</v>
      </c>
      <c r="H2432" s="3" t="s">
        <v>27</v>
      </c>
      <c r="I2432" s="3" t="s">
        <v>94</v>
      </c>
      <c r="J2432" s="3" t="n">
        <v>11</v>
      </c>
      <c r="K2432" s="3" t="n">
        <v>36569.22</v>
      </c>
      <c r="L2432" s="3" t="n">
        <v>402261.42</v>
      </c>
      <c r="M2432" s="3" t="n">
        <v>0.0441</v>
      </c>
      <c r="N2432" s="3" t="n">
        <v>17739.73</v>
      </c>
      <c r="O2432" s="3" t="n">
        <v>384521.69</v>
      </c>
      <c r="P2432" s="3" t="n">
        <v>249402.08</v>
      </c>
      <c r="Q2432" s="3" t="n">
        <v>135119.61</v>
      </c>
      <c r="R2432" s="3" t="n">
        <v>0.3514</v>
      </c>
      <c r="S2432" s="3" t="n">
        <v>0.0446</v>
      </c>
      <c r="T2432" s="3" t="n">
        <v>-0.0005</v>
      </c>
    </row>
    <row r="2433" customFormat="false" ht="15" hidden="false" customHeight="true" outlineLevel="0" collapsed="false">
      <c r="A2433" s="3" t="s">
        <v>3482</v>
      </c>
      <c r="B2433" s="3" t="s">
        <v>2960</v>
      </c>
      <c r="C2433" s="3" t="s">
        <v>126</v>
      </c>
      <c r="D2433" s="3" t="s">
        <v>97</v>
      </c>
      <c r="E2433" s="3" t="s">
        <v>48</v>
      </c>
      <c r="F2433" s="3" t="s">
        <v>40</v>
      </c>
      <c r="G2433" s="3" t="s">
        <v>100</v>
      </c>
      <c r="H2433" s="3" t="s">
        <v>27</v>
      </c>
      <c r="I2433" s="3" t="s">
        <v>94</v>
      </c>
      <c r="J2433" s="3" t="n">
        <v>37</v>
      </c>
      <c r="K2433" s="3" t="n">
        <v>35702.48</v>
      </c>
      <c r="L2433" s="3" t="n">
        <v>1320991.76</v>
      </c>
      <c r="M2433" s="3" t="n">
        <v>0.0368</v>
      </c>
      <c r="N2433" s="3" t="n">
        <v>48612.5</v>
      </c>
      <c r="O2433" s="3" t="n">
        <v>1272379.26</v>
      </c>
      <c r="P2433" s="3" t="n">
        <v>819014.89</v>
      </c>
      <c r="Q2433" s="3" t="n">
        <v>453364.37</v>
      </c>
      <c r="R2433" s="3" t="n">
        <v>0.3563</v>
      </c>
      <c r="S2433" s="3" t="n">
        <v>0.035</v>
      </c>
      <c r="T2433" s="3" t="n">
        <v>0.0018</v>
      </c>
    </row>
    <row r="2434" customFormat="false" ht="15" hidden="false" customHeight="true" outlineLevel="0" collapsed="false">
      <c r="A2434" s="3" t="s">
        <v>3483</v>
      </c>
      <c r="B2434" s="3" t="s">
        <v>710</v>
      </c>
      <c r="C2434" s="3" t="s">
        <v>22</v>
      </c>
      <c r="D2434" s="3" t="s">
        <v>69</v>
      </c>
      <c r="E2434" s="3" t="s">
        <v>39</v>
      </c>
      <c r="F2434" s="3" t="s">
        <v>70</v>
      </c>
      <c r="G2434" s="3" t="s">
        <v>76</v>
      </c>
      <c r="H2434" s="3" t="s">
        <v>27</v>
      </c>
      <c r="I2434" s="3" t="s">
        <v>28</v>
      </c>
      <c r="J2434" s="3" t="n">
        <v>48</v>
      </c>
      <c r="K2434" s="3" t="n">
        <v>37211.99</v>
      </c>
      <c r="L2434" s="3" t="n">
        <v>1786175.52</v>
      </c>
      <c r="M2434" s="3" t="n">
        <v>0.0513</v>
      </c>
      <c r="N2434" s="3" t="n">
        <v>91630.8</v>
      </c>
      <c r="O2434" s="3" t="n">
        <v>1694544.72</v>
      </c>
      <c r="P2434" s="3" t="n">
        <v>1107428.82</v>
      </c>
      <c r="Q2434" s="3" t="n">
        <v>587115.9</v>
      </c>
      <c r="R2434" s="3" t="n">
        <v>0.3465</v>
      </c>
      <c r="S2434" s="3" t="n">
        <v>0.0535</v>
      </c>
      <c r="T2434" s="3" t="n">
        <v>-0.0022</v>
      </c>
    </row>
    <row r="2435" customFormat="false" ht="15" hidden="false" customHeight="true" outlineLevel="0" collapsed="false">
      <c r="A2435" s="3" t="s">
        <v>3484</v>
      </c>
      <c r="B2435" s="3" t="s">
        <v>2097</v>
      </c>
      <c r="C2435" s="3" t="s">
        <v>46</v>
      </c>
      <c r="D2435" s="3" t="s">
        <v>103</v>
      </c>
      <c r="E2435" s="3" t="s">
        <v>24</v>
      </c>
      <c r="F2435" s="3" t="s">
        <v>62</v>
      </c>
      <c r="G2435" s="3" t="s">
        <v>41</v>
      </c>
      <c r="H2435" s="3" t="s">
        <v>64</v>
      </c>
      <c r="I2435" s="3" t="s">
        <v>65</v>
      </c>
      <c r="J2435" s="3" t="n">
        <v>5</v>
      </c>
      <c r="K2435" s="3" t="n">
        <v>3908.41</v>
      </c>
      <c r="L2435" s="3" t="n">
        <v>19542.05</v>
      </c>
      <c r="M2435" s="3" t="n">
        <v>0.0976</v>
      </c>
      <c r="N2435" s="3" t="n">
        <v>1907.3</v>
      </c>
      <c r="O2435" s="3" t="n">
        <v>17634.75</v>
      </c>
      <c r="P2435" s="3" t="n">
        <v>11334.39</v>
      </c>
      <c r="Q2435" s="3" t="n">
        <v>6300.36</v>
      </c>
      <c r="R2435" s="3" t="n">
        <v>0.3573</v>
      </c>
      <c r="S2435" s="3" t="n">
        <v>0.0986</v>
      </c>
      <c r="T2435" s="3" t="n">
        <v>-0.001</v>
      </c>
    </row>
    <row r="2436" customFormat="false" ht="15" hidden="false" customHeight="true" outlineLevel="0" collapsed="false">
      <c r="A2436" s="3" t="s">
        <v>3485</v>
      </c>
      <c r="B2436" s="3" t="s">
        <v>3486</v>
      </c>
      <c r="C2436" s="3" t="s">
        <v>120</v>
      </c>
      <c r="D2436" s="3" t="s">
        <v>47</v>
      </c>
      <c r="E2436" s="3" t="s">
        <v>48</v>
      </c>
      <c r="F2436" s="3" t="s">
        <v>25</v>
      </c>
      <c r="G2436" s="3" t="s">
        <v>71</v>
      </c>
      <c r="H2436" s="3" t="s">
        <v>64</v>
      </c>
      <c r="I2436" s="3" t="s">
        <v>108</v>
      </c>
      <c r="J2436" s="3" t="n">
        <v>40</v>
      </c>
      <c r="K2436" s="3" t="n">
        <v>10809.62</v>
      </c>
      <c r="L2436" s="3" t="n">
        <v>432384.8</v>
      </c>
      <c r="M2436" s="3" t="n">
        <v>0.1317</v>
      </c>
      <c r="N2436" s="3" t="n">
        <v>56945.08</v>
      </c>
      <c r="O2436" s="3" t="n">
        <v>375439.72</v>
      </c>
      <c r="P2436" s="3" t="n">
        <v>250783.18</v>
      </c>
      <c r="Q2436" s="3" t="n">
        <v>124656.54</v>
      </c>
      <c r="R2436" s="3" t="n">
        <v>0.332</v>
      </c>
      <c r="S2436" s="3" t="n">
        <v>0.1091</v>
      </c>
      <c r="T2436" s="3" t="n">
        <v>0.0226</v>
      </c>
    </row>
    <row r="2437" customFormat="false" ht="15" hidden="false" customHeight="true" outlineLevel="0" collapsed="false">
      <c r="A2437" s="3" t="s">
        <v>3487</v>
      </c>
      <c r="B2437" s="3" t="s">
        <v>2325</v>
      </c>
      <c r="C2437" s="3" t="s">
        <v>60</v>
      </c>
      <c r="D2437" s="3" t="s">
        <v>103</v>
      </c>
      <c r="E2437" s="3" t="s">
        <v>24</v>
      </c>
      <c r="F2437" s="3" t="s">
        <v>62</v>
      </c>
      <c r="G2437" s="3" t="s">
        <v>76</v>
      </c>
      <c r="H2437" s="3" t="s">
        <v>27</v>
      </c>
      <c r="I2437" s="3" t="s">
        <v>28</v>
      </c>
      <c r="J2437" s="3" t="n">
        <v>27</v>
      </c>
      <c r="K2437" s="3" t="n">
        <v>37186.69</v>
      </c>
      <c r="L2437" s="3" t="n">
        <v>1004040.63</v>
      </c>
      <c r="M2437" s="3" t="n">
        <v>0.043</v>
      </c>
      <c r="N2437" s="3" t="n">
        <v>43173.75</v>
      </c>
      <c r="O2437" s="3" t="n">
        <v>960866.88</v>
      </c>
      <c r="P2437" s="3" t="n">
        <v>622505.19</v>
      </c>
      <c r="Q2437" s="3" t="n">
        <v>338361.69</v>
      </c>
      <c r="R2437" s="3" t="n">
        <v>0.3521</v>
      </c>
      <c r="S2437" s="3" t="n">
        <v>0.0407</v>
      </c>
      <c r="T2437" s="3" t="n">
        <v>0.0023</v>
      </c>
    </row>
    <row r="2438" customFormat="false" ht="15" hidden="false" customHeight="true" outlineLevel="0" collapsed="false">
      <c r="A2438" s="3" t="s">
        <v>3488</v>
      </c>
      <c r="B2438" s="3" t="s">
        <v>744</v>
      </c>
      <c r="C2438" s="3" t="s">
        <v>120</v>
      </c>
      <c r="D2438" s="3" t="s">
        <v>38</v>
      </c>
      <c r="E2438" s="3" t="s">
        <v>39</v>
      </c>
      <c r="F2438" s="3" t="s">
        <v>40</v>
      </c>
      <c r="G2438" s="3" t="s">
        <v>49</v>
      </c>
      <c r="H2438" s="3" t="s">
        <v>77</v>
      </c>
      <c r="I2438" s="3" t="s">
        <v>131</v>
      </c>
      <c r="J2438" s="3" t="n">
        <v>36</v>
      </c>
      <c r="K2438" s="3" t="n">
        <v>3467.8</v>
      </c>
      <c r="L2438" s="3" t="n">
        <v>124840.8</v>
      </c>
      <c r="M2438" s="3" t="n">
        <v>0.0468</v>
      </c>
      <c r="N2438" s="3" t="n">
        <v>5842.55</v>
      </c>
      <c r="O2438" s="3" t="n">
        <v>118998.25</v>
      </c>
      <c r="P2438" s="3" t="n">
        <v>84891.74</v>
      </c>
      <c r="Q2438" s="3" t="n">
        <v>34106.51</v>
      </c>
      <c r="R2438" s="3" t="n">
        <v>0.2866</v>
      </c>
      <c r="S2438" s="3" t="n">
        <v>0.0394</v>
      </c>
      <c r="T2438" s="3" t="n">
        <v>0.0074</v>
      </c>
    </row>
    <row r="2439" customFormat="false" ht="15" hidden="false" customHeight="true" outlineLevel="0" collapsed="false">
      <c r="A2439" s="3" t="s">
        <v>3489</v>
      </c>
      <c r="B2439" s="3" t="s">
        <v>1001</v>
      </c>
      <c r="C2439" s="3" t="s">
        <v>46</v>
      </c>
      <c r="D2439" s="3" t="s">
        <v>61</v>
      </c>
      <c r="E2439" s="3" t="s">
        <v>33</v>
      </c>
      <c r="F2439" s="3" t="s">
        <v>62</v>
      </c>
      <c r="G2439" s="3" t="s">
        <v>49</v>
      </c>
      <c r="H2439" s="3" t="s">
        <v>77</v>
      </c>
      <c r="I2439" s="3" t="s">
        <v>78</v>
      </c>
      <c r="J2439" s="3" t="n">
        <v>9</v>
      </c>
      <c r="K2439" s="3" t="n">
        <v>5074.46</v>
      </c>
      <c r="L2439" s="3" t="n">
        <v>45670.14</v>
      </c>
      <c r="M2439" s="3" t="n">
        <v>0.0417</v>
      </c>
      <c r="N2439" s="3" t="n">
        <v>1904.44</v>
      </c>
      <c r="O2439" s="3" t="n">
        <v>43765.7</v>
      </c>
      <c r="P2439" s="3" t="n">
        <v>31055.7</v>
      </c>
      <c r="Q2439" s="3" t="n">
        <v>12710</v>
      </c>
      <c r="R2439" s="3" t="n">
        <v>0.2904</v>
      </c>
      <c r="S2439" s="3" t="n">
        <v>0.0429</v>
      </c>
      <c r="T2439" s="3" t="n">
        <v>-0.0012</v>
      </c>
    </row>
    <row r="2440" customFormat="false" ht="15" hidden="false" customHeight="true" outlineLevel="0" collapsed="false">
      <c r="A2440" s="3" t="s">
        <v>3490</v>
      </c>
      <c r="B2440" s="3" t="s">
        <v>1259</v>
      </c>
      <c r="C2440" s="3" t="s">
        <v>22</v>
      </c>
      <c r="D2440" s="3" t="s">
        <v>83</v>
      </c>
      <c r="E2440" s="3" t="s">
        <v>48</v>
      </c>
      <c r="F2440" s="3" t="s">
        <v>62</v>
      </c>
      <c r="G2440" s="3" t="s">
        <v>49</v>
      </c>
      <c r="H2440" s="3" t="s">
        <v>56</v>
      </c>
      <c r="I2440" s="3" t="s">
        <v>188</v>
      </c>
      <c r="J2440" s="3" t="n">
        <v>10</v>
      </c>
      <c r="K2440" s="3" t="n">
        <v>7796.49</v>
      </c>
      <c r="L2440" s="3" t="n">
        <v>77964.9</v>
      </c>
      <c r="M2440" s="3" t="n">
        <v>0.0488</v>
      </c>
      <c r="N2440" s="3" t="n">
        <v>3804.69</v>
      </c>
      <c r="O2440" s="3" t="n">
        <v>74160.21</v>
      </c>
      <c r="P2440" s="3" t="n">
        <v>46778.94</v>
      </c>
      <c r="Q2440" s="3" t="n">
        <v>27381.27</v>
      </c>
      <c r="R2440" s="3" t="n">
        <v>0.3692</v>
      </c>
      <c r="S2440" s="3" t="n">
        <v>0.0502</v>
      </c>
      <c r="T2440" s="3" t="n">
        <v>-0.0014</v>
      </c>
    </row>
    <row r="2441" customFormat="false" ht="15" hidden="false" customHeight="true" outlineLevel="0" collapsed="false">
      <c r="A2441" s="3" t="s">
        <v>3491</v>
      </c>
      <c r="B2441" s="3" t="s">
        <v>1183</v>
      </c>
      <c r="C2441" s="3" t="s">
        <v>31</v>
      </c>
      <c r="D2441" s="3" t="s">
        <v>38</v>
      </c>
      <c r="E2441" s="3" t="s">
        <v>39</v>
      </c>
      <c r="F2441" s="3" t="s">
        <v>40</v>
      </c>
      <c r="G2441" s="3" t="s">
        <v>34</v>
      </c>
      <c r="H2441" s="3" t="s">
        <v>77</v>
      </c>
      <c r="I2441" s="3" t="s">
        <v>131</v>
      </c>
      <c r="J2441" s="3" t="n">
        <v>2</v>
      </c>
      <c r="K2441" s="3" t="n">
        <v>4724.89</v>
      </c>
      <c r="L2441" s="3" t="n">
        <v>9449.78</v>
      </c>
      <c r="M2441" s="3" t="n">
        <v>0.0891</v>
      </c>
      <c r="N2441" s="3" t="n">
        <v>841.98</v>
      </c>
      <c r="O2441" s="3" t="n">
        <v>8607.8</v>
      </c>
      <c r="P2441" s="3" t="n">
        <v>6425.85</v>
      </c>
      <c r="Q2441" s="3" t="n">
        <v>2181.95</v>
      </c>
      <c r="R2441" s="3" t="n">
        <v>0.2535</v>
      </c>
      <c r="S2441" s="3" t="n">
        <v>0.0916</v>
      </c>
      <c r="T2441" s="3" t="n">
        <v>-0.0025</v>
      </c>
    </row>
    <row r="2442" customFormat="false" ht="15" hidden="false" customHeight="true" outlineLevel="0" collapsed="false">
      <c r="A2442" s="3" t="s">
        <v>3492</v>
      </c>
      <c r="B2442" s="3" t="s">
        <v>3493</v>
      </c>
      <c r="C2442" s="3" t="s">
        <v>31</v>
      </c>
      <c r="D2442" s="3" t="s">
        <v>103</v>
      </c>
      <c r="E2442" s="3" t="s">
        <v>24</v>
      </c>
      <c r="F2442" s="3" t="s">
        <v>62</v>
      </c>
      <c r="G2442" s="3" t="s">
        <v>84</v>
      </c>
      <c r="H2442" s="3" t="s">
        <v>42</v>
      </c>
      <c r="I2442" s="3" t="s">
        <v>134</v>
      </c>
      <c r="J2442" s="3" t="n">
        <v>3</v>
      </c>
      <c r="K2442" s="3" t="n">
        <v>2139.97</v>
      </c>
      <c r="L2442" s="3" t="n">
        <v>6419.91</v>
      </c>
      <c r="M2442" s="3" t="n">
        <v>0.0479</v>
      </c>
      <c r="N2442" s="3" t="n">
        <v>307.51</v>
      </c>
      <c r="O2442" s="3" t="n">
        <v>6112.4</v>
      </c>
      <c r="P2442" s="3" t="n">
        <v>3530.95</v>
      </c>
      <c r="Q2442" s="3" t="n">
        <v>2581.45</v>
      </c>
      <c r="R2442" s="3" t="n">
        <v>0.4223</v>
      </c>
      <c r="S2442" s="3" t="n">
        <v>0.0398</v>
      </c>
      <c r="T2442" s="3" t="n">
        <v>0.0081</v>
      </c>
    </row>
    <row r="2443" customFormat="false" ht="15" hidden="false" customHeight="true" outlineLevel="0" collapsed="false">
      <c r="A2443" s="3" t="s">
        <v>3494</v>
      </c>
      <c r="B2443" s="3" t="s">
        <v>984</v>
      </c>
      <c r="C2443" s="3" t="s">
        <v>53</v>
      </c>
      <c r="D2443" s="3" t="s">
        <v>83</v>
      </c>
      <c r="E2443" s="3" t="s">
        <v>48</v>
      </c>
      <c r="F2443" s="3" t="s">
        <v>62</v>
      </c>
      <c r="G2443" s="3" t="s">
        <v>100</v>
      </c>
      <c r="H2443" s="3" t="s">
        <v>64</v>
      </c>
      <c r="I2443" s="3" t="s">
        <v>65</v>
      </c>
      <c r="J2443" s="3" t="n">
        <v>24</v>
      </c>
      <c r="K2443" s="3" t="n">
        <v>7174.61</v>
      </c>
      <c r="L2443" s="3" t="n">
        <v>172190.64</v>
      </c>
      <c r="M2443" s="3" t="n">
        <v>0.0492</v>
      </c>
      <c r="N2443" s="3" t="n">
        <v>8471.78</v>
      </c>
      <c r="O2443" s="3" t="n">
        <v>163718.86</v>
      </c>
      <c r="P2443" s="3" t="n">
        <v>99870.57</v>
      </c>
      <c r="Q2443" s="3" t="n">
        <v>63848.29</v>
      </c>
      <c r="R2443" s="3" t="n">
        <v>0.39</v>
      </c>
      <c r="S2443" s="3" t="n">
        <v>0.0505</v>
      </c>
      <c r="T2443" s="3" t="n">
        <v>-0.0013</v>
      </c>
    </row>
    <row r="2444" customFormat="false" ht="15" hidden="false" customHeight="true" outlineLevel="0" collapsed="false">
      <c r="A2444" s="3" t="s">
        <v>3495</v>
      </c>
      <c r="B2444" s="3" t="s">
        <v>1564</v>
      </c>
      <c r="C2444" s="3" t="s">
        <v>37</v>
      </c>
      <c r="D2444" s="3" t="s">
        <v>83</v>
      </c>
      <c r="E2444" s="3" t="s">
        <v>48</v>
      </c>
      <c r="F2444" s="3" t="s">
        <v>62</v>
      </c>
      <c r="G2444" s="3" t="s">
        <v>34</v>
      </c>
      <c r="H2444" s="3" t="s">
        <v>56</v>
      </c>
      <c r="I2444" s="3" t="s">
        <v>121</v>
      </c>
      <c r="J2444" s="3" t="n">
        <v>47</v>
      </c>
      <c r="K2444" s="3" t="n">
        <v>9698.47</v>
      </c>
      <c r="L2444" s="3" t="n">
        <v>455828.09</v>
      </c>
      <c r="M2444" s="3" t="n">
        <v>0.057</v>
      </c>
      <c r="N2444" s="3" t="n">
        <v>25982.2</v>
      </c>
      <c r="O2444" s="3" t="n">
        <v>429845.89</v>
      </c>
      <c r="P2444" s="3" t="n">
        <v>273496.85</v>
      </c>
      <c r="Q2444" s="3" t="n">
        <v>156349.04</v>
      </c>
      <c r="R2444" s="3" t="n">
        <v>0.3637</v>
      </c>
      <c r="S2444" s="3" t="n">
        <v>0.0508</v>
      </c>
      <c r="T2444" s="3" t="n">
        <v>0.0062</v>
      </c>
    </row>
    <row r="2445" customFormat="false" ht="15" hidden="false" customHeight="true" outlineLevel="0" collapsed="false">
      <c r="A2445" s="3" t="s">
        <v>3496</v>
      </c>
      <c r="B2445" s="3" t="s">
        <v>3296</v>
      </c>
      <c r="C2445" s="3" t="s">
        <v>68</v>
      </c>
      <c r="D2445" s="3" t="s">
        <v>69</v>
      </c>
      <c r="E2445" s="3" t="s">
        <v>39</v>
      </c>
      <c r="F2445" s="3" t="s">
        <v>70</v>
      </c>
      <c r="G2445" s="3" t="s">
        <v>41</v>
      </c>
      <c r="H2445" s="3" t="s">
        <v>56</v>
      </c>
      <c r="I2445" s="3" t="s">
        <v>188</v>
      </c>
      <c r="J2445" s="3" t="n">
        <v>19</v>
      </c>
      <c r="K2445" s="3" t="n">
        <v>16218.68</v>
      </c>
      <c r="L2445" s="3" t="n">
        <v>308154.92</v>
      </c>
      <c r="M2445" s="3" t="n">
        <v>0.1247</v>
      </c>
      <c r="N2445" s="3" t="n">
        <v>38426.92</v>
      </c>
      <c r="O2445" s="3" t="n">
        <v>269728</v>
      </c>
      <c r="P2445" s="3" t="n">
        <v>184892.95</v>
      </c>
      <c r="Q2445" s="3" t="n">
        <v>84835.05</v>
      </c>
      <c r="R2445" s="3" t="n">
        <v>0.3145</v>
      </c>
      <c r="S2445" s="3" t="n">
        <v>0.1314</v>
      </c>
      <c r="T2445" s="3" t="n">
        <v>-0.0067</v>
      </c>
    </row>
    <row r="2446" customFormat="false" ht="15" hidden="false" customHeight="true" outlineLevel="0" collapsed="false">
      <c r="A2446" s="3" t="s">
        <v>3497</v>
      </c>
      <c r="B2446" s="3" t="s">
        <v>3498</v>
      </c>
      <c r="C2446" s="3" t="s">
        <v>46</v>
      </c>
      <c r="D2446" s="3" t="s">
        <v>97</v>
      </c>
      <c r="E2446" s="3" t="s">
        <v>48</v>
      </c>
      <c r="F2446" s="3" t="s">
        <v>40</v>
      </c>
      <c r="G2446" s="3" t="s">
        <v>41</v>
      </c>
      <c r="H2446" s="3" t="s">
        <v>77</v>
      </c>
      <c r="I2446" s="3" t="s">
        <v>85</v>
      </c>
      <c r="J2446" s="3" t="n">
        <v>11</v>
      </c>
      <c r="K2446" s="3" t="n">
        <v>3039.95</v>
      </c>
      <c r="L2446" s="3" t="n">
        <v>33439.45</v>
      </c>
      <c r="M2446" s="3" t="n">
        <v>0.0914</v>
      </c>
      <c r="N2446" s="3" t="n">
        <v>3056.37</v>
      </c>
      <c r="O2446" s="3" t="n">
        <v>30383.08</v>
      </c>
      <c r="P2446" s="3" t="n">
        <v>22738.83</v>
      </c>
      <c r="Q2446" s="3" t="n">
        <v>7644.25</v>
      </c>
      <c r="R2446" s="3" t="n">
        <v>0.2516</v>
      </c>
      <c r="S2446" s="3" t="n">
        <v>0.0919</v>
      </c>
      <c r="T2446" s="3" t="n">
        <v>-0.0005</v>
      </c>
    </row>
    <row r="2447" customFormat="false" ht="15" hidden="false" customHeight="true" outlineLevel="0" collapsed="false">
      <c r="A2447" s="3" t="s">
        <v>3499</v>
      </c>
      <c r="B2447" s="3" t="s">
        <v>605</v>
      </c>
      <c r="C2447" s="3" t="s">
        <v>60</v>
      </c>
      <c r="D2447" s="3" t="s">
        <v>47</v>
      </c>
      <c r="E2447" s="3" t="s">
        <v>48</v>
      </c>
      <c r="F2447" s="3" t="s">
        <v>25</v>
      </c>
      <c r="G2447" s="3" t="s">
        <v>41</v>
      </c>
      <c r="H2447" s="3" t="s">
        <v>64</v>
      </c>
      <c r="I2447" s="3" t="s">
        <v>90</v>
      </c>
      <c r="J2447" s="3" t="n">
        <v>20</v>
      </c>
      <c r="K2447" s="3" t="n">
        <v>7995</v>
      </c>
      <c r="L2447" s="3" t="n">
        <v>159900</v>
      </c>
      <c r="M2447" s="3" t="n">
        <v>0.1929</v>
      </c>
      <c r="N2447" s="3" t="n">
        <v>30844.71</v>
      </c>
      <c r="O2447" s="3" t="n">
        <v>129055.29</v>
      </c>
      <c r="P2447" s="3" t="n">
        <v>92742</v>
      </c>
      <c r="Q2447" s="3" t="n">
        <v>36313.29</v>
      </c>
      <c r="R2447" s="3" t="n">
        <v>0.2814</v>
      </c>
      <c r="S2447" s="3" t="n">
        <v>0.1549</v>
      </c>
      <c r="T2447" s="3" t="n">
        <v>0.038</v>
      </c>
    </row>
    <row r="2448" customFormat="false" ht="15" hidden="false" customHeight="true" outlineLevel="0" collapsed="false">
      <c r="A2448" s="3" t="s">
        <v>3500</v>
      </c>
      <c r="B2448" s="3" t="s">
        <v>3501</v>
      </c>
      <c r="C2448" s="3" t="s">
        <v>113</v>
      </c>
      <c r="D2448" s="3" t="s">
        <v>23</v>
      </c>
      <c r="E2448" s="3" t="s">
        <v>24</v>
      </c>
      <c r="F2448" s="3" t="s">
        <v>25</v>
      </c>
      <c r="G2448" s="3" t="s">
        <v>34</v>
      </c>
      <c r="H2448" s="3" t="s">
        <v>77</v>
      </c>
      <c r="I2448" s="3" t="s">
        <v>85</v>
      </c>
      <c r="J2448" s="3" t="n">
        <v>5</v>
      </c>
      <c r="K2448" s="3" t="n">
        <v>1890.32</v>
      </c>
      <c r="L2448" s="3" t="n">
        <v>9451.6</v>
      </c>
      <c r="M2448" s="3" t="n">
        <v>0.2272</v>
      </c>
      <c r="N2448" s="3" t="n">
        <v>2147.4</v>
      </c>
      <c r="O2448" s="3" t="n">
        <v>7304.2</v>
      </c>
      <c r="P2448" s="3" t="n">
        <v>6427.09</v>
      </c>
      <c r="Q2448" s="3" t="n">
        <v>877.11</v>
      </c>
      <c r="R2448" s="3" t="n">
        <v>0.1201</v>
      </c>
      <c r="S2448" s="3" t="n">
        <v>0.2313</v>
      </c>
      <c r="T2448" s="3" t="n">
        <v>-0.0041</v>
      </c>
    </row>
    <row r="2449" customFormat="false" ht="15" hidden="false" customHeight="true" outlineLevel="0" collapsed="false">
      <c r="A2449" s="3" t="s">
        <v>3502</v>
      </c>
      <c r="B2449" s="3" t="s">
        <v>3503</v>
      </c>
      <c r="C2449" s="3" t="s">
        <v>31</v>
      </c>
      <c r="D2449" s="3" t="s">
        <v>47</v>
      </c>
      <c r="E2449" s="3" t="s">
        <v>48</v>
      </c>
      <c r="F2449" s="3" t="s">
        <v>25</v>
      </c>
      <c r="G2449" s="3" t="s">
        <v>26</v>
      </c>
      <c r="H2449" s="3" t="s">
        <v>77</v>
      </c>
      <c r="I2449" s="3" t="s">
        <v>78</v>
      </c>
      <c r="J2449" s="3" t="n">
        <v>39</v>
      </c>
      <c r="K2449" s="3" t="n">
        <v>1864.14</v>
      </c>
      <c r="L2449" s="3" t="n">
        <v>72701.46</v>
      </c>
      <c r="M2449" s="3" t="n">
        <v>0.1477</v>
      </c>
      <c r="N2449" s="3" t="n">
        <v>10738.01</v>
      </c>
      <c r="O2449" s="3" t="n">
        <v>61963.45</v>
      </c>
      <c r="P2449" s="3" t="n">
        <v>49436.99</v>
      </c>
      <c r="Q2449" s="3" t="n">
        <v>12526.46</v>
      </c>
      <c r="R2449" s="3" t="n">
        <v>0.2022</v>
      </c>
      <c r="S2449" s="3" t="n">
        <v>0.1502</v>
      </c>
      <c r="T2449" s="3" t="n">
        <v>-0.0025</v>
      </c>
    </row>
    <row r="2450" customFormat="false" ht="15" hidden="false" customHeight="true" outlineLevel="0" collapsed="false">
      <c r="A2450" s="3" t="s">
        <v>3504</v>
      </c>
      <c r="B2450" s="3" t="s">
        <v>984</v>
      </c>
      <c r="C2450" s="3" t="s">
        <v>53</v>
      </c>
      <c r="D2450" s="3" t="s">
        <v>83</v>
      </c>
      <c r="E2450" s="3" t="s">
        <v>48</v>
      </c>
      <c r="F2450" s="3" t="s">
        <v>62</v>
      </c>
      <c r="G2450" s="3" t="s">
        <v>63</v>
      </c>
      <c r="H2450" s="3" t="s">
        <v>56</v>
      </c>
      <c r="I2450" s="3" t="s">
        <v>188</v>
      </c>
      <c r="J2450" s="3" t="n">
        <v>45</v>
      </c>
      <c r="K2450" s="3" t="n">
        <v>16334.73</v>
      </c>
      <c r="L2450" s="3" t="n">
        <v>735062.85</v>
      </c>
      <c r="M2450" s="3" t="n">
        <v>0.0315</v>
      </c>
      <c r="N2450" s="3" t="n">
        <v>23154.48</v>
      </c>
      <c r="O2450" s="3" t="n">
        <v>711908.37</v>
      </c>
      <c r="P2450" s="3" t="n">
        <v>441037.71</v>
      </c>
      <c r="Q2450" s="3" t="n">
        <v>270870.66</v>
      </c>
      <c r="R2450" s="3" t="n">
        <v>0.3805</v>
      </c>
      <c r="S2450" s="3" t="n">
        <v>0.0301</v>
      </c>
      <c r="T2450" s="3" t="n">
        <v>0.0014</v>
      </c>
    </row>
    <row r="2451" customFormat="false" ht="15" hidden="false" customHeight="true" outlineLevel="0" collapsed="false">
      <c r="A2451" s="3" t="s">
        <v>3505</v>
      </c>
      <c r="B2451" s="3" t="s">
        <v>2799</v>
      </c>
      <c r="C2451" s="3" t="s">
        <v>46</v>
      </c>
      <c r="D2451" s="3" t="s">
        <v>107</v>
      </c>
      <c r="E2451" s="3" t="s">
        <v>33</v>
      </c>
      <c r="F2451" s="3" t="s">
        <v>70</v>
      </c>
      <c r="G2451" s="3" t="s">
        <v>71</v>
      </c>
      <c r="H2451" s="3" t="s">
        <v>77</v>
      </c>
      <c r="I2451" s="3" t="s">
        <v>85</v>
      </c>
      <c r="J2451" s="3" t="n">
        <v>4</v>
      </c>
      <c r="K2451" s="3" t="n">
        <v>2322.03</v>
      </c>
      <c r="L2451" s="3" t="n">
        <v>9288.12</v>
      </c>
      <c r="M2451" s="3" t="n">
        <v>0.0647</v>
      </c>
      <c r="N2451" s="3" t="n">
        <v>600.94</v>
      </c>
      <c r="O2451" s="3" t="n">
        <v>8687.18</v>
      </c>
      <c r="P2451" s="3" t="n">
        <v>6315.92</v>
      </c>
      <c r="Q2451" s="3" t="n">
        <v>2371.26</v>
      </c>
      <c r="R2451" s="3" t="n">
        <v>0.273</v>
      </c>
      <c r="S2451" s="3" t="n">
        <v>0.0668</v>
      </c>
      <c r="T2451" s="3" t="n">
        <v>-0.0021</v>
      </c>
    </row>
    <row r="2452" customFormat="false" ht="15" hidden="false" customHeight="true" outlineLevel="0" collapsed="false">
      <c r="A2452" s="3" t="s">
        <v>3506</v>
      </c>
      <c r="B2452" s="3" t="s">
        <v>613</v>
      </c>
      <c r="C2452" s="3" t="s">
        <v>31</v>
      </c>
      <c r="D2452" s="3" t="s">
        <v>54</v>
      </c>
      <c r="E2452" s="3" t="s">
        <v>24</v>
      </c>
      <c r="F2452" s="3" t="s">
        <v>40</v>
      </c>
      <c r="G2452" s="3" t="s">
        <v>104</v>
      </c>
      <c r="H2452" s="3" t="s">
        <v>27</v>
      </c>
      <c r="I2452" s="3" t="s">
        <v>50</v>
      </c>
      <c r="J2452" s="3" t="n">
        <v>39</v>
      </c>
      <c r="K2452" s="3" t="n">
        <v>29993.73</v>
      </c>
      <c r="L2452" s="3" t="n">
        <v>1169755.47</v>
      </c>
      <c r="M2452" s="3" t="n">
        <v>0.1076</v>
      </c>
      <c r="N2452" s="3" t="n">
        <v>125865.69</v>
      </c>
      <c r="O2452" s="3" t="n">
        <v>1043889.78</v>
      </c>
      <c r="P2452" s="3" t="n">
        <v>725248.39</v>
      </c>
      <c r="Q2452" s="3" t="n">
        <v>318641.39</v>
      </c>
      <c r="R2452" s="3" t="n">
        <v>0.3052</v>
      </c>
      <c r="S2452" s="3" t="n">
        <v>0.11</v>
      </c>
      <c r="T2452" s="3" t="n">
        <v>-0.0024</v>
      </c>
    </row>
    <row r="2453" customFormat="false" ht="15" hidden="false" customHeight="true" outlineLevel="0" collapsed="false">
      <c r="A2453" s="3" t="s">
        <v>3507</v>
      </c>
      <c r="B2453" s="3" t="s">
        <v>3508</v>
      </c>
      <c r="C2453" s="3" t="s">
        <v>113</v>
      </c>
      <c r="D2453" s="3" t="s">
        <v>103</v>
      </c>
      <c r="E2453" s="3" t="s">
        <v>24</v>
      </c>
      <c r="F2453" s="3" t="s">
        <v>62</v>
      </c>
      <c r="G2453" s="3" t="s">
        <v>63</v>
      </c>
      <c r="H2453" s="3" t="s">
        <v>56</v>
      </c>
      <c r="I2453" s="3" t="s">
        <v>57</v>
      </c>
      <c r="J2453" s="3" t="n">
        <v>50</v>
      </c>
      <c r="K2453" s="3" t="n">
        <v>17224.72</v>
      </c>
      <c r="L2453" s="3" t="n">
        <v>861236</v>
      </c>
      <c r="M2453" s="3" t="n">
        <v>0.0304</v>
      </c>
      <c r="N2453" s="3" t="n">
        <v>26181.57</v>
      </c>
      <c r="O2453" s="3" t="n">
        <v>835054.43</v>
      </c>
      <c r="P2453" s="3" t="n">
        <v>516741.6</v>
      </c>
      <c r="Q2453" s="3" t="n">
        <v>318312.83</v>
      </c>
      <c r="R2453" s="3" t="n">
        <v>0.3812</v>
      </c>
      <c r="S2453" s="3" t="n">
        <v>0.0306</v>
      </c>
      <c r="T2453" s="3" t="n">
        <v>-0.0002</v>
      </c>
    </row>
    <row r="2454" customFormat="false" ht="15" hidden="false" customHeight="true" outlineLevel="0" collapsed="false">
      <c r="A2454" s="3" t="s">
        <v>3509</v>
      </c>
      <c r="B2454" s="3" t="s">
        <v>3510</v>
      </c>
      <c r="C2454" s="3" t="s">
        <v>93</v>
      </c>
      <c r="D2454" s="3" t="s">
        <v>97</v>
      </c>
      <c r="E2454" s="3" t="s">
        <v>48</v>
      </c>
      <c r="F2454" s="3" t="s">
        <v>40</v>
      </c>
      <c r="G2454" s="3" t="s">
        <v>84</v>
      </c>
      <c r="H2454" s="3" t="s">
        <v>42</v>
      </c>
      <c r="I2454" s="3" t="s">
        <v>134</v>
      </c>
      <c r="J2454" s="3" t="n">
        <v>31</v>
      </c>
      <c r="K2454" s="3" t="n">
        <v>702.21</v>
      </c>
      <c r="L2454" s="3" t="n">
        <v>21768.51</v>
      </c>
      <c r="M2454" s="3" t="n">
        <v>0.055</v>
      </c>
      <c r="N2454" s="3" t="n">
        <v>1197.27</v>
      </c>
      <c r="O2454" s="3" t="n">
        <v>20571.24</v>
      </c>
      <c r="P2454" s="3" t="n">
        <v>11972.68</v>
      </c>
      <c r="Q2454" s="3" t="n">
        <v>8598.56</v>
      </c>
      <c r="R2454" s="3" t="n">
        <v>0.418</v>
      </c>
      <c r="S2454" s="3" t="n">
        <v>0.0523</v>
      </c>
      <c r="T2454" s="3" t="n">
        <v>0.0027</v>
      </c>
    </row>
    <row r="2455" customFormat="false" ht="15" hidden="false" customHeight="true" outlineLevel="0" collapsed="false">
      <c r="A2455" s="3" t="s">
        <v>3511</v>
      </c>
      <c r="B2455" s="3" t="s">
        <v>2361</v>
      </c>
      <c r="C2455" s="3" t="s">
        <v>53</v>
      </c>
      <c r="D2455" s="3" t="s">
        <v>103</v>
      </c>
      <c r="E2455" s="3" t="s">
        <v>24</v>
      </c>
      <c r="F2455" s="3" t="s">
        <v>62</v>
      </c>
      <c r="G2455" s="3" t="s">
        <v>41</v>
      </c>
      <c r="H2455" s="3" t="s">
        <v>42</v>
      </c>
      <c r="I2455" s="3" t="s">
        <v>134</v>
      </c>
      <c r="J2455" s="3" t="n">
        <v>5</v>
      </c>
      <c r="K2455" s="3" t="n">
        <v>2027.17</v>
      </c>
      <c r="L2455" s="3" t="n">
        <v>10135.85</v>
      </c>
      <c r="M2455" s="3" t="n">
        <v>0.1138</v>
      </c>
      <c r="N2455" s="3" t="n">
        <v>1153.46</v>
      </c>
      <c r="O2455" s="3" t="n">
        <v>8982.39</v>
      </c>
      <c r="P2455" s="3" t="n">
        <v>5574.72</v>
      </c>
      <c r="Q2455" s="3" t="n">
        <v>3407.67</v>
      </c>
      <c r="R2455" s="3" t="n">
        <v>0.3794</v>
      </c>
      <c r="S2455" s="3" t="n">
        <v>0.1195</v>
      </c>
      <c r="T2455" s="3" t="n">
        <v>-0.0057</v>
      </c>
    </row>
    <row r="2456" customFormat="false" ht="15" hidden="false" customHeight="true" outlineLevel="0" collapsed="false">
      <c r="A2456" s="3" t="s">
        <v>3512</v>
      </c>
      <c r="B2456" s="3" t="s">
        <v>1765</v>
      </c>
      <c r="C2456" s="3" t="s">
        <v>113</v>
      </c>
      <c r="D2456" s="3" t="s">
        <v>107</v>
      </c>
      <c r="E2456" s="3" t="s">
        <v>33</v>
      </c>
      <c r="F2456" s="3" t="s">
        <v>70</v>
      </c>
      <c r="G2456" s="3" t="s">
        <v>41</v>
      </c>
      <c r="H2456" s="3" t="s">
        <v>42</v>
      </c>
      <c r="I2456" s="3" t="s">
        <v>43</v>
      </c>
      <c r="J2456" s="3" t="n">
        <v>26</v>
      </c>
      <c r="K2456" s="3" t="n">
        <v>2169</v>
      </c>
      <c r="L2456" s="3" t="n">
        <v>56394</v>
      </c>
      <c r="M2456" s="3" t="n">
        <v>0.0927</v>
      </c>
      <c r="N2456" s="3" t="n">
        <v>5227.72</v>
      </c>
      <c r="O2456" s="3" t="n">
        <v>51166.28</v>
      </c>
      <c r="P2456" s="3" t="n">
        <v>31016.7</v>
      </c>
      <c r="Q2456" s="3" t="n">
        <v>20149.58</v>
      </c>
      <c r="R2456" s="3" t="n">
        <v>0.3938</v>
      </c>
      <c r="S2456" s="3" t="n">
        <v>0.0792</v>
      </c>
      <c r="T2456" s="3" t="n">
        <v>0.0135</v>
      </c>
    </row>
    <row r="2457" customFormat="false" ht="15" hidden="false" customHeight="true" outlineLevel="0" collapsed="false">
      <c r="A2457" s="3" t="s">
        <v>3513</v>
      </c>
      <c r="B2457" s="3" t="s">
        <v>253</v>
      </c>
      <c r="C2457" s="3" t="s">
        <v>22</v>
      </c>
      <c r="D2457" s="3" t="s">
        <v>97</v>
      </c>
      <c r="E2457" s="3" t="s">
        <v>48</v>
      </c>
      <c r="F2457" s="3" t="s">
        <v>40</v>
      </c>
      <c r="G2457" s="3" t="s">
        <v>71</v>
      </c>
      <c r="H2457" s="3" t="s">
        <v>64</v>
      </c>
      <c r="I2457" s="3" t="s">
        <v>108</v>
      </c>
      <c r="J2457" s="3" t="n">
        <v>7</v>
      </c>
      <c r="K2457" s="3" t="n">
        <v>4325.03</v>
      </c>
      <c r="L2457" s="3" t="n">
        <v>30275.21</v>
      </c>
      <c r="M2457" s="3" t="n">
        <v>0.0353</v>
      </c>
      <c r="N2457" s="3" t="n">
        <v>1068.71</v>
      </c>
      <c r="O2457" s="3" t="n">
        <v>29206.5</v>
      </c>
      <c r="P2457" s="3" t="n">
        <v>17559.62</v>
      </c>
      <c r="Q2457" s="3" t="n">
        <v>11646.88</v>
      </c>
      <c r="R2457" s="3" t="n">
        <v>0.3988</v>
      </c>
      <c r="S2457" s="3" t="n">
        <v>0.0371</v>
      </c>
      <c r="T2457" s="3" t="n">
        <v>-0.0018</v>
      </c>
    </row>
    <row r="2458" customFormat="false" ht="15" hidden="false" customHeight="true" outlineLevel="0" collapsed="false">
      <c r="A2458" s="3" t="s">
        <v>3514</v>
      </c>
      <c r="B2458" s="3" t="s">
        <v>1901</v>
      </c>
      <c r="C2458" s="3" t="s">
        <v>60</v>
      </c>
      <c r="D2458" s="3" t="s">
        <v>103</v>
      </c>
      <c r="E2458" s="3" t="s">
        <v>24</v>
      </c>
      <c r="F2458" s="3" t="s">
        <v>62</v>
      </c>
      <c r="G2458" s="3" t="s">
        <v>55</v>
      </c>
      <c r="H2458" s="3" t="s">
        <v>77</v>
      </c>
      <c r="I2458" s="3" t="s">
        <v>78</v>
      </c>
      <c r="J2458" s="3" t="n">
        <v>32</v>
      </c>
      <c r="K2458" s="3" t="n">
        <v>1779.32</v>
      </c>
      <c r="L2458" s="3" t="n">
        <v>56938.24</v>
      </c>
      <c r="M2458" s="3" t="n">
        <v>0.0353</v>
      </c>
      <c r="N2458" s="3" t="n">
        <v>2009.92</v>
      </c>
      <c r="O2458" s="3" t="n">
        <v>54928.32</v>
      </c>
      <c r="P2458" s="3" t="n">
        <v>38718</v>
      </c>
      <c r="Q2458" s="3" t="n">
        <v>16210.32</v>
      </c>
      <c r="R2458" s="3" t="n">
        <v>0.2951</v>
      </c>
      <c r="S2458" s="3" t="n">
        <v>0.0289</v>
      </c>
      <c r="T2458" s="3" t="n">
        <v>0.0064</v>
      </c>
    </row>
    <row r="2459" customFormat="false" ht="15" hidden="false" customHeight="true" outlineLevel="0" collapsed="false">
      <c r="A2459" s="3" t="s">
        <v>3515</v>
      </c>
      <c r="B2459" s="3" t="s">
        <v>995</v>
      </c>
      <c r="C2459" s="3" t="s">
        <v>156</v>
      </c>
      <c r="D2459" s="3" t="s">
        <v>54</v>
      </c>
      <c r="E2459" s="3" t="s">
        <v>24</v>
      </c>
      <c r="F2459" s="3" t="s">
        <v>40</v>
      </c>
      <c r="G2459" s="3" t="s">
        <v>116</v>
      </c>
      <c r="H2459" s="3" t="s">
        <v>64</v>
      </c>
      <c r="I2459" s="3" t="s">
        <v>145</v>
      </c>
      <c r="J2459" s="3" t="n">
        <v>36</v>
      </c>
      <c r="K2459" s="3" t="n">
        <v>5600.55</v>
      </c>
      <c r="L2459" s="3" t="n">
        <v>201619.8</v>
      </c>
      <c r="M2459" s="3" t="n">
        <v>0.0923</v>
      </c>
      <c r="N2459" s="3" t="n">
        <v>18609.51</v>
      </c>
      <c r="O2459" s="3" t="n">
        <v>183010.29</v>
      </c>
      <c r="P2459" s="3" t="n">
        <v>116939.48</v>
      </c>
      <c r="Q2459" s="3" t="n">
        <v>66070.81</v>
      </c>
      <c r="R2459" s="3" t="n">
        <v>0.361</v>
      </c>
      <c r="S2459" s="3" t="n">
        <v>0.0843</v>
      </c>
      <c r="T2459" s="3" t="n">
        <v>0.008</v>
      </c>
    </row>
    <row r="2460" customFormat="false" ht="15" hidden="false" customHeight="true" outlineLevel="0" collapsed="false">
      <c r="A2460" s="3" t="s">
        <v>3516</v>
      </c>
      <c r="B2460" s="3" t="s">
        <v>1957</v>
      </c>
      <c r="C2460" s="3" t="s">
        <v>31</v>
      </c>
      <c r="D2460" s="3" t="s">
        <v>61</v>
      </c>
      <c r="E2460" s="3" t="s">
        <v>33</v>
      </c>
      <c r="F2460" s="3" t="s">
        <v>62</v>
      </c>
      <c r="G2460" s="3" t="s">
        <v>104</v>
      </c>
      <c r="H2460" s="3" t="s">
        <v>77</v>
      </c>
      <c r="I2460" s="3" t="s">
        <v>85</v>
      </c>
      <c r="J2460" s="3" t="n">
        <v>12</v>
      </c>
      <c r="K2460" s="3" t="n">
        <v>2195.19</v>
      </c>
      <c r="L2460" s="3" t="n">
        <v>26342.28</v>
      </c>
      <c r="M2460" s="3" t="n">
        <v>0.0953</v>
      </c>
      <c r="N2460" s="3" t="n">
        <v>2510.42</v>
      </c>
      <c r="O2460" s="3" t="n">
        <v>23831.86</v>
      </c>
      <c r="P2460" s="3" t="n">
        <v>17912.75</v>
      </c>
      <c r="Q2460" s="3" t="n">
        <v>5919.11</v>
      </c>
      <c r="R2460" s="3" t="n">
        <v>0.2484</v>
      </c>
      <c r="S2460" s="3" t="n">
        <v>0.1047</v>
      </c>
      <c r="T2460" s="3" t="n">
        <v>-0.0094</v>
      </c>
    </row>
    <row r="2461" customFormat="false" ht="15" hidden="false" customHeight="true" outlineLevel="0" collapsed="false">
      <c r="A2461" s="3" t="s">
        <v>3517</v>
      </c>
      <c r="B2461" s="3" t="s">
        <v>2662</v>
      </c>
      <c r="C2461" s="3" t="s">
        <v>68</v>
      </c>
      <c r="D2461" s="3" t="s">
        <v>38</v>
      </c>
      <c r="E2461" s="3" t="s">
        <v>39</v>
      </c>
      <c r="F2461" s="3" t="s">
        <v>40</v>
      </c>
      <c r="G2461" s="3" t="s">
        <v>116</v>
      </c>
      <c r="H2461" s="3" t="s">
        <v>56</v>
      </c>
      <c r="I2461" s="3" t="s">
        <v>188</v>
      </c>
      <c r="J2461" s="3" t="n">
        <v>18</v>
      </c>
      <c r="K2461" s="3" t="n">
        <v>17950.14</v>
      </c>
      <c r="L2461" s="3" t="n">
        <v>323102.52</v>
      </c>
      <c r="M2461" s="3" t="n">
        <v>0.0751</v>
      </c>
      <c r="N2461" s="3" t="n">
        <v>24265</v>
      </c>
      <c r="O2461" s="3" t="n">
        <v>298837.52</v>
      </c>
      <c r="P2461" s="3" t="n">
        <v>193861.51</v>
      </c>
      <c r="Q2461" s="3" t="n">
        <v>104976.01</v>
      </c>
      <c r="R2461" s="3" t="n">
        <v>0.3513</v>
      </c>
      <c r="S2461" s="3" t="n">
        <v>0.0788</v>
      </c>
      <c r="T2461" s="3" t="n">
        <v>-0.0037</v>
      </c>
    </row>
    <row r="2462" customFormat="false" ht="15" hidden="false" customHeight="true" outlineLevel="0" collapsed="false">
      <c r="A2462" s="3" t="s">
        <v>3518</v>
      </c>
      <c r="B2462" s="3" t="s">
        <v>1063</v>
      </c>
      <c r="C2462" s="3" t="s">
        <v>113</v>
      </c>
      <c r="D2462" s="3" t="s">
        <v>32</v>
      </c>
      <c r="E2462" s="3" t="s">
        <v>33</v>
      </c>
      <c r="F2462" s="3" t="s">
        <v>25</v>
      </c>
      <c r="G2462" s="3" t="s">
        <v>104</v>
      </c>
      <c r="H2462" s="3" t="s">
        <v>77</v>
      </c>
      <c r="I2462" s="3" t="s">
        <v>85</v>
      </c>
      <c r="J2462" s="3" t="n">
        <v>29</v>
      </c>
      <c r="K2462" s="3" t="n">
        <v>5368.09</v>
      </c>
      <c r="L2462" s="3" t="n">
        <v>155674.61</v>
      </c>
      <c r="M2462" s="3" t="n">
        <v>0.185</v>
      </c>
      <c r="N2462" s="3" t="n">
        <v>28799.8</v>
      </c>
      <c r="O2462" s="3" t="n">
        <v>126874.81</v>
      </c>
      <c r="P2462" s="3" t="n">
        <v>105858.73</v>
      </c>
      <c r="Q2462" s="3" t="n">
        <v>21016.08</v>
      </c>
      <c r="R2462" s="3" t="n">
        <v>0.1656</v>
      </c>
      <c r="S2462" s="3" t="n">
        <v>0.1927</v>
      </c>
      <c r="T2462" s="3" t="n">
        <v>-0.0077</v>
      </c>
    </row>
    <row r="2463" customFormat="false" ht="15" hidden="false" customHeight="true" outlineLevel="0" collapsed="false">
      <c r="A2463" s="3" t="s">
        <v>3519</v>
      </c>
      <c r="B2463" s="3" t="s">
        <v>1210</v>
      </c>
      <c r="C2463" s="3" t="s">
        <v>156</v>
      </c>
      <c r="D2463" s="3" t="s">
        <v>61</v>
      </c>
      <c r="E2463" s="3" t="s">
        <v>33</v>
      </c>
      <c r="F2463" s="3" t="s">
        <v>62</v>
      </c>
      <c r="G2463" s="3" t="s">
        <v>84</v>
      </c>
      <c r="H2463" s="3" t="s">
        <v>77</v>
      </c>
      <c r="I2463" s="3" t="s">
        <v>131</v>
      </c>
      <c r="J2463" s="3" t="n">
        <v>3</v>
      </c>
      <c r="K2463" s="3" t="n">
        <v>5458.05</v>
      </c>
      <c r="L2463" s="3" t="n">
        <v>16374.15</v>
      </c>
      <c r="M2463" s="3" t="n">
        <v>0.0744</v>
      </c>
      <c r="N2463" s="3" t="n">
        <v>1218.24</v>
      </c>
      <c r="O2463" s="3" t="n">
        <v>15155.91</v>
      </c>
      <c r="P2463" s="3" t="n">
        <v>11134.42</v>
      </c>
      <c r="Q2463" s="3" t="n">
        <v>4021.49</v>
      </c>
      <c r="R2463" s="3" t="n">
        <v>0.2653</v>
      </c>
      <c r="S2463" s="3" t="n">
        <v>0.0805</v>
      </c>
      <c r="T2463" s="3" t="n">
        <v>-0.0061</v>
      </c>
    </row>
    <row r="2464" customFormat="false" ht="15" hidden="false" customHeight="true" outlineLevel="0" collapsed="false">
      <c r="A2464" s="3" t="s">
        <v>3520</v>
      </c>
      <c r="B2464" s="3" t="s">
        <v>797</v>
      </c>
      <c r="C2464" s="3" t="s">
        <v>46</v>
      </c>
      <c r="D2464" s="3" t="s">
        <v>54</v>
      </c>
      <c r="E2464" s="3" t="s">
        <v>24</v>
      </c>
      <c r="F2464" s="3" t="s">
        <v>40</v>
      </c>
      <c r="G2464" s="3" t="s">
        <v>34</v>
      </c>
      <c r="H2464" s="3" t="s">
        <v>56</v>
      </c>
      <c r="I2464" s="3" t="s">
        <v>188</v>
      </c>
      <c r="J2464" s="3" t="n">
        <v>30</v>
      </c>
      <c r="K2464" s="3" t="n">
        <v>4955.99</v>
      </c>
      <c r="L2464" s="3" t="n">
        <v>148679.7</v>
      </c>
      <c r="M2464" s="3" t="n">
        <v>0.0958</v>
      </c>
      <c r="N2464" s="3" t="n">
        <v>14243.52</v>
      </c>
      <c r="O2464" s="3" t="n">
        <v>134436.18</v>
      </c>
      <c r="P2464" s="3" t="n">
        <v>89207.82</v>
      </c>
      <c r="Q2464" s="3" t="n">
        <v>45228.36</v>
      </c>
      <c r="R2464" s="3" t="n">
        <v>0.3364</v>
      </c>
      <c r="S2464" s="3" t="n">
        <v>0.0933</v>
      </c>
      <c r="T2464" s="3" t="n">
        <v>0.0025</v>
      </c>
    </row>
    <row r="2465" customFormat="false" ht="15" hidden="false" customHeight="true" outlineLevel="0" collapsed="false">
      <c r="A2465" s="3" t="s">
        <v>3521</v>
      </c>
      <c r="B2465" s="3" t="s">
        <v>2361</v>
      </c>
      <c r="C2465" s="3" t="s">
        <v>53</v>
      </c>
      <c r="D2465" s="3" t="s">
        <v>61</v>
      </c>
      <c r="E2465" s="3" t="s">
        <v>33</v>
      </c>
      <c r="F2465" s="3" t="s">
        <v>62</v>
      </c>
      <c r="G2465" s="3" t="s">
        <v>55</v>
      </c>
      <c r="H2465" s="3" t="s">
        <v>77</v>
      </c>
      <c r="I2465" s="3" t="s">
        <v>131</v>
      </c>
      <c r="J2465" s="3" t="n">
        <v>29</v>
      </c>
      <c r="K2465" s="3" t="n">
        <v>2537.46</v>
      </c>
      <c r="L2465" s="3" t="n">
        <v>73586.34</v>
      </c>
      <c r="M2465" s="3" t="n">
        <v>0.0517</v>
      </c>
      <c r="N2465" s="3" t="n">
        <v>3804.41</v>
      </c>
      <c r="O2465" s="3" t="n">
        <v>69781.93</v>
      </c>
      <c r="P2465" s="3" t="n">
        <v>50038.71</v>
      </c>
      <c r="Q2465" s="3" t="n">
        <v>19743.22</v>
      </c>
      <c r="R2465" s="3" t="n">
        <v>0.2829</v>
      </c>
      <c r="S2465" s="3" t="n">
        <v>0.0555</v>
      </c>
      <c r="T2465" s="3" t="n">
        <v>-0.0038</v>
      </c>
    </row>
    <row r="2466" customFormat="false" ht="15" hidden="false" customHeight="true" outlineLevel="0" collapsed="false">
      <c r="A2466" s="3" t="s">
        <v>3522</v>
      </c>
      <c r="B2466" s="3" t="s">
        <v>2402</v>
      </c>
      <c r="C2466" s="3" t="s">
        <v>22</v>
      </c>
      <c r="D2466" s="3" t="s">
        <v>32</v>
      </c>
      <c r="E2466" s="3" t="s">
        <v>33</v>
      </c>
      <c r="F2466" s="3" t="s">
        <v>25</v>
      </c>
      <c r="G2466" s="3" t="s">
        <v>55</v>
      </c>
      <c r="H2466" s="3" t="s">
        <v>56</v>
      </c>
      <c r="I2466" s="3" t="s">
        <v>188</v>
      </c>
      <c r="J2466" s="3" t="n">
        <v>26</v>
      </c>
      <c r="K2466" s="3" t="n">
        <v>2520.18</v>
      </c>
      <c r="L2466" s="3" t="n">
        <v>65524.68</v>
      </c>
      <c r="M2466" s="3" t="n">
        <v>0.1338</v>
      </c>
      <c r="N2466" s="3" t="n">
        <v>8767.2</v>
      </c>
      <c r="O2466" s="3" t="n">
        <v>56757.48</v>
      </c>
      <c r="P2466" s="3" t="n">
        <v>39314.81</v>
      </c>
      <c r="Q2466" s="3" t="n">
        <v>17442.67</v>
      </c>
      <c r="R2466" s="3" t="n">
        <v>0.3073</v>
      </c>
      <c r="S2466" s="3" t="n">
        <v>0.1133</v>
      </c>
      <c r="T2466" s="3" t="n">
        <v>0.0205</v>
      </c>
    </row>
    <row r="2467" customFormat="false" ht="15" hidden="false" customHeight="true" outlineLevel="0" collapsed="false">
      <c r="A2467" s="3" t="s">
        <v>3523</v>
      </c>
      <c r="B2467" s="3" t="s">
        <v>3439</v>
      </c>
      <c r="C2467" s="3" t="s">
        <v>113</v>
      </c>
      <c r="D2467" s="3" t="s">
        <v>103</v>
      </c>
      <c r="E2467" s="3" t="s">
        <v>24</v>
      </c>
      <c r="F2467" s="3" t="s">
        <v>62</v>
      </c>
      <c r="G2467" s="3" t="s">
        <v>55</v>
      </c>
      <c r="H2467" s="3" t="s">
        <v>56</v>
      </c>
      <c r="I2467" s="3" t="s">
        <v>121</v>
      </c>
      <c r="J2467" s="3" t="n">
        <v>36</v>
      </c>
      <c r="K2467" s="3" t="n">
        <v>15081.98</v>
      </c>
      <c r="L2467" s="3" t="n">
        <v>542951.28</v>
      </c>
      <c r="M2467" s="3" t="n">
        <v>0.0463</v>
      </c>
      <c r="N2467" s="3" t="n">
        <v>25138.64</v>
      </c>
      <c r="O2467" s="3" t="n">
        <v>517812.64</v>
      </c>
      <c r="P2467" s="3" t="n">
        <v>325770.77</v>
      </c>
      <c r="Q2467" s="3" t="n">
        <v>192041.87</v>
      </c>
      <c r="R2467" s="3" t="n">
        <v>0.3709</v>
      </c>
      <c r="S2467" s="3" t="n">
        <v>0.0472</v>
      </c>
      <c r="T2467" s="3" t="n">
        <v>-0.0009</v>
      </c>
    </row>
    <row r="2468" customFormat="false" ht="15" hidden="false" customHeight="true" outlineLevel="0" collapsed="false">
      <c r="A2468" s="3" t="s">
        <v>3524</v>
      </c>
      <c r="B2468" s="3" t="s">
        <v>21</v>
      </c>
      <c r="C2468" s="3" t="s">
        <v>22</v>
      </c>
      <c r="D2468" s="3" t="s">
        <v>69</v>
      </c>
      <c r="E2468" s="3" t="s">
        <v>39</v>
      </c>
      <c r="F2468" s="3" t="s">
        <v>70</v>
      </c>
      <c r="G2468" s="3" t="s">
        <v>26</v>
      </c>
      <c r="H2468" s="3" t="s">
        <v>64</v>
      </c>
      <c r="I2468" s="3" t="s">
        <v>90</v>
      </c>
      <c r="J2468" s="3" t="n">
        <v>49</v>
      </c>
      <c r="K2468" s="3" t="n">
        <v>4422.03</v>
      </c>
      <c r="L2468" s="3" t="n">
        <v>216679.47</v>
      </c>
      <c r="M2468" s="3" t="n">
        <v>0.0547</v>
      </c>
      <c r="N2468" s="3" t="n">
        <v>11852.37</v>
      </c>
      <c r="O2468" s="3" t="n">
        <v>204827.1</v>
      </c>
      <c r="P2468" s="3" t="n">
        <v>125674.09</v>
      </c>
      <c r="Q2468" s="3" t="n">
        <v>79153.01</v>
      </c>
      <c r="R2468" s="3" t="n">
        <v>0.3864</v>
      </c>
      <c r="S2468" s="3" t="n">
        <v>0.0464</v>
      </c>
      <c r="T2468" s="3" t="n">
        <v>0.0083</v>
      </c>
    </row>
    <row r="2469" customFormat="false" ht="15" hidden="false" customHeight="true" outlineLevel="0" collapsed="false">
      <c r="A2469" s="3" t="s">
        <v>3525</v>
      </c>
      <c r="B2469" s="3" t="s">
        <v>1811</v>
      </c>
      <c r="C2469" s="3" t="s">
        <v>31</v>
      </c>
      <c r="D2469" s="3" t="s">
        <v>38</v>
      </c>
      <c r="E2469" s="3" t="s">
        <v>39</v>
      </c>
      <c r="F2469" s="3" t="s">
        <v>40</v>
      </c>
      <c r="G2469" s="3" t="s">
        <v>34</v>
      </c>
      <c r="H2469" s="3" t="s">
        <v>27</v>
      </c>
      <c r="I2469" s="3" t="s">
        <v>173</v>
      </c>
      <c r="J2469" s="3" t="n">
        <v>4</v>
      </c>
      <c r="K2469" s="3" t="n">
        <v>19137.97</v>
      </c>
      <c r="L2469" s="3" t="n">
        <v>76551.88</v>
      </c>
      <c r="M2469" s="3" t="n">
        <v>0.0958</v>
      </c>
      <c r="N2469" s="3" t="n">
        <v>7333.67</v>
      </c>
      <c r="O2469" s="3" t="n">
        <v>69218.21</v>
      </c>
      <c r="P2469" s="3" t="n">
        <v>47462.17</v>
      </c>
      <c r="Q2469" s="3" t="n">
        <v>21756.04</v>
      </c>
      <c r="R2469" s="3" t="n">
        <v>0.3143</v>
      </c>
      <c r="S2469" s="3" t="n">
        <v>0.0784</v>
      </c>
      <c r="T2469" s="3" t="n">
        <v>0.0174</v>
      </c>
    </row>
    <row r="2470" customFormat="false" ht="15" hidden="false" customHeight="true" outlineLevel="0" collapsed="false">
      <c r="A2470" s="3" t="s">
        <v>3526</v>
      </c>
      <c r="B2470" s="3" t="s">
        <v>247</v>
      </c>
      <c r="C2470" s="3" t="s">
        <v>126</v>
      </c>
      <c r="D2470" s="3" t="s">
        <v>47</v>
      </c>
      <c r="E2470" s="3" t="s">
        <v>48</v>
      </c>
      <c r="F2470" s="3" t="s">
        <v>25</v>
      </c>
      <c r="G2470" s="3" t="s">
        <v>63</v>
      </c>
      <c r="H2470" s="3" t="s">
        <v>77</v>
      </c>
      <c r="I2470" s="3" t="s">
        <v>78</v>
      </c>
      <c r="J2470" s="3" t="n">
        <v>11</v>
      </c>
      <c r="K2470" s="3" t="n">
        <v>4300.23</v>
      </c>
      <c r="L2470" s="3" t="n">
        <v>47302.53</v>
      </c>
      <c r="M2470" s="3" t="n">
        <v>0.106</v>
      </c>
      <c r="N2470" s="3" t="n">
        <v>5014.07</v>
      </c>
      <c r="O2470" s="3" t="n">
        <v>42288.46</v>
      </c>
      <c r="P2470" s="3" t="n">
        <v>32165.72</v>
      </c>
      <c r="Q2470" s="3" t="n">
        <v>10122.74</v>
      </c>
      <c r="R2470" s="3" t="n">
        <v>0.2394</v>
      </c>
      <c r="S2470" s="3" t="n">
        <v>0.0961</v>
      </c>
      <c r="T2470" s="3" t="n">
        <v>0.0099</v>
      </c>
    </row>
    <row r="2471" customFormat="false" ht="15" hidden="false" customHeight="true" outlineLevel="0" collapsed="false">
      <c r="A2471" s="3" t="s">
        <v>3527</v>
      </c>
      <c r="B2471" s="3" t="s">
        <v>2767</v>
      </c>
      <c r="C2471" s="3" t="s">
        <v>156</v>
      </c>
      <c r="D2471" s="3" t="s">
        <v>69</v>
      </c>
      <c r="E2471" s="3" t="s">
        <v>39</v>
      </c>
      <c r="F2471" s="3" t="s">
        <v>70</v>
      </c>
      <c r="G2471" s="3" t="s">
        <v>76</v>
      </c>
      <c r="H2471" s="3" t="s">
        <v>56</v>
      </c>
      <c r="I2471" s="3" t="s">
        <v>57</v>
      </c>
      <c r="J2471" s="3" t="n">
        <v>41</v>
      </c>
      <c r="K2471" s="3" t="n">
        <v>11974.86</v>
      </c>
      <c r="L2471" s="3" t="n">
        <v>490969.26</v>
      </c>
      <c r="M2471" s="3" t="n">
        <v>0.0593</v>
      </c>
      <c r="N2471" s="3" t="n">
        <v>29114.48</v>
      </c>
      <c r="O2471" s="3" t="n">
        <v>461854.78</v>
      </c>
      <c r="P2471" s="3" t="n">
        <v>294581.56</v>
      </c>
      <c r="Q2471" s="3" t="n">
        <v>167273.22</v>
      </c>
      <c r="R2471" s="3" t="n">
        <v>0.3622</v>
      </c>
      <c r="S2471" s="3" t="n">
        <v>0.0555</v>
      </c>
      <c r="T2471" s="3" t="n">
        <v>0.0038</v>
      </c>
    </row>
    <row r="2472" customFormat="false" ht="15" hidden="false" customHeight="true" outlineLevel="0" collapsed="false">
      <c r="A2472" s="3" t="s">
        <v>3528</v>
      </c>
      <c r="B2472" s="3" t="s">
        <v>1964</v>
      </c>
      <c r="C2472" s="3" t="s">
        <v>46</v>
      </c>
      <c r="D2472" s="3" t="s">
        <v>32</v>
      </c>
      <c r="E2472" s="3" t="s">
        <v>33</v>
      </c>
      <c r="F2472" s="3" t="s">
        <v>25</v>
      </c>
      <c r="G2472" s="3" t="s">
        <v>63</v>
      </c>
      <c r="H2472" s="3" t="s">
        <v>56</v>
      </c>
      <c r="I2472" s="3" t="s">
        <v>121</v>
      </c>
      <c r="J2472" s="3" t="n">
        <v>1</v>
      </c>
      <c r="K2472" s="3" t="n">
        <v>6821.64</v>
      </c>
      <c r="L2472" s="3" t="n">
        <v>6821.64</v>
      </c>
      <c r="M2472" s="3" t="n">
        <v>0.1305</v>
      </c>
      <c r="N2472" s="3" t="n">
        <v>890.22</v>
      </c>
      <c r="O2472" s="3" t="n">
        <v>5931.42</v>
      </c>
      <c r="P2472" s="3" t="n">
        <v>4092.98</v>
      </c>
      <c r="Q2472" s="3" t="n">
        <v>1838.44</v>
      </c>
      <c r="R2472" s="3" t="n">
        <v>0.3099</v>
      </c>
      <c r="S2472" s="3" t="n">
        <v>0.1339</v>
      </c>
      <c r="T2472" s="3" t="n">
        <v>-0.0034</v>
      </c>
    </row>
    <row r="2473" customFormat="false" ht="15" hidden="false" customHeight="true" outlineLevel="0" collapsed="false">
      <c r="A2473" s="3" t="s">
        <v>3529</v>
      </c>
      <c r="B2473" s="3" t="s">
        <v>1679</v>
      </c>
      <c r="C2473" s="3" t="s">
        <v>60</v>
      </c>
      <c r="D2473" s="3" t="s">
        <v>32</v>
      </c>
      <c r="E2473" s="3" t="s">
        <v>33</v>
      </c>
      <c r="F2473" s="3" t="s">
        <v>25</v>
      </c>
      <c r="G2473" s="3" t="s">
        <v>100</v>
      </c>
      <c r="H2473" s="3" t="s">
        <v>64</v>
      </c>
      <c r="I2473" s="3" t="s">
        <v>65</v>
      </c>
      <c r="J2473" s="3" t="n">
        <v>46</v>
      </c>
      <c r="K2473" s="3" t="n">
        <v>3092.07</v>
      </c>
      <c r="L2473" s="3" t="n">
        <v>142235.22</v>
      </c>
      <c r="M2473" s="3" t="n">
        <v>0.1613</v>
      </c>
      <c r="N2473" s="3" t="n">
        <v>22942.54</v>
      </c>
      <c r="O2473" s="3" t="n">
        <v>119292.68</v>
      </c>
      <c r="P2473" s="3" t="n">
        <v>82496.43</v>
      </c>
      <c r="Q2473" s="3" t="n">
        <v>36796.25</v>
      </c>
      <c r="R2473" s="3" t="n">
        <v>0.3085</v>
      </c>
      <c r="S2473" s="3" t="n">
        <v>0.1579</v>
      </c>
      <c r="T2473" s="3" t="n">
        <v>0.0034</v>
      </c>
    </row>
    <row r="2474" customFormat="false" ht="15" hidden="false" customHeight="true" outlineLevel="0" collapsed="false">
      <c r="A2474" s="3" t="s">
        <v>3530</v>
      </c>
      <c r="B2474" s="3" t="s">
        <v>995</v>
      </c>
      <c r="C2474" s="3" t="s">
        <v>156</v>
      </c>
      <c r="D2474" s="3" t="s">
        <v>75</v>
      </c>
      <c r="E2474" s="3" t="s">
        <v>39</v>
      </c>
      <c r="F2474" s="3" t="s">
        <v>25</v>
      </c>
      <c r="G2474" s="3" t="s">
        <v>49</v>
      </c>
      <c r="H2474" s="3" t="s">
        <v>64</v>
      </c>
      <c r="I2474" s="3" t="s">
        <v>65</v>
      </c>
      <c r="J2474" s="3" t="n">
        <v>20</v>
      </c>
      <c r="K2474" s="3" t="n">
        <v>9989.67</v>
      </c>
      <c r="L2474" s="3" t="n">
        <v>199793.4</v>
      </c>
      <c r="M2474" s="3" t="n">
        <v>0.1332</v>
      </c>
      <c r="N2474" s="3" t="n">
        <v>26612.48</v>
      </c>
      <c r="O2474" s="3" t="n">
        <v>173180.92</v>
      </c>
      <c r="P2474" s="3" t="n">
        <v>115880.17</v>
      </c>
      <c r="Q2474" s="3" t="n">
        <v>57300.75</v>
      </c>
      <c r="R2474" s="3" t="n">
        <v>0.3309</v>
      </c>
      <c r="S2474" s="3" t="n">
        <v>0.1177</v>
      </c>
      <c r="T2474" s="3" t="n">
        <v>0.0155</v>
      </c>
    </row>
    <row r="2475" customFormat="false" ht="15" hidden="false" customHeight="true" outlineLevel="0" collapsed="false">
      <c r="A2475" s="3" t="s">
        <v>3531</v>
      </c>
      <c r="B2475" s="3" t="s">
        <v>900</v>
      </c>
      <c r="C2475" s="3" t="s">
        <v>113</v>
      </c>
      <c r="D2475" s="3" t="s">
        <v>107</v>
      </c>
      <c r="E2475" s="3" t="s">
        <v>33</v>
      </c>
      <c r="F2475" s="3" t="s">
        <v>70</v>
      </c>
      <c r="G2475" s="3" t="s">
        <v>55</v>
      </c>
      <c r="H2475" s="3" t="s">
        <v>56</v>
      </c>
      <c r="I2475" s="3" t="s">
        <v>188</v>
      </c>
      <c r="J2475" s="3" t="n">
        <v>11</v>
      </c>
      <c r="K2475" s="3" t="n">
        <v>5602.73</v>
      </c>
      <c r="L2475" s="3" t="n">
        <v>61630.03</v>
      </c>
      <c r="M2475" s="3" t="n">
        <v>0.0474</v>
      </c>
      <c r="N2475" s="3" t="n">
        <v>2921.26</v>
      </c>
      <c r="O2475" s="3" t="n">
        <v>58708.77</v>
      </c>
      <c r="P2475" s="3" t="n">
        <v>36978.02</v>
      </c>
      <c r="Q2475" s="3" t="n">
        <v>21730.75</v>
      </c>
      <c r="R2475" s="3" t="n">
        <v>0.3701</v>
      </c>
      <c r="S2475" s="3" t="n">
        <v>0.0415</v>
      </c>
      <c r="T2475" s="3" t="n">
        <v>0.0059</v>
      </c>
    </row>
    <row r="2476" customFormat="false" ht="15" hidden="false" customHeight="true" outlineLevel="0" collapsed="false">
      <c r="A2476" s="3" t="s">
        <v>3532</v>
      </c>
      <c r="B2476" s="3" t="s">
        <v>811</v>
      </c>
      <c r="C2476" s="3" t="s">
        <v>37</v>
      </c>
      <c r="D2476" s="3" t="s">
        <v>75</v>
      </c>
      <c r="E2476" s="3" t="s">
        <v>39</v>
      </c>
      <c r="F2476" s="3" t="s">
        <v>25</v>
      </c>
      <c r="G2476" s="3" t="s">
        <v>34</v>
      </c>
      <c r="H2476" s="3" t="s">
        <v>27</v>
      </c>
      <c r="I2476" s="3" t="s">
        <v>117</v>
      </c>
      <c r="J2476" s="3" t="n">
        <v>3</v>
      </c>
      <c r="K2476" s="3" t="n">
        <v>19440.67</v>
      </c>
      <c r="L2476" s="3" t="n">
        <v>58322.01</v>
      </c>
      <c r="M2476" s="3" t="n">
        <v>0.1537</v>
      </c>
      <c r="N2476" s="3" t="n">
        <v>8964.09</v>
      </c>
      <c r="O2476" s="3" t="n">
        <v>49357.92</v>
      </c>
      <c r="P2476" s="3" t="n">
        <v>36159.65</v>
      </c>
      <c r="Q2476" s="3" t="n">
        <v>13198.27</v>
      </c>
      <c r="R2476" s="3" t="n">
        <v>0.2674</v>
      </c>
      <c r="S2476" s="3" t="n">
        <v>0.1388</v>
      </c>
      <c r="T2476" s="3" t="n">
        <v>0.0149</v>
      </c>
    </row>
    <row r="2477" customFormat="false" ht="15" hidden="false" customHeight="true" outlineLevel="0" collapsed="false">
      <c r="A2477" s="3" t="s">
        <v>3533</v>
      </c>
      <c r="B2477" s="3" t="s">
        <v>756</v>
      </c>
      <c r="C2477" s="3" t="s">
        <v>156</v>
      </c>
      <c r="D2477" s="3" t="s">
        <v>32</v>
      </c>
      <c r="E2477" s="3" t="s">
        <v>33</v>
      </c>
      <c r="F2477" s="3" t="s">
        <v>25</v>
      </c>
      <c r="G2477" s="3" t="s">
        <v>26</v>
      </c>
      <c r="H2477" s="3" t="s">
        <v>27</v>
      </c>
      <c r="I2477" s="3" t="s">
        <v>94</v>
      </c>
      <c r="J2477" s="3" t="n">
        <v>22</v>
      </c>
      <c r="K2477" s="3" t="n">
        <v>15239.75</v>
      </c>
      <c r="L2477" s="3" t="n">
        <v>335274.5</v>
      </c>
      <c r="M2477" s="3" t="n">
        <v>0.1479</v>
      </c>
      <c r="N2477" s="3" t="n">
        <v>49587.1</v>
      </c>
      <c r="O2477" s="3" t="n">
        <v>285687.4</v>
      </c>
      <c r="P2477" s="3" t="n">
        <v>207870.19</v>
      </c>
      <c r="Q2477" s="3" t="n">
        <v>77817.21</v>
      </c>
      <c r="R2477" s="3" t="n">
        <v>0.2724</v>
      </c>
      <c r="S2477" s="3" t="n">
        <v>0.1283</v>
      </c>
      <c r="T2477" s="3" t="n">
        <v>0.0196</v>
      </c>
    </row>
    <row r="2478" customFormat="false" ht="15" hidden="false" customHeight="true" outlineLevel="0" collapsed="false">
      <c r="A2478" s="3" t="s">
        <v>3534</v>
      </c>
      <c r="B2478" s="3" t="s">
        <v>1598</v>
      </c>
      <c r="C2478" s="3" t="s">
        <v>113</v>
      </c>
      <c r="D2478" s="3" t="s">
        <v>47</v>
      </c>
      <c r="E2478" s="3" t="s">
        <v>48</v>
      </c>
      <c r="F2478" s="3" t="s">
        <v>25</v>
      </c>
      <c r="G2478" s="3" t="s">
        <v>100</v>
      </c>
      <c r="H2478" s="3" t="s">
        <v>56</v>
      </c>
      <c r="I2478" s="3" t="s">
        <v>121</v>
      </c>
      <c r="J2478" s="3" t="n">
        <v>19</v>
      </c>
      <c r="K2478" s="3" t="n">
        <v>14936.58</v>
      </c>
      <c r="L2478" s="3" t="n">
        <v>283795.02</v>
      </c>
      <c r="M2478" s="3" t="n">
        <v>0.1214</v>
      </c>
      <c r="N2478" s="3" t="n">
        <v>34452.72</v>
      </c>
      <c r="O2478" s="3" t="n">
        <v>249342.3</v>
      </c>
      <c r="P2478" s="3" t="n">
        <v>170277.01</v>
      </c>
      <c r="Q2478" s="3" t="n">
        <v>79065.29</v>
      </c>
      <c r="R2478" s="3" t="n">
        <v>0.3171</v>
      </c>
      <c r="S2478" s="3" t="n">
        <v>0.1246</v>
      </c>
      <c r="T2478" s="3" t="n">
        <v>-0.0032</v>
      </c>
    </row>
    <row r="2479" customFormat="false" ht="15" hidden="false" customHeight="true" outlineLevel="0" collapsed="false">
      <c r="A2479" s="3" t="s">
        <v>3535</v>
      </c>
      <c r="B2479" s="3" t="s">
        <v>2789</v>
      </c>
      <c r="C2479" s="3" t="s">
        <v>31</v>
      </c>
      <c r="D2479" s="3" t="s">
        <v>69</v>
      </c>
      <c r="E2479" s="3" t="s">
        <v>39</v>
      </c>
      <c r="F2479" s="3" t="s">
        <v>70</v>
      </c>
      <c r="G2479" s="3" t="s">
        <v>76</v>
      </c>
      <c r="H2479" s="3" t="s">
        <v>64</v>
      </c>
      <c r="I2479" s="3" t="s">
        <v>108</v>
      </c>
      <c r="J2479" s="3" t="n">
        <v>26</v>
      </c>
      <c r="K2479" s="3" t="n">
        <v>10648.22</v>
      </c>
      <c r="L2479" s="3" t="n">
        <v>276853.72</v>
      </c>
      <c r="M2479" s="3" t="n">
        <v>0.076</v>
      </c>
      <c r="N2479" s="3" t="n">
        <v>21040.88</v>
      </c>
      <c r="O2479" s="3" t="n">
        <v>255812.84</v>
      </c>
      <c r="P2479" s="3" t="n">
        <v>160575.16</v>
      </c>
      <c r="Q2479" s="3" t="n">
        <v>95237.68</v>
      </c>
      <c r="R2479" s="3" t="n">
        <v>0.3723</v>
      </c>
      <c r="S2479" s="3" t="n">
        <v>0.0638</v>
      </c>
      <c r="T2479" s="3" t="n">
        <v>0.0122</v>
      </c>
    </row>
    <row r="2480" customFormat="false" ht="15" hidden="false" customHeight="true" outlineLevel="0" collapsed="false">
      <c r="A2480" s="3" t="s">
        <v>3536</v>
      </c>
      <c r="B2480" s="3" t="s">
        <v>1119</v>
      </c>
      <c r="C2480" s="3" t="s">
        <v>53</v>
      </c>
      <c r="D2480" s="3" t="s">
        <v>107</v>
      </c>
      <c r="E2480" s="3" t="s">
        <v>33</v>
      </c>
      <c r="F2480" s="3" t="s">
        <v>70</v>
      </c>
      <c r="G2480" s="3" t="s">
        <v>55</v>
      </c>
      <c r="H2480" s="3" t="s">
        <v>27</v>
      </c>
      <c r="I2480" s="3" t="s">
        <v>50</v>
      </c>
      <c r="J2480" s="3" t="n">
        <v>35</v>
      </c>
      <c r="K2480" s="3" t="n">
        <v>31891.87</v>
      </c>
      <c r="L2480" s="3" t="n">
        <v>1116215.45</v>
      </c>
      <c r="M2480" s="3" t="n">
        <v>0.08</v>
      </c>
      <c r="N2480" s="3" t="n">
        <v>89297.24</v>
      </c>
      <c r="O2480" s="3" t="n">
        <v>1026918.21</v>
      </c>
      <c r="P2480" s="3" t="n">
        <v>692053.58</v>
      </c>
      <c r="Q2480" s="3" t="n">
        <v>334864.63</v>
      </c>
      <c r="R2480" s="3" t="n">
        <v>0.3261</v>
      </c>
      <c r="S2480" s="3" t="n">
        <v>0.0669</v>
      </c>
      <c r="T2480" s="3" t="n">
        <v>0.0131</v>
      </c>
    </row>
    <row r="2481" customFormat="false" ht="15" hidden="false" customHeight="true" outlineLevel="0" collapsed="false">
      <c r="A2481" s="3" t="s">
        <v>3537</v>
      </c>
      <c r="B2481" s="3" t="s">
        <v>3538</v>
      </c>
      <c r="C2481" s="3" t="s">
        <v>46</v>
      </c>
      <c r="D2481" s="3" t="s">
        <v>54</v>
      </c>
      <c r="E2481" s="3" t="s">
        <v>24</v>
      </c>
      <c r="F2481" s="3" t="s">
        <v>40</v>
      </c>
      <c r="G2481" s="3" t="s">
        <v>41</v>
      </c>
      <c r="H2481" s="3" t="s">
        <v>42</v>
      </c>
      <c r="I2481" s="3" t="s">
        <v>43</v>
      </c>
      <c r="J2481" s="3" t="n">
        <v>4</v>
      </c>
      <c r="K2481" s="3" t="n">
        <v>3578.96</v>
      </c>
      <c r="L2481" s="3" t="n">
        <v>14315.84</v>
      </c>
      <c r="M2481" s="3" t="n">
        <v>0.0856</v>
      </c>
      <c r="N2481" s="3" t="n">
        <v>1225.44</v>
      </c>
      <c r="O2481" s="3" t="n">
        <v>13090.4</v>
      </c>
      <c r="P2481" s="3" t="n">
        <v>7873.71</v>
      </c>
      <c r="Q2481" s="3" t="n">
        <v>5216.69</v>
      </c>
      <c r="R2481" s="3" t="n">
        <v>0.3985</v>
      </c>
      <c r="S2481" s="3" t="n">
        <v>0.0765</v>
      </c>
      <c r="T2481" s="3" t="n">
        <v>0.0091</v>
      </c>
    </row>
    <row r="2482" customFormat="false" ht="15" hidden="false" customHeight="true" outlineLevel="0" collapsed="false">
      <c r="A2482" s="3" t="s">
        <v>3539</v>
      </c>
      <c r="B2482" s="3" t="s">
        <v>781</v>
      </c>
      <c r="C2482" s="3" t="s">
        <v>31</v>
      </c>
      <c r="D2482" s="3" t="s">
        <v>38</v>
      </c>
      <c r="E2482" s="3" t="s">
        <v>39</v>
      </c>
      <c r="F2482" s="3" t="s">
        <v>40</v>
      </c>
      <c r="G2482" s="3" t="s">
        <v>41</v>
      </c>
      <c r="H2482" s="3" t="s">
        <v>56</v>
      </c>
      <c r="I2482" s="3" t="s">
        <v>121</v>
      </c>
      <c r="J2482" s="3" t="n">
        <v>8</v>
      </c>
      <c r="K2482" s="3" t="n">
        <v>17222.06</v>
      </c>
      <c r="L2482" s="3" t="n">
        <v>137776.48</v>
      </c>
      <c r="M2482" s="3" t="n">
        <v>0.0958</v>
      </c>
      <c r="N2482" s="3" t="n">
        <v>13198.99</v>
      </c>
      <c r="O2482" s="3" t="n">
        <v>124577.49</v>
      </c>
      <c r="P2482" s="3" t="n">
        <v>82665.89</v>
      </c>
      <c r="Q2482" s="3" t="n">
        <v>41911.6</v>
      </c>
      <c r="R2482" s="3" t="n">
        <v>0.3364</v>
      </c>
      <c r="S2482" s="3" t="n">
        <v>0.0823</v>
      </c>
      <c r="T2482" s="3" t="n">
        <v>0.0135</v>
      </c>
    </row>
    <row r="2483" customFormat="false" ht="15" hidden="false" customHeight="true" outlineLevel="0" collapsed="false">
      <c r="A2483" s="3" t="s">
        <v>3540</v>
      </c>
      <c r="B2483" s="3" t="s">
        <v>2135</v>
      </c>
      <c r="C2483" s="3" t="s">
        <v>156</v>
      </c>
      <c r="D2483" s="3" t="s">
        <v>83</v>
      </c>
      <c r="E2483" s="3" t="s">
        <v>48</v>
      </c>
      <c r="F2483" s="3" t="s">
        <v>62</v>
      </c>
      <c r="G2483" s="3" t="s">
        <v>55</v>
      </c>
      <c r="H2483" s="3" t="s">
        <v>77</v>
      </c>
      <c r="I2483" s="3" t="s">
        <v>78</v>
      </c>
      <c r="J2483" s="3" t="n">
        <v>11</v>
      </c>
      <c r="K2483" s="3" t="n">
        <v>2984.14</v>
      </c>
      <c r="L2483" s="3" t="n">
        <v>32825.54</v>
      </c>
      <c r="M2483" s="3" t="n">
        <v>0.0333</v>
      </c>
      <c r="N2483" s="3" t="n">
        <v>1093.09</v>
      </c>
      <c r="O2483" s="3" t="n">
        <v>31732.45</v>
      </c>
      <c r="P2483" s="3" t="n">
        <v>22321.37</v>
      </c>
      <c r="Q2483" s="3" t="n">
        <v>9411.08</v>
      </c>
      <c r="R2483" s="3" t="n">
        <v>0.2966</v>
      </c>
      <c r="S2483" s="3" t="n">
        <v>0.0305</v>
      </c>
      <c r="T2483" s="3" t="n">
        <v>0.0028</v>
      </c>
    </row>
    <row r="2484" customFormat="false" ht="15" hidden="false" customHeight="true" outlineLevel="0" collapsed="false">
      <c r="A2484" s="3" t="s">
        <v>3541</v>
      </c>
      <c r="B2484" s="3" t="s">
        <v>954</v>
      </c>
      <c r="C2484" s="3" t="s">
        <v>120</v>
      </c>
      <c r="D2484" s="3" t="s">
        <v>38</v>
      </c>
      <c r="E2484" s="3" t="s">
        <v>39</v>
      </c>
      <c r="F2484" s="3" t="s">
        <v>40</v>
      </c>
      <c r="G2484" s="3" t="s">
        <v>116</v>
      </c>
      <c r="H2484" s="3" t="s">
        <v>42</v>
      </c>
      <c r="I2484" s="3" t="s">
        <v>72</v>
      </c>
      <c r="J2484" s="3" t="n">
        <v>29</v>
      </c>
      <c r="K2484" s="3" t="n">
        <v>2482.25</v>
      </c>
      <c r="L2484" s="3" t="n">
        <v>71985.25</v>
      </c>
      <c r="M2484" s="3" t="n">
        <v>0.1065</v>
      </c>
      <c r="N2484" s="3" t="n">
        <v>7666.43</v>
      </c>
      <c r="O2484" s="3" t="n">
        <v>64318.82</v>
      </c>
      <c r="P2484" s="3" t="n">
        <v>39591.89</v>
      </c>
      <c r="Q2484" s="3" t="n">
        <v>24726.93</v>
      </c>
      <c r="R2484" s="3" t="n">
        <v>0.3844</v>
      </c>
      <c r="S2484" s="3" t="n">
        <v>0.104</v>
      </c>
      <c r="T2484" s="3" t="n">
        <v>0.0025</v>
      </c>
    </row>
    <row r="2485" customFormat="false" ht="15" hidden="false" customHeight="true" outlineLevel="0" collapsed="false">
      <c r="A2485" s="3" t="s">
        <v>3542</v>
      </c>
      <c r="B2485" s="3" t="s">
        <v>153</v>
      </c>
      <c r="C2485" s="3" t="s">
        <v>31</v>
      </c>
      <c r="D2485" s="3" t="s">
        <v>75</v>
      </c>
      <c r="E2485" s="3" t="s">
        <v>39</v>
      </c>
      <c r="F2485" s="3" t="s">
        <v>25</v>
      </c>
      <c r="G2485" s="3" t="s">
        <v>116</v>
      </c>
      <c r="H2485" s="3" t="s">
        <v>77</v>
      </c>
      <c r="I2485" s="3" t="s">
        <v>78</v>
      </c>
      <c r="J2485" s="3" t="n">
        <v>7</v>
      </c>
      <c r="K2485" s="3" t="n">
        <v>4574.36</v>
      </c>
      <c r="L2485" s="3" t="n">
        <v>32020.52</v>
      </c>
      <c r="M2485" s="3" t="n">
        <v>0.1487</v>
      </c>
      <c r="N2485" s="3" t="n">
        <v>4761.45</v>
      </c>
      <c r="O2485" s="3" t="n">
        <v>27259.07</v>
      </c>
      <c r="P2485" s="3" t="n">
        <v>21773.95</v>
      </c>
      <c r="Q2485" s="3" t="n">
        <v>5485.12</v>
      </c>
      <c r="R2485" s="3" t="n">
        <v>0.2012</v>
      </c>
      <c r="S2485" s="3" t="n">
        <v>0.1571</v>
      </c>
      <c r="T2485" s="3" t="n">
        <v>-0.0084</v>
      </c>
    </row>
    <row r="2486" customFormat="false" ht="15" hidden="false" customHeight="true" outlineLevel="0" collapsed="false">
      <c r="A2486" s="3" t="s">
        <v>3543</v>
      </c>
      <c r="B2486" s="3" t="s">
        <v>2593</v>
      </c>
      <c r="C2486" s="3" t="s">
        <v>46</v>
      </c>
      <c r="D2486" s="3" t="s">
        <v>54</v>
      </c>
      <c r="E2486" s="3" t="s">
        <v>24</v>
      </c>
      <c r="F2486" s="3" t="s">
        <v>40</v>
      </c>
      <c r="G2486" s="3" t="s">
        <v>41</v>
      </c>
      <c r="H2486" s="3" t="s">
        <v>77</v>
      </c>
      <c r="I2486" s="3" t="s">
        <v>78</v>
      </c>
      <c r="J2486" s="3" t="n">
        <v>33</v>
      </c>
      <c r="K2486" s="3" t="n">
        <v>4405.34</v>
      </c>
      <c r="L2486" s="3" t="n">
        <v>145376.22</v>
      </c>
      <c r="M2486" s="3" t="n">
        <v>0.0974</v>
      </c>
      <c r="N2486" s="3" t="n">
        <v>14159.64</v>
      </c>
      <c r="O2486" s="3" t="n">
        <v>131216.58</v>
      </c>
      <c r="P2486" s="3" t="n">
        <v>98855.83</v>
      </c>
      <c r="Q2486" s="3" t="n">
        <v>32360.75</v>
      </c>
      <c r="R2486" s="3" t="n">
        <v>0.2466</v>
      </c>
      <c r="S2486" s="3" t="n">
        <v>0.0809</v>
      </c>
      <c r="T2486" s="3" t="n">
        <v>0.0165</v>
      </c>
    </row>
    <row r="2487" customFormat="false" ht="15" hidden="false" customHeight="true" outlineLevel="0" collapsed="false">
      <c r="A2487" s="3" t="s">
        <v>3544</v>
      </c>
      <c r="B2487" s="3" t="s">
        <v>1041</v>
      </c>
      <c r="C2487" s="3" t="s">
        <v>60</v>
      </c>
      <c r="D2487" s="3" t="s">
        <v>75</v>
      </c>
      <c r="E2487" s="3" t="s">
        <v>39</v>
      </c>
      <c r="F2487" s="3" t="s">
        <v>25</v>
      </c>
      <c r="G2487" s="3" t="s">
        <v>63</v>
      </c>
      <c r="H2487" s="3" t="s">
        <v>27</v>
      </c>
      <c r="I2487" s="3" t="s">
        <v>94</v>
      </c>
      <c r="J2487" s="3" t="n">
        <v>50</v>
      </c>
      <c r="K2487" s="3" t="n">
        <v>11854.9</v>
      </c>
      <c r="L2487" s="3" t="n">
        <v>592745</v>
      </c>
      <c r="M2487" s="3" t="n">
        <v>0.0818</v>
      </c>
      <c r="N2487" s="3" t="n">
        <v>48486.54</v>
      </c>
      <c r="O2487" s="3" t="n">
        <v>544258.46</v>
      </c>
      <c r="P2487" s="3" t="n">
        <v>367501.9</v>
      </c>
      <c r="Q2487" s="3" t="n">
        <v>176756.56</v>
      </c>
      <c r="R2487" s="3" t="n">
        <v>0.3248</v>
      </c>
      <c r="S2487" s="3" t="n">
        <v>0.0816</v>
      </c>
      <c r="T2487" s="3" t="n">
        <v>0.0002</v>
      </c>
    </row>
    <row r="2488" customFormat="false" ht="15" hidden="false" customHeight="true" outlineLevel="0" collapsed="false">
      <c r="A2488" s="3" t="s">
        <v>3545</v>
      </c>
      <c r="B2488" s="3" t="s">
        <v>1150</v>
      </c>
      <c r="C2488" s="3" t="s">
        <v>37</v>
      </c>
      <c r="D2488" s="3" t="s">
        <v>107</v>
      </c>
      <c r="E2488" s="3" t="s">
        <v>33</v>
      </c>
      <c r="F2488" s="3" t="s">
        <v>70</v>
      </c>
      <c r="G2488" s="3" t="s">
        <v>41</v>
      </c>
      <c r="H2488" s="3" t="s">
        <v>42</v>
      </c>
      <c r="I2488" s="3" t="s">
        <v>134</v>
      </c>
      <c r="J2488" s="3" t="n">
        <v>13</v>
      </c>
      <c r="K2488" s="3" t="n">
        <v>1446.69</v>
      </c>
      <c r="L2488" s="3" t="n">
        <v>18806.97</v>
      </c>
      <c r="M2488" s="3" t="n">
        <v>0.0625</v>
      </c>
      <c r="N2488" s="3" t="n">
        <v>1175.44</v>
      </c>
      <c r="O2488" s="3" t="n">
        <v>17631.53</v>
      </c>
      <c r="P2488" s="3" t="n">
        <v>10343.83</v>
      </c>
      <c r="Q2488" s="3" t="n">
        <v>7287.7</v>
      </c>
      <c r="R2488" s="3" t="n">
        <v>0.4133</v>
      </c>
      <c r="S2488" s="3" t="n">
        <v>0.063</v>
      </c>
      <c r="T2488" s="3" t="n">
        <v>-0.0005</v>
      </c>
    </row>
    <row r="2489" customFormat="false" ht="15" hidden="false" customHeight="true" outlineLevel="0" collapsed="false">
      <c r="A2489" s="3" t="s">
        <v>3546</v>
      </c>
      <c r="B2489" s="3" t="s">
        <v>647</v>
      </c>
      <c r="C2489" s="3" t="s">
        <v>60</v>
      </c>
      <c r="D2489" s="3" t="s">
        <v>103</v>
      </c>
      <c r="E2489" s="3" t="s">
        <v>24</v>
      </c>
      <c r="F2489" s="3" t="s">
        <v>62</v>
      </c>
      <c r="G2489" s="3" t="s">
        <v>49</v>
      </c>
      <c r="H2489" s="3" t="s">
        <v>42</v>
      </c>
      <c r="I2489" s="3" t="s">
        <v>43</v>
      </c>
      <c r="J2489" s="3" t="n">
        <v>14</v>
      </c>
      <c r="K2489" s="3" t="n">
        <v>829.31</v>
      </c>
      <c r="L2489" s="3" t="n">
        <v>11610.34</v>
      </c>
      <c r="M2489" s="3" t="n">
        <v>0.066</v>
      </c>
      <c r="N2489" s="3" t="n">
        <v>766.28</v>
      </c>
      <c r="O2489" s="3" t="n">
        <v>10844.06</v>
      </c>
      <c r="P2489" s="3" t="n">
        <v>6385.69</v>
      </c>
      <c r="Q2489" s="3" t="n">
        <v>4458.37</v>
      </c>
      <c r="R2489" s="3" t="n">
        <v>0.4111</v>
      </c>
      <c r="S2489" s="3" t="n">
        <v>0.0548</v>
      </c>
      <c r="T2489" s="3" t="n">
        <v>0.0112</v>
      </c>
    </row>
    <row r="2490" customFormat="false" ht="15" hidden="false" customHeight="true" outlineLevel="0" collapsed="false">
      <c r="A2490" s="3" t="s">
        <v>3547</v>
      </c>
      <c r="B2490" s="3" t="s">
        <v>1229</v>
      </c>
      <c r="C2490" s="3" t="s">
        <v>93</v>
      </c>
      <c r="D2490" s="3" t="s">
        <v>23</v>
      </c>
      <c r="E2490" s="3" t="s">
        <v>24</v>
      </c>
      <c r="F2490" s="3" t="s">
        <v>25</v>
      </c>
      <c r="G2490" s="3" t="s">
        <v>34</v>
      </c>
      <c r="H2490" s="3" t="s">
        <v>27</v>
      </c>
      <c r="I2490" s="3" t="s">
        <v>50</v>
      </c>
      <c r="J2490" s="3" t="n">
        <v>4</v>
      </c>
      <c r="K2490" s="3" t="n">
        <v>29318.09</v>
      </c>
      <c r="L2490" s="3" t="n">
        <v>117272.36</v>
      </c>
      <c r="M2490" s="3" t="n">
        <v>0.1879</v>
      </c>
      <c r="N2490" s="3" t="n">
        <v>22035.48</v>
      </c>
      <c r="O2490" s="3" t="n">
        <v>95236.88</v>
      </c>
      <c r="P2490" s="3" t="n">
        <v>72708.86</v>
      </c>
      <c r="Q2490" s="3" t="n">
        <v>22528.02</v>
      </c>
      <c r="R2490" s="3" t="n">
        <v>0.2365</v>
      </c>
      <c r="S2490" s="3" t="n">
        <v>0.1863</v>
      </c>
      <c r="T2490" s="3" t="n">
        <v>0.0016</v>
      </c>
    </row>
    <row r="2491" customFormat="false" ht="15" hidden="false" customHeight="true" outlineLevel="0" collapsed="false">
      <c r="A2491" s="3" t="s">
        <v>3548</v>
      </c>
      <c r="B2491" s="3" t="s">
        <v>183</v>
      </c>
      <c r="C2491" s="3" t="s">
        <v>120</v>
      </c>
      <c r="D2491" s="3" t="s">
        <v>54</v>
      </c>
      <c r="E2491" s="3" t="s">
        <v>24</v>
      </c>
      <c r="F2491" s="3" t="s">
        <v>40</v>
      </c>
      <c r="G2491" s="3" t="s">
        <v>41</v>
      </c>
      <c r="H2491" s="3" t="s">
        <v>77</v>
      </c>
      <c r="I2491" s="3" t="s">
        <v>85</v>
      </c>
      <c r="J2491" s="3" t="n">
        <v>48</v>
      </c>
      <c r="K2491" s="3" t="n">
        <v>2996.94</v>
      </c>
      <c r="L2491" s="3" t="n">
        <v>143853.12</v>
      </c>
      <c r="M2491" s="3" t="n">
        <v>0.0678</v>
      </c>
      <c r="N2491" s="3" t="n">
        <v>9753.24</v>
      </c>
      <c r="O2491" s="3" t="n">
        <v>134099.88</v>
      </c>
      <c r="P2491" s="3" t="n">
        <v>97820.12</v>
      </c>
      <c r="Q2491" s="3" t="n">
        <v>36279.76</v>
      </c>
      <c r="R2491" s="3" t="n">
        <v>0.2705</v>
      </c>
      <c r="S2491" s="3" t="n">
        <v>0.0645</v>
      </c>
      <c r="T2491" s="3" t="n">
        <v>0.0033</v>
      </c>
    </row>
    <row r="2492" customFormat="false" ht="15" hidden="false" customHeight="true" outlineLevel="0" collapsed="false">
      <c r="A2492" s="3" t="s">
        <v>3549</v>
      </c>
      <c r="B2492" s="3" t="s">
        <v>430</v>
      </c>
      <c r="C2492" s="3" t="s">
        <v>113</v>
      </c>
      <c r="D2492" s="3" t="s">
        <v>69</v>
      </c>
      <c r="E2492" s="3" t="s">
        <v>39</v>
      </c>
      <c r="F2492" s="3" t="s">
        <v>70</v>
      </c>
      <c r="G2492" s="3" t="s">
        <v>71</v>
      </c>
      <c r="H2492" s="3" t="s">
        <v>42</v>
      </c>
      <c r="I2492" s="3" t="s">
        <v>72</v>
      </c>
      <c r="J2492" s="3" t="n">
        <v>35</v>
      </c>
      <c r="K2492" s="3" t="n">
        <v>1624.68</v>
      </c>
      <c r="L2492" s="3" t="n">
        <v>56863.8</v>
      </c>
      <c r="M2492" s="3" t="n">
        <v>0.0696</v>
      </c>
      <c r="N2492" s="3" t="n">
        <v>3957.72</v>
      </c>
      <c r="O2492" s="3" t="n">
        <v>52906.08</v>
      </c>
      <c r="P2492" s="3" t="n">
        <v>31275.09</v>
      </c>
      <c r="Q2492" s="3" t="n">
        <v>21630.99</v>
      </c>
      <c r="R2492" s="3" t="n">
        <v>0.4089</v>
      </c>
      <c r="S2492" s="3" t="n">
        <v>0.071</v>
      </c>
      <c r="T2492" s="3" t="n">
        <v>-0.0014</v>
      </c>
    </row>
    <row r="2493" customFormat="false" ht="15" hidden="false" customHeight="true" outlineLevel="0" collapsed="false">
      <c r="A2493" s="3" t="s">
        <v>3550</v>
      </c>
      <c r="B2493" s="3" t="s">
        <v>1805</v>
      </c>
      <c r="C2493" s="3" t="s">
        <v>113</v>
      </c>
      <c r="D2493" s="3" t="s">
        <v>32</v>
      </c>
      <c r="E2493" s="3" t="s">
        <v>33</v>
      </c>
      <c r="F2493" s="3" t="s">
        <v>25</v>
      </c>
      <c r="G2493" s="3" t="s">
        <v>84</v>
      </c>
      <c r="H2493" s="3" t="s">
        <v>42</v>
      </c>
      <c r="I2493" s="3" t="s">
        <v>72</v>
      </c>
      <c r="J2493" s="3" t="n">
        <v>28</v>
      </c>
      <c r="K2493" s="3" t="n">
        <v>2224.23</v>
      </c>
      <c r="L2493" s="3" t="n">
        <v>62278.44</v>
      </c>
      <c r="M2493" s="3" t="n">
        <v>0.1252</v>
      </c>
      <c r="N2493" s="3" t="n">
        <v>7797.26</v>
      </c>
      <c r="O2493" s="3" t="n">
        <v>54481.18</v>
      </c>
      <c r="P2493" s="3" t="n">
        <v>34253.14</v>
      </c>
      <c r="Q2493" s="3" t="n">
        <v>20228.04</v>
      </c>
      <c r="R2493" s="3" t="n">
        <v>0.3713</v>
      </c>
      <c r="S2493" s="3" t="n">
        <v>0.1363</v>
      </c>
      <c r="T2493" s="3" t="n">
        <v>-0.0111</v>
      </c>
    </row>
    <row r="2494" customFormat="false" ht="15" hidden="false" customHeight="true" outlineLevel="0" collapsed="false">
      <c r="A2494" s="3" t="s">
        <v>3551</v>
      </c>
      <c r="B2494" s="3" t="s">
        <v>396</v>
      </c>
      <c r="C2494" s="3" t="s">
        <v>60</v>
      </c>
      <c r="D2494" s="3" t="s">
        <v>69</v>
      </c>
      <c r="E2494" s="3" t="s">
        <v>39</v>
      </c>
      <c r="F2494" s="3" t="s">
        <v>70</v>
      </c>
      <c r="G2494" s="3" t="s">
        <v>49</v>
      </c>
      <c r="H2494" s="3" t="s">
        <v>64</v>
      </c>
      <c r="I2494" s="3" t="s">
        <v>90</v>
      </c>
      <c r="J2494" s="3" t="n">
        <v>40</v>
      </c>
      <c r="K2494" s="3" t="n">
        <v>3857.48</v>
      </c>
      <c r="L2494" s="3" t="n">
        <v>154299.2</v>
      </c>
      <c r="M2494" s="3" t="n">
        <v>0.0771</v>
      </c>
      <c r="N2494" s="3" t="n">
        <v>11896.47</v>
      </c>
      <c r="O2494" s="3" t="n">
        <v>142402.73</v>
      </c>
      <c r="P2494" s="3" t="n">
        <v>89493.54</v>
      </c>
      <c r="Q2494" s="3" t="n">
        <v>52909.19</v>
      </c>
      <c r="R2494" s="3" t="n">
        <v>0.3715</v>
      </c>
      <c r="S2494" s="3" t="n">
        <v>0.0696</v>
      </c>
      <c r="T2494" s="3" t="n">
        <v>0.0075</v>
      </c>
    </row>
    <row r="2495" customFormat="false" ht="15" hidden="false" customHeight="true" outlineLevel="0" collapsed="false">
      <c r="A2495" s="3" t="s">
        <v>3552</v>
      </c>
      <c r="B2495" s="3" t="s">
        <v>1375</v>
      </c>
      <c r="C2495" s="3" t="s">
        <v>68</v>
      </c>
      <c r="D2495" s="3" t="s">
        <v>97</v>
      </c>
      <c r="E2495" s="3" t="s">
        <v>48</v>
      </c>
      <c r="F2495" s="3" t="s">
        <v>40</v>
      </c>
      <c r="G2495" s="3" t="s">
        <v>76</v>
      </c>
      <c r="H2495" s="3" t="s">
        <v>56</v>
      </c>
      <c r="I2495" s="3" t="s">
        <v>121</v>
      </c>
      <c r="J2495" s="3" t="n">
        <v>18</v>
      </c>
      <c r="K2495" s="3" t="n">
        <v>17360.56</v>
      </c>
      <c r="L2495" s="3" t="n">
        <v>312490.08</v>
      </c>
      <c r="M2495" s="3" t="n">
        <v>0.0329</v>
      </c>
      <c r="N2495" s="3" t="n">
        <v>10280.92</v>
      </c>
      <c r="O2495" s="3" t="n">
        <v>302209.16</v>
      </c>
      <c r="P2495" s="3" t="n">
        <v>187494.05</v>
      </c>
      <c r="Q2495" s="3" t="n">
        <v>114715.11</v>
      </c>
      <c r="R2495" s="3" t="n">
        <v>0.3796</v>
      </c>
      <c r="S2495" s="3" t="n">
        <v>0.0296</v>
      </c>
      <c r="T2495" s="3" t="n">
        <v>0.0033</v>
      </c>
    </row>
    <row r="2496" customFormat="false" ht="15" hidden="false" customHeight="true" outlineLevel="0" collapsed="false">
      <c r="A2496" s="3" t="s">
        <v>3553</v>
      </c>
      <c r="B2496" s="3" t="s">
        <v>2535</v>
      </c>
      <c r="C2496" s="3" t="s">
        <v>37</v>
      </c>
      <c r="D2496" s="3" t="s">
        <v>107</v>
      </c>
      <c r="E2496" s="3" t="s">
        <v>33</v>
      </c>
      <c r="F2496" s="3" t="s">
        <v>70</v>
      </c>
      <c r="G2496" s="3" t="s">
        <v>100</v>
      </c>
      <c r="H2496" s="3" t="s">
        <v>42</v>
      </c>
      <c r="I2496" s="3" t="s">
        <v>72</v>
      </c>
      <c r="J2496" s="3" t="n">
        <v>48</v>
      </c>
      <c r="K2496" s="3" t="n">
        <v>2356.42</v>
      </c>
      <c r="L2496" s="3" t="n">
        <v>113108.16</v>
      </c>
      <c r="M2496" s="3" t="n">
        <v>0.0571</v>
      </c>
      <c r="N2496" s="3" t="n">
        <v>6458.48</v>
      </c>
      <c r="O2496" s="3" t="n">
        <v>106649.68</v>
      </c>
      <c r="P2496" s="3" t="n">
        <v>62209.49</v>
      </c>
      <c r="Q2496" s="3" t="n">
        <v>44440.19</v>
      </c>
      <c r="R2496" s="3" t="n">
        <v>0.4167</v>
      </c>
      <c r="S2496" s="3" t="n">
        <v>0.0576</v>
      </c>
      <c r="T2496" s="3" t="n">
        <v>-0.0005</v>
      </c>
    </row>
    <row r="2497" customFormat="false" ht="15" hidden="false" customHeight="true" outlineLevel="0" collapsed="false">
      <c r="A2497" s="3" t="s">
        <v>3554</v>
      </c>
      <c r="B2497" s="3" t="s">
        <v>3294</v>
      </c>
      <c r="C2497" s="3" t="s">
        <v>53</v>
      </c>
      <c r="D2497" s="3" t="s">
        <v>97</v>
      </c>
      <c r="E2497" s="3" t="s">
        <v>48</v>
      </c>
      <c r="F2497" s="3" t="s">
        <v>40</v>
      </c>
      <c r="G2497" s="3" t="s">
        <v>63</v>
      </c>
      <c r="H2497" s="3" t="s">
        <v>77</v>
      </c>
      <c r="I2497" s="3" t="s">
        <v>131</v>
      </c>
      <c r="J2497" s="3" t="n">
        <v>2</v>
      </c>
      <c r="K2497" s="3" t="n">
        <v>4984.97</v>
      </c>
      <c r="L2497" s="3" t="n">
        <v>9969.94</v>
      </c>
      <c r="M2497" s="3" t="n">
        <v>0.067</v>
      </c>
      <c r="N2497" s="3" t="n">
        <v>667.99</v>
      </c>
      <c r="O2497" s="3" t="n">
        <v>9301.95</v>
      </c>
      <c r="P2497" s="3" t="n">
        <v>6779.56</v>
      </c>
      <c r="Q2497" s="3" t="n">
        <v>2522.39</v>
      </c>
      <c r="R2497" s="3" t="n">
        <v>0.2712</v>
      </c>
      <c r="S2497" s="3" t="n">
        <v>0.0616</v>
      </c>
      <c r="T2497" s="3" t="n">
        <v>0.0054</v>
      </c>
    </row>
    <row r="2498" customFormat="false" ht="15" hidden="false" customHeight="true" outlineLevel="0" collapsed="false">
      <c r="A2498" s="3" t="s">
        <v>3555</v>
      </c>
      <c r="B2498" s="3" t="s">
        <v>549</v>
      </c>
      <c r="C2498" s="3" t="s">
        <v>37</v>
      </c>
      <c r="D2498" s="3" t="s">
        <v>75</v>
      </c>
      <c r="E2498" s="3" t="s">
        <v>39</v>
      </c>
      <c r="F2498" s="3" t="s">
        <v>25</v>
      </c>
      <c r="G2498" s="3" t="s">
        <v>49</v>
      </c>
      <c r="H2498" s="3" t="s">
        <v>56</v>
      </c>
      <c r="I2498" s="3" t="s">
        <v>188</v>
      </c>
      <c r="J2498" s="3" t="n">
        <v>14</v>
      </c>
      <c r="K2498" s="3" t="n">
        <v>6882.3</v>
      </c>
      <c r="L2498" s="3" t="n">
        <v>96352.2</v>
      </c>
      <c r="M2498" s="3" t="n">
        <v>0.1641</v>
      </c>
      <c r="N2498" s="3" t="n">
        <v>15811.4</v>
      </c>
      <c r="O2498" s="3" t="n">
        <v>80540.8</v>
      </c>
      <c r="P2498" s="3" t="n">
        <v>57811.32</v>
      </c>
      <c r="Q2498" s="3" t="n">
        <v>22729.48</v>
      </c>
      <c r="R2498" s="3" t="n">
        <v>0.2822</v>
      </c>
      <c r="S2498" s="3" t="n">
        <v>0.1676</v>
      </c>
      <c r="T2498" s="3" t="n">
        <v>-0.0035</v>
      </c>
    </row>
    <row r="2499" customFormat="false" ht="15" hidden="false" customHeight="true" outlineLevel="0" collapsed="false">
      <c r="A2499" s="3" t="s">
        <v>3556</v>
      </c>
      <c r="B2499" s="3" t="s">
        <v>1837</v>
      </c>
      <c r="C2499" s="3" t="s">
        <v>120</v>
      </c>
      <c r="D2499" s="3" t="s">
        <v>61</v>
      </c>
      <c r="E2499" s="3" t="s">
        <v>33</v>
      </c>
      <c r="F2499" s="3" t="s">
        <v>62</v>
      </c>
      <c r="G2499" s="3" t="s">
        <v>41</v>
      </c>
      <c r="H2499" s="3" t="s">
        <v>56</v>
      </c>
      <c r="I2499" s="3" t="s">
        <v>57</v>
      </c>
      <c r="J2499" s="3" t="n">
        <v>12</v>
      </c>
      <c r="K2499" s="3" t="n">
        <v>10887.19</v>
      </c>
      <c r="L2499" s="3" t="n">
        <v>130646.28</v>
      </c>
      <c r="M2499" s="3" t="n">
        <v>0.0732</v>
      </c>
      <c r="N2499" s="3" t="n">
        <v>9563.31</v>
      </c>
      <c r="O2499" s="3" t="n">
        <v>121082.97</v>
      </c>
      <c r="P2499" s="3" t="n">
        <v>78387.77</v>
      </c>
      <c r="Q2499" s="3" t="n">
        <v>42695.2</v>
      </c>
      <c r="R2499" s="3" t="n">
        <v>0.3526</v>
      </c>
      <c r="S2499" s="3" t="n">
        <v>0.0703</v>
      </c>
      <c r="T2499" s="3" t="n">
        <v>0.0029</v>
      </c>
    </row>
    <row r="2500" customFormat="false" ht="15" hidden="false" customHeight="true" outlineLevel="0" collapsed="false">
      <c r="A2500" s="3" t="s">
        <v>3557</v>
      </c>
      <c r="B2500" s="3" t="s">
        <v>905</v>
      </c>
      <c r="C2500" s="3" t="s">
        <v>53</v>
      </c>
      <c r="D2500" s="3" t="s">
        <v>103</v>
      </c>
      <c r="E2500" s="3" t="s">
        <v>24</v>
      </c>
      <c r="F2500" s="3" t="s">
        <v>62</v>
      </c>
      <c r="G2500" s="3" t="s">
        <v>76</v>
      </c>
      <c r="H2500" s="3" t="s">
        <v>77</v>
      </c>
      <c r="I2500" s="3" t="s">
        <v>131</v>
      </c>
      <c r="J2500" s="3" t="n">
        <v>36</v>
      </c>
      <c r="K2500" s="3" t="n">
        <v>3346.67</v>
      </c>
      <c r="L2500" s="3" t="n">
        <v>120480.12</v>
      </c>
      <c r="M2500" s="3" t="n">
        <v>0.0506</v>
      </c>
      <c r="N2500" s="3" t="n">
        <v>6096.29</v>
      </c>
      <c r="O2500" s="3" t="n">
        <v>114383.83</v>
      </c>
      <c r="P2500" s="3" t="n">
        <v>81926.48</v>
      </c>
      <c r="Q2500" s="3" t="n">
        <v>32457.35</v>
      </c>
      <c r="R2500" s="3" t="n">
        <v>0.2838</v>
      </c>
      <c r="S2500" s="3" t="n">
        <v>0.0538</v>
      </c>
      <c r="T2500" s="3" t="n">
        <v>-0.0032</v>
      </c>
    </row>
    <row r="2501" customFormat="false" ht="15" hidden="false" customHeight="true" outlineLevel="0" collapsed="false">
      <c r="A2501" s="3" t="s">
        <v>3558</v>
      </c>
      <c r="B2501" s="3" t="s">
        <v>977</v>
      </c>
      <c r="C2501" s="3" t="s">
        <v>60</v>
      </c>
      <c r="D2501" s="3" t="s">
        <v>23</v>
      </c>
      <c r="E2501" s="3" t="s">
        <v>24</v>
      </c>
      <c r="F2501" s="3" t="s">
        <v>25</v>
      </c>
      <c r="G2501" s="3" t="s">
        <v>41</v>
      </c>
      <c r="H2501" s="3" t="s">
        <v>27</v>
      </c>
      <c r="I2501" s="3" t="s">
        <v>28</v>
      </c>
      <c r="J2501" s="3" t="n">
        <v>16</v>
      </c>
      <c r="K2501" s="3" t="n">
        <v>33373.41</v>
      </c>
      <c r="L2501" s="3" t="n">
        <v>533974.56</v>
      </c>
      <c r="M2501" s="3" t="n">
        <v>0.1659</v>
      </c>
      <c r="N2501" s="3" t="n">
        <v>88586.38</v>
      </c>
      <c r="O2501" s="3" t="n">
        <v>445388.18</v>
      </c>
      <c r="P2501" s="3" t="n">
        <v>331064.23</v>
      </c>
      <c r="Q2501" s="3" t="n">
        <v>114323.95</v>
      </c>
      <c r="R2501" s="3" t="n">
        <v>0.2567</v>
      </c>
      <c r="S2501" s="3" t="n">
        <v>0.1623</v>
      </c>
      <c r="T2501" s="3" t="n">
        <v>0.0036</v>
      </c>
    </row>
    <row r="2502" customFormat="false" ht="15" hidden="false" customHeight="true" outlineLevel="0" collapsed="false">
      <c r="A2502" s="3" t="s">
        <v>3559</v>
      </c>
      <c r="B2502" s="3" t="s">
        <v>3560</v>
      </c>
      <c r="C2502" s="3" t="s">
        <v>60</v>
      </c>
      <c r="D2502" s="3" t="s">
        <v>32</v>
      </c>
      <c r="E2502" s="3" t="s">
        <v>33</v>
      </c>
      <c r="F2502" s="3" t="s">
        <v>25</v>
      </c>
      <c r="G2502" s="3" t="s">
        <v>71</v>
      </c>
      <c r="H2502" s="3" t="s">
        <v>56</v>
      </c>
      <c r="I2502" s="3" t="s">
        <v>121</v>
      </c>
      <c r="J2502" s="3" t="n">
        <v>11</v>
      </c>
      <c r="K2502" s="3" t="n">
        <v>8680.09</v>
      </c>
      <c r="L2502" s="3" t="n">
        <v>95480.99</v>
      </c>
      <c r="M2502" s="3" t="n">
        <v>0.147</v>
      </c>
      <c r="N2502" s="3" t="n">
        <v>14035.71</v>
      </c>
      <c r="O2502" s="3" t="n">
        <v>81445.28</v>
      </c>
      <c r="P2502" s="3" t="n">
        <v>57288.59</v>
      </c>
      <c r="Q2502" s="3" t="n">
        <v>24156.69</v>
      </c>
      <c r="R2502" s="3" t="n">
        <v>0.2966</v>
      </c>
      <c r="S2502" s="3" t="n">
        <v>0.1357</v>
      </c>
      <c r="T2502" s="3" t="n">
        <v>0.0113</v>
      </c>
    </row>
    <row r="2503" customFormat="false" ht="15" hidden="false" customHeight="true" outlineLevel="0" collapsed="false">
      <c r="A2503" s="3" t="s">
        <v>3561</v>
      </c>
      <c r="B2503" s="3" t="s">
        <v>674</v>
      </c>
      <c r="C2503" s="3" t="s">
        <v>126</v>
      </c>
      <c r="D2503" s="3" t="s">
        <v>32</v>
      </c>
      <c r="E2503" s="3" t="s">
        <v>33</v>
      </c>
      <c r="F2503" s="3" t="s">
        <v>25</v>
      </c>
      <c r="G2503" s="3" t="s">
        <v>104</v>
      </c>
      <c r="H2503" s="3" t="s">
        <v>42</v>
      </c>
      <c r="I2503" s="3" t="s">
        <v>134</v>
      </c>
      <c r="J2503" s="3" t="n">
        <v>24</v>
      </c>
      <c r="K2503" s="3" t="n">
        <v>3870.06</v>
      </c>
      <c r="L2503" s="3" t="n">
        <v>92881.44</v>
      </c>
      <c r="M2503" s="3" t="n">
        <v>0.1454</v>
      </c>
      <c r="N2503" s="3" t="n">
        <v>13504.96</v>
      </c>
      <c r="O2503" s="3" t="n">
        <v>79376.48</v>
      </c>
      <c r="P2503" s="3" t="n">
        <v>51084.79</v>
      </c>
      <c r="Q2503" s="3" t="n">
        <v>28291.69</v>
      </c>
      <c r="R2503" s="3" t="n">
        <v>0.3564</v>
      </c>
      <c r="S2503" s="3" t="n">
        <v>0.1446</v>
      </c>
      <c r="T2503" s="3" t="n">
        <v>0.0008</v>
      </c>
    </row>
    <row r="2504" customFormat="false" ht="15" hidden="false" customHeight="true" outlineLevel="0" collapsed="false">
      <c r="A2504" s="3" t="s">
        <v>3562</v>
      </c>
      <c r="B2504" s="3" t="s">
        <v>948</v>
      </c>
      <c r="C2504" s="3" t="s">
        <v>60</v>
      </c>
      <c r="D2504" s="3" t="s">
        <v>32</v>
      </c>
      <c r="E2504" s="3" t="s">
        <v>33</v>
      </c>
      <c r="F2504" s="3" t="s">
        <v>25</v>
      </c>
      <c r="G2504" s="3" t="s">
        <v>104</v>
      </c>
      <c r="H2504" s="3" t="s">
        <v>64</v>
      </c>
      <c r="I2504" s="3" t="s">
        <v>65</v>
      </c>
      <c r="J2504" s="3" t="n">
        <v>6</v>
      </c>
      <c r="K2504" s="3" t="n">
        <v>9635.91</v>
      </c>
      <c r="L2504" s="3" t="n">
        <v>57815.46</v>
      </c>
      <c r="M2504" s="3" t="n">
        <v>0.1689</v>
      </c>
      <c r="N2504" s="3" t="n">
        <v>9765.03</v>
      </c>
      <c r="O2504" s="3" t="n">
        <v>48050.43</v>
      </c>
      <c r="P2504" s="3" t="n">
        <v>33532.97</v>
      </c>
      <c r="Q2504" s="3" t="n">
        <v>14517.46</v>
      </c>
      <c r="R2504" s="3" t="n">
        <v>0.3021</v>
      </c>
      <c r="S2504" s="3" t="n">
        <v>0.1419</v>
      </c>
      <c r="T2504" s="3" t="n">
        <v>0.027</v>
      </c>
    </row>
    <row r="2505" customFormat="false" ht="15" hidden="false" customHeight="true" outlineLevel="0" collapsed="false">
      <c r="A2505" s="3" t="s">
        <v>3563</v>
      </c>
      <c r="B2505" s="3" t="s">
        <v>2706</v>
      </c>
      <c r="C2505" s="3" t="s">
        <v>22</v>
      </c>
      <c r="D2505" s="3" t="s">
        <v>54</v>
      </c>
      <c r="E2505" s="3" t="s">
        <v>24</v>
      </c>
      <c r="F2505" s="3" t="s">
        <v>40</v>
      </c>
      <c r="G2505" s="3" t="s">
        <v>116</v>
      </c>
      <c r="H2505" s="3" t="s">
        <v>77</v>
      </c>
      <c r="I2505" s="3" t="s">
        <v>131</v>
      </c>
      <c r="J2505" s="3" t="n">
        <v>15</v>
      </c>
      <c r="K2505" s="3" t="n">
        <v>5758.26</v>
      </c>
      <c r="L2505" s="3" t="n">
        <v>86373.9</v>
      </c>
      <c r="M2505" s="3" t="n">
        <v>0.0693</v>
      </c>
      <c r="N2505" s="3" t="n">
        <v>5985.71</v>
      </c>
      <c r="O2505" s="3" t="n">
        <v>80388.19</v>
      </c>
      <c r="P2505" s="3" t="n">
        <v>58734.25</v>
      </c>
      <c r="Q2505" s="3" t="n">
        <v>21653.94</v>
      </c>
      <c r="R2505" s="3" t="n">
        <v>0.2694</v>
      </c>
      <c r="S2505" s="3" t="n">
        <v>0.0642</v>
      </c>
      <c r="T2505" s="3" t="n">
        <v>0.0051</v>
      </c>
    </row>
    <row r="2506" customFormat="false" ht="15" hidden="false" customHeight="true" outlineLevel="0" collapsed="false">
      <c r="A2506" s="3" t="s">
        <v>3564</v>
      </c>
      <c r="B2506" s="3" t="s">
        <v>744</v>
      </c>
      <c r="C2506" s="3" t="s">
        <v>120</v>
      </c>
      <c r="D2506" s="3" t="s">
        <v>32</v>
      </c>
      <c r="E2506" s="3" t="s">
        <v>33</v>
      </c>
      <c r="F2506" s="3" t="s">
        <v>25</v>
      </c>
      <c r="G2506" s="3" t="s">
        <v>84</v>
      </c>
      <c r="H2506" s="3" t="s">
        <v>56</v>
      </c>
      <c r="I2506" s="3" t="s">
        <v>188</v>
      </c>
      <c r="J2506" s="3" t="n">
        <v>3</v>
      </c>
      <c r="K2506" s="3" t="n">
        <v>9773.66</v>
      </c>
      <c r="L2506" s="3" t="n">
        <v>29320.98</v>
      </c>
      <c r="M2506" s="3" t="n">
        <v>0.1085</v>
      </c>
      <c r="N2506" s="3" t="n">
        <v>3181.33</v>
      </c>
      <c r="O2506" s="3" t="n">
        <v>26139.65</v>
      </c>
      <c r="P2506" s="3" t="n">
        <v>17592.59</v>
      </c>
      <c r="Q2506" s="3" t="n">
        <v>8547.06</v>
      </c>
      <c r="R2506" s="3" t="n">
        <v>0.327</v>
      </c>
      <c r="S2506" s="3" t="n">
        <v>0.1169</v>
      </c>
      <c r="T2506" s="3" t="n">
        <v>-0.0084</v>
      </c>
    </row>
    <row r="2507" customFormat="false" ht="15" hidden="false" customHeight="true" outlineLevel="0" collapsed="false">
      <c r="A2507" s="3" t="s">
        <v>3565</v>
      </c>
      <c r="B2507" s="3" t="s">
        <v>2237</v>
      </c>
      <c r="C2507" s="3" t="s">
        <v>113</v>
      </c>
      <c r="D2507" s="3" t="s">
        <v>97</v>
      </c>
      <c r="E2507" s="3" t="s">
        <v>48</v>
      </c>
      <c r="F2507" s="3" t="s">
        <v>40</v>
      </c>
      <c r="G2507" s="3" t="s">
        <v>84</v>
      </c>
      <c r="H2507" s="3" t="s">
        <v>77</v>
      </c>
      <c r="I2507" s="3" t="s">
        <v>131</v>
      </c>
      <c r="J2507" s="3" t="n">
        <v>9</v>
      </c>
      <c r="K2507" s="3" t="n">
        <v>5882.96</v>
      </c>
      <c r="L2507" s="3" t="n">
        <v>52946.64</v>
      </c>
      <c r="M2507" s="3" t="n">
        <v>0.0495</v>
      </c>
      <c r="N2507" s="3" t="n">
        <v>2620.86</v>
      </c>
      <c r="O2507" s="3" t="n">
        <v>50325.78</v>
      </c>
      <c r="P2507" s="3" t="n">
        <v>36003.72</v>
      </c>
      <c r="Q2507" s="3" t="n">
        <v>14322.06</v>
      </c>
      <c r="R2507" s="3" t="n">
        <v>0.2846</v>
      </c>
      <c r="S2507" s="3" t="n">
        <v>0.0502</v>
      </c>
      <c r="T2507" s="3" t="n">
        <v>-0.0007</v>
      </c>
    </row>
    <row r="2508" customFormat="false" ht="15" hidden="false" customHeight="true" outlineLevel="0" collapsed="false">
      <c r="A2508" s="3" t="s">
        <v>3566</v>
      </c>
      <c r="B2508" s="3" t="s">
        <v>153</v>
      </c>
      <c r="C2508" s="3" t="s">
        <v>31</v>
      </c>
      <c r="D2508" s="3" t="s">
        <v>97</v>
      </c>
      <c r="E2508" s="3" t="s">
        <v>48</v>
      </c>
      <c r="F2508" s="3" t="s">
        <v>40</v>
      </c>
      <c r="G2508" s="3" t="s">
        <v>104</v>
      </c>
      <c r="H2508" s="3" t="s">
        <v>42</v>
      </c>
      <c r="I2508" s="3" t="s">
        <v>43</v>
      </c>
      <c r="J2508" s="3" t="n">
        <v>15</v>
      </c>
      <c r="K2508" s="3" t="n">
        <v>2503.55</v>
      </c>
      <c r="L2508" s="3" t="n">
        <v>37553.25</v>
      </c>
      <c r="M2508" s="3" t="n">
        <v>0.0811</v>
      </c>
      <c r="N2508" s="3" t="n">
        <v>3045.57</v>
      </c>
      <c r="O2508" s="3" t="n">
        <v>34507.68</v>
      </c>
      <c r="P2508" s="3" t="n">
        <v>20654.29</v>
      </c>
      <c r="Q2508" s="3" t="n">
        <v>13853.39</v>
      </c>
      <c r="R2508" s="3" t="n">
        <v>0.4015</v>
      </c>
      <c r="S2508" s="3" t="n">
        <v>0.0671</v>
      </c>
      <c r="T2508" s="3" t="n">
        <v>0.014</v>
      </c>
    </row>
    <row r="2509" customFormat="false" ht="15" hidden="false" customHeight="true" outlineLevel="0" collapsed="false">
      <c r="A2509" s="3" t="s">
        <v>3567</v>
      </c>
      <c r="B2509" s="3" t="s">
        <v>689</v>
      </c>
      <c r="C2509" s="3" t="s">
        <v>53</v>
      </c>
      <c r="D2509" s="3" t="s">
        <v>47</v>
      </c>
      <c r="E2509" s="3" t="s">
        <v>48</v>
      </c>
      <c r="F2509" s="3" t="s">
        <v>25</v>
      </c>
      <c r="G2509" s="3" t="s">
        <v>71</v>
      </c>
      <c r="H2509" s="3" t="s">
        <v>64</v>
      </c>
      <c r="I2509" s="3" t="s">
        <v>108</v>
      </c>
      <c r="J2509" s="3" t="n">
        <v>13</v>
      </c>
      <c r="K2509" s="3" t="n">
        <v>4001.92</v>
      </c>
      <c r="L2509" s="3" t="n">
        <v>52024.96</v>
      </c>
      <c r="M2509" s="3" t="n">
        <v>0.1185</v>
      </c>
      <c r="N2509" s="3" t="n">
        <v>6164.96</v>
      </c>
      <c r="O2509" s="3" t="n">
        <v>45860</v>
      </c>
      <c r="P2509" s="3" t="n">
        <v>30174.48</v>
      </c>
      <c r="Q2509" s="3" t="n">
        <v>15685.52</v>
      </c>
      <c r="R2509" s="3" t="n">
        <v>0.342</v>
      </c>
      <c r="S2509" s="3" t="n">
        <v>0.1049</v>
      </c>
      <c r="T2509" s="3" t="n">
        <v>0.0136</v>
      </c>
    </row>
    <row r="2510" customFormat="false" ht="15" hidden="false" customHeight="true" outlineLevel="0" collapsed="false">
      <c r="A2510" s="3" t="s">
        <v>3568</v>
      </c>
      <c r="B2510" s="3" t="s">
        <v>500</v>
      </c>
      <c r="C2510" s="3" t="s">
        <v>126</v>
      </c>
      <c r="D2510" s="3" t="s">
        <v>61</v>
      </c>
      <c r="E2510" s="3" t="s">
        <v>33</v>
      </c>
      <c r="F2510" s="3" t="s">
        <v>62</v>
      </c>
      <c r="G2510" s="3" t="s">
        <v>41</v>
      </c>
      <c r="H2510" s="3" t="s">
        <v>77</v>
      </c>
      <c r="I2510" s="3" t="s">
        <v>78</v>
      </c>
      <c r="J2510" s="3" t="n">
        <v>46</v>
      </c>
      <c r="K2510" s="3" t="n">
        <v>5705.72</v>
      </c>
      <c r="L2510" s="3" t="n">
        <v>262463.12</v>
      </c>
      <c r="M2510" s="3" t="n">
        <v>0.0689</v>
      </c>
      <c r="N2510" s="3" t="n">
        <v>18083.71</v>
      </c>
      <c r="O2510" s="3" t="n">
        <v>244379.41</v>
      </c>
      <c r="P2510" s="3" t="n">
        <v>178474.92</v>
      </c>
      <c r="Q2510" s="3" t="n">
        <v>65904.49</v>
      </c>
      <c r="R2510" s="3" t="n">
        <v>0.2697</v>
      </c>
      <c r="S2510" s="3" t="n">
        <v>0.0575</v>
      </c>
      <c r="T2510" s="3" t="n">
        <v>0.0114</v>
      </c>
    </row>
    <row r="2511" customFormat="false" ht="15" hidden="false" customHeight="true" outlineLevel="0" collapsed="false">
      <c r="A2511" s="3" t="s">
        <v>3569</v>
      </c>
      <c r="B2511" s="3" t="s">
        <v>2752</v>
      </c>
      <c r="C2511" s="3" t="s">
        <v>93</v>
      </c>
      <c r="D2511" s="3" t="s">
        <v>97</v>
      </c>
      <c r="E2511" s="3" t="s">
        <v>48</v>
      </c>
      <c r="F2511" s="3" t="s">
        <v>40</v>
      </c>
      <c r="G2511" s="3" t="s">
        <v>41</v>
      </c>
      <c r="H2511" s="3" t="s">
        <v>64</v>
      </c>
      <c r="I2511" s="3" t="s">
        <v>90</v>
      </c>
      <c r="J2511" s="3" t="n">
        <v>43</v>
      </c>
      <c r="K2511" s="3" t="n">
        <v>7175.3</v>
      </c>
      <c r="L2511" s="3" t="n">
        <v>308537.9</v>
      </c>
      <c r="M2511" s="3" t="n">
        <v>0.1157</v>
      </c>
      <c r="N2511" s="3" t="n">
        <v>35697.84</v>
      </c>
      <c r="O2511" s="3" t="n">
        <v>272840.06</v>
      </c>
      <c r="P2511" s="3" t="n">
        <v>178951.98</v>
      </c>
      <c r="Q2511" s="3" t="n">
        <v>93888.08</v>
      </c>
      <c r="R2511" s="3" t="n">
        <v>0.3441</v>
      </c>
      <c r="S2511" s="3" t="n">
        <v>0.1255</v>
      </c>
      <c r="T2511" s="3" t="n">
        <v>-0.0098</v>
      </c>
    </row>
    <row r="2512" customFormat="false" ht="15" hidden="false" customHeight="true" outlineLevel="0" collapsed="false">
      <c r="A2512" s="3" t="s">
        <v>3570</v>
      </c>
      <c r="B2512" s="3" t="s">
        <v>1357</v>
      </c>
      <c r="C2512" s="3" t="s">
        <v>126</v>
      </c>
      <c r="D2512" s="3" t="s">
        <v>32</v>
      </c>
      <c r="E2512" s="3" t="s">
        <v>33</v>
      </c>
      <c r="F2512" s="3" t="s">
        <v>25</v>
      </c>
      <c r="G2512" s="3" t="s">
        <v>34</v>
      </c>
      <c r="H2512" s="3" t="s">
        <v>77</v>
      </c>
      <c r="I2512" s="3" t="s">
        <v>85</v>
      </c>
      <c r="J2512" s="3" t="n">
        <v>39</v>
      </c>
      <c r="K2512" s="3" t="n">
        <v>4992.19</v>
      </c>
      <c r="L2512" s="3" t="n">
        <v>194695.41</v>
      </c>
      <c r="M2512" s="3" t="n">
        <v>0.1563</v>
      </c>
      <c r="N2512" s="3" t="n">
        <v>30430.89</v>
      </c>
      <c r="O2512" s="3" t="n">
        <v>164264.52</v>
      </c>
      <c r="P2512" s="3" t="n">
        <v>132392.88</v>
      </c>
      <c r="Q2512" s="3" t="n">
        <v>31871.64</v>
      </c>
      <c r="R2512" s="3" t="n">
        <v>0.194</v>
      </c>
      <c r="S2512" s="3" t="n">
        <v>0.1663</v>
      </c>
      <c r="T2512" s="3" t="n">
        <v>-0.01</v>
      </c>
    </row>
    <row r="2513" customFormat="false" ht="15" hidden="false" customHeight="true" outlineLevel="0" collapsed="false">
      <c r="A2513" s="3" t="s">
        <v>3571</v>
      </c>
      <c r="B2513" s="3" t="s">
        <v>3052</v>
      </c>
      <c r="C2513" s="3" t="s">
        <v>22</v>
      </c>
      <c r="D2513" s="3" t="s">
        <v>61</v>
      </c>
      <c r="E2513" s="3" t="s">
        <v>33</v>
      </c>
      <c r="F2513" s="3" t="s">
        <v>62</v>
      </c>
      <c r="G2513" s="3" t="s">
        <v>49</v>
      </c>
      <c r="H2513" s="3" t="s">
        <v>77</v>
      </c>
      <c r="I2513" s="3" t="s">
        <v>78</v>
      </c>
      <c r="J2513" s="3" t="n">
        <v>36</v>
      </c>
      <c r="K2513" s="3" t="n">
        <v>1680.42</v>
      </c>
      <c r="L2513" s="3" t="n">
        <v>60495.12</v>
      </c>
      <c r="M2513" s="3" t="n">
        <v>0.0521</v>
      </c>
      <c r="N2513" s="3" t="n">
        <v>3151.8</v>
      </c>
      <c r="O2513" s="3" t="n">
        <v>57343.32</v>
      </c>
      <c r="P2513" s="3" t="n">
        <v>41136.68</v>
      </c>
      <c r="Q2513" s="3" t="n">
        <v>16206.64</v>
      </c>
      <c r="R2513" s="3" t="n">
        <v>0.2826</v>
      </c>
      <c r="S2513" s="3" t="n">
        <v>0.0547</v>
      </c>
      <c r="T2513" s="3" t="n">
        <v>-0.0026</v>
      </c>
    </row>
    <row r="2514" customFormat="false" ht="15" hidden="false" customHeight="true" outlineLevel="0" collapsed="false">
      <c r="A2514" s="3" t="s">
        <v>3572</v>
      </c>
      <c r="B2514" s="3" t="s">
        <v>380</v>
      </c>
      <c r="C2514" s="3" t="s">
        <v>156</v>
      </c>
      <c r="D2514" s="3" t="s">
        <v>83</v>
      </c>
      <c r="E2514" s="3" t="s">
        <v>48</v>
      </c>
      <c r="F2514" s="3" t="s">
        <v>62</v>
      </c>
      <c r="G2514" s="3" t="s">
        <v>55</v>
      </c>
      <c r="H2514" s="3" t="s">
        <v>56</v>
      </c>
      <c r="I2514" s="3" t="s">
        <v>121</v>
      </c>
      <c r="J2514" s="3" t="n">
        <v>20</v>
      </c>
      <c r="K2514" s="3" t="n">
        <v>5020.57</v>
      </c>
      <c r="L2514" s="3" t="n">
        <v>100411.4</v>
      </c>
      <c r="M2514" s="3" t="n">
        <v>0.0649</v>
      </c>
      <c r="N2514" s="3" t="n">
        <v>6516.7</v>
      </c>
      <c r="O2514" s="3" t="n">
        <v>93894.7</v>
      </c>
      <c r="P2514" s="3" t="n">
        <v>60246.84</v>
      </c>
      <c r="Q2514" s="3" t="n">
        <v>33647.86</v>
      </c>
      <c r="R2514" s="3" t="n">
        <v>0.3584</v>
      </c>
      <c r="S2514" s="3" t="n">
        <v>0.0691</v>
      </c>
      <c r="T2514" s="3" t="n">
        <v>-0.0042</v>
      </c>
    </row>
    <row r="2515" customFormat="false" ht="15" hidden="false" customHeight="true" outlineLevel="0" collapsed="false">
      <c r="A2515" s="3" t="s">
        <v>3573</v>
      </c>
      <c r="B2515" s="3" t="s">
        <v>3196</v>
      </c>
      <c r="C2515" s="3" t="s">
        <v>68</v>
      </c>
      <c r="D2515" s="3" t="s">
        <v>54</v>
      </c>
      <c r="E2515" s="3" t="s">
        <v>24</v>
      </c>
      <c r="F2515" s="3" t="s">
        <v>40</v>
      </c>
      <c r="G2515" s="3" t="s">
        <v>84</v>
      </c>
      <c r="H2515" s="3" t="s">
        <v>56</v>
      </c>
      <c r="I2515" s="3" t="s">
        <v>188</v>
      </c>
      <c r="J2515" s="3" t="n">
        <v>50</v>
      </c>
      <c r="K2515" s="3" t="n">
        <v>6922.44</v>
      </c>
      <c r="L2515" s="3" t="n">
        <v>346122</v>
      </c>
      <c r="M2515" s="3" t="n">
        <v>0.0434</v>
      </c>
      <c r="N2515" s="3" t="n">
        <v>15021.69</v>
      </c>
      <c r="O2515" s="3" t="n">
        <v>331100.31</v>
      </c>
      <c r="P2515" s="3" t="n">
        <v>207673.2</v>
      </c>
      <c r="Q2515" s="3" t="n">
        <v>123427.11</v>
      </c>
      <c r="R2515" s="3" t="n">
        <v>0.3728</v>
      </c>
      <c r="S2515" s="3" t="n">
        <v>0.0369</v>
      </c>
      <c r="T2515" s="3" t="n">
        <v>0.0065</v>
      </c>
    </row>
    <row r="2516" customFormat="false" ht="15" hidden="false" customHeight="true" outlineLevel="0" collapsed="false">
      <c r="A2516" s="3" t="s">
        <v>3574</v>
      </c>
      <c r="B2516" s="3" t="s">
        <v>829</v>
      </c>
      <c r="C2516" s="3" t="s">
        <v>53</v>
      </c>
      <c r="D2516" s="3" t="s">
        <v>54</v>
      </c>
      <c r="E2516" s="3" t="s">
        <v>24</v>
      </c>
      <c r="F2516" s="3" t="s">
        <v>40</v>
      </c>
      <c r="G2516" s="3" t="s">
        <v>49</v>
      </c>
      <c r="H2516" s="3" t="s">
        <v>42</v>
      </c>
      <c r="I2516" s="3" t="s">
        <v>134</v>
      </c>
      <c r="J2516" s="3" t="n">
        <v>33</v>
      </c>
      <c r="K2516" s="3" t="n">
        <v>3286.46</v>
      </c>
      <c r="L2516" s="3" t="n">
        <v>108453.18</v>
      </c>
      <c r="M2516" s="3" t="n">
        <v>0.0712</v>
      </c>
      <c r="N2516" s="3" t="n">
        <v>7721.87</v>
      </c>
      <c r="O2516" s="3" t="n">
        <v>100731.31</v>
      </c>
      <c r="P2516" s="3" t="n">
        <v>59649.25</v>
      </c>
      <c r="Q2516" s="3" t="n">
        <v>41082.06</v>
      </c>
      <c r="R2516" s="3" t="n">
        <v>0.4078</v>
      </c>
      <c r="S2516" s="3" t="n">
        <v>0.0665</v>
      </c>
      <c r="T2516" s="3" t="n">
        <v>0.0047</v>
      </c>
    </row>
    <row r="2517" customFormat="false" ht="15" hidden="false" customHeight="true" outlineLevel="0" collapsed="false">
      <c r="A2517" s="3" t="s">
        <v>3575</v>
      </c>
      <c r="B2517" s="3" t="s">
        <v>306</v>
      </c>
      <c r="C2517" s="3" t="s">
        <v>60</v>
      </c>
      <c r="D2517" s="3" t="s">
        <v>32</v>
      </c>
      <c r="E2517" s="3" t="s">
        <v>33</v>
      </c>
      <c r="F2517" s="3" t="s">
        <v>25</v>
      </c>
      <c r="G2517" s="3" t="s">
        <v>76</v>
      </c>
      <c r="H2517" s="3" t="s">
        <v>64</v>
      </c>
      <c r="I2517" s="3" t="s">
        <v>145</v>
      </c>
      <c r="J2517" s="3" t="n">
        <v>24</v>
      </c>
      <c r="K2517" s="3" t="n">
        <v>9954.4</v>
      </c>
      <c r="L2517" s="3" t="n">
        <v>238905.6</v>
      </c>
      <c r="M2517" s="3" t="n">
        <v>0.1375</v>
      </c>
      <c r="N2517" s="3" t="n">
        <v>32849.52</v>
      </c>
      <c r="O2517" s="3" t="n">
        <v>206056.08</v>
      </c>
      <c r="P2517" s="3" t="n">
        <v>138565.25</v>
      </c>
      <c r="Q2517" s="3" t="n">
        <v>67490.83</v>
      </c>
      <c r="R2517" s="3" t="n">
        <v>0.3275</v>
      </c>
      <c r="S2517" s="3" t="n">
        <v>0.1273</v>
      </c>
      <c r="T2517" s="3" t="n">
        <v>0.0102</v>
      </c>
    </row>
    <row r="2518" customFormat="false" ht="15" hidden="false" customHeight="true" outlineLevel="0" collapsed="false">
      <c r="A2518" s="3" t="s">
        <v>3576</v>
      </c>
      <c r="B2518" s="3" t="s">
        <v>3294</v>
      </c>
      <c r="C2518" s="3" t="s">
        <v>53</v>
      </c>
      <c r="D2518" s="3" t="s">
        <v>38</v>
      </c>
      <c r="E2518" s="3" t="s">
        <v>39</v>
      </c>
      <c r="F2518" s="3" t="s">
        <v>40</v>
      </c>
      <c r="G2518" s="3" t="s">
        <v>26</v>
      </c>
      <c r="H2518" s="3" t="s">
        <v>27</v>
      </c>
      <c r="I2518" s="3" t="s">
        <v>50</v>
      </c>
      <c r="J2518" s="3" t="n">
        <v>13</v>
      </c>
      <c r="K2518" s="3" t="n">
        <v>22963.54</v>
      </c>
      <c r="L2518" s="3" t="n">
        <v>298526.02</v>
      </c>
      <c r="M2518" s="3" t="n">
        <v>0.0558</v>
      </c>
      <c r="N2518" s="3" t="n">
        <v>16657.75</v>
      </c>
      <c r="O2518" s="3" t="n">
        <v>281868.27</v>
      </c>
      <c r="P2518" s="3" t="n">
        <v>185086.13</v>
      </c>
      <c r="Q2518" s="3" t="n">
        <v>96782.14</v>
      </c>
      <c r="R2518" s="3" t="n">
        <v>0.3434</v>
      </c>
      <c r="S2518" s="3" t="n">
        <v>0.0457</v>
      </c>
      <c r="T2518" s="3" t="n">
        <v>0.0101</v>
      </c>
    </row>
    <row r="2519" customFormat="false" ht="15" hidden="false" customHeight="true" outlineLevel="0" collapsed="false">
      <c r="A2519" s="3" t="s">
        <v>3577</v>
      </c>
      <c r="B2519" s="3" t="s">
        <v>3578</v>
      </c>
      <c r="C2519" s="3" t="s">
        <v>126</v>
      </c>
      <c r="D2519" s="3" t="s">
        <v>32</v>
      </c>
      <c r="E2519" s="3" t="s">
        <v>33</v>
      </c>
      <c r="F2519" s="3" t="s">
        <v>25</v>
      </c>
      <c r="G2519" s="3" t="s">
        <v>49</v>
      </c>
      <c r="H2519" s="3" t="s">
        <v>27</v>
      </c>
      <c r="I2519" s="3" t="s">
        <v>94</v>
      </c>
      <c r="J2519" s="3" t="n">
        <v>22</v>
      </c>
      <c r="K2519" s="3" t="n">
        <v>15268.37</v>
      </c>
      <c r="L2519" s="3" t="n">
        <v>335904.14</v>
      </c>
      <c r="M2519" s="3" t="n">
        <v>0.1263</v>
      </c>
      <c r="N2519" s="3" t="n">
        <v>42424.69</v>
      </c>
      <c r="O2519" s="3" t="n">
        <v>293479.45</v>
      </c>
      <c r="P2519" s="3" t="n">
        <v>208260.57</v>
      </c>
      <c r="Q2519" s="3" t="n">
        <v>85218.88</v>
      </c>
      <c r="R2519" s="3" t="n">
        <v>0.2904</v>
      </c>
      <c r="S2519" s="3" t="n">
        <v>0.1077</v>
      </c>
      <c r="T2519" s="3" t="n">
        <v>0.0186</v>
      </c>
    </row>
    <row r="2520" customFormat="false" ht="15" hidden="false" customHeight="true" outlineLevel="0" collapsed="false">
      <c r="A2520" s="3" t="s">
        <v>3579</v>
      </c>
      <c r="B2520" s="3" t="s">
        <v>112</v>
      </c>
      <c r="C2520" s="3" t="s">
        <v>113</v>
      </c>
      <c r="D2520" s="3" t="s">
        <v>47</v>
      </c>
      <c r="E2520" s="3" t="s">
        <v>48</v>
      </c>
      <c r="F2520" s="3" t="s">
        <v>25</v>
      </c>
      <c r="G2520" s="3" t="s">
        <v>49</v>
      </c>
      <c r="H2520" s="3" t="s">
        <v>42</v>
      </c>
      <c r="I2520" s="3" t="s">
        <v>43</v>
      </c>
      <c r="J2520" s="3" t="n">
        <v>39</v>
      </c>
      <c r="K2520" s="3" t="n">
        <v>3230.8</v>
      </c>
      <c r="L2520" s="3" t="n">
        <v>126001.2</v>
      </c>
      <c r="M2520" s="3" t="n">
        <v>0.1346</v>
      </c>
      <c r="N2520" s="3" t="n">
        <v>16959.76</v>
      </c>
      <c r="O2520" s="3" t="n">
        <v>109041.44</v>
      </c>
      <c r="P2520" s="3" t="n">
        <v>69300.66</v>
      </c>
      <c r="Q2520" s="3" t="n">
        <v>39740.78</v>
      </c>
      <c r="R2520" s="3" t="n">
        <v>0.3645</v>
      </c>
      <c r="S2520" s="3" t="n">
        <v>0.127</v>
      </c>
      <c r="T2520" s="3" t="n">
        <v>0.0076</v>
      </c>
    </row>
    <row r="2521" customFormat="false" ht="15" hidden="false" customHeight="true" outlineLevel="0" collapsed="false">
      <c r="A2521" s="3" t="s">
        <v>3580</v>
      </c>
      <c r="B2521" s="3" t="s">
        <v>1428</v>
      </c>
      <c r="C2521" s="3" t="s">
        <v>31</v>
      </c>
      <c r="D2521" s="3" t="s">
        <v>61</v>
      </c>
      <c r="E2521" s="3" t="s">
        <v>33</v>
      </c>
      <c r="F2521" s="3" t="s">
        <v>62</v>
      </c>
      <c r="G2521" s="3" t="s">
        <v>63</v>
      </c>
      <c r="H2521" s="3" t="s">
        <v>42</v>
      </c>
      <c r="I2521" s="3" t="s">
        <v>72</v>
      </c>
      <c r="J2521" s="3" t="n">
        <v>32</v>
      </c>
      <c r="K2521" s="3" t="n">
        <v>674.69</v>
      </c>
      <c r="L2521" s="3" t="n">
        <v>21590.08</v>
      </c>
      <c r="M2521" s="3" t="n">
        <v>0.0723</v>
      </c>
      <c r="N2521" s="3" t="n">
        <v>1560.96</v>
      </c>
      <c r="O2521" s="3" t="n">
        <v>20029.12</v>
      </c>
      <c r="P2521" s="3" t="n">
        <v>11874.54</v>
      </c>
      <c r="Q2521" s="3" t="n">
        <v>8154.58</v>
      </c>
      <c r="R2521" s="3" t="n">
        <v>0.4071</v>
      </c>
      <c r="S2521" s="3" t="n">
        <v>0.0738</v>
      </c>
      <c r="T2521" s="3" t="n">
        <v>-0.0015</v>
      </c>
    </row>
    <row r="2522" customFormat="false" ht="15" hidden="false" customHeight="true" outlineLevel="0" collapsed="false">
      <c r="A2522" s="3" t="s">
        <v>3581</v>
      </c>
      <c r="B2522" s="3" t="s">
        <v>3040</v>
      </c>
      <c r="C2522" s="3" t="s">
        <v>113</v>
      </c>
      <c r="D2522" s="3" t="s">
        <v>54</v>
      </c>
      <c r="E2522" s="3" t="s">
        <v>24</v>
      </c>
      <c r="F2522" s="3" t="s">
        <v>40</v>
      </c>
      <c r="G2522" s="3" t="s">
        <v>100</v>
      </c>
      <c r="H2522" s="3" t="s">
        <v>64</v>
      </c>
      <c r="I2522" s="3" t="s">
        <v>90</v>
      </c>
      <c r="J2522" s="3" t="n">
        <v>34</v>
      </c>
      <c r="K2522" s="3" t="n">
        <v>11605.67</v>
      </c>
      <c r="L2522" s="3" t="n">
        <v>394592.78</v>
      </c>
      <c r="M2522" s="3" t="n">
        <v>0.0431</v>
      </c>
      <c r="N2522" s="3" t="n">
        <v>17006.95</v>
      </c>
      <c r="O2522" s="3" t="n">
        <v>377585.83</v>
      </c>
      <c r="P2522" s="3" t="n">
        <v>228863.81</v>
      </c>
      <c r="Q2522" s="3" t="n">
        <v>148722.02</v>
      </c>
      <c r="R2522" s="3" t="n">
        <v>0.3939</v>
      </c>
      <c r="S2522" s="3" t="n">
        <v>0.0404</v>
      </c>
      <c r="T2522" s="3" t="n">
        <v>0.0027</v>
      </c>
    </row>
    <row r="2523" customFormat="false" ht="15" hidden="false" customHeight="true" outlineLevel="0" collapsed="false">
      <c r="A2523" s="3" t="s">
        <v>3582</v>
      </c>
      <c r="B2523" s="3" t="s">
        <v>639</v>
      </c>
      <c r="C2523" s="3" t="s">
        <v>31</v>
      </c>
      <c r="D2523" s="3" t="s">
        <v>47</v>
      </c>
      <c r="E2523" s="3" t="s">
        <v>48</v>
      </c>
      <c r="F2523" s="3" t="s">
        <v>25</v>
      </c>
      <c r="G2523" s="3" t="s">
        <v>100</v>
      </c>
      <c r="H2523" s="3" t="s">
        <v>77</v>
      </c>
      <c r="I2523" s="3" t="s">
        <v>131</v>
      </c>
      <c r="J2523" s="3" t="n">
        <v>42</v>
      </c>
      <c r="K2523" s="3" t="n">
        <v>4811.72</v>
      </c>
      <c r="L2523" s="3" t="n">
        <v>202092.24</v>
      </c>
      <c r="M2523" s="3" t="n">
        <v>0.1463</v>
      </c>
      <c r="N2523" s="3" t="n">
        <v>29566.09</v>
      </c>
      <c r="O2523" s="3" t="n">
        <v>172526.15</v>
      </c>
      <c r="P2523" s="3" t="n">
        <v>137422.72</v>
      </c>
      <c r="Q2523" s="3" t="n">
        <v>35103.43</v>
      </c>
      <c r="R2523" s="3" t="n">
        <v>0.2035</v>
      </c>
      <c r="S2523" s="3" t="n">
        <v>0.1283</v>
      </c>
      <c r="T2523" s="3" t="n">
        <v>0.018</v>
      </c>
    </row>
    <row r="2524" customFormat="false" ht="15" hidden="false" customHeight="true" outlineLevel="0" collapsed="false">
      <c r="A2524" s="3" t="s">
        <v>3583</v>
      </c>
      <c r="B2524" s="3" t="s">
        <v>1299</v>
      </c>
      <c r="C2524" s="3" t="s">
        <v>22</v>
      </c>
      <c r="D2524" s="3" t="s">
        <v>47</v>
      </c>
      <c r="E2524" s="3" t="s">
        <v>48</v>
      </c>
      <c r="F2524" s="3" t="s">
        <v>25</v>
      </c>
      <c r="G2524" s="3" t="s">
        <v>71</v>
      </c>
      <c r="H2524" s="3" t="s">
        <v>77</v>
      </c>
      <c r="I2524" s="3" t="s">
        <v>131</v>
      </c>
      <c r="J2524" s="3" t="n">
        <v>49</v>
      </c>
      <c r="K2524" s="3" t="n">
        <v>5408.83</v>
      </c>
      <c r="L2524" s="3" t="n">
        <v>265032.67</v>
      </c>
      <c r="M2524" s="3" t="n">
        <v>0.126</v>
      </c>
      <c r="N2524" s="3" t="n">
        <v>33394.12</v>
      </c>
      <c r="O2524" s="3" t="n">
        <v>231638.55</v>
      </c>
      <c r="P2524" s="3" t="n">
        <v>180222.22</v>
      </c>
      <c r="Q2524" s="3" t="n">
        <v>51416.33</v>
      </c>
      <c r="R2524" s="3" t="n">
        <v>0.222</v>
      </c>
      <c r="S2524" s="3" t="n">
        <v>0.1147</v>
      </c>
      <c r="T2524" s="3" t="n">
        <v>0.0113</v>
      </c>
    </row>
    <row r="2525" customFormat="false" ht="15" hidden="false" customHeight="true" outlineLevel="0" collapsed="false">
      <c r="A2525" s="3" t="s">
        <v>3584</v>
      </c>
      <c r="B2525" s="3" t="s">
        <v>756</v>
      </c>
      <c r="C2525" s="3" t="s">
        <v>156</v>
      </c>
      <c r="D2525" s="3" t="s">
        <v>54</v>
      </c>
      <c r="E2525" s="3" t="s">
        <v>24</v>
      </c>
      <c r="F2525" s="3" t="s">
        <v>40</v>
      </c>
      <c r="G2525" s="3" t="s">
        <v>49</v>
      </c>
      <c r="H2525" s="3" t="s">
        <v>27</v>
      </c>
      <c r="I2525" s="3" t="s">
        <v>94</v>
      </c>
      <c r="J2525" s="3" t="n">
        <v>48</v>
      </c>
      <c r="K2525" s="3" t="n">
        <v>34127.25</v>
      </c>
      <c r="L2525" s="3" t="n">
        <v>1638108</v>
      </c>
      <c r="M2525" s="3" t="n">
        <v>0.0604</v>
      </c>
      <c r="N2525" s="3" t="n">
        <v>98941.72</v>
      </c>
      <c r="O2525" s="3" t="n">
        <v>1539166.28</v>
      </c>
      <c r="P2525" s="3" t="n">
        <v>1015626.96</v>
      </c>
      <c r="Q2525" s="3" t="n">
        <v>523539.32</v>
      </c>
      <c r="R2525" s="3" t="n">
        <v>0.3401</v>
      </c>
      <c r="S2525" s="3" t="n">
        <v>0.0654</v>
      </c>
      <c r="T2525" s="3" t="n">
        <v>-0.005</v>
      </c>
    </row>
    <row r="2526" customFormat="false" ht="15" hidden="false" customHeight="true" outlineLevel="0" collapsed="false">
      <c r="A2526" s="3" t="s">
        <v>3585</v>
      </c>
      <c r="B2526" s="3" t="s">
        <v>2542</v>
      </c>
      <c r="C2526" s="3" t="s">
        <v>37</v>
      </c>
      <c r="D2526" s="3" t="s">
        <v>75</v>
      </c>
      <c r="E2526" s="3" t="s">
        <v>39</v>
      </c>
      <c r="F2526" s="3" t="s">
        <v>25</v>
      </c>
      <c r="G2526" s="3" t="s">
        <v>26</v>
      </c>
      <c r="H2526" s="3" t="s">
        <v>77</v>
      </c>
      <c r="I2526" s="3" t="s">
        <v>78</v>
      </c>
      <c r="J2526" s="3" t="n">
        <v>8</v>
      </c>
      <c r="K2526" s="3" t="n">
        <v>2001.3</v>
      </c>
      <c r="L2526" s="3" t="n">
        <v>16010.4</v>
      </c>
      <c r="M2526" s="3" t="n">
        <v>0.1119</v>
      </c>
      <c r="N2526" s="3" t="n">
        <v>1791.56</v>
      </c>
      <c r="O2526" s="3" t="n">
        <v>14218.84</v>
      </c>
      <c r="P2526" s="3" t="n">
        <v>10887.07</v>
      </c>
      <c r="Q2526" s="3" t="n">
        <v>3331.77</v>
      </c>
      <c r="R2526" s="3" t="n">
        <v>0.2343</v>
      </c>
      <c r="S2526" s="3" t="n">
        <v>0.0909</v>
      </c>
      <c r="T2526" s="3" t="n">
        <v>0.021</v>
      </c>
    </row>
    <row r="2527" customFormat="false" ht="15" hidden="false" customHeight="true" outlineLevel="0" collapsed="false">
      <c r="A2527" s="3" t="s">
        <v>3586</v>
      </c>
      <c r="B2527" s="3" t="s">
        <v>1684</v>
      </c>
      <c r="C2527" s="3" t="s">
        <v>31</v>
      </c>
      <c r="D2527" s="3" t="s">
        <v>83</v>
      </c>
      <c r="E2527" s="3" t="s">
        <v>48</v>
      </c>
      <c r="F2527" s="3" t="s">
        <v>62</v>
      </c>
      <c r="G2527" s="3" t="s">
        <v>104</v>
      </c>
      <c r="H2527" s="3" t="s">
        <v>56</v>
      </c>
      <c r="I2527" s="3" t="s">
        <v>57</v>
      </c>
      <c r="J2527" s="3" t="n">
        <v>16</v>
      </c>
      <c r="K2527" s="3" t="n">
        <v>6640.9</v>
      </c>
      <c r="L2527" s="3" t="n">
        <v>106254.4</v>
      </c>
      <c r="M2527" s="3" t="n">
        <v>0.0983</v>
      </c>
      <c r="N2527" s="3" t="n">
        <v>10444.81</v>
      </c>
      <c r="O2527" s="3" t="n">
        <v>95809.59</v>
      </c>
      <c r="P2527" s="3" t="n">
        <v>63752.64</v>
      </c>
      <c r="Q2527" s="3" t="n">
        <v>32056.95</v>
      </c>
      <c r="R2527" s="3" t="n">
        <v>0.3346</v>
      </c>
      <c r="S2527" s="3" t="n">
        <v>0.0796</v>
      </c>
      <c r="T2527" s="3" t="n">
        <v>0.0187</v>
      </c>
    </row>
    <row r="2528" customFormat="false" ht="15" hidden="false" customHeight="true" outlineLevel="0" collapsed="false">
      <c r="A2528" s="3" t="s">
        <v>3587</v>
      </c>
      <c r="B2528" s="3" t="s">
        <v>206</v>
      </c>
      <c r="C2528" s="3" t="s">
        <v>156</v>
      </c>
      <c r="D2528" s="3" t="s">
        <v>32</v>
      </c>
      <c r="E2528" s="3" t="s">
        <v>33</v>
      </c>
      <c r="F2528" s="3" t="s">
        <v>25</v>
      </c>
      <c r="G2528" s="3" t="s">
        <v>84</v>
      </c>
      <c r="H2528" s="3" t="s">
        <v>64</v>
      </c>
      <c r="I2528" s="3" t="s">
        <v>108</v>
      </c>
      <c r="J2528" s="3" t="n">
        <v>28</v>
      </c>
      <c r="K2528" s="3" t="n">
        <v>5403.08</v>
      </c>
      <c r="L2528" s="3" t="n">
        <v>151286.24</v>
      </c>
      <c r="M2528" s="3" t="n">
        <v>0.1193</v>
      </c>
      <c r="N2528" s="3" t="n">
        <v>18048.45</v>
      </c>
      <c r="O2528" s="3" t="n">
        <v>133237.79</v>
      </c>
      <c r="P2528" s="3" t="n">
        <v>87746.02</v>
      </c>
      <c r="Q2528" s="3" t="n">
        <v>45491.77</v>
      </c>
      <c r="R2528" s="3" t="n">
        <v>0.3414</v>
      </c>
      <c r="S2528" s="3" t="n">
        <v>0.1096</v>
      </c>
      <c r="T2528" s="3" t="n">
        <v>0.0097</v>
      </c>
    </row>
    <row r="2529" customFormat="false" ht="15" hidden="false" customHeight="true" outlineLevel="0" collapsed="false">
      <c r="A2529" s="3" t="s">
        <v>3588</v>
      </c>
      <c r="B2529" s="3" t="s">
        <v>319</v>
      </c>
      <c r="C2529" s="3" t="s">
        <v>60</v>
      </c>
      <c r="D2529" s="3" t="s">
        <v>23</v>
      </c>
      <c r="E2529" s="3" t="s">
        <v>24</v>
      </c>
      <c r="F2529" s="3" t="s">
        <v>25</v>
      </c>
      <c r="G2529" s="3" t="s">
        <v>34</v>
      </c>
      <c r="H2529" s="3" t="s">
        <v>77</v>
      </c>
      <c r="I2529" s="3" t="s">
        <v>85</v>
      </c>
      <c r="J2529" s="3" t="n">
        <v>26</v>
      </c>
      <c r="K2529" s="3" t="n">
        <v>1306.82</v>
      </c>
      <c r="L2529" s="3" t="n">
        <v>33977.32</v>
      </c>
      <c r="M2529" s="3" t="n">
        <v>0.2131</v>
      </c>
      <c r="N2529" s="3" t="n">
        <v>7240.57</v>
      </c>
      <c r="O2529" s="3" t="n">
        <v>26736.75</v>
      </c>
      <c r="P2529" s="3" t="n">
        <v>23104.58</v>
      </c>
      <c r="Q2529" s="3" t="n">
        <v>3632.17</v>
      </c>
      <c r="R2529" s="3" t="n">
        <v>0.1358</v>
      </c>
      <c r="S2529" s="3" t="n">
        <v>0.1821</v>
      </c>
      <c r="T2529" s="3" t="n">
        <v>0.031</v>
      </c>
    </row>
    <row r="2530" customFormat="false" ht="15" hidden="false" customHeight="true" outlineLevel="0" collapsed="false">
      <c r="A2530" s="3" t="s">
        <v>3589</v>
      </c>
      <c r="B2530" s="3" t="s">
        <v>1255</v>
      </c>
      <c r="C2530" s="3" t="s">
        <v>156</v>
      </c>
      <c r="D2530" s="3" t="s">
        <v>75</v>
      </c>
      <c r="E2530" s="3" t="s">
        <v>39</v>
      </c>
      <c r="F2530" s="3" t="s">
        <v>25</v>
      </c>
      <c r="G2530" s="3" t="s">
        <v>84</v>
      </c>
      <c r="H2530" s="3" t="s">
        <v>77</v>
      </c>
      <c r="I2530" s="3" t="s">
        <v>78</v>
      </c>
      <c r="J2530" s="3" t="n">
        <v>42</v>
      </c>
      <c r="K2530" s="3" t="n">
        <v>5573.88</v>
      </c>
      <c r="L2530" s="3" t="n">
        <v>234102.96</v>
      </c>
      <c r="M2530" s="3" t="n">
        <v>0.0906</v>
      </c>
      <c r="N2530" s="3" t="n">
        <v>21209.73</v>
      </c>
      <c r="O2530" s="3" t="n">
        <v>212893.23</v>
      </c>
      <c r="P2530" s="3" t="n">
        <v>159190.01</v>
      </c>
      <c r="Q2530" s="3" t="n">
        <v>53703.22</v>
      </c>
      <c r="R2530" s="3" t="n">
        <v>0.2523</v>
      </c>
      <c r="S2530" s="3" t="n">
        <v>0.0934</v>
      </c>
      <c r="T2530" s="3" t="n">
        <v>-0.0028</v>
      </c>
    </row>
    <row r="2531" customFormat="false" ht="15" hidden="false" customHeight="true" outlineLevel="0" collapsed="false">
      <c r="A2531" s="3" t="s">
        <v>3590</v>
      </c>
      <c r="B2531" s="3" t="s">
        <v>1146</v>
      </c>
      <c r="C2531" s="3" t="s">
        <v>37</v>
      </c>
      <c r="D2531" s="3" t="s">
        <v>83</v>
      </c>
      <c r="E2531" s="3" t="s">
        <v>48</v>
      </c>
      <c r="F2531" s="3" t="s">
        <v>62</v>
      </c>
      <c r="G2531" s="3" t="s">
        <v>100</v>
      </c>
      <c r="H2531" s="3" t="s">
        <v>56</v>
      </c>
      <c r="I2531" s="3" t="s">
        <v>121</v>
      </c>
      <c r="J2531" s="3" t="n">
        <v>14</v>
      </c>
      <c r="K2531" s="3" t="n">
        <v>8894.53</v>
      </c>
      <c r="L2531" s="3" t="n">
        <v>124523.42</v>
      </c>
      <c r="M2531" s="3" t="n">
        <v>0.0551</v>
      </c>
      <c r="N2531" s="3" t="n">
        <v>6861.24</v>
      </c>
      <c r="O2531" s="3" t="n">
        <v>117662.18</v>
      </c>
      <c r="P2531" s="3" t="n">
        <v>74714.05</v>
      </c>
      <c r="Q2531" s="3" t="n">
        <v>42948.13</v>
      </c>
      <c r="R2531" s="3" t="n">
        <v>0.365</v>
      </c>
      <c r="S2531" s="3" t="n">
        <v>0.0553</v>
      </c>
      <c r="T2531" s="3" t="n">
        <v>-0.0002</v>
      </c>
    </row>
    <row r="2532" customFormat="false" ht="15" hidden="false" customHeight="true" outlineLevel="0" collapsed="false">
      <c r="A2532" s="3" t="s">
        <v>3591</v>
      </c>
      <c r="B2532" s="3" t="s">
        <v>3592</v>
      </c>
      <c r="C2532" s="3" t="s">
        <v>68</v>
      </c>
      <c r="D2532" s="3" t="s">
        <v>32</v>
      </c>
      <c r="E2532" s="3" t="s">
        <v>33</v>
      </c>
      <c r="F2532" s="3" t="s">
        <v>25</v>
      </c>
      <c r="G2532" s="3" t="s">
        <v>34</v>
      </c>
      <c r="H2532" s="3" t="s">
        <v>77</v>
      </c>
      <c r="I2532" s="3" t="s">
        <v>78</v>
      </c>
      <c r="J2532" s="3" t="n">
        <v>14</v>
      </c>
      <c r="K2532" s="3" t="n">
        <v>3948.68</v>
      </c>
      <c r="L2532" s="3" t="n">
        <v>55281.52</v>
      </c>
      <c r="M2532" s="3" t="n">
        <v>0.1981</v>
      </c>
      <c r="N2532" s="3" t="n">
        <v>10951.27</v>
      </c>
      <c r="O2532" s="3" t="n">
        <v>44330.25</v>
      </c>
      <c r="P2532" s="3" t="n">
        <v>37591.43</v>
      </c>
      <c r="Q2532" s="3" t="n">
        <v>6738.82</v>
      </c>
      <c r="R2532" s="3" t="n">
        <v>0.152</v>
      </c>
      <c r="S2532" s="3" t="n">
        <v>0.2035</v>
      </c>
      <c r="T2532" s="3" t="n">
        <v>-0.0054</v>
      </c>
    </row>
    <row r="2533" customFormat="false" ht="15" hidden="false" customHeight="true" outlineLevel="0" collapsed="false">
      <c r="A2533" s="3" t="s">
        <v>3593</v>
      </c>
      <c r="B2533" s="3" t="s">
        <v>2040</v>
      </c>
      <c r="C2533" s="3" t="s">
        <v>60</v>
      </c>
      <c r="D2533" s="3" t="s">
        <v>47</v>
      </c>
      <c r="E2533" s="3" t="s">
        <v>48</v>
      </c>
      <c r="F2533" s="3" t="s">
        <v>25</v>
      </c>
      <c r="G2533" s="3" t="s">
        <v>71</v>
      </c>
      <c r="H2533" s="3" t="s">
        <v>27</v>
      </c>
      <c r="I2533" s="3" t="s">
        <v>50</v>
      </c>
      <c r="J2533" s="3" t="n">
        <v>2</v>
      </c>
      <c r="K2533" s="3" t="n">
        <v>18324.89</v>
      </c>
      <c r="L2533" s="3" t="n">
        <v>36649.78</v>
      </c>
      <c r="M2533" s="3" t="n">
        <v>0.1631</v>
      </c>
      <c r="N2533" s="3" t="n">
        <v>5977.58</v>
      </c>
      <c r="O2533" s="3" t="n">
        <v>30672.2</v>
      </c>
      <c r="P2533" s="3" t="n">
        <v>22722.86</v>
      </c>
      <c r="Q2533" s="3" t="n">
        <v>7949.34</v>
      </c>
      <c r="R2533" s="3" t="n">
        <v>0.2592</v>
      </c>
      <c r="S2533" s="3" t="n">
        <v>0.1373</v>
      </c>
      <c r="T2533" s="3" t="n">
        <v>0.0258</v>
      </c>
    </row>
    <row r="2534" customFormat="false" ht="15" hidden="false" customHeight="true" outlineLevel="0" collapsed="false">
      <c r="A2534" s="3" t="s">
        <v>3594</v>
      </c>
      <c r="B2534" s="3" t="s">
        <v>697</v>
      </c>
      <c r="C2534" s="3" t="s">
        <v>22</v>
      </c>
      <c r="D2534" s="3" t="s">
        <v>61</v>
      </c>
      <c r="E2534" s="3" t="s">
        <v>33</v>
      </c>
      <c r="F2534" s="3" t="s">
        <v>62</v>
      </c>
      <c r="G2534" s="3" t="s">
        <v>76</v>
      </c>
      <c r="H2534" s="3" t="s">
        <v>77</v>
      </c>
      <c r="I2534" s="3" t="s">
        <v>131</v>
      </c>
      <c r="J2534" s="3" t="n">
        <v>36</v>
      </c>
      <c r="K2534" s="3" t="n">
        <v>4309.98</v>
      </c>
      <c r="L2534" s="3" t="n">
        <v>155159.28</v>
      </c>
      <c r="M2534" s="3" t="n">
        <v>0.0511</v>
      </c>
      <c r="N2534" s="3" t="n">
        <v>7928.64</v>
      </c>
      <c r="O2534" s="3" t="n">
        <v>147230.64</v>
      </c>
      <c r="P2534" s="3" t="n">
        <v>105508.31</v>
      </c>
      <c r="Q2534" s="3" t="n">
        <v>41722.33</v>
      </c>
      <c r="R2534" s="3" t="n">
        <v>0.2834</v>
      </c>
      <c r="S2534" s="3" t="n">
        <v>0.0493</v>
      </c>
      <c r="T2534" s="3" t="n">
        <v>0.0018</v>
      </c>
    </row>
    <row r="2535" customFormat="false" ht="15" hidden="false" customHeight="true" outlineLevel="0" collapsed="false">
      <c r="A2535" s="3" t="s">
        <v>3595</v>
      </c>
      <c r="B2535" s="3" t="s">
        <v>2720</v>
      </c>
      <c r="C2535" s="3" t="s">
        <v>31</v>
      </c>
      <c r="D2535" s="3" t="s">
        <v>47</v>
      </c>
      <c r="E2535" s="3" t="s">
        <v>48</v>
      </c>
      <c r="F2535" s="3" t="s">
        <v>25</v>
      </c>
      <c r="G2535" s="3" t="s">
        <v>63</v>
      </c>
      <c r="H2535" s="3" t="s">
        <v>77</v>
      </c>
      <c r="I2535" s="3" t="s">
        <v>131</v>
      </c>
      <c r="J2535" s="3" t="n">
        <v>12</v>
      </c>
      <c r="K2535" s="3" t="n">
        <v>3075.62</v>
      </c>
      <c r="L2535" s="3" t="n">
        <v>36907.44</v>
      </c>
      <c r="M2535" s="3" t="n">
        <v>0.1729</v>
      </c>
      <c r="N2535" s="3" t="n">
        <v>6381.3</v>
      </c>
      <c r="O2535" s="3" t="n">
        <v>30526.14</v>
      </c>
      <c r="P2535" s="3" t="n">
        <v>25097.06</v>
      </c>
      <c r="Q2535" s="3" t="n">
        <v>5429.08</v>
      </c>
      <c r="R2535" s="3" t="n">
        <v>0.1779</v>
      </c>
      <c r="S2535" s="3" t="n">
        <v>0.1779</v>
      </c>
      <c r="T2535" s="3" t="n">
        <v>-0.005</v>
      </c>
    </row>
    <row r="2536" customFormat="false" ht="15" hidden="false" customHeight="true" outlineLevel="0" collapsed="false">
      <c r="A2536" s="3" t="s">
        <v>3596</v>
      </c>
      <c r="B2536" s="3" t="s">
        <v>1621</v>
      </c>
      <c r="C2536" s="3" t="s">
        <v>68</v>
      </c>
      <c r="D2536" s="3" t="s">
        <v>38</v>
      </c>
      <c r="E2536" s="3" t="s">
        <v>39</v>
      </c>
      <c r="F2536" s="3" t="s">
        <v>40</v>
      </c>
      <c r="G2536" s="3" t="s">
        <v>34</v>
      </c>
      <c r="H2536" s="3" t="s">
        <v>27</v>
      </c>
      <c r="I2536" s="3" t="s">
        <v>173</v>
      </c>
      <c r="J2536" s="3" t="n">
        <v>38</v>
      </c>
      <c r="K2536" s="3" t="n">
        <v>38192.17</v>
      </c>
      <c r="L2536" s="3" t="n">
        <v>1451302.46</v>
      </c>
      <c r="M2536" s="3" t="n">
        <v>0.1097</v>
      </c>
      <c r="N2536" s="3" t="n">
        <v>159207.88</v>
      </c>
      <c r="O2536" s="3" t="n">
        <v>1292094.58</v>
      </c>
      <c r="P2536" s="3" t="n">
        <v>899807.53</v>
      </c>
      <c r="Q2536" s="3" t="n">
        <v>392287.05</v>
      </c>
      <c r="R2536" s="3" t="n">
        <v>0.3036</v>
      </c>
      <c r="S2536" s="3" t="n">
        <v>0.1154</v>
      </c>
      <c r="T2536" s="3" t="n">
        <v>-0.0057</v>
      </c>
    </row>
    <row r="2537" customFormat="false" ht="15" hidden="false" customHeight="true" outlineLevel="0" collapsed="false">
      <c r="A2537" s="3" t="s">
        <v>3597</v>
      </c>
      <c r="B2537" s="3" t="s">
        <v>2889</v>
      </c>
      <c r="C2537" s="3" t="s">
        <v>113</v>
      </c>
      <c r="D2537" s="3" t="s">
        <v>61</v>
      </c>
      <c r="E2537" s="3" t="s">
        <v>33</v>
      </c>
      <c r="F2537" s="3" t="s">
        <v>62</v>
      </c>
      <c r="G2537" s="3" t="s">
        <v>41</v>
      </c>
      <c r="H2537" s="3" t="s">
        <v>56</v>
      </c>
      <c r="I2537" s="3" t="s">
        <v>121</v>
      </c>
      <c r="J2537" s="3" t="n">
        <v>36</v>
      </c>
      <c r="K2537" s="3" t="n">
        <v>9848.61</v>
      </c>
      <c r="L2537" s="3" t="n">
        <v>354549.96</v>
      </c>
      <c r="M2537" s="3" t="n">
        <v>0.0858</v>
      </c>
      <c r="N2537" s="3" t="n">
        <v>30420.39</v>
      </c>
      <c r="O2537" s="3" t="n">
        <v>324129.57</v>
      </c>
      <c r="P2537" s="3" t="n">
        <v>212729.98</v>
      </c>
      <c r="Q2537" s="3" t="n">
        <v>111399.59</v>
      </c>
      <c r="R2537" s="3" t="n">
        <v>0.3437</v>
      </c>
      <c r="S2537" s="3" t="n">
        <v>0.0885</v>
      </c>
      <c r="T2537" s="3" t="n">
        <v>-0.0027</v>
      </c>
    </row>
    <row r="2538" customFormat="false" ht="15" hidden="false" customHeight="true" outlineLevel="0" collapsed="false">
      <c r="A2538" s="3" t="s">
        <v>3598</v>
      </c>
      <c r="B2538" s="3" t="s">
        <v>1327</v>
      </c>
      <c r="C2538" s="3" t="s">
        <v>126</v>
      </c>
      <c r="D2538" s="3" t="s">
        <v>69</v>
      </c>
      <c r="E2538" s="3" t="s">
        <v>39</v>
      </c>
      <c r="F2538" s="3" t="s">
        <v>70</v>
      </c>
      <c r="G2538" s="3" t="s">
        <v>84</v>
      </c>
      <c r="H2538" s="3" t="s">
        <v>77</v>
      </c>
      <c r="I2538" s="3" t="s">
        <v>131</v>
      </c>
      <c r="J2538" s="3" t="n">
        <v>1</v>
      </c>
      <c r="K2538" s="3" t="n">
        <v>4740.18</v>
      </c>
      <c r="L2538" s="3" t="n">
        <v>4740.18</v>
      </c>
      <c r="M2538" s="3" t="n">
        <v>0.0567</v>
      </c>
      <c r="N2538" s="3" t="n">
        <v>268.77</v>
      </c>
      <c r="O2538" s="3" t="n">
        <v>4471.41</v>
      </c>
      <c r="P2538" s="3" t="n">
        <v>3223.32</v>
      </c>
      <c r="Q2538" s="3" t="n">
        <v>1248.09</v>
      </c>
      <c r="R2538" s="3" t="n">
        <v>0.2791</v>
      </c>
      <c r="S2538" s="3" t="n">
        <v>0.0557</v>
      </c>
      <c r="T2538" s="3" t="n">
        <v>0.001</v>
      </c>
    </row>
    <row r="2539" customFormat="false" ht="15" hidden="false" customHeight="true" outlineLevel="0" collapsed="false">
      <c r="A2539" s="3" t="s">
        <v>3599</v>
      </c>
      <c r="B2539" s="3" t="s">
        <v>1386</v>
      </c>
      <c r="C2539" s="3" t="s">
        <v>53</v>
      </c>
      <c r="D2539" s="3" t="s">
        <v>75</v>
      </c>
      <c r="E2539" s="3" t="s">
        <v>39</v>
      </c>
      <c r="F2539" s="3" t="s">
        <v>25</v>
      </c>
      <c r="G2539" s="3" t="s">
        <v>76</v>
      </c>
      <c r="H2539" s="3" t="s">
        <v>77</v>
      </c>
      <c r="I2539" s="3" t="s">
        <v>85</v>
      </c>
      <c r="J2539" s="3" t="n">
        <v>14</v>
      </c>
      <c r="K2539" s="3" t="n">
        <v>1957.13</v>
      </c>
      <c r="L2539" s="3" t="n">
        <v>27399.82</v>
      </c>
      <c r="M2539" s="3" t="n">
        <v>0.1532</v>
      </c>
      <c r="N2539" s="3" t="n">
        <v>4197.65</v>
      </c>
      <c r="O2539" s="3" t="n">
        <v>23202.17</v>
      </c>
      <c r="P2539" s="3" t="n">
        <v>18631.88</v>
      </c>
      <c r="Q2539" s="3" t="n">
        <v>4570.29</v>
      </c>
      <c r="R2539" s="3" t="n">
        <v>0.197</v>
      </c>
      <c r="S2539" s="3" t="n">
        <v>0.1673</v>
      </c>
      <c r="T2539" s="3" t="n">
        <v>-0.0141</v>
      </c>
    </row>
    <row r="2540" customFormat="false" ht="15" hidden="false" customHeight="true" outlineLevel="0" collapsed="false">
      <c r="A2540" s="3" t="s">
        <v>3600</v>
      </c>
      <c r="B2540" s="3" t="s">
        <v>728</v>
      </c>
      <c r="C2540" s="3" t="s">
        <v>156</v>
      </c>
      <c r="D2540" s="3" t="s">
        <v>61</v>
      </c>
      <c r="E2540" s="3" t="s">
        <v>33</v>
      </c>
      <c r="F2540" s="3" t="s">
        <v>62</v>
      </c>
      <c r="G2540" s="3" t="s">
        <v>76</v>
      </c>
      <c r="H2540" s="3" t="s">
        <v>64</v>
      </c>
      <c r="I2540" s="3" t="s">
        <v>145</v>
      </c>
      <c r="J2540" s="3" t="n">
        <v>41</v>
      </c>
      <c r="K2540" s="3" t="n">
        <v>9183.79</v>
      </c>
      <c r="L2540" s="3" t="n">
        <v>376535.39</v>
      </c>
      <c r="M2540" s="3" t="n">
        <v>0.0601</v>
      </c>
      <c r="N2540" s="3" t="n">
        <v>22629.78</v>
      </c>
      <c r="O2540" s="3" t="n">
        <v>353905.61</v>
      </c>
      <c r="P2540" s="3" t="n">
        <v>218390.53</v>
      </c>
      <c r="Q2540" s="3" t="n">
        <v>135515.08</v>
      </c>
      <c r="R2540" s="3" t="n">
        <v>0.3829</v>
      </c>
      <c r="S2540" s="3" t="n">
        <v>0.0501</v>
      </c>
      <c r="T2540" s="3" t="n">
        <v>0.01</v>
      </c>
    </row>
    <row r="2541" customFormat="false" ht="15" hidden="false" customHeight="true" outlineLevel="0" collapsed="false">
      <c r="A2541" s="3" t="s">
        <v>3601</v>
      </c>
      <c r="B2541" s="3" t="s">
        <v>535</v>
      </c>
      <c r="C2541" s="3" t="s">
        <v>22</v>
      </c>
      <c r="D2541" s="3" t="s">
        <v>103</v>
      </c>
      <c r="E2541" s="3" t="s">
        <v>24</v>
      </c>
      <c r="F2541" s="3" t="s">
        <v>62</v>
      </c>
      <c r="G2541" s="3" t="s">
        <v>63</v>
      </c>
      <c r="H2541" s="3" t="s">
        <v>56</v>
      </c>
      <c r="I2541" s="3" t="s">
        <v>121</v>
      </c>
      <c r="J2541" s="3" t="n">
        <v>25</v>
      </c>
      <c r="K2541" s="3" t="n">
        <v>9194.26</v>
      </c>
      <c r="L2541" s="3" t="n">
        <v>229856.5</v>
      </c>
      <c r="M2541" s="3" t="n">
        <v>0.0599</v>
      </c>
      <c r="N2541" s="3" t="n">
        <v>13768.4</v>
      </c>
      <c r="O2541" s="3" t="n">
        <v>216088.1</v>
      </c>
      <c r="P2541" s="3" t="n">
        <v>137913.9</v>
      </c>
      <c r="Q2541" s="3" t="n">
        <v>78174.2</v>
      </c>
      <c r="R2541" s="3" t="n">
        <v>0.3618</v>
      </c>
      <c r="S2541" s="3" t="n">
        <v>0.059</v>
      </c>
      <c r="T2541" s="3" t="n">
        <v>0.0009</v>
      </c>
    </row>
    <row r="2542" customFormat="false" ht="15" hidden="false" customHeight="true" outlineLevel="0" collapsed="false">
      <c r="A2542" s="3" t="s">
        <v>3602</v>
      </c>
      <c r="B2542" s="3" t="s">
        <v>1029</v>
      </c>
      <c r="C2542" s="3" t="s">
        <v>126</v>
      </c>
      <c r="D2542" s="3" t="s">
        <v>107</v>
      </c>
      <c r="E2542" s="3" t="s">
        <v>33</v>
      </c>
      <c r="F2542" s="3" t="s">
        <v>70</v>
      </c>
      <c r="G2542" s="3" t="s">
        <v>104</v>
      </c>
      <c r="H2542" s="3" t="s">
        <v>77</v>
      </c>
      <c r="I2542" s="3" t="s">
        <v>131</v>
      </c>
      <c r="J2542" s="3" t="n">
        <v>39</v>
      </c>
      <c r="K2542" s="3" t="n">
        <v>2965.75</v>
      </c>
      <c r="L2542" s="3" t="n">
        <v>115664.25</v>
      </c>
      <c r="M2542" s="3" t="n">
        <v>0.1149</v>
      </c>
      <c r="N2542" s="3" t="n">
        <v>13289.82</v>
      </c>
      <c r="O2542" s="3" t="n">
        <v>102374.43</v>
      </c>
      <c r="P2542" s="3" t="n">
        <v>78651.69</v>
      </c>
      <c r="Q2542" s="3" t="n">
        <v>23722.74</v>
      </c>
      <c r="R2542" s="3" t="n">
        <v>0.2317</v>
      </c>
      <c r="S2542" s="3" t="n">
        <v>0.0999</v>
      </c>
      <c r="T2542" s="3" t="n">
        <v>0.015</v>
      </c>
    </row>
    <row r="2543" customFormat="false" ht="15" hidden="false" customHeight="true" outlineLevel="0" collapsed="false">
      <c r="A2543" s="3" t="s">
        <v>3603</v>
      </c>
      <c r="B2543" s="3" t="s">
        <v>372</v>
      </c>
      <c r="C2543" s="3" t="s">
        <v>22</v>
      </c>
      <c r="D2543" s="3" t="s">
        <v>107</v>
      </c>
      <c r="E2543" s="3" t="s">
        <v>33</v>
      </c>
      <c r="F2543" s="3" t="s">
        <v>70</v>
      </c>
      <c r="G2543" s="3" t="s">
        <v>34</v>
      </c>
      <c r="H2543" s="3" t="s">
        <v>42</v>
      </c>
      <c r="I2543" s="3" t="s">
        <v>72</v>
      </c>
      <c r="J2543" s="3" t="n">
        <v>45</v>
      </c>
      <c r="K2543" s="3" t="n">
        <v>3341.03</v>
      </c>
      <c r="L2543" s="3" t="n">
        <v>150346.35</v>
      </c>
      <c r="M2543" s="3" t="n">
        <v>0.0922</v>
      </c>
      <c r="N2543" s="3" t="n">
        <v>13861.93</v>
      </c>
      <c r="O2543" s="3" t="n">
        <v>136484.42</v>
      </c>
      <c r="P2543" s="3" t="n">
        <v>82690.49</v>
      </c>
      <c r="Q2543" s="3" t="n">
        <v>53793.93</v>
      </c>
      <c r="R2543" s="3" t="n">
        <v>0.3941</v>
      </c>
      <c r="S2543" s="3" t="n">
        <v>0.0866</v>
      </c>
      <c r="T2543" s="3" t="n">
        <v>0.0056</v>
      </c>
    </row>
    <row r="2544" customFormat="false" ht="15" hidden="false" customHeight="true" outlineLevel="0" collapsed="false">
      <c r="A2544" s="3" t="s">
        <v>3604</v>
      </c>
      <c r="B2544" s="3" t="s">
        <v>797</v>
      </c>
      <c r="C2544" s="3" t="s">
        <v>46</v>
      </c>
      <c r="D2544" s="3" t="s">
        <v>107</v>
      </c>
      <c r="E2544" s="3" t="s">
        <v>33</v>
      </c>
      <c r="F2544" s="3" t="s">
        <v>70</v>
      </c>
      <c r="G2544" s="3" t="s">
        <v>84</v>
      </c>
      <c r="H2544" s="3" t="s">
        <v>27</v>
      </c>
      <c r="I2544" s="3" t="s">
        <v>173</v>
      </c>
      <c r="J2544" s="3" t="n">
        <v>1</v>
      </c>
      <c r="K2544" s="3" t="n">
        <v>24063.93</v>
      </c>
      <c r="L2544" s="3" t="n">
        <v>24063.93</v>
      </c>
      <c r="M2544" s="3" t="n">
        <v>0.0493</v>
      </c>
      <c r="N2544" s="3" t="n">
        <v>1186.35</v>
      </c>
      <c r="O2544" s="3" t="n">
        <v>22877.58</v>
      </c>
      <c r="P2544" s="3" t="n">
        <v>14919.64</v>
      </c>
      <c r="Q2544" s="3" t="n">
        <v>7957.94</v>
      </c>
      <c r="R2544" s="3" t="n">
        <v>0.3478</v>
      </c>
      <c r="S2544" s="3" t="n">
        <v>0.0536</v>
      </c>
      <c r="T2544" s="3" t="n">
        <v>-0.0043</v>
      </c>
    </row>
    <row r="2545" customFormat="false" ht="15" hidden="false" customHeight="true" outlineLevel="0" collapsed="false">
      <c r="A2545" s="3" t="s">
        <v>3605</v>
      </c>
      <c r="B2545" s="3" t="s">
        <v>965</v>
      </c>
      <c r="C2545" s="3" t="s">
        <v>22</v>
      </c>
      <c r="D2545" s="3" t="s">
        <v>54</v>
      </c>
      <c r="E2545" s="3" t="s">
        <v>24</v>
      </c>
      <c r="F2545" s="3" t="s">
        <v>40</v>
      </c>
      <c r="G2545" s="3" t="s">
        <v>49</v>
      </c>
      <c r="H2545" s="3" t="s">
        <v>64</v>
      </c>
      <c r="I2545" s="3" t="s">
        <v>65</v>
      </c>
      <c r="J2545" s="3" t="n">
        <v>34</v>
      </c>
      <c r="K2545" s="3" t="n">
        <v>10947.25</v>
      </c>
      <c r="L2545" s="3" t="n">
        <v>372206.5</v>
      </c>
      <c r="M2545" s="3" t="n">
        <v>0.059</v>
      </c>
      <c r="N2545" s="3" t="n">
        <v>21960.18</v>
      </c>
      <c r="O2545" s="3" t="n">
        <v>350246.32</v>
      </c>
      <c r="P2545" s="3" t="n">
        <v>215879.77</v>
      </c>
      <c r="Q2545" s="3" t="n">
        <v>134366.55</v>
      </c>
      <c r="R2545" s="3" t="n">
        <v>0.3836</v>
      </c>
      <c r="S2545" s="3" t="n">
        <v>0.049</v>
      </c>
      <c r="T2545" s="3" t="n">
        <v>0.01</v>
      </c>
    </row>
    <row r="2546" customFormat="false" ht="15" hidden="false" customHeight="true" outlineLevel="0" collapsed="false">
      <c r="A2546" s="3" t="s">
        <v>3606</v>
      </c>
      <c r="B2546" s="3" t="s">
        <v>609</v>
      </c>
      <c r="C2546" s="3" t="s">
        <v>113</v>
      </c>
      <c r="D2546" s="3" t="s">
        <v>23</v>
      </c>
      <c r="E2546" s="3" t="s">
        <v>24</v>
      </c>
      <c r="F2546" s="3" t="s">
        <v>25</v>
      </c>
      <c r="G2546" s="3" t="s">
        <v>26</v>
      </c>
      <c r="H2546" s="3" t="s">
        <v>42</v>
      </c>
      <c r="I2546" s="3" t="s">
        <v>72</v>
      </c>
      <c r="J2546" s="3" t="n">
        <v>42</v>
      </c>
      <c r="K2546" s="3" t="n">
        <v>2803.59</v>
      </c>
      <c r="L2546" s="3" t="n">
        <v>117750.78</v>
      </c>
      <c r="M2546" s="3" t="n">
        <v>0.1218</v>
      </c>
      <c r="N2546" s="3" t="n">
        <v>14342.05</v>
      </c>
      <c r="O2546" s="3" t="n">
        <v>103408.73</v>
      </c>
      <c r="P2546" s="3" t="n">
        <v>64762.93</v>
      </c>
      <c r="Q2546" s="3" t="n">
        <v>38645.8</v>
      </c>
      <c r="R2546" s="3" t="n">
        <v>0.3737</v>
      </c>
      <c r="S2546" s="3" t="n">
        <v>0.1318</v>
      </c>
      <c r="T2546" s="3" t="n">
        <v>-0.01</v>
      </c>
    </row>
    <row r="2547" customFormat="false" ht="15" hidden="false" customHeight="true" outlineLevel="0" collapsed="false">
      <c r="A2547" s="3" t="s">
        <v>3607</v>
      </c>
      <c r="B2547" s="3" t="s">
        <v>1877</v>
      </c>
      <c r="C2547" s="3" t="s">
        <v>22</v>
      </c>
      <c r="D2547" s="3" t="s">
        <v>32</v>
      </c>
      <c r="E2547" s="3" t="s">
        <v>33</v>
      </c>
      <c r="F2547" s="3" t="s">
        <v>25</v>
      </c>
      <c r="G2547" s="3" t="s">
        <v>104</v>
      </c>
      <c r="H2547" s="3" t="s">
        <v>27</v>
      </c>
      <c r="I2547" s="3" t="s">
        <v>173</v>
      </c>
      <c r="J2547" s="3" t="n">
        <v>10</v>
      </c>
      <c r="K2547" s="3" t="n">
        <v>37981.3</v>
      </c>
      <c r="L2547" s="3" t="n">
        <v>379813</v>
      </c>
      <c r="M2547" s="3" t="n">
        <v>0.1523</v>
      </c>
      <c r="N2547" s="3" t="n">
        <v>57845.52</v>
      </c>
      <c r="O2547" s="3" t="n">
        <v>321967.48</v>
      </c>
      <c r="P2547" s="3" t="n">
        <v>235484.06</v>
      </c>
      <c r="Q2547" s="3" t="n">
        <v>86483.42</v>
      </c>
      <c r="R2547" s="3" t="n">
        <v>0.2686</v>
      </c>
      <c r="S2547" s="3" t="n">
        <v>0.1312</v>
      </c>
      <c r="T2547" s="3" t="n">
        <v>0.0211</v>
      </c>
    </row>
    <row r="2548" customFormat="false" ht="15" hidden="false" customHeight="true" outlineLevel="0" collapsed="false">
      <c r="A2548" s="3" t="s">
        <v>3608</v>
      </c>
      <c r="B2548" s="3" t="s">
        <v>2720</v>
      </c>
      <c r="C2548" s="3" t="s">
        <v>31</v>
      </c>
      <c r="D2548" s="3" t="s">
        <v>107</v>
      </c>
      <c r="E2548" s="3" t="s">
        <v>33</v>
      </c>
      <c r="F2548" s="3" t="s">
        <v>70</v>
      </c>
      <c r="G2548" s="3" t="s">
        <v>100</v>
      </c>
      <c r="H2548" s="3" t="s">
        <v>56</v>
      </c>
      <c r="I2548" s="3" t="s">
        <v>188</v>
      </c>
      <c r="J2548" s="3" t="n">
        <v>5</v>
      </c>
      <c r="K2548" s="3" t="n">
        <v>12249.95</v>
      </c>
      <c r="L2548" s="3" t="n">
        <v>61249.75</v>
      </c>
      <c r="M2548" s="3" t="n">
        <v>0.0527</v>
      </c>
      <c r="N2548" s="3" t="n">
        <v>3227.86</v>
      </c>
      <c r="O2548" s="3" t="n">
        <v>58021.89</v>
      </c>
      <c r="P2548" s="3" t="n">
        <v>36749.85</v>
      </c>
      <c r="Q2548" s="3" t="n">
        <v>21272.04</v>
      </c>
      <c r="R2548" s="3" t="n">
        <v>0.3666</v>
      </c>
      <c r="S2548" s="3" t="n">
        <v>0.0445</v>
      </c>
      <c r="T2548" s="3" t="n">
        <v>0.0082</v>
      </c>
    </row>
    <row r="2549" customFormat="false" ht="15" hidden="false" customHeight="true" outlineLevel="0" collapsed="false">
      <c r="A2549" s="3" t="s">
        <v>3609</v>
      </c>
      <c r="B2549" s="3" t="s">
        <v>392</v>
      </c>
      <c r="C2549" s="3" t="s">
        <v>68</v>
      </c>
      <c r="D2549" s="3" t="s">
        <v>75</v>
      </c>
      <c r="E2549" s="3" t="s">
        <v>39</v>
      </c>
      <c r="F2549" s="3" t="s">
        <v>25</v>
      </c>
      <c r="G2549" s="3" t="s">
        <v>100</v>
      </c>
      <c r="H2549" s="3" t="s">
        <v>56</v>
      </c>
      <c r="I2549" s="3" t="s">
        <v>57</v>
      </c>
      <c r="J2549" s="3" t="n">
        <v>50</v>
      </c>
      <c r="K2549" s="3" t="n">
        <v>4781.65</v>
      </c>
      <c r="L2549" s="3" t="n">
        <v>239082.5</v>
      </c>
      <c r="M2549" s="3" t="n">
        <v>0.1087</v>
      </c>
      <c r="N2549" s="3" t="n">
        <v>25988.27</v>
      </c>
      <c r="O2549" s="3" t="n">
        <v>213094.23</v>
      </c>
      <c r="P2549" s="3" t="n">
        <v>143449.5</v>
      </c>
      <c r="Q2549" s="3" t="n">
        <v>69644.73</v>
      </c>
      <c r="R2549" s="3" t="n">
        <v>0.3268</v>
      </c>
      <c r="S2549" s="3" t="n">
        <v>0.0976</v>
      </c>
      <c r="T2549" s="3" t="n">
        <v>0.0111</v>
      </c>
    </row>
    <row r="2550" customFormat="false" ht="15" hidden="false" customHeight="true" outlineLevel="0" collapsed="false">
      <c r="A2550" s="3" t="s">
        <v>3610</v>
      </c>
      <c r="B2550" s="3" t="s">
        <v>1731</v>
      </c>
      <c r="C2550" s="3" t="s">
        <v>93</v>
      </c>
      <c r="D2550" s="3" t="s">
        <v>32</v>
      </c>
      <c r="E2550" s="3" t="s">
        <v>33</v>
      </c>
      <c r="F2550" s="3" t="s">
        <v>25</v>
      </c>
      <c r="G2550" s="3" t="s">
        <v>41</v>
      </c>
      <c r="H2550" s="3" t="s">
        <v>27</v>
      </c>
      <c r="I2550" s="3" t="s">
        <v>173</v>
      </c>
      <c r="J2550" s="3" t="n">
        <v>43</v>
      </c>
      <c r="K2550" s="3" t="n">
        <v>24522.88</v>
      </c>
      <c r="L2550" s="3" t="n">
        <v>1054483.84</v>
      </c>
      <c r="M2550" s="3" t="n">
        <v>0.1687</v>
      </c>
      <c r="N2550" s="3" t="n">
        <v>177891.42</v>
      </c>
      <c r="O2550" s="3" t="n">
        <v>876592.42</v>
      </c>
      <c r="P2550" s="3" t="n">
        <v>653779.98</v>
      </c>
      <c r="Q2550" s="3" t="n">
        <v>222812.44</v>
      </c>
      <c r="R2550" s="3" t="n">
        <v>0.2542</v>
      </c>
      <c r="S2550" s="3" t="n">
        <v>0.1669</v>
      </c>
      <c r="T2550" s="3" t="n">
        <v>0.0018</v>
      </c>
    </row>
    <row r="2551" customFormat="false" ht="15" hidden="false" customHeight="true" outlineLevel="0" collapsed="false">
      <c r="A2551" s="3" t="s">
        <v>3611</v>
      </c>
      <c r="B2551" s="3" t="s">
        <v>3612</v>
      </c>
      <c r="C2551" s="3" t="s">
        <v>46</v>
      </c>
      <c r="D2551" s="3" t="s">
        <v>61</v>
      </c>
      <c r="E2551" s="3" t="s">
        <v>33</v>
      </c>
      <c r="F2551" s="3" t="s">
        <v>62</v>
      </c>
      <c r="G2551" s="3" t="s">
        <v>100</v>
      </c>
      <c r="H2551" s="3" t="s">
        <v>27</v>
      </c>
      <c r="I2551" s="3" t="s">
        <v>173</v>
      </c>
      <c r="J2551" s="3" t="n">
        <v>38</v>
      </c>
      <c r="K2551" s="3" t="n">
        <v>8069.83</v>
      </c>
      <c r="L2551" s="3" t="n">
        <v>306653.54</v>
      </c>
      <c r="M2551" s="3" t="n">
        <v>0.0643</v>
      </c>
      <c r="N2551" s="3" t="n">
        <v>19717.82</v>
      </c>
      <c r="O2551" s="3" t="n">
        <v>286935.72</v>
      </c>
      <c r="P2551" s="3" t="n">
        <v>190125.19</v>
      </c>
      <c r="Q2551" s="3" t="n">
        <v>96810.53</v>
      </c>
      <c r="R2551" s="3" t="n">
        <v>0.3374</v>
      </c>
      <c r="S2551" s="3" t="n">
        <v>0.068</v>
      </c>
      <c r="T2551" s="3" t="n">
        <v>-0.0037</v>
      </c>
    </row>
    <row r="2552" customFormat="false" ht="15" hidden="false" customHeight="true" outlineLevel="0" collapsed="false">
      <c r="A2552" s="3" t="s">
        <v>3613</v>
      </c>
      <c r="B2552" s="3" t="s">
        <v>2932</v>
      </c>
      <c r="C2552" s="3" t="s">
        <v>156</v>
      </c>
      <c r="D2552" s="3" t="s">
        <v>75</v>
      </c>
      <c r="E2552" s="3" t="s">
        <v>39</v>
      </c>
      <c r="F2552" s="3" t="s">
        <v>25</v>
      </c>
      <c r="G2552" s="3" t="s">
        <v>63</v>
      </c>
      <c r="H2552" s="3" t="s">
        <v>77</v>
      </c>
      <c r="I2552" s="3" t="s">
        <v>78</v>
      </c>
      <c r="J2552" s="3" t="n">
        <v>36</v>
      </c>
      <c r="K2552" s="3" t="n">
        <v>1835.67</v>
      </c>
      <c r="L2552" s="3" t="n">
        <v>66084.12</v>
      </c>
      <c r="M2552" s="3" t="n">
        <v>0.0823</v>
      </c>
      <c r="N2552" s="3" t="n">
        <v>5438.72</v>
      </c>
      <c r="O2552" s="3" t="n">
        <v>60645.4</v>
      </c>
      <c r="P2552" s="3" t="n">
        <v>44937.2</v>
      </c>
      <c r="Q2552" s="3" t="n">
        <v>15708.2</v>
      </c>
      <c r="R2552" s="3" t="n">
        <v>0.259</v>
      </c>
      <c r="S2552" s="3" t="n">
        <v>0.0718</v>
      </c>
      <c r="T2552" s="3" t="n">
        <v>0.0105</v>
      </c>
    </row>
    <row r="2553" customFormat="false" ht="15" hidden="false" customHeight="true" outlineLevel="0" collapsed="false">
      <c r="A2553" s="3" t="s">
        <v>3614</v>
      </c>
      <c r="B2553" s="3" t="s">
        <v>602</v>
      </c>
      <c r="C2553" s="3" t="s">
        <v>31</v>
      </c>
      <c r="D2553" s="3" t="s">
        <v>61</v>
      </c>
      <c r="E2553" s="3" t="s">
        <v>33</v>
      </c>
      <c r="F2553" s="3" t="s">
        <v>62</v>
      </c>
      <c r="G2553" s="3" t="s">
        <v>71</v>
      </c>
      <c r="H2553" s="3" t="s">
        <v>77</v>
      </c>
      <c r="I2553" s="3" t="s">
        <v>131</v>
      </c>
      <c r="J2553" s="3" t="n">
        <v>12</v>
      </c>
      <c r="K2553" s="3" t="n">
        <v>4835.57</v>
      </c>
      <c r="L2553" s="3" t="n">
        <v>58026.84</v>
      </c>
      <c r="M2553" s="3" t="n">
        <v>0.0797</v>
      </c>
      <c r="N2553" s="3" t="n">
        <v>4624.74</v>
      </c>
      <c r="O2553" s="3" t="n">
        <v>53402.1</v>
      </c>
      <c r="P2553" s="3" t="n">
        <v>39458.25</v>
      </c>
      <c r="Q2553" s="3" t="n">
        <v>13943.85</v>
      </c>
      <c r="R2553" s="3" t="n">
        <v>0.2611</v>
      </c>
      <c r="S2553" s="3" t="n">
        <v>0.0684</v>
      </c>
      <c r="T2553" s="3" t="n">
        <v>0.0113</v>
      </c>
    </row>
    <row r="2554" customFormat="false" ht="15" hidden="false" customHeight="true" outlineLevel="0" collapsed="false">
      <c r="A2554" s="3" t="s">
        <v>3615</v>
      </c>
      <c r="B2554" s="3" t="s">
        <v>3616</v>
      </c>
      <c r="C2554" s="3" t="s">
        <v>53</v>
      </c>
      <c r="D2554" s="3" t="s">
        <v>54</v>
      </c>
      <c r="E2554" s="3" t="s">
        <v>24</v>
      </c>
      <c r="F2554" s="3" t="s">
        <v>40</v>
      </c>
      <c r="G2554" s="3" t="s">
        <v>34</v>
      </c>
      <c r="H2554" s="3" t="s">
        <v>42</v>
      </c>
      <c r="I2554" s="3" t="s">
        <v>134</v>
      </c>
      <c r="J2554" s="3" t="n">
        <v>39</v>
      </c>
      <c r="K2554" s="3" t="n">
        <v>1641.22</v>
      </c>
      <c r="L2554" s="3" t="n">
        <v>64007.58</v>
      </c>
      <c r="M2554" s="3" t="n">
        <v>0.0951</v>
      </c>
      <c r="N2554" s="3" t="n">
        <v>6087.12</v>
      </c>
      <c r="O2554" s="3" t="n">
        <v>57920.46</v>
      </c>
      <c r="P2554" s="3" t="n">
        <v>35204.17</v>
      </c>
      <c r="Q2554" s="3" t="n">
        <v>22716.29</v>
      </c>
      <c r="R2554" s="3" t="n">
        <v>0.3922</v>
      </c>
      <c r="S2554" s="3" t="n">
        <v>0.0856</v>
      </c>
      <c r="T2554" s="3" t="n">
        <v>0.0095</v>
      </c>
    </row>
    <row r="2555" customFormat="false" ht="15" hidden="false" customHeight="true" outlineLevel="0" collapsed="false">
      <c r="A2555" s="3" t="s">
        <v>3617</v>
      </c>
      <c r="B2555" s="3" t="s">
        <v>1653</v>
      </c>
      <c r="C2555" s="3" t="s">
        <v>60</v>
      </c>
      <c r="D2555" s="3" t="s">
        <v>107</v>
      </c>
      <c r="E2555" s="3" t="s">
        <v>33</v>
      </c>
      <c r="F2555" s="3" t="s">
        <v>70</v>
      </c>
      <c r="G2555" s="3" t="s">
        <v>116</v>
      </c>
      <c r="H2555" s="3" t="s">
        <v>77</v>
      </c>
      <c r="I2555" s="3" t="s">
        <v>131</v>
      </c>
      <c r="J2555" s="3" t="n">
        <v>48</v>
      </c>
      <c r="K2555" s="3" t="n">
        <v>2057.48</v>
      </c>
      <c r="L2555" s="3" t="n">
        <v>98759.04</v>
      </c>
      <c r="M2555" s="3" t="n">
        <v>0.1197</v>
      </c>
      <c r="N2555" s="3" t="n">
        <v>11821.46</v>
      </c>
      <c r="O2555" s="3" t="n">
        <v>86937.58</v>
      </c>
      <c r="P2555" s="3" t="n">
        <v>67156.15</v>
      </c>
      <c r="Q2555" s="3" t="n">
        <v>19781.43</v>
      </c>
      <c r="R2555" s="3" t="n">
        <v>0.2275</v>
      </c>
      <c r="S2555" s="3" t="n">
        <v>0.1065</v>
      </c>
      <c r="T2555" s="3" t="n">
        <v>0.0132</v>
      </c>
    </row>
    <row r="2556" customFormat="false" ht="15" hidden="false" customHeight="true" outlineLevel="0" collapsed="false">
      <c r="A2556" s="3" t="s">
        <v>3618</v>
      </c>
      <c r="B2556" s="3" t="s">
        <v>3619</v>
      </c>
      <c r="C2556" s="3" t="s">
        <v>53</v>
      </c>
      <c r="D2556" s="3" t="s">
        <v>23</v>
      </c>
      <c r="E2556" s="3" t="s">
        <v>24</v>
      </c>
      <c r="F2556" s="3" t="s">
        <v>25</v>
      </c>
      <c r="G2556" s="3" t="s">
        <v>63</v>
      </c>
      <c r="H2556" s="3" t="s">
        <v>42</v>
      </c>
      <c r="I2556" s="3" t="s">
        <v>43</v>
      </c>
      <c r="J2556" s="3" t="n">
        <v>38</v>
      </c>
      <c r="K2556" s="3" t="n">
        <v>2588.35</v>
      </c>
      <c r="L2556" s="3" t="n">
        <v>98357.3</v>
      </c>
      <c r="M2556" s="3" t="n">
        <v>0.1486</v>
      </c>
      <c r="N2556" s="3" t="n">
        <v>14615.89</v>
      </c>
      <c r="O2556" s="3" t="n">
        <v>83741.41</v>
      </c>
      <c r="P2556" s="3" t="n">
        <v>54096.52</v>
      </c>
      <c r="Q2556" s="3" t="n">
        <v>29644.89</v>
      </c>
      <c r="R2556" s="3" t="n">
        <v>0.354</v>
      </c>
      <c r="S2556" s="3" t="n">
        <v>0.1393</v>
      </c>
      <c r="T2556" s="3" t="n">
        <v>0.0093</v>
      </c>
    </row>
    <row r="2557" customFormat="false" ht="15" hidden="false" customHeight="true" outlineLevel="0" collapsed="false">
      <c r="A2557" s="3" t="s">
        <v>3620</v>
      </c>
      <c r="B2557" s="3" t="s">
        <v>571</v>
      </c>
      <c r="C2557" s="3" t="s">
        <v>22</v>
      </c>
      <c r="D2557" s="3" t="s">
        <v>69</v>
      </c>
      <c r="E2557" s="3" t="s">
        <v>39</v>
      </c>
      <c r="F2557" s="3" t="s">
        <v>70</v>
      </c>
      <c r="G2557" s="3" t="s">
        <v>100</v>
      </c>
      <c r="H2557" s="3" t="s">
        <v>27</v>
      </c>
      <c r="I2557" s="3" t="s">
        <v>117</v>
      </c>
      <c r="J2557" s="3" t="n">
        <v>37</v>
      </c>
      <c r="K2557" s="3" t="n">
        <v>37103.13</v>
      </c>
      <c r="L2557" s="3" t="n">
        <v>1372815.81</v>
      </c>
      <c r="M2557" s="3" t="n">
        <v>0.0526</v>
      </c>
      <c r="N2557" s="3" t="n">
        <v>72210.11</v>
      </c>
      <c r="O2557" s="3" t="n">
        <v>1300605.7</v>
      </c>
      <c r="P2557" s="3" t="n">
        <v>851145.8</v>
      </c>
      <c r="Q2557" s="3" t="n">
        <v>449459.9</v>
      </c>
      <c r="R2557" s="3" t="n">
        <v>0.3456</v>
      </c>
      <c r="S2557" s="3" t="n">
        <v>0.046</v>
      </c>
      <c r="T2557" s="3" t="n">
        <v>0.0066</v>
      </c>
    </row>
    <row r="2558" customFormat="false" ht="15" hidden="false" customHeight="true" outlineLevel="0" collapsed="false">
      <c r="A2558" s="3" t="s">
        <v>3621</v>
      </c>
      <c r="B2558" s="3" t="s">
        <v>358</v>
      </c>
      <c r="C2558" s="3" t="s">
        <v>126</v>
      </c>
      <c r="D2558" s="3" t="s">
        <v>47</v>
      </c>
      <c r="E2558" s="3" t="s">
        <v>48</v>
      </c>
      <c r="F2558" s="3" t="s">
        <v>25</v>
      </c>
      <c r="G2558" s="3" t="s">
        <v>41</v>
      </c>
      <c r="H2558" s="3" t="s">
        <v>77</v>
      </c>
      <c r="I2558" s="3" t="s">
        <v>131</v>
      </c>
      <c r="J2558" s="3" t="n">
        <v>19</v>
      </c>
      <c r="K2558" s="3" t="n">
        <v>5607.8</v>
      </c>
      <c r="L2558" s="3" t="n">
        <v>106548.2</v>
      </c>
      <c r="M2558" s="3" t="n">
        <v>0.1614</v>
      </c>
      <c r="N2558" s="3" t="n">
        <v>17196.88</v>
      </c>
      <c r="O2558" s="3" t="n">
        <v>89351.32</v>
      </c>
      <c r="P2558" s="3" t="n">
        <v>72452.78</v>
      </c>
      <c r="Q2558" s="3" t="n">
        <v>16898.54</v>
      </c>
      <c r="R2558" s="3" t="n">
        <v>0.1891</v>
      </c>
      <c r="S2558" s="3" t="n">
        <v>0.1311</v>
      </c>
      <c r="T2558" s="3" t="n">
        <v>0.0303</v>
      </c>
    </row>
    <row r="2559" customFormat="false" ht="15" hidden="false" customHeight="true" outlineLevel="0" collapsed="false">
      <c r="A2559" s="3" t="s">
        <v>3622</v>
      </c>
      <c r="B2559" s="3" t="s">
        <v>2901</v>
      </c>
      <c r="C2559" s="3" t="s">
        <v>31</v>
      </c>
      <c r="D2559" s="3" t="s">
        <v>103</v>
      </c>
      <c r="E2559" s="3" t="s">
        <v>24</v>
      </c>
      <c r="F2559" s="3" t="s">
        <v>62</v>
      </c>
      <c r="G2559" s="3" t="s">
        <v>76</v>
      </c>
      <c r="H2559" s="3" t="s">
        <v>64</v>
      </c>
      <c r="I2559" s="3" t="s">
        <v>90</v>
      </c>
      <c r="J2559" s="3" t="n">
        <v>6</v>
      </c>
      <c r="K2559" s="3" t="n">
        <v>7511.09</v>
      </c>
      <c r="L2559" s="3" t="n">
        <v>45066.54</v>
      </c>
      <c r="M2559" s="3" t="n">
        <v>0.065</v>
      </c>
      <c r="N2559" s="3" t="n">
        <v>2929.33</v>
      </c>
      <c r="O2559" s="3" t="n">
        <v>42137.21</v>
      </c>
      <c r="P2559" s="3" t="n">
        <v>26138.59</v>
      </c>
      <c r="Q2559" s="3" t="n">
        <v>15998.62</v>
      </c>
      <c r="R2559" s="3" t="n">
        <v>0.3797</v>
      </c>
      <c r="S2559" s="3" t="n">
        <v>0.0674</v>
      </c>
      <c r="T2559" s="3" t="n">
        <v>-0.0024</v>
      </c>
    </row>
    <row r="2560" customFormat="false" ht="15" hidden="false" customHeight="true" outlineLevel="0" collapsed="false">
      <c r="A2560" s="3" t="s">
        <v>3623</v>
      </c>
      <c r="B2560" s="3" t="s">
        <v>2569</v>
      </c>
      <c r="C2560" s="3" t="s">
        <v>68</v>
      </c>
      <c r="D2560" s="3" t="s">
        <v>54</v>
      </c>
      <c r="E2560" s="3" t="s">
        <v>24</v>
      </c>
      <c r="F2560" s="3" t="s">
        <v>40</v>
      </c>
      <c r="G2560" s="3" t="s">
        <v>63</v>
      </c>
      <c r="H2560" s="3" t="s">
        <v>27</v>
      </c>
      <c r="I2560" s="3" t="s">
        <v>117</v>
      </c>
      <c r="J2560" s="3" t="n">
        <v>18</v>
      </c>
      <c r="K2560" s="3" t="n">
        <v>34466.21</v>
      </c>
      <c r="L2560" s="3" t="n">
        <v>620391.78</v>
      </c>
      <c r="M2560" s="3" t="n">
        <v>0.072</v>
      </c>
      <c r="N2560" s="3" t="n">
        <v>44668.21</v>
      </c>
      <c r="O2560" s="3" t="n">
        <v>575723.57</v>
      </c>
      <c r="P2560" s="3" t="n">
        <v>384642.9</v>
      </c>
      <c r="Q2560" s="3" t="n">
        <v>191080.67</v>
      </c>
      <c r="R2560" s="3" t="n">
        <v>0.3319</v>
      </c>
      <c r="S2560" s="3" t="n">
        <v>0.0694</v>
      </c>
      <c r="T2560" s="3" t="n">
        <v>0.0026</v>
      </c>
    </row>
    <row r="2561" customFormat="false" ht="15" hidden="false" customHeight="true" outlineLevel="0" collapsed="false">
      <c r="A2561" s="3" t="s">
        <v>3624</v>
      </c>
      <c r="B2561" s="3" t="s">
        <v>1527</v>
      </c>
      <c r="C2561" s="3" t="s">
        <v>46</v>
      </c>
      <c r="D2561" s="3" t="s">
        <v>61</v>
      </c>
      <c r="E2561" s="3" t="s">
        <v>33</v>
      </c>
      <c r="F2561" s="3" t="s">
        <v>62</v>
      </c>
      <c r="G2561" s="3" t="s">
        <v>55</v>
      </c>
      <c r="H2561" s="3" t="s">
        <v>42</v>
      </c>
      <c r="I2561" s="3" t="s">
        <v>72</v>
      </c>
      <c r="J2561" s="3" t="n">
        <v>32</v>
      </c>
      <c r="K2561" s="3" t="n">
        <v>2081.19</v>
      </c>
      <c r="L2561" s="3" t="n">
        <v>66598.08</v>
      </c>
      <c r="M2561" s="3" t="n">
        <v>0.0424</v>
      </c>
      <c r="N2561" s="3" t="n">
        <v>2823.76</v>
      </c>
      <c r="O2561" s="3" t="n">
        <v>63774.32</v>
      </c>
      <c r="P2561" s="3" t="n">
        <v>36628.94</v>
      </c>
      <c r="Q2561" s="3" t="n">
        <v>27145.38</v>
      </c>
      <c r="R2561" s="3" t="n">
        <v>0.4256</v>
      </c>
      <c r="S2561" s="3" t="n">
        <v>0.0375</v>
      </c>
      <c r="T2561" s="3" t="n">
        <v>0.0049</v>
      </c>
    </row>
    <row r="2562" customFormat="false" ht="15" hidden="false" customHeight="true" outlineLevel="0" collapsed="false">
      <c r="A2562" s="3" t="s">
        <v>3625</v>
      </c>
      <c r="B2562" s="3" t="s">
        <v>2142</v>
      </c>
      <c r="C2562" s="3" t="s">
        <v>31</v>
      </c>
      <c r="D2562" s="3" t="s">
        <v>97</v>
      </c>
      <c r="E2562" s="3" t="s">
        <v>48</v>
      </c>
      <c r="F2562" s="3" t="s">
        <v>40</v>
      </c>
      <c r="G2562" s="3" t="s">
        <v>41</v>
      </c>
      <c r="H2562" s="3" t="s">
        <v>77</v>
      </c>
      <c r="I2562" s="3" t="s">
        <v>78</v>
      </c>
      <c r="J2562" s="3" t="n">
        <v>9</v>
      </c>
      <c r="K2562" s="3" t="n">
        <v>5995.5</v>
      </c>
      <c r="L2562" s="3" t="n">
        <v>53959.5</v>
      </c>
      <c r="M2562" s="3" t="n">
        <v>0.0631</v>
      </c>
      <c r="N2562" s="3" t="n">
        <v>3404.84</v>
      </c>
      <c r="O2562" s="3" t="n">
        <v>50554.66</v>
      </c>
      <c r="P2562" s="3" t="n">
        <v>36692.46</v>
      </c>
      <c r="Q2562" s="3" t="n">
        <v>13862.2</v>
      </c>
      <c r="R2562" s="3" t="n">
        <v>0.2742</v>
      </c>
      <c r="S2562" s="3" t="n">
        <v>0.0657</v>
      </c>
      <c r="T2562" s="3" t="n">
        <v>-0.0026</v>
      </c>
    </row>
    <row r="2563" customFormat="false" ht="15" hidden="false" customHeight="true" outlineLevel="0" collapsed="false">
      <c r="A2563" s="3" t="s">
        <v>3626</v>
      </c>
      <c r="B2563" s="3" t="s">
        <v>368</v>
      </c>
      <c r="C2563" s="3" t="s">
        <v>126</v>
      </c>
      <c r="D2563" s="3" t="s">
        <v>38</v>
      </c>
      <c r="E2563" s="3" t="s">
        <v>39</v>
      </c>
      <c r="F2563" s="3" t="s">
        <v>40</v>
      </c>
      <c r="G2563" s="3" t="s">
        <v>63</v>
      </c>
      <c r="H2563" s="3" t="s">
        <v>56</v>
      </c>
      <c r="I2563" s="3" t="s">
        <v>121</v>
      </c>
      <c r="J2563" s="3" t="n">
        <v>5</v>
      </c>
      <c r="K2563" s="3" t="n">
        <v>6539.26</v>
      </c>
      <c r="L2563" s="3" t="n">
        <v>32696.3</v>
      </c>
      <c r="M2563" s="3" t="n">
        <v>0.0365</v>
      </c>
      <c r="N2563" s="3" t="n">
        <v>1193.41</v>
      </c>
      <c r="O2563" s="3" t="n">
        <v>31502.89</v>
      </c>
      <c r="P2563" s="3" t="n">
        <v>19617.78</v>
      </c>
      <c r="Q2563" s="3" t="n">
        <v>11885.11</v>
      </c>
      <c r="R2563" s="3" t="n">
        <v>0.3773</v>
      </c>
      <c r="S2563" s="3" t="n">
        <v>0.0354</v>
      </c>
      <c r="T2563" s="3" t="n">
        <v>0.0011</v>
      </c>
    </row>
    <row r="2564" customFormat="false" ht="15" hidden="false" customHeight="true" outlineLevel="0" collapsed="false">
      <c r="A2564" s="3" t="s">
        <v>3627</v>
      </c>
      <c r="B2564" s="3" t="s">
        <v>850</v>
      </c>
      <c r="C2564" s="3" t="s">
        <v>68</v>
      </c>
      <c r="D2564" s="3" t="s">
        <v>83</v>
      </c>
      <c r="E2564" s="3" t="s">
        <v>48</v>
      </c>
      <c r="F2564" s="3" t="s">
        <v>62</v>
      </c>
      <c r="G2564" s="3" t="s">
        <v>26</v>
      </c>
      <c r="H2564" s="3" t="s">
        <v>64</v>
      </c>
      <c r="I2564" s="3" t="s">
        <v>108</v>
      </c>
      <c r="J2564" s="3" t="n">
        <v>17</v>
      </c>
      <c r="K2564" s="3" t="n">
        <v>3454.48</v>
      </c>
      <c r="L2564" s="3" t="n">
        <v>58726.16</v>
      </c>
      <c r="M2564" s="3" t="n">
        <v>0.0393</v>
      </c>
      <c r="N2564" s="3" t="n">
        <v>2307.94</v>
      </c>
      <c r="O2564" s="3" t="n">
        <v>56418.22</v>
      </c>
      <c r="P2564" s="3" t="n">
        <v>34061.17</v>
      </c>
      <c r="Q2564" s="3" t="n">
        <v>22357.05</v>
      </c>
      <c r="R2564" s="3" t="n">
        <v>0.3963</v>
      </c>
      <c r="S2564" s="3" t="n">
        <v>0.036</v>
      </c>
      <c r="T2564" s="3" t="n">
        <v>0.0033</v>
      </c>
    </row>
    <row r="2565" customFormat="false" ht="15" hidden="false" customHeight="true" outlineLevel="0" collapsed="false">
      <c r="A2565" s="3" t="s">
        <v>3628</v>
      </c>
      <c r="B2565" s="3" t="s">
        <v>92</v>
      </c>
      <c r="C2565" s="3" t="s">
        <v>93</v>
      </c>
      <c r="D2565" s="3" t="s">
        <v>75</v>
      </c>
      <c r="E2565" s="3" t="s">
        <v>39</v>
      </c>
      <c r="F2565" s="3" t="s">
        <v>25</v>
      </c>
      <c r="G2565" s="3" t="s">
        <v>55</v>
      </c>
      <c r="H2565" s="3" t="s">
        <v>77</v>
      </c>
      <c r="I2565" s="3" t="s">
        <v>85</v>
      </c>
      <c r="J2565" s="3" t="n">
        <v>25</v>
      </c>
      <c r="K2565" s="3" t="n">
        <v>1818.29</v>
      </c>
      <c r="L2565" s="3" t="n">
        <v>45457.25</v>
      </c>
      <c r="M2565" s="3" t="n">
        <v>0.0967</v>
      </c>
      <c r="N2565" s="3" t="n">
        <v>4395.72</v>
      </c>
      <c r="O2565" s="3" t="n">
        <v>41061.53</v>
      </c>
      <c r="P2565" s="3" t="n">
        <v>30910.93</v>
      </c>
      <c r="Q2565" s="3" t="n">
        <v>10150.6</v>
      </c>
      <c r="R2565" s="3" t="n">
        <v>0.2472</v>
      </c>
      <c r="S2565" s="3" t="n">
        <v>0.1048</v>
      </c>
      <c r="T2565" s="3" t="n">
        <v>-0.0081</v>
      </c>
    </row>
    <row r="2566" customFormat="false" ht="15" hidden="false" customHeight="true" outlineLevel="0" collapsed="false">
      <c r="A2566" s="3" t="s">
        <v>3629</v>
      </c>
      <c r="B2566" s="3" t="s">
        <v>345</v>
      </c>
      <c r="C2566" s="3" t="s">
        <v>60</v>
      </c>
      <c r="D2566" s="3" t="s">
        <v>38</v>
      </c>
      <c r="E2566" s="3" t="s">
        <v>39</v>
      </c>
      <c r="F2566" s="3" t="s">
        <v>40</v>
      </c>
      <c r="G2566" s="3" t="s">
        <v>41</v>
      </c>
      <c r="H2566" s="3" t="s">
        <v>56</v>
      </c>
      <c r="I2566" s="3" t="s">
        <v>57</v>
      </c>
      <c r="J2566" s="3" t="n">
        <v>23</v>
      </c>
      <c r="K2566" s="3" t="n">
        <v>5026.3</v>
      </c>
      <c r="L2566" s="3" t="n">
        <v>115604.9</v>
      </c>
      <c r="M2566" s="3" t="n">
        <v>0.1083</v>
      </c>
      <c r="N2566" s="3" t="n">
        <v>12520.01</v>
      </c>
      <c r="O2566" s="3" t="n">
        <v>103084.89</v>
      </c>
      <c r="P2566" s="3" t="n">
        <v>69362.94</v>
      </c>
      <c r="Q2566" s="3" t="n">
        <v>33721.95</v>
      </c>
      <c r="R2566" s="3" t="n">
        <v>0.3271</v>
      </c>
      <c r="S2566" s="3" t="n">
        <v>0.1057</v>
      </c>
      <c r="T2566" s="3" t="n">
        <v>0.0026</v>
      </c>
    </row>
    <row r="2567" customFormat="false" ht="15" hidden="false" customHeight="true" outlineLevel="0" collapsed="false">
      <c r="A2567" s="3" t="s">
        <v>3630</v>
      </c>
      <c r="B2567" s="3" t="s">
        <v>521</v>
      </c>
      <c r="C2567" s="3" t="s">
        <v>93</v>
      </c>
      <c r="D2567" s="3" t="s">
        <v>97</v>
      </c>
      <c r="E2567" s="3" t="s">
        <v>48</v>
      </c>
      <c r="F2567" s="3" t="s">
        <v>40</v>
      </c>
      <c r="G2567" s="3" t="s">
        <v>100</v>
      </c>
      <c r="H2567" s="3" t="s">
        <v>56</v>
      </c>
      <c r="I2567" s="3" t="s">
        <v>121</v>
      </c>
      <c r="J2567" s="3" t="n">
        <v>21</v>
      </c>
      <c r="K2567" s="3" t="n">
        <v>5967.17</v>
      </c>
      <c r="L2567" s="3" t="n">
        <v>125310.57</v>
      </c>
      <c r="M2567" s="3" t="n">
        <v>0.0676</v>
      </c>
      <c r="N2567" s="3" t="n">
        <v>8470.99</v>
      </c>
      <c r="O2567" s="3" t="n">
        <v>116839.58</v>
      </c>
      <c r="P2567" s="3" t="n">
        <v>75186.34</v>
      </c>
      <c r="Q2567" s="3" t="n">
        <v>41653.24</v>
      </c>
      <c r="R2567" s="3" t="n">
        <v>0.3565</v>
      </c>
      <c r="S2567" s="3" t="n">
        <v>0.0716</v>
      </c>
      <c r="T2567" s="3" t="n">
        <v>-0.004</v>
      </c>
    </row>
    <row r="2568" customFormat="false" ht="15" hidden="false" customHeight="true" outlineLevel="0" collapsed="false">
      <c r="A2568" s="3" t="s">
        <v>3631</v>
      </c>
      <c r="B2568" s="3" t="s">
        <v>1840</v>
      </c>
      <c r="C2568" s="3" t="s">
        <v>31</v>
      </c>
      <c r="D2568" s="3" t="s">
        <v>47</v>
      </c>
      <c r="E2568" s="3" t="s">
        <v>48</v>
      </c>
      <c r="F2568" s="3" t="s">
        <v>25</v>
      </c>
      <c r="G2568" s="3" t="s">
        <v>84</v>
      </c>
      <c r="H2568" s="3" t="s">
        <v>56</v>
      </c>
      <c r="I2568" s="3" t="s">
        <v>121</v>
      </c>
      <c r="J2568" s="3" t="n">
        <v>29</v>
      </c>
      <c r="K2568" s="3" t="n">
        <v>13361.85</v>
      </c>
      <c r="L2568" s="3" t="n">
        <v>387493.65</v>
      </c>
      <c r="M2568" s="3" t="n">
        <v>0.1303</v>
      </c>
      <c r="N2568" s="3" t="n">
        <v>50490.42</v>
      </c>
      <c r="O2568" s="3" t="n">
        <v>337003.23</v>
      </c>
      <c r="P2568" s="3" t="n">
        <v>232496.19</v>
      </c>
      <c r="Q2568" s="3" t="n">
        <v>104507.04</v>
      </c>
      <c r="R2568" s="3" t="n">
        <v>0.3101</v>
      </c>
      <c r="S2568" s="3" t="n">
        <v>0.1047</v>
      </c>
      <c r="T2568" s="3" t="n">
        <v>0.0256</v>
      </c>
    </row>
    <row r="2569" customFormat="false" ht="15" hidden="false" customHeight="true" outlineLevel="0" collapsed="false">
      <c r="A2569" s="3" t="s">
        <v>3632</v>
      </c>
      <c r="B2569" s="3" t="s">
        <v>905</v>
      </c>
      <c r="C2569" s="3" t="s">
        <v>53</v>
      </c>
      <c r="D2569" s="3" t="s">
        <v>61</v>
      </c>
      <c r="E2569" s="3" t="s">
        <v>33</v>
      </c>
      <c r="F2569" s="3" t="s">
        <v>62</v>
      </c>
      <c r="G2569" s="3" t="s">
        <v>100</v>
      </c>
      <c r="H2569" s="3" t="s">
        <v>64</v>
      </c>
      <c r="I2569" s="3" t="s">
        <v>145</v>
      </c>
      <c r="J2569" s="3" t="n">
        <v>34</v>
      </c>
      <c r="K2569" s="3" t="n">
        <v>4554</v>
      </c>
      <c r="L2569" s="3" t="n">
        <v>154836</v>
      </c>
      <c r="M2569" s="3" t="n">
        <v>0.0774</v>
      </c>
      <c r="N2569" s="3" t="n">
        <v>11984.31</v>
      </c>
      <c r="O2569" s="3" t="n">
        <v>142851.69</v>
      </c>
      <c r="P2569" s="3" t="n">
        <v>89804.88</v>
      </c>
      <c r="Q2569" s="3" t="n">
        <v>53046.81</v>
      </c>
      <c r="R2569" s="3" t="n">
        <v>0.3713</v>
      </c>
      <c r="S2569" s="3" t="n">
        <v>0.0827</v>
      </c>
      <c r="T2569" s="3" t="n">
        <v>-0.0053</v>
      </c>
    </row>
    <row r="2570" customFormat="false" ht="15" hidden="false" customHeight="true" outlineLevel="0" collapsed="false">
      <c r="A2570" s="3" t="s">
        <v>3633</v>
      </c>
      <c r="B2570" s="3" t="s">
        <v>633</v>
      </c>
      <c r="C2570" s="3" t="s">
        <v>22</v>
      </c>
      <c r="D2570" s="3" t="s">
        <v>69</v>
      </c>
      <c r="E2570" s="3" t="s">
        <v>39</v>
      </c>
      <c r="F2570" s="3" t="s">
        <v>70</v>
      </c>
      <c r="G2570" s="3" t="s">
        <v>34</v>
      </c>
      <c r="H2570" s="3" t="s">
        <v>27</v>
      </c>
      <c r="I2570" s="3" t="s">
        <v>50</v>
      </c>
      <c r="J2570" s="3" t="n">
        <v>48</v>
      </c>
      <c r="K2570" s="3" t="n">
        <v>27299.92</v>
      </c>
      <c r="L2570" s="3" t="n">
        <v>1310396.16</v>
      </c>
      <c r="M2570" s="3" t="n">
        <v>0.0901</v>
      </c>
      <c r="N2570" s="3" t="n">
        <v>118066.69</v>
      </c>
      <c r="O2570" s="3" t="n">
        <v>1192329.47</v>
      </c>
      <c r="P2570" s="3" t="n">
        <v>812445.62</v>
      </c>
      <c r="Q2570" s="3" t="n">
        <v>379883.85</v>
      </c>
      <c r="R2570" s="3" t="n">
        <v>0.3186</v>
      </c>
      <c r="S2570" s="3" t="n">
        <v>0.0762</v>
      </c>
      <c r="T2570" s="3" t="n">
        <v>0.0139</v>
      </c>
    </row>
    <row r="2571" customFormat="false" ht="15" hidden="false" customHeight="true" outlineLevel="0" collapsed="false">
      <c r="A2571" s="3" t="s">
        <v>3634</v>
      </c>
      <c r="B2571" s="3" t="s">
        <v>1582</v>
      </c>
      <c r="C2571" s="3" t="s">
        <v>93</v>
      </c>
      <c r="D2571" s="3" t="s">
        <v>75</v>
      </c>
      <c r="E2571" s="3" t="s">
        <v>39</v>
      </c>
      <c r="F2571" s="3" t="s">
        <v>25</v>
      </c>
      <c r="G2571" s="3" t="s">
        <v>104</v>
      </c>
      <c r="H2571" s="3" t="s">
        <v>77</v>
      </c>
      <c r="I2571" s="3" t="s">
        <v>131</v>
      </c>
      <c r="J2571" s="3" t="n">
        <v>5</v>
      </c>
      <c r="K2571" s="3" t="n">
        <v>1221.21</v>
      </c>
      <c r="L2571" s="3" t="n">
        <v>6106.05</v>
      </c>
      <c r="M2571" s="3" t="n">
        <v>0.1476</v>
      </c>
      <c r="N2571" s="3" t="n">
        <v>901.25</v>
      </c>
      <c r="O2571" s="3" t="n">
        <v>5204.8</v>
      </c>
      <c r="P2571" s="3" t="n">
        <v>4152.11</v>
      </c>
      <c r="Q2571" s="3" t="n">
        <v>1052.69</v>
      </c>
      <c r="R2571" s="3" t="n">
        <v>0.2023</v>
      </c>
      <c r="S2571" s="3" t="n">
        <v>0.1593</v>
      </c>
      <c r="T2571" s="3" t="n">
        <v>-0.0117</v>
      </c>
    </row>
    <row r="2572" customFormat="false" ht="15" hidden="false" customHeight="true" outlineLevel="0" collapsed="false">
      <c r="A2572" s="3" t="s">
        <v>3635</v>
      </c>
      <c r="B2572" s="3" t="s">
        <v>3636</v>
      </c>
      <c r="C2572" s="3" t="s">
        <v>156</v>
      </c>
      <c r="D2572" s="3" t="s">
        <v>75</v>
      </c>
      <c r="E2572" s="3" t="s">
        <v>39</v>
      </c>
      <c r="F2572" s="3" t="s">
        <v>25</v>
      </c>
      <c r="G2572" s="3" t="s">
        <v>26</v>
      </c>
      <c r="H2572" s="3" t="s">
        <v>56</v>
      </c>
      <c r="I2572" s="3" t="s">
        <v>121</v>
      </c>
      <c r="J2572" s="3" t="n">
        <v>20</v>
      </c>
      <c r="K2572" s="3" t="n">
        <v>17102.32</v>
      </c>
      <c r="L2572" s="3" t="n">
        <v>342046.4</v>
      </c>
      <c r="M2572" s="3" t="n">
        <v>0.16</v>
      </c>
      <c r="N2572" s="3" t="n">
        <v>54727.42</v>
      </c>
      <c r="O2572" s="3" t="n">
        <v>287318.98</v>
      </c>
      <c r="P2572" s="3" t="n">
        <v>205227.84</v>
      </c>
      <c r="Q2572" s="3" t="n">
        <v>82091.14</v>
      </c>
      <c r="R2572" s="3" t="n">
        <v>0.2857</v>
      </c>
      <c r="S2572" s="3" t="n">
        <v>0.1698</v>
      </c>
      <c r="T2572" s="3" t="n">
        <v>-0.0098</v>
      </c>
    </row>
    <row r="2573" customFormat="false" ht="15" hidden="false" customHeight="true" outlineLevel="0" collapsed="false">
      <c r="A2573" s="3" t="s">
        <v>3637</v>
      </c>
      <c r="B2573" s="3" t="s">
        <v>1933</v>
      </c>
      <c r="C2573" s="3" t="s">
        <v>68</v>
      </c>
      <c r="D2573" s="3" t="s">
        <v>97</v>
      </c>
      <c r="E2573" s="3" t="s">
        <v>48</v>
      </c>
      <c r="F2573" s="3" t="s">
        <v>40</v>
      </c>
      <c r="G2573" s="3" t="s">
        <v>34</v>
      </c>
      <c r="H2573" s="3" t="s">
        <v>56</v>
      </c>
      <c r="I2573" s="3" t="s">
        <v>188</v>
      </c>
      <c r="J2573" s="3" t="n">
        <v>2</v>
      </c>
      <c r="K2573" s="3" t="n">
        <v>6808.3</v>
      </c>
      <c r="L2573" s="3" t="n">
        <v>13616.6</v>
      </c>
      <c r="M2573" s="3" t="n">
        <v>0.0927</v>
      </c>
      <c r="N2573" s="3" t="n">
        <v>1262.26</v>
      </c>
      <c r="O2573" s="3" t="n">
        <v>12354.34</v>
      </c>
      <c r="P2573" s="3" t="n">
        <v>8169.96</v>
      </c>
      <c r="Q2573" s="3" t="n">
        <v>4184.38</v>
      </c>
      <c r="R2573" s="3" t="n">
        <v>0.3387</v>
      </c>
      <c r="S2573" s="3" t="n">
        <v>0.0831</v>
      </c>
      <c r="T2573" s="3" t="n">
        <v>0.0096</v>
      </c>
    </row>
    <row r="2574" customFormat="false" ht="15" hidden="false" customHeight="true" outlineLevel="0" collapsed="false">
      <c r="A2574" s="3" t="s">
        <v>3638</v>
      </c>
      <c r="B2574" s="3" t="s">
        <v>2551</v>
      </c>
      <c r="C2574" s="3" t="s">
        <v>46</v>
      </c>
      <c r="D2574" s="3" t="s">
        <v>23</v>
      </c>
      <c r="E2574" s="3" t="s">
        <v>24</v>
      </c>
      <c r="F2574" s="3" t="s">
        <v>25</v>
      </c>
      <c r="G2574" s="3" t="s">
        <v>41</v>
      </c>
      <c r="H2574" s="3" t="s">
        <v>56</v>
      </c>
      <c r="I2574" s="3" t="s">
        <v>57</v>
      </c>
      <c r="J2574" s="3" t="n">
        <v>40</v>
      </c>
      <c r="K2574" s="3" t="n">
        <v>2530.75</v>
      </c>
      <c r="L2574" s="3" t="n">
        <v>101230</v>
      </c>
      <c r="M2574" s="3" t="n">
        <v>0.2019</v>
      </c>
      <c r="N2574" s="3" t="n">
        <v>20438.34</v>
      </c>
      <c r="O2574" s="3" t="n">
        <v>80791.66</v>
      </c>
      <c r="P2574" s="3" t="n">
        <v>60738</v>
      </c>
      <c r="Q2574" s="3" t="n">
        <v>20053.66</v>
      </c>
      <c r="R2574" s="3" t="n">
        <v>0.2482</v>
      </c>
      <c r="S2574" s="3" t="n">
        <v>0.1795</v>
      </c>
      <c r="T2574" s="3" t="n">
        <v>0.0224</v>
      </c>
    </row>
    <row r="2575" customFormat="false" ht="15" hidden="false" customHeight="true" outlineLevel="0" collapsed="false">
      <c r="A2575" s="3" t="s">
        <v>3639</v>
      </c>
      <c r="B2575" s="3" t="s">
        <v>2398</v>
      </c>
      <c r="C2575" s="3" t="s">
        <v>113</v>
      </c>
      <c r="D2575" s="3" t="s">
        <v>97</v>
      </c>
      <c r="E2575" s="3" t="s">
        <v>48</v>
      </c>
      <c r="F2575" s="3" t="s">
        <v>40</v>
      </c>
      <c r="G2575" s="3" t="s">
        <v>104</v>
      </c>
      <c r="H2575" s="3" t="s">
        <v>64</v>
      </c>
      <c r="I2575" s="3" t="s">
        <v>145</v>
      </c>
      <c r="J2575" s="3" t="n">
        <v>46</v>
      </c>
      <c r="K2575" s="3" t="n">
        <v>5965.56</v>
      </c>
      <c r="L2575" s="3" t="n">
        <v>274415.76</v>
      </c>
      <c r="M2575" s="3" t="n">
        <v>0.0847</v>
      </c>
      <c r="N2575" s="3" t="n">
        <v>23243.01</v>
      </c>
      <c r="O2575" s="3" t="n">
        <v>251172.75</v>
      </c>
      <c r="P2575" s="3" t="n">
        <v>159161.14</v>
      </c>
      <c r="Q2575" s="3" t="n">
        <v>92011.61</v>
      </c>
      <c r="R2575" s="3" t="n">
        <v>0.3663</v>
      </c>
      <c r="S2575" s="3" t="n">
        <v>0.0737</v>
      </c>
      <c r="T2575" s="3" t="n">
        <v>0.011</v>
      </c>
    </row>
    <row r="2576" customFormat="false" ht="15" hidden="false" customHeight="true" outlineLevel="0" collapsed="false">
      <c r="A2576" s="3" t="s">
        <v>3640</v>
      </c>
      <c r="B2576" s="3" t="s">
        <v>598</v>
      </c>
      <c r="C2576" s="3" t="s">
        <v>120</v>
      </c>
      <c r="D2576" s="3" t="s">
        <v>69</v>
      </c>
      <c r="E2576" s="3" t="s">
        <v>39</v>
      </c>
      <c r="F2576" s="3" t="s">
        <v>70</v>
      </c>
      <c r="G2576" s="3" t="s">
        <v>84</v>
      </c>
      <c r="H2576" s="3" t="s">
        <v>27</v>
      </c>
      <c r="I2576" s="3" t="s">
        <v>94</v>
      </c>
      <c r="J2576" s="3" t="n">
        <v>28</v>
      </c>
      <c r="K2576" s="3" t="n">
        <v>39786.44</v>
      </c>
      <c r="L2576" s="3" t="n">
        <v>1114020.32</v>
      </c>
      <c r="M2576" s="3" t="n">
        <v>0.0604</v>
      </c>
      <c r="N2576" s="3" t="n">
        <v>67286.83</v>
      </c>
      <c r="O2576" s="3" t="n">
        <v>1046733.49</v>
      </c>
      <c r="P2576" s="3" t="n">
        <v>690692.6</v>
      </c>
      <c r="Q2576" s="3" t="n">
        <v>356040.89</v>
      </c>
      <c r="R2576" s="3" t="n">
        <v>0.3401</v>
      </c>
      <c r="S2576" s="3" t="n">
        <v>0.0596</v>
      </c>
      <c r="T2576" s="3" t="n">
        <v>0.0008</v>
      </c>
    </row>
    <row r="2577" customFormat="false" ht="15" hidden="false" customHeight="true" outlineLevel="0" collapsed="false">
      <c r="A2577" s="3" t="s">
        <v>3641</v>
      </c>
      <c r="B2577" s="3" t="s">
        <v>3636</v>
      </c>
      <c r="C2577" s="3" t="s">
        <v>156</v>
      </c>
      <c r="D2577" s="3" t="s">
        <v>54</v>
      </c>
      <c r="E2577" s="3" t="s">
        <v>24</v>
      </c>
      <c r="F2577" s="3" t="s">
        <v>40</v>
      </c>
      <c r="G2577" s="3" t="s">
        <v>63</v>
      </c>
      <c r="H2577" s="3" t="s">
        <v>56</v>
      </c>
      <c r="I2577" s="3" t="s">
        <v>121</v>
      </c>
      <c r="J2577" s="3" t="n">
        <v>37</v>
      </c>
      <c r="K2577" s="3" t="n">
        <v>4001.64</v>
      </c>
      <c r="L2577" s="3" t="n">
        <v>148060.68</v>
      </c>
      <c r="M2577" s="3" t="n">
        <v>0.077</v>
      </c>
      <c r="N2577" s="3" t="n">
        <v>11400.67</v>
      </c>
      <c r="O2577" s="3" t="n">
        <v>136660.01</v>
      </c>
      <c r="P2577" s="3" t="n">
        <v>88836.41</v>
      </c>
      <c r="Q2577" s="3" t="n">
        <v>47823.6</v>
      </c>
      <c r="R2577" s="3" t="n">
        <v>0.3499</v>
      </c>
      <c r="S2577" s="3" t="n">
        <v>0.0766</v>
      </c>
      <c r="T2577" s="3" t="n">
        <v>0.0004</v>
      </c>
    </row>
    <row r="2578" customFormat="false" ht="15" hidden="false" customHeight="true" outlineLevel="0" collapsed="false">
      <c r="A2578" s="3" t="s">
        <v>3642</v>
      </c>
      <c r="B2578" s="3" t="s">
        <v>655</v>
      </c>
      <c r="C2578" s="3" t="s">
        <v>156</v>
      </c>
      <c r="D2578" s="3" t="s">
        <v>103</v>
      </c>
      <c r="E2578" s="3" t="s">
        <v>24</v>
      </c>
      <c r="F2578" s="3" t="s">
        <v>62</v>
      </c>
      <c r="G2578" s="3" t="s">
        <v>41</v>
      </c>
      <c r="H2578" s="3" t="s">
        <v>77</v>
      </c>
      <c r="I2578" s="3" t="s">
        <v>85</v>
      </c>
      <c r="J2578" s="3" t="n">
        <v>6</v>
      </c>
      <c r="K2578" s="3" t="n">
        <v>5420.86</v>
      </c>
      <c r="L2578" s="3" t="n">
        <v>32525.16</v>
      </c>
      <c r="M2578" s="3" t="n">
        <v>0.0883</v>
      </c>
      <c r="N2578" s="3" t="n">
        <v>2871.97</v>
      </c>
      <c r="O2578" s="3" t="n">
        <v>29653.19</v>
      </c>
      <c r="P2578" s="3" t="n">
        <v>22117.11</v>
      </c>
      <c r="Q2578" s="3" t="n">
        <v>7536.08</v>
      </c>
      <c r="R2578" s="3" t="n">
        <v>0.2541</v>
      </c>
      <c r="S2578" s="3" t="n">
        <v>0.0825</v>
      </c>
      <c r="T2578" s="3" t="n">
        <v>0.0058</v>
      </c>
    </row>
    <row r="2579" customFormat="false" ht="15" hidden="false" customHeight="true" outlineLevel="0" collapsed="false">
      <c r="A2579" s="3" t="s">
        <v>3643</v>
      </c>
      <c r="B2579" s="3" t="s">
        <v>443</v>
      </c>
      <c r="C2579" s="3" t="s">
        <v>126</v>
      </c>
      <c r="D2579" s="3" t="s">
        <v>47</v>
      </c>
      <c r="E2579" s="3" t="s">
        <v>48</v>
      </c>
      <c r="F2579" s="3" t="s">
        <v>25</v>
      </c>
      <c r="G2579" s="3" t="s">
        <v>100</v>
      </c>
      <c r="H2579" s="3" t="s">
        <v>77</v>
      </c>
      <c r="I2579" s="3" t="s">
        <v>131</v>
      </c>
      <c r="J2579" s="3" t="n">
        <v>22</v>
      </c>
      <c r="K2579" s="3" t="n">
        <v>3266.94</v>
      </c>
      <c r="L2579" s="3" t="n">
        <v>71872.68</v>
      </c>
      <c r="M2579" s="3" t="n">
        <v>0.1311</v>
      </c>
      <c r="N2579" s="3" t="n">
        <v>9422.51</v>
      </c>
      <c r="O2579" s="3" t="n">
        <v>62450.17</v>
      </c>
      <c r="P2579" s="3" t="n">
        <v>48873.42</v>
      </c>
      <c r="Q2579" s="3" t="n">
        <v>13576.75</v>
      </c>
      <c r="R2579" s="3" t="n">
        <v>0.2174</v>
      </c>
      <c r="S2579" s="3" t="n">
        <v>0.1383</v>
      </c>
      <c r="T2579" s="3" t="n">
        <v>-0.0072</v>
      </c>
    </row>
    <row r="2580" customFormat="false" ht="15" hidden="false" customHeight="true" outlineLevel="0" collapsed="false">
      <c r="A2580" s="3" t="s">
        <v>3644</v>
      </c>
      <c r="B2580" s="3" t="s">
        <v>909</v>
      </c>
      <c r="C2580" s="3" t="s">
        <v>22</v>
      </c>
      <c r="D2580" s="3" t="s">
        <v>32</v>
      </c>
      <c r="E2580" s="3" t="s">
        <v>33</v>
      </c>
      <c r="F2580" s="3" t="s">
        <v>25</v>
      </c>
      <c r="G2580" s="3" t="s">
        <v>76</v>
      </c>
      <c r="H2580" s="3" t="s">
        <v>42</v>
      </c>
      <c r="I2580" s="3" t="s">
        <v>43</v>
      </c>
      <c r="J2580" s="3" t="n">
        <v>8</v>
      </c>
      <c r="K2580" s="3" t="n">
        <v>2217.63</v>
      </c>
      <c r="L2580" s="3" t="n">
        <v>17741.04</v>
      </c>
      <c r="M2580" s="3" t="n">
        <v>0.131</v>
      </c>
      <c r="N2580" s="3" t="n">
        <v>2324.08</v>
      </c>
      <c r="O2580" s="3" t="n">
        <v>15416.96</v>
      </c>
      <c r="P2580" s="3" t="n">
        <v>9757.57</v>
      </c>
      <c r="Q2580" s="3" t="n">
        <v>5659.39</v>
      </c>
      <c r="R2580" s="3" t="n">
        <v>0.3671</v>
      </c>
      <c r="S2580" s="3" t="n">
        <v>0.1306</v>
      </c>
      <c r="T2580" s="3" t="n">
        <v>0.0004</v>
      </c>
    </row>
    <row r="2581" customFormat="false" ht="15" hidden="false" customHeight="true" outlineLevel="0" collapsed="false">
      <c r="A2581" s="3" t="s">
        <v>3645</v>
      </c>
      <c r="B2581" s="3" t="s">
        <v>1933</v>
      </c>
      <c r="C2581" s="3" t="s">
        <v>68</v>
      </c>
      <c r="D2581" s="3" t="s">
        <v>83</v>
      </c>
      <c r="E2581" s="3" t="s">
        <v>48</v>
      </c>
      <c r="F2581" s="3" t="s">
        <v>62</v>
      </c>
      <c r="G2581" s="3" t="s">
        <v>63</v>
      </c>
      <c r="H2581" s="3" t="s">
        <v>56</v>
      </c>
      <c r="I2581" s="3" t="s">
        <v>57</v>
      </c>
      <c r="J2581" s="3" t="n">
        <v>4</v>
      </c>
      <c r="K2581" s="3" t="n">
        <v>3550.93</v>
      </c>
      <c r="L2581" s="3" t="n">
        <v>14203.72</v>
      </c>
      <c r="M2581" s="3" t="n">
        <v>0.0548</v>
      </c>
      <c r="N2581" s="3" t="n">
        <v>778.36</v>
      </c>
      <c r="O2581" s="3" t="n">
        <v>13425.36</v>
      </c>
      <c r="P2581" s="3" t="n">
        <v>8522.23</v>
      </c>
      <c r="Q2581" s="3" t="n">
        <v>4903.13</v>
      </c>
      <c r="R2581" s="3" t="n">
        <v>0.3652</v>
      </c>
      <c r="S2581" s="3" t="n">
        <v>0.0471</v>
      </c>
      <c r="T2581" s="3" t="n">
        <v>0.0077</v>
      </c>
    </row>
    <row r="2582" customFormat="false" ht="15" hidden="false" customHeight="true" outlineLevel="0" collapsed="false">
      <c r="A2582" s="3" t="s">
        <v>3646</v>
      </c>
      <c r="B2582" s="3" t="s">
        <v>1755</v>
      </c>
      <c r="C2582" s="3" t="s">
        <v>113</v>
      </c>
      <c r="D2582" s="3" t="s">
        <v>75</v>
      </c>
      <c r="E2582" s="3" t="s">
        <v>39</v>
      </c>
      <c r="F2582" s="3" t="s">
        <v>25</v>
      </c>
      <c r="G2582" s="3" t="s">
        <v>49</v>
      </c>
      <c r="H2582" s="3" t="s">
        <v>27</v>
      </c>
      <c r="I2582" s="3" t="s">
        <v>173</v>
      </c>
      <c r="J2582" s="3" t="n">
        <v>27</v>
      </c>
      <c r="K2582" s="3" t="n">
        <v>9987.52</v>
      </c>
      <c r="L2582" s="3" t="n">
        <v>269663.04</v>
      </c>
      <c r="M2582" s="3" t="n">
        <v>0.1204</v>
      </c>
      <c r="N2582" s="3" t="n">
        <v>32467.43</v>
      </c>
      <c r="O2582" s="3" t="n">
        <v>237195.61</v>
      </c>
      <c r="P2582" s="3" t="n">
        <v>167191.08</v>
      </c>
      <c r="Q2582" s="3" t="n">
        <v>70004.53</v>
      </c>
      <c r="R2582" s="3" t="n">
        <v>0.2951</v>
      </c>
      <c r="S2582" s="3" t="n">
        <v>0.1312</v>
      </c>
      <c r="T2582" s="3" t="n">
        <v>-0.0108</v>
      </c>
    </row>
    <row r="2583" customFormat="false" ht="15" hidden="false" customHeight="true" outlineLevel="0" collapsed="false">
      <c r="A2583" s="3" t="s">
        <v>3647</v>
      </c>
      <c r="B2583" s="3" t="s">
        <v>3648</v>
      </c>
      <c r="C2583" s="3" t="s">
        <v>68</v>
      </c>
      <c r="D2583" s="3" t="s">
        <v>75</v>
      </c>
      <c r="E2583" s="3" t="s">
        <v>39</v>
      </c>
      <c r="F2583" s="3" t="s">
        <v>25</v>
      </c>
      <c r="G2583" s="3" t="s">
        <v>26</v>
      </c>
      <c r="H2583" s="3" t="s">
        <v>42</v>
      </c>
      <c r="I2583" s="3" t="s">
        <v>72</v>
      </c>
      <c r="J2583" s="3" t="n">
        <v>39</v>
      </c>
      <c r="K2583" s="3" t="n">
        <v>3425.39</v>
      </c>
      <c r="L2583" s="3" t="n">
        <v>133590.21</v>
      </c>
      <c r="M2583" s="3" t="n">
        <v>0.1534</v>
      </c>
      <c r="N2583" s="3" t="n">
        <v>20492.74</v>
      </c>
      <c r="O2583" s="3" t="n">
        <v>113097.47</v>
      </c>
      <c r="P2583" s="3" t="n">
        <v>73474.62</v>
      </c>
      <c r="Q2583" s="3" t="n">
        <v>39622.85</v>
      </c>
      <c r="R2583" s="3" t="n">
        <v>0.3503</v>
      </c>
      <c r="S2583" s="3" t="n">
        <v>0.145</v>
      </c>
      <c r="T2583" s="3" t="n">
        <v>0.0084</v>
      </c>
    </row>
    <row r="2584" customFormat="false" ht="15" hidden="false" customHeight="true" outlineLevel="0" collapsed="false">
      <c r="A2584" s="3" t="s">
        <v>3649</v>
      </c>
      <c r="B2584" s="3" t="s">
        <v>368</v>
      </c>
      <c r="C2584" s="3" t="s">
        <v>126</v>
      </c>
      <c r="D2584" s="3" t="s">
        <v>69</v>
      </c>
      <c r="E2584" s="3" t="s">
        <v>39</v>
      </c>
      <c r="F2584" s="3" t="s">
        <v>70</v>
      </c>
      <c r="G2584" s="3" t="s">
        <v>34</v>
      </c>
      <c r="H2584" s="3" t="s">
        <v>77</v>
      </c>
      <c r="I2584" s="3" t="s">
        <v>131</v>
      </c>
      <c r="J2584" s="3" t="n">
        <v>12</v>
      </c>
      <c r="K2584" s="3" t="n">
        <v>2631.7</v>
      </c>
      <c r="L2584" s="3" t="n">
        <v>31580.4</v>
      </c>
      <c r="M2584" s="3" t="n">
        <v>0.1246</v>
      </c>
      <c r="N2584" s="3" t="n">
        <v>3934.92</v>
      </c>
      <c r="O2584" s="3" t="n">
        <v>27645.48</v>
      </c>
      <c r="P2584" s="3" t="n">
        <v>21474.67</v>
      </c>
      <c r="Q2584" s="3" t="n">
        <v>6170.81</v>
      </c>
      <c r="R2584" s="3" t="n">
        <v>0.2232</v>
      </c>
      <c r="S2584" s="3" t="n">
        <v>0.11</v>
      </c>
      <c r="T2584" s="3" t="n">
        <v>0.0146</v>
      </c>
    </row>
    <row r="2585" customFormat="false" ht="15" hidden="false" customHeight="true" outlineLevel="0" collapsed="false">
      <c r="A2585" s="3" t="s">
        <v>3650</v>
      </c>
      <c r="B2585" s="3" t="s">
        <v>803</v>
      </c>
      <c r="C2585" s="3" t="s">
        <v>156</v>
      </c>
      <c r="D2585" s="3" t="s">
        <v>83</v>
      </c>
      <c r="E2585" s="3" t="s">
        <v>48</v>
      </c>
      <c r="F2585" s="3" t="s">
        <v>62</v>
      </c>
      <c r="G2585" s="3" t="s">
        <v>55</v>
      </c>
      <c r="H2585" s="3" t="s">
        <v>42</v>
      </c>
      <c r="I2585" s="3" t="s">
        <v>72</v>
      </c>
      <c r="J2585" s="3" t="n">
        <v>18</v>
      </c>
      <c r="K2585" s="3" t="n">
        <v>500.3</v>
      </c>
      <c r="L2585" s="3" t="n">
        <v>9005.4</v>
      </c>
      <c r="M2585" s="3" t="n">
        <v>0.0547</v>
      </c>
      <c r="N2585" s="3" t="n">
        <v>492.6</v>
      </c>
      <c r="O2585" s="3" t="n">
        <v>8512.8</v>
      </c>
      <c r="P2585" s="3" t="n">
        <v>4952.97</v>
      </c>
      <c r="Q2585" s="3" t="n">
        <v>3559.83</v>
      </c>
      <c r="R2585" s="3" t="n">
        <v>0.4182</v>
      </c>
      <c r="S2585" s="3" t="n">
        <v>0.051</v>
      </c>
      <c r="T2585" s="3" t="n">
        <v>0.0037</v>
      </c>
    </row>
    <row r="2586" customFormat="false" ht="15" hidden="false" customHeight="true" outlineLevel="0" collapsed="false">
      <c r="A2586" s="3" t="s">
        <v>3651</v>
      </c>
      <c r="B2586" s="3" t="s">
        <v>471</v>
      </c>
      <c r="C2586" s="3" t="s">
        <v>93</v>
      </c>
      <c r="D2586" s="3" t="s">
        <v>107</v>
      </c>
      <c r="E2586" s="3" t="s">
        <v>33</v>
      </c>
      <c r="F2586" s="3" t="s">
        <v>70</v>
      </c>
      <c r="G2586" s="3" t="s">
        <v>34</v>
      </c>
      <c r="H2586" s="3" t="s">
        <v>77</v>
      </c>
      <c r="I2586" s="3" t="s">
        <v>131</v>
      </c>
      <c r="J2586" s="3" t="n">
        <v>5</v>
      </c>
      <c r="K2586" s="3" t="n">
        <v>2713.02</v>
      </c>
      <c r="L2586" s="3" t="n">
        <v>13565.1</v>
      </c>
      <c r="M2586" s="3" t="n">
        <v>0.1315</v>
      </c>
      <c r="N2586" s="3" t="n">
        <v>1783.81</v>
      </c>
      <c r="O2586" s="3" t="n">
        <v>11781.29</v>
      </c>
      <c r="P2586" s="3" t="n">
        <v>9224.27</v>
      </c>
      <c r="Q2586" s="3" t="n">
        <v>2557.02</v>
      </c>
      <c r="R2586" s="3" t="n">
        <v>0.217</v>
      </c>
      <c r="S2586" s="3" t="n">
        <v>0.1216</v>
      </c>
      <c r="T2586" s="3" t="n">
        <v>0.0099</v>
      </c>
    </row>
    <row r="2587" customFormat="false" ht="15" hidden="false" customHeight="true" outlineLevel="0" collapsed="false">
      <c r="A2587" s="3" t="s">
        <v>3652</v>
      </c>
      <c r="B2587" s="3" t="s">
        <v>2059</v>
      </c>
      <c r="C2587" s="3" t="s">
        <v>46</v>
      </c>
      <c r="D2587" s="3" t="s">
        <v>61</v>
      </c>
      <c r="E2587" s="3" t="s">
        <v>33</v>
      </c>
      <c r="F2587" s="3" t="s">
        <v>62</v>
      </c>
      <c r="G2587" s="3" t="s">
        <v>84</v>
      </c>
      <c r="H2587" s="3" t="s">
        <v>56</v>
      </c>
      <c r="I2587" s="3" t="s">
        <v>188</v>
      </c>
      <c r="J2587" s="3" t="n">
        <v>45</v>
      </c>
      <c r="K2587" s="3" t="n">
        <v>12078</v>
      </c>
      <c r="L2587" s="3" t="n">
        <v>543510</v>
      </c>
      <c r="M2587" s="3" t="n">
        <v>0.0579</v>
      </c>
      <c r="N2587" s="3" t="n">
        <v>31469.23</v>
      </c>
      <c r="O2587" s="3" t="n">
        <v>512040.77</v>
      </c>
      <c r="P2587" s="3" t="n">
        <v>326106</v>
      </c>
      <c r="Q2587" s="3" t="n">
        <v>185934.77</v>
      </c>
      <c r="R2587" s="3" t="n">
        <v>0.3631</v>
      </c>
      <c r="S2587" s="3" t="n">
        <v>0.0479</v>
      </c>
      <c r="T2587" s="3" t="n">
        <v>0.01</v>
      </c>
    </row>
    <row r="2588" customFormat="false" ht="15" hidden="false" customHeight="true" outlineLevel="0" collapsed="false">
      <c r="A2588" s="3" t="s">
        <v>3653</v>
      </c>
      <c r="B2588" s="3" t="s">
        <v>2551</v>
      </c>
      <c r="C2588" s="3" t="s">
        <v>46</v>
      </c>
      <c r="D2588" s="3" t="s">
        <v>97</v>
      </c>
      <c r="E2588" s="3" t="s">
        <v>48</v>
      </c>
      <c r="F2588" s="3" t="s">
        <v>40</v>
      </c>
      <c r="G2588" s="3" t="s">
        <v>100</v>
      </c>
      <c r="H2588" s="3" t="s">
        <v>64</v>
      </c>
      <c r="I2588" s="3" t="s">
        <v>108</v>
      </c>
      <c r="J2588" s="3" t="n">
        <v>6</v>
      </c>
      <c r="K2588" s="3" t="n">
        <v>8337.81</v>
      </c>
      <c r="L2588" s="3" t="n">
        <v>50026.86</v>
      </c>
      <c r="M2588" s="3" t="n">
        <v>0.0434</v>
      </c>
      <c r="N2588" s="3" t="n">
        <v>2171.17</v>
      </c>
      <c r="O2588" s="3" t="n">
        <v>47855.69</v>
      </c>
      <c r="P2588" s="3" t="n">
        <v>29015.58</v>
      </c>
      <c r="Q2588" s="3" t="n">
        <v>18840.11</v>
      </c>
      <c r="R2588" s="3" t="n">
        <v>0.3937</v>
      </c>
      <c r="S2588" s="3" t="n">
        <v>0.0372</v>
      </c>
      <c r="T2588" s="3" t="n">
        <v>0.0062</v>
      </c>
    </row>
    <row r="2589" customFormat="false" ht="15" hidden="false" customHeight="true" outlineLevel="0" collapsed="false">
      <c r="A2589" s="3" t="s">
        <v>3654</v>
      </c>
      <c r="B2589" s="3" t="s">
        <v>3655</v>
      </c>
      <c r="C2589" s="3" t="s">
        <v>22</v>
      </c>
      <c r="D2589" s="3" t="s">
        <v>54</v>
      </c>
      <c r="E2589" s="3" t="s">
        <v>24</v>
      </c>
      <c r="F2589" s="3" t="s">
        <v>40</v>
      </c>
      <c r="G2589" s="3" t="s">
        <v>116</v>
      </c>
      <c r="H2589" s="3" t="s">
        <v>27</v>
      </c>
      <c r="I2589" s="3" t="s">
        <v>94</v>
      </c>
      <c r="J2589" s="3" t="n">
        <v>23</v>
      </c>
      <c r="K2589" s="3" t="n">
        <v>25867.02</v>
      </c>
      <c r="L2589" s="3" t="n">
        <v>594941.46</v>
      </c>
      <c r="M2589" s="3" t="n">
        <v>0.0892</v>
      </c>
      <c r="N2589" s="3" t="n">
        <v>53068.78</v>
      </c>
      <c r="O2589" s="3" t="n">
        <v>541872.68</v>
      </c>
      <c r="P2589" s="3" t="n">
        <v>368863.71</v>
      </c>
      <c r="Q2589" s="3" t="n">
        <v>173008.97</v>
      </c>
      <c r="R2589" s="3" t="n">
        <v>0.3193</v>
      </c>
      <c r="S2589" s="3" t="n">
        <v>0.0909</v>
      </c>
      <c r="T2589" s="3" t="n">
        <v>-0.0017</v>
      </c>
    </row>
    <row r="2590" customFormat="false" ht="15" hidden="false" customHeight="true" outlineLevel="0" collapsed="false">
      <c r="A2590" s="3" t="s">
        <v>3656</v>
      </c>
      <c r="B2590" s="3" t="s">
        <v>3118</v>
      </c>
      <c r="C2590" s="3" t="s">
        <v>46</v>
      </c>
      <c r="D2590" s="3" t="s">
        <v>61</v>
      </c>
      <c r="E2590" s="3" t="s">
        <v>33</v>
      </c>
      <c r="F2590" s="3" t="s">
        <v>62</v>
      </c>
      <c r="G2590" s="3" t="s">
        <v>76</v>
      </c>
      <c r="H2590" s="3" t="s">
        <v>42</v>
      </c>
      <c r="I2590" s="3" t="s">
        <v>134</v>
      </c>
      <c r="J2590" s="3" t="n">
        <v>40</v>
      </c>
      <c r="K2590" s="3" t="n">
        <v>1449.37</v>
      </c>
      <c r="L2590" s="3" t="n">
        <v>57974.8</v>
      </c>
      <c r="M2590" s="3" t="n">
        <v>0.0496</v>
      </c>
      <c r="N2590" s="3" t="n">
        <v>2875.55</v>
      </c>
      <c r="O2590" s="3" t="n">
        <v>55099.25</v>
      </c>
      <c r="P2590" s="3" t="n">
        <v>31886.14</v>
      </c>
      <c r="Q2590" s="3" t="n">
        <v>23213.11</v>
      </c>
      <c r="R2590" s="3" t="n">
        <v>0.4213</v>
      </c>
      <c r="S2590" s="3" t="n">
        <v>0.0434</v>
      </c>
      <c r="T2590" s="3" t="n">
        <v>0.0062</v>
      </c>
    </row>
    <row r="2591" customFormat="false" ht="15" hidden="false" customHeight="true" outlineLevel="0" collapsed="false">
      <c r="A2591" s="3" t="s">
        <v>3657</v>
      </c>
      <c r="B2591" s="3" t="s">
        <v>243</v>
      </c>
      <c r="C2591" s="3" t="s">
        <v>156</v>
      </c>
      <c r="D2591" s="3" t="s">
        <v>23</v>
      </c>
      <c r="E2591" s="3" t="s">
        <v>24</v>
      </c>
      <c r="F2591" s="3" t="s">
        <v>25</v>
      </c>
      <c r="G2591" s="3" t="s">
        <v>104</v>
      </c>
      <c r="H2591" s="3" t="s">
        <v>27</v>
      </c>
      <c r="I2591" s="3" t="s">
        <v>173</v>
      </c>
      <c r="J2591" s="3" t="n">
        <v>31</v>
      </c>
      <c r="K2591" s="3" t="n">
        <v>28691.6</v>
      </c>
      <c r="L2591" s="3" t="n">
        <v>889439.6</v>
      </c>
      <c r="M2591" s="3" t="n">
        <v>0.1365</v>
      </c>
      <c r="N2591" s="3" t="n">
        <v>121408.51</v>
      </c>
      <c r="O2591" s="3" t="n">
        <v>768031.09</v>
      </c>
      <c r="P2591" s="3" t="n">
        <v>551452.55</v>
      </c>
      <c r="Q2591" s="3" t="n">
        <v>216578.54</v>
      </c>
      <c r="R2591" s="3" t="n">
        <v>0.282</v>
      </c>
      <c r="S2591" s="3" t="n">
        <v>0.1385</v>
      </c>
      <c r="T2591" s="3" t="n">
        <v>-0.002</v>
      </c>
    </row>
    <row r="2592" customFormat="false" ht="15" hidden="false" customHeight="true" outlineLevel="0" collapsed="false">
      <c r="A2592" s="3" t="s">
        <v>3658</v>
      </c>
      <c r="B2592" s="3" t="s">
        <v>1065</v>
      </c>
      <c r="C2592" s="3" t="s">
        <v>53</v>
      </c>
      <c r="D2592" s="3" t="s">
        <v>103</v>
      </c>
      <c r="E2592" s="3" t="s">
        <v>24</v>
      </c>
      <c r="F2592" s="3" t="s">
        <v>62</v>
      </c>
      <c r="G2592" s="3" t="s">
        <v>100</v>
      </c>
      <c r="H2592" s="3" t="s">
        <v>42</v>
      </c>
      <c r="I2592" s="3" t="s">
        <v>43</v>
      </c>
      <c r="J2592" s="3" t="n">
        <v>2</v>
      </c>
      <c r="K2592" s="3" t="n">
        <v>1467.02</v>
      </c>
      <c r="L2592" s="3" t="n">
        <v>2934.04</v>
      </c>
      <c r="M2592" s="3" t="n">
        <v>0.0797</v>
      </c>
      <c r="N2592" s="3" t="n">
        <v>233.84</v>
      </c>
      <c r="O2592" s="3" t="n">
        <v>2700.2</v>
      </c>
      <c r="P2592" s="3" t="n">
        <v>1613.72</v>
      </c>
      <c r="Q2592" s="3" t="n">
        <v>1086.48</v>
      </c>
      <c r="R2592" s="3" t="n">
        <v>0.4024</v>
      </c>
      <c r="S2592" s="3" t="n">
        <v>0.0782</v>
      </c>
      <c r="T2592" s="3" t="n">
        <v>0.0015</v>
      </c>
    </row>
    <row r="2593" customFormat="false" ht="15" hidden="false" customHeight="true" outlineLevel="0" collapsed="false">
      <c r="A2593" s="3" t="s">
        <v>3659</v>
      </c>
      <c r="B2593" s="3" t="s">
        <v>1682</v>
      </c>
      <c r="C2593" s="3" t="s">
        <v>46</v>
      </c>
      <c r="D2593" s="3" t="s">
        <v>97</v>
      </c>
      <c r="E2593" s="3" t="s">
        <v>48</v>
      </c>
      <c r="F2593" s="3" t="s">
        <v>40</v>
      </c>
      <c r="G2593" s="3" t="s">
        <v>41</v>
      </c>
      <c r="H2593" s="3" t="s">
        <v>56</v>
      </c>
      <c r="I2593" s="3" t="s">
        <v>188</v>
      </c>
      <c r="J2593" s="3" t="n">
        <v>35</v>
      </c>
      <c r="K2593" s="3" t="n">
        <v>3302.96</v>
      </c>
      <c r="L2593" s="3" t="n">
        <v>115603.6</v>
      </c>
      <c r="M2593" s="3" t="n">
        <v>0.0596</v>
      </c>
      <c r="N2593" s="3" t="n">
        <v>6889.97</v>
      </c>
      <c r="O2593" s="3" t="n">
        <v>108713.63</v>
      </c>
      <c r="P2593" s="3" t="n">
        <v>69362.16</v>
      </c>
      <c r="Q2593" s="3" t="n">
        <v>39351.47</v>
      </c>
      <c r="R2593" s="3" t="n">
        <v>0.362</v>
      </c>
      <c r="S2593" s="3" t="n">
        <v>0.0547</v>
      </c>
      <c r="T2593" s="3" t="n">
        <v>0.0049</v>
      </c>
    </row>
    <row r="2594" customFormat="false" ht="15" hidden="false" customHeight="true" outlineLevel="0" collapsed="false">
      <c r="A2594" s="3" t="s">
        <v>3660</v>
      </c>
      <c r="B2594" s="3" t="s">
        <v>125</v>
      </c>
      <c r="C2594" s="3" t="s">
        <v>126</v>
      </c>
      <c r="D2594" s="3" t="s">
        <v>75</v>
      </c>
      <c r="E2594" s="3" t="s">
        <v>39</v>
      </c>
      <c r="F2594" s="3" t="s">
        <v>25</v>
      </c>
      <c r="G2594" s="3" t="s">
        <v>100</v>
      </c>
      <c r="H2594" s="3" t="s">
        <v>27</v>
      </c>
      <c r="I2594" s="3" t="s">
        <v>117</v>
      </c>
      <c r="J2594" s="3" t="n">
        <v>35</v>
      </c>
      <c r="K2594" s="3" t="n">
        <v>19895.9</v>
      </c>
      <c r="L2594" s="3" t="n">
        <v>696356.5</v>
      </c>
      <c r="M2594" s="3" t="n">
        <v>0.1525</v>
      </c>
      <c r="N2594" s="3" t="n">
        <v>106194.37</v>
      </c>
      <c r="O2594" s="3" t="n">
        <v>590162.13</v>
      </c>
      <c r="P2594" s="3" t="n">
        <v>431741.03</v>
      </c>
      <c r="Q2594" s="3" t="n">
        <v>158421.1</v>
      </c>
      <c r="R2594" s="3" t="n">
        <v>0.2684</v>
      </c>
      <c r="S2594" s="3" t="n">
        <v>0.1507</v>
      </c>
      <c r="T2594" s="3" t="n">
        <v>0.0018</v>
      </c>
    </row>
    <row r="2595" customFormat="false" ht="15" hidden="false" customHeight="true" outlineLevel="0" collapsed="false">
      <c r="A2595" s="3" t="s">
        <v>3661</v>
      </c>
      <c r="B2595" s="3" t="s">
        <v>972</v>
      </c>
      <c r="C2595" s="3" t="s">
        <v>60</v>
      </c>
      <c r="D2595" s="3" t="s">
        <v>97</v>
      </c>
      <c r="E2595" s="3" t="s">
        <v>48</v>
      </c>
      <c r="F2595" s="3" t="s">
        <v>40</v>
      </c>
      <c r="G2595" s="3" t="s">
        <v>100</v>
      </c>
      <c r="H2595" s="3" t="s">
        <v>27</v>
      </c>
      <c r="I2595" s="3" t="s">
        <v>173</v>
      </c>
      <c r="J2595" s="3" t="n">
        <v>10</v>
      </c>
      <c r="K2595" s="3" t="n">
        <v>25295.52</v>
      </c>
      <c r="L2595" s="3" t="n">
        <v>252955.2</v>
      </c>
      <c r="M2595" s="3" t="n">
        <v>0.0496</v>
      </c>
      <c r="N2595" s="3" t="n">
        <v>12546.58</v>
      </c>
      <c r="O2595" s="3" t="n">
        <v>240408.62</v>
      </c>
      <c r="P2595" s="3" t="n">
        <v>156832.22</v>
      </c>
      <c r="Q2595" s="3" t="n">
        <v>83576.4</v>
      </c>
      <c r="R2595" s="3" t="n">
        <v>0.3476</v>
      </c>
      <c r="S2595" s="3" t="n">
        <v>0.0487</v>
      </c>
      <c r="T2595" s="3" t="n">
        <v>0.0009</v>
      </c>
    </row>
    <row r="2596" customFormat="false" ht="15" hidden="false" customHeight="true" outlineLevel="0" collapsed="false">
      <c r="A2596" s="3" t="s">
        <v>3662</v>
      </c>
      <c r="B2596" s="3" t="s">
        <v>2889</v>
      </c>
      <c r="C2596" s="3" t="s">
        <v>113</v>
      </c>
      <c r="D2596" s="3" t="s">
        <v>103</v>
      </c>
      <c r="E2596" s="3" t="s">
        <v>24</v>
      </c>
      <c r="F2596" s="3" t="s">
        <v>62</v>
      </c>
      <c r="G2596" s="3" t="s">
        <v>76</v>
      </c>
      <c r="H2596" s="3" t="s">
        <v>27</v>
      </c>
      <c r="I2596" s="3" t="s">
        <v>173</v>
      </c>
      <c r="J2596" s="3" t="n">
        <v>46</v>
      </c>
      <c r="K2596" s="3" t="n">
        <v>30145.57</v>
      </c>
      <c r="L2596" s="3" t="n">
        <v>1386696.22</v>
      </c>
      <c r="M2596" s="3" t="n">
        <v>0.06</v>
      </c>
      <c r="N2596" s="3" t="n">
        <v>83201.77</v>
      </c>
      <c r="O2596" s="3" t="n">
        <v>1303494.45</v>
      </c>
      <c r="P2596" s="3" t="n">
        <v>859751.66</v>
      </c>
      <c r="Q2596" s="3" t="n">
        <v>443742.79</v>
      </c>
      <c r="R2596" s="3" t="n">
        <v>0.3404</v>
      </c>
      <c r="S2596" s="3" t="n">
        <v>0.061</v>
      </c>
      <c r="T2596" s="3" t="n">
        <v>-0.001</v>
      </c>
    </row>
    <row r="2597" customFormat="false" ht="15" hidden="false" customHeight="true" outlineLevel="0" collapsed="false">
      <c r="A2597" s="3" t="s">
        <v>3663</v>
      </c>
      <c r="B2597" s="3" t="s">
        <v>984</v>
      </c>
      <c r="C2597" s="3" t="s">
        <v>53</v>
      </c>
      <c r="D2597" s="3" t="s">
        <v>103</v>
      </c>
      <c r="E2597" s="3" t="s">
        <v>24</v>
      </c>
      <c r="F2597" s="3" t="s">
        <v>62</v>
      </c>
      <c r="G2597" s="3" t="s">
        <v>34</v>
      </c>
      <c r="H2597" s="3" t="s">
        <v>77</v>
      </c>
      <c r="I2597" s="3" t="s">
        <v>131</v>
      </c>
      <c r="J2597" s="3" t="n">
        <v>13</v>
      </c>
      <c r="K2597" s="3" t="n">
        <v>1466.37</v>
      </c>
      <c r="L2597" s="3" t="n">
        <v>19062.81</v>
      </c>
      <c r="M2597" s="3" t="n">
        <v>0.099</v>
      </c>
      <c r="N2597" s="3" t="n">
        <v>1887.22</v>
      </c>
      <c r="O2597" s="3" t="n">
        <v>17175.59</v>
      </c>
      <c r="P2597" s="3" t="n">
        <v>12962.71</v>
      </c>
      <c r="Q2597" s="3" t="n">
        <v>4212.88</v>
      </c>
      <c r="R2597" s="3" t="n">
        <v>0.2453</v>
      </c>
      <c r="S2597" s="3" t="n">
        <v>0.1044</v>
      </c>
      <c r="T2597" s="3" t="n">
        <v>-0.0054</v>
      </c>
    </row>
    <row r="2598" customFormat="false" ht="15" hidden="false" customHeight="true" outlineLevel="0" collapsed="false">
      <c r="A2598" s="3" t="s">
        <v>3664</v>
      </c>
      <c r="B2598" s="3" t="s">
        <v>3665</v>
      </c>
      <c r="C2598" s="3" t="s">
        <v>93</v>
      </c>
      <c r="D2598" s="3" t="s">
        <v>107</v>
      </c>
      <c r="E2598" s="3" t="s">
        <v>33</v>
      </c>
      <c r="F2598" s="3" t="s">
        <v>70</v>
      </c>
      <c r="G2598" s="3" t="s">
        <v>63</v>
      </c>
      <c r="H2598" s="3" t="s">
        <v>56</v>
      </c>
      <c r="I2598" s="3" t="s">
        <v>188</v>
      </c>
      <c r="J2598" s="3" t="n">
        <v>33</v>
      </c>
      <c r="K2598" s="3" t="n">
        <v>9798.11</v>
      </c>
      <c r="L2598" s="3" t="n">
        <v>323337.63</v>
      </c>
      <c r="M2598" s="3" t="n">
        <v>0.066</v>
      </c>
      <c r="N2598" s="3" t="n">
        <v>21340.28</v>
      </c>
      <c r="O2598" s="3" t="n">
        <v>301997.35</v>
      </c>
      <c r="P2598" s="3" t="n">
        <v>194002.58</v>
      </c>
      <c r="Q2598" s="3" t="n">
        <v>107994.77</v>
      </c>
      <c r="R2598" s="3" t="n">
        <v>0.3576</v>
      </c>
      <c r="S2598" s="3" t="n">
        <v>0.0724</v>
      </c>
      <c r="T2598" s="3" t="n">
        <v>-0.0064</v>
      </c>
    </row>
    <row r="2599" customFormat="false" ht="15" hidden="false" customHeight="true" outlineLevel="0" collapsed="false">
      <c r="A2599" s="3" t="s">
        <v>3666</v>
      </c>
      <c r="B2599" s="3" t="s">
        <v>400</v>
      </c>
      <c r="C2599" s="3" t="s">
        <v>126</v>
      </c>
      <c r="D2599" s="3" t="s">
        <v>32</v>
      </c>
      <c r="E2599" s="3" t="s">
        <v>33</v>
      </c>
      <c r="F2599" s="3" t="s">
        <v>25</v>
      </c>
      <c r="G2599" s="3" t="s">
        <v>104</v>
      </c>
      <c r="H2599" s="3" t="s">
        <v>56</v>
      </c>
      <c r="I2599" s="3" t="s">
        <v>188</v>
      </c>
      <c r="J2599" s="3" t="n">
        <v>46</v>
      </c>
      <c r="K2599" s="3" t="n">
        <v>17664.77</v>
      </c>
      <c r="L2599" s="3" t="n">
        <v>812579.42</v>
      </c>
      <c r="M2599" s="3" t="n">
        <v>0.1555</v>
      </c>
      <c r="N2599" s="3" t="n">
        <v>126356.1</v>
      </c>
      <c r="O2599" s="3" t="n">
        <v>686223.32</v>
      </c>
      <c r="P2599" s="3" t="n">
        <v>487547.65</v>
      </c>
      <c r="Q2599" s="3" t="n">
        <v>198675.67</v>
      </c>
      <c r="R2599" s="3" t="n">
        <v>0.2895</v>
      </c>
      <c r="S2599" s="3" t="n">
        <v>0.1648</v>
      </c>
      <c r="T2599" s="3" t="n">
        <v>-0.0093</v>
      </c>
    </row>
    <row r="2600" customFormat="false" ht="15" hidden="false" customHeight="true" outlineLevel="0" collapsed="false">
      <c r="A2600" s="3" t="s">
        <v>3667</v>
      </c>
      <c r="B2600" s="3" t="s">
        <v>45</v>
      </c>
      <c r="C2600" s="3" t="s">
        <v>46</v>
      </c>
      <c r="D2600" s="3" t="s">
        <v>61</v>
      </c>
      <c r="E2600" s="3" t="s">
        <v>33</v>
      </c>
      <c r="F2600" s="3" t="s">
        <v>62</v>
      </c>
      <c r="G2600" s="3" t="s">
        <v>71</v>
      </c>
      <c r="H2600" s="3" t="s">
        <v>27</v>
      </c>
      <c r="I2600" s="3" t="s">
        <v>117</v>
      </c>
      <c r="J2600" s="3" t="n">
        <v>10</v>
      </c>
      <c r="K2600" s="3" t="n">
        <v>35397.08</v>
      </c>
      <c r="L2600" s="3" t="n">
        <v>353970.8</v>
      </c>
      <c r="M2600" s="3" t="n">
        <v>0.0705</v>
      </c>
      <c r="N2600" s="3" t="n">
        <v>24954.94</v>
      </c>
      <c r="O2600" s="3" t="n">
        <v>329015.86</v>
      </c>
      <c r="P2600" s="3" t="n">
        <v>219461.9</v>
      </c>
      <c r="Q2600" s="3" t="n">
        <v>109553.96</v>
      </c>
      <c r="R2600" s="3" t="n">
        <v>0.333</v>
      </c>
      <c r="S2600" s="3" t="n">
        <v>0.0586</v>
      </c>
      <c r="T2600" s="3" t="n">
        <v>0.0119</v>
      </c>
    </row>
    <row r="2601" customFormat="false" ht="15" hidden="false" customHeight="true" outlineLevel="0" collapsed="false">
      <c r="A2601" s="3" t="s">
        <v>3668</v>
      </c>
      <c r="B2601" s="3" t="s">
        <v>3669</v>
      </c>
      <c r="C2601" s="3" t="s">
        <v>46</v>
      </c>
      <c r="D2601" s="3" t="s">
        <v>103</v>
      </c>
      <c r="E2601" s="3" t="s">
        <v>24</v>
      </c>
      <c r="F2601" s="3" t="s">
        <v>62</v>
      </c>
      <c r="G2601" s="3" t="s">
        <v>100</v>
      </c>
      <c r="H2601" s="3" t="s">
        <v>56</v>
      </c>
      <c r="I2601" s="3" t="s">
        <v>57</v>
      </c>
      <c r="J2601" s="3" t="n">
        <v>4</v>
      </c>
      <c r="K2601" s="3" t="n">
        <v>7416.05</v>
      </c>
      <c r="L2601" s="3" t="n">
        <v>29664.2</v>
      </c>
      <c r="M2601" s="3" t="n">
        <v>0.0471</v>
      </c>
      <c r="N2601" s="3" t="n">
        <v>1397.18</v>
      </c>
      <c r="O2601" s="3" t="n">
        <v>28267.02</v>
      </c>
      <c r="P2601" s="3" t="n">
        <v>17798.52</v>
      </c>
      <c r="Q2601" s="3" t="n">
        <v>10468.5</v>
      </c>
      <c r="R2601" s="3" t="n">
        <v>0.3703</v>
      </c>
      <c r="S2601" s="3" t="n">
        <v>0.0411</v>
      </c>
      <c r="T2601" s="3" t="n">
        <v>0.006</v>
      </c>
    </row>
    <row r="2602" customFormat="false" ht="15" hidden="false" customHeight="true" outlineLevel="0" collapsed="false">
      <c r="A2602" s="3" t="s">
        <v>3670</v>
      </c>
      <c r="B2602" s="3" t="s">
        <v>2190</v>
      </c>
      <c r="C2602" s="3" t="s">
        <v>60</v>
      </c>
      <c r="D2602" s="3" t="s">
        <v>23</v>
      </c>
      <c r="E2602" s="3" t="s">
        <v>24</v>
      </c>
      <c r="F2602" s="3" t="s">
        <v>25</v>
      </c>
      <c r="G2602" s="3" t="s">
        <v>55</v>
      </c>
      <c r="H2602" s="3" t="s">
        <v>27</v>
      </c>
      <c r="I2602" s="3" t="s">
        <v>28</v>
      </c>
      <c r="J2602" s="3" t="n">
        <v>3</v>
      </c>
      <c r="K2602" s="3" t="n">
        <v>28998.33</v>
      </c>
      <c r="L2602" s="3" t="n">
        <v>86994.99</v>
      </c>
      <c r="M2602" s="3" t="n">
        <v>0.1211</v>
      </c>
      <c r="N2602" s="3" t="n">
        <v>10535.09</v>
      </c>
      <c r="O2602" s="3" t="n">
        <v>76459.9</v>
      </c>
      <c r="P2602" s="3" t="n">
        <v>53936.89</v>
      </c>
      <c r="Q2602" s="3" t="n">
        <v>22523.01</v>
      </c>
      <c r="R2602" s="3" t="n">
        <v>0.2946</v>
      </c>
      <c r="S2602" s="3" t="n">
        <v>0.1023</v>
      </c>
      <c r="T2602" s="3" t="n">
        <v>0.0188</v>
      </c>
    </row>
    <row r="2603" customFormat="false" ht="15" hidden="false" customHeight="true" outlineLevel="0" collapsed="false">
      <c r="A2603" s="3" t="s">
        <v>3671</v>
      </c>
      <c r="B2603" s="3" t="s">
        <v>1964</v>
      </c>
      <c r="C2603" s="3" t="s">
        <v>46</v>
      </c>
      <c r="D2603" s="3" t="s">
        <v>103</v>
      </c>
      <c r="E2603" s="3" t="s">
        <v>24</v>
      </c>
      <c r="F2603" s="3" t="s">
        <v>62</v>
      </c>
      <c r="G2603" s="3" t="s">
        <v>71</v>
      </c>
      <c r="H2603" s="3" t="s">
        <v>64</v>
      </c>
      <c r="I2603" s="3" t="s">
        <v>90</v>
      </c>
      <c r="J2603" s="3" t="n">
        <v>31</v>
      </c>
      <c r="K2603" s="3" t="n">
        <v>3063.09</v>
      </c>
      <c r="L2603" s="3" t="n">
        <v>94955.79</v>
      </c>
      <c r="M2603" s="3" t="n">
        <v>0.0776</v>
      </c>
      <c r="N2603" s="3" t="n">
        <v>7368.57</v>
      </c>
      <c r="O2603" s="3" t="n">
        <v>87587.22</v>
      </c>
      <c r="P2603" s="3" t="n">
        <v>55074.36</v>
      </c>
      <c r="Q2603" s="3" t="n">
        <v>32512.86</v>
      </c>
      <c r="R2603" s="3" t="n">
        <v>0.3712</v>
      </c>
      <c r="S2603" s="3" t="n">
        <v>0.0786</v>
      </c>
      <c r="T2603" s="3" t="n">
        <v>-0.001</v>
      </c>
    </row>
    <row r="2604" customFormat="false" ht="15" hidden="false" customHeight="true" outlineLevel="0" collapsed="false">
      <c r="A2604" s="3" t="s">
        <v>3672</v>
      </c>
      <c r="B2604" s="3" t="s">
        <v>506</v>
      </c>
      <c r="C2604" s="3" t="s">
        <v>60</v>
      </c>
      <c r="D2604" s="3" t="s">
        <v>54</v>
      </c>
      <c r="E2604" s="3" t="s">
        <v>24</v>
      </c>
      <c r="F2604" s="3" t="s">
        <v>40</v>
      </c>
      <c r="G2604" s="3" t="s">
        <v>26</v>
      </c>
      <c r="H2604" s="3" t="s">
        <v>77</v>
      </c>
      <c r="I2604" s="3" t="s">
        <v>85</v>
      </c>
      <c r="J2604" s="3" t="n">
        <v>4</v>
      </c>
      <c r="K2604" s="3" t="n">
        <v>5801.18</v>
      </c>
      <c r="L2604" s="3" t="n">
        <v>23204.72</v>
      </c>
      <c r="M2604" s="3" t="n">
        <v>0.0732</v>
      </c>
      <c r="N2604" s="3" t="n">
        <v>1698.59</v>
      </c>
      <c r="O2604" s="3" t="n">
        <v>21506.13</v>
      </c>
      <c r="P2604" s="3" t="n">
        <v>15779.21</v>
      </c>
      <c r="Q2604" s="3" t="n">
        <v>5726.92</v>
      </c>
      <c r="R2604" s="3" t="n">
        <v>0.2663</v>
      </c>
      <c r="S2604" s="3" t="n">
        <v>0.0787</v>
      </c>
      <c r="T2604" s="3" t="n">
        <v>-0.0055</v>
      </c>
    </row>
    <row r="2605" customFormat="false" ht="15" hidden="false" customHeight="true" outlineLevel="0" collapsed="false">
      <c r="A2605" s="3" t="s">
        <v>3673</v>
      </c>
      <c r="B2605" s="3" t="s">
        <v>1492</v>
      </c>
      <c r="C2605" s="3" t="s">
        <v>37</v>
      </c>
      <c r="D2605" s="3" t="s">
        <v>69</v>
      </c>
      <c r="E2605" s="3" t="s">
        <v>39</v>
      </c>
      <c r="F2605" s="3" t="s">
        <v>70</v>
      </c>
      <c r="G2605" s="3" t="s">
        <v>116</v>
      </c>
      <c r="H2605" s="3" t="s">
        <v>27</v>
      </c>
      <c r="I2605" s="3" t="s">
        <v>173</v>
      </c>
      <c r="J2605" s="3" t="n">
        <v>48</v>
      </c>
      <c r="K2605" s="3" t="n">
        <v>17256.81</v>
      </c>
      <c r="L2605" s="3" t="n">
        <v>828326.88</v>
      </c>
      <c r="M2605" s="3" t="n">
        <v>0.0784</v>
      </c>
      <c r="N2605" s="3" t="n">
        <v>64940.83</v>
      </c>
      <c r="O2605" s="3" t="n">
        <v>763386.05</v>
      </c>
      <c r="P2605" s="3" t="n">
        <v>513562.67</v>
      </c>
      <c r="Q2605" s="3" t="n">
        <v>249823.38</v>
      </c>
      <c r="R2605" s="3" t="n">
        <v>0.3273</v>
      </c>
      <c r="S2605" s="3" t="n">
        <v>0.0798</v>
      </c>
      <c r="T2605" s="3" t="n">
        <v>-0.0014</v>
      </c>
    </row>
    <row r="2606" customFormat="false" ht="15" hidden="false" customHeight="true" outlineLevel="0" collapsed="false">
      <c r="A2606" s="3" t="s">
        <v>3674</v>
      </c>
      <c r="B2606" s="3" t="s">
        <v>3232</v>
      </c>
      <c r="C2606" s="3" t="s">
        <v>31</v>
      </c>
      <c r="D2606" s="3" t="s">
        <v>38</v>
      </c>
      <c r="E2606" s="3" t="s">
        <v>39</v>
      </c>
      <c r="F2606" s="3" t="s">
        <v>40</v>
      </c>
      <c r="G2606" s="3" t="s">
        <v>84</v>
      </c>
      <c r="H2606" s="3" t="s">
        <v>42</v>
      </c>
      <c r="I2606" s="3" t="s">
        <v>134</v>
      </c>
      <c r="J2606" s="3" t="n">
        <v>27</v>
      </c>
      <c r="K2606" s="3" t="n">
        <v>3313.67</v>
      </c>
      <c r="L2606" s="3" t="n">
        <v>89469.09</v>
      </c>
      <c r="M2606" s="3" t="n">
        <v>0.0366</v>
      </c>
      <c r="N2606" s="3" t="n">
        <v>3274.57</v>
      </c>
      <c r="O2606" s="3" t="n">
        <v>86194.52</v>
      </c>
      <c r="P2606" s="3" t="n">
        <v>49208</v>
      </c>
      <c r="Q2606" s="3" t="n">
        <v>36986.52</v>
      </c>
      <c r="R2606" s="3" t="n">
        <v>0.4291</v>
      </c>
      <c r="S2606" s="3" t="n">
        <v>0.0313</v>
      </c>
      <c r="T2606" s="3" t="n">
        <v>0.0053</v>
      </c>
    </row>
    <row r="2607" customFormat="false" ht="15" hidden="false" customHeight="true" outlineLevel="0" collapsed="false">
      <c r="A2607" s="3" t="s">
        <v>3675</v>
      </c>
      <c r="B2607" s="3" t="s">
        <v>657</v>
      </c>
      <c r="C2607" s="3" t="s">
        <v>68</v>
      </c>
      <c r="D2607" s="3" t="s">
        <v>103</v>
      </c>
      <c r="E2607" s="3" t="s">
        <v>24</v>
      </c>
      <c r="F2607" s="3" t="s">
        <v>62</v>
      </c>
      <c r="G2607" s="3" t="s">
        <v>104</v>
      </c>
      <c r="H2607" s="3" t="s">
        <v>56</v>
      </c>
      <c r="I2607" s="3" t="s">
        <v>57</v>
      </c>
      <c r="J2607" s="3" t="n">
        <v>1</v>
      </c>
      <c r="K2607" s="3" t="n">
        <v>7812.83</v>
      </c>
      <c r="L2607" s="3" t="n">
        <v>7812.83</v>
      </c>
      <c r="M2607" s="3" t="n">
        <v>0.0723</v>
      </c>
      <c r="N2607" s="3" t="n">
        <v>564.87</v>
      </c>
      <c r="O2607" s="3" t="n">
        <v>7247.96</v>
      </c>
      <c r="P2607" s="3" t="n">
        <v>4687.7</v>
      </c>
      <c r="Q2607" s="3" t="n">
        <v>2560.26</v>
      </c>
      <c r="R2607" s="3" t="n">
        <v>0.3532</v>
      </c>
      <c r="S2607" s="3" t="n">
        <v>0.0643</v>
      </c>
      <c r="T2607" s="3" t="n">
        <v>0.008</v>
      </c>
    </row>
    <row r="2608" customFormat="false" ht="15" hidden="false" customHeight="true" outlineLevel="0" collapsed="false">
      <c r="A2608" s="3" t="s">
        <v>3676</v>
      </c>
      <c r="B2608" s="3" t="s">
        <v>1889</v>
      </c>
      <c r="C2608" s="3" t="s">
        <v>31</v>
      </c>
      <c r="D2608" s="3" t="s">
        <v>75</v>
      </c>
      <c r="E2608" s="3" t="s">
        <v>39</v>
      </c>
      <c r="F2608" s="3" t="s">
        <v>25</v>
      </c>
      <c r="G2608" s="3" t="s">
        <v>100</v>
      </c>
      <c r="H2608" s="3" t="s">
        <v>42</v>
      </c>
      <c r="I2608" s="3" t="s">
        <v>134</v>
      </c>
      <c r="J2608" s="3" t="n">
        <v>1</v>
      </c>
      <c r="K2608" s="3" t="n">
        <v>3675.26</v>
      </c>
      <c r="L2608" s="3" t="n">
        <v>3675.26</v>
      </c>
      <c r="M2608" s="3" t="n">
        <v>0.1119</v>
      </c>
      <c r="N2608" s="3" t="n">
        <v>411.26</v>
      </c>
      <c r="O2608" s="3" t="n">
        <v>3264</v>
      </c>
      <c r="P2608" s="3" t="n">
        <v>2021.39</v>
      </c>
      <c r="Q2608" s="3" t="n">
        <v>1242.61</v>
      </c>
      <c r="R2608" s="3" t="n">
        <v>0.3807</v>
      </c>
      <c r="S2608" s="3" t="n">
        <v>0.0911</v>
      </c>
      <c r="T2608" s="3" t="n">
        <v>0.0208</v>
      </c>
    </row>
    <row r="2609" customFormat="false" ht="15" hidden="false" customHeight="true" outlineLevel="0" collapsed="false">
      <c r="A2609" s="3" t="s">
        <v>3677</v>
      </c>
      <c r="B2609" s="3" t="s">
        <v>504</v>
      </c>
      <c r="C2609" s="3" t="s">
        <v>68</v>
      </c>
      <c r="D2609" s="3" t="s">
        <v>32</v>
      </c>
      <c r="E2609" s="3" t="s">
        <v>33</v>
      </c>
      <c r="F2609" s="3" t="s">
        <v>25</v>
      </c>
      <c r="G2609" s="3" t="s">
        <v>104</v>
      </c>
      <c r="H2609" s="3" t="s">
        <v>77</v>
      </c>
      <c r="I2609" s="3" t="s">
        <v>131</v>
      </c>
      <c r="J2609" s="3" t="n">
        <v>16</v>
      </c>
      <c r="K2609" s="3" t="n">
        <v>3101.89</v>
      </c>
      <c r="L2609" s="3" t="n">
        <v>49630.24</v>
      </c>
      <c r="M2609" s="3" t="n">
        <v>0.1141</v>
      </c>
      <c r="N2609" s="3" t="n">
        <v>5662.81</v>
      </c>
      <c r="O2609" s="3" t="n">
        <v>43967.43</v>
      </c>
      <c r="P2609" s="3" t="n">
        <v>33748.56</v>
      </c>
      <c r="Q2609" s="3" t="n">
        <v>10218.87</v>
      </c>
      <c r="R2609" s="3" t="n">
        <v>0.2324</v>
      </c>
      <c r="S2609" s="3" t="n">
        <v>0.1217</v>
      </c>
      <c r="T2609" s="3" t="n">
        <v>-0.0076</v>
      </c>
    </row>
    <row r="2610" customFormat="false" ht="15" hidden="false" customHeight="true" outlineLevel="0" collapsed="false">
      <c r="A2610" s="3" t="s">
        <v>3678</v>
      </c>
      <c r="B2610" s="3" t="s">
        <v>1677</v>
      </c>
      <c r="C2610" s="3" t="s">
        <v>156</v>
      </c>
      <c r="D2610" s="3" t="s">
        <v>61</v>
      </c>
      <c r="E2610" s="3" t="s">
        <v>33</v>
      </c>
      <c r="F2610" s="3" t="s">
        <v>62</v>
      </c>
      <c r="G2610" s="3" t="s">
        <v>104</v>
      </c>
      <c r="H2610" s="3" t="s">
        <v>77</v>
      </c>
      <c r="I2610" s="3" t="s">
        <v>78</v>
      </c>
      <c r="J2610" s="3" t="n">
        <v>38</v>
      </c>
      <c r="K2610" s="3" t="n">
        <v>4194.45</v>
      </c>
      <c r="L2610" s="3" t="n">
        <v>159389.1</v>
      </c>
      <c r="M2610" s="3" t="n">
        <v>0.0904</v>
      </c>
      <c r="N2610" s="3" t="n">
        <v>14408.77</v>
      </c>
      <c r="O2610" s="3" t="n">
        <v>144980.33</v>
      </c>
      <c r="P2610" s="3" t="n">
        <v>108384.59</v>
      </c>
      <c r="Q2610" s="3" t="n">
        <v>36595.74</v>
      </c>
      <c r="R2610" s="3" t="n">
        <v>0.2524</v>
      </c>
      <c r="S2610" s="3" t="n">
        <v>0.0884</v>
      </c>
      <c r="T2610" s="3" t="n">
        <v>0.002</v>
      </c>
    </row>
    <row r="2611" customFormat="false" ht="15" hidden="false" customHeight="true" outlineLevel="0" collapsed="false">
      <c r="A2611" s="3" t="s">
        <v>3679</v>
      </c>
      <c r="B2611" s="3" t="s">
        <v>1492</v>
      </c>
      <c r="C2611" s="3" t="s">
        <v>37</v>
      </c>
      <c r="D2611" s="3" t="s">
        <v>75</v>
      </c>
      <c r="E2611" s="3" t="s">
        <v>39</v>
      </c>
      <c r="F2611" s="3" t="s">
        <v>25</v>
      </c>
      <c r="G2611" s="3" t="s">
        <v>71</v>
      </c>
      <c r="H2611" s="3" t="s">
        <v>27</v>
      </c>
      <c r="I2611" s="3" t="s">
        <v>117</v>
      </c>
      <c r="J2611" s="3" t="n">
        <v>24</v>
      </c>
      <c r="K2611" s="3" t="n">
        <v>8922</v>
      </c>
      <c r="L2611" s="3" t="n">
        <v>214128</v>
      </c>
      <c r="M2611" s="3" t="n">
        <v>0.1254</v>
      </c>
      <c r="N2611" s="3" t="n">
        <v>26851.65</v>
      </c>
      <c r="O2611" s="3" t="n">
        <v>187276.35</v>
      </c>
      <c r="P2611" s="3" t="n">
        <v>132759.36</v>
      </c>
      <c r="Q2611" s="3" t="n">
        <v>54516.99</v>
      </c>
      <c r="R2611" s="3" t="n">
        <v>0.2911</v>
      </c>
      <c r="S2611" s="3" t="n">
        <v>0.1063</v>
      </c>
      <c r="T2611" s="3" t="n">
        <v>0.0191</v>
      </c>
    </row>
    <row r="2612" customFormat="false" ht="15" hidden="false" customHeight="true" outlineLevel="0" collapsed="false">
      <c r="A2612" s="3" t="s">
        <v>3680</v>
      </c>
      <c r="B2612" s="3" t="s">
        <v>2320</v>
      </c>
      <c r="C2612" s="3" t="s">
        <v>120</v>
      </c>
      <c r="D2612" s="3" t="s">
        <v>69</v>
      </c>
      <c r="E2612" s="3" t="s">
        <v>39</v>
      </c>
      <c r="F2612" s="3" t="s">
        <v>70</v>
      </c>
      <c r="G2612" s="3" t="s">
        <v>55</v>
      </c>
      <c r="H2612" s="3" t="s">
        <v>77</v>
      </c>
      <c r="I2612" s="3" t="s">
        <v>78</v>
      </c>
      <c r="J2612" s="3" t="n">
        <v>39</v>
      </c>
      <c r="K2612" s="3" t="n">
        <v>3443.96</v>
      </c>
      <c r="L2612" s="3" t="n">
        <v>134314.44</v>
      </c>
      <c r="M2612" s="3" t="n">
        <v>0.0483</v>
      </c>
      <c r="N2612" s="3" t="n">
        <v>6487.39</v>
      </c>
      <c r="O2612" s="3" t="n">
        <v>127827.05</v>
      </c>
      <c r="P2612" s="3" t="n">
        <v>91333.82</v>
      </c>
      <c r="Q2612" s="3" t="n">
        <v>36493.23</v>
      </c>
      <c r="R2612" s="3" t="n">
        <v>0.2855</v>
      </c>
      <c r="S2612" s="3" t="n">
        <v>0.047</v>
      </c>
      <c r="T2612" s="3" t="n">
        <v>0.0013</v>
      </c>
    </row>
    <row r="2613" customFormat="false" ht="15" hidden="false" customHeight="true" outlineLevel="0" collapsed="false">
      <c r="A2613" s="3" t="s">
        <v>3681</v>
      </c>
      <c r="B2613" s="3" t="s">
        <v>1141</v>
      </c>
      <c r="C2613" s="3" t="s">
        <v>37</v>
      </c>
      <c r="D2613" s="3" t="s">
        <v>75</v>
      </c>
      <c r="E2613" s="3" t="s">
        <v>39</v>
      </c>
      <c r="F2613" s="3" t="s">
        <v>25</v>
      </c>
      <c r="G2613" s="3" t="s">
        <v>104</v>
      </c>
      <c r="H2613" s="3" t="s">
        <v>77</v>
      </c>
      <c r="I2613" s="3" t="s">
        <v>131</v>
      </c>
      <c r="J2613" s="3" t="n">
        <v>35</v>
      </c>
      <c r="K2613" s="3" t="n">
        <v>4191.75</v>
      </c>
      <c r="L2613" s="3" t="n">
        <v>146711.25</v>
      </c>
      <c r="M2613" s="3" t="n">
        <v>0.1608</v>
      </c>
      <c r="N2613" s="3" t="n">
        <v>23591.17</v>
      </c>
      <c r="O2613" s="3" t="n">
        <v>123120.08</v>
      </c>
      <c r="P2613" s="3" t="n">
        <v>99763.65</v>
      </c>
      <c r="Q2613" s="3" t="n">
        <v>23356.43</v>
      </c>
      <c r="R2613" s="3" t="n">
        <v>0.1897</v>
      </c>
      <c r="S2613" s="3" t="n">
        <v>0.1729</v>
      </c>
      <c r="T2613" s="3" t="n">
        <v>-0.0121</v>
      </c>
    </row>
    <row r="2614" customFormat="false" ht="15" hidden="false" customHeight="true" outlineLevel="0" collapsed="false">
      <c r="A2614" s="3" t="s">
        <v>3682</v>
      </c>
      <c r="B2614" s="3" t="s">
        <v>306</v>
      </c>
      <c r="C2614" s="3" t="s">
        <v>60</v>
      </c>
      <c r="D2614" s="3" t="s">
        <v>83</v>
      </c>
      <c r="E2614" s="3" t="s">
        <v>48</v>
      </c>
      <c r="F2614" s="3" t="s">
        <v>62</v>
      </c>
      <c r="G2614" s="3" t="s">
        <v>49</v>
      </c>
      <c r="H2614" s="3" t="s">
        <v>42</v>
      </c>
      <c r="I2614" s="3" t="s">
        <v>72</v>
      </c>
      <c r="J2614" s="3" t="n">
        <v>18</v>
      </c>
      <c r="K2614" s="3" t="n">
        <v>1402.26</v>
      </c>
      <c r="L2614" s="3" t="n">
        <v>25240.68</v>
      </c>
      <c r="M2614" s="3" t="n">
        <v>0.0791</v>
      </c>
      <c r="N2614" s="3" t="n">
        <v>1996.54</v>
      </c>
      <c r="O2614" s="3" t="n">
        <v>23244.14</v>
      </c>
      <c r="P2614" s="3" t="n">
        <v>13882.37</v>
      </c>
      <c r="Q2614" s="3" t="n">
        <v>9361.77</v>
      </c>
      <c r="R2614" s="3" t="n">
        <v>0.4028</v>
      </c>
      <c r="S2614" s="3" t="n">
        <v>0.0643</v>
      </c>
      <c r="T2614" s="3" t="n">
        <v>0.0148</v>
      </c>
    </row>
    <row r="2615" customFormat="false" ht="15" hidden="false" customHeight="true" outlineLevel="0" collapsed="false">
      <c r="A2615" s="3" t="s">
        <v>3683</v>
      </c>
      <c r="B2615" s="3" t="s">
        <v>3486</v>
      </c>
      <c r="C2615" s="3" t="s">
        <v>120</v>
      </c>
      <c r="D2615" s="3" t="s">
        <v>54</v>
      </c>
      <c r="E2615" s="3" t="s">
        <v>24</v>
      </c>
      <c r="F2615" s="3" t="s">
        <v>40</v>
      </c>
      <c r="G2615" s="3" t="s">
        <v>76</v>
      </c>
      <c r="H2615" s="3" t="s">
        <v>56</v>
      </c>
      <c r="I2615" s="3" t="s">
        <v>121</v>
      </c>
      <c r="J2615" s="3" t="n">
        <v>22</v>
      </c>
      <c r="K2615" s="3" t="n">
        <v>13095.77</v>
      </c>
      <c r="L2615" s="3" t="n">
        <v>288106.94</v>
      </c>
      <c r="M2615" s="3" t="n">
        <v>0.0413</v>
      </c>
      <c r="N2615" s="3" t="n">
        <v>11898.82</v>
      </c>
      <c r="O2615" s="3" t="n">
        <v>276208.12</v>
      </c>
      <c r="P2615" s="3" t="n">
        <v>172864.16</v>
      </c>
      <c r="Q2615" s="3" t="n">
        <v>103343.96</v>
      </c>
      <c r="R2615" s="3" t="n">
        <v>0.3742</v>
      </c>
      <c r="S2615" s="3" t="n">
        <v>0.0345</v>
      </c>
      <c r="T2615" s="3" t="n">
        <v>0.0068</v>
      </c>
    </row>
    <row r="2616" customFormat="false" ht="15" hidden="false" customHeight="true" outlineLevel="0" collapsed="false">
      <c r="A2616" s="3" t="s">
        <v>3684</v>
      </c>
      <c r="B2616" s="3" t="s">
        <v>3685</v>
      </c>
      <c r="C2616" s="3" t="s">
        <v>113</v>
      </c>
      <c r="D2616" s="3" t="s">
        <v>32</v>
      </c>
      <c r="E2616" s="3" t="s">
        <v>33</v>
      </c>
      <c r="F2616" s="3" t="s">
        <v>25</v>
      </c>
      <c r="G2616" s="3" t="s">
        <v>26</v>
      </c>
      <c r="H2616" s="3" t="s">
        <v>56</v>
      </c>
      <c r="I2616" s="3" t="s">
        <v>188</v>
      </c>
      <c r="J2616" s="3" t="n">
        <v>25</v>
      </c>
      <c r="K2616" s="3" t="n">
        <v>10768.38</v>
      </c>
      <c r="L2616" s="3" t="n">
        <v>269209.5</v>
      </c>
      <c r="M2616" s="3" t="n">
        <v>0.1154</v>
      </c>
      <c r="N2616" s="3" t="n">
        <v>31066.78</v>
      </c>
      <c r="O2616" s="3" t="n">
        <v>238142.72</v>
      </c>
      <c r="P2616" s="3" t="n">
        <v>161525.7</v>
      </c>
      <c r="Q2616" s="3" t="n">
        <v>76617.02</v>
      </c>
      <c r="R2616" s="3" t="n">
        <v>0.3217</v>
      </c>
      <c r="S2616" s="3" t="n">
        <v>0.1022</v>
      </c>
      <c r="T2616" s="3" t="n">
        <v>0.0132</v>
      </c>
    </row>
    <row r="2617" customFormat="false" ht="15" hidden="false" customHeight="true" outlineLevel="0" collapsed="false">
      <c r="A2617" s="3" t="s">
        <v>3686</v>
      </c>
      <c r="B2617" s="3" t="s">
        <v>3687</v>
      </c>
      <c r="C2617" s="3" t="s">
        <v>46</v>
      </c>
      <c r="D2617" s="3" t="s">
        <v>54</v>
      </c>
      <c r="E2617" s="3" t="s">
        <v>24</v>
      </c>
      <c r="F2617" s="3" t="s">
        <v>40</v>
      </c>
      <c r="G2617" s="3" t="s">
        <v>63</v>
      </c>
      <c r="H2617" s="3" t="s">
        <v>42</v>
      </c>
      <c r="I2617" s="3" t="s">
        <v>134</v>
      </c>
      <c r="J2617" s="3" t="n">
        <v>11</v>
      </c>
      <c r="K2617" s="3" t="n">
        <v>1049.15</v>
      </c>
      <c r="L2617" s="3" t="n">
        <v>11540.65</v>
      </c>
      <c r="M2617" s="3" t="n">
        <v>0.0599</v>
      </c>
      <c r="N2617" s="3" t="n">
        <v>691.28</v>
      </c>
      <c r="O2617" s="3" t="n">
        <v>10849.37</v>
      </c>
      <c r="P2617" s="3" t="n">
        <v>6347.36</v>
      </c>
      <c r="Q2617" s="3" t="n">
        <v>4502.01</v>
      </c>
      <c r="R2617" s="3" t="n">
        <v>0.415</v>
      </c>
      <c r="S2617" s="3" t="n">
        <v>0.0506</v>
      </c>
      <c r="T2617" s="3" t="n">
        <v>0.0093</v>
      </c>
    </row>
    <row r="2618" customFormat="false" ht="15" hidden="false" customHeight="true" outlineLevel="0" collapsed="false">
      <c r="A2618" s="3" t="s">
        <v>3688</v>
      </c>
      <c r="B2618" s="3" t="s">
        <v>2840</v>
      </c>
      <c r="C2618" s="3" t="s">
        <v>31</v>
      </c>
      <c r="D2618" s="3" t="s">
        <v>83</v>
      </c>
      <c r="E2618" s="3" t="s">
        <v>48</v>
      </c>
      <c r="F2618" s="3" t="s">
        <v>62</v>
      </c>
      <c r="G2618" s="3" t="s">
        <v>104</v>
      </c>
      <c r="H2618" s="3" t="s">
        <v>56</v>
      </c>
      <c r="I2618" s="3" t="s">
        <v>57</v>
      </c>
      <c r="J2618" s="3" t="n">
        <v>27</v>
      </c>
      <c r="K2618" s="3" t="n">
        <v>7038.36</v>
      </c>
      <c r="L2618" s="3" t="n">
        <v>190035.72</v>
      </c>
      <c r="M2618" s="3" t="n">
        <v>0.0784</v>
      </c>
      <c r="N2618" s="3" t="n">
        <v>14898.8</v>
      </c>
      <c r="O2618" s="3" t="n">
        <v>175136.92</v>
      </c>
      <c r="P2618" s="3" t="n">
        <v>114021.43</v>
      </c>
      <c r="Q2618" s="3" t="n">
        <v>61115.49</v>
      </c>
      <c r="R2618" s="3" t="n">
        <v>0.349</v>
      </c>
      <c r="S2618" s="3" t="n">
        <v>0.0651</v>
      </c>
      <c r="T2618" s="3" t="n">
        <v>0.0133</v>
      </c>
    </row>
    <row r="2619" customFormat="false" ht="15" hidden="false" customHeight="true" outlineLevel="0" collapsed="false">
      <c r="A2619" s="3" t="s">
        <v>3689</v>
      </c>
      <c r="B2619" s="3" t="s">
        <v>596</v>
      </c>
      <c r="C2619" s="3" t="s">
        <v>60</v>
      </c>
      <c r="D2619" s="3" t="s">
        <v>47</v>
      </c>
      <c r="E2619" s="3" t="s">
        <v>48</v>
      </c>
      <c r="F2619" s="3" t="s">
        <v>25</v>
      </c>
      <c r="G2619" s="3" t="s">
        <v>100</v>
      </c>
      <c r="H2619" s="3" t="s">
        <v>64</v>
      </c>
      <c r="I2619" s="3" t="s">
        <v>145</v>
      </c>
      <c r="J2619" s="3" t="n">
        <v>29</v>
      </c>
      <c r="K2619" s="3" t="n">
        <v>6807.51</v>
      </c>
      <c r="L2619" s="3" t="n">
        <v>197417.79</v>
      </c>
      <c r="M2619" s="3" t="n">
        <v>0.1064</v>
      </c>
      <c r="N2619" s="3" t="n">
        <v>21005.25</v>
      </c>
      <c r="O2619" s="3" t="n">
        <v>176412.54</v>
      </c>
      <c r="P2619" s="3" t="n">
        <v>114502.32</v>
      </c>
      <c r="Q2619" s="3" t="n">
        <v>61910.22</v>
      </c>
      <c r="R2619" s="3" t="n">
        <v>0.3509</v>
      </c>
      <c r="S2619" s="3" t="n">
        <v>0.1093</v>
      </c>
      <c r="T2619" s="3" t="n">
        <v>-0.0029</v>
      </c>
    </row>
    <row r="2620" customFormat="false" ht="15" hidden="false" customHeight="true" outlineLevel="0" collapsed="false">
      <c r="A2620" s="3" t="s">
        <v>3690</v>
      </c>
      <c r="B2620" s="3" t="s">
        <v>1008</v>
      </c>
      <c r="C2620" s="3" t="s">
        <v>113</v>
      </c>
      <c r="D2620" s="3" t="s">
        <v>47</v>
      </c>
      <c r="E2620" s="3" t="s">
        <v>48</v>
      </c>
      <c r="F2620" s="3" t="s">
        <v>25</v>
      </c>
      <c r="G2620" s="3" t="s">
        <v>34</v>
      </c>
      <c r="H2620" s="3" t="s">
        <v>27</v>
      </c>
      <c r="I2620" s="3" t="s">
        <v>117</v>
      </c>
      <c r="J2620" s="3" t="n">
        <v>5</v>
      </c>
      <c r="K2620" s="3" t="n">
        <v>19306.22</v>
      </c>
      <c r="L2620" s="3" t="n">
        <v>96531.1</v>
      </c>
      <c r="M2620" s="3" t="n">
        <v>0.1404</v>
      </c>
      <c r="N2620" s="3" t="n">
        <v>13552.97</v>
      </c>
      <c r="O2620" s="3" t="n">
        <v>82978.13</v>
      </c>
      <c r="P2620" s="3" t="n">
        <v>59849.28</v>
      </c>
      <c r="Q2620" s="3" t="n">
        <v>23128.85</v>
      </c>
      <c r="R2620" s="3" t="n">
        <v>0.2787</v>
      </c>
      <c r="S2620" s="3" t="n">
        <v>0.141</v>
      </c>
      <c r="T2620" s="3" t="n">
        <v>-0.0006</v>
      </c>
    </row>
    <row r="2621" customFormat="false" ht="15" hidden="false" customHeight="true" outlineLevel="0" collapsed="false">
      <c r="A2621" s="3" t="s">
        <v>3691</v>
      </c>
      <c r="B2621" s="3" t="s">
        <v>2170</v>
      </c>
      <c r="C2621" s="3" t="s">
        <v>120</v>
      </c>
      <c r="D2621" s="3" t="s">
        <v>61</v>
      </c>
      <c r="E2621" s="3" t="s">
        <v>33</v>
      </c>
      <c r="F2621" s="3" t="s">
        <v>62</v>
      </c>
      <c r="G2621" s="3" t="s">
        <v>71</v>
      </c>
      <c r="H2621" s="3" t="s">
        <v>77</v>
      </c>
      <c r="I2621" s="3" t="s">
        <v>131</v>
      </c>
      <c r="J2621" s="3" t="n">
        <v>6</v>
      </c>
      <c r="K2621" s="3" t="n">
        <v>4684.01</v>
      </c>
      <c r="L2621" s="3" t="n">
        <v>28104.06</v>
      </c>
      <c r="M2621" s="3" t="n">
        <v>0.0512</v>
      </c>
      <c r="N2621" s="3" t="n">
        <v>1438.93</v>
      </c>
      <c r="O2621" s="3" t="n">
        <v>26665.13</v>
      </c>
      <c r="P2621" s="3" t="n">
        <v>19110.76</v>
      </c>
      <c r="Q2621" s="3" t="n">
        <v>7554.37</v>
      </c>
      <c r="R2621" s="3" t="n">
        <v>0.2833</v>
      </c>
      <c r="S2621" s="3" t="n">
        <v>0.0458</v>
      </c>
      <c r="T2621" s="3" t="n">
        <v>0.0054</v>
      </c>
    </row>
    <row r="2622" customFormat="false" ht="15" hidden="false" customHeight="true" outlineLevel="0" collapsed="false">
      <c r="A2622" s="3" t="s">
        <v>3692</v>
      </c>
      <c r="B2622" s="3" t="s">
        <v>253</v>
      </c>
      <c r="C2622" s="3" t="s">
        <v>22</v>
      </c>
      <c r="D2622" s="3" t="s">
        <v>32</v>
      </c>
      <c r="E2622" s="3" t="s">
        <v>33</v>
      </c>
      <c r="F2622" s="3" t="s">
        <v>25</v>
      </c>
      <c r="G2622" s="3" t="s">
        <v>84</v>
      </c>
      <c r="H2622" s="3" t="s">
        <v>42</v>
      </c>
      <c r="I2622" s="3" t="s">
        <v>72</v>
      </c>
      <c r="J2622" s="3" t="n">
        <v>24</v>
      </c>
      <c r="K2622" s="3" t="n">
        <v>2502.29</v>
      </c>
      <c r="L2622" s="3" t="n">
        <v>60054.96</v>
      </c>
      <c r="M2622" s="3" t="n">
        <v>0.0969</v>
      </c>
      <c r="N2622" s="3" t="n">
        <v>5819.33</v>
      </c>
      <c r="O2622" s="3" t="n">
        <v>54235.63</v>
      </c>
      <c r="P2622" s="3" t="n">
        <v>33030.23</v>
      </c>
      <c r="Q2622" s="3" t="n">
        <v>21205.4</v>
      </c>
      <c r="R2622" s="3" t="n">
        <v>0.391</v>
      </c>
      <c r="S2622" s="3" t="n">
        <v>0.0836</v>
      </c>
      <c r="T2622" s="3" t="n">
        <v>0.0133</v>
      </c>
    </row>
    <row r="2623" customFormat="false" ht="15" hidden="false" customHeight="true" outlineLevel="0" collapsed="false">
      <c r="A2623" s="3" t="s">
        <v>3693</v>
      </c>
      <c r="B2623" s="3" t="s">
        <v>494</v>
      </c>
      <c r="C2623" s="3" t="s">
        <v>53</v>
      </c>
      <c r="D2623" s="3" t="s">
        <v>38</v>
      </c>
      <c r="E2623" s="3" t="s">
        <v>39</v>
      </c>
      <c r="F2623" s="3" t="s">
        <v>40</v>
      </c>
      <c r="G2623" s="3" t="s">
        <v>84</v>
      </c>
      <c r="H2623" s="3" t="s">
        <v>42</v>
      </c>
      <c r="I2623" s="3" t="s">
        <v>134</v>
      </c>
      <c r="J2623" s="3" t="n">
        <v>4</v>
      </c>
      <c r="K2623" s="3" t="n">
        <v>2485.09</v>
      </c>
      <c r="L2623" s="3" t="n">
        <v>9940.36</v>
      </c>
      <c r="M2623" s="3" t="n">
        <v>0.0655</v>
      </c>
      <c r="N2623" s="3" t="n">
        <v>651.09</v>
      </c>
      <c r="O2623" s="3" t="n">
        <v>9289.27</v>
      </c>
      <c r="P2623" s="3" t="n">
        <v>5467.2</v>
      </c>
      <c r="Q2623" s="3" t="n">
        <v>3822.07</v>
      </c>
      <c r="R2623" s="3" t="n">
        <v>0.4114</v>
      </c>
      <c r="S2623" s="3" t="n">
        <v>0.0668</v>
      </c>
      <c r="T2623" s="3" t="n">
        <v>-0.0013</v>
      </c>
    </row>
    <row r="2624" customFormat="false" ht="15" hidden="false" customHeight="true" outlineLevel="0" collapsed="false">
      <c r="A2624" s="3" t="s">
        <v>3694</v>
      </c>
      <c r="B2624" s="3" t="s">
        <v>1398</v>
      </c>
      <c r="C2624" s="3" t="s">
        <v>93</v>
      </c>
      <c r="D2624" s="3" t="s">
        <v>103</v>
      </c>
      <c r="E2624" s="3" t="s">
        <v>24</v>
      </c>
      <c r="F2624" s="3" t="s">
        <v>62</v>
      </c>
      <c r="G2624" s="3" t="s">
        <v>71</v>
      </c>
      <c r="H2624" s="3" t="s">
        <v>64</v>
      </c>
      <c r="I2624" s="3" t="s">
        <v>65</v>
      </c>
      <c r="J2624" s="3" t="n">
        <v>45</v>
      </c>
      <c r="K2624" s="3" t="n">
        <v>10304.85</v>
      </c>
      <c r="L2624" s="3" t="n">
        <v>463718.25</v>
      </c>
      <c r="M2624" s="3" t="n">
        <v>0.0769</v>
      </c>
      <c r="N2624" s="3" t="n">
        <v>35659.93</v>
      </c>
      <c r="O2624" s="3" t="n">
        <v>428058.32</v>
      </c>
      <c r="P2624" s="3" t="n">
        <v>268956.58</v>
      </c>
      <c r="Q2624" s="3" t="n">
        <v>159101.74</v>
      </c>
      <c r="R2624" s="3" t="n">
        <v>0.3717</v>
      </c>
      <c r="S2624" s="3" t="n">
        <v>0.075</v>
      </c>
      <c r="T2624" s="3" t="n">
        <v>0.0019</v>
      </c>
    </row>
    <row r="2625" customFormat="false" ht="15" hidden="false" customHeight="true" outlineLevel="0" collapsed="false">
      <c r="A2625" s="3" t="s">
        <v>3695</v>
      </c>
      <c r="B2625" s="3" t="s">
        <v>850</v>
      </c>
      <c r="C2625" s="3" t="s">
        <v>68</v>
      </c>
      <c r="D2625" s="3" t="s">
        <v>103</v>
      </c>
      <c r="E2625" s="3" t="s">
        <v>24</v>
      </c>
      <c r="F2625" s="3" t="s">
        <v>62</v>
      </c>
      <c r="G2625" s="3" t="s">
        <v>55</v>
      </c>
      <c r="H2625" s="3" t="s">
        <v>77</v>
      </c>
      <c r="I2625" s="3" t="s">
        <v>131</v>
      </c>
      <c r="J2625" s="3" t="n">
        <v>6</v>
      </c>
      <c r="K2625" s="3" t="n">
        <v>5681.16</v>
      </c>
      <c r="L2625" s="3" t="n">
        <v>34086.96</v>
      </c>
      <c r="M2625" s="3" t="n">
        <v>0.0679</v>
      </c>
      <c r="N2625" s="3" t="n">
        <v>2314.5</v>
      </c>
      <c r="O2625" s="3" t="n">
        <v>31772.46</v>
      </c>
      <c r="P2625" s="3" t="n">
        <v>23179.13</v>
      </c>
      <c r="Q2625" s="3" t="n">
        <v>8593.33</v>
      </c>
      <c r="R2625" s="3" t="n">
        <v>0.2705</v>
      </c>
      <c r="S2625" s="3" t="n">
        <v>0.0673</v>
      </c>
      <c r="T2625" s="3" t="n">
        <v>0.0006</v>
      </c>
    </row>
    <row r="2626" customFormat="false" ht="15" hidden="false" customHeight="true" outlineLevel="0" collapsed="false">
      <c r="A2626" s="3" t="s">
        <v>3696</v>
      </c>
      <c r="B2626" s="3" t="s">
        <v>629</v>
      </c>
      <c r="C2626" s="3" t="s">
        <v>113</v>
      </c>
      <c r="D2626" s="3" t="s">
        <v>107</v>
      </c>
      <c r="E2626" s="3" t="s">
        <v>33</v>
      </c>
      <c r="F2626" s="3" t="s">
        <v>70</v>
      </c>
      <c r="G2626" s="3" t="s">
        <v>26</v>
      </c>
      <c r="H2626" s="3" t="s">
        <v>77</v>
      </c>
      <c r="I2626" s="3" t="s">
        <v>78</v>
      </c>
      <c r="J2626" s="3" t="n">
        <v>46</v>
      </c>
      <c r="K2626" s="3" t="n">
        <v>5696.3</v>
      </c>
      <c r="L2626" s="3" t="n">
        <v>262029.8</v>
      </c>
      <c r="M2626" s="3" t="n">
        <v>0.0502</v>
      </c>
      <c r="N2626" s="3" t="n">
        <v>13153.9</v>
      </c>
      <c r="O2626" s="3" t="n">
        <v>248875.9</v>
      </c>
      <c r="P2626" s="3" t="n">
        <v>178180.26</v>
      </c>
      <c r="Q2626" s="3" t="n">
        <v>70695.64</v>
      </c>
      <c r="R2626" s="3" t="n">
        <v>0.2841</v>
      </c>
      <c r="S2626" s="3" t="n">
        <v>0.0467</v>
      </c>
      <c r="T2626" s="3" t="n">
        <v>0.0035</v>
      </c>
    </row>
    <row r="2627" customFormat="false" ht="15" hidden="false" customHeight="true" outlineLevel="0" collapsed="false">
      <c r="A2627" s="3" t="s">
        <v>3697</v>
      </c>
      <c r="B2627" s="3" t="s">
        <v>366</v>
      </c>
      <c r="C2627" s="3" t="s">
        <v>93</v>
      </c>
      <c r="D2627" s="3" t="s">
        <v>47</v>
      </c>
      <c r="E2627" s="3" t="s">
        <v>48</v>
      </c>
      <c r="F2627" s="3" t="s">
        <v>25</v>
      </c>
      <c r="G2627" s="3" t="s">
        <v>34</v>
      </c>
      <c r="H2627" s="3" t="s">
        <v>27</v>
      </c>
      <c r="I2627" s="3" t="s">
        <v>94</v>
      </c>
      <c r="J2627" s="3" t="n">
        <v>21</v>
      </c>
      <c r="K2627" s="3" t="n">
        <v>14233.87</v>
      </c>
      <c r="L2627" s="3" t="n">
        <v>298911.27</v>
      </c>
      <c r="M2627" s="3" t="n">
        <v>0.1904</v>
      </c>
      <c r="N2627" s="3" t="n">
        <v>56912.71</v>
      </c>
      <c r="O2627" s="3" t="n">
        <v>241998.56</v>
      </c>
      <c r="P2627" s="3" t="n">
        <v>185324.99</v>
      </c>
      <c r="Q2627" s="3" t="n">
        <v>56673.57</v>
      </c>
      <c r="R2627" s="3" t="n">
        <v>0.2342</v>
      </c>
      <c r="S2627" s="3" t="n">
        <v>0.1749</v>
      </c>
      <c r="T2627" s="3" t="n">
        <v>0.0155</v>
      </c>
    </row>
    <row r="2628" customFormat="false" ht="15" hidden="false" customHeight="true" outlineLevel="0" collapsed="false">
      <c r="A2628" s="3" t="s">
        <v>3698</v>
      </c>
      <c r="B2628" s="3" t="s">
        <v>1855</v>
      </c>
      <c r="C2628" s="3" t="s">
        <v>93</v>
      </c>
      <c r="D2628" s="3" t="s">
        <v>32</v>
      </c>
      <c r="E2628" s="3" t="s">
        <v>33</v>
      </c>
      <c r="F2628" s="3" t="s">
        <v>25</v>
      </c>
      <c r="G2628" s="3" t="s">
        <v>84</v>
      </c>
      <c r="H2628" s="3" t="s">
        <v>42</v>
      </c>
      <c r="I2628" s="3" t="s">
        <v>72</v>
      </c>
      <c r="J2628" s="3" t="n">
        <v>12</v>
      </c>
      <c r="K2628" s="3" t="n">
        <v>672.12</v>
      </c>
      <c r="L2628" s="3" t="n">
        <v>8065.44</v>
      </c>
      <c r="M2628" s="3" t="n">
        <v>0.198</v>
      </c>
      <c r="N2628" s="3" t="n">
        <v>1596.96</v>
      </c>
      <c r="O2628" s="3" t="n">
        <v>6468.48</v>
      </c>
      <c r="P2628" s="3" t="n">
        <v>4435.99</v>
      </c>
      <c r="Q2628" s="3" t="n">
        <v>2032.49</v>
      </c>
      <c r="R2628" s="3" t="n">
        <v>0.3142</v>
      </c>
      <c r="S2628" s="3" t="n">
        <v>0.2088</v>
      </c>
      <c r="T2628" s="3" t="n">
        <v>-0.0108</v>
      </c>
    </row>
    <row r="2629" customFormat="false" ht="15" hidden="false" customHeight="true" outlineLevel="0" collapsed="false">
      <c r="A2629" s="3" t="s">
        <v>3699</v>
      </c>
      <c r="B2629" s="3" t="s">
        <v>778</v>
      </c>
      <c r="C2629" s="3" t="s">
        <v>120</v>
      </c>
      <c r="D2629" s="3" t="s">
        <v>97</v>
      </c>
      <c r="E2629" s="3" t="s">
        <v>48</v>
      </c>
      <c r="F2629" s="3" t="s">
        <v>40</v>
      </c>
      <c r="G2629" s="3" t="s">
        <v>76</v>
      </c>
      <c r="H2629" s="3" t="s">
        <v>27</v>
      </c>
      <c r="I2629" s="3" t="s">
        <v>94</v>
      </c>
      <c r="J2629" s="3" t="n">
        <v>1</v>
      </c>
      <c r="K2629" s="3" t="n">
        <v>15819.54</v>
      </c>
      <c r="L2629" s="3" t="n">
        <v>15819.54</v>
      </c>
      <c r="M2629" s="3" t="n">
        <v>0.0703</v>
      </c>
      <c r="N2629" s="3" t="n">
        <v>1112.11</v>
      </c>
      <c r="O2629" s="3" t="n">
        <v>14707.43</v>
      </c>
      <c r="P2629" s="3" t="n">
        <v>9808.11</v>
      </c>
      <c r="Q2629" s="3" t="n">
        <v>4899.32</v>
      </c>
      <c r="R2629" s="3" t="n">
        <v>0.3331</v>
      </c>
      <c r="S2629" s="3" t="n">
        <v>0.0681</v>
      </c>
      <c r="T2629" s="3" t="n">
        <v>0.0022</v>
      </c>
    </row>
    <row r="2630" customFormat="false" ht="15" hidden="false" customHeight="true" outlineLevel="0" collapsed="false">
      <c r="A2630" s="3" t="s">
        <v>3700</v>
      </c>
      <c r="B2630" s="3" t="s">
        <v>1330</v>
      </c>
      <c r="C2630" s="3" t="s">
        <v>60</v>
      </c>
      <c r="D2630" s="3" t="s">
        <v>75</v>
      </c>
      <c r="E2630" s="3" t="s">
        <v>39</v>
      </c>
      <c r="F2630" s="3" t="s">
        <v>25</v>
      </c>
      <c r="G2630" s="3" t="s">
        <v>49</v>
      </c>
      <c r="H2630" s="3" t="s">
        <v>27</v>
      </c>
      <c r="I2630" s="3" t="s">
        <v>94</v>
      </c>
      <c r="J2630" s="3" t="n">
        <v>16</v>
      </c>
      <c r="K2630" s="3" t="n">
        <v>21839.57</v>
      </c>
      <c r="L2630" s="3" t="n">
        <v>349433.12</v>
      </c>
      <c r="M2630" s="3" t="n">
        <v>0.1489</v>
      </c>
      <c r="N2630" s="3" t="n">
        <v>52030.59</v>
      </c>
      <c r="O2630" s="3" t="n">
        <v>297402.53</v>
      </c>
      <c r="P2630" s="3" t="n">
        <v>216648.53</v>
      </c>
      <c r="Q2630" s="3" t="n">
        <v>80754</v>
      </c>
      <c r="R2630" s="3" t="n">
        <v>0.2715</v>
      </c>
      <c r="S2630" s="3" t="n">
        <v>0.1499</v>
      </c>
      <c r="T2630" s="3" t="n">
        <v>-0.001</v>
      </c>
    </row>
    <row r="2631" customFormat="false" ht="15" hidden="false" customHeight="true" outlineLevel="0" collapsed="false">
      <c r="A2631" s="3" t="s">
        <v>3701</v>
      </c>
      <c r="B2631" s="3" t="s">
        <v>627</v>
      </c>
      <c r="C2631" s="3" t="s">
        <v>31</v>
      </c>
      <c r="D2631" s="3" t="s">
        <v>38</v>
      </c>
      <c r="E2631" s="3" t="s">
        <v>39</v>
      </c>
      <c r="F2631" s="3" t="s">
        <v>40</v>
      </c>
      <c r="G2631" s="3" t="s">
        <v>71</v>
      </c>
      <c r="H2631" s="3" t="s">
        <v>77</v>
      </c>
      <c r="I2631" s="3" t="s">
        <v>131</v>
      </c>
      <c r="J2631" s="3" t="n">
        <v>37</v>
      </c>
      <c r="K2631" s="3" t="n">
        <v>1839.65</v>
      </c>
      <c r="L2631" s="3" t="n">
        <v>68067.05</v>
      </c>
      <c r="M2631" s="3" t="n">
        <v>0.0799</v>
      </c>
      <c r="N2631" s="3" t="n">
        <v>5438.56</v>
      </c>
      <c r="O2631" s="3" t="n">
        <v>62628.49</v>
      </c>
      <c r="P2631" s="3" t="n">
        <v>46285.59</v>
      </c>
      <c r="Q2631" s="3" t="n">
        <v>16342.9</v>
      </c>
      <c r="R2631" s="3" t="n">
        <v>0.2609</v>
      </c>
      <c r="S2631" s="3" t="n">
        <v>0.0709</v>
      </c>
      <c r="T2631" s="3" t="n">
        <v>0.009</v>
      </c>
    </row>
    <row r="2632" customFormat="false" ht="15" hidden="false" customHeight="true" outlineLevel="0" collapsed="false">
      <c r="A2632" s="3" t="s">
        <v>3702</v>
      </c>
      <c r="B2632" s="3" t="s">
        <v>366</v>
      </c>
      <c r="C2632" s="3" t="s">
        <v>93</v>
      </c>
      <c r="D2632" s="3" t="s">
        <v>32</v>
      </c>
      <c r="E2632" s="3" t="s">
        <v>33</v>
      </c>
      <c r="F2632" s="3" t="s">
        <v>25</v>
      </c>
      <c r="G2632" s="3" t="s">
        <v>49</v>
      </c>
      <c r="H2632" s="3" t="s">
        <v>64</v>
      </c>
      <c r="I2632" s="3" t="s">
        <v>108</v>
      </c>
      <c r="J2632" s="3" t="n">
        <v>11</v>
      </c>
      <c r="K2632" s="3" t="n">
        <v>5160.66</v>
      </c>
      <c r="L2632" s="3" t="n">
        <v>56767.26</v>
      </c>
      <c r="M2632" s="3" t="n">
        <v>0.1856</v>
      </c>
      <c r="N2632" s="3" t="n">
        <v>10536</v>
      </c>
      <c r="O2632" s="3" t="n">
        <v>46231.26</v>
      </c>
      <c r="P2632" s="3" t="n">
        <v>32925.01</v>
      </c>
      <c r="Q2632" s="3" t="n">
        <v>13306.25</v>
      </c>
      <c r="R2632" s="3" t="n">
        <v>0.2878</v>
      </c>
      <c r="S2632" s="3" t="n">
        <v>0.1694</v>
      </c>
      <c r="T2632" s="3" t="n">
        <v>0.0162</v>
      </c>
    </row>
    <row r="2633" customFormat="false" ht="15" hidden="false" customHeight="true" outlineLevel="0" collapsed="false">
      <c r="A2633" s="3" t="s">
        <v>3703</v>
      </c>
      <c r="B2633" s="3" t="s">
        <v>1735</v>
      </c>
      <c r="C2633" s="3" t="s">
        <v>53</v>
      </c>
      <c r="D2633" s="3" t="s">
        <v>38</v>
      </c>
      <c r="E2633" s="3" t="s">
        <v>39</v>
      </c>
      <c r="F2633" s="3" t="s">
        <v>40</v>
      </c>
      <c r="G2633" s="3" t="s">
        <v>41</v>
      </c>
      <c r="H2633" s="3" t="s">
        <v>64</v>
      </c>
      <c r="I2633" s="3" t="s">
        <v>145</v>
      </c>
      <c r="J2633" s="3" t="n">
        <v>16</v>
      </c>
      <c r="K2633" s="3" t="n">
        <v>6953.66</v>
      </c>
      <c r="L2633" s="3" t="n">
        <v>111258.56</v>
      </c>
      <c r="M2633" s="3" t="n">
        <v>0.1095</v>
      </c>
      <c r="N2633" s="3" t="n">
        <v>12182.81</v>
      </c>
      <c r="O2633" s="3" t="n">
        <v>99075.75</v>
      </c>
      <c r="P2633" s="3" t="n">
        <v>64529.96</v>
      </c>
      <c r="Q2633" s="3" t="n">
        <v>34545.79</v>
      </c>
      <c r="R2633" s="3" t="n">
        <v>0.3487</v>
      </c>
      <c r="S2633" s="3" t="n">
        <v>0.1112</v>
      </c>
      <c r="T2633" s="3" t="n">
        <v>-0.0017</v>
      </c>
    </row>
    <row r="2634" customFormat="false" ht="15" hidden="false" customHeight="true" outlineLevel="0" collapsed="false">
      <c r="A2634" s="3" t="s">
        <v>3704</v>
      </c>
      <c r="B2634" s="3" t="s">
        <v>2522</v>
      </c>
      <c r="C2634" s="3" t="s">
        <v>156</v>
      </c>
      <c r="D2634" s="3" t="s">
        <v>103</v>
      </c>
      <c r="E2634" s="3" t="s">
        <v>24</v>
      </c>
      <c r="F2634" s="3" t="s">
        <v>62</v>
      </c>
      <c r="G2634" s="3" t="s">
        <v>41</v>
      </c>
      <c r="H2634" s="3" t="s">
        <v>64</v>
      </c>
      <c r="I2634" s="3" t="s">
        <v>65</v>
      </c>
      <c r="J2634" s="3" t="n">
        <v>12</v>
      </c>
      <c r="K2634" s="3" t="n">
        <v>5144.69</v>
      </c>
      <c r="L2634" s="3" t="n">
        <v>61736.28</v>
      </c>
      <c r="M2634" s="3" t="n">
        <v>0.0548</v>
      </c>
      <c r="N2634" s="3" t="n">
        <v>3383.15</v>
      </c>
      <c r="O2634" s="3" t="n">
        <v>58353.13</v>
      </c>
      <c r="P2634" s="3" t="n">
        <v>35807.04</v>
      </c>
      <c r="Q2634" s="3" t="n">
        <v>22546.09</v>
      </c>
      <c r="R2634" s="3" t="n">
        <v>0.3864</v>
      </c>
      <c r="S2634" s="3" t="n">
        <v>0.0449</v>
      </c>
      <c r="T2634" s="3" t="n">
        <v>0.0099</v>
      </c>
    </row>
    <row r="2635" customFormat="false" ht="15" hidden="false" customHeight="true" outlineLevel="0" collapsed="false">
      <c r="A2635" s="3" t="s">
        <v>3705</v>
      </c>
      <c r="B2635" s="3" t="s">
        <v>1623</v>
      </c>
      <c r="C2635" s="3" t="s">
        <v>68</v>
      </c>
      <c r="D2635" s="3" t="s">
        <v>38</v>
      </c>
      <c r="E2635" s="3" t="s">
        <v>39</v>
      </c>
      <c r="F2635" s="3" t="s">
        <v>40</v>
      </c>
      <c r="G2635" s="3" t="s">
        <v>41</v>
      </c>
      <c r="H2635" s="3" t="s">
        <v>64</v>
      </c>
      <c r="I2635" s="3" t="s">
        <v>108</v>
      </c>
      <c r="J2635" s="3" t="n">
        <v>19</v>
      </c>
      <c r="K2635" s="3" t="n">
        <v>7646.39</v>
      </c>
      <c r="L2635" s="3" t="n">
        <v>145281.41</v>
      </c>
      <c r="M2635" s="3" t="n">
        <v>0.0954</v>
      </c>
      <c r="N2635" s="3" t="n">
        <v>13859.85</v>
      </c>
      <c r="O2635" s="3" t="n">
        <v>131421.56</v>
      </c>
      <c r="P2635" s="3" t="n">
        <v>84263.22</v>
      </c>
      <c r="Q2635" s="3" t="n">
        <v>47158.34</v>
      </c>
      <c r="R2635" s="3" t="n">
        <v>0.3588</v>
      </c>
      <c r="S2635" s="3" t="n">
        <v>0.0952</v>
      </c>
      <c r="T2635" s="3" t="n">
        <v>0.0002</v>
      </c>
    </row>
    <row r="2636" customFormat="false" ht="15" hidden="false" customHeight="true" outlineLevel="0" collapsed="false">
      <c r="A2636" s="3" t="s">
        <v>3706</v>
      </c>
      <c r="B2636" s="3" t="s">
        <v>2330</v>
      </c>
      <c r="C2636" s="3" t="s">
        <v>37</v>
      </c>
      <c r="D2636" s="3" t="s">
        <v>38</v>
      </c>
      <c r="E2636" s="3" t="s">
        <v>39</v>
      </c>
      <c r="F2636" s="3" t="s">
        <v>40</v>
      </c>
      <c r="G2636" s="3" t="s">
        <v>41</v>
      </c>
      <c r="H2636" s="3" t="s">
        <v>56</v>
      </c>
      <c r="I2636" s="3" t="s">
        <v>121</v>
      </c>
      <c r="J2636" s="3" t="n">
        <v>1</v>
      </c>
      <c r="K2636" s="3" t="n">
        <v>16231.33</v>
      </c>
      <c r="L2636" s="3" t="n">
        <v>16231.33</v>
      </c>
      <c r="M2636" s="3" t="n">
        <v>0.1093</v>
      </c>
      <c r="N2636" s="3" t="n">
        <v>1774.08</v>
      </c>
      <c r="O2636" s="3" t="n">
        <v>14457.25</v>
      </c>
      <c r="P2636" s="3" t="n">
        <v>9738.8</v>
      </c>
      <c r="Q2636" s="3" t="n">
        <v>4718.45</v>
      </c>
      <c r="R2636" s="3" t="n">
        <v>0.3264</v>
      </c>
      <c r="S2636" s="3" t="n">
        <v>0.1157</v>
      </c>
      <c r="T2636" s="3" t="n">
        <v>-0.0064</v>
      </c>
    </row>
    <row r="2637" customFormat="false" ht="15" hidden="false" customHeight="true" outlineLevel="0" collapsed="false">
      <c r="A2637" s="3" t="s">
        <v>3707</v>
      </c>
      <c r="B2637" s="3" t="s">
        <v>192</v>
      </c>
      <c r="C2637" s="3" t="s">
        <v>31</v>
      </c>
      <c r="D2637" s="3" t="s">
        <v>103</v>
      </c>
      <c r="E2637" s="3" t="s">
        <v>24</v>
      </c>
      <c r="F2637" s="3" t="s">
        <v>62</v>
      </c>
      <c r="G2637" s="3" t="s">
        <v>49</v>
      </c>
      <c r="H2637" s="3" t="s">
        <v>42</v>
      </c>
      <c r="I2637" s="3" t="s">
        <v>72</v>
      </c>
      <c r="J2637" s="3" t="n">
        <v>25</v>
      </c>
      <c r="K2637" s="3" t="n">
        <v>943.93</v>
      </c>
      <c r="L2637" s="3" t="n">
        <v>23598.25</v>
      </c>
      <c r="M2637" s="3" t="n">
        <v>0.0329</v>
      </c>
      <c r="N2637" s="3" t="n">
        <v>776.38</v>
      </c>
      <c r="O2637" s="3" t="n">
        <v>22821.87</v>
      </c>
      <c r="P2637" s="3" t="n">
        <v>12979.04</v>
      </c>
      <c r="Q2637" s="3" t="n">
        <v>9842.83</v>
      </c>
      <c r="R2637" s="3" t="n">
        <v>0.4313</v>
      </c>
      <c r="S2637" s="3" t="n">
        <v>0.0295</v>
      </c>
      <c r="T2637" s="3" t="n">
        <v>0.0034</v>
      </c>
    </row>
    <row r="2638" customFormat="false" ht="15" hidden="false" customHeight="true" outlineLevel="0" collapsed="false">
      <c r="A2638" s="3" t="s">
        <v>3708</v>
      </c>
      <c r="B2638" s="3" t="s">
        <v>469</v>
      </c>
      <c r="C2638" s="3" t="s">
        <v>46</v>
      </c>
      <c r="D2638" s="3" t="s">
        <v>38</v>
      </c>
      <c r="E2638" s="3" t="s">
        <v>39</v>
      </c>
      <c r="F2638" s="3" t="s">
        <v>40</v>
      </c>
      <c r="G2638" s="3" t="s">
        <v>116</v>
      </c>
      <c r="H2638" s="3" t="s">
        <v>56</v>
      </c>
      <c r="I2638" s="3" t="s">
        <v>121</v>
      </c>
      <c r="J2638" s="3" t="n">
        <v>15</v>
      </c>
      <c r="K2638" s="3" t="n">
        <v>5227.83</v>
      </c>
      <c r="L2638" s="3" t="n">
        <v>78417.45</v>
      </c>
      <c r="M2638" s="3" t="n">
        <v>0.0564</v>
      </c>
      <c r="N2638" s="3" t="n">
        <v>4422.74</v>
      </c>
      <c r="O2638" s="3" t="n">
        <v>73994.71</v>
      </c>
      <c r="P2638" s="3" t="n">
        <v>47050.47</v>
      </c>
      <c r="Q2638" s="3" t="n">
        <v>26944.24</v>
      </c>
      <c r="R2638" s="3" t="n">
        <v>0.3641</v>
      </c>
      <c r="S2638" s="3" t="n">
        <v>0.0584</v>
      </c>
      <c r="T2638" s="3" t="n">
        <v>-0.002</v>
      </c>
    </row>
    <row r="2639" customFormat="false" ht="15" hidden="false" customHeight="true" outlineLevel="0" collapsed="false">
      <c r="A2639" s="3" t="s">
        <v>3709</v>
      </c>
      <c r="B2639" s="3" t="s">
        <v>815</v>
      </c>
      <c r="C2639" s="3" t="s">
        <v>60</v>
      </c>
      <c r="D2639" s="3" t="s">
        <v>69</v>
      </c>
      <c r="E2639" s="3" t="s">
        <v>39</v>
      </c>
      <c r="F2639" s="3" t="s">
        <v>70</v>
      </c>
      <c r="G2639" s="3" t="s">
        <v>41</v>
      </c>
      <c r="H2639" s="3" t="s">
        <v>64</v>
      </c>
      <c r="I2639" s="3" t="s">
        <v>108</v>
      </c>
      <c r="J2639" s="3" t="n">
        <v>28</v>
      </c>
      <c r="K2639" s="3" t="n">
        <v>9961.11</v>
      </c>
      <c r="L2639" s="3" t="n">
        <v>278911.08</v>
      </c>
      <c r="M2639" s="3" t="n">
        <v>0.1286</v>
      </c>
      <c r="N2639" s="3" t="n">
        <v>35867.96</v>
      </c>
      <c r="O2639" s="3" t="n">
        <v>243043.12</v>
      </c>
      <c r="P2639" s="3" t="n">
        <v>161768.43</v>
      </c>
      <c r="Q2639" s="3" t="n">
        <v>81274.69</v>
      </c>
      <c r="R2639" s="3" t="n">
        <v>0.3344</v>
      </c>
      <c r="S2639" s="3" t="n">
        <v>0.1382</v>
      </c>
      <c r="T2639" s="3" t="n">
        <v>-0.0096</v>
      </c>
    </row>
    <row r="2640" customFormat="false" ht="15" hidden="false" customHeight="true" outlineLevel="0" collapsed="false">
      <c r="A2640" s="3" t="s">
        <v>3710</v>
      </c>
      <c r="B2640" s="3" t="s">
        <v>2629</v>
      </c>
      <c r="C2640" s="3" t="s">
        <v>68</v>
      </c>
      <c r="D2640" s="3" t="s">
        <v>83</v>
      </c>
      <c r="E2640" s="3" t="s">
        <v>48</v>
      </c>
      <c r="F2640" s="3" t="s">
        <v>62</v>
      </c>
      <c r="G2640" s="3" t="s">
        <v>84</v>
      </c>
      <c r="H2640" s="3" t="s">
        <v>77</v>
      </c>
      <c r="I2640" s="3" t="s">
        <v>78</v>
      </c>
      <c r="J2640" s="3" t="n">
        <v>5</v>
      </c>
      <c r="K2640" s="3" t="n">
        <v>2248.05</v>
      </c>
      <c r="L2640" s="3" t="n">
        <v>11240.25</v>
      </c>
      <c r="M2640" s="3" t="n">
        <v>0.0507</v>
      </c>
      <c r="N2640" s="3" t="n">
        <v>569.88</v>
      </c>
      <c r="O2640" s="3" t="n">
        <v>10670.37</v>
      </c>
      <c r="P2640" s="3" t="n">
        <v>7643.37</v>
      </c>
      <c r="Q2640" s="3" t="n">
        <v>3027</v>
      </c>
      <c r="R2640" s="3" t="n">
        <v>0.2837</v>
      </c>
      <c r="S2640" s="3" t="n">
        <v>0.0512</v>
      </c>
      <c r="T2640" s="3" t="n">
        <v>-0.0005</v>
      </c>
    </row>
    <row r="2641" customFormat="false" ht="15" hidden="false" customHeight="true" outlineLevel="0" collapsed="false">
      <c r="A2641" s="3" t="s">
        <v>3711</v>
      </c>
      <c r="B2641" s="3" t="s">
        <v>496</v>
      </c>
      <c r="C2641" s="3" t="s">
        <v>113</v>
      </c>
      <c r="D2641" s="3" t="s">
        <v>32</v>
      </c>
      <c r="E2641" s="3" t="s">
        <v>33</v>
      </c>
      <c r="F2641" s="3" t="s">
        <v>25</v>
      </c>
      <c r="G2641" s="3" t="s">
        <v>76</v>
      </c>
      <c r="H2641" s="3" t="s">
        <v>77</v>
      </c>
      <c r="I2641" s="3" t="s">
        <v>78</v>
      </c>
      <c r="J2641" s="3" t="n">
        <v>2</v>
      </c>
      <c r="K2641" s="3" t="n">
        <v>4704.54</v>
      </c>
      <c r="L2641" s="3" t="n">
        <v>9409.08</v>
      </c>
      <c r="M2641" s="3" t="n">
        <v>0.1517</v>
      </c>
      <c r="N2641" s="3" t="n">
        <v>1427.36</v>
      </c>
      <c r="O2641" s="3" t="n">
        <v>7981.72</v>
      </c>
      <c r="P2641" s="3" t="n">
        <v>6398.17</v>
      </c>
      <c r="Q2641" s="3" t="n">
        <v>1583.55</v>
      </c>
      <c r="R2641" s="3" t="n">
        <v>0.1984</v>
      </c>
      <c r="S2641" s="3" t="n">
        <v>0.1468</v>
      </c>
      <c r="T2641" s="3" t="n">
        <v>0.0049</v>
      </c>
    </row>
    <row r="2642" customFormat="false" ht="15" hidden="false" customHeight="true" outlineLevel="0" collapsed="false">
      <c r="A2642" s="3" t="s">
        <v>3712</v>
      </c>
      <c r="B2642" s="3" t="s">
        <v>500</v>
      </c>
      <c r="C2642" s="3" t="s">
        <v>126</v>
      </c>
      <c r="D2642" s="3" t="s">
        <v>32</v>
      </c>
      <c r="E2642" s="3" t="s">
        <v>33</v>
      </c>
      <c r="F2642" s="3" t="s">
        <v>25</v>
      </c>
      <c r="G2642" s="3" t="s">
        <v>104</v>
      </c>
      <c r="H2642" s="3" t="s">
        <v>64</v>
      </c>
      <c r="I2642" s="3" t="s">
        <v>90</v>
      </c>
      <c r="J2642" s="3" t="n">
        <v>21</v>
      </c>
      <c r="K2642" s="3" t="n">
        <v>6015.52</v>
      </c>
      <c r="L2642" s="3" t="n">
        <v>126325.92</v>
      </c>
      <c r="M2642" s="3" t="n">
        <v>0.1509</v>
      </c>
      <c r="N2642" s="3" t="n">
        <v>19062.58</v>
      </c>
      <c r="O2642" s="3" t="n">
        <v>107263.34</v>
      </c>
      <c r="P2642" s="3" t="n">
        <v>73269.03</v>
      </c>
      <c r="Q2642" s="3" t="n">
        <v>33994.31</v>
      </c>
      <c r="R2642" s="3" t="n">
        <v>0.3169</v>
      </c>
      <c r="S2642" s="3" t="n">
        <v>0.1246</v>
      </c>
      <c r="T2642" s="3" t="n">
        <v>0.0263</v>
      </c>
    </row>
    <row r="2643" customFormat="false" ht="15" hidden="false" customHeight="true" outlineLevel="0" collapsed="false">
      <c r="A2643" s="3" t="s">
        <v>3713</v>
      </c>
      <c r="B2643" s="3" t="s">
        <v>2484</v>
      </c>
      <c r="C2643" s="3" t="s">
        <v>31</v>
      </c>
      <c r="D2643" s="3" t="s">
        <v>32</v>
      </c>
      <c r="E2643" s="3" t="s">
        <v>33</v>
      </c>
      <c r="F2643" s="3" t="s">
        <v>25</v>
      </c>
      <c r="G2643" s="3" t="s">
        <v>76</v>
      </c>
      <c r="H2643" s="3" t="s">
        <v>77</v>
      </c>
      <c r="I2643" s="3" t="s">
        <v>85</v>
      </c>
      <c r="J2643" s="3" t="n">
        <v>9</v>
      </c>
      <c r="K2643" s="3" t="n">
        <v>4694.04</v>
      </c>
      <c r="L2643" s="3" t="n">
        <v>42246.36</v>
      </c>
      <c r="M2643" s="3" t="n">
        <v>0.1365</v>
      </c>
      <c r="N2643" s="3" t="n">
        <v>5766.63</v>
      </c>
      <c r="O2643" s="3" t="n">
        <v>36479.73</v>
      </c>
      <c r="P2643" s="3" t="n">
        <v>28727.52</v>
      </c>
      <c r="Q2643" s="3" t="n">
        <v>7752.21</v>
      </c>
      <c r="R2643" s="3" t="n">
        <v>0.2125</v>
      </c>
      <c r="S2643" s="3" t="n">
        <v>0.1286</v>
      </c>
      <c r="T2643" s="3" t="n">
        <v>0.0079</v>
      </c>
    </row>
    <row r="2644" customFormat="false" ht="15" hidden="false" customHeight="true" outlineLevel="0" collapsed="false">
      <c r="A2644" s="3" t="s">
        <v>3714</v>
      </c>
      <c r="B2644" s="3" t="s">
        <v>3715</v>
      </c>
      <c r="C2644" s="3" t="s">
        <v>156</v>
      </c>
      <c r="D2644" s="3" t="s">
        <v>103</v>
      </c>
      <c r="E2644" s="3" t="s">
        <v>24</v>
      </c>
      <c r="F2644" s="3" t="s">
        <v>62</v>
      </c>
      <c r="G2644" s="3" t="s">
        <v>63</v>
      </c>
      <c r="H2644" s="3" t="s">
        <v>56</v>
      </c>
      <c r="I2644" s="3" t="s">
        <v>188</v>
      </c>
      <c r="J2644" s="3" t="n">
        <v>9</v>
      </c>
      <c r="K2644" s="3" t="n">
        <v>9255.09</v>
      </c>
      <c r="L2644" s="3" t="n">
        <v>83295.81</v>
      </c>
      <c r="M2644" s="3" t="n">
        <v>0.0486</v>
      </c>
      <c r="N2644" s="3" t="n">
        <v>4048.18</v>
      </c>
      <c r="O2644" s="3" t="n">
        <v>79247.63</v>
      </c>
      <c r="P2644" s="3" t="n">
        <v>49977.49</v>
      </c>
      <c r="Q2644" s="3" t="n">
        <v>29270.14</v>
      </c>
      <c r="R2644" s="3" t="n">
        <v>0.3694</v>
      </c>
      <c r="S2644" s="3" t="n">
        <v>0.0511</v>
      </c>
      <c r="T2644" s="3" t="n">
        <v>-0.0025</v>
      </c>
    </row>
    <row r="2645" customFormat="false" ht="15" hidden="false" customHeight="true" outlineLevel="0" collapsed="false">
      <c r="A2645" s="3" t="s">
        <v>3716</v>
      </c>
      <c r="B2645" s="3" t="s">
        <v>2031</v>
      </c>
      <c r="C2645" s="3" t="s">
        <v>31</v>
      </c>
      <c r="D2645" s="3" t="s">
        <v>47</v>
      </c>
      <c r="E2645" s="3" t="s">
        <v>48</v>
      </c>
      <c r="F2645" s="3" t="s">
        <v>25</v>
      </c>
      <c r="G2645" s="3" t="s">
        <v>104</v>
      </c>
      <c r="H2645" s="3" t="s">
        <v>64</v>
      </c>
      <c r="I2645" s="3" t="s">
        <v>65</v>
      </c>
      <c r="J2645" s="3" t="n">
        <v>26</v>
      </c>
      <c r="K2645" s="3" t="n">
        <v>5205.99</v>
      </c>
      <c r="L2645" s="3" t="n">
        <v>135355.74</v>
      </c>
      <c r="M2645" s="3" t="n">
        <v>0.1795</v>
      </c>
      <c r="N2645" s="3" t="n">
        <v>24296.36</v>
      </c>
      <c r="O2645" s="3" t="n">
        <v>111059.38</v>
      </c>
      <c r="P2645" s="3" t="n">
        <v>78506.33</v>
      </c>
      <c r="Q2645" s="3" t="n">
        <v>32553.05</v>
      </c>
      <c r="R2645" s="3" t="n">
        <v>0.2931</v>
      </c>
      <c r="S2645" s="3" t="n">
        <v>0.1912</v>
      </c>
      <c r="T2645" s="3" t="n">
        <v>-0.0117</v>
      </c>
    </row>
    <row r="2646" customFormat="false" ht="15" hidden="false" customHeight="true" outlineLevel="0" collapsed="false">
      <c r="A2646" s="3" t="s">
        <v>3717</v>
      </c>
      <c r="B2646" s="3" t="s">
        <v>1060</v>
      </c>
      <c r="C2646" s="3" t="s">
        <v>113</v>
      </c>
      <c r="D2646" s="3" t="s">
        <v>54</v>
      </c>
      <c r="E2646" s="3" t="s">
        <v>24</v>
      </c>
      <c r="F2646" s="3" t="s">
        <v>40</v>
      </c>
      <c r="G2646" s="3" t="s">
        <v>116</v>
      </c>
      <c r="H2646" s="3" t="s">
        <v>77</v>
      </c>
      <c r="I2646" s="3" t="s">
        <v>85</v>
      </c>
      <c r="J2646" s="3" t="n">
        <v>29</v>
      </c>
      <c r="K2646" s="3" t="n">
        <v>2557.08</v>
      </c>
      <c r="L2646" s="3" t="n">
        <v>74155.32</v>
      </c>
      <c r="M2646" s="3" t="n">
        <v>0.0872</v>
      </c>
      <c r="N2646" s="3" t="n">
        <v>6466.34</v>
      </c>
      <c r="O2646" s="3" t="n">
        <v>67688.98</v>
      </c>
      <c r="P2646" s="3" t="n">
        <v>50425.62</v>
      </c>
      <c r="Q2646" s="3" t="n">
        <v>17263.36</v>
      </c>
      <c r="R2646" s="3" t="n">
        <v>0.255</v>
      </c>
      <c r="S2646" s="3" t="n">
        <v>0.0725</v>
      </c>
      <c r="T2646" s="3" t="n">
        <v>0.0147</v>
      </c>
    </row>
    <row r="2647" customFormat="false" ht="15" hidden="false" customHeight="true" outlineLevel="0" collapsed="false">
      <c r="A2647" s="3" t="s">
        <v>3718</v>
      </c>
      <c r="B2647" s="3" t="s">
        <v>1357</v>
      </c>
      <c r="C2647" s="3" t="s">
        <v>126</v>
      </c>
      <c r="D2647" s="3" t="s">
        <v>69</v>
      </c>
      <c r="E2647" s="3" t="s">
        <v>39</v>
      </c>
      <c r="F2647" s="3" t="s">
        <v>70</v>
      </c>
      <c r="G2647" s="3" t="s">
        <v>55</v>
      </c>
      <c r="H2647" s="3" t="s">
        <v>56</v>
      </c>
      <c r="I2647" s="3" t="s">
        <v>121</v>
      </c>
      <c r="J2647" s="3" t="n">
        <v>48</v>
      </c>
      <c r="K2647" s="3" t="n">
        <v>12870.26</v>
      </c>
      <c r="L2647" s="3" t="n">
        <v>617772.48</v>
      </c>
      <c r="M2647" s="3" t="n">
        <v>0.0587</v>
      </c>
      <c r="N2647" s="3" t="n">
        <v>36263.24</v>
      </c>
      <c r="O2647" s="3" t="n">
        <v>581509.24</v>
      </c>
      <c r="P2647" s="3" t="n">
        <v>370663.49</v>
      </c>
      <c r="Q2647" s="3" t="n">
        <v>210845.75</v>
      </c>
      <c r="R2647" s="3" t="n">
        <v>0.3626</v>
      </c>
      <c r="S2647" s="3" t="n">
        <v>0.0618</v>
      </c>
      <c r="T2647" s="3" t="n">
        <v>-0.0031</v>
      </c>
    </row>
    <row r="2648" customFormat="false" ht="15" hidden="false" customHeight="true" outlineLevel="0" collapsed="false">
      <c r="A2648" s="3" t="s">
        <v>3719</v>
      </c>
      <c r="B2648" s="3" t="s">
        <v>2294</v>
      </c>
      <c r="C2648" s="3" t="s">
        <v>37</v>
      </c>
      <c r="D2648" s="3" t="s">
        <v>38</v>
      </c>
      <c r="E2648" s="3" t="s">
        <v>39</v>
      </c>
      <c r="F2648" s="3" t="s">
        <v>40</v>
      </c>
      <c r="G2648" s="3" t="s">
        <v>55</v>
      </c>
      <c r="H2648" s="3" t="s">
        <v>27</v>
      </c>
      <c r="I2648" s="3" t="s">
        <v>50</v>
      </c>
      <c r="J2648" s="3" t="n">
        <v>33</v>
      </c>
      <c r="K2648" s="3" t="n">
        <v>37244.63</v>
      </c>
      <c r="L2648" s="3" t="n">
        <v>1229072.79</v>
      </c>
      <c r="M2648" s="3" t="n">
        <v>0.0514</v>
      </c>
      <c r="N2648" s="3" t="n">
        <v>63174.34</v>
      </c>
      <c r="O2648" s="3" t="n">
        <v>1165898.45</v>
      </c>
      <c r="P2648" s="3" t="n">
        <v>762025.13</v>
      </c>
      <c r="Q2648" s="3" t="n">
        <v>403873.32</v>
      </c>
      <c r="R2648" s="3" t="n">
        <v>0.3464</v>
      </c>
      <c r="S2648" s="3" t="n">
        <v>0.0536</v>
      </c>
      <c r="T2648" s="3" t="n">
        <v>-0.0022</v>
      </c>
    </row>
    <row r="2649" customFormat="false" ht="15" hidden="false" customHeight="true" outlineLevel="0" collapsed="false">
      <c r="A2649" s="3" t="s">
        <v>3720</v>
      </c>
      <c r="B2649" s="3" t="s">
        <v>170</v>
      </c>
      <c r="C2649" s="3" t="s">
        <v>31</v>
      </c>
      <c r="D2649" s="3" t="s">
        <v>32</v>
      </c>
      <c r="E2649" s="3" t="s">
        <v>33</v>
      </c>
      <c r="F2649" s="3" t="s">
        <v>25</v>
      </c>
      <c r="G2649" s="3" t="s">
        <v>26</v>
      </c>
      <c r="H2649" s="3" t="s">
        <v>42</v>
      </c>
      <c r="I2649" s="3" t="s">
        <v>72</v>
      </c>
      <c r="J2649" s="3" t="n">
        <v>14</v>
      </c>
      <c r="K2649" s="3" t="n">
        <v>3301.52</v>
      </c>
      <c r="L2649" s="3" t="n">
        <v>46221.28</v>
      </c>
      <c r="M2649" s="3" t="n">
        <v>0.1105</v>
      </c>
      <c r="N2649" s="3" t="n">
        <v>5107.45</v>
      </c>
      <c r="O2649" s="3" t="n">
        <v>41113.83</v>
      </c>
      <c r="P2649" s="3" t="n">
        <v>25421.7</v>
      </c>
      <c r="Q2649" s="3" t="n">
        <v>15692.13</v>
      </c>
      <c r="R2649" s="3" t="n">
        <v>0.3817</v>
      </c>
      <c r="S2649" s="3" t="n">
        <v>0.0982</v>
      </c>
      <c r="T2649" s="3" t="n">
        <v>0.0123</v>
      </c>
    </row>
    <row r="2650" customFormat="false" ht="15" hidden="false" customHeight="true" outlineLevel="0" collapsed="false">
      <c r="A2650" s="3" t="s">
        <v>3721</v>
      </c>
      <c r="B2650" s="3" t="s">
        <v>1522</v>
      </c>
      <c r="C2650" s="3" t="s">
        <v>68</v>
      </c>
      <c r="D2650" s="3" t="s">
        <v>75</v>
      </c>
      <c r="E2650" s="3" t="s">
        <v>39</v>
      </c>
      <c r="F2650" s="3" t="s">
        <v>25</v>
      </c>
      <c r="G2650" s="3" t="s">
        <v>55</v>
      </c>
      <c r="H2650" s="3" t="s">
        <v>64</v>
      </c>
      <c r="I2650" s="3" t="s">
        <v>108</v>
      </c>
      <c r="J2650" s="3" t="n">
        <v>25</v>
      </c>
      <c r="K2650" s="3" t="n">
        <v>5315.34</v>
      </c>
      <c r="L2650" s="3" t="n">
        <v>132883.5</v>
      </c>
      <c r="M2650" s="3" t="n">
        <v>0.0831</v>
      </c>
      <c r="N2650" s="3" t="n">
        <v>11042.62</v>
      </c>
      <c r="O2650" s="3" t="n">
        <v>121840.88</v>
      </c>
      <c r="P2650" s="3" t="n">
        <v>77072.43</v>
      </c>
      <c r="Q2650" s="3" t="n">
        <v>44768.45</v>
      </c>
      <c r="R2650" s="3" t="n">
        <v>0.3674</v>
      </c>
      <c r="S2650" s="3" t="n">
        <v>0.0866</v>
      </c>
      <c r="T2650" s="3" t="n">
        <v>-0.0035</v>
      </c>
    </row>
    <row r="2651" customFormat="false" ht="15" hidden="false" customHeight="true" outlineLevel="0" collapsed="false">
      <c r="A2651" s="3" t="s">
        <v>3722</v>
      </c>
      <c r="B2651" s="3" t="s">
        <v>1255</v>
      </c>
      <c r="C2651" s="3" t="s">
        <v>156</v>
      </c>
      <c r="D2651" s="3" t="s">
        <v>61</v>
      </c>
      <c r="E2651" s="3" t="s">
        <v>33</v>
      </c>
      <c r="F2651" s="3" t="s">
        <v>62</v>
      </c>
      <c r="G2651" s="3" t="s">
        <v>55</v>
      </c>
      <c r="H2651" s="3" t="s">
        <v>27</v>
      </c>
      <c r="I2651" s="3" t="s">
        <v>50</v>
      </c>
      <c r="J2651" s="3" t="n">
        <v>22</v>
      </c>
      <c r="K2651" s="3" t="n">
        <v>17226.13</v>
      </c>
      <c r="L2651" s="3" t="n">
        <v>378974.86</v>
      </c>
      <c r="M2651" s="3" t="n">
        <v>0.0414</v>
      </c>
      <c r="N2651" s="3" t="n">
        <v>15689.56</v>
      </c>
      <c r="O2651" s="3" t="n">
        <v>363285.3</v>
      </c>
      <c r="P2651" s="3" t="n">
        <v>234964.41</v>
      </c>
      <c r="Q2651" s="3" t="n">
        <v>128320.89</v>
      </c>
      <c r="R2651" s="3" t="n">
        <v>0.3532</v>
      </c>
      <c r="S2651" s="3" t="n">
        <v>0.0332</v>
      </c>
      <c r="T2651" s="3" t="n">
        <v>0.0082</v>
      </c>
    </row>
    <row r="2652" customFormat="false" ht="15" hidden="false" customHeight="true" outlineLevel="0" collapsed="false">
      <c r="A2652" s="3" t="s">
        <v>3723</v>
      </c>
      <c r="B2652" s="3" t="s">
        <v>1572</v>
      </c>
      <c r="C2652" s="3" t="s">
        <v>113</v>
      </c>
      <c r="D2652" s="3" t="s">
        <v>61</v>
      </c>
      <c r="E2652" s="3" t="s">
        <v>33</v>
      </c>
      <c r="F2652" s="3" t="s">
        <v>62</v>
      </c>
      <c r="G2652" s="3" t="s">
        <v>63</v>
      </c>
      <c r="H2652" s="3" t="s">
        <v>64</v>
      </c>
      <c r="I2652" s="3" t="s">
        <v>90</v>
      </c>
      <c r="J2652" s="3" t="n">
        <v>11</v>
      </c>
      <c r="K2652" s="3" t="n">
        <v>9671.81</v>
      </c>
      <c r="L2652" s="3" t="n">
        <v>106389.91</v>
      </c>
      <c r="M2652" s="3" t="n">
        <v>0.0369</v>
      </c>
      <c r="N2652" s="3" t="n">
        <v>3925.79</v>
      </c>
      <c r="O2652" s="3" t="n">
        <v>102464.12</v>
      </c>
      <c r="P2652" s="3" t="n">
        <v>61706.15</v>
      </c>
      <c r="Q2652" s="3" t="n">
        <v>40757.97</v>
      </c>
      <c r="R2652" s="3" t="n">
        <v>0.3978</v>
      </c>
      <c r="S2652" s="3" t="n">
        <v>0.0385</v>
      </c>
      <c r="T2652" s="3" t="n">
        <v>-0.0016</v>
      </c>
    </row>
    <row r="2653" customFormat="false" ht="15" hidden="false" customHeight="true" outlineLevel="0" collapsed="false">
      <c r="A2653" s="3" t="s">
        <v>3724</v>
      </c>
      <c r="B2653" s="3" t="s">
        <v>1637</v>
      </c>
      <c r="C2653" s="3" t="s">
        <v>46</v>
      </c>
      <c r="D2653" s="3" t="s">
        <v>107</v>
      </c>
      <c r="E2653" s="3" t="s">
        <v>33</v>
      </c>
      <c r="F2653" s="3" t="s">
        <v>70</v>
      </c>
      <c r="G2653" s="3" t="s">
        <v>76</v>
      </c>
      <c r="H2653" s="3" t="s">
        <v>42</v>
      </c>
      <c r="I2653" s="3" t="s">
        <v>134</v>
      </c>
      <c r="J2653" s="3" t="n">
        <v>41</v>
      </c>
      <c r="K2653" s="3" t="n">
        <v>1104.19</v>
      </c>
      <c r="L2653" s="3" t="n">
        <v>45271.79</v>
      </c>
      <c r="M2653" s="3" t="n">
        <v>0.0381</v>
      </c>
      <c r="N2653" s="3" t="n">
        <v>1724.86</v>
      </c>
      <c r="O2653" s="3" t="n">
        <v>43546.93</v>
      </c>
      <c r="P2653" s="3" t="n">
        <v>24899.48</v>
      </c>
      <c r="Q2653" s="3" t="n">
        <v>18647.45</v>
      </c>
      <c r="R2653" s="3" t="n">
        <v>0.4282</v>
      </c>
      <c r="S2653" s="3" t="n">
        <v>0.0386</v>
      </c>
      <c r="T2653" s="3" t="n">
        <v>-0.0005</v>
      </c>
    </row>
    <row r="2654" customFormat="false" ht="15" hidden="false" customHeight="true" outlineLevel="0" collapsed="false">
      <c r="A2654" s="3" t="s">
        <v>3725</v>
      </c>
      <c r="B2654" s="3" t="s">
        <v>2772</v>
      </c>
      <c r="C2654" s="3" t="s">
        <v>68</v>
      </c>
      <c r="D2654" s="3" t="s">
        <v>97</v>
      </c>
      <c r="E2654" s="3" t="s">
        <v>48</v>
      </c>
      <c r="F2654" s="3" t="s">
        <v>40</v>
      </c>
      <c r="G2654" s="3" t="s">
        <v>84</v>
      </c>
      <c r="H2654" s="3" t="s">
        <v>56</v>
      </c>
      <c r="I2654" s="3" t="s">
        <v>121</v>
      </c>
      <c r="J2654" s="3" t="n">
        <v>33</v>
      </c>
      <c r="K2654" s="3" t="n">
        <v>3027.42</v>
      </c>
      <c r="L2654" s="3" t="n">
        <v>99904.86</v>
      </c>
      <c r="M2654" s="3" t="n">
        <v>0.0687</v>
      </c>
      <c r="N2654" s="3" t="n">
        <v>6863.46</v>
      </c>
      <c r="O2654" s="3" t="n">
        <v>93041.4</v>
      </c>
      <c r="P2654" s="3" t="n">
        <v>59942.92</v>
      </c>
      <c r="Q2654" s="3" t="n">
        <v>33098.48</v>
      </c>
      <c r="R2654" s="3" t="n">
        <v>0.3557</v>
      </c>
      <c r="S2654" s="3" t="n">
        <v>0.0579</v>
      </c>
      <c r="T2654" s="3" t="n">
        <v>0.0108</v>
      </c>
    </row>
    <row r="2655" customFormat="false" ht="15" hidden="false" customHeight="true" outlineLevel="0" collapsed="false">
      <c r="A2655" s="3" t="s">
        <v>3726</v>
      </c>
      <c r="B2655" s="3" t="s">
        <v>443</v>
      </c>
      <c r="C2655" s="3" t="s">
        <v>126</v>
      </c>
      <c r="D2655" s="3" t="s">
        <v>75</v>
      </c>
      <c r="E2655" s="3" t="s">
        <v>39</v>
      </c>
      <c r="F2655" s="3" t="s">
        <v>25</v>
      </c>
      <c r="G2655" s="3" t="s">
        <v>100</v>
      </c>
      <c r="H2655" s="3" t="s">
        <v>64</v>
      </c>
      <c r="I2655" s="3" t="s">
        <v>90</v>
      </c>
      <c r="J2655" s="3" t="n">
        <v>42</v>
      </c>
      <c r="K2655" s="3" t="n">
        <v>8786.64</v>
      </c>
      <c r="L2655" s="3" t="n">
        <v>369038.88</v>
      </c>
      <c r="M2655" s="3" t="n">
        <v>0.1205</v>
      </c>
      <c r="N2655" s="3" t="n">
        <v>44469.19</v>
      </c>
      <c r="O2655" s="3" t="n">
        <v>324569.69</v>
      </c>
      <c r="P2655" s="3" t="n">
        <v>214042.55</v>
      </c>
      <c r="Q2655" s="3" t="n">
        <v>110527.14</v>
      </c>
      <c r="R2655" s="3" t="n">
        <v>0.3405</v>
      </c>
      <c r="S2655" s="3" t="n">
        <v>0.0989</v>
      </c>
      <c r="T2655" s="3" t="n">
        <v>0.0216</v>
      </c>
    </row>
    <row r="2656" customFormat="false" ht="15" hidden="false" customHeight="true" outlineLevel="0" collapsed="false">
      <c r="A2656" s="3" t="s">
        <v>3727</v>
      </c>
      <c r="B2656" s="3" t="s">
        <v>829</v>
      </c>
      <c r="C2656" s="3" t="s">
        <v>53</v>
      </c>
      <c r="D2656" s="3" t="s">
        <v>107</v>
      </c>
      <c r="E2656" s="3" t="s">
        <v>33</v>
      </c>
      <c r="F2656" s="3" t="s">
        <v>70</v>
      </c>
      <c r="G2656" s="3" t="s">
        <v>26</v>
      </c>
      <c r="H2656" s="3" t="s">
        <v>27</v>
      </c>
      <c r="I2656" s="3" t="s">
        <v>173</v>
      </c>
      <c r="J2656" s="3" t="n">
        <v>47</v>
      </c>
      <c r="K2656" s="3" t="n">
        <v>10465.12</v>
      </c>
      <c r="L2656" s="3" t="n">
        <v>491860.64</v>
      </c>
      <c r="M2656" s="3" t="n">
        <v>0.04</v>
      </c>
      <c r="N2656" s="3" t="n">
        <v>19674.43</v>
      </c>
      <c r="O2656" s="3" t="n">
        <v>472186.21</v>
      </c>
      <c r="P2656" s="3" t="n">
        <v>304953.6</v>
      </c>
      <c r="Q2656" s="3" t="n">
        <v>167232.61</v>
      </c>
      <c r="R2656" s="3" t="n">
        <v>0.3542</v>
      </c>
      <c r="S2656" s="3" t="n">
        <v>0.0389</v>
      </c>
      <c r="T2656" s="3" t="n">
        <v>0.0011</v>
      </c>
    </row>
    <row r="2657" customFormat="false" ht="15" hidden="false" customHeight="true" outlineLevel="0" collapsed="false">
      <c r="A2657" s="3" t="s">
        <v>3728</v>
      </c>
      <c r="B2657" s="3" t="s">
        <v>502</v>
      </c>
      <c r="C2657" s="3" t="s">
        <v>126</v>
      </c>
      <c r="D2657" s="3" t="s">
        <v>103</v>
      </c>
      <c r="E2657" s="3" t="s">
        <v>24</v>
      </c>
      <c r="F2657" s="3" t="s">
        <v>62</v>
      </c>
      <c r="G2657" s="3" t="s">
        <v>84</v>
      </c>
      <c r="H2657" s="3" t="s">
        <v>77</v>
      </c>
      <c r="I2657" s="3" t="s">
        <v>78</v>
      </c>
      <c r="J2657" s="3" t="n">
        <v>37</v>
      </c>
      <c r="K2657" s="3" t="n">
        <v>4788.45</v>
      </c>
      <c r="L2657" s="3" t="n">
        <v>177172.65</v>
      </c>
      <c r="M2657" s="3" t="n">
        <v>0.06</v>
      </c>
      <c r="N2657" s="3" t="n">
        <v>10630.36</v>
      </c>
      <c r="O2657" s="3" t="n">
        <v>166542.29</v>
      </c>
      <c r="P2657" s="3" t="n">
        <v>120477.4</v>
      </c>
      <c r="Q2657" s="3" t="n">
        <v>46064.89</v>
      </c>
      <c r="R2657" s="3" t="n">
        <v>0.2766</v>
      </c>
      <c r="S2657" s="3" t="n">
        <v>0.055</v>
      </c>
      <c r="T2657" s="3" t="n">
        <v>0.005</v>
      </c>
    </row>
    <row r="2658" customFormat="false" ht="15" hidden="false" customHeight="true" outlineLevel="0" collapsed="false">
      <c r="A2658" s="3" t="s">
        <v>3729</v>
      </c>
      <c r="B2658" s="3" t="s">
        <v>2441</v>
      </c>
      <c r="C2658" s="3" t="s">
        <v>46</v>
      </c>
      <c r="D2658" s="3" t="s">
        <v>23</v>
      </c>
      <c r="E2658" s="3" t="s">
        <v>24</v>
      </c>
      <c r="F2658" s="3" t="s">
        <v>25</v>
      </c>
      <c r="G2658" s="3" t="s">
        <v>63</v>
      </c>
      <c r="H2658" s="3" t="s">
        <v>42</v>
      </c>
      <c r="I2658" s="3" t="s">
        <v>72</v>
      </c>
      <c r="J2658" s="3" t="n">
        <v>40</v>
      </c>
      <c r="K2658" s="3" t="n">
        <v>2903.44</v>
      </c>
      <c r="L2658" s="3" t="n">
        <v>116137.6</v>
      </c>
      <c r="M2658" s="3" t="n">
        <v>0.1455</v>
      </c>
      <c r="N2658" s="3" t="n">
        <v>16898.02</v>
      </c>
      <c r="O2658" s="3" t="n">
        <v>99239.58</v>
      </c>
      <c r="P2658" s="3" t="n">
        <v>63875.68</v>
      </c>
      <c r="Q2658" s="3" t="n">
        <v>35363.9</v>
      </c>
      <c r="R2658" s="3" t="n">
        <v>0.3563</v>
      </c>
      <c r="S2658" s="3" t="n">
        <v>0.1248</v>
      </c>
      <c r="T2658" s="3" t="n">
        <v>0.0207</v>
      </c>
    </row>
    <row r="2659" customFormat="false" ht="15" hidden="false" customHeight="true" outlineLevel="0" collapsed="false">
      <c r="A2659" s="3" t="s">
        <v>3730</v>
      </c>
      <c r="B2659" s="3" t="s">
        <v>2046</v>
      </c>
      <c r="C2659" s="3" t="s">
        <v>22</v>
      </c>
      <c r="D2659" s="3" t="s">
        <v>23</v>
      </c>
      <c r="E2659" s="3" t="s">
        <v>24</v>
      </c>
      <c r="F2659" s="3" t="s">
        <v>25</v>
      </c>
      <c r="G2659" s="3" t="s">
        <v>104</v>
      </c>
      <c r="H2659" s="3" t="s">
        <v>56</v>
      </c>
      <c r="I2659" s="3" t="s">
        <v>188</v>
      </c>
      <c r="J2659" s="3" t="n">
        <v>29</v>
      </c>
      <c r="K2659" s="3" t="n">
        <v>15701.06</v>
      </c>
      <c r="L2659" s="3" t="n">
        <v>455330.74</v>
      </c>
      <c r="M2659" s="3" t="n">
        <v>0.1341</v>
      </c>
      <c r="N2659" s="3" t="n">
        <v>61059.85</v>
      </c>
      <c r="O2659" s="3" t="n">
        <v>394270.89</v>
      </c>
      <c r="P2659" s="3" t="n">
        <v>273198.44</v>
      </c>
      <c r="Q2659" s="3" t="n">
        <v>121072.45</v>
      </c>
      <c r="R2659" s="3" t="n">
        <v>0.3071</v>
      </c>
      <c r="S2659" s="3" t="n">
        <v>0.1303</v>
      </c>
      <c r="T2659" s="3" t="n">
        <v>0.0038</v>
      </c>
    </row>
    <row r="2660" customFormat="false" ht="15" hidden="false" customHeight="true" outlineLevel="0" collapsed="false">
      <c r="A2660" s="3" t="s">
        <v>3731</v>
      </c>
      <c r="B2660" s="3" t="s">
        <v>481</v>
      </c>
      <c r="C2660" s="3" t="s">
        <v>37</v>
      </c>
      <c r="D2660" s="3" t="s">
        <v>75</v>
      </c>
      <c r="E2660" s="3" t="s">
        <v>39</v>
      </c>
      <c r="F2660" s="3" t="s">
        <v>25</v>
      </c>
      <c r="G2660" s="3" t="s">
        <v>63</v>
      </c>
      <c r="H2660" s="3" t="s">
        <v>77</v>
      </c>
      <c r="I2660" s="3" t="s">
        <v>131</v>
      </c>
      <c r="J2660" s="3" t="n">
        <v>1</v>
      </c>
      <c r="K2660" s="3" t="n">
        <v>3123.73</v>
      </c>
      <c r="L2660" s="3" t="n">
        <v>3123.73</v>
      </c>
      <c r="M2660" s="3" t="n">
        <v>0.1008</v>
      </c>
      <c r="N2660" s="3" t="n">
        <v>314.87</v>
      </c>
      <c r="O2660" s="3" t="n">
        <v>2808.86</v>
      </c>
      <c r="P2660" s="3" t="n">
        <v>2124.14</v>
      </c>
      <c r="Q2660" s="3" t="n">
        <v>684.72</v>
      </c>
      <c r="R2660" s="3" t="n">
        <v>0.2438</v>
      </c>
      <c r="S2660" s="3" t="n">
        <v>0.1027</v>
      </c>
      <c r="T2660" s="3" t="n">
        <v>-0.0019</v>
      </c>
    </row>
    <row r="2661" customFormat="false" ht="15" hidden="false" customHeight="true" outlineLevel="0" collapsed="false">
      <c r="A2661" s="3" t="s">
        <v>3732</v>
      </c>
      <c r="B2661" s="3" t="s">
        <v>876</v>
      </c>
      <c r="C2661" s="3" t="s">
        <v>37</v>
      </c>
      <c r="D2661" s="3" t="s">
        <v>23</v>
      </c>
      <c r="E2661" s="3" t="s">
        <v>24</v>
      </c>
      <c r="F2661" s="3" t="s">
        <v>25</v>
      </c>
      <c r="G2661" s="3" t="s">
        <v>76</v>
      </c>
      <c r="H2661" s="3" t="s">
        <v>56</v>
      </c>
      <c r="I2661" s="3" t="s">
        <v>57</v>
      </c>
      <c r="J2661" s="3" t="n">
        <v>43</v>
      </c>
      <c r="K2661" s="3" t="n">
        <v>7288.7</v>
      </c>
      <c r="L2661" s="3" t="n">
        <v>313414.1</v>
      </c>
      <c r="M2661" s="3" t="n">
        <v>0.1921</v>
      </c>
      <c r="N2661" s="3" t="n">
        <v>60206.85</v>
      </c>
      <c r="O2661" s="3" t="n">
        <v>253207.25</v>
      </c>
      <c r="P2661" s="3" t="n">
        <v>188048.46</v>
      </c>
      <c r="Q2661" s="3" t="n">
        <v>65158.79</v>
      </c>
      <c r="R2661" s="3" t="n">
        <v>0.2573</v>
      </c>
      <c r="S2661" s="3" t="n">
        <v>0.1726</v>
      </c>
      <c r="T2661" s="3" t="n">
        <v>0.0195</v>
      </c>
    </row>
    <row r="2662" customFormat="false" ht="15" hidden="false" customHeight="true" outlineLevel="0" collapsed="false">
      <c r="A2662" s="3" t="s">
        <v>3733</v>
      </c>
      <c r="B2662" s="3" t="s">
        <v>187</v>
      </c>
      <c r="C2662" s="3" t="s">
        <v>156</v>
      </c>
      <c r="D2662" s="3" t="s">
        <v>103</v>
      </c>
      <c r="E2662" s="3" t="s">
        <v>24</v>
      </c>
      <c r="F2662" s="3" t="s">
        <v>62</v>
      </c>
      <c r="G2662" s="3" t="s">
        <v>116</v>
      </c>
      <c r="H2662" s="3" t="s">
        <v>77</v>
      </c>
      <c r="I2662" s="3" t="s">
        <v>78</v>
      </c>
      <c r="J2662" s="3" t="n">
        <v>12</v>
      </c>
      <c r="K2662" s="3" t="n">
        <v>5957.75</v>
      </c>
      <c r="L2662" s="3" t="n">
        <v>71493</v>
      </c>
      <c r="M2662" s="3" t="n">
        <v>0.08</v>
      </c>
      <c r="N2662" s="3" t="n">
        <v>5719.44</v>
      </c>
      <c r="O2662" s="3" t="n">
        <v>65773.56</v>
      </c>
      <c r="P2662" s="3" t="n">
        <v>48615.24</v>
      </c>
      <c r="Q2662" s="3" t="n">
        <v>17158.32</v>
      </c>
      <c r="R2662" s="3" t="n">
        <v>0.2609</v>
      </c>
      <c r="S2662" s="3" t="n">
        <v>0.0641</v>
      </c>
      <c r="T2662" s="3" t="n">
        <v>0.0159</v>
      </c>
    </row>
    <row r="2663" customFormat="false" ht="15" hidden="false" customHeight="true" outlineLevel="0" collapsed="false">
      <c r="A2663" s="3" t="s">
        <v>3734</v>
      </c>
      <c r="B2663" s="3" t="s">
        <v>607</v>
      </c>
      <c r="C2663" s="3" t="s">
        <v>126</v>
      </c>
      <c r="D2663" s="3" t="s">
        <v>47</v>
      </c>
      <c r="E2663" s="3" t="s">
        <v>48</v>
      </c>
      <c r="F2663" s="3" t="s">
        <v>25</v>
      </c>
      <c r="G2663" s="3" t="s">
        <v>49</v>
      </c>
      <c r="H2663" s="3" t="s">
        <v>56</v>
      </c>
      <c r="I2663" s="3" t="s">
        <v>57</v>
      </c>
      <c r="J2663" s="3" t="n">
        <v>27</v>
      </c>
      <c r="K2663" s="3" t="n">
        <v>10336.31</v>
      </c>
      <c r="L2663" s="3" t="n">
        <v>279080.37</v>
      </c>
      <c r="M2663" s="3" t="n">
        <v>0.1789</v>
      </c>
      <c r="N2663" s="3" t="n">
        <v>49927.48</v>
      </c>
      <c r="O2663" s="3" t="n">
        <v>229152.89</v>
      </c>
      <c r="P2663" s="3" t="n">
        <v>167448.22</v>
      </c>
      <c r="Q2663" s="3" t="n">
        <v>61704.67</v>
      </c>
      <c r="R2663" s="3" t="n">
        <v>0.2693</v>
      </c>
      <c r="S2663" s="3" t="n">
        <v>0.1798</v>
      </c>
      <c r="T2663" s="3" t="n">
        <v>-0.0009</v>
      </c>
    </row>
    <row r="2664" customFormat="false" ht="15" hidden="false" customHeight="true" outlineLevel="0" collapsed="false">
      <c r="A2664" s="3" t="s">
        <v>3735</v>
      </c>
      <c r="B2664" s="3" t="s">
        <v>977</v>
      </c>
      <c r="C2664" s="3" t="s">
        <v>60</v>
      </c>
      <c r="D2664" s="3" t="s">
        <v>103</v>
      </c>
      <c r="E2664" s="3" t="s">
        <v>24</v>
      </c>
      <c r="F2664" s="3" t="s">
        <v>62</v>
      </c>
      <c r="G2664" s="3" t="s">
        <v>63</v>
      </c>
      <c r="H2664" s="3" t="s">
        <v>27</v>
      </c>
      <c r="I2664" s="3" t="s">
        <v>173</v>
      </c>
      <c r="J2664" s="3" t="n">
        <v>21</v>
      </c>
      <c r="K2664" s="3" t="n">
        <v>19292.81</v>
      </c>
      <c r="L2664" s="3" t="n">
        <v>405149.01</v>
      </c>
      <c r="M2664" s="3" t="n">
        <v>0.0353</v>
      </c>
      <c r="N2664" s="3" t="n">
        <v>14301.76</v>
      </c>
      <c r="O2664" s="3" t="n">
        <v>390847.25</v>
      </c>
      <c r="P2664" s="3" t="n">
        <v>251192.39</v>
      </c>
      <c r="Q2664" s="3" t="n">
        <v>139654.86</v>
      </c>
      <c r="R2664" s="3" t="n">
        <v>0.3573</v>
      </c>
      <c r="S2664" s="3" t="n">
        <v>0.0377</v>
      </c>
      <c r="T2664" s="3" t="n">
        <v>-0.0024</v>
      </c>
    </row>
    <row r="2665" customFormat="false" ht="15" hidden="false" customHeight="true" outlineLevel="0" collapsed="false">
      <c r="A2665" s="3" t="s">
        <v>3736</v>
      </c>
      <c r="B2665" s="3" t="s">
        <v>1289</v>
      </c>
      <c r="C2665" s="3" t="s">
        <v>156</v>
      </c>
      <c r="D2665" s="3" t="s">
        <v>54</v>
      </c>
      <c r="E2665" s="3" t="s">
        <v>24</v>
      </c>
      <c r="F2665" s="3" t="s">
        <v>40</v>
      </c>
      <c r="G2665" s="3" t="s">
        <v>100</v>
      </c>
      <c r="H2665" s="3" t="s">
        <v>42</v>
      </c>
      <c r="I2665" s="3" t="s">
        <v>43</v>
      </c>
      <c r="J2665" s="3" t="n">
        <v>31</v>
      </c>
      <c r="K2665" s="3" t="n">
        <v>2560.55</v>
      </c>
      <c r="L2665" s="3" t="n">
        <v>79377.05</v>
      </c>
      <c r="M2665" s="3" t="n">
        <v>0.0766</v>
      </c>
      <c r="N2665" s="3" t="n">
        <v>6080.28</v>
      </c>
      <c r="O2665" s="3" t="n">
        <v>73296.77</v>
      </c>
      <c r="P2665" s="3" t="n">
        <v>43657.38</v>
      </c>
      <c r="Q2665" s="3" t="n">
        <v>29639.39</v>
      </c>
      <c r="R2665" s="3" t="n">
        <v>0.4044</v>
      </c>
      <c r="S2665" s="3" t="n">
        <v>0.0646</v>
      </c>
      <c r="T2665" s="3" t="n">
        <v>0.012</v>
      </c>
    </row>
    <row r="2666" customFormat="false" ht="15" hidden="false" customHeight="true" outlineLevel="0" collapsed="false">
      <c r="A2666" s="3" t="s">
        <v>3737</v>
      </c>
      <c r="B2666" s="3" t="s">
        <v>3738</v>
      </c>
      <c r="C2666" s="3" t="s">
        <v>53</v>
      </c>
      <c r="D2666" s="3" t="s">
        <v>69</v>
      </c>
      <c r="E2666" s="3" t="s">
        <v>39</v>
      </c>
      <c r="F2666" s="3" t="s">
        <v>70</v>
      </c>
      <c r="G2666" s="3" t="s">
        <v>100</v>
      </c>
      <c r="H2666" s="3" t="s">
        <v>64</v>
      </c>
      <c r="I2666" s="3" t="s">
        <v>90</v>
      </c>
      <c r="J2666" s="3" t="n">
        <v>2</v>
      </c>
      <c r="K2666" s="3" t="n">
        <v>11983</v>
      </c>
      <c r="L2666" s="3" t="n">
        <v>23966</v>
      </c>
      <c r="M2666" s="3" t="n">
        <v>0.0556</v>
      </c>
      <c r="N2666" s="3" t="n">
        <v>1332.51</v>
      </c>
      <c r="O2666" s="3" t="n">
        <v>22633.49</v>
      </c>
      <c r="P2666" s="3" t="n">
        <v>13900.28</v>
      </c>
      <c r="Q2666" s="3" t="n">
        <v>8733.21</v>
      </c>
      <c r="R2666" s="3" t="n">
        <v>0.3859</v>
      </c>
      <c r="S2666" s="3" t="n">
        <v>0.0585</v>
      </c>
      <c r="T2666" s="3" t="n">
        <v>-0.0029</v>
      </c>
    </row>
    <row r="2667" customFormat="false" ht="15" hidden="false" customHeight="true" outlineLevel="0" collapsed="false">
      <c r="A2667" s="3" t="s">
        <v>3739</v>
      </c>
      <c r="B2667" s="3" t="s">
        <v>1259</v>
      </c>
      <c r="C2667" s="3" t="s">
        <v>22</v>
      </c>
      <c r="D2667" s="3" t="s">
        <v>83</v>
      </c>
      <c r="E2667" s="3" t="s">
        <v>48</v>
      </c>
      <c r="F2667" s="3" t="s">
        <v>62</v>
      </c>
      <c r="G2667" s="3" t="s">
        <v>84</v>
      </c>
      <c r="H2667" s="3" t="s">
        <v>27</v>
      </c>
      <c r="I2667" s="3" t="s">
        <v>28</v>
      </c>
      <c r="J2667" s="3" t="n">
        <v>16</v>
      </c>
      <c r="K2667" s="3" t="n">
        <v>8636.16</v>
      </c>
      <c r="L2667" s="3" t="n">
        <v>138178.56</v>
      </c>
      <c r="M2667" s="3" t="n">
        <v>0.0504</v>
      </c>
      <c r="N2667" s="3" t="n">
        <v>6964.2</v>
      </c>
      <c r="O2667" s="3" t="n">
        <v>131214.36</v>
      </c>
      <c r="P2667" s="3" t="n">
        <v>85670.71</v>
      </c>
      <c r="Q2667" s="3" t="n">
        <v>45543.65</v>
      </c>
      <c r="R2667" s="3" t="n">
        <v>0.3471</v>
      </c>
      <c r="S2667" s="3" t="n">
        <v>0.0537</v>
      </c>
      <c r="T2667" s="3" t="n">
        <v>-0.0033</v>
      </c>
    </row>
    <row r="2668" customFormat="false" ht="15" hidden="false" customHeight="true" outlineLevel="0" collapsed="false">
      <c r="A2668" s="3" t="s">
        <v>3740</v>
      </c>
      <c r="B2668" s="3" t="s">
        <v>1240</v>
      </c>
      <c r="C2668" s="3" t="s">
        <v>37</v>
      </c>
      <c r="D2668" s="3" t="s">
        <v>54</v>
      </c>
      <c r="E2668" s="3" t="s">
        <v>24</v>
      </c>
      <c r="F2668" s="3" t="s">
        <v>40</v>
      </c>
      <c r="G2668" s="3" t="s">
        <v>34</v>
      </c>
      <c r="H2668" s="3" t="s">
        <v>42</v>
      </c>
      <c r="I2668" s="3" t="s">
        <v>43</v>
      </c>
      <c r="J2668" s="3" t="n">
        <v>27</v>
      </c>
      <c r="K2668" s="3" t="n">
        <v>2294.43</v>
      </c>
      <c r="L2668" s="3" t="n">
        <v>61949.61</v>
      </c>
      <c r="M2668" s="3" t="n">
        <v>0.0548</v>
      </c>
      <c r="N2668" s="3" t="n">
        <v>3394.84</v>
      </c>
      <c r="O2668" s="3" t="n">
        <v>58554.77</v>
      </c>
      <c r="P2668" s="3" t="n">
        <v>34072.29</v>
      </c>
      <c r="Q2668" s="3" t="n">
        <v>24482.48</v>
      </c>
      <c r="R2668" s="3" t="n">
        <v>0.4181</v>
      </c>
      <c r="S2668" s="3" t="n">
        <v>0.0559</v>
      </c>
      <c r="T2668" s="3" t="n">
        <v>-0.0011</v>
      </c>
    </row>
    <row r="2669" customFormat="false" ht="15" hidden="false" customHeight="true" outlineLevel="0" collapsed="false">
      <c r="A2669" s="3" t="s">
        <v>3741</v>
      </c>
      <c r="B2669" s="3" t="s">
        <v>1216</v>
      </c>
      <c r="C2669" s="3" t="s">
        <v>126</v>
      </c>
      <c r="D2669" s="3" t="s">
        <v>107</v>
      </c>
      <c r="E2669" s="3" t="s">
        <v>33</v>
      </c>
      <c r="F2669" s="3" t="s">
        <v>70</v>
      </c>
      <c r="G2669" s="3" t="s">
        <v>100</v>
      </c>
      <c r="H2669" s="3" t="s">
        <v>56</v>
      </c>
      <c r="I2669" s="3" t="s">
        <v>121</v>
      </c>
      <c r="J2669" s="3" t="n">
        <v>39</v>
      </c>
      <c r="K2669" s="3" t="n">
        <v>5573.42</v>
      </c>
      <c r="L2669" s="3" t="n">
        <v>217363.38</v>
      </c>
      <c r="M2669" s="3" t="n">
        <v>0.0688</v>
      </c>
      <c r="N2669" s="3" t="n">
        <v>14954.6</v>
      </c>
      <c r="O2669" s="3" t="n">
        <v>202408.78</v>
      </c>
      <c r="P2669" s="3" t="n">
        <v>130418.03</v>
      </c>
      <c r="Q2669" s="3" t="n">
        <v>71990.75</v>
      </c>
      <c r="R2669" s="3" t="n">
        <v>0.3557</v>
      </c>
      <c r="S2669" s="3" t="n">
        <v>0.0705</v>
      </c>
      <c r="T2669" s="3" t="n">
        <v>-0.0017</v>
      </c>
    </row>
    <row r="2670" customFormat="false" ht="15" hidden="false" customHeight="true" outlineLevel="0" collapsed="false">
      <c r="A2670" s="3" t="s">
        <v>3742</v>
      </c>
      <c r="B2670" s="3" t="s">
        <v>685</v>
      </c>
      <c r="C2670" s="3" t="s">
        <v>22</v>
      </c>
      <c r="D2670" s="3" t="s">
        <v>69</v>
      </c>
      <c r="E2670" s="3" t="s">
        <v>39</v>
      </c>
      <c r="F2670" s="3" t="s">
        <v>70</v>
      </c>
      <c r="G2670" s="3" t="s">
        <v>55</v>
      </c>
      <c r="H2670" s="3" t="s">
        <v>42</v>
      </c>
      <c r="I2670" s="3" t="s">
        <v>72</v>
      </c>
      <c r="J2670" s="3" t="n">
        <v>50</v>
      </c>
      <c r="K2670" s="3" t="n">
        <v>542.41</v>
      </c>
      <c r="L2670" s="3" t="n">
        <v>27120.5</v>
      </c>
      <c r="M2670" s="3" t="n">
        <v>0.0517</v>
      </c>
      <c r="N2670" s="3" t="n">
        <v>1402.13</v>
      </c>
      <c r="O2670" s="3" t="n">
        <v>25718.37</v>
      </c>
      <c r="P2670" s="3" t="n">
        <v>14916.28</v>
      </c>
      <c r="Q2670" s="3" t="n">
        <v>10802.09</v>
      </c>
      <c r="R2670" s="3" t="n">
        <v>0.42</v>
      </c>
      <c r="S2670" s="3" t="n">
        <v>0.0541</v>
      </c>
      <c r="T2670" s="3" t="n">
        <v>-0.0024</v>
      </c>
    </row>
    <row r="2671" customFormat="false" ht="15" hidden="false" customHeight="true" outlineLevel="0" collapsed="false">
      <c r="A2671" s="3" t="s">
        <v>3743</v>
      </c>
      <c r="B2671" s="3" t="s">
        <v>36</v>
      </c>
      <c r="C2671" s="3" t="s">
        <v>37</v>
      </c>
      <c r="D2671" s="3" t="s">
        <v>83</v>
      </c>
      <c r="E2671" s="3" t="s">
        <v>48</v>
      </c>
      <c r="F2671" s="3" t="s">
        <v>62</v>
      </c>
      <c r="G2671" s="3" t="s">
        <v>55</v>
      </c>
      <c r="H2671" s="3" t="s">
        <v>56</v>
      </c>
      <c r="I2671" s="3" t="s">
        <v>57</v>
      </c>
      <c r="J2671" s="3" t="n">
        <v>9</v>
      </c>
      <c r="K2671" s="3" t="n">
        <v>16042.24</v>
      </c>
      <c r="L2671" s="3" t="n">
        <v>144380.16</v>
      </c>
      <c r="M2671" s="3" t="n">
        <v>0.072</v>
      </c>
      <c r="N2671" s="3" t="n">
        <v>10395.37</v>
      </c>
      <c r="O2671" s="3" t="n">
        <v>133984.79</v>
      </c>
      <c r="P2671" s="3" t="n">
        <v>86628.1</v>
      </c>
      <c r="Q2671" s="3" t="n">
        <v>47356.69</v>
      </c>
      <c r="R2671" s="3" t="n">
        <v>0.3534</v>
      </c>
      <c r="S2671" s="3" t="n">
        <v>0.079</v>
      </c>
      <c r="T2671" s="3" t="n">
        <v>-0.007</v>
      </c>
    </row>
    <row r="2672" customFormat="false" ht="15" hidden="false" customHeight="true" outlineLevel="0" collapsed="false">
      <c r="A2672" s="3" t="s">
        <v>3744</v>
      </c>
      <c r="B2672" s="3" t="s">
        <v>1918</v>
      </c>
      <c r="C2672" s="3" t="s">
        <v>37</v>
      </c>
      <c r="D2672" s="3" t="s">
        <v>107</v>
      </c>
      <c r="E2672" s="3" t="s">
        <v>33</v>
      </c>
      <c r="F2672" s="3" t="s">
        <v>70</v>
      </c>
      <c r="G2672" s="3" t="s">
        <v>34</v>
      </c>
      <c r="H2672" s="3" t="s">
        <v>42</v>
      </c>
      <c r="I2672" s="3" t="s">
        <v>43</v>
      </c>
      <c r="J2672" s="3" t="n">
        <v>40</v>
      </c>
      <c r="K2672" s="3" t="n">
        <v>1769.02</v>
      </c>
      <c r="L2672" s="3" t="n">
        <v>70760.8</v>
      </c>
      <c r="M2672" s="3" t="n">
        <v>0.064</v>
      </c>
      <c r="N2672" s="3" t="n">
        <v>4528.69</v>
      </c>
      <c r="O2672" s="3" t="n">
        <v>66232.11</v>
      </c>
      <c r="P2672" s="3" t="n">
        <v>38918.44</v>
      </c>
      <c r="Q2672" s="3" t="n">
        <v>27313.67</v>
      </c>
      <c r="R2672" s="3" t="n">
        <v>0.4124</v>
      </c>
      <c r="S2672" s="3" t="n">
        <v>0.0688</v>
      </c>
      <c r="T2672" s="3" t="n">
        <v>-0.0048</v>
      </c>
    </row>
    <row r="2673" customFormat="false" ht="15" hidden="false" customHeight="true" outlineLevel="0" collapsed="false">
      <c r="A2673" s="3" t="s">
        <v>3745</v>
      </c>
      <c r="B2673" s="3" t="s">
        <v>2102</v>
      </c>
      <c r="C2673" s="3" t="s">
        <v>68</v>
      </c>
      <c r="D2673" s="3" t="s">
        <v>83</v>
      </c>
      <c r="E2673" s="3" t="s">
        <v>48</v>
      </c>
      <c r="F2673" s="3" t="s">
        <v>62</v>
      </c>
      <c r="G2673" s="3" t="s">
        <v>63</v>
      </c>
      <c r="H2673" s="3" t="s">
        <v>64</v>
      </c>
      <c r="I2673" s="3" t="s">
        <v>145</v>
      </c>
      <c r="J2673" s="3" t="n">
        <v>32</v>
      </c>
      <c r="K2673" s="3" t="n">
        <v>9766.13</v>
      </c>
      <c r="L2673" s="3" t="n">
        <v>312516.16</v>
      </c>
      <c r="M2673" s="3" t="n">
        <v>0.045</v>
      </c>
      <c r="N2673" s="3" t="n">
        <v>14063.23</v>
      </c>
      <c r="O2673" s="3" t="n">
        <v>298452.93</v>
      </c>
      <c r="P2673" s="3" t="n">
        <v>181259.37</v>
      </c>
      <c r="Q2673" s="3" t="n">
        <v>117193.56</v>
      </c>
      <c r="R2673" s="3" t="n">
        <v>0.3927</v>
      </c>
      <c r="S2673" s="3" t="n">
        <v>0.0491</v>
      </c>
      <c r="T2673" s="3" t="n">
        <v>-0.0041</v>
      </c>
    </row>
    <row r="2674" customFormat="false" ht="15" hidden="false" customHeight="true" outlineLevel="0" collapsed="false">
      <c r="A2674" s="3" t="s">
        <v>3746</v>
      </c>
      <c r="B2674" s="3" t="s">
        <v>36</v>
      </c>
      <c r="C2674" s="3" t="s">
        <v>37</v>
      </c>
      <c r="D2674" s="3" t="s">
        <v>32</v>
      </c>
      <c r="E2674" s="3" t="s">
        <v>33</v>
      </c>
      <c r="F2674" s="3" t="s">
        <v>25</v>
      </c>
      <c r="G2674" s="3" t="s">
        <v>84</v>
      </c>
      <c r="H2674" s="3" t="s">
        <v>56</v>
      </c>
      <c r="I2674" s="3" t="s">
        <v>57</v>
      </c>
      <c r="J2674" s="3" t="n">
        <v>15</v>
      </c>
      <c r="K2674" s="3" t="n">
        <v>12243.52</v>
      </c>
      <c r="L2674" s="3" t="n">
        <v>183652.8</v>
      </c>
      <c r="M2674" s="3" t="n">
        <v>0.1528</v>
      </c>
      <c r="N2674" s="3" t="n">
        <v>28062.15</v>
      </c>
      <c r="O2674" s="3" t="n">
        <v>155590.65</v>
      </c>
      <c r="P2674" s="3" t="n">
        <v>110191.68</v>
      </c>
      <c r="Q2674" s="3" t="n">
        <v>45398.97</v>
      </c>
      <c r="R2674" s="3" t="n">
        <v>0.2918</v>
      </c>
      <c r="S2674" s="3" t="n">
        <v>0.149</v>
      </c>
      <c r="T2674" s="3" t="n">
        <v>0.0038</v>
      </c>
    </row>
    <row r="2675" customFormat="false" ht="15" hidden="false" customHeight="true" outlineLevel="0" collapsed="false">
      <c r="A2675" s="3" t="s">
        <v>3747</v>
      </c>
      <c r="B2675" s="3" t="s">
        <v>1319</v>
      </c>
      <c r="C2675" s="3" t="s">
        <v>60</v>
      </c>
      <c r="D2675" s="3" t="s">
        <v>23</v>
      </c>
      <c r="E2675" s="3" t="s">
        <v>24</v>
      </c>
      <c r="F2675" s="3" t="s">
        <v>25</v>
      </c>
      <c r="G2675" s="3" t="s">
        <v>41</v>
      </c>
      <c r="H2675" s="3" t="s">
        <v>56</v>
      </c>
      <c r="I2675" s="3" t="s">
        <v>188</v>
      </c>
      <c r="J2675" s="3" t="n">
        <v>28</v>
      </c>
      <c r="K2675" s="3" t="n">
        <v>12525.78</v>
      </c>
      <c r="L2675" s="3" t="n">
        <v>350721.84</v>
      </c>
      <c r="M2675" s="3" t="n">
        <v>0.1575</v>
      </c>
      <c r="N2675" s="3" t="n">
        <v>55238.69</v>
      </c>
      <c r="O2675" s="3" t="n">
        <v>295483.15</v>
      </c>
      <c r="P2675" s="3" t="n">
        <v>210433.1</v>
      </c>
      <c r="Q2675" s="3" t="n">
        <v>85050.05</v>
      </c>
      <c r="R2675" s="3" t="n">
        <v>0.2878</v>
      </c>
      <c r="S2675" s="3" t="n">
        <v>0.1567</v>
      </c>
      <c r="T2675" s="3" t="n">
        <v>0.0008</v>
      </c>
    </row>
    <row r="2676" customFormat="false" ht="15" hidden="false" customHeight="true" outlineLevel="0" collapsed="false">
      <c r="A2676" s="3" t="s">
        <v>3748</v>
      </c>
      <c r="B2676" s="3" t="s">
        <v>892</v>
      </c>
      <c r="C2676" s="3" t="s">
        <v>68</v>
      </c>
      <c r="D2676" s="3" t="s">
        <v>32</v>
      </c>
      <c r="E2676" s="3" t="s">
        <v>33</v>
      </c>
      <c r="F2676" s="3" t="s">
        <v>25</v>
      </c>
      <c r="G2676" s="3" t="s">
        <v>49</v>
      </c>
      <c r="H2676" s="3" t="s">
        <v>64</v>
      </c>
      <c r="I2676" s="3" t="s">
        <v>65</v>
      </c>
      <c r="J2676" s="3" t="n">
        <v>39</v>
      </c>
      <c r="K2676" s="3" t="n">
        <v>11202.13</v>
      </c>
      <c r="L2676" s="3" t="n">
        <v>436883.07</v>
      </c>
      <c r="M2676" s="3" t="n">
        <v>0.1299</v>
      </c>
      <c r="N2676" s="3" t="n">
        <v>56751.11</v>
      </c>
      <c r="O2676" s="3" t="n">
        <v>380131.96</v>
      </c>
      <c r="P2676" s="3" t="n">
        <v>253392.18</v>
      </c>
      <c r="Q2676" s="3" t="n">
        <v>126739.78</v>
      </c>
      <c r="R2676" s="3" t="n">
        <v>0.3334</v>
      </c>
      <c r="S2676" s="3" t="n">
        <v>0.1149</v>
      </c>
      <c r="T2676" s="3" t="n">
        <v>0.015</v>
      </c>
    </row>
    <row r="2677" customFormat="false" ht="15" hidden="false" customHeight="true" outlineLevel="0" collapsed="false">
      <c r="A2677" s="3" t="s">
        <v>3749</v>
      </c>
      <c r="B2677" s="3" t="s">
        <v>3423</v>
      </c>
      <c r="C2677" s="3" t="s">
        <v>93</v>
      </c>
      <c r="D2677" s="3" t="s">
        <v>32</v>
      </c>
      <c r="E2677" s="3" t="s">
        <v>33</v>
      </c>
      <c r="F2677" s="3" t="s">
        <v>25</v>
      </c>
      <c r="G2677" s="3" t="s">
        <v>76</v>
      </c>
      <c r="H2677" s="3" t="s">
        <v>77</v>
      </c>
      <c r="I2677" s="3" t="s">
        <v>131</v>
      </c>
      <c r="J2677" s="3" t="n">
        <v>15</v>
      </c>
      <c r="K2677" s="3" t="n">
        <v>1937.11</v>
      </c>
      <c r="L2677" s="3" t="n">
        <v>29056.65</v>
      </c>
      <c r="M2677" s="3" t="n">
        <v>0.1343</v>
      </c>
      <c r="N2677" s="3" t="n">
        <v>3902.31</v>
      </c>
      <c r="O2677" s="3" t="n">
        <v>25154.34</v>
      </c>
      <c r="P2677" s="3" t="n">
        <v>19758.52</v>
      </c>
      <c r="Q2677" s="3" t="n">
        <v>5395.82</v>
      </c>
      <c r="R2677" s="3" t="n">
        <v>0.2145</v>
      </c>
      <c r="S2677" s="3" t="n">
        <v>0.1265</v>
      </c>
      <c r="T2677" s="3" t="n">
        <v>0.0078</v>
      </c>
    </row>
    <row r="2678" customFormat="false" ht="15" hidden="false" customHeight="true" outlineLevel="0" collapsed="false">
      <c r="A2678" s="3" t="s">
        <v>3750</v>
      </c>
      <c r="B2678" s="3" t="s">
        <v>1057</v>
      </c>
      <c r="C2678" s="3" t="s">
        <v>22</v>
      </c>
      <c r="D2678" s="3" t="s">
        <v>107</v>
      </c>
      <c r="E2678" s="3" t="s">
        <v>33</v>
      </c>
      <c r="F2678" s="3" t="s">
        <v>70</v>
      </c>
      <c r="G2678" s="3" t="s">
        <v>49</v>
      </c>
      <c r="H2678" s="3" t="s">
        <v>77</v>
      </c>
      <c r="I2678" s="3" t="s">
        <v>78</v>
      </c>
      <c r="J2678" s="3" t="n">
        <v>8</v>
      </c>
      <c r="K2678" s="3" t="n">
        <v>4126.38</v>
      </c>
      <c r="L2678" s="3" t="n">
        <v>33011.04</v>
      </c>
      <c r="M2678" s="3" t="n">
        <v>0.0628</v>
      </c>
      <c r="N2678" s="3" t="n">
        <v>2073.09</v>
      </c>
      <c r="O2678" s="3" t="n">
        <v>30937.95</v>
      </c>
      <c r="P2678" s="3" t="n">
        <v>22447.51</v>
      </c>
      <c r="Q2678" s="3" t="n">
        <v>8490.44</v>
      </c>
      <c r="R2678" s="3" t="n">
        <v>0.2744</v>
      </c>
      <c r="S2678" s="3" t="n">
        <v>0.0599</v>
      </c>
      <c r="T2678" s="3" t="n">
        <v>0.0029</v>
      </c>
    </row>
    <row r="2679" customFormat="false" ht="15" hidden="false" customHeight="true" outlineLevel="0" collapsed="false">
      <c r="A2679" s="3" t="s">
        <v>3751</v>
      </c>
      <c r="B2679" s="3" t="s">
        <v>390</v>
      </c>
      <c r="C2679" s="3" t="s">
        <v>120</v>
      </c>
      <c r="D2679" s="3" t="s">
        <v>47</v>
      </c>
      <c r="E2679" s="3" t="s">
        <v>48</v>
      </c>
      <c r="F2679" s="3" t="s">
        <v>25</v>
      </c>
      <c r="G2679" s="3" t="s">
        <v>100</v>
      </c>
      <c r="H2679" s="3" t="s">
        <v>42</v>
      </c>
      <c r="I2679" s="3" t="s">
        <v>72</v>
      </c>
      <c r="J2679" s="3" t="n">
        <v>13</v>
      </c>
      <c r="K2679" s="3" t="n">
        <v>3025.72</v>
      </c>
      <c r="L2679" s="3" t="n">
        <v>39334.36</v>
      </c>
      <c r="M2679" s="3" t="n">
        <v>0.1119</v>
      </c>
      <c r="N2679" s="3" t="n">
        <v>4401.51</v>
      </c>
      <c r="O2679" s="3" t="n">
        <v>34932.85</v>
      </c>
      <c r="P2679" s="3" t="n">
        <v>21633.9</v>
      </c>
      <c r="Q2679" s="3" t="n">
        <v>13298.95</v>
      </c>
      <c r="R2679" s="3" t="n">
        <v>0.3807</v>
      </c>
      <c r="S2679" s="3" t="n">
        <v>0.1177</v>
      </c>
      <c r="T2679" s="3" t="n">
        <v>-0.0058</v>
      </c>
    </row>
    <row r="2680" customFormat="false" ht="15" hidden="false" customHeight="true" outlineLevel="0" collapsed="false">
      <c r="A2680" s="3" t="s">
        <v>3752</v>
      </c>
      <c r="B2680" s="3" t="s">
        <v>537</v>
      </c>
      <c r="C2680" s="3" t="s">
        <v>31</v>
      </c>
      <c r="D2680" s="3" t="s">
        <v>103</v>
      </c>
      <c r="E2680" s="3" t="s">
        <v>24</v>
      </c>
      <c r="F2680" s="3" t="s">
        <v>62</v>
      </c>
      <c r="G2680" s="3" t="s">
        <v>26</v>
      </c>
      <c r="H2680" s="3" t="s">
        <v>56</v>
      </c>
      <c r="I2680" s="3" t="s">
        <v>57</v>
      </c>
      <c r="J2680" s="3" t="n">
        <v>18</v>
      </c>
      <c r="K2680" s="3" t="n">
        <v>10228.85</v>
      </c>
      <c r="L2680" s="3" t="n">
        <v>184119.3</v>
      </c>
      <c r="M2680" s="3" t="n">
        <v>0.0353</v>
      </c>
      <c r="N2680" s="3" t="n">
        <v>6499.41</v>
      </c>
      <c r="O2680" s="3" t="n">
        <v>177619.89</v>
      </c>
      <c r="P2680" s="3" t="n">
        <v>110471.58</v>
      </c>
      <c r="Q2680" s="3" t="n">
        <v>67148.31</v>
      </c>
      <c r="R2680" s="3" t="n">
        <v>0.378</v>
      </c>
      <c r="S2680" s="3" t="n">
        <v>0.0299</v>
      </c>
      <c r="T2680" s="3" t="n">
        <v>0.0054</v>
      </c>
    </row>
    <row r="2681" customFormat="false" ht="15" hidden="false" customHeight="true" outlineLevel="0" collapsed="false">
      <c r="A2681" s="3" t="s">
        <v>3753</v>
      </c>
      <c r="B2681" s="3" t="s">
        <v>993</v>
      </c>
      <c r="C2681" s="3" t="s">
        <v>126</v>
      </c>
      <c r="D2681" s="3" t="s">
        <v>23</v>
      </c>
      <c r="E2681" s="3" t="s">
        <v>24</v>
      </c>
      <c r="F2681" s="3" t="s">
        <v>25</v>
      </c>
      <c r="G2681" s="3" t="s">
        <v>63</v>
      </c>
      <c r="H2681" s="3" t="s">
        <v>64</v>
      </c>
      <c r="I2681" s="3" t="s">
        <v>108</v>
      </c>
      <c r="J2681" s="3" t="n">
        <v>42</v>
      </c>
      <c r="K2681" s="3" t="n">
        <v>3280.15</v>
      </c>
      <c r="L2681" s="3" t="n">
        <v>137766.3</v>
      </c>
      <c r="M2681" s="3" t="n">
        <v>0.1319</v>
      </c>
      <c r="N2681" s="3" t="n">
        <v>18171.37</v>
      </c>
      <c r="O2681" s="3" t="n">
        <v>119594.93</v>
      </c>
      <c r="P2681" s="3" t="n">
        <v>79904.45</v>
      </c>
      <c r="Q2681" s="3" t="n">
        <v>39690.48</v>
      </c>
      <c r="R2681" s="3" t="n">
        <v>0.3319</v>
      </c>
      <c r="S2681" s="3" t="n">
        <v>0.1121</v>
      </c>
      <c r="T2681" s="3" t="n">
        <v>0.0198</v>
      </c>
    </row>
    <row r="2682" customFormat="false" ht="15" hidden="false" customHeight="true" outlineLevel="0" collapsed="false">
      <c r="A2682" s="3" t="s">
        <v>3754</v>
      </c>
      <c r="B2682" s="3" t="s">
        <v>2142</v>
      </c>
      <c r="C2682" s="3" t="s">
        <v>31</v>
      </c>
      <c r="D2682" s="3" t="s">
        <v>47</v>
      </c>
      <c r="E2682" s="3" t="s">
        <v>48</v>
      </c>
      <c r="F2682" s="3" t="s">
        <v>25</v>
      </c>
      <c r="G2682" s="3" t="s">
        <v>100</v>
      </c>
      <c r="H2682" s="3" t="s">
        <v>77</v>
      </c>
      <c r="I2682" s="3" t="s">
        <v>78</v>
      </c>
      <c r="J2682" s="3" t="n">
        <v>29</v>
      </c>
      <c r="K2682" s="3" t="n">
        <v>2206.98</v>
      </c>
      <c r="L2682" s="3" t="n">
        <v>64002.42</v>
      </c>
      <c r="M2682" s="3" t="n">
        <v>0.0798</v>
      </c>
      <c r="N2682" s="3" t="n">
        <v>5107.39</v>
      </c>
      <c r="O2682" s="3" t="n">
        <v>58895.03</v>
      </c>
      <c r="P2682" s="3" t="n">
        <v>43521.65</v>
      </c>
      <c r="Q2682" s="3" t="n">
        <v>15373.38</v>
      </c>
      <c r="R2682" s="3" t="n">
        <v>0.261</v>
      </c>
      <c r="S2682" s="3" t="n">
        <v>0.0682</v>
      </c>
      <c r="T2682" s="3" t="n">
        <v>0.0116</v>
      </c>
    </row>
    <row r="2683" customFormat="false" ht="15" hidden="false" customHeight="true" outlineLevel="0" collapsed="false">
      <c r="A2683" s="3" t="s">
        <v>3755</v>
      </c>
      <c r="B2683" s="3" t="s">
        <v>740</v>
      </c>
      <c r="C2683" s="3" t="s">
        <v>120</v>
      </c>
      <c r="D2683" s="3" t="s">
        <v>38</v>
      </c>
      <c r="E2683" s="3" t="s">
        <v>39</v>
      </c>
      <c r="F2683" s="3" t="s">
        <v>40</v>
      </c>
      <c r="G2683" s="3" t="s">
        <v>49</v>
      </c>
      <c r="H2683" s="3" t="s">
        <v>64</v>
      </c>
      <c r="I2683" s="3" t="s">
        <v>65</v>
      </c>
      <c r="J2683" s="3" t="n">
        <v>34</v>
      </c>
      <c r="K2683" s="3" t="n">
        <v>3830.45</v>
      </c>
      <c r="L2683" s="3" t="n">
        <v>130235.3</v>
      </c>
      <c r="M2683" s="3" t="n">
        <v>0.0762</v>
      </c>
      <c r="N2683" s="3" t="n">
        <v>9923.93</v>
      </c>
      <c r="O2683" s="3" t="n">
        <v>120311.37</v>
      </c>
      <c r="P2683" s="3" t="n">
        <v>75536.47</v>
      </c>
      <c r="Q2683" s="3" t="n">
        <v>44774.9</v>
      </c>
      <c r="R2683" s="3" t="n">
        <v>0.3722</v>
      </c>
      <c r="S2683" s="3" t="n">
        <v>0.0716</v>
      </c>
      <c r="T2683" s="3" t="n">
        <v>0.0046</v>
      </c>
    </row>
    <row r="2684" customFormat="false" ht="15" hidden="false" customHeight="true" outlineLevel="0" collapsed="false">
      <c r="A2684" s="3" t="s">
        <v>3756</v>
      </c>
      <c r="B2684" s="3" t="s">
        <v>3757</v>
      </c>
      <c r="C2684" s="3" t="s">
        <v>31</v>
      </c>
      <c r="D2684" s="3" t="s">
        <v>107</v>
      </c>
      <c r="E2684" s="3" t="s">
        <v>33</v>
      </c>
      <c r="F2684" s="3" t="s">
        <v>70</v>
      </c>
      <c r="G2684" s="3" t="s">
        <v>41</v>
      </c>
      <c r="H2684" s="3" t="s">
        <v>64</v>
      </c>
      <c r="I2684" s="3" t="s">
        <v>145</v>
      </c>
      <c r="J2684" s="3" t="n">
        <v>24</v>
      </c>
      <c r="K2684" s="3" t="n">
        <v>10977.19</v>
      </c>
      <c r="L2684" s="3" t="n">
        <v>263452.56</v>
      </c>
      <c r="M2684" s="3" t="n">
        <v>0.1136</v>
      </c>
      <c r="N2684" s="3" t="n">
        <v>29928.21</v>
      </c>
      <c r="O2684" s="3" t="n">
        <v>233524.35</v>
      </c>
      <c r="P2684" s="3" t="n">
        <v>152802.48</v>
      </c>
      <c r="Q2684" s="3" t="n">
        <v>80721.87</v>
      </c>
      <c r="R2684" s="3" t="n">
        <v>0.3457</v>
      </c>
      <c r="S2684" s="3" t="n">
        <v>0.1121</v>
      </c>
      <c r="T2684" s="3" t="n">
        <v>0.0015</v>
      </c>
    </row>
    <row r="2685" customFormat="false" ht="15" hidden="false" customHeight="true" outlineLevel="0" collapsed="false">
      <c r="A2685" s="3" t="s">
        <v>3758</v>
      </c>
      <c r="B2685" s="3" t="s">
        <v>1982</v>
      </c>
      <c r="C2685" s="3" t="s">
        <v>93</v>
      </c>
      <c r="D2685" s="3" t="s">
        <v>38</v>
      </c>
      <c r="E2685" s="3" t="s">
        <v>39</v>
      </c>
      <c r="F2685" s="3" t="s">
        <v>40</v>
      </c>
      <c r="G2685" s="3" t="s">
        <v>41</v>
      </c>
      <c r="H2685" s="3" t="s">
        <v>27</v>
      </c>
      <c r="I2685" s="3" t="s">
        <v>173</v>
      </c>
      <c r="J2685" s="3" t="n">
        <v>30</v>
      </c>
      <c r="K2685" s="3" t="n">
        <v>15538.13</v>
      </c>
      <c r="L2685" s="3" t="n">
        <v>466143.9</v>
      </c>
      <c r="M2685" s="3" t="n">
        <v>0.095</v>
      </c>
      <c r="N2685" s="3" t="n">
        <v>44283.67</v>
      </c>
      <c r="O2685" s="3" t="n">
        <v>421860.23</v>
      </c>
      <c r="P2685" s="3" t="n">
        <v>289009.22</v>
      </c>
      <c r="Q2685" s="3" t="n">
        <v>132851.01</v>
      </c>
      <c r="R2685" s="3" t="n">
        <v>0.3149</v>
      </c>
      <c r="S2685" s="3" t="n">
        <v>0.0794</v>
      </c>
      <c r="T2685" s="3" t="n">
        <v>0.0156</v>
      </c>
    </row>
    <row r="2686" customFormat="false" ht="15" hidden="false" customHeight="true" outlineLevel="0" collapsed="false">
      <c r="A2686" s="3" t="s">
        <v>3759</v>
      </c>
      <c r="B2686" s="3" t="s">
        <v>376</v>
      </c>
      <c r="C2686" s="3" t="s">
        <v>22</v>
      </c>
      <c r="D2686" s="3" t="s">
        <v>38</v>
      </c>
      <c r="E2686" s="3" t="s">
        <v>39</v>
      </c>
      <c r="F2686" s="3" t="s">
        <v>40</v>
      </c>
      <c r="G2686" s="3" t="s">
        <v>104</v>
      </c>
      <c r="H2686" s="3" t="s">
        <v>56</v>
      </c>
      <c r="I2686" s="3" t="s">
        <v>121</v>
      </c>
      <c r="J2686" s="3" t="n">
        <v>11</v>
      </c>
      <c r="K2686" s="3" t="n">
        <v>17691.14</v>
      </c>
      <c r="L2686" s="3" t="n">
        <v>194602.54</v>
      </c>
      <c r="M2686" s="3" t="n">
        <v>0.0886</v>
      </c>
      <c r="N2686" s="3" t="n">
        <v>17241.79</v>
      </c>
      <c r="O2686" s="3" t="n">
        <v>177360.75</v>
      </c>
      <c r="P2686" s="3" t="n">
        <v>116761.52</v>
      </c>
      <c r="Q2686" s="3" t="n">
        <v>60599.23</v>
      </c>
      <c r="R2686" s="3" t="n">
        <v>0.3417</v>
      </c>
      <c r="S2686" s="3" t="n">
        <v>0.0718</v>
      </c>
      <c r="T2686" s="3" t="n">
        <v>0.0168</v>
      </c>
    </row>
    <row r="2687" customFormat="false" ht="15" hidden="false" customHeight="true" outlineLevel="0" collapsed="false">
      <c r="A2687" s="3" t="s">
        <v>3760</v>
      </c>
      <c r="B2687" s="3" t="s">
        <v>585</v>
      </c>
      <c r="C2687" s="3" t="s">
        <v>126</v>
      </c>
      <c r="D2687" s="3" t="s">
        <v>47</v>
      </c>
      <c r="E2687" s="3" t="s">
        <v>48</v>
      </c>
      <c r="F2687" s="3" t="s">
        <v>25</v>
      </c>
      <c r="G2687" s="3" t="s">
        <v>26</v>
      </c>
      <c r="H2687" s="3" t="s">
        <v>42</v>
      </c>
      <c r="I2687" s="3" t="s">
        <v>134</v>
      </c>
      <c r="J2687" s="3" t="n">
        <v>41</v>
      </c>
      <c r="K2687" s="3" t="n">
        <v>2397.53</v>
      </c>
      <c r="L2687" s="3" t="n">
        <v>98298.73</v>
      </c>
      <c r="M2687" s="3" t="n">
        <v>0.1461</v>
      </c>
      <c r="N2687" s="3" t="n">
        <v>14361.44</v>
      </c>
      <c r="O2687" s="3" t="n">
        <v>83937.29</v>
      </c>
      <c r="P2687" s="3" t="n">
        <v>54064.3</v>
      </c>
      <c r="Q2687" s="3" t="n">
        <v>29872.99</v>
      </c>
      <c r="R2687" s="3" t="n">
        <v>0.3559</v>
      </c>
      <c r="S2687" s="3" t="n">
        <v>0.1524</v>
      </c>
      <c r="T2687" s="3" t="n">
        <v>-0.0063</v>
      </c>
    </row>
    <row r="2688" customFormat="false" ht="15" hidden="false" customHeight="true" outlineLevel="0" collapsed="false">
      <c r="A2688" s="3" t="s">
        <v>3761</v>
      </c>
      <c r="B2688" s="3" t="s">
        <v>2230</v>
      </c>
      <c r="C2688" s="3" t="s">
        <v>31</v>
      </c>
      <c r="D2688" s="3" t="s">
        <v>83</v>
      </c>
      <c r="E2688" s="3" t="s">
        <v>48</v>
      </c>
      <c r="F2688" s="3" t="s">
        <v>62</v>
      </c>
      <c r="G2688" s="3" t="s">
        <v>26</v>
      </c>
      <c r="H2688" s="3" t="s">
        <v>56</v>
      </c>
      <c r="I2688" s="3" t="s">
        <v>57</v>
      </c>
      <c r="J2688" s="3" t="n">
        <v>41</v>
      </c>
      <c r="K2688" s="3" t="n">
        <v>6151.84</v>
      </c>
      <c r="L2688" s="3" t="n">
        <v>252225.44</v>
      </c>
      <c r="M2688" s="3" t="n">
        <v>0.0696</v>
      </c>
      <c r="N2688" s="3" t="n">
        <v>17554.89</v>
      </c>
      <c r="O2688" s="3" t="n">
        <v>234670.55</v>
      </c>
      <c r="P2688" s="3" t="n">
        <v>151335.26</v>
      </c>
      <c r="Q2688" s="3" t="n">
        <v>83335.29</v>
      </c>
      <c r="R2688" s="3" t="n">
        <v>0.3551</v>
      </c>
      <c r="S2688" s="3" t="n">
        <v>0.066</v>
      </c>
      <c r="T2688" s="3" t="n">
        <v>0.0036</v>
      </c>
    </row>
    <row r="2689" customFormat="false" ht="15" hidden="false" customHeight="true" outlineLevel="0" collapsed="false">
      <c r="A2689" s="3" t="s">
        <v>3762</v>
      </c>
      <c r="B2689" s="3" t="s">
        <v>880</v>
      </c>
      <c r="C2689" s="3" t="s">
        <v>93</v>
      </c>
      <c r="D2689" s="3" t="s">
        <v>103</v>
      </c>
      <c r="E2689" s="3" t="s">
        <v>24</v>
      </c>
      <c r="F2689" s="3" t="s">
        <v>62</v>
      </c>
      <c r="G2689" s="3" t="s">
        <v>100</v>
      </c>
      <c r="H2689" s="3" t="s">
        <v>64</v>
      </c>
      <c r="I2689" s="3" t="s">
        <v>65</v>
      </c>
      <c r="J2689" s="3" t="n">
        <v>44</v>
      </c>
      <c r="K2689" s="3" t="n">
        <v>7867.08</v>
      </c>
      <c r="L2689" s="3" t="n">
        <v>346151.52</v>
      </c>
      <c r="M2689" s="3" t="n">
        <v>0.032</v>
      </c>
      <c r="N2689" s="3" t="n">
        <v>11076.85</v>
      </c>
      <c r="O2689" s="3" t="n">
        <v>335074.67</v>
      </c>
      <c r="P2689" s="3" t="n">
        <v>200767.88</v>
      </c>
      <c r="Q2689" s="3" t="n">
        <v>134306.79</v>
      </c>
      <c r="R2689" s="3" t="n">
        <v>0.4008</v>
      </c>
      <c r="S2689" s="3" t="n">
        <v>0.0328</v>
      </c>
      <c r="T2689" s="3" t="n">
        <v>-0.0008</v>
      </c>
    </row>
    <row r="2690" customFormat="false" ht="15" hidden="false" customHeight="true" outlineLevel="0" collapsed="false">
      <c r="A2690" s="3" t="s">
        <v>3763</v>
      </c>
      <c r="B2690" s="3" t="s">
        <v>3764</v>
      </c>
      <c r="C2690" s="3" t="s">
        <v>22</v>
      </c>
      <c r="D2690" s="3" t="s">
        <v>83</v>
      </c>
      <c r="E2690" s="3" t="s">
        <v>48</v>
      </c>
      <c r="F2690" s="3" t="s">
        <v>62</v>
      </c>
      <c r="G2690" s="3" t="s">
        <v>49</v>
      </c>
      <c r="H2690" s="3" t="s">
        <v>56</v>
      </c>
      <c r="I2690" s="3" t="s">
        <v>188</v>
      </c>
      <c r="J2690" s="3" t="n">
        <v>21</v>
      </c>
      <c r="K2690" s="3" t="n">
        <v>11330.97</v>
      </c>
      <c r="L2690" s="3" t="n">
        <v>237950.37</v>
      </c>
      <c r="M2690" s="3" t="n">
        <v>0.0547</v>
      </c>
      <c r="N2690" s="3" t="n">
        <v>13015.89</v>
      </c>
      <c r="O2690" s="3" t="n">
        <v>224934.48</v>
      </c>
      <c r="P2690" s="3" t="n">
        <v>142770.22</v>
      </c>
      <c r="Q2690" s="3" t="n">
        <v>82164.26</v>
      </c>
      <c r="R2690" s="3" t="n">
        <v>0.3653</v>
      </c>
      <c r="S2690" s="3" t="n">
        <v>0.0529</v>
      </c>
      <c r="T2690" s="3" t="n">
        <v>0.0018</v>
      </c>
    </row>
    <row r="2691" customFormat="false" ht="15" hidden="false" customHeight="true" outlineLevel="0" collapsed="false">
      <c r="A2691" s="3" t="s">
        <v>3765</v>
      </c>
      <c r="B2691" s="3" t="s">
        <v>627</v>
      </c>
      <c r="C2691" s="3" t="s">
        <v>31</v>
      </c>
      <c r="D2691" s="3" t="s">
        <v>54</v>
      </c>
      <c r="E2691" s="3" t="s">
        <v>24</v>
      </c>
      <c r="F2691" s="3" t="s">
        <v>40</v>
      </c>
      <c r="G2691" s="3" t="s">
        <v>55</v>
      </c>
      <c r="H2691" s="3" t="s">
        <v>42</v>
      </c>
      <c r="I2691" s="3" t="s">
        <v>72</v>
      </c>
      <c r="J2691" s="3" t="n">
        <v>41</v>
      </c>
      <c r="K2691" s="3" t="n">
        <v>3167.37</v>
      </c>
      <c r="L2691" s="3" t="n">
        <v>129862.17</v>
      </c>
      <c r="M2691" s="3" t="n">
        <v>0.0495</v>
      </c>
      <c r="N2691" s="3" t="n">
        <v>6428.18</v>
      </c>
      <c r="O2691" s="3" t="n">
        <v>123433.99</v>
      </c>
      <c r="P2691" s="3" t="n">
        <v>71424.19</v>
      </c>
      <c r="Q2691" s="3" t="n">
        <v>52009.8</v>
      </c>
      <c r="R2691" s="3" t="n">
        <v>0.4214</v>
      </c>
      <c r="S2691" s="3" t="n">
        <v>0.0519</v>
      </c>
      <c r="T2691" s="3" t="n">
        <v>-0.0024</v>
      </c>
    </row>
    <row r="2692" customFormat="false" ht="15" hidden="false" customHeight="true" outlineLevel="0" collapsed="false">
      <c r="A2692" s="3" t="s">
        <v>3766</v>
      </c>
      <c r="B2692" s="3" t="s">
        <v>2919</v>
      </c>
      <c r="C2692" s="3" t="s">
        <v>156</v>
      </c>
      <c r="D2692" s="3" t="s">
        <v>69</v>
      </c>
      <c r="E2692" s="3" t="s">
        <v>39</v>
      </c>
      <c r="F2692" s="3" t="s">
        <v>70</v>
      </c>
      <c r="G2692" s="3" t="s">
        <v>100</v>
      </c>
      <c r="H2692" s="3" t="s">
        <v>56</v>
      </c>
      <c r="I2692" s="3" t="s">
        <v>57</v>
      </c>
      <c r="J2692" s="3" t="n">
        <v>27</v>
      </c>
      <c r="K2692" s="3" t="n">
        <v>10187.62</v>
      </c>
      <c r="L2692" s="3" t="n">
        <v>275065.74</v>
      </c>
      <c r="M2692" s="3" t="n">
        <v>0.0403</v>
      </c>
      <c r="N2692" s="3" t="n">
        <v>11085.15</v>
      </c>
      <c r="O2692" s="3" t="n">
        <v>263980.59</v>
      </c>
      <c r="P2692" s="3" t="n">
        <v>165039.44</v>
      </c>
      <c r="Q2692" s="3" t="n">
        <v>98941.15</v>
      </c>
      <c r="R2692" s="3" t="n">
        <v>0.3748</v>
      </c>
      <c r="S2692" s="3" t="n">
        <v>0.0426</v>
      </c>
      <c r="T2692" s="3" t="n">
        <v>-0.0023</v>
      </c>
    </row>
    <row r="2693" customFormat="false" ht="15" hidden="false" customHeight="true" outlineLevel="0" collapsed="false">
      <c r="A2693" s="3" t="s">
        <v>3767</v>
      </c>
      <c r="B2693" s="3" t="s">
        <v>3768</v>
      </c>
      <c r="C2693" s="3" t="s">
        <v>156</v>
      </c>
      <c r="D2693" s="3" t="s">
        <v>32</v>
      </c>
      <c r="E2693" s="3" t="s">
        <v>33</v>
      </c>
      <c r="F2693" s="3" t="s">
        <v>25</v>
      </c>
      <c r="G2693" s="3" t="s">
        <v>116</v>
      </c>
      <c r="H2693" s="3" t="s">
        <v>77</v>
      </c>
      <c r="I2693" s="3" t="s">
        <v>78</v>
      </c>
      <c r="J2693" s="3" t="n">
        <v>38</v>
      </c>
      <c r="K2693" s="3" t="n">
        <v>1924.5</v>
      </c>
      <c r="L2693" s="3" t="n">
        <v>73131</v>
      </c>
      <c r="M2693" s="3" t="n">
        <v>0.1232</v>
      </c>
      <c r="N2693" s="3" t="n">
        <v>9009.74</v>
      </c>
      <c r="O2693" s="3" t="n">
        <v>64121.26</v>
      </c>
      <c r="P2693" s="3" t="n">
        <v>49729.08</v>
      </c>
      <c r="Q2693" s="3" t="n">
        <v>14392.18</v>
      </c>
      <c r="R2693" s="3" t="n">
        <v>0.2245</v>
      </c>
      <c r="S2693" s="3" t="n">
        <v>0.122</v>
      </c>
      <c r="T2693" s="3" t="n">
        <v>0.0012</v>
      </c>
    </row>
    <row r="2694" customFormat="false" ht="15" hidden="false" customHeight="true" outlineLevel="0" collapsed="false">
      <c r="A2694" s="3" t="s">
        <v>3769</v>
      </c>
      <c r="B2694" s="3" t="s">
        <v>3200</v>
      </c>
      <c r="C2694" s="3" t="s">
        <v>68</v>
      </c>
      <c r="D2694" s="3" t="s">
        <v>103</v>
      </c>
      <c r="E2694" s="3" t="s">
        <v>24</v>
      </c>
      <c r="F2694" s="3" t="s">
        <v>62</v>
      </c>
      <c r="G2694" s="3" t="s">
        <v>100</v>
      </c>
      <c r="H2694" s="3" t="s">
        <v>27</v>
      </c>
      <c r="I2694" s="3" t="s">
        <v>94</v>
      </c>
      <c r="J2694" s="3" t="n">
        <v>37</v>
      </c>
      <c r="K2694" s="3" t="n">
        <v>11192.59</v>
      </c>
      <c r="L2694" s="3" t="n">
        <v>414125.83</v>
      </c>
      <c r="M2694" s="3" t="n">
        <v>0.0624</v>
      </c>
      <c r="N2694" s="3" t="n">
        <v>25841.45</v>
      </c>
      <c r="O2694" s="3" t="n">
        <v>388284.38</v>
      </c>
      <c r="P2694" s="3" t="n">
        <v>256758.01</v>
      </c>
      <c r="Q2694" s="3" t="n">
        <v>131526.37</v>
      </c>
      <c r="R2694" s="3" t="n">
        <v>0.3387</v>
      </c>
      <c r="S2694" s="3" t="n">
        <v>0.0619</v>
      </c>
      <c r="T2694" s="3" t="n">
        <v>0.0005</v>
      </c>
    </row>
    <row r="2695" customFormat="false" ht="15" hidden="false" customHeight="true" outlineLevel="0" collapsed="false">
      <c r="A2695" s="3" t="s">
        <v>3770</v>
      </c>
      <c r="B2695" s="3" t="s">
        <v>2097</v>
      </c>
      <c r="C2695" s="3" t="s">
        <v>46</v>
      </c>
      <c r="D2695" s="3" t="s">
        <v>23</v>
      </c>
      <c r="E2695" s="3" t="s">
        <v>24</v>
      </c>
      <c r="F2695" s="3" t="s">
        <v>25</v>
      </c>
      <c r="G2695" s="3" t="s">
        <v>41</v>
      </c>
      <c r="H2695" s="3" t="s">
        <v>27</v>
      </c>
      <c r="I2695" s="3" t="s">
        <v>94</v>
      </c>
      <c r="J2695" s="3" t="n">
        <v>2</v>
      </c>
      <c r="K2695" s="3" t="n">
        <v>34095.34</v>
      </c>
      <c r="L2695" s="3" t="n">
        <v>68190.68</v>
      </c>
      <c r="M2695" s="3" t="n">
        <v>0.1981</v>
      </c>
      <c r="N2695" s="3" t="n">
        <v>13508.57</v>
      </c>
      <c r="O2695" s="3" t="n">
        <v>54682.11</v>
      </c>
      <c r="P2695" s="3" t="n">
        <v>42278.22</v>
      </c>
      <c r="Q2695" s="3" t="n">
        <v>12403.89</v>
      </c>
      <c r="R2695" s="3" t="n">
        <v>0.2268</v>
      </c>
      <c r="S2695" s="3" t="n">
        <v>0.201</v>
      </c>
      <c r="T2695" s="3" t="n">
        <v>-0.0029</v>
      </c>
    </row>
    <row r="2696" customFormat="false" ht="15" hidden="false" customHeight="true" outlineLevel="0" collapsed="false">
      <c r="A2696" s="3" t="s">
        <v>3771</v>
      </c>
      <c r="B2696" s="3" t="s">
        <v>1330</v>
      </c>
      <c r="C2696" s="3" t="s">
        <v>60</v>
      </c>
      <c r="D2696" s="3" t="s">
        <v>38</v>
      </c>
      <c r="E2696" s="3" t="s">
        <v>39</v>
      </c>
      <c r="F2696" s="3" t="s">
        <v>40</v>
      </c>
      <c r="G2696" s="3" t="s">
        <v>104</v>
      </c>
      <c r="H2696" s="3" t="s">
        <v>27</v>
      </c>
      <c r="I2696" s="3" t="s">
        <v>28</v>
      </c>
      <c r="J2696" s="3" t="n">
        <v>9</v>
      </c>
      <c r="K2696" s="3" t="n">
        <v>22549.81</v>
      </c>
      <c r="L2696" s="3" t="n">
        <v>202948.29</v>
      </c>
      <c r="M2696" s="3" t="n">
        <v>0.0921</v>
      </c>
      <c r="N2696" s="3" t="n">
        <v>18691.54</v>
      </c>
      <c r="O2696" s="3" t="n">
        <v>184256.75</v>
      </c>
      <c r="P2696" s="3" t="n">
        <v>125827.94</v>
      </c>
      <c r="Q2696" s="3" t="n">
        <v>58428.81</v>
      </c>
      <c r="R2696" s="3" t="n">
        <v>0.3171</v>
      </c>
      <c r="S2696" s="3" t="n">
        <v>0.0844</v>
      </c>
      <c r="T2696" s="3" t="n">
        <v>0.0077</v>
      </c>
    </row>
    <row r="2697" customFormat="false" ht="15" hidden="false" customHeight="true" outlineLevel="0" collapsed="false">
      <c r="A2697" s="3" t="s">
        <v>3772</v>
      </c>
      <c r="B2697" s="3" t="s">
        <v>1198</v>
      </c>
      <c r="C2697" s="3" t="s">
        <v>31</v>
      </c>
      <c r="D2697" s="3" t="s">
        <v>38</v>
      </c>
      <c r="E2697" s="3" t="s">
        <v>39</v>
      </c>
      <c r="F2697" s="3" t="s">
        <v>40</v>
      </c>
      <c r="G2697" s="3" t="s">
        <v>76</v>
      </c>
      <c r="H2697" s="3" t="s">
        <v>64</v>
      </c>
      <c r="I2697" s="3" t="s">
        <v>108</v>
      </c>
      <c r="J2697" s="3" t="n">
        <v>33</v>
      </c>
      <c r="K2697" s="3" t="n">
        <v>11147.6</v>
      </c>
      <c r="L2697" s="3" t="n">
        <v>367870.8</v>
      </c>
      <c r="M2697" s="3" t="n">
        <v>0.0631</v>
      </c>
      <c r="N2697" s="3" t="n">
        <v>23212.65</v>
      </c>
      <c r="O2697" s="3" t="n">
        <v>344658.15</v>
      </c>
      <c r="P2697" s="3" t="n">
        <v>213365.06</v>
      </c>
      <c r="Q2697" s="3" t="n">
        <v>131293.09</v>
      </c>
      <c r="R2697" s="3" t="n">
        <v>0.3809</v>
      </c>
      <c r="S2697" s="3" t="n">
        <v>0.063</v>
      </c>
      <c r="T2697" s="3" t="n">
        <v>0.0001</v>
      </c>
    </row>
    <row r="2698" customFormat="false" ht="15" hidden="false" customHeight="true" outlineLevel="0" collapsed="false">
      <c r="A2698" s="3" t="s">
        <v>3773</v>
      </c>
      <c r="B2698" s="3" t="s">
        <v>635</v>
      </c>
      <c r="C2698" s="3" t="s">
        <v>68</v>
      </c>
      <c r="D2698" s="3" t="s">
        <v>38</v>
      </c>
      <c r="E2698" s="3" t="s">
        <v>39</v>
      </c>
      <c r="F2698" s="3" t="s">
        <v>40</v>
      </c>
      <c r="G2698" s="3" t="s">
        <v>34</v>
      </c>
      <c r="H2698" s="3" t="s">
        <v>77</v>
      </c>
      <c r="I2698" s="3" t="s">
        <v>131</v>
      </c>
      <c r="J2698" s="3" t="n">
        <v>3</v>
      </c>
      <c r="K2698" s="3" t="n">
        <v>4626.47</v>
      </c>
      <c r="L2698" s="3" t="n">
        <v>13879.41</v>
      </c>
      <c r="M2698" s="3" t="n">
        <v>0.0842</v>
      </c>
      <c r="N2698" s="3" t="n">
        <v>1168.65</v>
      </c>
      <c r="O2698" s="3" t="n">
        <v>12710.76</v>
      </c>
      <c r="P2698" s="3" t="n">
        <v>9438</v>
      </c>
      <c r="Q2698" s="3" t="n">
        <v>3272.76</v>
      </c>
      <c r="R2698" s="3" t="n">
        <v>0.2575</v>
      </c>
      <c r="S2698" s="3" t="n">
        <v>0.0828</v>
      </c>
      <c r="T2698" s="3" t="n">
        <v>0.0014</v>
      </c>
    </row>
    <row r="2699" customFormat="false" ht="15" hidden="false" customHeight="true" outlineLevel="0" collapsed="false">
      <c r="A2699" s="3" t="s">
        <v>3774</v>
      </c>
      <c r="B2699" s="3" t="s">
        <v>921</v>
      </c>
      <c r="C2699" s="3" t="s">
        <v>93</v>
      </c>
      <c r="D2699" s="3" t="s">
        <v>107</v>
      </c>
      <c r="E2699" s="3" t="s">
        <v>33</v>
      </c>
      <c r="F2699" s="3" t="s">
        <v>70</v>
      </c>
      <c r="G2699" s="3" t="s">
        <v>49</v>
      </c>
      <c r="H2699" s="3" t="s">
        <v>64</v>
      </c>
      <c r="I2699" s="3" t="s">
        <v>108</v>
      </c>
      <c r="J2699" s="3" t="n">
        <v>29</v>
      </c>
      <c r="K2699" s="3" t="n">
        <v>6188.82</v>
      </c>
      <c r="L2699" s="3" t="n">
        <v>179475.78</v>
      </c>
      <c r="M2699" s="3" t="n">
        <v>0.0307</v>
      </c>
      <c r="N2699" s="3" t="n">
        <v>5509.91</v>
      </c>
      <c r="O2699" s="3" t="n">
        <v>173965.87</v>
      </c>
      <c r="P2699" s="3" t="n">
        <v>104095.95</v>
      </c>
      <c r="Q2699" s="3" t="n">
        <v>69869.92</v>
      </c>
      <c r="R2699" s="3" t="n">
        <v>0.4016</v>
      </c>
      <c r="S2699" s="3" t="n">
        <v>0.0286</v>
      </c>
      <c r="T2699" s="3" t="n">
        <v>0.0021</v>
      </c>
    </row>
    <row r="2700" customFormat="false" ht="15" hidden="false" customHeight="true" outlineLevel="0" collapsed="false">
      <c r="A2700" s="3" t="s">
        <v>3775</v>
      </c>
      <c r="B2700" s="3" t="s">
        <v>1146</v>
      </c>
      <c r="C2700" s="3" t="s">
        <v>37</v>
      </c>
      <c r="D2700" s="3" t="s">
        <v>97</v>
      </c>
      <c r="E2700" s="3" t="s">
        <v>48</v>
      </c>
      <c r="F2700" s="3" t="s">
        <v>40</v>
      </c>
      <c r="G2700" s="3" t="s">
        <v>71</v>
      </c>
      <c r="H2700" s="3" t="s">
        <v>27</v>
      </c>
      <c r="I2700" s="3" t="s">
        <v>117</v>
      </c>
      <c r="J2700" s="3" t="n">
        <v>14</v>
      </c>
      <c r="K2700" s="3" t="n">
        <v>36761.53</v>
      </c>
      <c r="L2700" s="3" t="n">
        <v>514661.42</v>
      </c>
      <c r="M2700" s="3" t="n">
        <v>0.035</v>
      </c>
      <c r="N2700" s="3" t="n">
        <v>18013.15</v>
      </c>
      <c r="O2700" s="3" t="n">
        <v>496648.27</v>
      </c>
      <c r="P2700" s="3" t="n">
        <v>319090.08</v>
      </c>
      <c r="Q2700" s="3" t="n">
        <v>177558.19</v>
      </c>
      <c r="R2700" s="3" t="n">
        <v>0.3575</v>
      </c>
      <c r="S2700" s="3" t="n">
        <v>0.0316</v>
      </c>
      <c r="T2700" s="3" t="n">
        <v>0.0034</v>
      </c>
    </row>
    <row r="2701" customFormat="false" ht="15" hidden="false" customHeight="true" outlineLevel="0" collapsed="false">
      <c r="A2701" s="3" t="s">
        <v>3776</v>
      </c>
      <c r="B2701" s="3" t="s">
        <v>1855</v>
      </c>
      <c r="C2701" s="3" t="s">
        <v>93</v>
      </c>
      <c r="D2701" s="3" t="s">
        <v>32</v>
      </c>
      <c r="E2701" s="3" t="s">
        <v>33</v>
      </c>
      <c r="F2701" s="3" t="s">
        <v>25</v>
      </c>
      <c r="G2701" s="3" t="s">
        <v>71</v>
      </c>
      <c r="H2701" s="3" t="s">
        <v>42</v>
      </c>
      <c r="I2701" s="3" t="s">
        <v>134</v>
      </c>
      <c r="J2701" s="3" t="n">
        <v>23</v>
      </c>
      <c r="K2701" s="3" t="n">
        <v>3667.74</v>
      </c>
      <c r="L2701" s="3" t="n">
        <v>84358.02</v>
      </c>
      <c r="M2701" s="3" t="n">
        <v>0.0838</v>
      </c>
      <c r="N2701" s="3" t="n">
        <v>7069.2</v>
      </c>
      <c r="O2701" s="3" t="n">
        <v>77288.82</v>
      </c>
      <c r="P2701" s="3" t="n">
        <v>46396.91</v>
      </c>
      <c r="Q2701" s="3" t="n">
        <v>30891.91</v>
      </c>
      <c r="R2701" s="3" t="n">
        <v>0.3997</v>
      </c>
      <c r="S2701" s="3" t="n">
        <v>0.0826</v>
      </c>
      <c r="T2701" s="3" t="n">
        <v>0.0012</v>
      </c>
    </row>
    <row r="2702" customFormat="false" ht="15" hidden="false" customHeight="true" outlineLevel="0" collapsed="false">
      <c r="A2702" s="3" t="s">
        <v>3777</v>
      </c>
      <c r="B2702" s="3" t="s">
        <v>1621</v>
      </c>
      <c r="C2702" s="3" t="s">
        <v>68</v>
      </c>
      <c r="D2702" s="3" t="s">
        <v>23</v>
      </c>
      <c r="E2702" s="3" t="s">
        <v>24</v>
      </c>
      <c r="F2702" s="3" t="s">
        <v>25</v>
      </c>
      <c r="G2702" s="3" t="s">
        <v>26</v>
      </c>
      <c r="H2702" s="3" t="s">
        <v>64</v>
      </c>
      <c r="I2702" s="3" t="s">
        <v>145</v>
      </c>
      <c r="J2702" s="3" t="n">
        <v>17</v>
      </c>
      <c r="K2702" s="3" t="n">
        <v>10399.51</v>
      </c>
      <c r="L2702" s="3" t="n">
        <v>176791.67</v>
      </c>
      <c r="M2702" s="3" t="n">
        <v>0.1016</v>
      </c>
      <c r="N2702" s="3" t="n">
        <v>17962.03</v>
      </c>
      <c r="O2702" s="3" t="n">
        <v>158829.64</v>
      </c>
      <c r="P2702" s="3" t="n">
        <v>102539.17</v>
      </c>
      <c r="Q2702" s="3" t="n">
        <v>56290.47</v>
      </c>
      <c r="R2702" s="3" t="n">
        <v>0.3544</v>
      </c>
      <c r="S2702" s="3" t="n">
        <v>0.0977</v>
      </c>
      <c r="T2702" s="3" t="n">
        <v>0.0039</v>
      </c>
    </row>
    <row r="2703" customFormat="false" ht="15" hidden="false" customHeight="true" outlineLevel="0" collapsed="false">
      <c r="A2703" s="3" t="s">
        <v>3778</v>
      </c>
      <c r="B2703" s="3" t="s">
        <v>598</v>
      </c>
      <c r="C2703" s="3" t="s">
        <v>120</v>
      </c>
      <c r="D2703" s="3" t="s">
        <v>61</v>
      </c>
      <c r="E2703" s="3" t="s">
        <v>33</v>
      </c>
      <c r="F2703" s="3" t="s">
        <v>62</v>
      </c>
      <c r="G2703" s="3" t="s">
        <v>116</v>
      </c>
      <c r="H2703" s="3" t="s">
        <v>27</v>
      </c>
      <c r="I2703" s="3" t="s">
        <v>50</v>
      </c>
      <c r="J2703" s="3" t="n">
        <v>31</v>
      </c>
      <c r="K2703" s="3" t="n">
        <v>17874.2</v>
      </c>
      <c r="L2703" s="3" t="n">
        <v>554100.2</v>
      </c>
      <c r="M2703" s="3" t="n">
        <v>0.1236</v>
      </c>
      <c r="N2703" s="3" t="n">
        <v>68486.78</v>
      </c>
      <c r="O2703" s="3" t="n">
        <v>485613.42</v>
      </c>
      <c r="P2703" s="3" t="n">
        <v>343542.12</v>
      </c>
      <c r="Q2703" s="3" t="n">
        <v>142071.3</v>
      </c>
      <c r="R2703" s="3" t="n">
        <v>0.2926</v>
      </c>
      <c r="S2703" s="3" t="n">
        <v>0.1268</v>
      </c>
      <c r="T2703" s="3" t="n">
        <v>-0.0032</v>
      </c>
    </row>
    <row r="2704" customFormat="false" ht="15" hidden="false" customHeight="true" outlineLevel="0" collapsed="false">
      <c r="A2704" s="3" t="s">
        <v>3779</v>
      </c>
      <c r="B2704" s="3" t="s">
        <v>469</v>
      </c>
      <c r="C2704" s="3" t="s">
        <v>46</v>
      </c>
      <c r="D2704" s="3" t="s">
        <v>69</v>
      </c>
      <c r="E2704" s="3" t="s">
        <v>39</v>
      </c>
      <c r="F2704" s="3" t="s">
        <v>70</v>
      </c>
      <c r="G2704" s="3" t="s">
        <v>34</v>
      </c>
      <c r="H2704" s="3" t="s">
        <v>42</v>
      </c>
      <c r="I2704" s="3" t="s">
        <v>43</v>
      </c>
      <c r="J2704" s="3" t="n">
        <v>29</v>
      </c>
      <c r="K2704" s="3" t="n">
        <v>1902.09</v>
      </c>
      <c r="L2704" s="3" t="n">
        <v>55160.61</v>
      </c>
      <c r="M2704" s="3" t="n">
        <v>0.0808</v>
      </c>
      <c r="N2704" s="3" t="n">
        <v>4456.98</v>
      </c>
      <c r="O2704" s="3" t="n">
        <v>50703.63</v>
      </c>
      <c r="P2704" s="3" t="n">
        <v>30338.34</v>
      </c>
      <c r="Q2704" s="3" t="n">
        <v>20365.29</v>
      </c>
      <c r="R2704" s="3" t="n">
        <v>0.4017</v>
      </c>
      <c r="S2704" s="3" t="n">
        <v>0.0845</v>
      </c>
      <c r="T2704" s="3" t="n">
        <v>-0.0037</v>
      </c>
    </row>
    <row r="2705" customFormat="false" ht="15" hidden="false" customHeight="true" outlineLevel="0" collapsed="false">
      <c r="A2705" s="3" t="s">
        <v>3780</v>
      </c>
      <c r="B2705" s="3" t="s">
        <v>382</v>
      </c>
      <c r="C2705" s="3" t="s">
        <v>93</v>
      </c>
      <c r="D2705" s="3" t="s">
        <v>107</v>
      </c>
      <c r="E2705" s="3" t="s">
        <v>33</v>
      </c>
      <c r="F2705" s="3" t="s">
        <v>70</v>
      </c>
      <c r="G2705" s="3" t="s">
        <v>26</v>
      </c>
      <c r="H2705" s="3" t="s">
        <v>56</v>
      </c>
      <c r="I2705" s="3" t="s">
        <v>188</v>
      </c>
      <c r="J2705" s="3" t="n">
        <v>41</v>
      </c>
      <c r="K2705" s="3" t="n">
        <v>2599.59</v>
      </c>
      <c r="L2705" s="3" t="n">
        <v>106583.19</v>
      </c>
      <c r="M2705" s="3" t="n">
        <v>0.0519</v>
      </c>
      <c r="N2705" s="3" t="n">
        <v>5531.67</v>
      </c>
      <c r="O2705" s="3" t="n">
        <v>101051.52</v>
      </c>
      <c r="P2705" s="3" t="n">
        <v>63949.91</v>
      </c>
      <c r="Q2705" s="3" t="n">
        <v>37101.61</v>
      </c>
      <c r="R2705" s="3" t="n">
        <v>0.3672</v>
      </c>
      <c r="S2705" s="3" t="n">
        <v>0.0511</v>
      </c>
      <c r="T2705" s="3" t="n">
        <v>0.0008</v>
      </c>
    </row>
    <row r="2706" customFormat="false" ht="15" hidden="false" customHeight="true" outlineLevel="0" collapsed="false">
      <c r="A2706" s="3" t="s">
        <v>3781</v>
      </c>
      <c r="B2706" s="3" t="s">
        <v>2059</v>
      </c>
      <c r="C2706" s="3" t="s">
        <v>46</v>
      </c>
      <c r="D2706" s="3" t="s">
        <v>107</v>
      </c>
      <c r="E2706" s="3" t="s">
        <v>33</v>
      </c>
      <c r="F2706" s="3" t="s">
        <v>70</v>
      </c>
      <c r="G2706" s="3" t="s">
        <v>34</v>
      </c>
      <c r="H2706" s="3" t="s">
        <v>27</v>
      </c>
      <c r="I2706" s="3" t="s">
        <v>117</v>
      </c>
      <c r="J2706" s="3" t="n">
        <v>20</v>
      </c>
      <c r="K2706" s="3" t="n">
        <v>28441.91</v>
      </c>
      <c r="L2706" s="3" t="n">
        <v>568838.2</v>
      </c>
      <c r="M2706" s="3" t="n">
        <v>0.1153</v>
      </c>
      <c r="N2706" s="3" t="n">
        <v>65587.04</v>
      </c>
      <c r="O2706" s="3" t="n">
        <v>503251.16</v>
      </c>
      <c r="P2706" s="3" t="n">
        <v>352679.68</v>
      </c>
      <c r="Q2706" s="3" t="n">
        <v>150571.48</v>
      </c>
      <c r="R2706" s="3" t="n">
        <v>0.2992</v>
      </c>
      <c r="S2706" s="3" t="n">
        <v>0.107</v>
      </c>
      <c r="T2706" s="3" t="n">
        <v>0.0083</v>
      </c>
    </row>
    <row r="2707" customFormat="false" ht="15" hidden="false" customHeight="true" outlineLevel="0" collapsed="false">
      <c r="A2707" s="3" t="s">
        <v>3782</v>
      </c>
      <c r="B2707" s="3" t="s">
        <v>1486</v>
      </c>
      <c r="C2707" s="3" t="s">
        <v>53</v>
      </c>
      <c r="D2707" s="3" t="s">
        <v>54</v>
      </c>
      <c r="E2707" s="3" t="s">
        <v>24</v>
      </c>
      <c r="F2707" s="3" t="s">
        <v>40</v>
      </c>
      <c r="G2707" s="3" t="s">
        <v>84</v>
      </c>
      <c r="H2707" s="3" t="s">
        <v>42</v>
      </c>
      <c r="I2707" s="3" t="s">
        <v>134</v>
      </c>
      <c r="J2707" s="3" t="n">
        <v>19</v>
      </c>
      <c r="K2707" s="3" t="n">
        <v>2510.77</v>
      </c>
      <c r="L2707" s="3" t="n">
        <v>47704.63</v>
      </c>
      <c r="M2707" s="3" t="n">
        <v>0.0312</v>
      </c>
      <c r="N2707" s="3" t="n">
        <v>1488.38</v>
      </c>
      <c r="O2707" s="3" t="n">
        <v>46216.25</v>
      </c>
      <c r="P2707" s="3" t="n">
        <v>26237.55</v>
      </c>
      <c r="Q2707" s="3" t="n">
        <v>19978.7</v>
      </c>
      <c r="R2707" s="3" t="n">
        <v>0.4323</v>
      </c>
      <c r="S2707" s="3" t="n">
        <v>0.0327</v>
      </c>
      <c r="T2707" s="3" t="n">
        <v>-0.0015</v>
      </c>
    </row>
    <row r="2708" customFormat="false" ht="15" hidden="false" customHeight="true" outlineLevel="0" collapsed="false">
      <c r="A2708" s="3" t="s">
        <v>3783</v>
      </c>
      <c r="B2708" s="3" t="s">
        <v>3784</v>
      </c>
      <c r="C2708" s="3" t="s">
        <v>68</v>
      </c>
      <c r="D2708" s="3" t="s">
        <v>47</v>
      </c>
      <c r="E2708" s="3" t="s">
        <v>48</v>
      </c>
      <c r="F2708" s="3" t="s">
        <v>25</v>
      </c>
      <c r="G2708" s="3" t="s">
        <v>104</v>
      </c>
      <c r="H2708" s="3" t="s">
        <v>77</v>
      </c>
      <c r="I2708" s="3" t="s">
        <v>78</v>
      </c>
      <c r="J2708" s="3" t="n">
        <v>14</v>
      </c>
      <c r="K2708" s="3" t="n">
        <v>1518.69</v>
      </c>
      <c r="L2708" s="3" t="n">
        <v>21261.66</v>
      </c>
      <c r="M2708" s="3" t="n">
        <v>0.2051</v>
      </c>
      <c r="N2708" s="3" t="n">
        <v>4360.77</v>
      </c>
      <c r="O2708" s="3" t="n">
        <v>16900.89</v>
      </c>
      <c r="P2708" s="3" t="n">
        <v>14457.93</v>
      </c>
      <c r="Q2708" s="3" t="n">
        <v>2442.96</v>
      </c>
      <c r="R2708" s="3" t="n">
        <v>0.1445</v>
      </c>
      <c r="S2708" s="3" t="n">
        <v>0.1952</v>
      </c>
      <c r="T2708" s="3" t="n">
        <v>0.0099</v>
      </c>
    </row>
    <row r="2709" customFormat="false" ht="15" hidden="false" customHeight="true" outlineLevel="0" collapsed="false">
      <c r="A2709" s="3" t="s">
        <v>3785</v>
      </c>
      <c r="B2709" s="3" t="s">
        <v>1052</v>
      </c>
      <c r="C2709" s="3" t="s">
        <v>60</v>
      </c>
      <c r="D2709" s="3" t="s">
        <v>69</v>
      </c>
      <c r="E2709" s="3" t="s">
        <v>39</v>
      </c>
      <c r="F2709" s="3" t="s">
        <v>70</v>
      </c>
      <c r="G2709" s="3" t="s">
        <v>55</v>
      </c>
      <c r="H2709" s="3" t="s">
        <v>27</v>
      </c>
      <c r="I2709" s="3" t="s">
        <v>50</v>
      </c>
      <c r="J2709" s="3" t="n">
        <v>24</v>
      </c>
      <c r="K2709" s="3" t="n">
        <v>38236.91</v>
      </c>
      <c r="L2709" s="3" t="n">
        <v>917685.84</v>
      </c>
      <c r="M2709" s="3" t="n">
        <v>0.0527</v>
      </c>
      <c r="N2709" s="3" t="n">
        <v>48362.04</v>
      </c>
      <c r="O2709" s="3" t="n">
        <v>869323.8</v>
      </c>
      <c r="P2709" s="3" t="n">
        <v>568965.22</v>
      </c>
      <c r="Q2709" s="3" t="n">
        <v>300358.58</v>
      </c>
      <c r="R2709" s="3" t="n">
        <v>0.3455</v>
      </c>
      <c r="S2709" s="3" t="n">
        <v>0.0516</v>
      </c>
      <c r="T2709" s="3" t="n">
        <v>0.0011</v>
      </c>
    </row>
    <row r="2710" customFormat="false" ht="15" hidden="false" customHeight="true" outlineLevel="0" collapsed="false">
      <c r="A2710" s="3" t="s">
        <v>3786</v>
      </c>
      <c r="B2710" s="3" t="s">
        <v>3501</v>
      </c>
      <c r="C2710" s="3" t="s">
        <v>113</v>
      </c>
      <c r="D2710" s="3" t="s">
        <v>97</v>
      </c>
      <c r="E2710" s="3" t="s">
        <v>48</v>
      </c>
      <c r="F2710" s="3" t="s">
        <v>40</v>
      </c>
      <c r="G2710" s="3" t="s">
        <v>34</v>
      </c>
      <c r="H2710" s="3" t="s">
        <v>64</v>
      </c>
      <c r="I2710" s="3" t="s">
        <v>90</v>
      </c>
      <c r="J2710" s="3" t="n">
        <v>26</v>
      </c>
      <c r="K2710" s="3" t="n">
        <v>3940.15</v>
      </c>
      <c r="L2710" s="3" t="n">
        <v>102443.9</v>
      </c>
      <c r="M2710" s="3" t="n">
        <v>0.129</v>
      </c>
      <c r="N2710" s="3" t="n">
        <v>13215.26</v>
      </c>
      <c r="O2710" s="3" t="n">
        <v>89228.64</v>
      </c>
      <c r="P2710" s="3" t="n">
        <v>59417.46</v>
      </c>
      <c r="Q2710" s="3" t="n">
        <v>29811.18</v>
      </c>
      <c r="R2710" s="3" t="n">
        <v>0.3341</v>
      </c>
      <c r="S2710" s="3" t="n">
        <v>0.1308</v>
      </c>
      <c r="T2710" s="3" t="n">
        <v>-0.0018</v>
      </c>
    </row>
    <row r="2711" customFormat="false" ht="15" hidden="false" customHeight="true" outlineLevel="0" collapsed="false">
      <c r="A2711" s="3" t="s">
        <v>3787</v>
      </c>
      <c r="B2711" s="3" t="s">
        <v>2446</v>
      </c>
      <c r="C2711" s="3" t="s">
        <v>53</v>
      </c>
      <c r="D2711" s="3" t="s">
        <v>75</v>
      </c>
      <c r="E2711" s="3" t="s">
        <v>39</v>
      </c>
      <c r="F2711" s="3" t="s">
        <v>25</v>
      </c>
      <c r="G2711" s="3" t="s">
        <v>49</v>
      </c>
      <c r="H2711" s="3" t="s">
        <v>56</v>
      </c>
      <c r="I2711" s="3" t="s">
        <v>188</v>
      </c>
      <c r="J2711" s="3" t="n">
        <v>46</v>
      </c>
      <c r="K2711" s="3" t="n">
        <v>10947.37</v>
      </c>
      <c r="L2711" s="3" t="n">
        <v>503579.02</v>
      </c>
      <c r="M2711" s="3" t="n">
        <v>0.1545</v>
      </c>
      <c r="N2711" s="3" t="n">
        <v>77802.96</v>
      </c>
      <c r="O2711" s="3" t="n">
        <v>425776.06</v>
      </c>
      <c r="P2711" s="3" t="n">
        <v>302147.41</v>
      </c>
      <c r="Q2711" s="3" t="n">
        <v>123628.65</v>
      </c>
      <c r="R2711" s="3" t="n">
        <v>0.2904</v>
      </c>
      <c r="S2711" s="3" t="n">
        <v>0.1341</v>
      </c>
      <c r="T2711" s="3" t="n">
        <v>0.0204</v>
      </c>
    </row>
    <row r="2712" customFormat="false" ht="15" hidden="false" customHeight="true" outlineLevel="0" collapsed="false">
      <c r="A2712" s="3" t="s">
        <v>3788</v>
      </c>
      <c r="B2712" s="3" t="s">
        <v>3789</v>
      </c>
      <c r="C2712" s="3" t="s">
        <v>53</v>
      </c>
      <c r="D2712" s="3" t="s">
        <v>54</v>
      </c>
      <c r="E2712" s="3" t="s">
        <v>24</v>
      </c>
      <c r="F2712" s="3" t="s">
        <v>40</v>
      </c>
      <c r="G2712" s="3" t="s">
        <v>26</v>
      </c>
      <c r="H2712" s="3" t="s">
        <v>27</v>
      </c>
      <c r="I2712" s="3" t="s">
        <v>173</v>
      </c>
      <c r="J2712" s="3" t="n">
        <v>36</v>
      </c>
      <c r="K2712" s="3" t="n">
        <v>19931.15</v>
      </c>
      <c r="L2712" s="3" t="n">
        <v>717521.4</v>
      </c>
      <c r="M2712" s="3" t="n">
        <v>0.0473</v>
      </c>
      <c r="N2712" s="3" t="n">
        <v>33938.76</v>
      </c>
      <c r="O2712" s="3" t="n">
        <v>683582.64</v>
      </c>
      <c r="P2712" s="3" t="n">
        <v>444863.27</v>
      </c>
      <c r="Q2712" s="3" t="n">
        <v>238719.37</v>
      </c>
      <c r="R2712" s="3" t="n">
        <v>0.3492</v>
      </c>
      <c r="S2712" s="3" t="n">
        <v>0.0455</v>
      </c>
      <c r="T2712" s="3" t="n">
        <v>0.0018</v>
      </c>
    </row>
    <row r="2713" customFormat="false" ht="15" hidden="false" customHeight="true" outlineLevel="0" collapsed="false">
      <c r="A2713" s="3" t="s">
        <v>3790</v>
      </c>
      <c r="B2713" s="3" t="s">
        <v>680</v>
      </c>
      <c r="C2713" s="3" t="s">
        <v>93</v>
      </c>
      <c r="D2713" s="3" t="s">
        <v>38</v>
      </c>
      <c r="E2713" s="3" t="s">
        <v>39</v>
      </c>
      <c r="F2713" s="3" t="s">
        <v>40</v>
      </c>
      <c r="G2713" s="3" t="s">
        <v>104</v>
      </c>
      <c r="H2713" s="3" t="s">
        <v>77</v>
      </c>
      <c r="I2713" s="3" t="s">
        <v>78</v>
      </c>
      <c r="J2713" s="3" t="n">
        <v>14</v>
      </c>
      <c r="K2713" s="3" t="n">
        <v>5744.32</v>
      </c>
      <c r="L2713" s="3" t="n">
        <v>80420.48</v>
      </c>
      <c r="M2713" s="3" t="n">
        <v>0.0968</v>
      </c>
      <c r="N2713" s="3" t="n">
        <v>7784.7</v>
      </c>
      <c r="O2713" s="3" t="n">
        <v>72635.78</v>
      </c>
      <c r="P2713" s="3" t="n">
        <v>54685.93</v>
      </c>
      <c r="Q2713" s="3" t="n">
        <v>17949.85</v>
      </c>
      <c r="R2713" s="3" t="n">
        <v>0.2471</v>
      </c>
      <c r="S2713" s="3" t="n">
        <v>0.098</v>
      </c>
      <c r="T2713" s="3" t="n">
        <v>-0.0012</v>
      </c>
    </row>
    <row r="2714" customFormat="false" ht="15" hidden="false" customHeight="true" outlineLevel="0" collapsed="false">
      <c r="A2714" s="3" t="s">
        <v>3791</v>
      </c>
      <c r="B2714" s="3" t="s">
        <v>663</v>
      </c>
      <c r="C2714" s="3" t="s">
        <v>22</v>
      </c>
      <c r="D2714" s="3" t="s">
        <v>47</v>
      </c>
      <c r="E2714" s="3" t="s">
        <v>48</v>
      </c>
      <c r="F2714" s="3" t="s">
        <v>25</v>
      </c>
      <c r="G2714" s="3" t="s">
        <v>49</v>
      </c>
      <c r="H2714" s="3" t="s">
        <v>64</v>
      </c>
      <c r="I2714" s="3" t="s">
        <v>65</v>
      </c>
      <c r="J2714" s="3" t="n">
        <v>37</v>
      </c>
      <c r="K2714" s="3" t="n">
        <v>9687.09</v>
      </c>
      <c r="L2714" s="3" t="n">
        <v>358422.33</v>
      </c>
      <c r="M2714" s="3" t="n">
        <v>0.1105</v>
      </c>
      <c r="N2714" s="3" t="n">
        <v>39605.67</v>
      </c>
      <c r="O2714" s="3" t="n">
        <v>318816.66</v>
      </c>
      <c r="P2714" s="3" t="n">
        <v>207884.95</v>
      </c>
      <c r="Q2714" s="3" t="n">
        <v>110931.71</v>
      </c>
      <c r="R2714" s="3" t="n">
        <v>0.3479</v>
      </c>
      <c r="S2714" s="3" t="n">
        <v>0.119</v>
      </c>
      <c r="T2714" s="3" t="n">
        <v>-0.0085</v>
      </c>
    </row>
    <row r="2715" customFormat="false" ht="15" hidden="false" customHeight="true" outlineLevel="0" collapsed="false">
      <c r="A2715" s="3" t="s">
        <v>3792</v>
      </c>
      <c r="B2715" s="3" t="s">
        <v>36</v>
      </c>
      <c r="C2715" s="3" t="s">
        <v>37</v>
      </c>
      <c r="D2715" s="3" t="s">
        <v>83</v>
      </c>
      <c r="E2715" s="3" t="s">
        <v>48</v>
      </c>
      <c r="F2715" s="3" t="s">
        <v>62</v>
      </c>
      <c r="G2715" s="3" t="s">
        <v>55</v>
      </c>
      <c r="H2715" s="3" t="s">
        <v>42</v>
      </c>
      <c r="I2715" s="3" t="s">
        <v>72</v>
      </c>
      <c r="J2715" s="3" t="n">
        <v>5</v>
      </c>
      <c r="K2715" s="3" t="n">
        <v>902.17</v>
      </c>
      <c r="L2715" s="3" t="n">
        <v>4510.85</v>
      </c>
      <c r="M2715" s="3" t="n">
        <v>0.0521</v>
      </c>
      <c r="N2715" s="3" t="n">
        <v>235.02</v>
      </c>
      <c r="O2715" s="3" t="n">
        <v>4275.83</v>
      </c>
      <c r="P2715" s="3" t="n">
        <v>2480.97</v>
      </c>
      <c r="Q2715" s="3" t="n">
        <v>1794.86</v>
      </c>
      <c r="R2715" s="3" t="n">
        <v>0.4198</v>
      </c>
      <c r="S2715" s="3" t="n">
        <v>0.0419</v>
      </c>
      <c r="T2715" s="3" t="n">
        <v>0.0102</v>
      </c>
    </row>
    <row r="2716" customFormat="false" ht="15" hidden="false" customHeight="true" outlineLevel="0" collapsed="false">
      <c r="A2716" s="3" t="s">
        <v>3793</v>
      </c>
      <c r="B2716" s="3" t="s">
        <v>2091</v>
      </c>
      <c r="C2716" s="3" t="s">
        <v>126</v>
      </c>
      <c r="D2716" s="3" t="s">
        <v>75</v>
      </c>
      <c r="E2716" s="3" t="s">
        <v>39</v>
      </c>
      <c r="F2716" s="3" t="s">
        <v>25</v>
      </c>
      <c r="G2716" s="3" t="s">
        <v>100</v>
      </c>
      <c r="H2716" s="3" t="s">
        <v>64</v>
      </c>
      <c r="I2716" s="3" t="s">
        <v>65</v>
      </c>
      <c r="J2716" s="3" t="n">
        <v>26</v>
      </c>
      <c r="K2716" s="3" t="n">
        <v>8979.64</v>
      </c>
      <c r="L2716" s="3" t="n">
        <v>233470.64</v>
      </c>
      <c r="M2716" s="3" t="n">
        <v>0.104</v>
      </c>
      <c r="N2716" s="3" t="n">
        <v>24280.95</v>
      </c>
      <c r="O2716" s="3" t="n">
        <v>209189.69</v>
      </c>
      <c r="P2716" s="3" t="n">
        <v>135412.97</v>
      </c>
      <c r="Q2716" s="3" t="n">
        <v>73776.72</v>
      </c>
      <c r="R2716" s="3" t="n">
        <v>0.3527</v>
      </c>
      <c r="S2716" s="3" t="n">
        <v>0.111</v>
      </c>
      <c r="T2716" s="3" t="n">
        <v>-0.007</v>
      </c>
    </row>
    <row r="2717" customFormat="false" ht="15" hidden="false" customHeight="true" outlineLevel="0" collapsed="false">
      <c r="A2717" s="3" t="s">
        <v>3794</v>
      </c>
      <c r="B2717" s="3" t="s">
        <v>2823</v>
      </c>
      <c r="C2717" s="3" t="s">
        <v>22</v>
      </c>
      <c r="D2717" s="3" t="s">
        <v>61</v>
      </c>
      <c r="E2717" s="3" t="s">
        <v>33</v>
      </c>
      <c r="F2717" s="3" t="s">
        <v>62</v>
      </c>
      <c r="G2717" s="3" t="s">
        <v>76</v>
      </c>
      <c r="H2717" s="3" t="s">
        <v>64</v>
      </c>
      <c r="I2717" s="3" t="s">
        <v>145</v>
      </c>
      <c r="J2717" s="3" t="n">
        <v>25</v>
      </c>
      <c r="K2717" s="3" t="n">
        <v>9008.82</v>
      </c>
      <c r="L2717" s="3" t="n">
        <v>225220.5</v>
      </c>
      <c r="M2717" s="3" t="n">
        <v>0.065</v>
      </c>
      <c r="N2717" s="3" t="n">
        <v>14639.33</v>
      </c>
      <c r="O2717" s="3" t="n">
        <v>210581.17</v>
      </c>
      <c r="P2717" s="3" t="n">
        <v>130627.89</v>
      </c>
      <c r="Q2717" s="3" t="n">
        <v>79953.28</v>
      </c>
      <c r="R2717" s="3" t="n">
        <v>0.3797</v>
      </c>
      <c r="S2717" s="3" t="n">
        <v>0.0657</v>
      </c>
      <c r="T2717" s="3" t="n">
        <v>-0.0007</v>
      </c>
    </row>
    <row r="2718" customFormat="false" ht="15" hidden="false" customHeight="true" outlineLevel="0" collapsed="false">
      <c r="A2718" s="3" t="s">
        <v>3795</v>
      </c>
      <c r="B2718" s="3" t="s">
        <v>2265</v>
      </c>
      <c r="C2718" s="3" t="s">
        <v>120</v>
      </c>
      <c r="D2718" s="3" t="s">
        <v>54</v>
      </c>
      <c r="E2718" s="3" t="s">
        <v>24</v>
      </c>
      <c r="F2718" s="3" t="s">
        <v>40</v>
      </c>
      <c r="G2718" s="3" t="s">
        <v>26</v>
      </c>
      <c r="H2718" s="3" t="s">
        <v>56</v>
      </c>
      <c r="I2718" s="3" t="s">
        <v>188</v>
      </c>
      <c r="J2718" s="3" t="n">
        <v>29</v>
      </c>
      <c r="K2718" s="3" t="n">
        <v>9789.65</v>
      </c>
      <c r="L2718" s="3" t="n">
        <v>283899.85</v>
      </c>
      <c r="M2718" s="3" t="n">
        <v>0.0444</v>
      </c>
      <c r="N2718" s="3" t="n">
        <v>12605.15</v>
      </c>
      <c r="O2718" s="3" t="n">
        <v>271294.7</v>
      </c>
      <c r="P2718" s="3" t="n">
        <v>170339.91</v>
      </c>
      <c r="Q2718" s="3" t="n">
        <v>100954.79</v>
      </c>
      <c r="R2718" s="3" t="n">
        <v>0.3721</v>
      </c>
      <c r="S2718" s="3" t="n">
        <v>0.0434</v>
      </c>
      <c r="T2718" s="3" t="n">
        <v>0.001</v>
      </c>
    </row>
    <row r="2719" customFormat="false" ht="15" hidden="false" customHeight="true" outlineLevel="0" collapsed="false">
      <c r="A2719" s="3" t="s">
        <v>3796</v>
      </c>
      <c r="B2719" s="3" t="s">
        <v>2196</v>
      </c>
      <c r="C2719" s="3" t="s">
        <v>156</v>
      </c>
      <c r="D2719" s="3" t="s">
        <v>97</v>
      </c>
      <c r="E2719" s="3" t="s">
        <v>48</v>
      </c>
      <c r="F2719" s="3" t="s">
        <v>40</v>
      </c>
      <c r="G2719" s="3" t="s">
        <v>76</v>
      </c>
      <c r="H2719" s="3" t="s">
        <v>64</v>
      </c>
      <c r="I2719" s="3" t="s">
        <v>90</v>
      </c>
      <c r="J2719" s="3" t="n">
        <v>16</v>
      </c>
      <c r="K2719" s="3" t="n">
        <v>8979.94</v>
      </c>
      <c r="L2719" s="3" t="n">
        <v>143679.04</v>
      </c>
      <c r="M2719" s="3" t="n">
        <v>0.0786</v>
      </c>
      <c r="N2719" s="3" t="n">
        <v>11293.17</v>
      </c>
      <c r="O2719" s="3" t="n">
        <v>132385.87</v>
      </c>
      <c r="P2719" s="3" t="n">
        <v>83333.84</v>
      </c>
      <c r="Q2719" s="3" t="n">
        <v>49052.03</v>
      </c>
      <c r="R2719" s="3" t="n">
        <v>0.3705</v>
      </c>
      <c r="S2719" s="3" t="n">
        <v>0.082</v>
      </c>
      <c r="T2719" s="3" t="n">
        <v>-0.0034</v>
      </c>
    </row>
    <row r="2720" customFormat="false" ht="15" hidden="false" customHeight="true" outlineLevel="0" collapsed="false">
      <c r="A2720" s="3" t="s">
        <v>3797</v>
      </c>
      <c r="B2720" s="3" t="s">
        <v>2586</v>
      </c>
      <c r="C2720" s="3" t="s">
        <v>113</v>
      </c>
      <c r="D2720" s="3" t="s">
        <v>47</v>
      </c>
      <c r="E2720" s="3" t="s">
        <v>48</v>
      </c>
      <c r="F2720" s="3" t="s">
        <v>25</v>
      </c>
      <c r="G2720" s="3" t="s">
        <v>104</v>
      </c>
      <c r="H2720" s="3" t="s">
        <v>42</v>
      </c>
      <c r="I2720" s="3" t="s">
        <v>72</v>
      </c>
      <c r="J2720" s="3" t="n">
        <v>42</v>
      </c>
      <c r="K2720" s="3" t="n">
        <v>2512.98</v>
      </c>
      <c r="L2720" s="3" t="n">
        <v>105545.16</v>
      </c>
      <c r="M2720" s="3" t="n">
        <v>0.1833</v>
      </c>
      <c r="N2720" s="3" t="n">
        <v>19346.43</v>
      </c>
      <c r="O2720" s="3" t="n">
        <v>86198.73</v>
      </c>
      <c r="P2720" s="3" t="n">
        <v>58049.84</v>
      </c>
      <c r="Q2720" s="3" t="n">
        <v>28148.89</v>
      </c>
      <c r="R2720" s="3" t="n">
        <v>0.3266</v>
      </c>
      <c r="S2720" s="3" t="n">
        <v>0.1695</v>
      </c>
      <c r="T2720" s="3" t="n">
        <v>0.0138</v>
      </c>
    </row>
    <row r="2721" customFormat="false" ht="15" hidden="false" customHeight="true" outlineLevel="0" collapsed="false">
      <c r="A2721" s="3" t="s">
        <v>3798</v>
      </c>
      <c r="B2721" s="3" t="s">
        <v>697</v>
      </c>
      <c r="C2721" s="3" t="s">
        <v>22</v>
      </c>
      <c r="D2721" s="3" t="s">
        <v>83</v>
      </c>
      <c r="E2721" s="3" t="s">
        <v>48</v>
      </c>
      <c r="F2721" s="3" t="s">
        <v>62</v>
      </c>
      <c r="G2721" s="3" t="s">
        <v>55</v>
      </c>
      <c r="H2721" s="3" t="s">
        <v>77</v>
      </c>
      <c r="I2721" s="3" t="s">
        <v>131</v>
      </c>
      <c r="J2721" s="3" t="n">
        <v>27</v>
      </c>
      <c r="K2721" s="3" t="n">
        <v>4782.02</v>
      </c>
      <c r="L2721" s="3" t="n">
        <v>129114.54</v>
      </c>
      <c r="M2721" s="3" t="n">
        <v>0.0507</v>
      </c>
      <c r="N2721" s="3" t="n">
        <v>6546.11</v>
      </c>
      <c r="O2721" s="3" t="n">
        <v>122568.43</v>
      </c>
      <c r="P2721" s="3" t="n">
        <v>87797.89</v>
      </c>
      <c r="Q2721" s="3" t="n">
        <v>34770.54</v>
      </c>
      <c r="R2721" s="3" t="n">
        <v>0.2837</v>
      </c>
      <c r="S2721" s="3" t="n">
        <v>0.0406</v>
      </c>
      <c r="T2721" s="3" t="n">
        <v>0.0101</v>
      </c>
    </row>
    <row r="2722" customFormat="false" ht="15" hidden="false" customHeight="true" outlineLevel="0" collapsed="false">
      <c r="A2722" s="3" t="s">
        <v>3799</v>
      </c>
      <c r="B2722" s="3" t="s">
        <v>2704</v>
      </c>
      <c r="C2722" s="3" t="s">
        <v>120</v>
      </c>
      <c r="D2722" s="3" t="s">
        <v>103</v>
      </c>
      <c r="E2722" s="3" t="s">
        <v>24</v>
      </c>
      <c r="F2722" s="3" t="s">
        <v>62</v>
      </c>
      <c r="G2722" s="3" t="s">
        <v>76</v>
      </c>
      <c r="H2722" s="3" t="s">
        <v>77</v>
      </c>
      <c r="I2722" s="3" t="s">
        <v>131</v>
      </c>
      <c r="J2722" s="3" t="n">
        <v>3</v>
      </c>
      <c r="K2722" s="3" t="n">
        <v>2034.7</v>
      </c>
      <c r="L2722" s="3" t="n">
        <v>6104.1</v>
      </c>
      <c r="M2722" s="3" t="n">
        <v>0.0367</v>
      </c>
      <c r="N2722" s="3" t="n">
        <v>224.02</v>
      </c>
      <c r="O2722" s="3" t="n">
        <v>5880.08</v>
      </c>
      <c r="P2722" s="3" t="n">
        <v>4150.79</v>
      </c>
      <c r="Q2722" s="3" t="n">
        <v>1729.29</v>
      </c>
      <c r="R2722" s="3" t="n">
        <v>0.2941</v>
      </c>
      <c r="S2722" s="3" t="n">
        <v>0.0308</v>
      </c>
      <c r="T2722" s="3" t="n">
        <v>0.0059</v>
      </c>
    </row>
    <row r="2723" customFormat="false" ht="15" hidden="false" customHeight="true" outlineLevel="0" collapsed="false">
      <c r="A2723" s="3" t="s">
        <v>3800</v>
      </c>
      <c r="B2723" s="3" t="s">
        <v>1060</v>
      </c>
      <c r="C2723" s="3" t="s">
        <v>113</v>
      </c>
      <c r="D2723" s="3" t="s">
        <v>97</v>
      </c>
      <c r="E2723" s="3" t="s">
        <v>48</v>
      </c>
      <c r="F2723" s="3" t="s">
        <v>40</v>
      </c>
      <c r="G2723" s="3" t="s">
        <v>55</v>
      </c>
      <c r="H2723" s="3" t="s">
        <v>64</v>
      </c>
      <c r="I2723" s="3" t="s">
        <v>145</v>
      </c>
      <c r="J2723" s="3" t="n">
        <v>3</v>
      </c>
      <c r="K2723" s="3" t="n">
        <v>8295.45</v>
      </c>
      <c r="L2723" s="3" t="n">
        <v>24886.35</v>
      </c>
      <c r="M2723" s="3" t="n">
        <v>0.0336</v>
      </c>
      <c r="N2723" s="3" t="n">
        <v>836.18</v>
      </c>
      <c r="O2723" s="3" t="n">
        <v>24050.17</v>
      </c>
      <c r="P2723" s="3" t="n">
        <v>14434.08</v>
      </c>
      <c r="Q2723" s="3" t="n">
        <v>9616.09</v>
      </c>
      <c r="R2723" s="3" t="n">
        <v>0.3998</v>
      </c>
      <c r="S2723" s="3" t="n">
        <v>0.0342</v>
      </c>
      <c r="T2723" s="3" t="n">
        <v>-0.0006</v>
      </c>
    </row>
    <row r="2724" customFormat="false" ht="15" hidden="false" customHeight="true" outlineLevel="0" collapsed="false">
      <c r="A2724" s="3" t="s">
        <v>3801</v>
      </c>
      <c r="B2724" s="3" t="s">
        <v>880</v>
      </c>
      <c r="C2724" s="3" t="s">
        <v>93</v>
      </c>
      <c r="D2724" s="3" t="s">
        <v>47</v>
      </c>
      <c r="E2724" s="3" t="s">
        <v>48</v>
      </c>
      <c r="F2724" s="3" t="s">
        <v>25</v>
      </c>
      <c r="G2724" s="3" t="s">
        <v>63</v>
      </c>
      <c r="H2724" s="3" t="s">
        <v>56</v>
      </c>
      <c r="I2724" s="3" t="s">
        <v>188</v>
      </c>
      <c r="J2724" s="3" t="n">
        <v>40</v>
      </c>
      <c r="K2724" s="3" t="n">
        <v>9811.55</v>
      </c>
      <c r="L2724" s="3" t="n">
        <v>392462</v>
      </c>
      <c r="M2724" s="3" t="n">
        <v>0.1145</v>
      </c>
      <c r="N2724" s="3" t="n">
        <v>44936.9</v>
      </c>
      <c r="O2724" s="3" t="n">
        <v>347525.1</v>
      </c>
      <c r="P2724" s="3" t="n">
        <v>235477.2</v>
      </c>
      <c r="Q2724" s="3" t="n">
        <v>112047.9</v>
      </c>
      <c r="R2724" s="3" t="n">
        <v>0.3224</v>
      </c>
      <c r="S2724" s="3" t="n">
        <v>0.1127</v>
      </c>
      <c r="T2724" s="3" t="n">
        <v>0.0018</v>
      </c>
    </row>
    <row r="2725" customFormat="false" ht="15" hidden="false" customHeight="true" outlineLevel="0" collapsed="false">
      <c r="A2725" s="3" t="s">
        <v>3802</v>
      </c>
      <c r="B2725" s="3" t="s">
        <v>206</v>
      </c>
      <c r="C2725" s="3" t="s">
        <v>156</v>
      </c>
      <c r="D2725" s="3" t="s">
        <v>103</v>
      </c>
      <c r="E2725" s="3" t="s">
        <v>24</v>
      </c>
      <c r="F2725" s="3" t="s">
        <v>62</v>
      </c>
      <c r="G2725" s="3" t="s">
        <v>76</v>
      </c>
      <c r="H2725" s="3" t="s">
        <v>64</v>
      </c>
      <c r="I2725" s="3" t="s">
        <v>145</v>
      </c>
      <c r="J2725" s="3" t="n">
        <v>8</v>
      </c>
      <c r="K2725" s="3" t="n">
        <v>10328.27</v>
      </c>
      <c r="L2725" s="3" t="n">
        <v>82626.16</v>
      </c>
      <c r="M2725" s="3" t="n">
        <v>0.0437</v>
      </c>
      <c r="N2725" s="3" t="n">
        <v>3610.76</v>
      </c>
      <c r="O2725" s="3" t="n">
        <v>79015.4</v>
      </c>
      <c r="P2725" s="3" t="n">
        <v>47923.17</v>
      </c>
      <c r="Q2725" s="3" t="n">
        <v>31092.23</v>
      </c>
      <c r="R2725" s="3" t="n">
        <v>0.3935</v>
      </c>
      <c r="S2725" s="3" t="n">
        <v>0.0431</v>
      </c>
      <c r="T2725" s="3" t="n">
        <v>0.0006</v>
      </c>
    </row>
    <row r="2726" customFormat="false" ht="15" hidden="false" customHeight="true" outlineLevel="0" collapsed="false">
      <c r="A2726" s="3" t="s">
        <v>3803</v>
      </c>
      <c r="B2726" s="3" t="s">
        <v>1966</v>
      </c>
      <c r="C2726" s="3" t="s">
        <v>126</v>
      </c>
      <c r="D2726" s="3" t="s">
        <v>69</v>
      </c>
      <c r="E2726" s="3" t="s">
        <v>39</v>
      </c>
      <c r="F2726" s="3" t="s">
        <v>70</v>
      </c>
      <c r="G2726" s="3" t="s">
        <v>116</v>
      </c>
      <c r="H2726" s="3" t="s">
        <v>64</v>
      </c>
      <c r="I2726" s="3" t="s">
        <v>145</v>
      </c>
      <c r="J2726" s="3" t="n">
        <v>26</v>
      </c>
      <c r="K2726" s="3" t="n">
        <v>7121.29</v>
      </c>
      <c r="L2726" s="3" t="n">
        <v>185153.54</v>
      </c>
      <c r="M2726" s="3" t="n">
        <v>0.1128</v>
      </c>
      <c r="N2726" s="3" t="n">
        <v>20885.32</v>
      </c>
      <c r="O2726" s="3" t="n">
        <v>164268.22</v>
      </c>
      <c r="P2726" s="3" t="n">
        <v>107389.05</v>
      </c>
      <c r="Q2726" s="3" t="n">
        <v>56879.17</v>
      </c>
      <c r="R2726" s="3" t="n">
        <v>0.3463</v>
      </c>
      <c r="S2726" s="3" t="n">
        <v>0.095</v>
      </c>
      <c r="T2726" s="3" t="n">
        <v>0.0178</v>
      </c>
    </row>
    <row r="2727" customFormat="false" ht="15" hidden="false" customHeight="true" outlineLevel="0" collapsed="false">
      <c r="A2727" s="3" t="s">
        <v>3804</v>
      </c>
      <c r="B2727" s="3" t="s">
        <v>1057</v>
      </c>
      <c r="C2727" s="3" t="s">
        <v>22</v>
      </c>
      <c r="D2727" s="3" t="s">
        <v>47</v>
      </c>
      <c r="E2727" s="3" t="s">
        <v>48</v>
      </c>
      <c r="F2727" s="3" t="s">
        <v>25</v>
      </c>
      <c r="G2727" s="3" t="s">
        <v>100</v>
      </c>
      <c r="H2727" s="3" t="s">
        <v>27</v>
      </c>
      <c r="I2727" s="3" t="s">
        <v>28</v>
      </c>
      <c r="J2727" s="3" t="n">
        <v>32</v>
      </c>
      <c r="K2727" s="3" t="n">
        <v>20279.36</v>
      </c>
      <c r="L2727" s="3" t="n">
        <v>648939.52</v>
      </c>
      <c r="M2727" s="3" t="n">
        <v>0.1379</v>
      </c>
      <c r="N2727" s="3" t="n">
        <v>89488.76</v>
      </c>
      <c r="O2727" s="3" t="n">
        <v>559450.76</v>
      </c>
      <c r="P2727" s="3" t="n">
        <v>402342.5</v>
      </c>
      <c r="Q2727" s="3" t="n">
        <v>157108.26</v>
      </c>
      <c r="R2727" s="3" t="n">
        <v>0.2808</v>
      </c>
      <c r="S2727" s="3" t="n">
        <v>0.1338</v>
      </c>
      <c r="T2727" s="3" t="n">
        <v>0.0041</v>
      </c>
    </row>
    <row r="2728" customFormat="false" ht="15" hidden="false" customHeight="true" outlineLevel="0" collapsed="false">
      <c r="A2728" s="3" t="s">
        <v>3805</v>
      </c>
      <c r="B2728" s="3" t="s">
        <v>2398</v>
      </c>
      <c r="C2728" s="3" t="s">
        <v>113</v>
      </c>
      <c r="D2728" s="3" t="s">
        <v>103</v>
      </c>
      <c r="E2728" s="3" t="s">
        <v>24</v>
      </c>
      <c r="F2728" s="3" t="s">
        <v>62</v>
      </c>
      <c r="G2728" s="3" t="s">
        <v>71</v>
      </c>
      <c r="H2728" s="3" t="s">
        <v>77</v>
      </c>
      <c r="I2728" s="3" t="s">
        <v>85</v>
      </c>
      <c r="J2728" s="3" t="n">
        <v>38</v>
      </c>
      <c r="K2728" s="3" t="n">
        <v>2807.3</v>
      </c>
      <c r="L2728" s="3" t="n">
        <v>106677.4</v>
      </c>
      <c r="M2728" s="3" t="n">
        <v>0.0679</v>
      </c>
      <c r="N2728" s="3" t="n">
        <v>7243.4</v>
      </c>
      <c r="O2728" s="3" t="n">
        <v>99434</v>
      </c>
      <c r="P2728" s="3" t="n">
        <v>72540.63</v>
      </c>
      <c r="Q2728" s="3" t="n">
        <v>26893.37</v>
      </c>
      <c r="R2728" s="3" t="n">
        <v>0.2705</v>
      </c>
      <c r="S2728" s="3" t="n">
        <v>0.0642</v>
      </c>
      <c r="T2728" s="3" t="n">
        <v>0.0037</v>
      </c>
    </row>
    <row r="2729" customFormat="false" ht="15" hidden="false" customHeight="true" outlineLevel="0" collapsed="false">
      <c r="A2729" s="3" t="s">
        <v>3806</v>
      </c>
      <c r="B2729" s="3" t="s">
        <v>649</v>
      </c>
      <c r="C2729" s="3" t="s">
        <v>37</v>
      </c>
      <c r="D2729" s="3" t="s">
        <v>83</v>
      </c>
      <c r="E2729" s="3" t="s">
        <v>48</v>
      </c>
      <c r="F2729" s="3" t="s">
        <v>62</v>
      </c>
      <c r="G2729" s="3" t="s">
        <v>116</v>
      </c>
      <c r="H2729" s="3" t="s">
        <v>77</v>
      </c>
      <c r="I2729" s="3" t="s">
        <v>78</v>
      </c>
      <c r="J2729" s="3" t="n">
        <v>3</v>
      </c>
      <c r="K2729" s="3" t="n">
        <v>2633.43</v>
      </c>
      <c r="L2729" s="3" t="n">
        <v>7900.29</v>
      </c>
      <c r="M2729" s="3" t="n">
        <v>0.0884</v>
      </c>
      <c r="N2729" s="3" t="n">
        <v>698.39</v>
      </c>
      <c r="O2729" s="3" t="n">
        <v>7201.9</v>
      </c>
      <c r="P2729" s="3" t="n">
        <v>5372.2</v>
      </c>
      <c r="Q2729" s="3" t="n">
        <v>1829.7</v>
      </c>
      <c r="R2729" s="3" t="n">
        <v>0.2541</v>
      </c>
      <c r="S2729" s="3" t="n">
        <v>0.0708</v>
      </c>
      <c r="T2729" s="3" t="n">
        <v>0.0176</v>
      </c>
    </row>
    <row r="2730" customFormat="false" ht="15" hidden="false" customHeight="true" outlineLevel="0" collapsed="false">
      <c r="A2730" s="3" t="s">
        <v>3807</v>
      </c>
      <c r="B2730" s="3" t="s">
        <v>3808</v>
      </c>
      <c r="C2730" s="3" t="s">
        <v>126</v>
      </c>
      <c r="D2730" s="3" t="s">
        <v>75</v>
      </c>
      <c r="E2730" s="3" t="s">
        <v>39</v>
      </c>
      <c r="F2730" s="3" t="s">
        <v>25</v>
      </c>
      <c r="G2730" s="3" t="s">
        <v>116</v>
      </c>
      <c r="H2730" s="3" t="s">
        <v>42</v>
      </c>
      <c r="I2730" s="3" t="s">
        <v>134</v>
      </c>
      <c r="J2730" s="3" t="n">
        <v>14</v>
      </c>
      <c r="K2730" s="3" t="n">
        <v>3050.13</v>
      </c>
      <c r="L2730" s="3" t="n">
        <v>42701.82</v>
      </c>
      <c r="M2730" s="3" t="n">
        <v>0.205</v>
      </c>
      <c r="N2730" s="3" t="n">
        <v>8753.87</v>
      </c>
      <c r="O2730" s="3" t="n">
        <v>33947.95</v>
      </c>
      <c r="P2730" s="3" t="n">
        <v>23486</v>
      </c>
      <c r="Q2730" s="3" t="n">
        <v>10461.95</v>
      </c>
      <c r="R2730" s="3" t="n">
        <v>0.3082</v>
      </c>
      <c r="S2730" s="3" t="n">
        <v>0.2209</v>
      </c>
      <c r="T2730" s="3" t="n">
        <v>-0.0159</v>
      </c>
    </row>
    <row r="2731" customFormat="false" ht="15" hidden="false" customHeight="true" outlineLevel="0" collapsed="false">
      <c r="A2731" s="3" t="s">
        <v>3809</v>
      </c>
      <c r="B2731" s="3" t="s">
        <v>1783</v>
      </c>
      <c r="C2731" s="3" t="s">
        <v>53</v>
      </c>
      <c r="D2731" s="3" t="s">
        <v>54</v>
      </c>
      <c r="E2731" s="3" t="s">
        <v>24</v>
      </c>
      <c r="F2731" s="3" t="s">
        <v>40</v>
      </c>
      <c r="G2731" s="3" t="s">
        <v>84</v>
      </c>
      <c r="H2731" s="3" t="s">
        <v>56</v>
      </c>
      <c r="I2731" s="3" t="s">
        <v>57</v>
      </c>
      <c r="J2731" s="3" t="n">
        <v>35</v>
      </c>
      <c r="K2731" s="3" t="n">
        <v>4250.91</v>
      </c>
      <c r="L2731" s="3" t="n">
        <v>148781.85</v>
      </c>
      <c r="M2731" s="3" t="n">
        <v>0.0755</v>
      </c>
      <c r="N2731" s="3" t="n">
        <v>11233.03</v>
      </c>
      <c r="O2731" s="3" t="n">
        <v>137548.82</v>
      </c>
      <c r="P2731" s="3" t="n">
        <v>89269.11</v>
      </c>
      <c r="Q2731" s="3" t="n">
        <v>48279.71</v>
      </c>
      <c r="R2731" s="3" t="n">
        <v>0.351</v>
      </c>
      <c r="S2731" s="3" t="n">
        <v>0.0734</v>
      </c>
      <c r="T2731" s="3" t="n">
        <v>0.0021</v>
      </c>
    </row>
    <row r="2732" customFormat="false" ht="15" hidden="false" customHeight="true" outlineLevel="0" collapsed="false">
      <c r="A2732" s="3" t="s">
        <v>3810</v>
      </c>
      <c r="B2732" s="3" t="s">
        <v>2967</v>
      </c>
      <c r="C2732" s="3" t="s">
        <v>22</v>
      </c>
      <c r="D2732" s="3" t="s">
        <v>54</v>
      </c>
      <c r="E2732" s="3" t="s">
        <v>24</v>
      </c>
      <c r="F2732" s="3" t="s">
        <v>40</v>
      </c>
      <c r="G2732" s="3" t="s">
        <v>34</v>
      </c>
      <c r="H2732" s="3" t="s">
        <v>77</v>
      </c>
      <c r="I2732" s="3" t="s">
        <v>131</v>
      </c>
      <c r="J2732" s="3" t="n">
        <v>24</v>
      </c>
      <c r="K2732" s="3" t="n">
        <v>1517.3</v>
      </c>
      <c r="L2732" s="3" t="n">
        <v>36415.2</v>
      </c>
      <c r="M2732" s="3" t="n">
        <v>0.093</v>
      </c>
      <c r="N2732" s="3" t="n">
        <v>3386.61</v>
      </c>
      <c r="O2732" s="3" t="n">
        <v>33028.59</v>
      </c>
      <c r="P2732" s="3" t="n">
        <v>24762.34</v>
      </c>
      <c r="Q2732" s="3" t="n">
        <v>8266.25</v>
      </c>
      <c r="R2732" s="3" t="n">
        <v>0.2503</v>
      </c>
      <c r="S2732" s="3" t="n">
        <v>0.0849</v>
      </c>
      <c r="T2732" s="3" t="n">
        <v>0.0081</v>
      </c>
    </row>
    <row r="2733" customFormat="false" ht="15" hidden="false" customHeight="true" outlineLevel="0" collapsed="false">
      <c r="A2733" s="3" t="s">
        <v>3811</v>
      </c>
      <c r="B2733" s="3" t="s">
        <v>422</v>
      </c>
      <c r="C2733" s="3" t="s">
        <v>93</v>
      </c>
      <c r="D2733" s="3" t="s">
        <v>83</v>
      </c>
      <c r="E2733" s="3" t="s">
        <v>48</v>
      </c>
      <c r="F2733" s="3" t="s">
        <v>62</v>
      </c>
      <c r="G2733" s="3" t="s">
        <v>34</v>
      </c>
      <c r="H2733" s="3" t="s">
        <v>42</v>
      </c>
      <c r="I2733" s="3" t="s">
        <v>72</v>
      </c>
      <c r="J2733" s="3" t="n">
        <v>6</v>
      </c>
      <c r="K2733" s="3" t="n">
        <v>1020.86</v>
      </c>
      <c r="L2733" s="3" t="n">
        <v>6125.16</v>
      </c>
      <c r="M2733" s="3" t="n">
        <v>0.0836</v>
      </c>
      <c r="N2733" s="3" t="n">
        <v>512.06</v>
      </c>
      <c r="O2733" s="3" t="n">
        <v>5613.1</v>
      </c>
      <c r="P2733" s="3" t="n">
        <v>3368.84</v>
      </c>
      <c r="Q2733" s="3" t="n">
        <v>2244.26</v>
      </c>
      <c r="R2733" s="3" t="n">
        <v>0.3998</v>
      </c>
      <c r="S2733" s="3" t="n">
        <v>0.0801</v>
      </c>
      <c r="T2733" s="3" t="n">
        <v>0.0035</v>
      </c>
    </row>
    <row r="2734" customFormat="false" ht="15" hidden="false" customHeight="true" outlineLevel="0" collapsed="false">
      <c r="A2734" s="3" t="s">
        <v>3812</v>
      </c>
      <c r="B2734" s="3" t="s">
        <v>1726</v>
      </c>
      <c r="C2734" s="3" t="s">
        <v>37</v>
      </c>
      <c r="D2734" s="3" t="s">
        <v>83</v>
      </c>
      <c r="E2734" s="3" t="s">
        <v>48</v>
      </c>
      <c r="F2734" s="3" t="s">
        <v>62</v>
      </c>
      <c r="G2734" s="3" t="s">
        <v>34</v>
      </c>
      <c r="H2734" s="3" t="s">
        <v>56</v>
      </c>
      <c r="I2734" s="3" t="s">
        <v>57</v>
      </c>
      <c r="J2734" s="3" t="n">
        <v>45</v>
      </c>
      <c r="K2734" s="3" t="n">
        <v>3016.44</v>
      </c>
      <c r="L2734" s="3" t="n">
        <v>135739.8</v>
      </c>
      <c r="M2734" s="3" t="n">
        <v>0.051</v>
      </c>
      <c r="N2734" s="3" t="n">
        <v>6922.73</v>
      </c>
      <c r="O2734" s="3" t="n">
        <v>128817.07</v>
      </c>
      <c r="P2734" s="3" t="n">
        <v>81443.88</v>
      </c>
      <c r="Q2734" s="3" t="n">
        <v>47373.19</v>
      </c>
      <c r="R2734" s="3" t="n">
        <v>0.3678</v>
      </c>
      <c r="S2734" s="3" t="n">
        <v>0.0451</v>
      </c>
      <c r="T2734" s="3" t="n">
        <v>0.0059</v>
      </c>
    </row>
    <row r="2735" customFormat="false" ht="15" hidden="false" customHeight="true" outlineLevel="0" collapsed="false">
      <c r="A2735" s="3" t="s">
        <v>3813</v>
      </c>
      <c r="B2735" s="3" t="s">
        <v>2797</v>
      </c>
      <c r="C2735" s="3" t="s">
        <v>68</v>
      </c>
      <c r="D2735" s="3" t="s">
        <v>83</v>
      </c>
      <c r="E2735" s="3" t="s">
        <v>48</v>
      </c>
      <c r="F2735" s="3" t="s">
        <v>62</v>
      </c>
      <c r="G2735" s="3" t="s">
        <v>63</v>
      </c>
      <c r="H2735" s="3" t="s">
        <v>77</v>
      </c>
      <c r="I2735" s="3" t="s">
        <v>85</v>
      </c>
      <c r="J2735" s="3" t="n">
        <v>33</v>
      </c>
      <c r="K2735" s="3" t="n">
        <v>3239.64</v>
      </c>
      <c r="L2735" s="3" t="n">
        <v>106908.12</v>
      </c>
      <c r="M2735" s="3" t="n">
        <v>0.0397</v>
      </c>
      <c r="N2735" s="3" t="n">
        <v>4244.25</v>
      </c>
      <c r="O2735" s="3" t="n">
        <v>102663.87</v>
      </c>
      <c r="P2735" s="3" t="n">
        <v>72697.52</v>
      </c>
      <c r="Q2735" s="3" t="n">
        <v>29966.35</v>
      </c>
      <c r="R2735" s="3" t="n">
        <v>0.2919</v>
      </c>
      <c r="S2735" s="3" t="n">
        <v>0.0414</v>
      </c>
      <c r="T2735" s="3" t="n">
        <v>-0.0017</v>
      </c>
    </row>
    <row r="2736" customFormat="false" ht="15" hidden="false" customHeight="true" outlineLevel="0" collapsed="false">
      <c r="A2736" s="3" t="s">
        <v>3814</v>
      </c>
      <c r="B2736" s="3" t="s">
        <v>1112</v>
      </c>
      <c r="C2736" s="3" t="s">
        <v>37</v>
      </c>
      <c r="D2736" s="3" t="s">
        <v>107</v>
      </c>
      <c r="E2736" s="3" t="s">
        <v>33</v>
      </c>
      <c r="F2736" s="3" t="s">
        <v>70</v>
      </c>
      <c r="G2736" s="3" t="s">
        <v>116</v>
      </c>
      <c r="H2736" s="3" t="s">
        <v>27</v>
      </c>
      <c r="I2736" s="3" t="s">
        <v>28</v>
      </c>
      <c r="J2736" s="3" t="n">
        <v>35</v>
      </c>
      <c r="K2736" s="3" t="n">
        <v>31138.77</v>
      </c>
      <c r="L2736" s="3" t="n">
        <v>1089856.95</v>
      </c>
      <c r="M2736" s="3" t="n">
        <v>0.0837</v>
      </c>
      <c r="N2736" s="3" t="n">
        <v>91221.03</v>
      </c>
      <c r="O2736" s="3" t="n">
        <v>998635.92</v>
      </c>
      <c r="P2736" s="3" t="n">
        <v>675711.31</v>
      </c>
      <c r="Q2736" s="3" t="n">
        <v>322924.61</v>
      </c>
      <c r="R2736" s="3" t="n">
        <v>0.3234</v>
      </c>
      <c r="S2736" s="3" t="n">
        <v>0.0722</v>
      </c>
      <c r="T2736" s="3" t="n">
        <v>0.0115</v>
      </c>
    </row>
    <row r="2737" customFormat="false" ht="15" hidden="false" customHeight="true" outlineLevel="0" collapsed="false">
      <c r="A2737" s="3" t="s">
        <v>3815</v>
      </c>
      <c r="B2737" s="3" t="s">
        <v>3816</v>
      </c>
      <c r="C2737" s="3" t="s">
        <v>120</v>
      </c>
      <c r="D2737" s="3" t="s">
        <v>61</v>
      </c>
      <c r="E2737" s="3" t="s">
        <v>33</v>
      </c>
      <c r="F2737" s="3" t="s">
        <v>62</v>
      </c>
      <c r="G2737" s="3" t="s">
        <v>116</v>
      </c>
      <c r="H2737" s="3" t="s">
        <v>42</v>
      </c>
      <c r="I2737" s="3" t="s">
        <v>43</v>
      </c>
      <c r="J2737" s="3" t="n">
        <v>28</v>
      </c>
      <c r="K2737" s="3" t="n">
        <v>1375.6</v>
      </c>
      <c r="L2737" s="3" t="n">
        <v>38516.8</v>
      </c>
      <c r="M2737" s="3" t="n">
        <v>0.0906</v>
      </c>
      <c r="N2737" s="3" t="n">
        <v>3489.62</v>
      </c>
      <c r="O2737" s="3" t="n">
        <v>35027.18</v>
      </c>
      <c r="P2737" s="3" t="n">
        <v>21184.24</v>
      </c>
      <c r="Q2737" s="3" t="n">
        <v>13842.94</v>
      </c>
      <c r="R2737" s="3" t="n">
        <v>0.3952</v>
      </c>
      <c r="S2737" s="3" t="n">
        <v>0.0981</v>
      </c>
      <c r="T2737" s="3" t="n">
        <v>-0.0075</v>
      </c>
    </row>
    <row r="2738" customFormat="false" ht="15" hidden="false" customHeight="true" outlineLevel="0" collapsed="false">
      <c r="A2738" s="3" t="s">
        <v>3817</v>
      </c>
      <c r="B2738" s="3" t="s">
        <v>3818</v>
      </c>
      <c r="C2738" s="3" t="s">
        <v>37</v>
      </c>
      <c r="D2738" s="3" t="s">
        <v>32</v>
      </c>
      <c r="E2738" s="3" t="s">
        <v>33</v>
      </c>
      <c r="F2738" s="3" t="s">
        <v>25</v>
      </c>
      <c r="G2738" s="3" t="s">
        <v>116</v>
      </c>
      <c r="H2738" s="3" t="s">
        <v>77</v>
      </c>
      <c r="I2738" s="3" t="s">
        <v>85</v>
      </c>
      <c r="J2738" s="3" t="n">
        <v>7</v>
      </c>
      <c r="K2738" s="3" t="n">
        <v>3834.2</v>
      </c>
      <c r="L2738" s="3" t="n">
        <v>26839.4</v>
      </c>
      <c r="M2738" s="3" t="n">
        <v>0.1712</v>
      </c>
      <c r="N2738" s="3" t="n">
        <v>4594.91</v>
      </c>
      <c r="O2738" s="3" t="n">
        <v>22244.49</v>
      </c>
      <c r="P2738" s="3" t="n">
        <v>18250.79</v>
      </c>
      <c r="Q2738" s="3" t="n">
        <v>3993.7</v>
      </c>
      <c r="R2738" s="3" t="n">
        <v>0.1795</v>
      </c>
      <c r="S2738" s="3" t="n">
        <v>0.1587</v>
      </c>
      <c r="T2738" s="3" t="n">
        <v>0.0125</v>
      </c>
    </row>
    <row r="2739" customFormat="false" ht="15" hidden="false" customHeight="true" outlineLevel="0" collapsed="false">
      <c r="A2739" s="3" t="s">
        <v>3819</v>
      </c>
      <c r="B2739" s="3" t="s">
        <v>2093</v>
      </c>
      <c r="C2739" s="3" t="s">
        <v>113</v>
      </c>
      <c r="D2739" s="3" t="s">
        <v>75</v>
      </c>
      <c r="E2739" s="3" t="s">
        <v>39</v>
      </c>
      <c r="F2739" s="3" t="s">
        <v>25</v>
      </c>
      <c r="G2739" s="3" t="s">
        <v>104</v>
      </c>
      <c r="H2739" s="3" t="s">
        <v>42</v>
      </c>
      <c r="I2739" s="3" t="s">
        <v>134</v>
      </c>
      <c r="J2739" s="3" t="n">
        <v>36</v>
      </c>
      <c r="K2739" s="3" t="n">
        <v>1922.91</v>
      </c>
      <c r="L2739" s="3" t="n">
        <v>69224.76</v>
      </c>
      <c r="M2739" s="3" t="n">
        <v>0.1573</v>
      </c>
      <c r="N2739" s="3" t="n">
        <v>10889.05</v>
      </c>
      <c r="O2739" s="3" t="n">
        <v>58335.71</v>
      </c>
      <c r="P2739" s="3" t="n">
        <v>38073.62</v>
      </c>
      <c r="Q2739" s="3" t="n">
        <v>20262.09</v>
      </c>
      <c r="R2739" s="3" t="n">
        <v>0.3473</v>
      </c>
      <c r="S2739" s="3" t="n">
        <v>0.1374</v>
      </c>
      <c r="T2739" s="3" t="n">
        <v>0.0199</v>
      </c>
    </row>
    <row r="2740" customFormat="false" ht="15" hidden="false" customHeight="true" outlineLevel="0" collapsed="false">
      <c r="A2740" s="3" t="s">
        <v>3820</v>
      </c>
      <c r="B2740" s="3" t="s">
        <v>1635</v>
      </c>
      <c r="C2740" s="3" t="s">
        <v>31</v>
      </c>
      <c r="D2740" s="3" t="s">
        <v>97</v>
      </c>
      <c r="E2740" s="3" t="s">
        <v>48</v>
      </c>
      <c r="F2740" s="3" t="s">
        <v>40</v>
      </c>
      <c r="G2740" s="3" t="s">
        <v>76</v>
      </c>
      <c r="H2740" s="3" t="s">
        <v>27</v>
      </c>
      <c r="I2740" s="3" t="s">
        <v>50</v>
      </c>
      <c r="J2740" s="3" t="n">
        <v>48</v>
      </c>
      <c r="K2740" s="3" t="n">
        <v>13734.59</v>
      </c>
      <c r="L2740" s="3" t="n">
        <v>659260.32</v>
      </c>
      <c r="M2740" s="3" t="n">
        <v>0.0398</v>
      </c>
      <c r="N2740" s="3" t="n">
        <v>26238.56</v>
      </c>
      <c r="O2740" s="3" t="n">
        <v>633021.76</v>
      </c>
      <c r="P2740" s="3" t="n">
        <v>408741.4</v>
      </c>
      <c r="Q2740" s="3" t="n">
        <v>224280.36</v>
      </c>
      <c r="R2740" s="3" t="n">
        <v>0.3543</v>
      </c>
      <c r="S2740" s="3" t="n">
        <v>0.0322</v>
      </c>
      <c r="T2740" s="3" t="n">
        <v>0.0076</v>
      </c>
    </row>
    <row r="2741" customFormat="false" ht="15" hidden="false" customHeight="true" outlineLevel="0" collapsed="false">
      <c r="A2741" s="3" t="s">
        <v>3821</v>
      </c>
      <c r="B2741" s="3" t="s">
        <v>1135</v>
      </c>
      <c r="C2741" s="3" t="s">
        <v>37</v>
      </c>
      <c r="D2741" s="3" t="s">
        <v>75</v>
      </c>
      <c r="E2741" s="3" t="s">
        <v>39</v>
      </c>
      <c r="F2741" s="3" t="s">
        <v>25</v>
      </c>
      <c r="G2741" s="3" t="s">
        <v>41</v>
      </c>
      <c r="H2741" s="3" t="s">
        <v>64</v>
      </c>
      <c r="I2741" s="3" t="s">
        <v>65</v>
      </c>
      <c r="J2741" s="3" t="n">
        <v>28</v>
      </c>
      <c r="K2741" s="3" t="n">
        <v>11630.44</v>
      </c>
      <c r="L2741" s="3" t="n">
        <v>325652.32</v>
      </c>
      <c r="M2741" s="3" t="n">
        <v>0.2395</v>
      </c>
      <c r="N2741" s="3" t="n">
        <v>77993.73</v>
      </c>
      <c r="O2741" s="3" t="n">
        <v>247658.59</v>
      </c>
      <c r="P2741" s="3" t="n">
        <v>188878.35</v>
      </c>
      <c r="Q2741" s="3" t="n">
        <v>58780.24</v>
      </c>
      <c r="R2741" s="3" t="n">
        <v>0.2373</v>
      </c>
      <c r="S2741" s="3" t="n">
        <v>0.257</v>
      </c>
      <c r="T2741" s="3" t="n">
        <v>-0.0175</v>
      </c>
    </row>
    <row r="2742" customFormat="false" ht="15" hidden="false" customHeight="true" outlineLevel="0" collapsed="false">
      <c r="A2742" s="3" t="s">
        <v>3822</v>
      </c>
      <c r="B2742" s="3" t="s">
        <v>958</v>
      </c>
      <c r="C2742" s="3" t="s">
        <v>31</v>
      </c>
      <c r="D2742" s="3" t="s">
        <v>32</v>
      </c>
      <c r="E2742" s="3" t="s">
        <v>33</v>
      </c>
      <c r="F2742" s="3" t="s">
        <v>25</v>
      </c>
      <c r="G2742" s="3" t="s">
        <v>41</v>
      </c>
      <c r="H2742" s="3" t="s">
        <v>42</v>
      </c>
      <c r="I2742" s="3" t="s">
        <v>43</v>
      </c>
      <c r="J2742" s="3" t="n">
        <v>7</v>
      </c>
      <c r="K2742" s="3" t="n">
        <v>1509.07</v>
      </c>
      <c r="L2742" s="3" t="n">
        <v>10563.49</v>
      </c>
      <c r="M2742" s="3" t="n">
        <v>0.1589</v>
      </c>
      <c r="N2742" s="3" t="n">
        <v>1678.54</v>
      </c>
      <c r="O2742" s="3" t="n">
        <v>8884.95</v>
      </c>
      <c r="P2742" s="3" t="n">
        <v>5809.92</v>
      </c>
      <c r="Q2742" s="3" t="n">
        <v>3075.03</v>
      </c>
      <c r="R2742" s="3" t="n">
        <v>0.3461</v>
      </c>
      <c r="S2742" s="3" t="n">
        <v>0.1501</v>
      </c>
      <c r="T2742" s="3" t="n">
        <v>0.0088</v>
      </c>
    </row>
    <row r="2743" customFormat="false" ht="15" hidden="false" customHeight="true" outlineLevel="0" collapsed="false">
      <c r="A2743" s="3" t="s">
        <v>3823</v>
      </c>
      <c r="B2743" s="3" t="s">
        <v>728</v>
      </c>
      <c r="C2743" s="3" t="s">
        <v>156</v>
      </c>
      <c r="D2743" s="3" t="s">
        <v>61</v>
      </c>
      <c r="E2743" s="3" t="s">
        <v>33</v>
      </c>
      <c r="F2743" s="3" t="s">
        <v>62</v>
      </c>
      <c r="G2743" s="3" t="s">
        <v>76</v>
      </c>
      <c r="H2743" s="3" t="s">
        <v>42</v>
      </c>
      <c r="I2743" s="3" t="s">
        <v>43</v>
      </c>
      <c r="J2743" s="3" t="n">
        <v>38</v>
      </c>
      <c r="K2743" s="3" t="n">
        <v>1619.15</v>
      </c>
      <c r="L2743" s="3" t="n">
        <v>61527.7</v>
      </c>
      <c r="M2743" s="3" t="n">
        <v>0.0583</v>
      </c>
      <c r="N2743" s="3" t="n">
        <v>3587.06</v>
      </c>
      <c r="O2743" s="3" t="n">
        <v>57940.64</v>
      </c>
      <c r="P2743" s="3" t="n">
        <v>33840.24</v>
      </c>
      <c r="Q2743" s="3" t="n">
        <v>24100.4</v>
      </c>
      <c r="R2743" s="3" t="n">
        <v>0.4159</v>
      </c>
      <c r="S2743" s="3" t="n">
        <v>0.0483</v>
      </c>
      <c r="T2743" s="3" t="n">
        <v>0.01</v>
      </c>
    </row>
    <row r="2744" customFormat="false" ht="15" hidden="false" customHeight="true" outlineLevel="0" collapsed="false">
      <c r="A2744" s="3" t="s">
        <v>3824</v>
      </c>
      <c r="B2744" s="3" t="s">
        <v>3825</v>
      </c>
      <c r="C2744" s="3" t="s">
        <v>156</v>
      </c>
      <c r="D2744" s="3" t="s">
        <v>47</v>
      </c>
      <c r="E2744" s="3" t="s">
        <v>48</v>
      </c>
      <c r="F2744" s="3" t="s">
        <v>25</v>
      </c>
      <c r="G2744" s="3" t="s">
        <v>34</v>
      </c>
      <c r="H2744" s="3" t="s">
        <v>77</v>
      </c>
      <c r="I2744" s="3" t="s">
        <v>131</v>
      </c>
      <c r="J2744" s="3" t="n">
        <v>34</v>
      </c>
      <c r="K2744" s="3" t="n">
        <v>5274.26</v>
      </c>
      <c r="L2744" s="3" t="n">
        <v>179324.84</v>
      </c>
      <c r="M2744" s="3" t="n">
        <v>0.1134</v>
      </c>
      <c r="N2744" s="3" t="n">
        <v>20335.44</v>
      </c>
      <c r="O2744" s="3" t="n">
        <v>158989.4</v>
      </c>
      <c r="P2744" s="3" t="n">
        <v>121940.89</v>
      </c>
      <c r="Q2744" s="3" t="n">
        <v>37048.51</v>
      </c>
      <c r="R2744" s="3" t="n">
        <v>0.233</v>
      </c>
      <c r="S2744" s="3" t="n">
        <v>0.0918</v>
      </c>
      <c r="T2744" s="3" t="n">
        <v>0.0216</v>
      </c>
    </row>
    <row r="2745" customFormat="false" ht="15" hidden="false" customHeight="true" outlineLevel="0" collapsed="false">
      <c r="A2745" s="3" t="s">
        <v>3826</v>
      </c>
      <c r="B2745" s="3" t="s">
        <v>168</v>
      </c>
      <c r="C2745" s="3" t="s">
        <v>156</v>
      </c>
      <c r="D2745" s="3" t="s">
        <v>103</v>
      </c>
      <c r="E2745" s="3" t="s">
        <v>24</v>
      </c>
      <c r="F2745" s="3" t="s">
        <v>62</v>
      </c>
      <c r="G2745" s="3" t="s">
        <v>41</v>
      </c>
      <c r="H2745" s="3" t="s">
        <v>64</v>
      </c>
      <c r="I2745" s="3" t="s">
        <v>108</v>
      </c>
      <c r="J2745" s="3" t="n">
        <v>4</v>
      </c>
      <c r="K2745" s="3" t="n">
        <v>8983.55</v>
      </c>
      <c r="L2745" s="3" t="n">
        <v>35934.2</v>
      </c>
      <c r="M2745" s="3" t="n">
        <v>0.0742</v>
      </c>
      <c r="N2745" s="3" t="n">
        <v>2666.32</v>
      </c>
      <c r="O2745" s="3" t="n">
        <v>33267.88</v>
      </c>
      <c r="P2745" s="3" t="n">
        <v>20841.84</v>
      </c>
      <c r="Q2745" s="3" t="n">
        <v>12426.04</v>
      </c>
      <c r="R2745" s="3" t="n">
        <v>0.3735</v>
      </c>
      <c r="S2745" s="3" t="n">
        <v>0.0615</v>
      </c>
      <c r="T2745" s="3" t="n">
        <v>0.0127</v>
      </c>
    </row>
    <row r="2746" customFormat="false" ht="15" hidden="false" customHeight="true" outlineLevel="0" collapsed="false">
      <c r="A2746" s="3" t="s">
        <v>3827</v>
      </c>
      <c r="B2746" s="3" t="s">
        <v>2095</v>
      </c>
      <c r="C2746" s="3" t="s">
        <v>120</v>
      </c>
      <c r="D2746" s="3" t="s">
        <v>23</v>
      </c>
      <c r="E2746" s="3" t="s">
        <v>24</v>
      </c>
      <c r="F2746" s="3" t="s">
        <v>25</v>
      </c>
      <c r="G2746" s="3" t="s">
        <v>116</v>
      </c>
      <c r="H2746" s="3" t="s">
        <v>56</v>
      </c>
      <c r="I2746" s="3" t="s">
        <v>188</v>
      </c>
      <c r="J2746" s="3" t="n">
        <v>14</v>
      </c>
      <c r="K2746" s="3" t="n">
        <v>3821.95</v>
      </c>
      <c r="L2746" s="3" t="n">
        <v>53507.3</v>
      </c>
      <c r="M2746" s="3" t="n">
        <v>0.1363</v>
      </c>
      <c r="N2746" s="3" t="n">
        <v>7293.04</v>
      </c>
      <c r="O2746" s="3" t="n">
        <v>46214.26</v>
      </c>
      <c r="P2746" s="3" t="n">
        <v>32104.38</v>
      </c>
      <c r="Q2746" s="3" t="n">
        <v>14109.88</v>
      </c>
      <c r="R2746" s="3" t="n">
        <v>0.3053</v>
      </c>
      <c r="S2746" s="3" t="n">
        <v>0.1169</v>
      </c>
      <c r="T2746" s="3" t="n">
        <v>0.0194</v>
      </c>
    </row>
    <row r="2747" customFormat="false" ht="15" hidden="false" customHeight="true" outlineLevel="0" collapsed="false">
      <c r="A2747" s="3" t="s">
        <v>3828</v>
      </c>
      <c r="B2747" s="3" t="s">
        <v>3789</v>
      </c>
      <c r="C2747" s="3" t="s">
        <v>53</v>
      </c>
      <c r="D2747" s="3" t="s">
        <v>23</v>
      </c>
      <c r="E2747" s="3" t="s">
        <v>24</v>
      </c>
      <c r="F2747" s="3" t="s">
        <v>25</v>
      </c>
      <c r="G2747" s="3" t="s">
        <v>41</v>
      </c>
      <c r="H2747" s="3" t="s">
        <v>64</v>
      </c>
      <c r="I2747" s="3" t="s">
        <v>145</v>
      </c>
      <c r="J2747" s="3" t="n">
        <v>8</v>
      </c>
      <c r="K2747" s="3" t="n">
        <v>7653.21</v>
      </c>
      <c r="L2747" s="3" t="n">
        <v>61225.68</v>
      </c>
      <c r="M2747" s="3" t="n">
        <v>0.1718</v>
      </c>
      <c r="N2747" s="3" t="n">
        <v>10518.57</v>
      </c>
      <c r="O2747" s="3" t="n">
        <v>50707.11</v>
      </c>
      <c r="P2747" s="3" t="n">
        <v>35510.89</v>
      </c>
      <c r="Q2747" s="3" t="n">
        <v>15196.22</v>
      </c>
      <c r="R2747" s="3" t="n">
        <v>0.2997</v>
      </c>
      <c r="S2747" s="3" t="n">
        <v>0.1547</v>
      </c>
      <c r="T2747" s="3" t="n">
        <v>0.0171</v>
      </c>
    </row>
    <row r="2748" customFormat="false" ht="15" hidden="false" customHeight="true" outlineLevel="0" collapsed="false">
      <c r="A2748" s="3" t="s">
        <v>3829</v>
      </c>
      <c r="B2748" s="3" t="s">
        <v>192</v>
      </c>
      <c r="C2748" s="3" t="s">
        <v>31</v>
      </c>
      <c r="D2748" s="3" t="s">
        <v>47</v>
      </c>
      <c r="E2748" s="3" t="s">
        <v>48</v>
      </c>
      <c r="F2748" s="3" t="s">
        <v>25</v>
      </c>
      <c r="G2748" s="3" t="s">
        <v>41</v>
      </c>
      <c r="H2748" s="3" t="s">
        <v>42</v>
      </c>
      <c r="I2748" s="3" t="s">
        <v>134</v>
      </c>
      <c r="J2748" s="3" t="n">
        <v>12</v>
      </c>
      <c r="K2748" s="3" t="n">
        <v>1258.02</v>
      </c>
      <c r="L2748" s="3" t="n">
        <v>15096.24</v>
      </c>
      <c r="M2748" s="3" t="n">
        <v>0.1711</v>
      </c>
      <c r="N2748" s="3" t="n">
        <v>2582.97</v>
      </c>
      <c r="O2748" s="3" t="n">
        <v>12513.27</v>
      </c>
      <c r="P2748" s="3" t="n">
        <v>8302.93</v>
      </c>
      <c r="Q2748" s="3" t="n">
        <v>4210.34</v>
      </c>
      <c r="R2748" s="3" t="n">
        <v>0.3365</v>
      </c>
      <c r="S2748" s="3" t="n">
        <v>0.1588</v>
      </c>
      <c r="T2748" s="3" t="n">
        <v>0.0123</v>
      </c>
    </row>
    <row r="2749" customFormat="false" ht="15" hidden="false" customHeight="true" outlineLevel="0" collapsed="false">
      <c r="A2749" s="3" t="s">
        <v>3830</v>
      </c>
      <c r="B2749" s="3" t="s">
        <v>676</v>
      </c>
      <c r="C2749" s="3" t="s">
        <v>22</v>
      </c>
      <c r="D2749" s="3" t="s">
        <v>32</v>
      </c>
      <c r="E2749" s="3" t="s">
        <v>33</v>
      </c>
      <c r="F2749" s="3" t="s">
        <v>25</v>
      </c>
      <c r="G2749" s="3" t="s">
        <v>55</v>
      </c>
      <c r="H2749" s="3" t="s">
        <v>64</v>
      </c>
      <c r="I2749" s="3" t="s">
        <v>145</v>
      </c>
      <c r="J2749" s="3" t="n">
        <v>28</v>
      </c>
      <c r="K2749" s="3" t="n">
        <v>7607.99</v>
      </c>
      <c r="L2749" s="3" t="n">
        <v>213023.72</v>
      </c>
      <c r="M2749" s="3" t="n">
        <v>0.0936</v>
      </c>
      <c r="N2749" s="3" t="n">
        <v>19939.02</v>
      </c>
      <c r="O2749" s="3" t="n">
        <v>193084.7</v>
      </c>
      <c r="P2749" s="3" t="n">
        <v>123553.76</v>
      </c>
      <c r="Q2749" s="3" t="n">
        <v>69530.94</v>
      </c>
      <c r="R2749" s="3" t="n">
        <v>0.3601</v>
      </c>
      <c r="S2749" s="3" t="n">
        <v>0.0953</v>
      </c>
      <c r="T2749" s="3" t="n">
        <v>-0.0017</v>
      </c>
    </row>
    <row r="2750" customFormat="false" ht="15" hidden="false" customHeight="true" outlineLevel="0" collapsed="false">
      <c r="A2750" s="3" t="s">
        <v>3831</v>
      </c>
      <c r="B2750" s="3" t="s">
        <v>1960</v>
      </c>
      <c r="C2750" s="3" t="s">
        <v>53</v>
      </c>
      <c r="D2750" s="3" t="s">
        <v>38</v>
      </c>
      <c r="E2750" s="3" t="s">
        <v>39</v>
      </c>
      <c r="F2750" s="3" t="s">
        <v>40</v>
      </c>
      <c r="G2750" s="3" t="s">
        <v>63</v>
      </c>
      <c r="H2750" s="3" t="s">
        <v>42</v>
      </c>
      <c r="I2750" s="3" t="s">
        <v>43</v>
      </c>
      <c r="J2750" s="3" t="n">
        <v>41</v>
      </c>
      <c r="K2750" s="3" t="n">
        <v>3126.24</v>
      </c>
      <c r="L2750" s="3" t="n">
        <v>128175.84</v>
      </c>
      <c r="M2750" s="3" t="n">
        <v>0.0635</v>
      </c>
      <c r="N2750" s="3" t="n">
        <v>8139.17</v>
      </c>
      <c r="O2750" s="3" t="n">
        <v>120036.67</v>
      </c>
      <c r="P2750" s="3" t="n">
        <v>70496.71</v>
      </c>
      <c r="Q2750" s="3" t="n">
        <v>49539.96</v>
      </c>
      <c r="R2750" s="3" t="n">
        <v>0.4127</v>
      </c>
      <c r="S2750" s="3" t="n">
        <v>0.0561</v>
      </c>
      <c r="T2750" s="3" t="n">
        <v>0.0074</v>
      </c>
    </row>
    <row r="2751" customFormat="false" ht="15" hidden="false" customHeight="true" outlineLevel="0" collapsed="false">
      <c r="A2751" s="3" t="s">
        <v>3832</v>
      </c>
      <c r="B2751" s="3" t="s">
        <v>509</v>
      </c>
      <c r="C2751" s="3" t="s">
        <v>53</v>
      </c>
      <c r="D2751" s="3" t="s">
        <v>38</v>
      </c>
      <c r="E2751" s="3" t="s">
        <v>39</v>
      </c>
      <c r="F2751" s="3" t="s">
        <v>40</v>
      </c>
      <c r="G2751" s="3" t="s">
        <v>71</v>
      </c>
      <c r="H2751" s="3" t="s">
        <v>56</v>
      </c>
      <c r="I2751" s="3" t="s">
        <v>121</v>
      </c>
      <c r="J2751" s="3" t="n">
        <v>40</v>
      </c>
      <c r="K2751" s="3" t="n">
        <v>7768.37</v>
      </c>
      <c r="L2751" s="3" t="n">
        <v>310734.8</v>
      </c>
      <c r="M2751" s="3" t="n">
        <v>0.0536</v>
      </c>
      <c r="N2751" s="3" t="n">
        <v>16655.39</v>
      </c>
      <c r="O2751" s="3" t="n">
        <v>294079.41</v>
      </c>
      <c r="P2751" s="3" t="n">
        <v>186440.88</v>
      </c>
      <c r="Q2751" s="3" t="n">
        <v>107638.53</v>
      </c>
      <c r="R2751" s="3" t="n">
        <v>0.366</v>
      </c>
      <c r="S2751" s="3" t="n">
        <v>0.0486</v>
      </c>
      <c r="T2751" s="3" t="n">
        <v>0.005</v>
      </c>
    </row>
    <row r="2752" customFormat="false" ht="15" hidden="false" customHeight="true" outlineLevel="0" collapsed="false">
      <c r="A2752" s="3" t="s">
        <v>3833</v>
      </c>
      <c r="B2752" s="3" t="s">
        <v>685</v>
      </c>
      <c r="C2752" s="3" t="s">
        <v>22</v>
      </c>
      <c r="D2752" s="3" t="s">
        <v>61</v>
      </c>
      <c r="E2752" s="3" t="s">
        <v>33</v>
      </c>
      <c r="F2752" s="3" t="s">
        <v>62</v>
      </c>
      <c r="G2752" s="3" t="s">
        <v>41</v>
      </c>
      <c r="H2752" s="3" t="s">
        <v>42</v>
      </c>
      <c r="I2752" s="3" t="s">
        <v>72</v>
      </c>
      <c r="J2752" s="3" t="n">
        <v>26</v>
      </c>
      <c r="K2752" s="3" t="n">
        <v>3990.48</v>
      </c>
      <c r="L2752" s="3" t="n">
        <v>103752.48</v>
      </c>
      <c r="M2752" s="3" t="n">
        <v>0.0818</v>
      </c>
      <c r="N2752" s="3" t="n">
        <v>8486.95</v>
      </c>
      <c r="O2752" s="3" t="n">
        <v>95265.53</v>
      </c>
      <c r="P2752" s="3" t="n">
        <v>57063.86</v>
      </c>
      <c r="Q2752" s="3" t="n">
        <v>38201.67</v>
      </c>
      <c r="R2752" s="3" t="n">
        <v>0.401</v>
      </c>
      <c r="S2752" s="3" t="n">
        <v>0.072</v>
      </c>
      <c r="T2752" s="3" t="n">
        <v>0.0098</v>
      </c>
    </row>
    <row r="2753" customFormat="false" ht="15" hidden="false" customHeight="true" outlineLevel="0" collapsed="false">
      <c r="A2753" s="3" t="s">
        <v>3834</v>
      </c>
      <c r="B2753" s="3" t="s">
        <v>3835</v>
      </c>
      <c r="C2753" s="3" t="s">
        <v>120</v>
      </c>
      <c r="D2753" s="3" t="s">
        <v>47</v>
      </c>
      <c r="E2753" s="3" t="s">
        <v>48</v>
      </c>
      <c r="F2753" s="3" t="s">
        <v>25</v>
      </c>
      <c r="G2753" s="3" t="s">
        <v>34</v>
      </c>
      <c r="H2753" s="3" t="s">
        <v>64</v>
      </c>
      <c r="I2753" s="3" t="s">
        <v>145</v>
      </c>
      <c r="J2753" s="3" t="n">
        <v>33</v>
      </c>
      <c r="K2753" s="3" t="n">
        <v>10851.04</v>
      </c>
      <c r="L2753" s="3" t="n">
        <v>358084.32</v>
      </c>
      <c r="M2753" s="3" t="n">
        <v>0.183</v>
      </c>
      <c r="N2753" s="3" t="n">
        <v>65529.43</v>
      </c>
      <c r="O2753" s="3" t="n">
        <v>292554.89</v>
      </c>
      <c r="P2753" s="3" t="n">
        <v>207688.91</v>
      </c>
      <c r="Q2753" s="3" t="n">
        <v>84865.98</v>
      </c>
      <c r="R2753" s="3" t="n">
        <v>0.2901</v>
      </c>
      <c r="S2753" s="3" t="n">
        <v>0.161</v>
      </c>
      <c r="T2753" s="3" t="n">
        <v>0.022</v>
      </c>
    </row>
    <row r="2754" customFormat="false" ht="15" hidden="false" customHeight="true" outlineLevel="0" collapsed="false">
      <c r="A2754" s="3" t="s">
        <v>3836</v>
      </c>
      <c r="B2754" s="3" t="s">
        <v>3808</v>
      </c>
      <c r="C2754" s="3" t="s">
        <v>126</v>
      </c>
      <c r="D2754" s="3" t="s">
        <v>103</v>
      </c>
      <c r="E2754" s="3" t="s">
        <v>24</v>
      </c>
      <c r="F2754" s="3" t="s">
        <v>62</v>
      </c>
      <c r="G2754" s="3" t="s">
        <v>63</v>
      </c>
      <c r="H2754" s="3" t="s">
        <v>64</v>
      </c>
      <c r="I2754" s="3" t="s">
        <v>108</v>
      </c>
      <c r="J2754" s="3" t="n">
        <v>45</v>
      </c>
      <c r="K2754" s="3" t="n">
        <v>10640.96</v>
      </c>
      <c r="L2754" s="3" t="n">
        <v>478843.2</v>
      </c>
      <c r="M2754" s="3" t="n">
        <v>0.0485</v>
      </c>
      <c r="N2754" s="3" t="n">
        <v>23223.9</v>
      </c>
      <c r="O2754" s="3" t="n">
        <v>455619.3</v>
      </c>
      <c r="P2754" s="3" t="n">
        <v>277729.06</v>
      </c>
      <c r="Q2754" s="3" t="n">
        <v>177890.24</v>
      </c>
      <c r="R2754" s="3" t="n">
        <v>0.3904</v>
      </c>
      <c r="S2754" s="3" t="n">
        <v>0.0516</v>
      </c>
      <c r="T2754" s="3" t="n">
        <v>-0.0031</v>
      </c>
    </row>
    <row r="2755" customFormat="false" ht="15" hidden="false" customHeight="true" outlineLevel="0" collapsed="false">
      <c r="A2755" s="3" t="s">
        <v>3837</v>
      </c>
      <c r="B2755" s="3" t="s">
        <v>3838</v>
      </c>
      <c r="C2755" s="3" t="s">
        <v>31</v>
      </c>
      <c r="D2755" s="3" t="s">
        <v>54</v>
      </c>
      <c r="E2755" s="3" t="s">
        <v>24</v>
      </c>
      <c r="F2755" s="3" t="s">
        <v>40</v>
      </c>
      <c r="G2755" s="3" t="s">
        <v>26</v>
      </c>
      <c r="H2755" s="3" t="s">
        <v>77</v>
      </c>
      <c r="I2755" s="3" t="s">
        <v>78</v>
      </c>
      <c r="J2755" s="3" t="n">
        <v>15</v>
      </c>
      <c r="K2755" s="3" t="n">
        <v>2725.35</v>
      </c>
      <c r="L2755" s="3" t="n">
        <v>40880.25</v>
      </c>
      <c r="M2755" s="3" t="n">
        <v>0.0469</v>
      </c>
      <c r="N2755" s="3" t="n">
        <v>1917.28</v>
      </c>
      <c r="O2755" s="3" t="n">
        <v>38962.97</v>
      </c>
      <c r="P2755" s="3" t="n">
        <v>27798.57</v>
      </c>
      <c r="Q2755" s="3" t="n">
        <v>11164.4</v>
      </c>
      <c r="R2755" s="3" t="n">
        <v>0.2865</v>
      </c>
      <c r="S2755" s="3" t="n">
        <v>0.0393</v>
      </c>
      <c r="T2755" s="3" t="n">
        <v>0.0076</v>
      </c>
    </row>
    <row r="2756" customFormat="false" ht="15" hidden="false" customHeight="true" outlineLevel="0" collapsed="false">
      <c r="A2756" s="3" t="s">
        <v>3839</v>
      </c>
      <c r="B2756" s="3" t="s">
        <v>2444</v>
      </c>
      <c r="C2756" s="3" t="s">
        <v>46</v>
      </c>
      <c r="D2756" s="3" t="s">
        <v>23</v>
      </c>
      <c r="E2756" s="3" t="s">
        <v>24</v>
      </c>
      <c r="F2756" s="3" t="s">
        <v>25</v>
      </c>
      <c r="G2756" s="3" t="s">
        <v>49</v>
      </c>
      <c r="H2756" s="3" t="s">
        <v>56</v>
      </c>
      <c r="I2756" s="3" t="s">
        <v>121</v>
      </c>
      <c r="J2756" s="3" t="n">
        <v>10</v>
      </c>
      <c r="K2756" s="3" t="n">
        <v>13967</v>
      </c>
      <c r="L2756" s="3" t="n">
        <v>139670</v>
      </c>
      <c r="M2756" s="3" t="n">
        <v>0.1547</v>
      </c>
      <c r="N2756" s="3" t="n">
        <v>21606.95</v>
      </c>
      <c r="O2756" s="3" t="n">
        <v>118063.05</v>
      </c>
      <c r="P2756" s="3" t="n">
        <v>83802</v>
      </c>
      <c r="Q2756" s="3" t="n">
        <v>34261.05</v>
      </c>
      <c r="R2756" s="3" t="n">
        <v>0.2902</v>
      </c>
      <c r="S2756" s="3" t="n">
        <v>0.1467</v>
      </c>
      <c r="T2756" s="3" t="n">
        <v>0.008</v>
      </c>
    </row>
    <row r="2757" customFormat="false" ht="15" hidden="false" customHeight="true" outlineLevel="0" collapsed="false">
      <c r="A2757" s="3" t="s">
        <v>3840</v>
      </c>
      <c r="B2757" s="3" t="s">
        <v>613</v>
      </c>
      <c r="C2757" s="3" t="s">
        <v>31</v>
      </c>
      <c r="D2757" s="3" t="s">
        <v>38</v>
      </c>
      <c r="E2757" s="3" t="s">
        <v>39</v>
      </c>
      <c r="F2757" s="3" t="s">
        <v>40</v>
      </c>
      <c r="G2757" s="3" t="s">
        <v>116</v>
      </c>
      <c r="H2757" s="3" t="s">
        <v>64</v>
      </c>
      <c r="I2757" s="3" t="s">
        <v>145</v>
      </c>
      <c r="J2757" s="3" t="n">
        <v>6</v>
      </c>
      <c r="K2757" s="3" t="n">
        <v>6048.79</v>
      </c>
      <c r="L2757" s="3" t="n">
        <v>36292.74</v>
      </c>
      <c r="M2757" s="3" t="n">
        <v>0.0761</v>
      </c>
      <c r="N2757" s="3" t="n">
        <v>2761.88</v>
      </c>
      <c r="O2757" s="3" t="n">
        <v>33530.86</v>
      </c>
      <c r="P2757" s="3" t="n">
        <v>21049.79</v>
      </c>
      <c r="Q2757" s="3" t="n">
        <v>12481.07</v>
      </c>
      <c r="R2757" s="3" t="n">
        <v>0.3722</v>
      </c>
      <c r="S2757" s="3" t="n">
        <v>0.0826</v>
      </c>
      <c r="T2757" s="3" t="n">
        <v>-0.0065</v>
      </c>
    </row>
    <row r="2758" customFormat="false" ht="15" hidden="false" customHeight="true" outlineLevel="0" collapsed="false">
      <c r="A2758" s="3" t="s">
        <v>3841</v>
      </c>
      <c r="B2758" s="3" t="s">
        <v>3352</v>
      </c>
      <c r="C2758" s="3" t="s">
        <v>37</v>
      </c>
      <c r="D2758" s="3" t="s">
        <v>97</v>
      </c>
      <c r="E2758" s="3" t="s">
        <v>48</v>
      </c>
      <c r="F2758" s="3" t="s">
        <v>40</v>
      </c>
      <c r="G2758" s="3" t="s">
        <v>49</v>
      </c>
      <c r="H2758" s="3" t="s">
        <v>56</v>
      </c>
      <c r="I2758" s="3" t="s">
        <v>188</v>
      </c>
      <c r="J2758" s="3" t="n">
        <v>43</v>
      </c>
      <c r="K2758" s="3" t="n">
        <v>6343.26</v>
      </c>
      <c r="L2758" s="3" t="n">
        <v>272760.18</v>
      </c>
      <c r="M2758" s="3" t="n">
        <v>0.0443</v>
      </c>
      <c r="N2758" s="3" t="n">
        <v>12083.28</v>
      </c>
      <c r="O2758" s="3" t="n">
        <v>260676.9</v>
      </c>
      <c r="P2758" s="3" t="n">
        <v>163656.11</v>
      </c>
      <c r="Q2758" s="3" t="n">
        <v>97020.79</v>
      </c>
      <c r="R2758" s="3" t="n">
        <v>0.3722</v>
      </c>
      <c r="S2758" s="3" t="n">
        <v>0.0421</v>
      </c>
      <c r="T2758" s="3" t="n">
        <v>0.0022</v>
      </c>
    </row>
    <row r="2759" customFormat="false" ht="15" hidden="false" customHeight="true" outlineLevel="0" collapsed="false">
      <c r="A2759" s="3" t="s">
        <v>3842</v>
      </c>
      <c r="B2759" s="3" t="s">
        <v>471</v>
      </c>
      <c r="C2759" s="3" t="s">
        <v>93</v>
      </c>
      <c r="D2759" s="3" t="s">
        <v>47</v>
      </c>
      <c r="E2759" s="3" t="s">
        <v>48</v>
      </c>
      <c r="F2759" s="3" t="s">
        <v>25</v>
      </c>
      <c r="G2759" s="3" t="s">
        <v>63</v>
      </c>
      <c r="H2759" s="3" t="s">
        <v>64</v>
      </c>
      <c r="I2759" s="3" t="s">
        <v>65</v>
      </c>
      <c r="J2759" s="3" t="n">
        <v>26</v>
      </c>
      <c r="K2759" s="3" t="n">
        <v>10063.13</v>
      </c>
      <c r="L2759" s="3" t="n">
        <v>261641.38</v>
      </c>
      <c r="M2759" s="3" t="n">
        <v>0.1183</v>
      </c>
      <c r="N2759" s="3" t="n">
        <v>30952.18</v>
      </c>
      <c r="O2759" s="3" t="n">
        <v>230689.2</v>
      </c>
      <c r="P2759" s="3" t="n">
        <v>151752</v>
      </c>
      <c r="Q2759" s="3" t="n">
        <v>78937.2</v>
      </c>
      <c r="R2759" s="3" t="n">
        <v>0.3422</v>
      </c>
      <c r="S2759" s="3" t="n">
        <v>0.1156</v>
      </c>
      <c r="T2759" s="3" t="n">
        <v>0.0027</v>
      </c>
    </row>
    <row r="2760" customFormat="false" ht="15" hidden="false" customHeight="true" outlineLevel="0" collapsed="false">
      <c r="A2760" s="3" t="s">
        <v>3843</v>
      </c>
      <c r="B2760" s="3" t="s">
        <v>362</v>
      </c>
      <c r="C2760" s="3" t="s">
        <v>37</v>
      </c>
      <c r="D2760" s="3" t="s">
        <v>69</v>
      </c>
      <c r="E2760" s="3" t="s">
        <v>39</v>
      </c>
      <c r="F2760" s="3" t="s">
        <v>70</v>
      </c>
      <c r="G2760" s="3" t="s">
        <v>100</v>
      </c>
      <c r="H2760" s="3" t="s">
        <v>56</v>
      </c>
      <c r="I2760" s="3" t="s">
        <v>121</v>
      </c>
      <c r="J2760" s="3" t="n">
        <v>5</v>
      </c>
      <c r="K2760" s="3" t="n">
        <v>14597.24</v>
      </c>
      <c r="L2760" s="3" t="n">
        <v>72986.2</v>
      </c>
      <c r="M2760" s="3" t="n">
        <v>0.0508</v>
      </c>
      <c r="N2760" s="3" t="n">
        <v>3707.7</v>
      </c>
      <c r="O2760" s="3" t="n">
        <v>69278.5</v>
      </c>
      <c r="P2760" s="3" t="n">
        <v>43791.72</v>
      </c>
      <c r="Q2760" s="3" t="n">
        <v>25486.78</v>
      </c>
      <c r="R2760" s="3" t="n">
        <v>0.3679</v>
      </c>
      <c r="S2760" s="3" t="n">
        <v>0.0537</v>
      </c>
      <c r="T2760" s="3" t="n">
        <v>-0.0029</v>
      </c>
    </row>
    <row r="2761" customFormat="false" ht="15" hidden="false" customHeight="true" outlineLevel="0" collapsed="false">
      <c r="A2761" s="3" t="s">
        <v>3844</v>
      </c>
      <c r="B2761" s="3" t="s">
        <v>459</v>
      </c>
      <c r="C2761" s="3" t="s">
        <v>53</v>
      </c>
      <c r="D2761" s="3" t="s">
        <v>23</v>
      </c>
      <c r="E2761" s="3" t="s">
        <v>24</v>
      </c>
      <c r="F2761" s="3" t="s">
        <v>25</v>
      </c>
      <c r="G2761" s="3" t="s">
        <v>116</v>
      </c>
      <c r="H2761" s="3" t="s">
        <v>56</v>
      </c>
      <c r="I2761" s="3" t="s">
        <v>188</v>
      </c>
      <c r="J2761" s="3" t="n">
        <v>33</v>
      </c>
      <c r="K2761" s="3" t="n">
        <v>8298.42</v>
      </c>
      <c r="L2761" s="3" t="n">
        <v>273847.86</v>
      </c>
      <c r="M2761" s="3" t="n">
        <v>0.1819</v>
      </c>
      <c r="N2761" s="3" t="n">
        <v>49812.93</v>
      </c>
      <c r="O2761" s="3" t="n">
        <v>224034.93</v>
      </c>
      <c r="P2761" s="3" t="n">
        <v>164308.72</v>
      </c>
      <c r="Q2761" s="3" t="n">
        <v>59726.21</v>
      </c>
      <c r="R2761" s="3" t="n">
        <v>0.2666</v>
      </c>
      <c r="S2761" s="3" t="n">
        <v>0.1468</v>
      </c>
      <c r="T2761" s="3" t="n">
        <v>0.0351</v>
      </c>
    </row>
    <row r="2762" customFormat="false" ht="15" hidden="false" customHeight="true" outlineLevel="0" collapsed="false">
      <c r="A2762" s="3" t="s">
        <v>3845</v>
      </c>
      <c r="B2762" s="3" t="s">
        <v>822</v>
      </c>
      <c r="C2762" s="3" t="s">
        <v>156</v>
      </c>
      <c r="D2762" s="3" t="s">
        <v>69</v>
      </c>
      <c r="E2762" s="3" t="s">
        <v>39</v>
      </c>
      <c r="F2762" s="3" t="s">
        <v>70</v>
      </c>
      <c r="G2762" s="3" t="s">
        <v>63</v>
      </c>
      <c r="H2762" s="3" t="s">
        <v>77</v>
      </c>
      <c r="I2762" s="3" t="s">
        <v>131</v>
      </c>
      <c r="J2762" s="3" t="n">
        <v>45</v>
      </c>
      <c r="K2762" s="3" t="n">
        <v>1482.87</v>
      </c>
      <c r="L2762" s="3" t="n">
        <v>66729.15</v>
      </c>
      <c r="M2762" s="3" t="n">
        <v>0.0383</v>
      </c>
      <c r="N2762" s="3" t="n">
        <v>2555.73</v>
      </c>
      <c r="O2762" s="3" t="n">
        <v>64173.42</v>
      </c>
      <c r="P2762" s="3" t="n">
        <v>45375.82</v>
      </c>
      <c r="Q2762" s="3" t="n">
        <v>18797.6</v>
      </c>
      <c r="R2762" s="3" t="n">
        <v>0.2929</v>
      </c>
      <c r="S2762" s="3" t="n">
        <v>0.0415</v>
      </c>
      <c r="T2762" s="3" t="n">
        <v>-0.0032</v>
      </c>
    </row>
    <row r="2763" customFormat="false" ht="15" hidden="false" customHeight="true" outlineLevel="0" collapsed="false">
      <c r="A2763" s="3" t="s">
        <v>3846</v>
      </c>
      <c r="B2763" s="3" t="s">
        <v>728</v>
      </c>
      <c r="C2763" s="3" t="s">
        <v>156</v>
      </c>
      <c r="D2763" s="3" t="s">
        <v>54</v>
      </c>
      <c r="E2763" s="3" t="s">
        <v>24</v>
      </c>
      <c r="F2763" s="3" t="s">
        <v>40</v>
      </c>
      <c r="G2763" s="3" t="s">
        <v>63</v>
      </c>
      <c r="H2763" s="3" t="s">
        <v>56</v>
      </c>
      <c r="I2763" s="3" t="s">
        <v>121</v>
      </c>
      <c r="J2763" s="3" t="n">
        <v>36</v>
      </c>
      <c r="K2763" s="3" t="n">
        <v>15032.29</v>
      </c>
      <c r="L2763" s="3" t="n">
        <v>541162.44</v>
      </c>
      <c r="M2763" s="3" t="n">
        <v>0.0752</v>
      </c>
      <c r="N2763" s="3" t="n">
        <v>40695.42</v>
      </c>
      <c r="O2763" s="3" t="n">
        <v>500467.02</v>
      </c>
      <c r="P2763" s="3" t="n">
        <v>324697.46</v>
      </c>
      <c r="Q2763" s="3" t="n">
        <v>175769.56</v>
      </c>
      <c r="R2763" s="3" t="n">
        <v>0.3512</v>
      </c>
      <c r="S2763" s="3" t="n">
        <v>0.0727</v>
      </c>
      <c r="T2763" s="3" t="n">
        <v>0.0025</v>
      </c>
    </row>
    <row r="2764" customFormat="false" ht="15" hidden="false" customHeight="true" outlineLevel="0" collapsed="false">
      <c r="A2764" s="3" t="s">
        <v>3847</v>
      </c>
      <c r="B2764" s="3" t="s">
        <v>3018</v>
      </c>
      <c r="C2764" s="3" t="s">
        <v>126</v>
      </c>
      <c r="D2764" s="3" t="s">
        <v>75</v>
      </c>
      <c r="E2764" s="3" t="s">
        <v>39</v>
      </c>
      <c r="F2764" s="3" t="s">
        <v>25</v>
      </c>
      <c r="G2764" s="3" t="s">
        <v>76</v>
      </c>
      <c r="H2764" s="3" t="s">
        <v>77</v>
      </c>
      <c r="I2764" s="3" t="s">
        <v>85</v>
      </c>
      <c r="J2764" s="3" t="n">
        <v>8</v>
      </c>
      <c r="K2764" s="3" t="n">
        <v>3954.44</v>
      </c>
      <c r="L2764" s="3" t="n">
        <v>31635.52</v>
      </c>
      <c r="M2764" s="3" t="n">
        <v>0.0864</v>
      </c>
      <c r="N2764" s="3" t="n">
        <v>2733.31</v>
      </c>
      <c r="O2764" s="3" t="n">
        <v>28902.21</v>
      </c>
      <c r="P2764" s="3" t="n">
        <v>21512.15</v>
      </c>
      <c r="Q2764" s="3" t="n">
        <v>7390.06</v>
      </c>
      <c r="R2764" s="3" t="n">
        <v>0.2557</v>
      </c>
      <c r="S2764" s="3" t="n">
        <v>0.0794</v>
      </c>
      <c r="T2764" s="3" t="n">
        <v>0.007</v>
      </c>
    </row>
    <row r="2765" customFormat="false" ht="15" hidden="false" customHeight="true" outlineLevel="0" collapsed="false">
      <c r="A2765" s="3" t="s">
        <v>3848</v>
      </c>
      <c r="B2765" s="3" t="s">
        <v>3444</v>
      </c>
      <c r="C2765" s="3" t="s">
        <v>60</v>
      </c>
      <c r="D2765" s="3" t="s">
        <v>69</v>
      </c>
      <c r="E2765" s="3" t="s">
        <v>39</v>
      </c>
      <c r="F2765" s="3" t="s">
        <v>70</v>
      </c>
      <c r="G2765" s="3" t="s">
        <v>84</v>
      </c>
      <c r="H2765" s="3" t="s">
        <v>56</v>
      </c>
      <c r="I2765" s="3" t="s">
        <v>57</v>
      </c>
      <c r="J2765" s="3" t="n">
        <v>21</v>
      </c>
      <c r="K2765" s="3" t="n">
        <v>8349.77</v>
      </c>
      <c r="L2765" s="3" t="n">
        <v>175345.17</v>
      </c>
      <c r="M2765" s="3" t="n">
        <v>0.0621</v>
      </c>
      <c r="N2765" s="3" t="n">
        <v>10888.94</v>
      </c>
      <c r="O2765" s="3" t="n">
        <v>164456.23</v>
      </c>
      <c r="P2765" s="3" t="n">
        <v>105207.1</v>
      </c>
      <c r="Q2765" s="3" t="n">
        <v>59249.13</v>
      </c>
      <c r="R2765" s="3" t="n">
        <v>0.3603</v>
      </c>
      <c r="S2765" s="3" t="n">
        <v>0.0637</v>
      </c>
      <c r="T2765" s="3" t="n">
        <v>-0.0016</v>
      </c>
    </row>
    <row r="2766" customFormat="false" ht="15" hidden="false" customHeight="true" outlineLevel="0" collapsed="false">
      <c r="A2766" s="3" t="s">
        <v>3849</v>
      </c>
      <c r="B2766" s="3" t="s">
        <v>2168</v>
      </c>
      <c r="C2766" s="3" t="s">
        <v>113</v>
      </c>
      <c r="D2766" s="3" t="s">
        <v>23</v>
      </c>
      <c r="E2766" s="3" t="s">
        <v>24</v>
      </c>
      <c r="F2766" s="3" t="s">
        <v>25</v>
      </c>
      <c r="G2766" s="3" t="s">
        <v>26</v>
      </c>
      <c r="H2766" s="3" t="s">
        <v>64</v>
      </c>
      <c r="I2766" s="3" t="s">
        <v>90</v>
      </c>
      <c r="J2766" s="3" t="n">
        <v>49</v>
      </c>
      <c r="K2766" s="3" t="n">
        <v>5668.84</v>
      </c>
      <c r="L2766" s="3" t="n">
        <v>277773.16</v>
      </c>
      <c r="M2766" s="3" t="n">
        <v>0.1636</v>
      </c>
      <c r="N2766" s="3" t="n">
        <v>45443.69</v>
      </c>
      <c r="O2766" s="3" t="n">
        <v>232329.47</v>
      </c>
      <c r="P2766" s="3" t="n">
        <v>161108.43</v>
      </c>
      <c r="Q2766" s="3" t="n">
        <v>71221.04</v>
      </c>
      <c r="R2766" s="3" t="n">
        <v>0.3066</v>
      </c>
      <c r="S2766" s="3" t="n">
        <v>0.1603</v>
      </c>
      <c r="T2766" s="3" t="n">
        <v>0.0033</v>
      </c>
    </row>
    <row r="2767" customFormat="false" ht="15" hidden="false" customHeight="true" outlineLevel="0" collapsed="false">
      <c r="A2767" s="3" t="s">
        <v>3850</v>
      </c>
      <c r="B2767" s="3" t="s">
        <v>967</v>
      </c>
      <c r="C2767" s="3" t="s">
        <v>22</v>
      </c>
      <c r="D2767" s="3" t="s">
        <v>83</v>
      </c>
      <c r="E2767" s="3" t="s">
        <v>48</v>
      </c>
      <c r="F2767" s="3" t="s">
        <v>62</v>
      </c>
      <c r="G2767" s="3" t="s">
        <v>104</v>
      </c>
      <c r="H2767" s="3" t="s">
        <v>64</v>
      </c>
      <c r="I2767" s="3" t="s">
        <v>145</v>
      </c>
      <c r="J2767" s="3" t="n">
        <v>37</v>
      </c>
      <c r="K2767" s="3" t="n">
        <v>4937.08</v>
      </c>
      <c r="L2767" s="3" t="n">
        <v>182671.96</v>
      </c>
      <c r="M2767" s="3" t="n">
        <v>0.097</v>
      </c>
      <c r="N2767" s="3" t="n">
        <v>17719.18</v>
      </c>
      <c r="O2767" s="3" t="n">
        <v>164952.78</v>
      </c>
      <c r="P2767" s="3" t="n">
        <v>105949.74</v>
      </c>
      <c r="Q2767" s="3" t="n">
        <v>59003.04</v>
      </c>
      <c r="R2767" s="3" t="n">
        <v>0.3577</v>
      </c>
      <c r="S2767" s="3" t="n">
        <v>0.1065</v>
      </c>
      <c r="T2767" s="3" t="n">
        <v>-0.0095</v>
      </c>
    </row>
    <row r="2768" customFormat="false" ht="15" hidden="false" customHeight="true" outlineLevel="0" collapsed="false">
      <c r="A2768" s="3" t="s">
        <v>3851</v>
      </c>
      <c r="B2768" s="3" t="s">
        <v>366</v>
      </c>
      <c r="C2768" s="3" t="s">
        <v>93</v>
      </c>
      <c r="D2768" s="3" t="s">
        <v>61</v>
      </c>
      <c r="E2768" s="3" t="s">
        <v>33</v>
      </c>
      <c r="F2768" s="3" t="s">
        <v>62</v>
      </c>
      <c r="G2768" s="3" t="s">
        <v>26</v>
      </c>
      <c r="H2768" s="3" t="s">
        <v>64</v>
      </c>
      <c r="I2768" s="3" t="s">
        <v>90</v>
      </c>
      <c r="J2768" s="3" t="n">
        <v>46</v>
      </c>
      <c r="K2768" s="3" t="n">
        <v>11199.39</v>
      </c>
      <c r="L2768" s="3" t="n">
        <v>515171.94</v>
      </c>
      <c r="M2768" s="3" t="n">
        <v>0.0446</v>
      </c>
      <c r="N2768" s="3" t="n">
        <v>22976.67</v>
      </c>
      <c r="O2768" s="3" t="n">
        <v>492195.27</v>
      </c>
      <c r="P2768" s="3" t="n">
        <v>298799.73</v>
      </c>
      <c r="Q2768" s="3" t="n">
        <v>193395.54</v>
      </c>
      <c r="R2768" s="3" t="n">
        <v>0.3929</v>
      </c>
      <c r="S2768" s="3" t="n">
        <v>0.0369</v>
      </c>
      <c r="T2768" s="3" t="n">
        <v>0.0077</v>
      </c>
    </row>
    <row r="2769" customFormat="false" ht="15" hidden="false" customHeight="true" outlineLevel="0" collapsed="false">
      <c r="A2769" s="3" t="s">
        <v>3852</v>
      </c>
      <c r="B2769" s="3" t="s">
        <v>1219</v>
      </c>
      <c r="C2769" s="3" t="s">
        <v>156</v>
      </c>
      <c r="D2769" s="3" t="s">
        <v>47</v>
      </c>
      <c r="E2769" s="3" t="s">
        <v>48</v>
      </c>
      <c r="F2769" s="3" t="s">
        <v>25</v>
      </c>
      <c r="G2769" s="3" t="s">
        <v>104</v>
      </c>
      <c r="H2769" s="3" t="s">
        <v>77</v>
      </c>
      <c r="I2769" s="3" t="s">
        <v>85</v>
      </c>
      <c r="J2769" s="3" t="n">
        <v>36</v>
      </c>
      <c r="K2769" s="3" t="n">
        <v>3176.13</v>
      </c>
      <c r="L2769" s="3" t="n">
        <v>114340.68</v>
      </c>
      <c r="M2769" s="3" t="n">
        <v>0.1515</v>
      </c>
      <c r="N2769" s="3" t="n">
        <v>17322.61</v>
      </c>
      <c r="O2769" s="3" t="n">
        <v>97018.07</v>
      </c>
      <c r="P2769" s="3" t="n">
        <v>77751.66</v>
      </c>
      <c r="Q2769" s="3" t="n">
        <v>19266.41</v>
      </c>
      <c r="R2769" s="3" t="n">
        <v>0.1986</v>
      </c>
      <c r="S2769" s="3" t="n">
        <v>0.126</v>
      </c>
      <c r="T2769" s="3" t="n">
        <v>0.0255</v>
      </c>
    </row>
    <row r="2770" customFormat="false" ht="15" hidden="false" customHeight="true" outlineLevel="0" collapsed="false">
      <c r="A2770" s="3" t="s">
        <v>3853</v>
      </c>
      <c r="B2770" s="3" t="s">
        <v>3854</v>
      </c>
      <c r="C2770" s="3" t="s">
        <v>53</v>
      </c>
      <c r="D2770" s="3" t="s">
        <v>47</v>
      </c>
      <c r="E2770" s="3" t="s">
        <v>48</v>
      </c>
      <c r="F2770" s="3" t="s">
        <v>25</v>
      </c>
      <c r="G2770" s="3" t="s">
        <v>49</v>
      </c>
      <c r="H2770" s="3" t="s">
        <v>27</v>
      </c>
      <c r="I2770" s="3" t="s">
        <v>117</v>
      </c>
      <c r="J2770" s="3" t="n">
        <v>37</v>
      </c>
      <c r="K2770" s="3" t="n">
        <v>33128.55</v>
      </c>
      <c r="L2770" s="3" t="n">
        <v>1225756.35</v>
      </c>
      <c r="M2770" s="3" t="n">
        <v>0.1035</v>
      </c>
      <c r="N2770" s="3" t="n">
        <v>126865.78</v>
      </c>
      <c r="O2770" s="3" t="n">
        <v>1098890.57</v>
      </c>
      <c r="P2770" s="3" t="n">
        <v>759968.94</v>
      </c>
      <c r="Q2770" s="3" t="n">
        <v>338921.63</v>
      </c>
      <c r="R2770" s="3" t="n">
        <v>0.3084</v>
      </c>
      <c r="S2770" s="3" t="n">
        <v>0.1004</v>
      </c>
      <c r="T2770" s="3" t="n">
        <v>0.0031</v>
      </c>
    </row>
    <row r="2771" customFormat="false" ht="15" hidden="false" customHeight="true" outlineLevel="0" collapsed="false">
      <c r="A2771" s="3" t="s">
        <v>3855</v>
      </c>
      <c r="B2771" s="3" t="s">
        <v>231</v>
      </c>
      <c r="C2771" s="3" t="s">
        <v>93</v>
      </c>
      <c r="D2771" s="3" t="s">
        <v>54</v>
      </c>
      <c r="E2771" s="3" t="s">
        <v>24</v>
      </c>
      <c r="F2771" s="3" t="s">
        <v>40</v>
      </c>
      <c r="G2771" s="3" t="s">
        <v>116</v>
      </c>
      <c r="H2771" s="3" t="s">
        <v>56</v>
      </c>
      <c r="I2771" s="3" t="s">
        <v>188</v>
      </c>
      <c r="J2771" s="3" t="n">
        <v>15</v>
      </c>
      <c r="K2771" s="3" t="n">
        <v>5115</v>
      </c>
      <c r="L2771" s="3" t="n">
        <v>76725</v>
      </c>
      <c r="M2771" s="3" t="n">
        <v>0.0745</v>
      </c>
      <c r="N2771" s="3" t="n">
        <v>5716.01</v>
      </c>
      <c r="O2771" s="3" t="n">
        <v>71008.99</v>
      </c>
      <c r="P2771" s="3" t="n">
        <v>46035</v>
      </c>
      <c r="Q2771" s="3" t="n">
        <v>24973.99</v>
      </c>
      <c r="R2771" s="3" t="n">
        <v>0.3517</v>
      </c>
      <c r="S2771" s="3" t="n">
        <v>0.0801</v>
      </c>
      <c r="T2771" s="3" t="n">
        <v>-0.0056</v>
      </c>
    </row>
    <row r="2772" customFormat="false" ht="15" hidden="false" customHeight="true" outlineLevel="0" collapsed="false">
      <c r="A2772" s="3" t="s">
        <v>3856</v>
      </c>
      <c r="B2772" s="3" t="s">
        <v>761</v>
      </c>
      <c r="C2772" s="3" t="s">
        <v>53</v>
      </c>
      <c r="D2772" s="3" t="s">
        <v>47</v>
      </c>
      <c r="E2772" s="3" t="s">
        <v>48</v>
      </c>
      <c r="F2772" s="3" t="s">
        <v>25</v>
      </c>
      <c r="G2772" s="3" t="s">
        <v>34</v>
      </c>
      <c r="H2772" s="3" t="s">
        <v>77</v>
      </c>
      <c r="I2772" s="3" t="s">
        <v>85</v>
      </c>
      <c r="J2772" s="3" t="n">
        <v>18</v>
      </c>
      <c r="K2772" s="3" t="n">
        <v>5793.59</v>
      </c>
      <c r="L2772" s="3" t="n">
        <v>104284.62</v>
      </c>
      <c r="M2772" s="3" t="n">
        <v>0.1265</v>
      </c>
      <c r="N2772" s="3" t="n">
        <v>13192</v>
      </c>
      <c r="O2772" s="3" t="n">
        <v>91092.62</v>
      </c>
      <c r="P2772" s="3" t="n">
        <v>70913.54</v>
      </c>
      <c r="Q2772" s="3" t="n">
        <v>20179.08</v>
      </c>
      <c r="R2772" s="3" t="n">
        <v>0.2215</v>
      </c>
      <c r="S2772" s="3" t="n">
        <v>0.1046</v>
      </c>
      <c r="T2772" s="3" t="n">
        <v>0.0219</v>
      </c>
    </row>
    <row r="2773" customFormat="false" ht="15" hidden="false" customHeight="true" outlineLevel="0" collapsed="false">
      <c r="A2773" s="3" t="s">
        <v>3857</v>
      </c>
      <c r="B2773" s="3" t="s">
        <v>532</v>
      </c>
      <c r="C2773" s="3" t="s">
        <v>120</v>
      </c>
      <c r="D2773" s="3" t="s">
        <v>32</v>
      </c>
      <c r="E2773" s="3" t="s">
        <v>33</v>
      </c>
      <c r="F2773" s="3" t="s">
        <v>25</v>
      </c>
      <c r="G2773" s="3" t="s">
        <v>84</v>
      </c>
      <c r="H2773" s="3" t="s">
        <v>27</v>
      </c>
      <c r="I2773" s="3" t="s">
        <v>173</v>
      </c>
      <c r="J2773" s="3" t="n">
        <v>3</v>
      </c>
      <c r="K2773" s="3" t="n">
        <v>27215.85</v>
      </c>
      <c r="L2773" s="3" t="n">
        <v>81647.55</v>
      </c>
      <c r="M2773" s="3" t="n">
        <v>0.0938</v>
      </c>
      <c r="N2773" s="3" t="n">
        <v>7658.54</v>
      </c>
      <c r="O2773" s="3" t="n">
        <v>73989.01</v>
      </c>
      <c r="P2773" s="3" t="n">
        <v>50621.48</v>
      </c>
      <c r="Q2773" s="3" t="n">
        <v>23367.53</v>
      </c>
      <c r="R2773" s="3" t="n">
        <v>0.3158</v>
      </c>
      <c r="S2773" s="3" t="n">
        <v>0.0779</v>
      </c>
      <c r="T2773" s="3" t="n">
        <v>0.0159</v>
      </c>
    </row>
    <row r="2774" customFormat="false" ht="15" hidden="false" customHeight="true" outlineLevel="0" collapsed="false">
      <c r="A2774" s="3" t="s">
        <v>3858</v>
      </c>
      <c r="B2774" s="3" t="s">
        <v>1819</v>
      </c>
      <c r="C2774" s="3" t="s">
        <v>22</v>
      </c>
      <c r="D2774" s="3" t="s">
        <v>32</v>
      </c>
      <c r="E2774" s="3" t="s">
        <v>33</v>
      </c>
      <c r="F2774" s="3" t="s">
        <v>25</v>
      </c>
      <c r="G2774" s="3" t="s">
        <v>71</v>
      </c>
      <c r="H2774" s="3" t="s">
        <v>42</v>
      </c>
      <c r="I2774" s="3" t="s">
        <v>72</v>
      </c>
      <c r="J2774" s="3" t="n">
        <v>43</v>
      </c>
      <c r="K2774" s="3" t="n">
        <v>2986.32</v>
      </c>
      <c r="L2774" s="3" t="n">
        <v>128411.76</v>
      </c>
      <c r="M2774" s="3" t="n">
        <v>0.1646</v>
      </c>
      <c r="N2774" s="3" t="n">
        <v>21136.58</v>
      </c>
      <c r="O2774" s="3" t="n">
        <v>107275.18</v>
      </c>
      <c r="P2774" s="3" t="n">
        <v>70626.47</v>
      </c>
      <c r="Q2774" s="3" t="n">
        <v>36648.71</v>
      </c>
      <c r="R2774" s="3" t="n">
        <v>0.3416</v>
      </c>
      <c r="S2774" s="3" t="n">
        <v>0.1736</v>
      </c>
      <c r="T2774" s="3" t="n">
        <v>-0.009</v>
      </c>
    </row>
    <row r="2775" customFormat="false" ht="15" hidden="false" customHeight="true" outlineLevel="0" collapsed="false">
      <c r="A2775" s="3" t="s">
        <v>3859</v>
      </c>
      <c r="B2775" s="3" t="s">
        <v>1219</v>
      </c>
      <c r="C2775" s="3" t="s">
        <v>156</v>
      </c>
      <c r="D2775" s="3" t="s">
        <v>23</v>
      </c>
      <c r="E2775" s="3" t="s">
        <v>24</v>
      </c>
      <c r="F2775" s="3" t="s">
        <v>25</v>
      </c>
      <c r="G2775" s="3" t="s">
        <v>41</v>
      </c>
      <c r="H2775" s="3" t="s">
        <v>64</v>
      </c>
      <c r="I2775" s="3" t="s">
        <v>65</v>
      </c>
      <c r="J2775" s="3" t="n">
        <v>27</v>
      </c>
      <c r="K2775" s="3" t="n">
        <v>7766.73</v>
      </c>
      <c r="L2775" s="3" t="n">
        <v>209701.71</v>
      </c>
      <c r="M2775" s="3" t="n">
        <v>0.2229</v>
      </c>
      <c r="N2775" s="3" t="n">
        <v>46742.51</v>
      </c>
      <c r="O2775" s="3" t="n">
        <v>162959.2</v>
      </c>
      <c r="P2775" s="3" t="n">
        <v>121626.99</v>
      </c>
      <c r="Q2775" s="3" t="n">
        <v>41332.21</v>
      </c>
      <c r="R2775" s="3" t="n">
        <v>0.2536</v>
      </c>
      <c r="S2775" s="3" t="n">
        <v>0.2283</v>
      </c>
      <c r="T2775" s="3" t="n">
        <v>-0.0054</v>
      </c>
    </row>
    <row r="2776" customFormat="false" ht="15" hidden="false" customHeight="true" outlineLevel="0" collapsed="false">
      <c r="A2776" s="3" t="s">
        <v>3860</v>
      </c>
      <c r="B2776" s="3" t="s">
        <v>2400</v>
      </c>
      <c r="C2776" s="3" t="s">
        <v>113</v>
      </c>
      <c r="D2776" s="3" t="s">
        <v>61</v>
      </c>
      <c r="E2776" s="3" t="s">
        <v>33</v>
      </c>
      <c r="F2776" s="3" t="s">
        <v>62</v>
      </c>
      <c r="G2776" s="3" t="s">
        <v>104</v>
      </c>
      <c r="H2776" s="3" t="s">
        <v>56</v>
      </c>
      <c r="I2776" s="3" t="s">
        <v>121</v>
      </c>
      <c r="J2776" s="3" t="n">
        <v>10</v>
      </c>
      <c r="K2776" s="3" t="n">
        <v>5943.16</v>
      </c>
      <c r="L2776" s="3" t="n">
        <v>59431.6</v>
      </c>
      <c r="M2776" s="3" t="n">
        <v>0.0899</v>
      </c>
      <c r="N2776" s="3" t="n">
        <v>5342.9</v>
      </c>
      <c r="O2776" s="3" t="n">
        <v>54088.7</v>
      </c>
      <c r="P2776" s="3" t="n">
        <v>35658.96</v>
      </c>
      <c r="Q2776" s="3" t="n">
        <v>18429.74</v>
      </c>
      <c r="R2776" s="3" t="n">
        <v>0.3407</v>
      </c>
      <c r="S2776" s="3" t="n">
        <v>0.0789</v>
      </c>
      <c r="T2776" s="3" t="n">
        <v>0.011</v>
      </c>
    </row>
    <row r="2777" customFormat="false" ht="15" hidden="false" customHeight="true" outlineLevel="0" collapsed="false">
      <c r="A2777" s="3" t="s">
        <v>3861</v>
      </c>
      <c r="B2777" s="3" t="s">
        <v>874</v>
      </c>
      <c r="C2777" s="3" t="s">
        <v>113</v>
      </c>
      <c r="D2777" s="3" t="s">
        <v>97</v>
      </c>
      <c r="E2777" s="3" t="s">
        <v>48</v>
      </c>
      <c r="F2777" s="3" t="s">
        <v>40</v>
      </c>
      <c r="G2777" s="3" t="s">
        <v>100</v>
      </c>
      <c r="H2777" s="3" t="s">
        <v>42</v>
      </c>
      <c r="I2777" s="3" t="s">
        <v>134</v>
      </c>
      <c r="J2777" s="3" t="n">
        <v>10</v>
      </c>
      <c r="K2777" s="3" t="n">
        <v>1413.97</v>
      </c>
      <c r="L2777" s="3" t="n">
        <v>14139.7</v>
      </c>
      <c r="M2777" s="3" t="n">
        <v>0.0798</v>
      </c>
      <c r="N2777" s="3" t="n">
        <v>1128.35</v>
      </c>
      <c r="O2777" s="3" t="n">
        <v>13011.35</v>
      </c>
      <c r="P2777" s="3" t="n">
        <v>7776.84</v>
      </c>
      <c r="Q2777" s="3" t="n">
        <v>5234.51</v>
      </c>
      <c r="R2777" s="3" t="n">
        <v>0.4023</v>
      </c>
      <c r="S2777" s="3" t="n">
        <v>0.0715</v>
      </c>
      <c r="T2777" s="3" t="n">
        <v>0.0083</v>
      </c>
    </row>
    <row r="2778" customFormat="false" ht="15" hidden="false" customHeight="true" outlineLevel="0" collapsed="false">
      <c r="A2778" s="3" t="s">
        <v>3862</v>
      </c>
      <c r="B2778" s="3" t="s">
        <v>144</v>
      </c>
      <c r="C2778" s="3" t="s">
        <v>120</v>
      </c>
      <c r="D2778" s="3" t="s">
        <v>61</v>
      </c>
      <c r="E2778" s="3" t="s">
        <v>33</v>
      </c>
      <c r="F2778" s="3" t="s">
        <v>62</v>
      </c>
      <c r="G2778" s="3" t="s">
        <v>26</v>
      </c>
      <c r="H2778" s="3" t="s">
        <v>77</v>
      </c>
      <c r="I2778" s="3" t="s">
        <v>131</v>
      </c>
      <c r="J2778" s="3" t="n">
        <v>43</v>
      </c>
      <c r="K2778" s="3" t="n">
        <v>3494.67</v>
      </c>
      <c r="L2778" s="3" t="n">
        <v>150270.81</v>
      </c>
      <c r="M2778" s="3" t="n">
        <v>0.0348</v>
      </c>
      <c r="N2778" s="3" t="n">
        <v>5229.42</v>
      </c>
      <c r="O2778" s="3" t="n">
        <v>145041.39</v>
      </c>
      <c r="P2778" s="3" t="n">
        <v>102184.15</v>
      </c>
      <c r="Q2778" s="3" t="n">
        <v>42857.24</v>
      </c>
      <c r="R2778" s="3" t="n">
        <v>0.2955</v>
      </c>
      <c r="S2778" s="3" t="n">
        <v>0.03</v>
      </c>
      <c r="T2778" s="3" t="n">
        <v>0.0048</v>
      </c>
    </row>
    <row r="2779" customFormat="false" ht="15" hidden="false" customHeight="true" outlineLevel="0" collapsed="false">
      <c r="A2779" s="3" t="s">
        <v>3863</v>
      </c>
      <c r="B2779" s="3" t="s">
        <v>447</v>
      </c>
      <c r="C2779" s="3" t="s">
        <v>22</v>
      </c>
      <c r="D2779" s="3" t="s">
        <v>107</v>
      </c>
      <c r="E2779" s="3" t="s">
        <v>33</v>
      </c>
      <c r="F2779" s="3" t="s">
        <v>70</v>
      </c>
      <c r="G2779" s="3" t="s">
        <v>116</v>
      </c>
      <c r="H2779" s="3" t="s">
        <v>77</v>
      </c>
      <c r="I2779" s="3" t="s">
        <v>131</v>
      </c>
      <c r="J2779" s="3" t="n">
        <v>31</v>
      </c>
      <c r="K2779" s="3" t="n">
        <v>2754.84</v>
      </c>
      <c r="L2779" s="3" t="n">
        <v>85400.04</v>
      </c>
      <c r="M2779" s="3" t="n">
        <v>0.083</v>
      </c>
      <c r="N2779" s="3" t="n">
        <v>7088.2</v>
      </c>
      <c r="O2779" s="3" t="n">
        <v>78311.84</v>
      </c>
      <c r="P2779" s="3" t="n">
        <v>58072.03</v>
      </c>
      <c r="Q2779" s="3" t="n">
        <v>20239.81</v>
      </c>
      <c r="R2779" s="3" t="n">
        <v>0.2585</v>
      </c>
      <c r="S2779" s="3" t="n">
        <v>0.0861</v>
      </c>
      <c r="T2779" s="3" t="n">
        <v>-0.0031</v>
      </c>
    </row>
    <row r="2780" customFormat="false" ht="15" hidden="false" customHeight="true" outlineLevel="0" collapsed="false">
      <c r="A2780" s="3" t="s">
        <v>3864</v>
      </c>
      <c r="B2780" s="3" t="s">
        <v>1255</v>
      </c>
      <c r="C2780" s="3" t="s">
        <v>156</v>
      </c>
      <c r="D2780" s="3" t="s">
        <v>61</v>
      </c>
      <c r="E2780" s="3" t="s">
        <v>33</v>
      </c>
      <c r="F2780" s="3" t="s">
        <v>62</v>
      </c>
      <c r="G2780" s="3" t="s">
        <v>26</v>
      </c>
      <c r="H2780" s="3" t="s">
        <v>64</v>
      </c>
      <c r="I2780" s="3" t="s">
        <v>108</v>
      </c>
      <c r="J2780" s="3" t="n">
        <v>44</v>
      </c>
      <c r="K2780" s="3" t="n">
        <v>3879.85</v>
      </c>
      <c r="L2780" s="3" t="n">
        <v>170713.4</v>
      </c>
      <c r="M2780" s="3" t="n">
        <v>0.0455</v>
      </c>
      <c r="N2780" s="3" t="n">
        <v>7767.46</v>
      </c>
      <c r="O2780" s="3" t="n">
        <v>162945.94</v>
      </c>
      <c r="P2780" s="3" t="n">
        <v>99013.77</v>
      </c>
      <c r="Q2780" s="3" t="n">
        <v>63932.17</v>
      </c>
      <c r="R2780" s="3" t="n">
        <v>0.3924</v>
      </c>
      <c r="S2780" s="3" t="n">
        <v>0.05</v>
      </c>
      <c r="T2780" s="3" t="n">
        <v>-0.0045</v>
      </c>
    </row>
    <row r="2781" customFormat="false" ht="15" hidden="false" customHeight="true" outlineLevel="0" collapsed="false">
      <c r="A2781" s="3" t="s">
        <v>3865</v>
      </c>
      <c r="B2781" s="3" t="s">
        <v>2801</v>
      </c>
      <c r="C2781" s="3" t="s">
        <v>126</v>
      </c>
      <c r="D2781" s="3" t="s">
        <v>54</v>
      </c>
      <c r="E2781" s="3" t="s">
        <v>24</v>
      </c>
      <c r="F2781" s="3" t="s">
        <v>40</v>
      </c>
      <c r="G2781" s="3" t="s">
        <v>104</v>
      </c>
      <c r="H2781" s="3" t="s">
        <v>77</v>
      </c>
      <c r="I2781" s="3" t="s">
        <v>85</v>
      </c>
      <c r="J2781" s="3" t="n">
        <v>34</v>
      </c>
      <c r="K2781" s="3" t="n">
        <v>1975.55</v>
      </c>
      <c r="L2781" s="3" t="n">
        <v>67168.7</v>
      </c>
      <c r="M2781" s="3" t="n">
        <v>0.104</v>
      </c>
      <c r="N2781" s="3" t="n">
        <v>6985.54</v>
      </c>
      <c r="O2781" s="3" t="n">
        <v>60183.16</v>
      </c>
      <c r="P2781" s="3" t="n">
        <v>45674.72</v>
      </c>
      <c r="Q2781" s="3" t="n">
        <v>14508.44</v>
      </c>
      <c r="R2781" s="3" t="n">
        <v>0.2411</v>
      </c>
      <c r="S2781" s="3" t="n">
        <v>0.0861</v>
      </c>
      <c r="T2781" s="3" t="n">
        <v>0.0179</v>
      </c>
    </row>
    <row r="2782" customFormat="false" ht="15" hidden="false" customHeight="true" outlineLevel="0" collapsed="false">
      <c r="A2782" s="3" t="s">
        <v>3866</v>
      </c>
      <c r="B2782" s="3" t="s">
        <v>253</v>
      </c>
      <c r="C2782" s="3" t="s">
        <v>22</v>
      </c>
      <c r="D2782" s="3" t="s">
        <v>75</v>
      </c>
      <c r="E2782" s="3" t="s">
        <v>39</v>
      </c>
      <c r="F2782" s="3" t="s">
        <v>25</v>
      </c>
      <c r="G2782" s="3" t="s">
        <v>71</v>
      </c>
      <c r="H2782" s="3" t="s">
        <v>56</v>
      </c>
      <c r="I2782" s="3" t="s">
        <v>57</v>
      </c>
      <c r="J2782" s="3" t="n">
        <v>9</v>
      </c>
      <c r="K2782" s="3" t="n">
        <v>6785.18</v>
      </c>
      <c r="L2782" s="3" t="n">
        <v>61066.62</v>
      </c>
      <c r="M2782" s="3" t="n">
        <v>0.1901</v>
      </c>
      <c r="N2782" s="3" t="n">
        <v>11608.76</v>
      </c>
      <c r="O2782" s="3" t="n">
        <v>49457.86</v>
      </c>
      <c r="P2782" s="3" t="n">
        <v>36639.97</v>
      </c>
      <c r="Q2782" s="3" t="n">
        <v>12817.89</v>
      </c>
      <c r="R2782" s="3" t="n">
        <v>0.2592</v>
      </c>
      <c r="S2782" s="3" t="n">
        <v>0.1962</v>
      </c>
      <c r="T2782" s="3" t="n">
        <v>-0.0061</v>
      </c>
    </row>
    <row r="2783" customFormat="false" ht="15" hidden="false" customHeight="true" outlineLevel="0" collapsed="false">
      <c r="A2783" s="3" t="s">
        <v>3867</v>
      </c>
      <c r="B2783" s="3" t="s">
        <v>1212</v>
      </c>
      <c r="C2783" s="3" t="s">
        <v>126</v>
      </c>
      <c r="D2783" s="3" t="s">
        <v>38</v>
      </c>
      <c r="E2783" s="3" t="s">
        <v>39</v>
      </c>
      <c r="F2783" s="3" t="s">
        <v>40</v>
      </c>
      <c r="G2783" s="3" t="s">
        <v>84</v>
      </c>
      <c r="H2783" s="3" t="s">
        <v>64</v>
      </c>
      <c r="I2783" s="3" t="s">
        <v>90</v>
      </c>
      <c r="J2783" s="3" t="n">
        <v>24</v>
      </c>
      <c r="K2783" s="3" t="n">
        <v>10642.2</v>
      </c>
      <c r="L2783" s="3" t="n">
        <v>255412.8</v>
      </c>
      <c r="M2783" s="3" t="n">
        <v>0.0545</v>
      </c>
      <c r="N2783" s="3" t="n">
        <v>13920</v>
      </c>
      <c r="O2783" s="3" t="n">
        <v>241492.8</v>
      </c>
      <c r="P2783" s="3" t="n">
        <v>148139.42</v>
      </c>
      <c r="Q2783" s="3" t="n">
        <v>93353.38</v>
      </c>
      <c r="R2783" s="3" t="n">
        <v>0.3866</v>
      </c>
      <c r="S2783" s="3" t="n">
        <v>0.0577</v>
      </c>
      <c r="T2783" s="3" t="n">
        <v>-0.0032</v>
      </c>
    </row>
    <row r="2784" customFormat="false" ht="15" hidden="false" customHeight="true" outlineLevel="0" collapsed="false">
      <c r="A2784" s="3" t="s">
        <v>3868</v>
      </c>
      <c r="B2784" s="3" t="s">
        <v>217</v>
      </c>
      <c r="C2784" s="3" t="s">
        <v>126</v>
      </c>
      <c r="D2784" s="3" t="s">
        <v>69</v>
      </c>
      <c r="E2784" s="3" t="s">
        <v>39</v>
      </c>
      <c r="F2784" s="3" t="s">
        <v>70</v>
      </c>
      <c r="G2784" s="3" t="s">
        <v>34</v>
      </c>
      <c r="H2784" s="3" t="s">
        <v>56</v>
      </c>
      <c r="I2784" s="3" t="s">
        <v>188</v>
      </c>
      <c r="J2784" s="3" t="n">
        <v>6</v>
      </c>
      <c r="K2784" s="3" t="n">
        <v>10865.72</v>
      </c>
      <c r="L2784" s="3" t="n">
        <v>65194.32</v>
      </c>
      <c r="M2784" s="3" t="n">
        <v>0.0774</v>
      </c>
      <c r="N2784" s="3" t="n">
        <v>5046.04</v>
      </c>
      <c r="O2784" s="3" t="n">
        <v>60148.28</v>
      </c>
      <c r="P2784" s="3" t="n">
        <v>39116.59</v>
      </c>
      <c r="Q2784" s="3" t="n">
        <v>21031.69</v>
      </c>
      <c r="R2784" s="3" t="n">
        <v>0.3497</v>
      </c>
      <c r="S2784" s="3" t="n">
        <v>0.0762</v>
      </c>
      <c r="T2784" s="3" t="n">
        <v>0.0012</v>
      </c>
    </row>
    <row r="2785" customFormat="false" ht="15" hidden="false" customHeight="true" outlineLevel="0" collapsed="false">
      <c r="A2785" s="3" t="s">
        <v>3869</v>
      </c>
      <c r="B2785" s="3" t="s">
        <v>2026</v>
      </c>
      <c r="C2785" s="3" t="s">
        <v>60</v>
      </c>
      <c r="D2785" s="3" t="s">
        <v>61</v>
      </c>
      <c r="E2785" s="3" t="s">
        <v>33</v>
      </c>
      <c r="F2785" s="3" t="s">
        <v>62</v>
      </c>
      <c r="G2785" s="3" t="s">
        <v>55</v>
      </c>
      <c r="H2785" s="3" t="s">
        <v>77</v>
      </c>
      <c r="I2785" s="3" t="s">
        <v>131</v>
      </c>
      <c r="J2785" s="3" t="n">
        <v>11</v>
      </c>
      <c r="K2785" s="3" t="n">
        <v>5994.03</v>
      </c>
      <c r="L2785" s="3" t="n">
        <v>65934.33</v>
      </c>
      <c r="M2785" s="3" t="n">
        <v>0.0425</v>
      </c>
      <c r="N2785" s="3" t="n">
        <v>2802.21</v>
      </c>
      <c r="O2785" s="3" t="n">
        <v>63132.12</v>
      </c>
      <c r="P2785" s="3" t="n">
        <v>44835.34</v>
      </c>
      <c r="Q2785" s="3" t="n">
        <v>18296.78</v>
      </c>
      <c r="R2785" s="3" t="n">
        <v>0.2898</v>
      </c>
      <c r="S2785" s="3" t="n">
        <v>0.0355</v>
      </c>
      <c r="T2785" s="3" t="n">
        <v>0.007</v>
      </c>
    </row>
    <row r="2786" customFormat="false" ht="15" hidden="false" customHeight="true" outlineLevel="0" collapsed="false">
      <c r="A2786" s="3" t="s">
        <v>3870</v>
      </c>
      <c r="B2786" s="3" t="s">
        <v>272</v>
      </c>
      <c r="C2786" s="3" t="s">
        <v>22</v>
      </c>
      <c r="D2786" s="3" t="s">
        <v>54</v>
      </c>
      <c r="E2786" s="3" t="s">
        <v>24</v>
      </c>
      <c r="F2786" s="3" t="s">
        <v>40</v>
      </c>
      <c r="G2786" s="3" t="s">
        <v>26</v>
      </c>
      <c r="H2786" s="3" t="s">
        <v>27</v>
      </c>
      <c r="I2786" s="3" t="s">
        <v>28</v>
      </c>
      <c r="J2786" s="3" t="n">
        <v>22</v>
      </c>
      <c r="K2786" s="3" t="n">
        <v>15598.99</v>
      </c>
      <c r="L2786" s="3" t="n">
        <v>343177.78</v>
      </c>
      <c r="M2786" s="3" t="n">
        <v>0.0409</v>
      </c>
      <c r="N2786" s="3" t="n">
        <v>14035.97</v>
      </c>
      <c r="O2786" s="3" t="n">
        <v>329141.81</v>
      </c>
      <c r="P2786" s="3" t="n">
        <v>212770.22</v>
      </c>
      <c r="Q2786" s="3" t="n">
        <v>116371.59</v>
      </c>
      <c r="R2786" s="3" t="n">
        <v>0.3536</v>
      </c>
      <c r="S2786" s="3" t="n">
        <v>0.0378</v>
      </c>
      <c r="T2786" s="3" t="n">
        <v>0.0031</v>
      </c>
    </row>
    <row r="2787" customFormat="false" ht="15" hidden="false" customHeight="true" outlineLevel="0" collapsed="false">
      <c r="A2787" s="3" t="s">
        <v>3871</v>
      </c>
      <c r="B2787" s="3" t="s">
        <v>374</v>
      </c>
      <c r="C2787" s="3" t="s">
        <v>37</v>
      </c>
      <c r="D2787" s="3" t="s">
        <v>23</v>
      </c>
      <c r="E2787" s="3" t="s">
        <v>24</v>
      </c>
      <c r="F2787" s="3" t="s">
        <v>25</v>
      </c>
      <c r="G2787" s="3" t="s">
        <v>41</v>
      </c>
      <c r="H2787" s="3" t="s">
        <v>77</v>
      </c>
      <c r="I2787" s="3" t="s">
        <v>85</v>
      </c>
      <c r="J2787" s="3" t="n">
        <v>27</v>
      </c>
      <c r="K2787" s="3" t="n">
        <v>3064.97</v>
      </c>
      <c r="L2787" s="3" t="n">
        <v>82754.19</v>
      </c>
      <c r="M2787" s="3" t="n">
        <v>0.196</v>
      </c>
      <c r="N2787" s="3" t="n">
        <v>16219.82</v>
      </c>
      <c r="O2787" s="3" t="n">
        <v>66534.37</v>
      </c>
      <c r="P2787" s="3" t="n">
        <v>56272.85</v>
      </c>
      <c r="Q2787" s="3" t="n">
        <v>10261.52</v>
      </c>
      <c r="R2787" s="3" t="n">
        <v>0.1542</v>
      </c>
      <c r="S2787" s="3" t="n">
        <v>0.1671</v>
      </c>
      <c r="T2787" s="3" t="n">
        <v>0.0289</v>
      </c>
    </row>
    <row r="2788" customFormat="false" ht="15" hidden="false" customHeight="true" outlineLevel="0" collapsed="false">
      <c r="A2788" s="3" t="s">
        <v>3872</v>
      </c>
      <c r="B2788" s="3" t="s">
        <v>133</v>
      </c>
      <c r="C2788" s="3" t="s">
        <v>93</v>
      </c>
      <c r="D2788" s="3" t="s">
        <v>23</v>
      </c>
      <c r="E2788" s="3" t="s">
        <v>24</v>
      </c>
      <c r="F2788" s="3" t="s">
        <v>25</v>
      </c>
      <c r="G2788" s="3" t="s">
        <v>76</v>
      </c>
      <c r="H2788" s="3" t="s">
        <v>77</v>
      </c>
      <c r="I2788" s="3" t="s">
        <v>85</v>
      </c>
      <c r="J2788" s="3" t="n">
        <v>1</v>
      </c>
      <c r="K2788" s="3" t="n">
        <v>5488.42</v>
      </c>
      <c r="L2788" s="3" t="n">
        <v>5488.42</v>
      </c>
      <c r="M2788" s="3" t="n">
        <v>0.106</v>
      </c>
      <c r="N2788" s="3" t="n">
        <v>581.77</v>
      </c>
      <c r="O2788" s="3" t="n">
        <v>4906.65</v>
      </c>
      <c r="P2788" s="3" t="n">
        <v>3732.13</v>
      </c>
      <c r="Q2788" s="3" t="n">
        <v>1174.52</v>
      </c>
      <c r="R2788" s="3" t="n">
        <v>0.2394</v>
      </c>
      <c r="S2788" s="3" t="n">
        <v>0.1077</v>
      </c>
      <c r="T2788" s="3" t="n">
        <v>-0.0017</v>
      </c>
    </row>
    <row r="2789" customFormat="false" ht="15" hidden="false" customHeight="true" outlineLevel="0" collapsed="false">
      <c r="A2789" s="3" t="s">
        <v>3873</v>
      </c>
      <c r="B2789" s="3" t="s">
        <v>1347</v>
      </c>
      <c r="C2789" s="3" t="s">
        <v>68</v>
      </c>
      <c r="D2789" s="3" t="s">
        <v>61</v>
      </c>
      <c r="E2789" s="3" t="s">
        <v>33</v>
      </c>
      <c r="F2789" s="3" t="s">
        <v>62</v>
      </c>
      <c r="G2789" s="3" t="s">
        <v>100</v>
      </c>
      <c r="H2789" s="3" t="s">
        <v>77</v>
      </c>
      <c r="I2789" s="3" t="s">
        <v>85</v>
      </c>
      <c r="J2789" s="3" t="n">
        <v>40</v>
      </c>
      <c r="K2789" s="3" t="n">
        <v>4066.61</v>
      </c>
      <c r="L2789" s="3" t="n">
        <v>162664.4</v>
      </c>
      <c r="M2789" s="3" t="n">
        <v>0.0438</v>
      </c>
      <c r="N2789" s="3" t="n">
        <v>7124.7</v>
      </c>
      <c r="O2789" s="3" t="n">
        <v>155539.7</v>
      </c>
      <c r="P2789" s="3" t="n">
        <v>110611.79</v>
      </c>
      <c r="Q2789" s="3" t="n">
        <v>44927.91</v>
      </c>
      <c r="R2789" s="3" t="n">
        <v>0.2889</v>
      </c>
      <c r="S2789" s="3" t="n">
        <v>0.0471</v>
      </c>
      <c r="T2789" s="3" t="n">
        <v>-0.0033</v>
      </c>
    </row>
    <row r="2790" customFormat="false" ht="15" hidden="false" customHeight="true" outlineLevel="0" collapsed="false">
      <c r="A2790" s="3" t="s">
        <v>3874</v>
      </c>
      <c r="B2790" s="3" t="s">
        <v>618</v>
      </c>
      <c r="C2790" s="3" t="s">
        <v>113</v>
      </c>
      <c r="D2790" s="3" t="s">
        <v>103</v>
      </c>
      <c r="E2790" s="3" t="s">
        <v>24</v>
      </c>
      <c r="F2790" s="3" t="s">
        <v>62</v>
      </c>
      <c r="G2790" s="3" t="s">
        <v>55</v>
      </c>
      <c r="H2790" s="3" t="s">
        <v>77</v>
      </c>
      <c r="I2790" s="3" t="s">
        <v>78</v>
      </c>
      <c r="J2790" s="3" t="n">
        <v>37</v>
      </c>
      <c r="K2790" s="3" t="n">
        <v>2555.17</v>
      </c>
      <c r="L2790" s="3" t="n">
        <v>94541.29</v>
      </c>
      <c r="M2790" s="3" t="n">
        <v>0.0791</v>
      </c>
      <c r="N2790" s="3" t="n">
        <v>7478.22</v>
      </c>
      <c r="O2790" s="3" t="n">
        <v>87063.07</v>
      </c>
      <c r="P2790" s="3" t="n">
        <v>64288.08</v>
      </c>
      <c r="Q2790" s="3" t="n">
        <v>22774.99</v>
      </c>
      <c r="R2790" s="3" t="n">
        <v>0.2616</v>
      </c>
      <c r="S2790" s="3" t="n">
        <v>0.0866</v>
      </c>
      <c r="T2790" s="3" t="n">
        <v>-0.0075</v>
      </c>
    </row>
    <row r="2791" customFormat="false" ht="15" hidden="false" customHeight="true" outlineLevel="0" collapsed="false">
      <c r="A2791" s="3" t="s">
        <v>3875</v>
      </c>
      <c r="B2791" s="3" t="s">
        <v>539</v>
      </c>
      <c r="C2791" s="3" t="s">
        <v>37</v>
      </c>
      <c r="D2791" s="3" t="s">
        <v>32</v>
      </c>
      <c r="E2791" s="3" t="s">
        <v>33</v>
      </c>
      <c r="F2791" s="3" t="s">
        <v>25</v>
      </c>
      <c r="G2791" s="3" t="s">
        <v>55</v>
      </c>
      <c r="H2791" s="3" t="s">
        <v>42</v>
      </c>
      <c r="I2791" s="3" t="s">
        <v>43</v>
      </c>
      <c r="J2791" s="3" t="n">
        <v>45</v>
      </c>
      <c r="K2791" s="3" t="n">
        <v>3966.43</v>
      </c>
      <c r="L2791" s="3" t="n">
        <v>178489.35</v>
      </c>
      <c r="M2791" s="3" t="n">
        <v>0.1411</v>
      </c>
      <c r="N2791" s="3" t="n">
        <v>25184.85</v>
      </c>
      <c r="O2791" s="3" t="n">
        <v>153304.5</v>
      </c>
      <c r="P2791" s="3" t="n">
        <v>98169.14</v>
      </c>
      <c r="Q2791" s="3" t="n">
        <v>55135.36</v>
      </c>
      <c r="R2791" s="3" t="n">
        <v>0.3596</v>
      </c>
      <c r="S2791" s="3" t="n">
        <v>0.1527</v>
      </c>
      <c r="T2791" s="3" t="n">
        <v>-0.0116</v>
      </c>
    </row>
    <row r="2792" customFormat="false" ht="15" hidden="false" customHeight="true" outlineLevel="0" collapsed="false">
      <c r="A2792" s="3" t="s">
        <v>3876</v>
      </c>
      <c r="B2792" s="3" t="s">
        <v>3877</v>
      </c>
      <c r="C2792" s="3" t="s">
        <v>113</v>
      </c>
      <c r="D2792" s="3" t="s">
        <v>47</v>
      </c>
      <c r="E2792" s="3" t="s">
        <v>48</v>
      </c>
      <c r="F2792" s="3" t="s">
        <v>25</v>
      </c>
      <c r="G2792" s="3" t="s">
        <v>49</v>
      </c>
      <c r="H2792" s="3" t="s">
        <v>64</v>
      </c>
      <c r="I2792" s="3" t="s">
        <v>145</v>
      </c>
      <c r="J2792" s="3" t="n">
        <v>19</v>
      </c>
      <c r="K2792" s="3" t="n">
        <v>10004.67</v>
      </c>
      <c r="L2792" s="3" t="n">
        <v>190088.73</v>
      </c>
      <c r="M2792" s="3" t="n">
        <v>0.1825</v>
      </c>
      <c r="N2792" s="3" t="n">
        <v>34691.19</v>
      </c>
      <c r="O2792" s="3" t="n">
        <v>155397.54</v>
      </c>
      <c r="P2792" s="3" t="n">
        <v>110251.46</v>
      </c>
      <c r="Q2792" s="3" t="n">
        <v>45146.08</v>
      </c>
      <c r="R2792" s="3" t="n">
        <v>0.2905</v>
      </c>
      <c r="S2792" s="3" t="n">
        <v>0.1705</v>
      </c>
      <c r="T2792" s="3" t="n">
        <v>0.012</v>
      </c>
    </row>
    <row r="2793" customFormat="false" ht="15" hidden="false" customHeight="true" outlineLevel="0" collapsed="false">
      <c r="A2793" s="3" t="s">
        <v>3878</v>
      </c>
      <c r="B2793" s="3" t="s">
        <v>1204</v>
      </c>
      <c r="C2793" s="3" t="s">
        <v>46</v>
      </c>
      <c r="D2793" s="3" t="s">
        <v>97</v>
      </c>
      <c r="E2793" s="3" t="s">
        <v>48</v>
      </c>
      <c r="F2793" s="3" t="s">
        <v>40</v>
      </c>
      <c r="G2793" s="3" t="s">
        <v>41</v>
      </c>
      <c r="H2793" s="3" t="s">
        <v>27</v>
      </c>
      <c r="I2793" s="3" t="s">
        <v>173</v>
      </c>
      <c r="J2793" s="3" t="n">
        <v>9</v>
      </c>
      <c r="K2793" s="3" t="n">
        <v>20470.92</v>
      </c>
      <c r="L2793" s="3" t="n">
        <v>184238.28</v>
      </c>
      <c r="M2793" s="3" t="n">
        <v>0.1025</v>
      </c>
      <c r="N2793" s="3" t="n">
        <v>18884.42</v>
      </c>
      <c r="O2793" s="3" t="n">
        <v>165353.86</v>
      </c>
      <c r="P2793" s="3" t="n">
        <v>114227.73</v>
      </c>
      <c r="Q2793" s="3" t="n">
        <v>51126.13</v>
      </c>
      <c r="R2793" s="3" t="n">
        <v>0.3092</v>
      </c>
      <c r="S2793" s="3" t="n">
        <v>0.0828</v>
      </c>
      <c r="T2793" s="3" t="n">
        <v>0.0197</v>
      </c>
    </row>
    <row r="2794" customFormat="false" ht="15" hidden="false" customHeight="true" outlineLevel="0" collapsed="false">
      <c r="A2794" s="3" t="s">
        <v>3879</v>
      </c>
      <c r="B2794" s="3" t="s">
        <v>744</v>
      </c>
      <c r="C2794" s="3" t="s">
        <v>120</v>
      </c>
      <c r="D2794" s="3" t="s">
        <v>47</v>
      </c>
      <c r="E2794" s="3" t="s">
        <v>48</v>
      </c>
      <c r="F2794" s="3" t="s">
        <v>25</v>
      </c>
      <c r="G2794" s="3" t="s">
        <v>104</v>
      </c>
      <c r="H2794" s="3" t="s">
        <v>27</v>
      </c>
      <c r="I2794" s="3" t="s">
        <v>173</v>
      </c>
      <c r="J2794" s="3" t="n">
        <v>6</v>
      </c>
      <c r="K2794" s="3" t="n">
        <v>29226.78</v>
      </c>
      <c r="L2794" s="3" t="n">
        <v>175360.68</v>
      </c>
      <c r="M2794" s="3" t="n">
        <v>0.2215</v>
      </c>
      <c r="N2794" s="3" t="n">
        <v>38842.39</v>
      </c>
      <c r="O2794" s="3" t="n">
        <v>136518.29</v>
      </c>
      <c r="P2794" s="3" t="n">
        <v>108723.62</v>
      </c>
      <c r="Q2794" s="3" t="n">
        <v>27794.67</v>
      </c>
      <c r="R2794" s="3" t="n">
        <v>0.2036</v>
      </c>
      <c r="S2794" s="3" t="n">
        <v>0.2329</v>
      </c>
      <c r="T2794" s="3" t="n">
        <v>-0.0114</v>
      </c>
    </row>
    <row r="2795" customFormat="false" ht="15" hidden="false" customHeight="true" outlineLevel="0" collapsed="false">
      <c r="A2795" s="3" t="s">
        <v>3880</v>
      </c>
      <c r="B2795" s="3" t="s">
        <v>3881</v>
      </c>
      <c r="C2795" s="3" t="s">
        <v>68</v>
      </c>
      <c r="D2795" s="3" t="s">
        <v>32</v>
      </c>
      <c r="E2795" s="3" t="s">
        <v>33</v>
      </c>
      <c r="F2795" s="3" t="s">
        <v>25</v>
      </c>
      <c r="G2795" s="3" t="s">
        <v>71</v>
      </c>
      <c r="H2795" s="3" t="s">
        <v>77</v>
      </c>
      <c r="I2795" s="3" t="s">
        <v>85</v>
      </c>
      <c r="J2795" s="3" t="n">
        <v>27</v>
      </c>
      <c r="K2795" s="3" t="n">
        <v>5787.46</v>
      </c>
      <c r="L2795" s="3" t="n">
        <v>156261.42</v>
      </c>
      <c r="M2795" s="3" t="n">
        <v>0.1339</v>
      </c>
      <c r="N2795" s="3" t="n">
        <v>20923.4</v>
      </c>
      <c r="O2795" s="3" t="n">
        <v>135338.02</v>
      </c>
      <c r="P2795" s="3" t="n">
        <v>106257.77</v>
      </c>
      <c r="Q2795" s="3" t="n">
        <v>29080.25</v>
      </c>
      <c r="R2795" s="3" t="n">
        <v>0.2149</v>
      </c>
      <c r="S2795" s="3" t="n">
        <v>0.125</v>
      </c>
      <c r="T2795" s="3" t="n">
        <v>0.0089</v>
      </c>
    </row>
    <row r="2796" customFormat="false" ht="15" hidden="false" customHeight="true" outlineLevel="0" collapsed="false">
      <c r="A2796" s="3" t="s">
        <v>3882</v>
      </c>
      <c r="B2796" s="3" t="s">
        <v>571</v>
      </c>
      <c r="C2796" s="3" t="s">
        <v>22</v>
      </c>
      <c r="D2796" s="3" t="s">
        <v>61</v>
      </c>
      <c r="E2796" s="3" t="s">
        <v>33</v>
      </c>
      <c r="F2796" s="3" t="s">
        <v>62</v>
      </c>
      <c r="G2796" s="3" t="s">
        <v>71</v>
      </c>
      <c r="H2796" s="3" t="s">
        <v>27</v>
      </c>
      <c r="I2796" s="3" t="s">
        <v>28</v>
      </c>
      <c r="J2796" s="3" t="n">
        <v>27</v>
      </c>
      <c r="K2796" s="3" t="n">
        <v>39374.9</v>
      </c>
      <c r="L2796" s="3" t="n">
        <v>1063122.3</v>
      </c>
      <c r="M2796" s="3" t="n">
        <v>0.0505</v>
      </c>
      <c r="N2796" s="3" t="n">
        <v>53687.68</v>
      </c>
      <c r="O2796" s="3" t="n">
        <v>1009434.62</v>
      </c>
      <c r="P2796" s="3" t="n">
        <v>659135.83</v>
      </c>
      <c r="Q2796" s="3" t="n">
        <v>350298.79</v>
      </c>
      <c r="R2796" s="3" t="n">
        <v>0.347</v>
      </c>
      <c r="S2796" s="3" t="n">
        <v>0.0505</v>
      </c>
      <c r="T2796" s="3" t="n">
        <v>0</v>
      </c>
    </row>
    <row r="2797" customFormat="false" ht="15" hidden="false" customHeight="true" outlineLevel="0" collapsed="false">
      <c r="A2797" s="3" t="s">
        <v>3883</v>
      </c>
      <c r="B2797" s="3" t="s">
        <v>2037</v>
      </c>
      <c r="C2797" s="3" t="s">
        <v>113</v>
      </c>
      <c r="D2797" s="3" t="s">
        <v>61</v>
      </c>
      <c r="E2797" s="3" t="s">
        <v>33</v>
      </c>
      <c r="F2797" s="3" t="s">
        <v>62</v>
      </c>
      <c r="G2797" s="3" t="s">
        <v>100</v>
      </c>
      <c r="H2797" s="3" t="s">
        <v>77</v>
      </c>
      <c r="I2797" s="3" t="s">
        <v>131</v>
      </c>
      <c r="J2797" s="3" t="n">
        <v>31</v>
      </c>
      <c r="K2797" s="3" t="n">
        <v>1875.45</v>
      </c>
      <c r="L2797" s="3" t="n">
        <v>58138.95</v>
      </c>
      <c r="M2797" s="3" t="n">
        <v>0.0504</v>
      </c>
      <c r="N2797" s="3" t="n">
        <v>2930.2</v>
      </c>
      <c r="O2797" s="3" t="n">
        <v>55208.75</v>
      </c>
      <c r="P2797" s="3" t="n">
        <v>39534.49</v>
      </c>
      <c r="Q2797" s="3" t="n">
        <v>15674.26</v>
      </c>
      <c r="R2797" s="3" t="n">
        <v>0.2839</v>
      </c>
      <c r="S2797" s="3" t="n">
        <v>0.0479</v>
      </c>
      <c r="T2797" s="3" t="n">
        <v>0.0025</v>
      </c>
    </row>
    <row r="2798" customFormat="false" ht="15" hidden="false" customHeight="true" outlineLevel="0" collapsed="false">
      <c r="A2798" s="3" t="s">
        <v>3884</v>
      </c>
      <c r="B2798" s="3" t="s">
        <v>2267</v>
      </c>
      <c r="C2798" s="3" t="s">
        <v>60</v>
      </c>
      <c r="D2798" s="3" t="s">
        <v>61</v>
      </c>
      <c r="E2798" s="3" t="s">
        <v>33</v>
      </c>
      <c r="F2798" s="3" t="s">
        <v>62</v>
      </c>
      <c r="G2798" s="3" t="s">
        <v>71</v>
      </c>
      <c r="H2798" s="3" t="s">
        <v>27</v>
      </c>
      <c r="I2798" s="3" t="s">
        <v>50</v>
      </c>
      <c r="J2798" s="3" t="n">
        <v>15</v>
      </c>
      <c r="K2798" s="3" t="n">
        <v>13162.81</v>
      </c>
      <c r="L2798" s="3" t="n">
        <v>197442.15</v>
      </c>
      <c r="M2798" s="3" t="n">
        <v>0.0371</v>
      </c>
      <c r="N2798" s="3" t="n">
        <v>7325.1</v>
      </c>
      <c r="O2798" s="3" t="n">
        <v>190117.05</v>
      </c>
      <c r="P2798" s="3" t="n">
        <v>122414.13</v>
      </c>
      <c r="Q2798" s="3" t="n">
        <v>67702.92</v>
      </c>
      <c r="R2798" s="3" t="n">
        <v>0.3561</v>
      </c>
      <c r="S2798" s="3" t="n">
        <v>0.0317</v>
      </c>
      <c r="T2798" s="3" t="n">
        <v>0.0054</v>
      </c>
    </row>
    <row r="2799" customFormat="false" ht="15" hidden="false" customHeight="true" outlineLevel="0" collapsed="false">
      <c r="A2799" s="3" t="s">
        <v>3885</v>
      </c>
      <c r="B2799" s="3" t="s">
        <v>900</v>
      </c>
      <c r="C2799" s="3" t="s">
        <v>113</v>
      </c>
      <c r="D2799" s="3" t="s">
        <v>107</v>
      </c>
      <c r="E2799" s="3" t="s">
        <v>33</v>
      </c>
      <c r="F2799" s="3" t="s">
        <v>70</v>
      </c>
      <c r="G2799" s="3" t="s">
        <v>104</v>
      </c>
      <c r="H2799" s="3" t="s">
        <v>64</v>
      </c>
      <c r="I2799" s="3" t="s">
        <v>145</v>
      </c>
      <c r="J2799" s="3" t="n">
        <v>31</v>
      </c>
      <c r="K2799" s="3" t="n">
        <v>7824.45</v>
      </c>
      <c r="L2799" s="3" t="n">
        <v>242557.95</v>
      </c>
      <c r="M2799" s="3" t="n">
        <v>0.0726</v>
      </c>
      <c r="N2799" s="3" t="n">
        <v>17609.71</v>
      </c>
      <c r="O2799" s="3" t="n">
        <v>224948.24</v>
      </c>
      <c r="P2799" s="3" t="n">
        <v>140683.61</v>
      </c>
      <c r="Q2799" s="3" t="n">
        <v>84264.63</v>
      </c>
      <c r="R2799" s="3" t="n">
        <v>0.3746</v>
      </c>
      <c r="S2799" s="3" t="n">
        <v>0.0658</v>
      </c>
      <c r="T2799" s="3" t="n">
        <v>0.0068</v>
      </c>
    </row>
    <row r="2800" customFormat="false" ht="15" hidden="false" customHeight="true" outlineLevel="0" collapsed="false">
      <c r="A2800" s="3" t="s">
        <v>3886</v>
      </c>
      <c r="B2800" s="3" t="s">
        <v>3578</v>
      </c>
      <c r="C2800" s="3" t="s">
        <v>126</v>
      </c>
      <c r="D2800" s="3" t="s">
        <v>38</v>
      </c>
      <c r="E2800" s="3" t="s">
        <v>39</v>
      </c>
      <c r="F2800" s="3" t="s">
        <v>40</v>
      </c>
      <c r="G2800" s="3" t="s">
        <v>76</v>
      </c>
      <c r="H2800" s="3" t="s">
        <v>56</v>
      </c>
      <c r="I2800" s="3" t="s">
        <v>121</v>
      </c>
      <c r="J2800" s="3" t="n">
        <v>18</v>
      </c>
      <c r="K2800" s="3" t="n">
        <v>2511.2</v>
      </c>
      <c r="L2800" s="3" t="n">
        <v>45201.6</v>
      </c>
      <c r="M2800" s="3" t="n">
        <v>0.0346</v>
      </c>
      <c r="N2800" s="3" t="n">
        <v>1563.98</v>
      </c>
      <c r="O2800" s="3" t="n">
        <v>43637.62</v>
      </c>
      <c r="P2800" s="3" t="n">
        <v>27120.96</v>
      </c>
      <c r="Q2800" s="3" t="n">
        <v>16516.66</v>
      </c>
      <c r="R2800" s="3" t="n">
        <v>0.3785</v>
      </c>
      <c r="S2800" s="3" t="n">
        <v>0.0324</v>
      </c>
      <c r="T2800" s="3" t="n">
        <v>0.0022</v>
      </c>
    </row>
    <row r="2801" customFormat="false" ht="15" hidden="false" customHeight="true" outlineLevel="0" collapsed="false">
      <c r="A2801" s="3" t="s">
        <v>3887</v>
      </c>
      <c r="B2801" s="3" t="s">
        <v>142</v>
      </c>
      <c r="C2801" s="3" t="s">
        <v>37</v>
      </c>
      <c r="D2801" s="3" t="s">
        <v>61</v>
      </c>
      <c r="E2801" s="3" t="s">
        <v>33</v>
      </c>
      <c r="F2801" s="3" t="s">
        <v>62</v>
      </c>
      <c r="G2801" s="3" t="s">
        <v>116</v>
      </c>
      <c r="H2801" s="3" t="s">
        <v>64</v>
      </c>
      <c r="I2801" s="3" t="s">
        <v>145</v>
      </c>
      <c r="J2801" s="3" t="n">
        <v>16</v>
      </c>
      <c r="K2801" s="3" t="n">
        <v>9340.78</v>
      </c>
      <c r="L2801" s="3" t="n">
        <v>149452.48</v>
      </c>
      <c r="M2801" s="3" t="n">
        <v>0.0685</v>
      </c>
      <c r="N2801" s="3" t="n">
        <v>10237.49</v>
      </c>
      <c r="O2801" s="3" t="n">
        <v>139214.99</v>
      </c>
      <c r="P2801" s="3" t="n">
        <v>86682.44</v>
      </c>
      <c r="Q2801" s="3" t="n">
        <v>52532.55</v>
      </c>
      <c r="R2801" s="3" t="n">
        <v>0.3773</v>
      </c>
      <c r="S2801" s="3" t="n">
        <v>0.0588</v>
      </c>
      <c r="T2801" s="3" t="n">
        <v>0.0097</v>
      </c>
    </row>
    <row r="2802" customFormat="false" ht="15" hidden="false" customHeight="true" outlineLevel="0" collapsed="false">
      <c r="A2802" s="3" t="s">
        <v>3888</v>
      </c>
      <c r="B2802" s="3" t="s">
        <v>2734</v>
      </c>
      <c r="C2802" s="3" t="s">
        <v>156</v>
      </c>
      <c r="D2802" s="3" t="s">
        <v>83</v>
      </c>
      <c r="E2802" s="3" t="s">
        <v>48</v>
      </c>
      <c r="F2802" s="3" t="s">
        <v>62</v>
      </c>
      <c r="G2802" s="3" t="s">
        <v>71</v>
      </c>
      <c r="H2802" s="3" t="s">
        <v>64</v>
      </c>
      <c r="I2802" s="3" t="s">
        <v>108</v>
      </c>
      <c r="J2802" s="3" t="n">
        <v>9</v>
      </c>
      <c r="K2802" s="3" t="n">
        <v>7775.51</v>
      </c>
      <c r="L2802" s="3" t="n">
        <v>69979.59</v>
      </c>
      <c r="M2802" s="3" t="n">
        <v>0.0762</v>
      </c>
      <c r="N2802" s="3" t="n">
        <v>5332.44</v>
      </c>
      <c r="O2802" s="3" t="n">
        <v>64647.15</v>
      </c>
      <c r="P2802" s="3" t="n">
        <v>40588.16</v>
      </c>
      <c r="Q2802" s="3" t="n">
        <v>24058.99</v>
      </c>
      <c r="R2802" s="3" t="n">
        <v>0.3722</v>
      </c>
      <c r="S2802" s="3" t="n">
        <v>0.079</v>
      </c>
      <c r="T2802" s="3" t="n">
        <v>-0.0028</v>
      </c>
    </row>
    <row r="2803" customFormat="false" ht="15" hidden="false" customHeight="true" outlineLevel="0" collapsed="false">
      <c r="A2803" s="3" t="s">
        <v>3889</v>
      </c>
      <c r="B2803" s="3" t="s">
        <v>3890</v>
      </c>
      <c r="C2803" s="3" t="s">
        <v>156</v>
      </c>
      <c r="D2803" s="3" t="s">
        <v>47</v>
      </c>
      <c r="E2803" s="3" t="s">
        <v>48</v>
      </c>
      <c r="F2803" s="3" t="s">
        <v>25</v>
      </c>
      <c r="G2803" s="3" t="s">
        <v>71</v>
      </c>
      <c r="H2803" s="3" t="s">
        <v>42</v>
      </c>
      <c r="I2803" s="3" t="s">
        <v>43</v>
      </c>
      <c r="J2803" s="3" t="n">
        <v>43</v>
      </c>
      <c r="K2803" s="3" t="n">
        <v>2950.73</v>
      </c>
      <c r="L2803" s="3" t="n">
        <v>126881.39</v>
      </c>
      <c r="M2803" s="3" t="n">
        <v>0.1271</v>
      </c>
      <c r="N2803" s="3" t="n">
        <v>16126.62</v>
      </c>
      <c r="O2803" s="3" t="n">
        <v>110754.77</v>
      </c>
      <c r="P2803" s="3" t="n">
        <v>69784.76</v>
      </c>
      <c r="Q2803" s="3" t="n">
        <v>40970.01</v>
      </c>
      <c r="R2803" s="3" t="n">
        <v>0.3699</v>
      </c>
      <c r="S2803" s="3" t="n">
        <v>0.1245</v>
      </c>
      <c r="T2803" s="3" t="n">
        <v>0.0026</v>
      </c>
    </row>
    <row r="2804" customFormat="false" ht="15" hidden="false" customHeight="true" outlineLevel="0" collapsed="false">
      <c r="A2804" s="3" t="s">
        <v>3891</v>
      </c>
      <c r="B2804" s="3" t="s">
        <v>1699</v>
      </c>
      <c r="C2804" s="3" t="s">
        <v>126</v>
      </c>
      <c r="D2804" s="3" t="s">
        <v>83</v>
      </c>
      <c r="E2804" s="3" t="s">
        <v>48</v>
      </c>
      <c r="F2804" s="3" t="s">
        <v>62</v>
      </c>
      <c r="G2804" s="3" t="s">
        <v>104</v>
      </c>
      <c r="H2804" s="3" t="s">
        <v>56</v>
      </c>
      <c r="I2804" s="3" t="s">
        <v>188</v>
      </c>
      <c r="J2804" s="3" t="n">
        <v>35</v>
      </c>
      <c r="K2804" s="3" t="n">
        <v>4042.01</v>
      </c>
      <c r="L2804" s="3" t="n">
        <v>141470.35</v>
      </c>
      <c r="M2804" s="3" t="n">
        <v>0.0538</v>
      </c>
      <c r="N2804" s="3" t="n">
        <v>7611.1</v>
      </c>
      <c r="O2804" s="3" t="n">
        <v>133859.25</v>
      </c>
      <c r="P2804" s="3" t="n">
        <v>84882.21</v>
      </c>
      <c r="Q2804" s="3" t="n">
        <v>48977.04</v>
      </c>
      <c r="R2804" s="3" t="n">
        <v>0.3659</v>
      </c>
      <c r="S2804" s="3" t="n">
        <v>0.0447</v>
      </c>
      <c r="T2804" s="3" t="n">
        <v>0.0091</v>
      </c>
    </row>
    <row r="2805" customFormat="false" ht="15" hidden="false" customHeight="true" outlineLevel="0" collapsed="false">
      <c r="A2805" s="3" t="s">
        <v>3892</v>
      </c>
      <c r="B2805" s="3" t="s">
        <v>1514</v>
      </c>
      <c r="C2805" s="3" t="s">
        <v>120</v>
      </c>
      <c r="D2805" s="3" t="s">
        <v>54</v>
      </c>
      <c r="E2805" s="3" t="s">
        <v>24</v>
      </c>
      <c r="F2805" s="3" t="s">
        <v>40</v>
      </c>
      <c r="G2805" s="3" t="s">
        <v>76</v>
      </c>
      <c r="H2805" s="3" t="s">
        <v>42</v>
      </c>
      <c r="I2805" s="3" t="s">
        <v>43</v>
      </c>
      <c r="J2805" s="3" t="n">
        <v>22</v>
      </c>
      <c r="K2805" s="3" t="n">
        <v>770.2</v>
      </c>
      <c r="L2805" s="3" t="n">
        <v>16944.4</v>
      </c>
      <c r="M2805" s="3" t="n">
        <v>0.0736</v>
      </c>
      <c r="N2805" s="3" t="n">
        <v>1247.11</v>
      </c>
      <c r="O2805" s="3" t="n">
        <v>15697.29</v>
      </c>
      <c r="P2805" s="3" t="n">
        <v>9319.42</v>
      </c>
      <c r="Q2805" s="3" t="n">
        <v>6377.87</v>
      </c>
      <c r="R2805" s="3" t="n">
        <v>0.4063</v>
      </c>
      <c r="S2805" s="3" t="n">
        <v>0.0762</v>
      </c>
      <c r="T2805" s="3" t="n">
        <v>-0.0026</v>
      </c>
    </row>
    <row r="2806" customFormat="false" ht="15" hidden="false" customHeight="true" outlineLevel="0" collapsed="false">
      <c r="A2806" s="3" t="s">
        <v>3893</v>
      </c>
      <c r="B2806" s="3" t="s">
        <v>500</v>
      </c>
      <c r="C2806" s="3" t="s">
        <v>126</v>
      </c>
      <c r="D2806" s="3" t="s">
        <v>107</v>
      </c>
      <c r="E2806" s="3" t="s">
        <v>33</v>
      </c>
      <c r="F2806" s="3" t="s">
        <v>70</v>
      </c>
      <c r="G2806" s="3" t="s">
        <v>76</v>
      </c>
      <c r="H2806" s="3" t="s">
        <v>27</v>
      </c>
      <c r="I2806" s="3" t="s">
        <v>50</v>
      </c>
      <c r="J2806" s="3" t="n">
        <v>27</v>
      </c>
      <c r="K2806" s="3" t="n">
        <v>23024.99</v>
      </c>
      <c r="L2806" s="3" t="n">
        <v>621674.73</v>
      </c>
      <c r="M2806" s="3" t="n">
        <v>0.07</v>
      </c>
      <c r="N2806" s="3" t="n">
        <v>43517.23</v>
      </c>
      <c r="O2806" s="3" t="n">
        <v>578157.5</v>
      </c>
      <c r="P2806" s="3" t="n">
        <v>385438.33</v>
      </c>
      <c r="Q2806" s="3" t="n">
        <v>192719.17</v>
      </c>
      <c r="R2806" s="3" t="n">
        <v>0.3333</v>
      </c>
      <c r="S2806" s="3" t="n">
        <v>0.0714</v>
      </c>
      <c r="T2806" s="3" t="n">
        <v>-0.0014</v>
      </c>
    </row>
    <row r="2807" customFormat="false" ht="15" hidden="false" customHeight="true" outlineLevel="0" collapsed="false">
      <c r="A2807" s="3" t="s">
        <v>3894</v>
      </c>
      <c r="B2807" s="3" t="s">
        <v>2253</v>
      </c>
      <c r="C2807" s="3" t="s">
        <v>46</v>
      </c>
      <c r="D2807" s="3" t="s">
        <v>23</v>
      </c>
      <c r="E2807" s="3" t="s">
        <v>24</v>
      </c>
      <c r="F2807" s="3" t="s">
        <v>25</v>
      </c>
      <c r="G2807" s="3" t="s">
        <v>41</v>
      </c>
      <c r="H2807" s="3" t="s">
        <v>64</v>
      </c>
      <c r="I2807" s="3" t="s">
        <v>65</v>
      </c>
      <c r="J2807" s="3" t="n">
        <v>33</v>
      </c>
      <c r="K2807" s="3" t="n">
        <v>3765.02</v>
      </c>
      <c r="L2807" s="3" t="n">
        <v>124245.66</v>
      </c>
      <c r="M2807" s="3" t="n">
        <v>0.2067</v>
      </c>
      <c r="N2807" s="3" t="n">
        <v>25681.58</v>
      </c>
      <c r="O2807" s="3" t="n">
        <v>98564.08</v>
      </c>
      <c r="P2807" s="3" t="n">
        <v>72062.48</v>
      </c>
      <c r="Q2807" s="3" t="n">
        <v>26501.6</v>
      </c>
      <c r="R2807" s="3" t="n">
        <v>0.2689</v>
      </c>
      <c r="S2807" s="3" t="n">
        <v>0.1792</v>
      </c>
      <c r="T2807" s="3" t="n">
        <v>0.0275</v>
      </c>
    </row>
    <row r="2808" customFormat="false" ht="15" hidden="false" customHeight="true" outlineLevel="0" collapsed="false">
      <c r="A2808" s="3" t="s">
        <v>3895</v>
      </c>
      <c r="B2808" s="3" t="s">
        <v>3434</v>
      </c>
      <c r="C2808" s="3" t="s">
        <v>53</v>
      </c>
      <c r="D2808" s="3" t="s">
        <v>103</v>
      </c>
      <c r="E2808" s="3" t="s">
        <v>24</v>
      </c>
      <c r="F2808" s="3" t="s">
        <v>62</v>
      </c>
      <c r="G2808" s="3" t="s">
        <v>71</v>
      </c>
      <c r="H2808" s="3" t="s">
        <v>77</v>
      </c>
      <c r="I2808" s="3" t="s">
        <v>85</v>
      </c>
      <c r="J2808" s="3" t="n">
        <v>2</v>
      </c>
      <c r="K2808" s="3" t="n">
        <v>4609.77</v>
      </c>
      <c r="L2808" s="3" t="n">
        <v>9219.54</v>
      </c>
      <c r="M2808" s="3" t="n">
        <v>0.0637</v>
      </c>
      <c r="N2808" s="3" t="n">
        <v>587.28</v>
      </c>
      <c r="O2808" s="3" t="n">
        <v>8632.26</v>
      </c>
      <c r="P2808" s="3" t="n">
        <v>6269.29</v>
      </c>
      <c r="Q2808" s="3" t="n">
        <v>2362.97</v>
      </c>
      <c r="R2808" s="3" t="n">
        <v>0.2737</v>
      </c>
      <c r="S2808" s="3" t="n">
        <v>0.0598</v>
      </c>
      <c r="T2808" s="3" t="n">
        <v>0.0039</v>
      </c>
    </row>
    <row r="2809" customFormat="false" ht="15" hidden="false" customHeight="true" outlineLevel="0" collapsed="false">
      <c r="A2809" s="3" t="s">
        <v>3896</v>
      </c>
      <c r="B2809" s="3" t="s">
        <v>2022</v>
      </c>
      <c r="C2809" s="3" t="s">
        <v>31</v>
      </c>
      <c r="D2809" s="3" t="s">
        <v>38</v>
      </c>
      <c r="E2809" s="3" t="s">
        <v>39</v>
      </c>
      <c r="F2809" s="3" t="s">
        <v>40</v>
      </c>
      <c r="G2809" s="3" t="s">
        <v>116</v>
      </c>
      <c r="H2809" s="3" t="s">
        <v>27</v>
      </c>
      <c r="I2809" s="3" t="s">
        <v>117</v>
      </c>
      <c r="J2809" s="3" t="n">
        <v>43</v>
      </c>
      <c r="K2809" s="3" t="n">
        <v>15101.4</v>
      </c>
      <c r="L2809" s="3" t="n">
        <v>649360.2</v>
      </c>
      <c r="M2809" s="3" t="n">
        <v>0.1172</v>
      </c>
      <c r="N2809" s="3" t="n">
        <v>76105.02</v>
      </c>
      <c r="O2809" s="3" t="n">
        <v>573255.18</v>
      </c>
      <c r="P2809" s="3" t="n">
        <v>402603.32</v>
      </c>
      <c r="Q2809" s="3" t="n">
        <v>170651.86</v>
      </c>
      <c r="R2809" s="3" t="n">
        <v>0.2977</v>
      </c>
      <c r="S2809" s="3" t="n">
        <v>0.1026</v>
      </c>
      <c r="T2809" s="3" t="n">
        <v>0.0146</v>
      </c>
    </row>
    <row r="2810" customFormat="false" ht="15" hidden="false" customHeight="true" outlineLevel="0" collapsed="false">
      <c r="A2810" s="3" t="s">
        <v>3897</v>
      </c>
      <c r="B2810" s="3" t="s">
        <v>1712</v>
      </c>
      <c r="C2810" s="3" t="s">
        <v>37</v>
      </c>
      <c r="D2810" s="3" t="s">
        <v>69</v>
      </c>
      <c r="E2810" s="3" t="s">
        <v>39</v>
      </c>
      <c r="F2810" s="3" t="s">
        <v>70</v>
      </c>
      <c r="G2810" s="3" t="s">
        <v>55</v>
      </c>
      <c r="H2810" s="3" t="s">
        <v>77</v>
      </c>
      <c r="I2810" s="3" t="s">
        <v>85</v>
      </c>
      <c r="J2810" s="3" t="n">
        <v>22</v>
      </c>
      <c r="K2810" s="3" t="n">
        <v>1265.96</v>
      </c>
      <c r="L2810" s="3" t="n">
        <v>27851.12</v>
      </c>
      <c r="M2810" s="3" t="n">
        <v>0.0576</v>
      </c>
      <c r="N2810" s="3" t="n">
        <v>1604.22</v>
      </c>
      <c r="O2810" s="3" t="n">
        <v>26246.9</v>
      </c>
      <c r="P2810" s="3" t="n">
        <v>18938.76</v>
      </c>
      <c r="Q2810" s="3" t="n">
        <v>7308.14</v>
      </c>
      <c r="R2810" s="3" t="n">
        <v>0.2784</v>
      </c>
      <c r="S2810" s="3" t="n">
        <v>0.0619</v>
      </c>
      <c r="T2810" s="3" t="n">
        <v>-0.0043</v>
      </c>
    </row>
    <row r="2811" customFormat="false" ht="15" hidden="false" customHeight="true" outlineLevel="0" collapsed="false">
      <c r="A2811" s="3" t="s">
        <v>3898</v>
      </c>
      <c r="B2811" s="3" t="s">
        <v>1216</v>
      </c>
      <c r="C2811" s="3" t="s">
        <v>126</v>
      </c>
      <c r="D2811" s="3" t="s">
        <v>103</v>
      </c>
      <c r="E2811" s="3" t="s">
        <v>24</v>
      </c>
      <c r="F2811" s="3" t="s">
        <v>62</v>
      </c>
      <c r="G2811" s="3" t="s">
        <v>76</v>
      </c>
      <c r="H2811" s="3" t="s">
        <v>56</v>
      </c>
      <c r="I2811" s="3" t="s">
        <v>121</v>
      </c>
      <c r="J2811" s="3" t="n">
        <v>2</v>
      </c>
      <c r="K2811" s="3" t="n">
        <v>13165.96</v>
      </c>
      <c r="L2811" s="3" t="n">
        <v>26331.92</v>
      </c>
      <c r="M2811" s="3" t="n">
        <v>0.0572</v>
      </c>
      <c r="N2811" s="3" t="n">
        <v>1506.19</v>
      </c>
      <c r="O2811" s="3" t="n">
        <v>24825.73</v>
      </c>
      <c r="P2811" s="3" t="n">
        <v>15799.15</v>
      </c>
      <c r="Q2811" s="3" t="n">
        <v>9026.58</v>
      </c>
      <c r="R2811" s="3" t="n">
        <v>0.3636</v>
      </c>
      <c r="S2811" s="3" t="n">
        <v>0.049</v>
      </c>
      <c r="T2811" s="3" t="n">
        <v>0.0082</v>
      </c>
    </row>
    <row r="2812" customFormat="false" ht="15" hidden="false" customHeight="true" outlineLevel="0" collapsed="false">
      <c r="A2812" s="3" t="s">
        <v>3899</v>
      </c>
      <c r="B2812" s="3" t="s">
        <v>3900</v>
      </c>
      <c r="C2812" s="3" t="s">
        <v>126</v>
      </c>
      <c r="D2812" s="3" t="s">
        <v>97</v>
      </c>
      <c r="E2812" s="3" t="s">
        <v>48</v>
      </c>
      <c r="F2812" s="3" t="s">
        <v>40</v>
      </c>
      <c r="G2812" s="3" t="s">
        <v>55</v>
      </c>
      <c r="H2812" s="3" t="s">
        <v>27</v>
      </c>
      <c r="I2812" s="3" t="s">
        <v>173</v>
      </c>
      <c r="J2812" s="3" t="n">
        <v>37</v>
      </c>
      <c r="K2812" s="3" t="n">
        <v>38871.96</v>
      </c>
      <c r="L2812" s="3" t="n">
        <v>1438262.52</v>
      </c>
      <c r="M2812" s="3" t="n">
        <v>0.0619</v>
      </c>
      <c r="N2812" s="3" t="n">
        <v>89028.45</v>
      </c>
      <c r="O2812" s="3" t="n">
        <v>1349234.07</v>
      </c>
      <c r="P2812" s="3" t="n">
        <v>891722.76</v>
      </c>
      <c r="Q2812" s="3" t="n">
        <v>457511.31</v>
      </c>
      <c r="R2812" s="3" t="n">
        <v>0.3391</v>
      </c>
      <c r="S2812" s="3" t="n">
        <v>0.0562</v>
      </c>
      <c r="T2812" s="3" t="n">
        <v>0.0057</v>
      </c>
    </row>
    <row r="2813" customFormat="false" ht="15" hidden="false" customHeight="true" outlineLevel="0" collapsed="false">
      <c r="A2813" s="3" t="s">
        <v>3901</v>
      </c>
      <c r="B2813" s="3" t="s">
        <v>589</v>
      </c>
      <c r="C2813" s="3" t="s">
        <v>37</v>
      </c>
      <c r="D2813" s="3" t="s">
        <v>75</v>
      </c>
      <c r="E2813" s="3" t="s">
        <v>39</v>
      </c>
      <c r="F2813" s="3" t="s">
        <v>25</v>
      </c>
      <c r="G2813" s="3" t="s">
        <v>100</v>
      </c>
      <c r="H2813" s="3" t="s">
        <v>56</v>
      </c>
      <c r="I2813" s="3" t="s">
        <v>121</v>
      </c>
      <c r="J2813" s="3" t="n">
        <v>25</v>
      </c>
      <c r="K2813" s="3" t="n">
        <v>8866.41</v>
      </c>
      <c r="L2813" s="3" t="n">
        <v>221660.25</v>
      </c>
      <c r="M2813" s="3" t="n">
        <v>0.0772</v>
      </c>
      <c r="N2813" s="3" t="n">
        <v>17112.17</v>
      </c>
      <c r="O2813" s="3" t="n">
        <v>204548.08</v>
      </c>
      <c r="P2813" s="3" t="n">
        <v>132996.15</v>
      </c>
      <c r="Q2813" s="3" t="n">
        <v>71551.93</v>
      </c>
      <c r="R2813" s="3" t="n">
        <v>0.3498</v>
      </c>
      <c r="S2813" s="3" t="n">
        <v>0.0715</v>
      </c>
      <c r="T2813" s="3" t="n">
        <v>0.0057</v>
      </c>
    </row>
    <row r="2814" customFormat="false" ht="15" hidden="false" customHeight="true" outlineLevel="0" collapsed="false">
      <c r="A2814" s="3" t="s">
        <v>3902</v>
      </c>
      <c r="B2814" s="3" t="s">
        <v>1564</v>
      </c>
      <c r="C2814" s="3" t="s">
        <v>37</v>
      </c>
      <c r="D2814" s="3" t="s">
        <v>69</v>
      </c>
      <c r="E2814" s="3" t="s">
        <v>39</v>
      </c>
      <c r="F2814" s="3" t="s">
        <v>70</v>
      </c>
      <c r="G2814" s="3" t="s">
        <v>76</v>
      </c>
      <c r="H2814" s="3" t="s">
        <v>64</v>
      </c>
      <c r="I2814" s="3" t="s">
        <v>90</v>
      </c>
      <c r="J2814" s="3" t="n">
        <v>3</v>
      </c>
      <c r="K2814" s="3" t="n">
        <v>6341.29</v>
      </c>
      <c r="L2814" s="3" t="n">
        <v>19023.87</v>
      </c>
      <c r="M2814" s="3" t="n">
        <v>0.0341</v>
      </c>
      <c r="N2814" s="3" t="n">
        <v>648.71</v>
      </c>
      <c r="O2814" s="3" t="n">
        <v>18375.16</v>
      </c>
      <c r="P2814" s="3" t="n">
        <v>11033.84</v>
      </c>
      <c r="Q2814" s="3" t="n">
        <v>7341.32</v>
      </c>
      <c r="R2814" s="3" t="n">
        <v>0.3995</v>
      </c>
      <c r="S2814" s="3" t="n">
        <v>0.0288</v>
      </c>
      <c r="T2814" s="3" t="n">
        <v>0.0053</v>
      </c>
    </row>
    <row r="2815" customFormat="false" ht="15" hidden="false" customHeight="true" outlineLevel="0" collapsed="false">
      <c r="A2815" s="3" t="s">
        <v>3903</v>
      </c>
      <c r="B2815" s="3" t="s">
        <v>2823</v>
      </c>
      <c r="C2815" s="3" t="s">
        <v>22</v>
      </c>
      <c r="D2815" s="3" t="s">
        <v>47</v>
      </c>
      <c r="E2815" s="3" t="s">
        <v>48</v>
      </c>
      <c r="F2815" s="3" t="s">
        <v>25</v>
      </c>
      <c r="G2815" s="3" t="s">
        <v>63</v>
      </c>
      <c r="H2815" s="3" t="s">
        <v>27</v>
      </c>
      <c r="I2815" s="3" t="s">
        <v>117</v>
      </c>
      <c r="J2815" s="3" t="n">
        <v>5</v>
      </c>
      <c r="K2815" s="3" t="n">
        <v>29244.23</v>
      </c>
      <c r="L2815" s="3" t="n">
        <v>146221.15</v>
      </c>
      <c r="M2815" s="3" t="n">
        <v>0.1569</v>
      </c>
      <c r="N2815" s="3" t="n">
        <v>22942.1</v>
      </c>
      <c r="O2815" s="3" t="n">
        <v>123279.05</v>
      </c>
      <c r="P2815" s="3" t="n">
        <v>90657.11</v>
      </c>
      <c r="Q2815" s="3" t="n">
        <v>32621.94</v>
      </c>
      <c r="R2815" s="3" t="n">
        <v>0.2646</v>
      </c>
      <c r="S2815" s="3" t="n">
        <v>0.1321</v>
      </c>
      <c r="T2815" s="3" t="n">
        <v>0.0248</v>
      </c>
    </row>
    <row r="2816" customFormat="false" ht="15" hidden="false" customHeight="true" outlineLevel="0" collapsed="false">
      <c r="A2816" s="3" t="s">
        <v>3904</v>
      </c>
      <c r="B2816" s="3" t="s">
        <v>266</v>
      </c>
      <c r="C2816" s="3" t="s">
        <v>60</v>
      </c>
      <c r="D2816" s="3" t="s">
        <v>69</v>
      </c>
      <c r="E2816" s="3" t="s">
        <v>39</v>
      </c>
      <c r="F2816" s="3" t="s">
        <v>70</v>
      </c>
      <c r="G2816" s="3" t="s">
        <v>76</v>
      </c>
      <c r="H2816" s="3" t="s">
        <v>27</v>
      </c>
      <c r="I2816" s="3" t="s">
        <v>94</v>
      </c>
      <c r="J2816" s="3" t="n">
        <v>47</v>
      </c>
      <c r="K2816" s="3" t="n">
        <v>14222.44</v>
      </c>
      <c r="L2816" s="3" t="n">
        <v>668454.68</v>
      </c>
      <c r="M2816" s="3" t="n">
        <v>0.0499</v>
      </c>
      <c r="N2816" s="3" t="n">
        <v>33355.89</v>
      </c>
      <c r="O2816" s="3" t="n">
        <v>635098.79</v>
      </c>
      <c r="P2816" s="3" t="n">
        <v>414441.9</v>
      </c>
      <c r="Q2816" s="3" t="n">
        <v>220656.89</v>
      </c>
      <c r="R2816" s="3" t="n">
        <v>0.3474</v>
      </c>
      <c r="S2816" s="3" t="n">
        <v>0.0495</v>
      </c>
      <c r="T2816" s="3" t="n">
        <v>0.0004</v>
      </c>
    </row>
    <row r="2817" customFormat="false" ht="15" hidden="false" customHeight="true" outlineLevel="0" collapsed="false">
      <c r="A2817" s="3" t="s">
        <v>3905</v>
      </c>
      <c r="B2817" s="3" t="s">
        <v>795</v>
      </c>
      <c r="C2817" s="3" t="s">
        <v>156</v>
      </c>
      <c r="D2817" s="3" t="s">
        <v>47</v>
      </c>
      <c r="E2817" s="3" t="s">
        <v>48</v>
      </c>
      <c r="F2817" s="3" t="s">
        <v>25</v>
      </c>
      <c r="G2817" s="3" t="s">
        <v>76</v>
      </c>
      <c r="H2817" s="3" t="s">
        <v>42</v>
      </c>
      <c r="I2817" s="3" t="s">
        <v>134</v>
      </c>
      <c r="J2817" s="3" t="n">
        <v>32</v>
      </c>
      <c r="K2817" s="3" t="n">
        <v>2109.41</v>
      </c>
      <c r="L2817" s="3" t="n">
        <v>67501.12</v>
      </c>
      <c r="M2817" s="3" t="n">
        <v>0.1274</v>
      </c>
      <c r="N2817" s="3" t="n">
        <v>8599.64</v>
      </c>
      <c r="O2817" s="3" t="n">
        <v>58901.48</v>
      </c>
      <c r="P2817" s="3" t="n">
        <v>37125.62</v>
      </c>
      <c r="Q2817" s="3" t="n">
        <v>21775.86</v>
      </c>
      <c r="R2817" s="3" t="n">
        <v>0.3697</v>
      </c>
      <c r="S2817" s="3" t="n">
        <v>0.1222</v>
      </c>
      <c r="T2817" s="3" t="n">
        <v>0.0052</v>
      </c>
    </row>
    <row r="2818" customFormat="false" ht="15" hidden="false" customHeight="true" outlineLevel="0" collapsed="false">
      <c r="A2818" s="3" t="s">
        <v>3906</v>
      </c>
      <c r="B2818" s="3" t="s">
        <v>820</v>
      </c>
      <c r="C2818" s="3" t="s">
        <v>156</v>
      </c>
      <c r="D2818" s="3" t="s">
        <v>23</v>
      </c>
      <c r="E2818" s="3" t="s">
        <v>24</v>
      </c>
      <c r="F2818" s="3" t="s">
        <v>25</v>
      </c>
      <c r="G2818" s="3" t="s">
        <v>26</v>
      </c>
      <c r="H2818" s="3" t="s">
        <v>64</v>
      </c>
      <c r="I2818" s="3" t="s">
        <v>108</v>
      </c>
      <c r="J2818" s="3" t="n">
        <v>17</v>
      </c>
      <c r="K2818" s="3" t="n">
        <v>4267.55</v>
      </c>
      <c r="L2818" s="3" t="n">
        <v>72548.35</v>
      </c>
      <c r="M2818" s="3" t="n">
        <v>0.1028</v>
      </c>
      <c r="N2818" s="3" t="n">
        <v>7457.97</v>
      </c>
      <c r="O2818" s="3" t="n">
        <v>65090.38</v>
      </c>
      <c r="P2818" s="3" t="n">
        <v>42078.04</v>
      </c>
      <c r="Q2818" s="3" t="n">
        <v>23012.34</v>
      </c>
      <c r="R2818" s="3" t="n">
        <v>0.3535</v>
      </c>
      <c r="S2818" s="3" t="n">
        <v>0.1059</v>
      </c>
      <c r="T2818" s="3" t="n">
        <v>-0.0031</v>
      </c>
    </row>
    <row r="2819" customFormat="false" ht="15" hidden="false" customHeight="true" outlineLevel="0" collapsed="false">
      <c r="A2819" s="3" t="s">
        <v>3907</v>
      </c>
      <c r="B2819" s="3" t="s">
        <v>1350</v>
      </c>
      <c r="C2819" s="3" t="s">
        <v>37</v>
      </c>
      <c r="D2819" s="3" t="s">
        <v>54</v>
      </c>
      <c r="E2819" s="3" t="s">
        <v>24</v>
      </c>
      <c r="F2819" s="3" t="s">
        <v>40</v>
      </c>
      <c r="G2819" s="3" t="s">
        <v>26</v>
      </c>
      <c r="H2819" s="3" t="s">
        <v>27</v>
      </c>
      <c r="I2819" s="3" t="s">
        <v>173</v>
      </c>
      <c r="J2819" s="3" t="n">
        <v>8</v>
      </c>
      <c r="K2819" s="3" t="n">
        <v>12032.61</v>
      </c>
      <c r="L2819" s="3" t="n">
        <v>96260.88</v>
      </c>
      <c r="M2819" s="3" t="n">
        <v>0.066</v>
      </c>
      <c r="N2819" s="3" t="n">
        <v>6353.22</v>
      </c>
      <c r="O2819" s="3" t="n">
        <v>89907.66</v>
      </c>
      <c r="P2819" s="3" t="n">
        <v>59681.75</v>
      </c>
      <c r="Q2819" s="3" t="n">
        <v>30225.91</v>
      </c>
      <c r="R2819" s="3" t="n">
        <v>0.3362</v>
      </c>
      <c r="S2819" s="3" t="n">
        <v>0.0577</v>
      </c>
      <c r="T2819" s="3" t="n">
        <v>0.0083</v>
      </c>
    </row>
    <row r="2820" customFormat="false" ht="15" hidden="false" customHeight="true" outlineLevel="0" collapsed="false">
      <c r="A2820" s="3" t="s">
        <v>3908</v>
      </c>
      <c r="B2820" s="3" t="s">
        <v>2196</v>
      </c>
      <c r="C2820" s="3" t="s">
        <v>156</v>
      </c>
      <c r="D2820" s="3" t="s">
        <v>47</v>
      </c>
      <c r="E2820" s="3" t="s">
        <v>48</v>
      </c>
      <c r="F2820" s="3" t="s">
        <v>25</v>
      </c>
      <c r="G2820" s="3" t="s">
        <v>49</v>
      </c>
      <c r="H2820" s="3" t="s">
        <v>56</v>
      </c>
      <c r="I2820" s="3" t="s">
        <v>188</v>
      </c>
      <c r="J2820" s="3" t="n">
        <v>21</v>
      </c>
      <c r="K2820" s="3" t="n">
        <v>10553.23</v>
      </c>
      <c r="L2820" s="3" t="n">
        <v>221617.83</v>
      </c>
      <c r="M2820" s="3" t="n">
        <v>0.1606</v>
      </c>
      <c r="N2820" s="3" t="n">
        <v>35591.82</v>
      </c>
      <c r="O2820" s="3" t="n">
        <v>186026.01</v>
      </c>
      <c r="P2820" s="3" t="n">
        <v>132970.7</v>
      </c>
      <c r="Q2820" s="3" t="n">
        <v>53055.31</v>
      </c>
      <c r="R2820" s="3" t="n">
        <v>0.2852</v>
      </c>
      <c r="S2820" s="3" t="n">
        <v>0.147</v>
      </c>
      <c r="T2820" s="3" t="n">
        <v>0.0136</v>
      </c>
    </row>
    <row r="2821" customFormat="false" ht="15" hidden="false" customHeight="true" outlineLevel="0" collapsed="false">
      <c r="A2821" s="3" t="s">
        <v>3909</v>
      </c>
      <c r="B2821" s="3" t="s">
        <v>670</v>
      </c>
      <c r="C2821" s="3" t="s">
        <v>113</v>
      </c>
      <c r="D2821" s="3" t="s">
        <v>83</v>
      </c>
      <c r="E2821" s="3" t="s">
        <v>48</v>
      </c>
      <c r="F2821" s="3" t="s">
        <v>62</v>
      </c>
      <c r="G2821" s="3" t="s">
        <v>104</v>
      </c>
      <c r="H2821" s="3" t="s">
        <v>56</v>
      </c>
      <c r="I2821" s="3" t="s">
        <v>57</v>
      </c>
      <c r="J2821" s="3" t="n">
        <v>11</v>
      </c>
      <c r="K2821" s="3" t="n">
        <v>4594.42</v>
      </c>
      <c r="L2821" s="3" t="n">
        <v>50538.62</v>
      </c>
      <c r="M2821" s="3" t="n">
        <v>0.0709</v>
      </c>
      <c r="N2821" s="3" t="n">
        <v>3583.19</v>
      </c>
      <c r="O2821" s="3" t="n">
        <v>46955.43</v>
      </c>
      <c r="P2821" s="3" t="n">
        <v>30323.17</v>
      </c>
      <c r="Q2821" s="3" t="n">
        <v>16632.26</v>
      </c>
      <c r="R2821" s="3" t="n">
        <v>0.3542</v>
      </c>
      <c r="S2821" s="3" t="n">
        <v>0.0614</v>
      </c>
      <c r="T2821" s="3" t="n">
        <v>0.0095</v>
      </c>
    </row>
    <row r="2822" customFormat="false" ht="15" hidden="false" customHeight="true" outlineLevel="0" collapsed="false">
      <c r="A2822" s="3" t="s">
        <v>3910</v>
      </c>
      <c r="B2822" s="3" t="s">
        <v>3911</v>
      </c>
      <c r="C2822" s="3" t="s">
        <v>22</v>
      </c>
      <c r="D2822" s="3" t="s">
        <v>75</v>
      </c>
      <c r="E2822" s="3" t="s">
        <v>39</v>
      </c>
      <c r="F2822" s="3" t="s">
        <v>25</v>
      </c>
      <c r="G2822" s="3" t="s">
        <v>71</v>
      </c>
      <c r="H2822" s="3" t="s">
        <v>56</v>
      </c>
      <c r="I2822" s="3" t="s">
        <v>57</v>
      </c>
      <c r="J2822" s="3" t="n">
        <v>23</v>
      </c>
      <c r="K2822" s="3" t="n">
        <v>11596.54</v>
      </c>
      <c r="L2822" s="3" t="n">
        <v>266720.42</v>
      </c>
      <c r="M2822" s="3" t="n">
        <v>0.0968</v>
      </c>
      <c r="N2822" s="3" t="n">
        <v>25818.54</v>
      </c>
      <c r="O2822" s="3" t="n">
        <v>240901.88</v>
      </c>
      <c r="P2822" s="3" t="n">
        <v>160032.25</v>
      </c>
      <c r="Q2822" s="3" t="n">
        <v>80869.63</v>
      </c>
      <c r="R2822" s="3" t="n">
        <v>0.3357</v>
      </c>
      <c r="S2822" s="3" t="n">
        <v>0.0868</v>
      </c>
      <c r="T2822" s="3" t="n">
        <v>0.01</v>
      </c>
    </row>
    <row r="2823" customFormat="false" ht="15" hidden="false" customHeight="true" outlineLevel="0" collapsed="false">
      <c r="A2823" s="3" t="s">
        <v>3912</v>
      </c>
      <c r="B2823" s="3" t="s">
        <v>1183</v>
      </c>
      <c r="C2823" s="3" t="s">
        <v>31</v>
      </c>
      <c r="D2823" s="3" t="s">
        <v>107</v>
      </c>
      <c r="E2823" s="3" t="s">
        <v>33</v>
      </c>
      <c r="F2823" s="3" t="s">
        <v>70</v>
      </c>
      <c r="G2823" s="3" t="s">
        <v>34</v>
      </c>
      <c r="H2823" s="3" t="s">
        <v>64</v>
      </c>
      <c r="I2823" s="3" t="s">
        <v>90</v>
      </c>
      <c r="J2823" s="3" t="n">
        <v>2</v>
      </c>
      <c r="K2823" s="3" t="n">
        <v>3414.81</v>
      </c>
      <c r="L2823" s="3" t="n">
        <v>6829.62</v>
      </c>
      <c r="M2823" s="3" t="n">
        <v>0.1012</v>
      </c>
      <c r="N2823" s="3" t="n">
        <v>691.16</v>
      </c>
      <c r="O2823" s="3" t="n">
        <v>6138.46</v>
      </c>
      <c r="P2823" s="3" t="n">
        <v>3961.18</v>
      </c>
      <c r="Q2823" s="3" t="n">
        <v>2177.28</v>
      </c>
      <c r="R2823" s="3" t="n">
        <v>0.3547</v>
      </c>
      <c r="S2823" s="3" t="n">
        <v>0.0928</v>
      </c>
      <c r="T2823" s="3" t="n">
        <v>0.0084</v>
      </c>
    </row>
    <row r="2824" customFormat="false" ht="15" hidden="false" customHeight="true" outlineLevel="0" collapsed="false">
      <c r="A2824" s="3" t="s">
        <v>3913</v>
      </c>
      <c r="B2824" s="3" t="s">
        <v>3914</v>
      </c>
      <c r="C2824" s="3" t="s">
        <v>60</v>
      </c>
      <c r="D2824" s="3" t="s">
        <v>97</v>
      </c>
      <c r="E2824" s="3" t="s">
        <v>48</v>
      </c>
      <c r="F2824" s="3" t="s">
        <v>40</v>
      </c>
      <c r="G2824" s="3" t="s">
        <v>116</v>
      </c>
      <c r="H2824" s="3" t="s">
        <v>56</v>
      </c>
      <c r="I2824" s="3" t="s">
        <v>121</v>
      </c>
      <c r="J2824" s="3" t="n">
        <v>7</v>
      </c>
      <c r="K2824" s="3" t="n">
        <v>9081.95</v>
      </c>
      <c r="L2824" s="3" t="n">
        <v>63573.65</v>
      </c>
      <c r="M2824" s="3" t="n">
        <v>0.1123</v>
      </c>
      <c r="N2824" s="3" t="n">
        <v>7139.32</v>
      </c>
      <c r="O2824" s="3" t="n">
        <v>56434.33</v>
      </c>
      <c r="P2824" s="3" t="n">
        <v>38144.19</v>
      </c>
      <c r="Q2824" s="3" t="n">
        <v>18290.14</v>
      </c>
      <c r="R2824" s="3" t="n">
        <v>0.3241</v>
      </c>
      <c r="S2824" s="3" t="n">
        <v>0.1178</v>
      </c>
      <c r="T2824" s="3" t="n">
        <v>-0.0055</v>
      </c>
    </row>
    <row r="2825" customFormat="false" ht="15" hidden="false" customHeight="true" outlineLevel="0" collapsed="false">
      <c r="A2825" s="3" t="s">
        <v>3915</v>
      </c>
      <c r="B2825" s="3" t="s">
        <v>734</v>
      </c>
      <c r="C2825" s="3" t="s">
        <v>53</v>
      </c>
      <c r="D2825" s="3" t="s">
        <v>32</v>
      </c>
      <c r="E2825" s="3" t="s">
        <v>33</v>
      </c>
      <c r="F2825" s="3" t="s">
        <v>25</v>
      </c>
      <c r="G2825" s="3" t="s">
        <v>63</v>
      </c>
      <c r="H2825" s="3" t="s">
        <v>42</v>
      </c>
      <c r="I2825" s="3" t="s">
        <v>43</v>
      </c>
      <c r="J2825" s="3" t="n">
        <v>50</v>
      </c>
      <c r="K2825" s="3" t="n">
        <v>2124.04</v>
      </c>
      <c r="L2825" s="3" t="n">
        <v>106202</v>
      </c>
      <c r="M2825" s="3" t="n">
        <v>0.0884</v>
      </c>
      <c r="N2825" s="3" t="n">
        <v>9388.26</v>
      </c>
      <c r="O2825" s="3" t="n">
        <v>96813.74</v>
      </c>
      <c r="P2825" s="3" t="n">
        <v>58411.1</v>
      </c>
      <c r="Q2825" s="3" t="n">
        <v>38402.64</v>
      </c>
      <c r="R2825" s="3" t="n">
        <v>0.3967</v>
      </c>
      <c r="S2825" s="3" t="n">
        <v>0.0864</v>
      </c>
      <c r="T2825" s="3" t="n">
        <v>0.002</v>
      </c>
    </row>
    <row r="2826" customFormat="false" ht="15" hidden="false" customHeight="true" outlineLevel="0" collapsed="false">
      <c r="A2826" s="3" t="s">
        <v>3916</v>
      </c>
      <c r="B2826" s="3" t="s">
        <v>1219</v>
      </c>
      <c r="C2826" s="3" t="s">
        <v>156</v>
      </c>
      <c r="D2826" s="3" t="s">
        <v>47</v>
      </c>
      <c r="E2826" s="3" t="s">
        <v>48</v>
      </c>
      <c r="F2826" s="3" t="s">
        <v>25</v>
      </c>
      <c r="G2826" s="3" t="s">
        <v>34</v>
      </c>
      <c r="H2826" s="3" t="s">
        <v>77</v>
      </c>
      <c r="I2826" s="3" t="s">
        <v>85</v>
      </c>
      <c r="J2826" s="3" t="n">
        <v>1</v>
      </c>
      <c r="K2826" s="3" t="n">
        <v>3479.23</v>
      </c>
      <c r="L2826" s="3" t="n">
        <v>3479.23</v>
      </c>
      <c r="M2826" s="3" t="n">
        <v>0.2215</v>
      </c>
      <c r="N2826" s="3" t="n">
        <v>770.65</v>
      </c>
      <c r="O2826" s="3" t="n">
        <v>2708.58</v>
      </c>
      <c r="P2826" s="3" t="n">
        <v>2365.88</v>
      </c>
      <c r="Q2826" s="3" t="n">
        <v>342.7</v>
      </c>
      <c r="R2826" s="3" t="n">
        <v>0.1265</v>
      </c>
      <c r="S2826" s="3" t="n">
        <v>0.2417</v>
      </c>
      <c r="T2826" s="3" t="n">
        <v>-0.0202</v>
      </c>
    </row>
    <row r="2827" customFormat="false" ht="15" hidden="false" customHeight="true" outlineLevel="0" collapsed="false">
      <c r="A2827" s="3" t="s">
        <v>3917</v>
      </c>
      <c r="B2827" s="3" t="s">
        <v>2318</v>
      </c>
      <c r="C2827" s="3" t="s">
        <v>46</v>
      </c>
      <c r="D2827" s="3" t="s">
        <v>61</v>
      </c>
      <c r="E2827" s="3" t="s">
        <v>33</v>
      </c>
      <c r="F2827" s="3" t="s">
        <v>62</v>
      </c>
      <c r="G2827" s="3" t="s">
        <v>100</v>
      </c>
      <c r="H2827" s="3" t="s">
        <v>64</v>
      </c>
      <c r="I2827" s="3" t="s">
        <v>108</v>
      </c>
      <c r="J2827" s="3" t="n">
        <v>35</v>
      </c>
      <c r="K2827" s="3" t="n">
        <v>3406.42</v>
      </c>
      <c r="L2827" s="3" t="n">
        <v>119224.7</v>
      </c>
      <c r="M2827" s="3" t="n">
        <v>0.069</v>
      </c>
      <c r="N2827" s="3" t="n">
        <v>8226.5</v>
      </c>
      <c r="O2827" s="3" t="n">
        <v>110998.2</v>
      </c>
      <c r="P2827" s="3" t="n">
        <v>69150.33</v>
      </c>
      <c r="Q2827" s="3" t="n">
        <v>41847.87</v>
      </c>
      <c r="R2827" s="3" t="n">
        <v>0.377</v>
      </c>
      <c r="S2827" s="3" t="n">
        <v>0.0554</v>
      </c>
      <c r="T2827" s="3" t="n">
        <v>0.0136</v>
      </c>
    </row>
    <row r="2828" customFormat="false" ht="15" hidden="false" customHeight="true" outlineLevel="0" collapsed="false">
      <c r="A2828" s="3" t="s">
        <v>3918</v>
      </c>
      <c r="B2828" s="3" t="s">
        <v>406</v>
      </c>
      <c r="C2828" s="3" t="s">
        <v>46</v>
      </c>
      <c r="D2828" s="3" t="s">
        <v>75</v>
      </c>
      <c r="E2828" s="3" t="s">
        <v>39</v>
      </c>
      <c r="F2828" s="3" t="s">
        <v>25</v>
      </c>
      <c r="G2828" s="3" t="s">
        <v>116</v>
      </c>
      <c r="H2828" s="3" t="s">
        <v>27</v>
      </c>
      <c r="I2828" s="3" t="s">
        <v>173</v>
      </c>
      <c r="J2828" s="3" t="n">
        <v>4</v>
      </c>
      <c r="K2828" s="3" t="n">
        <v>29485.58</v>
      </c>
      <c r="L2828" s="3" t="n">
        <v>117942.32</v>
      </c>
      <c r="M2828" s="3" t="n">
        <v>0.1242</v>
      </c>
      <c r="N2828" s="3" t="n">
        <v>14648.44</v>
      </c>
      <c r="O2828" s="3" t="n">
        <v>103293.88</v>
      </c>
      <c r="P2828" s="3" t="n">
        <v>73124.24</v>
      </c>
      <c r="Q2828" s="3" t="n">
        <v>30169.64</v>
      </c>
      <c r="R2828" s="3" t="n">
        <v>0.2921</v>
      </c>
      <c r="S2828" s="3" t="n">
        <v>0.1224</v>
      </c>
      <c r="T2828" s="3" t="n">
        <v>0.0018</v>
      </c>
    </row>
    <row r="2829" customFormat="false" ht="15" hidden="false" customHeight="true" outlineLevel="0" collapsed="false">
      <c r="A2829" s="3" t="s">
        <v>3919</v>
      </c>
      <c r="B2829" s="3" t="s">
        <v>1566</v>
      </c>
      <c r="C2829" s="3" t="s">
        <v>37</v>
      </c>
      <c r="D2829" s="3" t="s">
        <v>83</v>
      </c>
      <c r="E2829" s="3" t="s">
        <v>48</v>
      </c>
      <c r="F2829" s="3" t="s">
        <v>62</v>
      </c>
      <c r="G2829" s="3" t="s">
        <v>116</v>
      </c>
      <c r="H2829" s="3" t="s">
        <v>56</v>
      </c>
      <c r="I2829" s="3" t="s">
        <v>57</v>
      </c>
      <c r="J2829" s="3" t="n">
        <v>1</v>
      </c>
      <c r="K2829" s="3" t="n">
        <v>11659.25</v>
      </c>
      <c r="L2829" s="3" t="n">
        <v>11659.25</v>
      </c>
      <c r="M2829" s="3" t="n">
        <v>0.0538</v>
      </c>
      <c r="N2829" s="3" t="n">
        <v>627.27</v>
      </c>
      <c r="O2829" s="3" t="n">
        <v>11031.98</v>
      </c>
      <c r="P2829" s="3" t="n">
        <v>6995.55</v>
      </c>
      <c r="Q2829" s="3" t="n">
        <v>4036.43</v>
      </c>
      <c r="R2829" s="3" t="n">
        <v>0.3659</v>
      </c>
      <c r="S2829" s="3" t="n">
        <v>0.05</v>
      </c>
      <c r="T2829" s="3" t="n">
        <v>0.0038</v>
      </c>
    </row>
    <row r="2830" customFormat="false" ht="15" hidden="false" customHeight="true" outlineLevel="0" collapsed="false">
      <c r="A2830" s="3" t="s">
        <v>3920</v>
      </c>
      <c r="B2830" s="3" t="s">
        <v>2953</v>
      </c>
      <c r="C2830" s="3" t="s">
        <v>22</v>
      </c>
      <c r="D2830" s="3" t="s">
        <v>47</v>
      </c>
      <c r="E2830" s="3" t="s">
        <v>48</v>
      </c>
      <c r="F2830" s="3" t="s">
        <v>25</v>
      </c>
      <c r="G2830" s="3" t="s">
        <v>49</v>
      </c>
      <c r="H2830" s="3" t="s">
        <v>64</v>
      </c>
      <c r="I2830" s="3" t="s">
        <v>108</v>
      </c>
      <c r="J2830" s="3" t="n">
        <v>46</v>
      </c>
      <c r="K2830" s="3" t="n">
        <v>6389.16</v>
      </c>
      <c r="L2830" s="3" t="n">
        <v>293901.36</v>
      </c>
      <c r="M2830" s="3" t="n">
        <v>0.1599</v>
      </c>
      <c r="N2830" s="3" t="n">
        <v>46994.83</v>
      </c>
      <c r="O2830" s="3" t="n">
        <v>246906.53</v>
      </c>
      <c r="P2830" s="3" t="n">
        <v>170462.79</v>
      </c>
      <c r="Q2830" s="3" t="n">
        <v>76443.74</v>
      </c>
      <c r="R2830" s="3" t="n">
        <v>0.3096</v>
      </c>
      <c r="S2830" s="3" t="n">
        <v>0.1525</v>
      </c>
      <c r="T2830" s="3" t="n">
        <v>0.0074</v>
      </c>
    </row>
    <row r="2831" customFormat="false" ht="15" hidden="false" customHeight="true" outlineLevel="0" collapsed="false">
      <c r="A2831" s="3" t="s">
        <v>3921</v>
      </c>
      <c r="B2831" s="3" t="s">
        <v>1653</v>
      </c>
      <c r="C2831" s="3" t="s">
        <v>60</v>
      </c>
      <c r="D2831" s="3" t="s">
        <v>103</v>
      </c>
      <c r="E2831" s="3" t="s">
        <v>24</v>
      </c>
      <c r="F2831" s="3" t="s">
        <v>62</v>
      </c>
      <c r="G2831" s="3" t="s">
        <v>76</v>
      </c>
      <c r="H2831" s="3" t="s">
        <v>42</v>
      </c>
      <c r="I2831" s="3" t="s">
        <v>72</v>
      </c>
      <c r="J2831" s="3" t="n">
        <v>29</v>
      </c>
      <c r="K2831" s="3" t="n">
        <v>508.6</v>
      </c>
      <c r="L2831" s="3" t="n">
        <v>14749.4</v>
      </c>
      <c r="M2831" s="3" t="n">
        <v>0.059</v>
      </c>
      <c r="N2831" s="3" t="n">
        <v>870.21</v>
      </c>
      <c r="O2831" s="3" t="n">
        <v>13879.19</v>
      </c>
      <c r="P2831" s="3" t="n">
        <v>8112.17</v>
      </c>
      <c r="Q2831" s="3" t="n">
        <v>5767.02</v>
      </c>
      <c r="R2831" s="3" t="n">
        <v>0.4155</v>
      </c>
      <c r="S2831" s="3" t="n">
        <v>0.0512</v>
      </c>
      <c r="T2831" s="3" t="n">
        <v>0.0078</v>
      </c>
    </row>
    <row r="2832" customFormat="false" ht="15" hidden="false" customHeight="true" outlineLevel="0" collapsed="false">
      <c r="A2832" s="3" t="s">
        <v>3922</v>
      </c>
      <c r="B2832" s="3" t="s">
        <v>2003</v>
      </c>
      <c r="C2832" s="3" t="s">
        <v>93</v>
      </c>
      <c r="D2832" s="3" t="s">
        <v>54</v>
      </c>
      <c r="E2832" s="3" t="s">
        <v>24</v>
      </c>
      <c r="F2832" s="3" t="s">
        <v>40</v>
      </c>
      <c r="G2832" s="3" t="s">
        <v>34</v>
      </c>
      <c r="H2832" s="3" t="s">
        <v>42</v>
      </c>
      <c r="I2832" s="3" t="s">
        <v>72</v>
      </c>
      <c r="J2832" s="3" t="n">
        <v>15</v>
      </c>
      <c r="K2832" s="3" t="n">
        <v>978.51</v>
      </c>
      <c r="L2832" s="3" t="n">
        <v>14677.65</v>
      </c>
      <c r="M2832" s="3" t="n">
        <v>0.0695</v>
      </c>
      <c r="N2832" s="3" t="n">
        <v>1020.1</v>
      </c>
      <c r="O2832" s="3" t="n">
        <v>13657.55</v>
      </c>
      <c r="P2832" s="3" t="n">
        <v>8072.71</v>
      </c>
      <c r="Q2832" s="3" t="n">
        <v>5584.84</v>
      </c>
      <c r="R2832" s="3" t="n">
        <v>0.4089</v>
      </c>
      <c r="S2832" s="3" t="n">
        <v>0.0653</v>
      </c>
      <c r="T2832" s="3" t="n">
        <v>0.0042</v>
      </c>
    </row>
    <row r="2833" customFormat="false" ht="15" hidden="false" customHeight="true" outlineLevel="0" collapsed="false">
      <c r="A2833" s="3" t="s">
        <v>3923</v>
      </c>
      <c r="B2833" s="3" t="s">
        <v>459</v>
      </c>
      <c r="C2833" s="3" t="s">
        <v>53</v>
      </c>
      <c r="D2833" s="3" t="s">
        <v>107</v>
      </c>
      <c r="E2833" s="3" t="s">
        <v>33</v>
      </c>
      <c r="F2833" s="3" t="s">
        <v>70</v>
      </c>
      <c r="G2833" s="3" t="s">
        <v>49</v>
      </c>
      <c r="H2833" s="3" t="s">
        <v>27</v>
      </c>
      <c r="I2833" s="3" t="s">
        <v>50</v>
      </c>
      <c r="J2833" s="3" t="n">
        <v>29</v>
      </c>
      <c r="K2833" s="3" t="n">
        <v>20059.02</v>
      </c>
      <c r="L2833" s="3" t="n">
        <v>581711.58</v>
      </c>
      <c r="M2833" s="3" t="n">
        <v>0.0667</v>
      </c>
      <c r="N2833" s="3" t="n">
        <v>38800.16</v>
      </c>
      <c r="O2833" s="3" t="n">
        <v>542911.42</v>
      </c>
      <c r="P2833" s="3" t="n">
        <v>360661.18</v>
      </c>
      <c r="Q2833" s="3" t="n">
        <v>182250.24</v>
      </c>
      <c r="R2833" s="3" t="n">
        <v>0.3357</v>
      </c>
      <c r="S2833" s="3" t="n">
        <v>0.0622</v>
      </c>
      <c r="T2833" s="3" t="n">
        <v>0.0045</v>
      </c>
    </row>
    <row r="2834" customFormat="false" ht="15" hidden="false" customHeight="true" outlineLevel="0" collapsed="false">
      <c r="A2834" s="3" t="s">
        <v>3924</v>
      </c>
      <c r="B2834" s="3" t="s">
        <v>3925</v>
      </c>
      <c r="C2834" s="3" t="s">
        <v>120</v>
      </c>
      <c r="D2834" s="3" t="s">
        <v>97</v>
      </c>
      <c r="E2834" s="3" t="s">
        <v>48</v>
      </c>
      <c r="F2834" s="3" t="s">
        <v>40</v>
      </c>
      <c r="G2834" s="3" t="s">
        <v>76</v>
      </c>
      <c r="H2834" s="3" t="s">
        <v>27</v>
      </c>
      <c r="I2834" s="3" t="s">
        <v>94</v>
      </c>
      <c r="J2834" s="3" t="n">
        <v>23</v>
      </c>
      <c r="K2834" s="3" t="n">
        <v>38239.39</v>
      </c>
      <c r="L2834" s="3" t="n">
        <v>879505.97</v>
      </c>
      <c r="M2834" s="3" t="n">
        <v>0.0398</v>
      </c>
      <c r="N2834" s="3" t="n">
        <v>35004.34</v>
      </c>
      <c r="O2834" s="3" t="n">
        <v>844501.63</v>
      </c>
      <c r="P2834" s="3" t="n">
        <v>545293.7</v>
      </c>
      <c r="Q2834" s="3" t="n">
        <v>299207.93</v>
      </c>
      <c r="R2834" s="3" t="n">
        <v>0.3543</v>
      </c>
      <c r="S2834" s="3" t="n">
        <v>0.0428</v>
      </c>
      <c r="T2834" s="3" t="n">
        <v>-0.003</v>
      </c>
    </row>
    <row r="2835" customFormat="false" ht="15" hidden="false" customHeight="true" outlineLevel="0" collapsed="false">
      <c r="A2835" s="3" t="s">
        <v>3926</v>
      </c>
      <c r="B2835" s="3" t="s">
        <v>1021</v>
      </c>
      <c r="C2835" s="3" t="s">
        <v>60</v>
      </c>
      <c r="D2835" s="3" t="s">
        <v>23</v>
      </c>
      <c r="E2835" s="3" t="s">
        <v>24</v>
      </c>
      <c r="F2835" s="3" t="s">
        <v>25</v>
      </c>
      <c r="G2835" s="3" t="s">
        <v>63</v>
      </c>
      <c r="H2835" s="3" t="s">
        <v>77</v>
      </c>
      <c r="I2835" s="3" t="s">
        <v>78</v>
      </c>
      <c r="J2835" s="3" t="n">
        <v>46</v>
      </c>
      <c r="K2835" s="3" t="n">
        <v>5852.14</v>
      </c>
      <c r="L2835" s="3" t="n">
        <v>269198.44</v>
      </c>
      <c r="M2835" s="3" t="n">
        <v>0.0961</v>
      </c>
      <c r="N2835" s="3" t="n">
        <v>25869.97</v>
      </c>
      <c r="O2835" s="3" t="n">
        <v>243328.47</v>
      </c>
      <c r="P2835" s="3" t="n">
        <v>183054.94</v>
      </c>
      <c r="Q2835" s="3" t="n">
        <v>60273.53</v>
      </c>
      <c r="R2835" s="3" t="n">
        <v>0.2477</v>
      </c>
      <c r="S2835" s="3" t="n">
        <v>0.0958</v>
      </c>
      <c r="T2835" s="3" t="n">
        <v>0.0003</v>
      </c>
    </row>
    <row r="2836" customFormat="false" ht="15" hidden="false" customHeight="true" outlineLevel="0" collapsed="false">
      <c r="A2836" s="3" t="s">
        <v>3927</v>
      </c>
      <c r="B2836" s="3" t="s">
        <v>2330</v>
      </c>
      <c r="C2836" s="3" t="s">
        <v>37</v>
      </c>
      <c r="D2836" s="3" t="s">
        <v>23</v>
      </c>
      <c r="E2836" s="3" t="s">
        <v>24</v>
      </c>
      <c r="F2836" s="3" t="s">
        <v>25</v>
      </c>
      <c r="G2836" s="3" t="s">
        <v>41</v>
      </c>
      <c r="H2836" s="3" t="s">
        <v>77</v>
      </c>
      <c r="I2836" s="3" t="s">
        <v>131</v>
      </c>
      <c r="J2836" s="3" t="n">
        <v>37</v>
      </c>
      <c r="K2836" s="3" t="n">
        <v>1327.21</v>
      </c>
      <c r="L2836" s="3" t="n">
        <v>49106.77</v>
      </c>
      <c r="M2836" s="3" t="n">
        <v>0.1329</v>
      </c>
      <c r="N2836" s="3" t="n">
        <v>6526.29</v>
      </c>
      <c r="O2836" s="3" t="n">
        <v>42580.48</v>
      </c>
      <c r="P2836" s="3" t="n">
        <v>33392.6</v>
      </c>
      <c r="Q2836" s="3" t="n">
        <v>9187.88</v>
      </c>
      <c r="R2836" s="3" t="n">
        <v>0.2158</v>
      </c>
      <c r="S2836" s="3" t="n">
        <v>0.1254</v>
      </c>
      <c r="T2836" s="3" t="n">
        <v>0.0075</v>
      </c>
    </row>
    <row r="2837" customFormat="false" ht="15" hidden="false" customHeight="true" outlineLevel="0" collapsed="false">
      <c r="A2837" s="3" t="s">
        <v>3928</v>
      </c>
      <c r="B2837" s="3" t="s">
        <v>642</v>
      </c>
      <c r="C2837" s="3" t="s">
        <v>120</v>
      </c>
      <c r="D2837" s="3" t="s">
        <v>32</v>
      </c>
      <c r="E2837" s="3" t="s">
        <v>33</v>
      </c>
      <c r="F2837" s="3" t="s">
        <v>25</v>
      </c>
      <c r="G2837" s="3" t="s">
        <v>116</v>
      </c>
      <c r="H2837" s="3" t="s">
        <v>77</v>
      </c>
      <c r="I2837" s="3" t="s">
        <v>85</v>
      </c>
      <c r="J2837" s="3" t="n">
        <v>40</v>
      </c>
      <c r="K2837" s="3" t="n">
        <v>5026.34</v>
      </c>
      <c r="L2837" s="3" t="n">
        <v>201053.6</v>
      </c>
      <c r="M2837" s="3" t="n">
        <v>0.1063</v>
      </c>
      <c r="N2837" s="3" t="n">
        <v>21372</v>
      </c>
      <c r="O2837" s="3" t="n">
        <v>179681.6</v>
      </c>
      <c r="P2837" s="3" t="n">
        <v>136716.45</v>
      </c>
      <c r="Q2837" s="3" t="n">
        <v>42965.15</v>
      </c>
      <c r="R2837" s="3" t="n">
        <v>0.2391</v>
      </c>
      <c r="S2837" s="3" t="n">
        <v>0.0975</v>
      </c>
      <c r="T2837" s="3" t="n">
        <v>0.0088</v>
      </c>
    </row>
    <row r="2838" customFormat="false" ht="15" hidden="false" customHeight="true" outlineLevel="0" collapsed="false">
      <c r="A2838" s="3" t="s">
        <v>3929</v>
      </c>
      <c r="B2838" s="3" t="s">
        <v>1307</v>
      </c>
      <c r="C2838" s="3" t="s">
        <v>113</v>
      </c>
      <c r="D2838" s="3" t="s">
        <v>23</v>
      </c>
      <c r="E2838" s="3" t="s">
        <v>24</v>
      </c>
      <c r="F2838" s="3" t="s">
        <v>25</v>
      </c>
      <c r="G2838" s="3" t="s">
        <v>84</v>
      </c>
      <c r="H2838" s="3" t="s">
        <v>56</v>
      </c>
      <c r="I2838" s="3" t="s">
        <v>121</v>
      </c>
      <c r="J2838" s="3" t="n">
        <v>41</v>
      </c>
      <c r="K2838" s="3" t="n">
        <v>2384.65</v>
      </c>
      <c r="L2838" s="3" t="n">
        <v>97770.65</v>
      </c>
      <c r="M2838" s="3" t="n">
        <v>0.1619</v>
      </c>
      <c r="N2838" s="3" t="n">
        <v>15829.07</v>
      </c>
      <c r="O2838" s="3" t="n">
        <v>81941.58</v>
      </c>
      <c r="P2838" s="3" t="n">
        <v>58662.39</v>
      </c>
      <c r="Q2838" s="3" t="n">
        <v>23279.19</v>
      </c>
      <c r="R2838" s="3" t="n">
        <v>0.2841</v>
      </c>
      <c r="S2838" s="3" t="n">
        <v>0.1458</v>
      </c>
      <c r="T2838" s="3" t="n">
        <v>0.0161</v>
      </c>
    </row>
    <row r="2839" customFormat="false" ht="15" hidden="false" customHeight="true" outlineLevel="0" collapsed="false">
      <c r="A2839" s="3" t="s">
        <v>3930</v>
      </c>
      <c r="B2839" s="3" t="s">
        <v>2040</v>
      </c>
      <c r="C2839" s="3" t="s">
        <v>60</v>
      </c>
      <c r="D2839" s="3" t="s">
        <v>75</v>
      </c>
      <c r="E2839" s="3" t="s">
        <v>39</v>
      </c>
      <c r="F2839" s="3" t="s">
        <v>25</v>
      </c>
      <c r="G2839" s="3" t="s">
        <v>71</v>
      </c>
      <c r="H2839" s="3" t="s">
        <v>64</v>
      </c>
      <c r="I2839" s="3" t="s">
        <v>108</v>
      </c>
      <c r="J2839" s="3" t="n">
        <v>35</v>
      </c>
      <c r="K2839" s="3" t="n">
        <v>7376.65</v>
      </c>
      <c r="L2839" s="3" t="n">
        <v>258182.75</v>
      </c>
      <c r="M2839" s="3" t="n">
        <v>0.1002</v>
      </c>
      <c r="N2839" s="3" t="n">
        <v>25869.91</v>
      </c>
      <c r="O2839" s="3" t="n">
        <v>232312.84</v>
      </c>
      <c r="P2839" s="3" t="n">
        <v>149745.99</v>
      </c>
      <c r="Q2839" s="3" t="n">
        <v>82566.85</v>
      </c>
      <c r="R2839" s="3" t="n">
        <v>0.3554</v>
      </c>
      <c r="S2839" s="3" t="n">
        <v>0.0915</v>
      </c>
      <c r="T2839" s="3" t="n">
        <v>0.0087</v>
      </c>
    </row>
    <row r="2840" customFormat="false" ht="15" hidden="false" customHeight="true" outlineLevel="0" collapsed="false">
      <c r="A2840" s="3" t="s">
        <v>3931</v>
      </c>
      <c r="B2840" s="3" t="s">
        <v>2967</v>
      </c>
      <c r="C2840" s="3" t="s">
        <v>22</v>
      </c>
      <c r="D2840" s="3" t="s">
        <v>23</v>
      </c>
      <c r="E2840" s="3" t="s">
        <v>24</v>
      </c>
      <c r="F2840" s="3" t="s">
        <v>25</v>
      </c>
      <c r="G2840" s="3" t="s">
        <v>76</v>
      </c>
      <c r="H2840" s="3" t="s">
        <v>56</v>
      </c>
      <c r="I2840" s="3" t="s">
        <v>121</v>
      </c>
      <c r="J2840" s="3" t="n">
        <v>24</v>
      </c>
      <c r="K2840" s="3" t="n">
        <v>12353.94</v>
      </c>
      <c r="L2840" s="3" t="n">
        <v>296494.56</v>
      </c>
      <c r="M2840" s="3" t="n">
        <v>0.1636</v>
      </c>
      <c r="N2840" s="3" t="n">
        <v>48506.51</v>
      </c>
      <c r="O2840" s="3" t="n">
        <v>247988.05</v>
      </c>
      <c r="P2840" s="3" t="n">
        <v>177896.74</v>
      </c>
      <c r="Q2840" s="3" t="n">
        <v>70091.31</v>
      </c>
      <c r="R2840" s="3" t="n">
        <v>0.2826</v>
      </c>
      <c r="S2840" s="3" t="n">
        <v>0.135</v>
      </c>
      <c r="T2840" s="3" t="n">
        <v>0.0286</v>
      </c>
    </row>
    <row r="2841" customFormat="false" ht="15" hidden="false" customHeight="true" outlineLevel="0" collapsed="false">
      <c r="A2841" s="3" t="s">
        <v>3932</v>
      </c>
      <c r="B2841" s="3" t="s">
        <v>2613</v>
      </c>
      <c r="C2841" s="3" t="s">
        <v>53</v>
      </c>
      <c r="D2841" s="3" t="s">
        <v>75</v>
      </c>
      <c r="E2841" s="3" t="s">
        <v>39</v>
      </c>
      <c r="F2841" s="3" t="s">
        <v>25</v>
      </c>
      <c r="G2841" s="3" t="s">
        <v>34</v>
      </c>
      <c r="H2841" s="3" t="s">
        <v>56</v>
      </c>
      <c r="I2841" s="3" t="s">
        <v>57</v>
      </c>
      <c r="J2841" s="3" t="n">
        <v>2</v>
      </c>
      <c r="K2841" s="3" t="n">
        <v>2345.18</v>
      </c>
      <c r="L2841" s="3" t="n">
        <v>4690.36</v>
      </c>
      <c r="M2841" s="3" t="n">
        <v>0.1897</v>
      </c>
      <c r="N2841" s="3" t="n">
        <v>889.76</v>
      </c>
      <c r="O2841" s="3" t="n">
        <v>3800.6</v>
      </c>
      <c r="P2841" s="3" t="n">
        <v>2814.22</v>
      </c>
      <c r="Q2841" s="3" t="n">
        <v>986.38</v>
      </c>
      <c r="R2841" s="3" t="n">
        <v>0.2595</v>
      </c>
      <c r="S2841" s="3" t="n">
        <v>0.1842</v>
      </c>
      <c r="T2841" s="3" t="n">
        <v>0.0055</v>
      </c>
    </row>
    <row r="2842" customFormat="false" ht="15" hidden="false" customHeight="true" outlineLevel="0" collapsed="false">
      <c r="A2842" s="3" t="s">
        <v>3933</v>
      </c>
      <c r="B2842" s="3" t="s">
        <v>1954</v>
      </c>
      <c r="C2842" s="3" t="s">
        <v>53</v>
      </c>
      <c r="D2842" s="3" t="s">
        <v>107</v>
      </c>
      <c r="E2842" s="3" t="s">
        <v>33</v>
      </c>
      <c r="F2842" s="3" t="s">
        <v>70</v>
      </c>
      <c r="G2842" s="3" t="s">
        <v>41</v>
      </c>
      <c r="H2842" s="3" t="s">
        <v>56</v>
      </c>
      <c r="I2842" s="3" t="s">
        <v>121</v>
      </c>
      <c r="J2842" s="3" t="n">
        <v>45</v>
      </c>
      <c r="K2842" s="3" t="n">
        <v>15979.22</v>
      </c>
      <c r="L2842" s="3" t="n">
        <v>719064.9</v>
      </c>
      <c r="M2842" s="3" t="n">
        <v>0.0932</v>
      </c>
      <c r="N2842" s="3" t="n">
        <v>67016.85</v>
      </c>
      <c r="O2842" s="3" t="n">
        <v>652048.05</v>
      </c>
      <c r="P2842" s="3" t="n">
        <v>431438.94</v>
      </c>
      <c r="Q2842" s="3" t="n">
        <v>220609.11</v>
      </c>
      <c r="R2842" s="3" t="n">
        <v>0.3383</v>
      </c>
      <c r="S2842" s="3" t="n">
        <v>0.0867</v>
      </c>
      <c r="T2842" s="3" t="n">
        <v>0.0065</v>
      </c>
    </row>
    <row r="2843" customFormat="false" ht="15" hidden="false" customHeight="true" outlineLevel="0" collapsed="false">
      <c r="A2843" s="3" t="s">
        <v>3934</v>
      </c>
      <c r="B2843" s="3" t="s">
        <v>1868</v>
      </c>
      <c r="C2843" s="3" t="s">
        <v>53</v>
      </c>
      <c r="D2843" s="3" t="s">
        <v>38</v>
      </c>
      <c r="E2843" s="3" t="s">
        <v>39</v>
      </c>
      <c r="F2843" s="3" t="s">
        <v>40</v>
      </c>
      <c r="G2843" s="3" t="s">
        <v>63</v>
      </c>
      <c r="H2843" s="3" t="s">
        <v>56</v>
      </c>
      <c r="I2843" s="3" t="s">
        <v>57</v>
      </c>
      <c r="J2843" s="3" t="n">
        <v>9</v>
      </c>
      <c r="K2843" s="3" t="n">
        <v>11801.69</v>
      </c>
      <c r="L2843" s="3" t="n">
        <v>106215.21</v>
      </c>
      <c r="M2843" s="3" t="n">
        <v>0.0785</v>
      </c>
      <c r="N2843" s="3" t="n">
        <v>8337.89</v>
      </c>
      <c r="O2843" s="3" t="n">
        <v>97877.32</v>
      </c>
      <c r="P2843" s="3" t="n">
        <v>63729.13</v>
      </c>
      <c r="Q2843" s="3" t="n">
        <v>34148.19</v>
      </c>
      <c r="R2843" s="3" t="n">
        <v>0.3489</v>
      </c>
      <c r="S2843" s="3" t="n">
        <v>0.0653</v>
      </c>
      <c r="T2843" s="3" t="n">
        <v>0.0132</v>
      </c>
    </row>
    <row r="2844" customFormat="false" ht="15" hidden="false" customHeight="true" outlineLevel="0" collapsed="false">
      <c r="A2844" s="3" t="s">
        <v>3935</v>
      </c>
      <c r="B2844" s="3" t="s">
        <v>219</v>
      </c>
      <c r="C2844" s="3" t="s">
        <v>37</v>
      </c>
      <c r="D2844" s="3" t="s">
        <v>23</v>
      </c>
      <c r="E2844" s="3" t="s">
        <v>24</v>
      </c>
      <c r="F2844" s="3" t="s">
        <v>25</v>
      </c>
      <c r="G2844" s="3" t="s">
        <v>71</v>
      </c>
      <c r="H2844" s="3" t="s">
        <v>56</v>
      </c>
      <c r="I2844" s="3" t="s">
        <v>188</v>
      </c>
      <c r="J2844" s="3" t="n">
        <v>22</v>
      </c>
      <c r="K2844" s="3" t="n">
        <v>9950.92</v>
      </c>
      <c r="L2844" s="3" t="n">
        <v>218920.24</v>
      </c>
      <c r="M2844" s="3" t="n">
        <v>0.1691</v>
      </c>
      <c r="N2844" s="3" t="n">
        <v>37019.41</v>
      </c>
      <c r="O2844" s="3" t="n">
        <v>181900.83</v>
      </c>
      <c r="P2844" s="3" t="n">
        <v>131352.14</v>
      </c>
      <c r="Q2844" s="3" t="n">
        <v>50548.69</v>
      </c>
      <c r="R2844" s="3" t="n">
        <v>0.2779</v>
      </c>
      <c r="S2844" s="3" t="n">
        <v>0.1807</v>
      </c>
      <c r="T2844" s="3" t="n">
        <v>-0.0116</v>
      </c>
    </row>
    <row r="2845" customFormat="false" ht="15" hidden="false" customHeight="true" outlineLevel="0" collapsed="false">
      <c r="A2845" s="3" t="s">
        <v>3936</v>
      </c>
      <c r="B2845" s="3" t="s">
        <v>2097</v>
      </c>
      <c r="C2845" s="3" t="s">
        <v>46</v>
      </c>
      <c r="D2845" s="3" t="s">
        <v>107</v>
      </c>
      <c r="E2845" s="3" t="s">
        <v>33</v>
      </c>
      <c r="F2845" s="3" t="s">
        <v>70</v>
      </c>
      <c r="G2845" s="3" t="s">
        <v>116</v>
      </c>
      <c r="H2845" s="3" t="s">
        <v>64</v>
      </c>
      <c r="I2845" s="3" t="s">
        <v>65</v>
      </c>
      <c r="J2845" s="3" t="n">
        <v>18</v>
      </c>
      <c r="K2845" s="3" t="n">
        <v>3885.26</v>
      </c>
      <c r="L2845" s="3" t="n">
        <v>69934.68</v>
      </c>
      <c r="M2845" s="3" t="n">
        <v>0.0846</v>
      </c>
      <c r="N2845" s="3" t="n">
        <v>5916.47</v>
      </c>
      <c r="O2845" s="3" t="n">
        <v>64018.21</v>
      </c>
      <c r="P2845" s="3" t="n">
        <v>40562.11</v>
      </c>
      <c r="Q2845" s="3" t="n">
        <v>23456.1</v>
      </c>
      <c r="R2845" s="3" t="n">
        <v>0.3664</v>
      </c>
      <c r="S2845" s="3" t="n">
        <v>0.0881</v>
      </c>
      <c r="T2845" s="3" t="n">
        <v>-0.0035</v>
      </c>
    </row>
    <row r="2846" customFormat="false" ht="15" hidden="false" customHeight="true" outlineLevel="0" collapsed="false">
      <c r="A2846" s="3" t="s">
        <v>3937</v>
      </c>
      <c r="B2846" s="3" t="s">
        <v>233</v>
      </c>
      <c r="C2846" s="3" t="s">
        <v>46</v>
      </c>
      <c r="D2846" s="3" t="s">
        <v>75</v>
      </c>
      <c r="E2846" s="3" t="s">
        <v>39</v>
      </c>
      <c r="F2846" s="3" t="s">
        <v>25</v>
      </c>
      <c r="G2846" s="3" t="s">
        <v>76</v>
      </c>
      <c r="H2846" s="3" t="s">
        <v>77</v>
      </c>
      <c r="I2846" s="3" t="s">
        <v>78</v>
      </c>
      <c r="J2846" s="3" t="n">
        <v>29</v>
      </c>
      <c r="K2846" s="3" t="n">
        <v>2083.15</v>
      </c>
      <c r="L2846" s="3" t="n">
        <v>60411.35</v>
      </c>
      <c r="M2846" s="3" t="n">
        <v>0.1834</v>
      </c>
      <c r="N2846" s="3" t="n">
        <v>11079.44</v>
      </c>
      <c r="O2846" s="3" t="n">
        <v>49331.91</v>
      </c>
      <c r="P2846" s="3" t="n">
        <v>41079.72</v>
      </c>
      <c r="Q2846" s="3" t="n">
        <v>8252.19</v>
      </c>
      <c r="R2846" s="3" t="n">
        <v>0.1673</v>
      </c>
      <c r="S2846" s="3" t="n">
        <v>0.1502</v>
      </c>
      <c r="T2846" s="3" t="n">
        <v>0.0332</v>
      </c>
    </row>
    <row r="2847" customFormat="false" ht="15" hidden="false" customHeight="true" outlineLevel="0" collapsed="false">
      <c r="A2847" s="3" t="s">
        <v>3938</v>
      </c>
      <c r="B2847" s="3" t="s">
        <v>1065</v>
      </c>
      <c r="C2847" s="3" t="s">
        <v>53</v>
      </c>
      <c r="D2847" s="3" t="s">
        <v>75</v>
      </c>
      <c r="E2847" s="3" t="s">
        <v>39</v>
      </c>
      <c r="F2847" s="3" t="s">
        <v>25</v>
      </c>
      <c r="G2847" s="3" t="s">
        <v>76</v>
      </c>
      <c r="H2847" s="3" t="s">
        <v>77</v>
      </c>
      <c r="I2847" s="3" t="s">
        <v>131</v>
      </c>
      <c r="J2847" s="3" t="n">
        <v>23</v>
      </c>
      <c r="K2847" s="3" t="n">
        <v>2716.43</v>
      </c>
      <c r="L2847" s="3" t="n">
        <v>62477.89</v>
      </c>
      <c r="M2847" s="3" t="n">
        <v>0.1457</v>
      </c>
      <c r="N2847" s="3" t="n">
        <v>9103.03</v>
      </c>
      <c r="O2847" s="3" t="n">
        <v>53374.86</v>
      </c>
      <c r="P2847" s="3" t="n">
        <v>42484.97</v>
      </c>
      <c r="Q2847" s="3" t="n">
        <v>10889.89</v>
      </c>
      <c r="R2847" s="3" t="n">
        <v>0.204</v>
      </c>
      <c r="S2847" s="3" t="n">
        <v>0.1379</v>
      </c>
      <c r="T2847" s="3" t="n">
        <v>0.0078</v>
      </c>
    </row>
    <row r="2848" customFormat="false" ht="15" hidden="false" customHeight="true" outlineLevel="0" collapsed="false">
      <c r="A2848" s="3" t="s">
        <v>3939</v>
      </c>
      <c r="B2848" s="3" t="s">
        <v>3940</v>
      </c>
      <c r="C2848" s="3" t="s">
        <v>31</v>
      </c>
      <c r="D2848" s="3" t="s">
        <v>103</v>
      </c>
      <c r="E2848" s="3" t="s">
        <v>24</v>
      </c>
      <c r="F2848" s="3" t="s">
        <v>62</v>
      </c>
      <c r="G2848" s="3" t="s">
        <v>63</v>
      </c>
      <c r="H2848" s="3" t="s">
        <v>77</v>
      </c>
      <c r="I2848" s="3" t="s">
        <v>78</v>
      </c>
      <c r="J2848" s="3" t="n">
        <v>27</v>
      </c>
      <c r="K2848" s="3" t="n">
        <v>4145.26</v>
      </c>
      <c r="L2848" s="3" t="n">
        <v>111922.02</v>
      </c>
      <c r="M2848" s="3" t="n">
        <v>0.043</v>
      </c>
      <c r="N2848" s="3" t="n">
        <v>4812.65</v>
      </c>
      <c r="O2848" s="3" t="n">
        <v>107109.37</v>
      </c>
      <c r="P2848" s="3" t="n">
        <v>76106.97</v>
      </c>
      <c r="Q2848" s="3" t="n">
        <v>31002.4</v>
      </c>
      <c r="R2848" s="3" t="n">
        <v>0.2894</v>
      </c>
      <c r="S2848" s="3" t="n">
        <v>0.041</v>
      </c>
      <c r="T2848" s="3" t="n">
        <v>0.002</v>
      </c>
    </row>
    <row r="2849" customFormat="false" ht="15" hidden="false" customHeight="true" outlineLevel="0" collapsed="false">
      <c r="A2849" s="3" t="s">
        <v>3941</v>
      </c>
      <c r="B2849" s="3" t="s">
        <v>2166</v>
      </c>
      <c r="C2849" s="3" t="s">
        <v>120</v>
      </c>
      <c r="D2849" s="3" t="s">
        <v>38</v>
      </c>
      <c r="E2849" s="3" t="s">
        <v>39</v>
      </c>
      <c r="F2849" s="3" t="s">
        <v>40</v>
      </c>
      <c r="G2849" s="3" t="s">
        <v>41</v>
      </c>
      <c r="H2849" s="3" t="s">
        <v>77</v>
      </c>
      <c r="I2849" s="3" t="s">
        <v>131</v>
      </c>
      <c r="J2849" s="3" t="n">
        <v>37</v>
      </c>
      <c r="K2849" s="3" t="n">
        <v>2537.67</v>
      </c>
      <c r="L2849" s="3" t="n">
        <v>93893.79</v>
      </c>
      <c r="M2849" s="3" t="n">
        <v>0.0791</v>
      </c>
      <c r="N2849" s="3" t="n">
        <v>7427</v>
      </c>
      <c r="O2849" s="3" t="n">
        <v>86466.79</v>
      </c>
      <c r="P2849" s="3" t="n">
        <v>63847.78</v>
      </c>
      <c r="Q2849" s="3" t="n">
        <v>22619.01</v>
      </c>
      <c r="R2849" s="3" t="n">
        <v>0.2616</v>
      </c>
      <c r="S2849" s="3" t="n">
        <v>0.0638</v>
      </c>
      <c r="T2849" s="3" t="n">
        <v>0.0153</v>
      </c>
    </row>
    <row r="2850" customFormat="false" ht="15" hidden="false" customHeight="true" outlineLevel="0" collapsed="false">
      <c r="A2850" s="3" t="s">
        <v>3942</v>
      </c>
      <c r="B2850" s="3" t="s">
        <v>67</v>
      </c>
      <c r="C2850" s="3" t="s">
        <v>68</v>
      </c>
      <c r="D2850" s="3" t="s">
        <v>47</v>
      </c>
      <c r="E2850" s="3" t="s">
        <v>48</v>
      </c>
      <c r="F2850" s="3" t="s">
        <v>25</v>
      </c>
      <c r="G2850" s="3" t="s">
        <v>104</v>
      </c>
      <c r="H2850" s="3" t="s">
        <v>64</v>
      </c>
      <c r="I2850" s="3" t="s">
        <v>145</v>
      </c>
      <c r="J2850" s="3" t="n">
        <v>38</v>
      </c>
      <c r="K2850" s="3" t="n">
        <v>11627.16</v>
      </c>
      <c r="L2850" s="3" t="n">
        <v>441832.08</v>
      </c>
      <c r="M2850" s="3" t="n">
        <v>0.155</v>
      </c>
      <c r="N2850" s="3" t="n">
        <v>68483.97</v>
      </c>
      <c r="O2850" s="3" t="n">
        <v>373348.11</v>
      </c>
      <c r="P2850" s="3" t="n">
        <v>256262.61</v>
      </c>
      <c r="Q2850" s="3" t="n">
        <v>117085.5</v>
      </c>
      <c r="R2850" s="3" t="n">
        <v>0.3136</v>
      </c>
      <c r="S2850" s="3" t="n">
        <v>0.1671</v>
      </c>
      <c r="T2850" s="3" t="n">
        <v>-0.0121</v>
      </c>
    </row>
    <row r="2851" customFormat="false" ht="15" hidden="false" customHeight="true" outlineLevel="0" collapsed="false">
      <c r="A2851" s="3" t="s">
        <v>3943</v>
      </c>
      <c r="B2851" s="3" t="s">
        <v>2808</v>
      </c>
      <c r="C2851" s="3" t="s">
        <v>31</v>
      </c>
      <c r="D2851" s="3" t="s">
        <v>61</v>
      </c>
      <c r="E2851" s="3" t="s">
        <v>33</v>
      </c>
      <c r="F2851" s="3" t="s">
        <v>62</v>
      </c>
      <c r="G2851" s="3" t="s">
        <v>63</v>
      </c>
      <c r="H2851" s="3" t="s">
        <v>64</v>
      </c>
      <c r="I2851" s="3" t="s">
        <v>65</v>
      </c>
      <c r="J2851" s="3" t="n">
        <v>49</v>
      </c>
      <c r="K2851" s="3" t="n">
        <v>9893.24</v>
      </c>
      <c r="L2851" s="3" t="n">
        <v>484768.76</v>
      </c>
      <c r="M2851" s="3" t="n">
        <v>0.0524</v>
      </c>
      <c r="N2851" s="3" t="n">
        <v>25401.88</v>
      </c>
      <c r="O2851" s="3" t="n">
        <v>459366.88</v>
      </c>
      <c r="P2851" s="3" t="n">
        <v>281165.88</v>
      </c>
      <c r="Q2851" s="3" t="n">
        <v>178201</v>
      </c>
      <c r="R2851" s="3" t="n">
        <v>0.3879</v>
      </c>
      <c r="S2851" s="3" t="n">
        <v>0.0531</v>
      </c>
      <c r="T2851" s="3" t="n">
        <v>-0.0007</v>
      </c>
    </row>
    <row r="2852" customFormat="false" ht="15" hidden="false" customHeight="true" outlineLevel="0" collapsed="false">
      <c r="A2852" s="3" t="s">
        <v>3944</v>
      </c>
      <c r="B2852" s="3" t="s">
        <v>356</v>
      </c>
      <c r="C2852" s="3" t="s">
        <v>113</v>
      </c>
      <c r="D2852" s="3" t="s">
        <v>75</v>
      </c>
      <c r="E2852" s="3" t="s">
        <v>39</v>
      </c>
      <c r="F2852" s="3" t="s">
        <v>25</v>
      </c>
      <c r="G2852" s="3" t="s">
        <v>26</v>
      </c>
      <c r="H2852" s="3" t="s">
        <v>56</v>
      </c>
      <c r="I2852" s="3" t="s">
        <v>188</v>
      </c>
      <c r="J2852" s="3" t="n">
        <v>2</v>
      </c>
      <c r="K2852" s="3" t="n">
        <v>7113.23</v>
      </c>
      <c r="L2852" s="3" t="n">
        <v>14226.46</v>
      </c>
      <c r="M2852" s="3" t="n">
        <v>0.1474</v>
      </c>
      <c r="N2852" s="3" t="n">
        <v>2096.98</v>
      </c>
      <c r="O2852" s="3" t="n">
        <v>12129.48</v>
      </c>
      <c r="P2852" s="3" t="n">
        <v>8535.88</v>
      </c>
      <c r="Q2852" s="3" t="n">
        <v>3593.6</v>
      </c>
      <c r="R2852" s="3" t="n">
        <v>0.2963</v>
      </c>
      <c r="S2852" s="3" t="n">
        <v>0.1293</v>
      </c>
      <c r="T2852" s="3" t="n">
        <v>0.0181</v>
      </c>
    </row>
    <row r="2853" customFormat="false" ht="15" hidden="false" customHeight="true" outlineLevel="0" collapsed="false">
      <c r="A2853" s="3" t="s">
        <v>3945</v>
      </c>
      <c r="B2853" s="3" t="s">
        <v>991</v>
      </c>
      <c r="C2853" s="3" t="s">
        <v>46</v>
      </c>
      <c r="D2853" s="3" t="s">
        <v>54</v>
      </c>
      <c r="E2853" s="3" t="s">
        <v>24</v>
      </c>
      <c r="F2853" s="3" t="s">
        <v>40</v>
      </c>
      <c r="G2853" s="3" t="s">
        <v>41</v>
      </c>
      <c r="H2853" s="3" t="s">
        <v>64</v>
      </c>
      <c r="I2853" s="3" t="s">
        <v>65</v>
      </c>
      <c r="J2853" s="3" t="n">
        <v>20</v>
      </c>
      <c r="K2853" s="3" t="n">
        <v>8179.75</v>
      </c>
      <c r="L2853" s="3" t="n">
        <v>163595</v>
      </c>
      <c r="M2853" s="3" t="n">
        <v>0.1032</v>
      </c>
      <c r="N2853" s="3" t="n">
        <v>16883</v>
      </c>
      <c r="O2853" s="3" t="n">
        <v>146712</v>
      </c>
      <c r="P2853" s="3" t="n">
        <v>94885.1</v>
      </c>
      <c r="Q2853" s="3" t="n">
        <v>51826.9</v>
      </c>
      <c r="R2853" s="3" t="n">
        <v>0.3533</v>
      </c>
      <c r="S2853" s="3" t="n">
        <v>0.1104</v>
      </c>
      <c r="T2853" s="3" t="n">
        <v>-0.0072</v>
      </c>
    </row>
    <row r="2854" customFormat="false" ht="15" hidden="false" customHeight="true" outlineLevel="0" collapsed="false">
      <c r="A2854" s="3" t="s">
        <v>3946</v>
      </c>
      <c r="B2854" s="3" t="s">
        <v>1797</v>
      </c>
      <c r="C2854" s="3" t="s">
        <v>156</v>
      </c>
      <c r="D2854" s="3" t="s">
        <v>75</v>
      </c>
      <c r="E2854" s="3" t="s">
        <v>39</v>
      </c>
      <c r="F2854" s="3" t="s">
        <v>25</v>
      </c>
      <c r="G2854" s="3" t="s">
        <v>76</v>
      </c>
      <c r="H2854" s="3" t="s">
        <v>64</v>
      </c>
      <c r="I2854" s="3" t="s">
        <v>108</v>
      </c>
      <c r="J2854" s="3" t="n">
        <v>30</v>
      </c>
      <c r="K2854" s="3" t="n">
        <v>11036.82</v>
      </c>
      <c r="L2854" s="3" t="n">
        <v>331104.6</v>
      </c>
      <c r="M2854" s="3" t="n">
        <v>0.1661</v>
      </c>
      <c r="N2854" s="3" t="n">
        <v>54996.47</v>
      </c>
      <c r="O2854" s="3" t="n">
        <v>276108.13</v>
      </c>
      <c r="P2854" s="3" t="n">
        <v>192040.67</v>
      </c>
      <c r="Q2854" s="3" t="n">
        <v>84067.46</v>
      </c>
      <c r="R2854" s="3" t="n">
        <v>0.3045</v>
      </c>
      <c r="S2854" s="3" t="n">
        <v>0.1471</v>
      </c>
      <c r="T2854" s="3" t="n">
        <v>0.019</v>
      </c>
    </row>
    <row r="2855" customFormat="false" ht="15" hidden="false" customHeight="true" outlineLevel="0" collapsed="false">
      <c r="A2855" s="3" t="s">
        <v>3947</v>
      </c>
      <c r="B2855" s="3" t="s">
        <v>1375</v>
      </c>
      <c r="C2855" s="3" t="s">
        <v>68</v>
      </c>
      <c r="D2855" s="3" t="s">
        <v>103</v>
      </c>
      <c r="E2855" s="3" t="s">
        <v>24</v>
      </c>
      <c r="F2855" s="3" t="s">
        <v>62</v>
      </c>
      <c r="G2855" s="3" t="s">
        <v>55</v>
      </c>
      <c r="H2855" s="3" t="s">
        <v>77</v>
      </c>
      <c r="I2855" s="3" t="s">
        <v>85</v>
      </c>
      <c r="J2855" s="3" t="n">
        <v>9</v>
      </c>
      <c r="K2855" s="3" t="n">
        <v>3425.48</v>
      </c>
      <c r="L2855" s="3" t="n">
        <v>30829.32</v>
      </c>
      <c r="M2855" s="3" t="n">
        <v>0.0487</v>
      </c>
      <c r="N2855" s="3" t="n">
        <v>1501.39</v>
      </c>
      <c r="O2855" s="3" t="n">
        <v>29327.93</v>
      </c>
      <c r="P2855" s="3" t="n">
        <v>20963.94</v>
      </c>
      <c r="Q2855" s="3" t="n">
        <v>8363.99</v>
      </c>
      <c r="R2855" s="3" t="n">
        <v>0.2852</v>
      </c>
      <c r="S2855" s="3" t="n">
        <v>0.0432</v>
      </c>
      <c r="T2855" s="3" t="n">
        <v>0.0055</v>
      </c>
    </row>
    <row r="2856" customFormat="false" ht="15" hidden="false" customHeight="true" outlineLevel="0" collapsed="false">
      <c r="A2856" s="3" t="s">
        <v>3948</v>
      </c>
      <c r="B2856" s="3" t="s">
        <v>1330</v>
      </c>
      <c r="C2856" s="3" t="s">
        <v>60</v>
      </c>
      <c r="D2856" s="3" t="s">
        <v>23</v>
      </c>
      <c r="E2856" s="3" t="s">
        <v>24</v>
      </c>
      <c r="F2856" s="3" t="s">
        <v>25</v>
      </c>
      <c r="G2856" s="3" t="s">
        <v>104</v>
      </c>
      <c r="H2856" s="3" t="s">
        <v>27</v>
      </c>
      <c r="I2856" s="3" t="s">
        <v>173</v>
      </c>
      <c r="J2856" s="3" t="n">
        <v>42</v>
      </c>
      <c r="K2856" s="3" t="n">
        <v>14515.58</v>
      </c>
      <c r="L2856" s="3" t="n">
        <v>609654.36</v>
      </c>
      <c r="M2856" s="3" t="n">
        <v>0.143</v>
      </c>
      <c r="N2856" s="3" t="n">
        <v>87180.57</v>
      </c>
      <c r="O2856" s="3" t="n">
        <v>522473.79</v>
      </c>
      <c r="P2856" s="3" t="n">
        <v>377985.7</v>
      </c>
      <c r="Q2856" s="3" t="n">
        <v>144488.09</v>
      </c>
      <c r="R2856" s="3" t="n">
        <v>0.2765</v>
      </c>
      <c r="S2856" s="3" t="n">
        <v>0.1476</v>
      </c>
      <c r="T2856" s="3" t="n">
        <v>-0.0046</v>
      </c>
    </row>
    <row r="2857" customFormat="false" ht="15" hidden="false" customHeight="true" outlineLevel="0" collapsed="false">
      <c r="A2857" s="3" t="s">
        <v>3949</v>
      </c>
      <c r="B2857" s="3" t="s">
        <v>1123</v>
      </c>
      <c r="C2857" s="3" t="s">
        <v>126</v>
      </c>
      <c r="D2857" s="3" t="s">
        <v>69</v>
      </c>
      <c r="E2857" s="3" t="s">
        <v>39</v>
      </c>
      <c r="F2857" s="3" t="s">
        <v>70</v>
      </c>
      <c r="G2857" s="3" t="s">
        <v>26</v>
      </c>
      <c r="H2857" s="3" t="s">
        <v>77</v>
      </c>
      <c r="I2857" s="3" t="s">
        <v>85</v>
      </c>
      <c r="J2857" s="3" t="n">
        <v>45</v>
      </c>
      <c r="K2857" s="3" t="n">
        <v>5427.99</v>
      </c>
      <c r="L2857" s="3" t="n">
        <v>244259.55</v>
      </c>
      <c r="M2857" s="3" t="n">
        <v>0.0328</v>
      </c>
      <c r="N2857" s="3" t="n">
        <v>8011.71</v>
      </c>
      <c r="O2857" s="3" t="n">
        <v>236247.84</v>
      </c>
      <c r="P2857" s="3" t="n">
        <v>166096.49</v>
      </c>
      <c r="Q2857" s="3" t="n">
        <v>70151.35</v>
      </c>
      <c r="R2857" s="3" t="n">
        <v>0.2969</v>
      </c>
      <c r="S2857" s="3" t="n">
        <v>0.0294</v>
      </c>
      <c r="T2857" s="3" t="n">
        <v>0.0034</v>
      </c>
    </row>
    <row r="2858" customFormat="false" ht="15" hidden="false" customHeight="true" outlineLevel="0" collapsed="false">
      <c r="A2858" s="3" t="s">
        <v>3950</v>
      </c>
      <c r="B2858" s="3" t="s">
        <v>3951</v>
      </c>
      <c r="C2858" s="3" t="s">
        <v>113</v>
      </c>
      <c r="D2858" s="3" t="s">
        <v>97</v>
      </c>
      <c r="E2858" s="3" t="s">
        <v>48</v>
      </c>
      <c r="F2858" s="3" t="s">
        <v>40</v>
      </c>
      <c r="G2858" s="3" t="s">
        <v>63</v>
      </c>
      <c r="H2858" s="3" t="s">
        <v>77</v>
      </c>
      <c r="I2858" s="3" t="s">
        <v>78</v>
      </c>
      <c r="J2858" s="3" t="n">
        <v>29</v>
      </c>
      <c r="K2858" s="3" t="n">
        <v>4876.5</v>
      </c>
      <c r="L2858" s="3" t="n">
        <v>141418.5</v>
      </c>
      <c r="M2858" s="3" t="n">
        <v>0.0306</v>
      </c>
      <c r="N2858" s="3" t="n">
        <v>4327.41</v>
      </c>
      <c r="O2858" s="3" t="n">
        <v>137091.09</v>
      </c>
      <c r="P2858" s="3" t="n">
        <v>96164.58</v>
      </c>
      <c r="Q2858" s="3" t="n">
        <v>40926.51</v>
      </c>
      <c r="R2858" s="3" t="n">
        <v>0.2985</v>
      </c>
      <c r="S2858" s="3" t="n">
        <v>0.0282</v>
      </c>
      <c r="T2858" s="3" t="n">
        <v>0.0024</v>
      </c>
    </row>
    <row r="2859" customFormat="false" ht="15" hidden="false" customHeight="true" outlineLevel="0" collapsed="false">
      <c r="A2859" s="3" t="s">
        <v>3952</v>
      </c>
      <c r="B2859" s="3" t="s">
        <v>2026</v>
      </c>
      <c r="C2859" s="3" t="s">
        <v>60</v>
      </c>
      <c r="D2859" s="3" t="s">
        <v>69</v>
      </c>
      <c r="E2859" s="3" t="s">
        <v>39</v>
      </c>
      <c r="F2859" s="3" t="s">
        <v>70</v>
      </c>
      <c r="G2859" s="3" t="s">
        <v>34</v>
      </c>
      <c r="H2859" s="3" t="s">
        <v>64</v>
      </c>
      <c r="I2859" s="3" t="s">
        <v>90</v>
      </c>
      <c r="J2859" s="3" t="n">
        <v>5</v>
      </c>
      <c r="K2859" s="3" t="n">
        <v>3039.1</v>
      </c>
      <c r="L2859" s="3" t="n">
        <v>15195.5</v>
      </c>
      <c r="M2859" s="3" t="n">
        <v>0.1348</v>
      </c>
      <c r="N2859" s="3" t="n">
        <v>2048.35</v>
      </c>
      <c r="O2859" s="3" t="n">
        <v>13147.15</v>
      </c>
      <c r="P2859" s="3" t="n">
        <v>8813.39</v>
      </c>
      <c r="Q2859" s="3" t="n">
        <v>4333.76</v>
      </c>
      <c r="R2859" s="3" t="n">
        <v>0.3296</v>
      </c>
      <c r="S2859" s="3" t="n">
        <v>0.1089</v>
      </c>
      <c r="T2859" s="3" t="n">
        <v>0.0259</v>
      </c>
    </row>
    <row r="2860" customFormat="false" ht="15" hidden="false" customHeight="true" outlineLevel="0" collapsed="false">
      <c r="A2860" s="3" t="s">
        <v>3953</v>
      </c>
      <c r="B2860" s="3" t="s">
        <v>2200</v>
      </c>
      <c r="C2860" s="3" t="s">
        <v>113</v>
      </c>
      <c r="D2860" s="3" t="s">
        <v>32</v>
      </c>
      <c r="E2860" s="3" t="s">
        <v>33</v>
      </c>
      <c r="F2860" s="3" t="s">
        <v>25</v>
      </c>
      <c r="G2860" s="3" t="s">
        <v>100</v>
      </c>
      <c r="H2860" s="3" t="s">
        <v>56</v>
      </c>
      <c r="I2860" s="3" t="s">
        <v>57</v>
      </c>
      <c r="J2860" s="3" t="n">
        <v>9</v>
      </c>
      <c r="K2860" s="3" t="n">
        <v>16689.69</v>
      </c>
      <c r="L2860" s="3" t="n">
        <v>150207.21</v>
      </c>
      <c r="M2860" s="3" t="n">
        <v>0.1096</v>
      </c>
      <c r="N2860" s="3" t="n">
        <v>16462.71</v>
      </c>
      <c r="O2860" s="3" t="n">
        <v>133744.5</v>
      </c>
      <c r="P2860" s="3" t="n">
        <v>90124.33</v>
      </c>
      <c r="Q2860" s="3" t="n">
        <v>43620.17</v>
      </c>
      <c r="R2860" s="3" t="n">
        <v>0.3261</v>
      </c>
      <c r="S2860" s="3" t="n">
        <v>0.0944</v>
      </c>
      <c r="T2860" s="3" t="n">
        <v>0.0152</v>
      </c>
    </row>
    <row r="2861" customFormat="false" ht="15" hidden="false" customHeight="true" outlineLevel="0" collapsed="false">
      <c r="A2861" s="3" t="s">
        <v>3954</v>
      </c>
      <c r="B2861" s="3" t="s">
        <v>2102</v>
      </c>
      <c r="C2861" s="3" t="s">
        <v>68</v>
      </c>
      <c r="D2861" s="3" t="s">
        <v>69</v>
      </c>
      <c r="E2861" s="3" t="s">
        <v>39</v>
      </c>
      <c r="F2861" s="3" t="s">
        <v>70</v>
      </c>
      <c r="G2861" s="3" t="s">
        <v>71</v>
      </c>
      <c r="H2861" s="3" t="s">
        <v>77</v>
      </c>
      <c r="I2861" s="3" t="s">
        <v>78</v>
      </c>
      <c r="J2861" s="3" t="n">
        <v>2</v>
      </c>
      <c r="K2861" s="3" t="n">
        <v>3966.03</v>
      </c>
      <c r="L2861" s="3" t="n">
        <v>7932.06</v>
      </c>
      <c r="M2861" s="3" t="n">
        <v>0.0773</v>
      </c>
      <c r="N2861" s="3" t="n">
        <v>613.15</v>
      </c>
      <c r="O2861" s="3" t="n">
        <v>7318.91</v>
      </c>
      <c r="P2861" s="3" t="n">
        <v>5393.8</v>
      </c>
      <c r="Q2861" s="3" t="n">
        <v>1925.11</v>
      </c>
      <c r="R2861" s="3" t="n">
        <v>0.263</v>
      </c>
      <c r="S2861" s="3" t="n">
        <v>0.0657</v>
      </c>
      <c r="T2861" s="3" t="n">
        <v>0.0116</v>
      </c>
    </row>
    <row r="2862" customFormat="false" ht="15" hidden="false" customHeight="true" outlineLevel="0" collapsed="false">
      <c r="A2862" s="3" t="s">
        <v>3955</v>
      </c>
      <c r="B2862" s="3" t="s">
        <v>765</v>
      </c>
      <c r="C2862" s="3" t="s">
        <v>113</v>
      </c>
      <c r="D2862" s="3" t="s">
        <v>97</v>
      </c>
      <c r="E2862" s="3" t="s">
        <v>48</v>
      </c>
      <c r="F2862" s="3" t="s">
        <v>40</v>
      </c>
      <c r="G2862" s="3" t="s">
        <v>63</v>
      </c>
      <c r="H2862" s="3" t="s">
        <v>56</v>
      </c>
      <c r="I2862" s="3" t="s">
        <v>121</v>
      </c>
      <c r="J2862" s="3" t="n">
        <v>48</v>
      </c>
      <c r="K2862" s="3" t="n">
        <v>9980.25</v>
      </c>
      <c r="L2862" s="3" t="n">
        <v>479052</v>
      </c>
      <c r="M2862" s="3" t="n">
        <v>0.0619</v>
      </c>
      <c r="N2862" s="3" t="n">
        <v>29653.32</v>
      </c>
      <c r="O2862" s="3" t="n">
        <v>449398.68</v>
      </c>
      <c r="P2862" s="3" t="n">
        <v>287431.2</v>
      </c>
      <c r="Q2862" s="3" t="n">
        <v>161967.48</v>
      </c>
      <c r="R2862" s="3" t="n">
        <v>0.3604</v>
      </c>
      <c r="S2862" s="3" t="n">
        <v>0.0566</v>
      </c>
      <c r="T2862" s="3" t="n">
        <v>0.0053</v>
      </c>
    </row>
    <row r="2863" customFormat="false" ht="15" hidden="false" customHeight="true" outlineLevel="0" collapsed="false">
      <c r="A2863" s="3" t="s">
        <v>3956</v>
      </c>
      <c r="B2863" s="3" t="s">
        <v>2799</v>
      </c>
      <c r="C2863" s="3" t="s">
        <v>46</v>
      </c>
      <c r="D2863" s="3" t="s">
        <v>103</v>
      </c>
      <c r="E2863" s="3" t="s">
        <v>24</v>
      </c>
      <c r="F2863" s="3" t="s">
        <v>62</v>
      </c>
      <c r="G2863" s="3" t="s">
        <v>76</v>
      </c>
      <c r="H2863" s="3" t="s">
        <v>42</v>
      </c>
      <c r="I2863" s="3" t="s">
        <v>72</v>
      </c>
      <c r="J2863" s="3" t="n">
        <v>39</v>
      </c>
      <c r="K2863" s="3" t="n">
        <v>3617.28</v>
      </c>
      <c r="L2863" s="3" t="n">
        <v>141073.92</v>
      </c>
      <c r="M2863" s="3" t="n">
        <v>0.0367</v>
      </c>
      <c r="N2863" s="3" t="n">
        <v>5177.41</v>
      </c>
      <c r="O2863" s="3" t="n">
        <v>135896.51</v>
      </c>
      <c r="P2863" s="3" t="n">
        <v>77590.66</v>
      </c>
      <c r="Q2863" s="3" t="n">
        <v>58305.85</v>
      </c>
      <c r="R2863" s="3" t="n">
        <v>0.429</v>
      </c>
      <c r="S2863" s="3" t="n">
        <v>0.0394</v>
      </c>
      <c r="T2863" s="3" t="n">
        <v>-0.0027</v>
      </c>
    </row>
    <row r="2864" customFormat="false" ht="15" hidden="false" customHeight="true" outlineLevel="0" collapsed="false">
      <c r="A2864" s="3" t="s">
        <v>3957</v>
      </c>
      <c r="B2864" s="3" t="s">
        <v>183</v>
      </c>
      <c r="C2864" s="3" t="s">
        <v>120</v>
      </c>
      <c r="D2864" s="3" t="s">
        <v>54</v>
      </c>
      <c r="E2864" s="3" t="s">
        <v>24</v>
      </c>
      <c r="F2864" s="3" t="s">
        <v>40</v>
      </c>
      <c r="G2864" s="3" t="s">
        <v>104</v>
      </c>
      <c r="H2864" s="3" t="s">
        <v>56</v>
      </c>
      <c r="I2864" s="3" t="s">
        <v>121</v>
      </c>
      <c r="J2864" s="3" t="n">
        <v>13</v>
      </c>
      <c r="K2864" s="3" t="n">
        <v>3819.59</v>
      </c>
      <c r="L2864" s="3" t="n">
        <v>49654.67</v>
      </c>
      <c r="M2864" s="3" t="n">
        <v>0.0821</v>
      </c>
      <c r="N2864" s="3" t="n">
        <v>4076.65</v>
      </c>
      <c r="O2864" s="3" t="n">
        <v>45578.02</v>
      </c>
      <c r="P2864" s="3" t="n">
        <v>29792.8</v>
      </c>
      <c r="Q2864" s="3" t="n">
        <v>15785.22</v>
      </c>
      <c r="R2864" s="3" t="n">
        <v>0.3463</v>
      </c>
      <c r="S2864" s="3" t="n">
        <v>0.0881</v>
      </c>
      <c r="T2864" s="3" t="n">
        <v>-0.006</v>
      </c>
    </row>
    <row r="2865" customFormat="false" ht="15" hidden="false" customHeight="true" outlineLevel="0" collapsed="false">
      <c r="A2865" s="3" t="s">
        <v>3958</v>
      </c>
      <c r="B2865" s="3" t="s">
        <v>589</v>
      </c>
      <c r="C2865" s="3" t="s">
        <v>37</v>
      </c>
      <c r="D2865" s="3" t="s">
        <v>69</v>
      </c>
      <c r="E2865" s="3" t="s">
        <v>39</v>
      </c>
      <c r="F2865" s="3" t="s">
        <v>70</v>
      </c>
      <c r="G2865" s="3" t="s">
        <v>71</v>
      </c>
      <c r="H2865" s="3" t="s">
        <v>42</v>
      </c>
      <c r="I2865" s="3" t="s">
        <v>43</v>
      </c>
      <c r="J2865" s="3" t="n">
        <v>1</v>
      </c>
      <c r="K2865" s="3" t="n">
        <v>3891.93</v>
      </c>
      <c r="L2865" s="3" t="n">
        <v>3891.93</v>
      </c>
      <c r="M2865" s="3" t="n">
        <v>0.0339</v>
      </c>
      <c r="N2865" s="3" t="n">
        <v>131.94</v>
      </c>
      <c r="O2865" s="3" t="n">
        <v>3759.99</v>
      </c>
      <c r="P2865" s="3" t="n">
        <v>2140.56</v>
      </c>
      <c r="Q2865" s="3" t="n">
        <v>1619.43</v>
      </c>
      <c r="R2865" s="3" t="n">
        <v>0.4307</v>
      </c>
      <c r="S2865" s="3" t="n">
        <v>0.0301</v>
      </c>
      <c r="T2865" s="3" t="n">
        <v>0.0038</v>
      </c>
    </row>
    <row r="2866" customFormat="false" ht="15" hidden="false" customHeight="true" outlineLevel="0" collapsed="false">
      <c r="A2866" s="3" t="s">
        <v>3959</v>
      </c>
      <c r="B2866" s="3" t="s">
        <v>3960</v>
      </c>
      <c r="C2866" s="3" t="s">
        <v>22</v>
      </c>
      <c r="D2866" s="3" t="s">
        <v>61</v>
      </c>
      <c r="E2866" s="3" t="s">
        <v>33</v>
      </c>
      <c r="F2866" s="3" t="s">
        <v>62</v>
      </c>
      <c r="G2866" s="3" t="s">
        <v>100</v>
      </c>
      <c r="H2866" s="3" t="s">
        <v>77</v>
      </c>
      <c r="I2866" s="3" t="s">
        <v>78</v>
      </c>
      <c r="J2866" s="3" t="n">
        <v>46</v>
      </c>
      <c r="K2866" s="3" t="n">
        <v>4633.9</v>
      </c>
      <c r="L2866" s="3" t="n">
        <v>213159.4</v>
      </c>
      <c r="M2866" s="3" t="n">
        <v>0.0621</v>
      </c>
      <c r="N2866" s="3" t="n">
        <v>13237.2</v>
      </c>
      <c r="O2866" s="3" t="n">
        <v>199922.2</v>
      </c>
      <c r="P2866" s="3" t="n">
        <v>144948.39</v>
      </c>
      <c r="Q2866" s="3" t="n">
        <v>54973.81</v>
      </c>
      <c r="R2866" s="3" t="n">
        <v>0.275</v>
      </c>
      <c r="S2866" s="3" t="n">
        <v>0.0537</v>
      </c>
      <c r="T2866" s="3" t="n">
        <v>0.0084</v>
      </c>
    </row>
    <row r="2867" customFormat="false" ht="15" hidden="false" customHeight="true" outlineLevel="0" collapsed="false">
      <c r="A2867" s="3" t="s">
        <v>3961</v>
      </c>
      <c r="B2867" s="3" t="s">
        <v>1771</v>
      </c>
      <c r="C2867" s="3" t="s">
        <v>53</v>
      </c>
      <c r="D2867" s="3" t="s">
        <v>107</v>
      </c>
      <c r="E2867" s="3" t="s">
        <v>33</v>
      </c>
      <c r="F2867" s="3" t="s">
        <v>70</v>
      </c>
      <c r="G2867" s="3" t="s">
        <v>71</v>
      </c>
      <c r="H2867" s="3" t="s">
        <v>56</v>
      </c>
      <c r="I2867" s="3" t="s">
        <v>121</v>
      </c>
      <c r="J2867" s="3" t="n">
        <v>48</v>
      </c>
      <c r="K2867" s="3" t="n">
        <v>14117.31</v>
      </c>
      <c r="L2867" s="3" t="n">
        <v>677630.88</v>
      </c>
      <c r="M2867" s="3" t="n">
        <v>0.0318</v>
      </c>
      <c r="N2867" s="3" t="n">
        <v>21548.66</v>
      </c>
      <c r="O2867" s="3" t="n">
        <v>656082.22</v>
      </c>
      <c r="P2867" s="3" t="n">
        <v>406578.53</v>
      </c>
      <c r="Q2867" s="3" t="n">
        <v>249503.69</v>
      </c>
      <c r="R2867" s="3" t="n">
        <v>0.3803</v>
      </c>
      <c r="S2867" s="3" t="n">
        <v>0.0315</v>
      </c>
      <c r="T2867" s="3" t="n">
        <v>0.0003</v>
      </c>
    </row>
    <row r="2868" customFormat="false" ht="15" hidden="false" customHeight="true" outlineLevel="0" collapsed="false">
      <c r="A2868" s="3" t="s">
        <v>3962</v>
      </c>
      <c r="B2868" s="3" t="s">
        <v>3344</v>
      </c>
      <c r="C2868" s="3" t="s">
        <v>37</v>
      </c>
      <c r="D2868" s="3" t="s">
        <v>32</v>
      </c>
      <c r="E2868" s="3" t="s">
        <v>33</v>
      </c>
      <c r="F2868" s="3" t="s">
        <v>25</v>
      </c>
      <c r="G2868" s="3" t="s">
        <v>76</v>
      </c>
      <c r="H2868" s="3" t="s">
        <v>42</v>
      </c>
      <c r="I2868" s="3" t="s">
        <v>43</v>
      </c>
      <c r="J2868" s="3" t="n">
        <v>23</v>
      </c>
      <c r="K2868" s="3" t="n">
        <v>1346.97</v>
      </c>
      <c r="L2868" s="3" t="n">
        <v>30980.31</v>
      </c>
      <c r="M2868" s="3" t="n">
        <v>0.1618</v>
      </c>
      <c r="N2868" s="3" t="n">
        <v>5012.61</v>
      </c>
      <c r="O2868" s="3" t="n">
        <v>25967.7</v>
      </c>
      <c r="P2868" s="3" t="n">
        <v>17039.17</v>
      </c>
      <c r="Q2868" s="3" t="n">
        <v>8928.53</v>
      </c>
      <c r="R2868" s="3" t="n">
        <v>0.3438</v>
      </c>
      <c r="S2868" s="3" t="n">
        <v>0.1331</v>
      </c>
      <c r="T2868" s="3" t="n">
        <v>0.0287</v>
      </c>
    </row>
    <row r="2869" customFormat="false" ht="15" hidden="false" customHeight="true" outlineLevel="0" collapsed="false">
      <c r="A2869" s="3" t="s">
        <v>3963</v>
      </c>
      <c r="B2869" s="3" t="s">
        <v>559</v>
      </c>
      <c r="C2869" s="3" t="s">
        <v>113</v>
      </c>
      <c r="D2869" s="3" t="s">
        <v>69</v>
      </c>
      <c r="E2869" s="3" t="s">
        <v>39</v>
      </c>
      <c r="F2869" s="3" t="s">
        <v>70</v>
      </c>
      <c r="G2869" s="3" t="s">
        <v>100</v>
      </c>
      <c r="H2869" s="3" t="s">
        <v>42</v>
      </c>
      <c r="I2869" s="3" t="s">
        <v>43</v>
      </c>
      <c r="J2869" s="3" t="n">
        <v>7</v>
      </c>
      <c r="K2869" s="3" t="n">
        <v>2720.07</v>
      </c>
      <c r="L2869" s="3" t="n">
        <v>19040.49</v>
      </c>
      <c r="M2869" s="3" t="n">
        <v>0.0437</v>
      </c>
      <c r="N2869" s="3" t="n">
        <v>832.07</v>
      </c>
      <c r="O2869" s="3" t="n">
        <v>18208.42</v>
      </c>
      <c r="P2869" s="3" t="n">
        <v>10472.27</v>
      </c>
      <c r="Q2869" s="3" t="n">
        <v>7736.15</v>
      </c>
      <c r="R2869" s="3" t="n">
        <v>0.4249</v>
      </c>
      <c r="S2869" s="3" t="n">
        <v>0.0412</v>
      </c>
      <c r="T2869" s="3" t="n">
        <v>0.0025</v>
      </c>
    </row>
    <row r="2870" customFormat="false" ht="15" hidden="false" customHeight="true" outlineLevel="0" collapsed="false">
      <c r="A2870" s="3" t="s">
        <v>3964</v>
      </c>
      <c r="B2870" s="3" t="s">
        <v>678</v>
      </c>
      <c r="C2870" s="3" t="s">
        <v>156</v>
      </c>
      <c r="D2870" s="3" t="s">
        <v>83</v>
      </c>
      <c r="E2870" s="3" t="s">
        <v>48</v>
      </c>
      <c r="F2870" s="3" t="s">
        <v>62</v>
      </c>
      <c r="G2870" s="3" t="s">
        <v>100</v>
      </c>
      <c r="H2870" s="3" t="s">
        <v>42</v>
      </c>
      <c r="I2870" s="3" t="s">
        <v>134</v>
      </c>
      <c r="J2870" s="3" t="n">
        <v>3</v>
      </c>
      <c r="K2870" s="3" t="n">
        <v>674.79</v>
      </c>
      <c r="L2870" s="3" t="n">
        <v>2024.37</v>
      </c>
      <c r="M2870" s="3" t="n">
        <v>0.0612</v>
      </c>
      <c r="N2870" s="3" t="n">
        <v>123.89</v>
      </c>
      <c r="O2870" s="3" t="n">
        <v>1900.48</v>
      </c>
      <c r="P2870" s="3" t="n">
        <v>1113.4</v>
      </c>
      <c r="Q2870" s="3" t="n">
        <v>787.08</v>
      </c>
      <c r="R2870" s="3" t="n">
        <v>0.4141</v>
      </c>
      <c r="S2870" s="3" t="n">
        <v>0.0509</v>
      </c>
      <c r="T2870" s="3" t="n">
        <v>0.0103</v>
      </c>
    </row>
    <row r="2871" customFormat="false" ht="15" hidden="false" customHeight="true" outlineLevel="0" collapsed="false">
      <c r="A2871" s="3" t="s">
        <v>3965</v>
      </c>
      <c r="B2871" s="3" t="s">
        <v>3966</v>
      </c>
      <c r="C2871" s="3" t="s">
        <v>53</v>
      </c>
      <c r="D2871" s="3" t="s">
        <v>47</v>
      </c>
      <c r="E2871" s="3" t="s">
        <v>48</v>
      </c>
      <c r="F2871" s="3" t="s">
        <v>25</v>
      </c>
      <c r="G2871" s="3" t="s">
        <v>63</v>
      </c>
      <c r="H2871" s="3" t="s">
        <v>56</v>
      </c>
      <c r="I2871" s="3" t="s">
        <v>57</v>
      </c>
      <c r="J2871" s="3" t="n">
        <v>8</v>
      </c>
      <c r="K2871" s="3" t="n">
        <v>6509.32</v>
      </c>
      <c r="L2871" s="3" t="n">
        <v>52074.56</v>
      </c>
      <c r="M2871" s="3" t="n">
        <v>0.1596</v>
      </c>
      <c r="N2871" s="3" t="n">
        <v>8311.1</v>
      </c>
      <c r="O2871" s="3" t="n">
        <v>43763.46</v>
      </c>
      <c r="P2871" s="3" t="n">
        <v>31244.74</v>
      </c>
      <c r="Q2871" s="3" t="n">
        <v>12518.72</v>
      </c>
      <c r="R2871" s="3" t="n">
        <v>0.2861</v>
      </c>
      <c r="S2871" s="3" t="n">
        <v>0.1294</v>
      </c>
      <c r="T2871" s="3" t="n">
        <v>0.0302</v>
      </c>
    </row>
    <row r="2872" customFormat="false" ht="15" hidden="false" customHeight="true" outlineLevel="0" collapsed="false">
      <c r="A2872" s="3" t="s">
        <v>3967</v>
      </c>
      <c r="B2872" s="3" t="s">
        <v>2910</v>
      </c>
      <c r="C2872" s="3" t="s">
        <v>68</v>
      </c>
      <c r="D2872" s="3" t="s">
        <v>38</v>
      </c>
      <c r="E2872" s="3" t="s">
        <v>39</v>
      </c>
      <c r="F2872" s="3" t="s">
        <v>40</v>
      </c>
      <c r="G2872" s="3" t="s">
        <v>84</v>
      </c>
      <c r="H2872" s="3" t="s">
        <v>27</v>
      </c>
      <c r="I2872" s="3" t="s">
        <v>117</v>
      </c>
      <c r="J2872" s="3" t="n">
        <v>43</v>
      </c>
      <c r="K2872" s="3" t="n">
        <v>33289.91</v>
      </c>
      <c r="L2872" s="3" t="n">
        <v>1431466.13</v>
      </c>
      <c r="M2872" s="3" t="n">
        <v>0.0351</v>
      </c>
      <c r="N2872" s="3" t="n">
        <v>50244.46</v>
      </c>
      <c r="O2872" s="3" t="n">
        <v>1381221.67</v>
      </c>
      <c r="P2872" s="3" t="n">
        <v>887509</v>
      </c>
      <c r="Q2872" s="3" t="n">
        <v>493712.67</v>
      </c>
      <c r="R2872" s="3" t="n">
        <v>0.3574</v>
      </c>
      <c r="S2872" s="3" t="n">
        <v>0.0354</v>
      </c>
      <c r="T2872" s="3" t="n">
        <v>-0.0003</v>
      </c>
    </row>
    <row r="2873" customFormat="false" ht="15" hidden="false" customHeight="true" outlineLevel="0" collapsed="false">
      <c r="A2873" s="3" t="s">
        <v>3968</v>
      </c>
      <c r="B2873" s="3" t="s">
        <v>2247</v>
      </c>
      <c r="C2873" s="3" t="s">
        <v>46</v>
      </c>
      <c r="D2873" s="3" t="s">
        <v>23</v>
      </c>
      <c r="E2873" s="3" t="s">
        <v>24</v>
      </c>
      <c r="F2873" s="3" t="s">
        <v>25</v>
      </c>
      <c r="G2873" s="3" t="s">
        <v>26</v>
      </c>
      <c r="H2873" s="3" t="s">
        <v>64</v>
      </c>
      <c r="I2873" s="3" t="s">
        <v>90</v>
      </c>
      <c r="J2873" s="3" t="n">
        <v>6</v>
      </c>
      <c r="K2873" s="3" t="n">
        <v>3925.48</v>
      </c>
      <c r="L2873" s="3" t="n">
        <v>23552.88</v>
      </c>
      <c r="M2873" s="3" t="n">
        <v>0.1166</v>
      </c>
      <c r="N2873" s="3" t="n">
        <v>2746.27</v>
      </c>
      <c r="O2873" s="3" t="n">
        <v>20806.61</v>
      </c>
      <c r="P2873" s="3" t="n">
        <v>13660.67</v>
      </c>
      <c r="Q2873" s="3" t="n">
        <v>7145.94</v>
      </c>
      <c r="R2873" s="3" t="n">
        <v>0.3434</v>
      </c>
      <c r="S2873" s="3" t="n">
        <v>0.1081</v>
      </c>
      <c r="T2873" s="3" t="n">
        <v>0.0085</v>
      </c>
    </row>
    <row r="2874" customFormat="false" ht="15" hidden="false" customHeight="true" outlineLevel="0" collapsed="false">
      <c r="A2874" s="3" t="s">
        <v>3969</v>
      </c>
      <c r="B2874" s="3" t="s">
        <v>1371</v>
      </c>
      <c r="C2874" s="3" t="s">
        <v>37</v>
      </c>
      <c r="D2874" s="3" t="s">
        <v>107</v>
      </c>
      <c r="E2874" s="3" t="s">
        <v>33</v>
      </c>
      <c r="F2874" s="3" t="s">
        <v>70</v>
      </c>
      <c r="G2874" s="3" t="s">
        <v>116</v>
      </c>
      <c r="H2874" s="3" t="s">
        <v>77</v>
      </c>
      <c r="I2874" s="3" t="s">
        <v>131</v>
      </c>
      <c r="J2874" s="3" t="n">
        <v>31</v>
      </c>
      <c r="K2874" s="3" t="n">
        <v>3930</v>
      </c>
      <c r="L2874" s="3" t="n">
        <v>121830</v>
      </c>
      <c r="M2874" s="3" t="n">
        <v>0.1067</v>
      </c>
      <c r="N2874" s="3" t="n">
        <v>12999.26</v>
      </c>
      <c r="O2874" s="3" t="n">
        <v>108830.74</v>
      </c>
      <c r="P2874" s="3" t="n">
        <v>82844.4</v>
      </c>
      <c r="Q2874" s="3" t="n">
        <v>25986.34</v>
      </c>
      <c r="R2874" s="3" t="n">
        <v>0.2388</v>
      </c>
      <c r="S2874" s="3" t="n">
        <v>0.1039</v>
      </c>
      <c r="T2874" s="3" t="n">
        <v>0.0028</v>
      </c>
    </row>
    <row r="2875" customFormat="false" ht="15" hidden="false" customHeight="true" outlineLevel="0" collapsed="false">
      <c r="A2875" s="3" t="s">
        <v>3970</v>
      </c>
      <c r="B2875" s="3" t="s">
        <v>158</v>
      </c>
      <c r="C2875" s="3" t="s">
        <v>156</v>
      </c>
      <c r="D2875" s="3" t="s">
        <v>97</v>
      </c>
      <c r="E2875" s="3" t="s">
        <v>48</v>
      </c>
      <c r="F2875" s="3" t="s">
        <v>40</v>
      </c>
      <c r="G2875" s="3" t="s">
        <v>71</v>
      </c>
      <c r="H2875" s="3" t="s">
        <v>56</v>
      </c>
      <c r="I2875" s="3" t="s">
        <v>188</v>
      </c>
      <c r="J2875" s="3" t="n">
        <v>27</v>
      </c>
      <c r="K2875" s="3" t="n">
        <v>5187.3</v>
      </c>
      <c r="L2875" s="3" t="n">
        <v>140057.1</v>
      </c>
      <c r="M2875" s="3" t="n">
        <v>0.0333</v>
      </c>
      <c r="N2875" s="3" t="n">
        <v>4663.9</v>
      </c>
      <c r="O2875" s="3" t="n">
        <v>135393.2</v>
      </c>
      <c r="P2875" s="3" t="n">
        <v>84034.26</v>
      </c>
      <c r="Q2875" s="3" t="n">
        <v>51358.94</v>
      </c>
      <c r="R2875" s="3" t="n">
        <v>0.3793</v>
      </c>
      <c r="S2875" s="3" t="n">
        <v>0.0338</v>
      </c>
      <c r="T2875" s="3" t="n">
        <v>-0.0005</v>
      </c>
    </row>
    <row r="2876" customFormat="false" ht="15" hidden="false" customHeight="true" outlineLevel="0" collapsed="false">
      <c r="A2876" s="3" t="s">
        <v>3971</v>
      </c>
      <c r="B2876" s="3" t="s">
        <v>3972</v>
      </c>
      <c r="C2876" s="3" t="s">
        <v>31</v>
      </c>
      <c r="D2876" s="3" t="s">
        <v>32</v>
      </c>
      <c r="E2876" s="3" t="s">
        <v>33</v>
      </c>
      <c r="F2876" s="3" t="s">
        <v>25</v>
      </c>
      <c r="G2876" s="3" t="s">
        <v>34</v>
      </c>
      <c r="H2876" s="3" t="s">
        <v>42</v>
      </c>
      <c r="I2876" s="3" t="s">
        <v>72</v>
      </c>
      <c r="J2876" s="3" t="n">
        <v>17</v>
      </c>
      <c r="K2876" s="3" t="n">
        <v>1812.23</v>
      </c>
      <c r="L2876" s="3" t="n">
        <v>30807.91</v>
      </c>
      <c r="M2876" s="3" t="n">
        <v>0.1745</v>
      </c>
      <c r="N2876" s="3" t="n">
        <v>5375.98</v>
      </c>
      <c r="O2876" s="3" t="n">
        <v>25431.93</v>
      </c>
      <c r="P2876" s="3" t="n">
        <v>16944.35</v>
      </c>
      <c r="Q2876" s="3" t="n">
        <v>8487.58</v>
      </c>
      <c r="R2876" s="3" t="n">
        <v>0.3337</v>
      </c>
      <c r="S2876" s="3" t="n">
        <v>0.1567</v>
      </c>
      <c r="T2876" s="3" t="n">
        <v>0.0178</v>
      </c>
    </row>
    <row r="2877" customFormat="false" ht="15" hidden="false" customHeight="true" outlineLevel="0" collapsed="false">
      <c r="A2877" s="3" t="s">
        <v>3973</v>
      </c>
      <c r="B2877" s="3" t="s">
        <v>1621</v>
      </c>
      <c r="C2877" s="3" t="s">
        <v>68</v>
      </c>
      <c r="D2877" s="3" t="s">
        <v>97</v>
      </c>
      <c r="E2877" s="3" t="s">
        <v>48</v>
      </c>
      <c r="F2877" s="3" t="s">
        <v>40</v>
      </c>
      <c r="G2877" s="3" t="s">
        <v>34</v>
      </c>
      <c r="H2877" s="3" t="s">
        <v>64</v>
      </c>
      <c r="I2877" s="3" t="s">
        <v>145</v>
      </c>
      <c r="J2877" s="3" t="n">
        <v>16</v>
      </c>
      <c r="K2877" s="3" t="n">
        <v>6282.71</v>
      </c>
      <c r="L2877" s="3" t="n">
        <v>100523.36</v>
      </c>
      <c r="M2877" s="3" t="n">
        <v>0.1225</v>
      </c>
      <c r="N2877" s="3" t="n">
        <v>12314.11</v>
      </c>
      <c r="O2877" s="3" t="n">
        <v>88209.25</v>
      </c>
      <c r="P2877" s="3" t="n">
        <v>58303.55</v>
      </c>
      <c r="Q2877" s="3" t="n">
        <v>29905.7</v>
      </c>
      <c r="R2877" s="3" t="n">
        <v>0.339</v>
      </c>
      <c r="S2877" s="3" t="n">
        <v>0.104</v>
      </c>
      <c r="T2877" s="3" t="n">
        <v>0.0185</v>
      </c>
    </row>
    <row r="2878" customFormat="false" ht="15" hidden="false" customHeight="true" outlineLevel="0" collapsed="false">
      <c r="A2878" s="3" t="s">
        <v>3974</v>
      </c>
      <c r="B2878" s="3" t="s">
        <v>1135</v>
      </c>
      <c r="C2878" s="3" t="s">
        <v>37</v>
      </c>
      <c r="D2878" s="3" t="s">
        <v>75</v>
      </c>
      <c r="E2878" s="3" t="s">
        <v>39</v>
      </c>
      <c r="F2878" s="3" t="s">
        <v>25</v>
      </c>
      <c r="G2878" s="3" t="s">
        <v>71</v>
      </c>
      <c r="H2878" s="3" t="s">
        <v>77</v>
      </c>
      <c r="I2878" s="3" t="s">
        <v>78</v>
      </c>
      <c r="J2878" s="3" t="n">
        <v>30</v>
      </c>
      <c r="K2878" s="3" t="n">
        <v>1881.73</v>
      </c>
      <c r="L2878" s="3" t="n">
        <v>56451.9</v>
      </c>
      <c r="M2878" s="3" t="n">
        <v>0.1713</v>
      </c>
      <c r="N2878" s="3" t="n">
        <v>9670.21</v>
      </c>
      <c r="O2878" s="3" t="n">
        <v>46781.69</v>
      </c>
      <c r="P2878" s="3" t="n">
        <v>38387.29</v>
      </c>
      <c r="Q2878" s="3" t="n">
        <v>8394.4</v>
      </c>
      <c r="R2878" s="3" t="n">
        <v>0.1794</v>
      </c>
      <c r="S2878" s="3" t="n">
        <v>0.1658</v>
      </c>
      <c r="T2878" s="3" t="n">
        <v>0.0055</v>
      </c>
    </row>
    <row r="2879" customFormat="false" ht="15" hidden="false" customHeight="true" outlineLevel="0" collapsed="false">
      <c r="A2879" s="3" t="s">
        <v>3975</v>
      </c>
      <c r="B2879" s="3" t="s">
        <v>3501</v>
      </c>
      <c r="C2879" s="3" t="s">
        <v>113</v>
      </c>
      <c r="D2879" s="3" t="s">
        <v>61</v>
      </c>
      <c r="E2879" s="3" t="s">
        <v>33</v>
      </c>
      <c r="F2879" s="3" t="s">
        <v>62</v>
      </c>
      <c r="G2879" s="3" t="s">
        <v>76</v>
      </c>
      <c r="H2879" s="3" t="s">
        <v>42</v>
      </c>
      <c r="I2879" s="3" t="s">
        <v>72</v>
      </c>
      <c r="J2879" s="3" t="n">
        <v>28</v>
      </c>
      <c r="K2879" s="3" t="n">
        <v>3751.61</v>
      </c>
      <c r="L2879" s="3" t="n">
        <v>105045.08</v>
      </c>
      <c r="M2879" s="3" t="n">
        <v>0.0574</v>
      </c>
      <c r="N2879" s="3" t="n">
        <v>6029.59</v>
      </c>
      <c r="O2879" s="3" t="n">
        <v>99015.49</v>
      </c>
      <c r="P2879" s="3" t="n">
        <v>57774.79</v>
      </c>
      <c r="Q2879" s="3" t="n">
        <v>41240.7</v>
      </c>
      <c r="R2879" s="3" t="n">
        <v>0.4165</v>
      </c>
      <c r="S2879" s="3" t="n">
        <v>0.046</v>
      </c>
      <c r="T2879" s="3" t="n">
        <v>0.0114</v>
      </c>
    </row>
    <row r="2880" customFormat="false" ht="15" hidden="false" customHeight="true" outlineLevel="0" collapsed="false">
      <c r="A2880" s="3" t="s">
        <v>3976</v>
      </c>
      <c r="B2880" s="3" t="s">
        <v>270</v>
      </c>
      <c r="C2880" s="3" t="s">
        <v>93</v>
      </c>
      <c r="D2880" s="3" t="s">
        <v>69</v>
      </c>
      <c r="E2880" s="3" t="s">
        <v>39</v>
      </c>
      <c r="F2880" s="3" t="s">
        <v>70</v>
      </c>
      <c r="G2880" s="3" t="s">
        <v>100</v>
      </c>
      <c r="H2880" s="3" t="s">
        <v>27</v>
      </c>
      <c r="I2880" s="3" t="s">
        <v>117</v>
      </c>
      <c r="J2880" s="3" t="n">
        <v>11</v>
      </c>
      <c r="K2880" s="3" t="n">
        <v>18911.12</v>
      </c>
      <c r="L2880" s="3" t="n">
        <v>208022.32</v>
      </c>
      <c r="M2880" s="3" t="n">
        <v>0.075</v>
      </c>
      <c r="N2880" s="3" t="n">
        <v>15601.67</v>
      </c>
      <c r="O2880" s="3" t="n">
        <v>192420.65</v>
      </c>
      <c r="P2880" s="3" t="n">
        <v>128973.84</v>
      </c>
      <c r="Q2880" s="3" t="n">
        <v>63446.81</v>
      </c>
      <c r="R2880" s="3" t="n">
        <v>0.3297</v>
      </c>
      <c r="S2880" s="3" t="n">
        <v>0.0641</v>
      </c>
      <c r="T2880" s="3" t="n">
        <v>0.0109</v>
      </c>
    </row>
    <row r="2881" customFormat="false" ht="15" hidden="false" customHeight="true" outlineLevel="0" collapsed="false">
      <c r="A2881" s="3" t="s">
        <v>3977</v>
      </c>
      <c r="B2881" s="3" t="s">
        <v>3687</v>
      </c>
      <c r="C2881" s="3" t="s">
        <v>46</v>
      </c>
      <c r="D2881" s="3" t="s">
        <v>47</v>
      </c>
      <c r="E2881" s="3" t="s">
        <v>48</v>
      </c>
      <c r="F2881" s="3" t="s">
        <v>25</v>
      </c>
      <c r="G2881" s="3" t="s">
        <v>100</v>
      </c>
      <c r="H2881" s="3" t="s">
        <v>77</v>
      </c>
      <c r="I2881" s="3" t="s">
        <v>85</v>
      </c>
      <c r="J2881" s="3" t="n">
        <v>15</v>
      </c>
      <c r="K2881" s="3" t="n">
        <v>5093.37</v>
      </c>
      <c r="L2881" s="3" t="n">
        <v>76400.55</v>
      </c>
      <c r="M2881" s="3" t="n">
        <v>0.0883</v>
      </c>
      <c r="N2881" s="3" t="n">
        <v>6746.17</v>
      </c>
      <c r="O2881" s="3" t="n">
        <v>69654.38</v>
      </c>
      <c r="P2881" s="3" t="n">
        <v>51952.37</v>
      </c>
      <c r="Q2881" s="3" t="n">
        <v>17702.01</v>
      </c>
      <c r="R2881" s="3" t="n">
        <v>0.2541</v>
      </c>
      <c r="S2881" s="3" t="n">
        <v>0.0921</v>
      </c>
      <c r="T2881" s="3" t="n">
        <v>-0.0038</v>
      </c>
    </row>
    <row r="2882" customFormat="false" ht="15" hidden="false" customHeight="true" outlineLevel="0" collapsed="false">
      <c r="A2882" s="3" t="s">
        <v>3978</v>
      </c>
      <c r="B2882" s="3" t="s">
        <v>1699</v>
      </c>
      <c r="C2882" s="3" t="s">
        <v>126</v>
      </c>
      <c r="D2882" s="3" t="s">
        <v>97</v>
      </c>
      <c r="E2882" s="3" t="s">
        <v>48</v>
      </c>
      <c r="F2882" s="3" t="s">
        <v>40</v>
      </c>
      <c r="G2882" s="3" t="s">
        <v>49</v>
      </c>
      <c r="H2882" s="3" t="s">
        <v>27</v>
      </c>
      <c r="I2882" s="3" t="s">
        <v>117</v>
      </c>
      <c r="J2882" s="3" t="n">
        <v>34</v>
      </c>
      <c r="K2882" s="3" t="n">
        <v>12025.02</v>
      </c>
      <c r="L2882" s="3" t="n">
        <v>408850.68</v>
      </c>
      <c r="M2882" s="3" t="n">
        <v>0.0485</v>
      </c>
      <c r="N2882" s="3" t="n">
        <v>19829.26</v>
      </c>
      <c r="O2882" s="3" t="n">
        <v>389021.42</v>
      </c>
      <c r="P2882" s="3" t="n">
        <v>253487.42</v>
      </c>
      <c r="Q2882" s="3" t="n">
        <v>135534</v>
      </c>
      <c r="R2882" s="3" t="n">
        <v>0.3484</v>
      </c>
      <c r="S2882" s="3" t="n">
        <v>0.045</v>
      </c>
      <c r="T2882" s="3" t="n">
        <v>0.0035</v>
      </c>
    </row>
    <row r="2883" customFormat="false" ht="15" hidden="false" customHeight="true" outlineLevel="0" collapsed="false">
      <c r="A2883" s="3" t="s">
        <v>3979</v>
      </c>
      <c r="B2883" s="3" t="s">
        <v>3980</v>
      </c>
      <c r="C2883" s="3" t="s">
        <v>93</v>
      </c>
      <c r="D2883" s="3" t="s">
        <v>69</v>
      </c>
      <c r="E2883" s="3" t="s">
        <v>39</v>
      </c>
      <c r="F2883" s="3" t="s">
        <v>70</v>
      </c>
      <c r="G2883" s="3" t="s">
        <v>84</v>
      </c>
      <c r="H2883" s="3" t="s">
        <v>27</v>
      </c>
      <c r="I2883" s="3" t="s">
        <v>94</v>
      </c>
      <c r="J2883" s="3" t="n">
        <v>1</v>
      </c>
      <c r="K2883" s="3" t="n">
        <v>34181.9</v>
      </c>
      <c r="L2883" s="3" t="n">
        <v>34181.9</v>
      </c>
      <c r="M2883" s="3" t="n">
        <v>0.0568</v>
      </c>
      <c r="N2883" s="3" t="n">
        <v>1941.53</v>
      </c>
      <c r="O2883" s="3" t="n">
        <v>32240.37</v>
      </c>
      <c r="P2883" s="3" t="n">
        <v>21192.78</v>
      </c>
      <c r="Q2883" s="3" t="n">
        <v>11047.59</v>
      </c>
      <c r="R2883" s="3" t="n">
        <v>0.3427</v>
      </c>
      <c r="S2883" s="3" t="n">
        <v>0.0475</v>
      </c>
      <c r="T2883" s="3" t="n">
        <v>0.0093</v>
      </c>
    </row>
    <row r="2884" customFormat="false" ht="15" hidden="false" customHeight="true" outlineLevel="0" collapsed="false">
      <c r="A2884" s="3" t="s">
        <v>3981</v>
      </c>
      <c r="B2884" s="3" t="s">
        <v>3203</v>
      </c>
      <c r="C2884" s="3" t="s">
        <v>93</v>
      </c>
      <c r="D2884" s="3" t="s">
        <v>97</v>
      </c>
      <c r="E2884" s="3" t="s">
        <v>48</v>
      </c>
      <c r="F2884" s="3" t="s">
        <v>40</v>
      </c>
      <c r="G2884" s="3" t="s">
        <v>34</v>
      </c>
      <c r="H2884" s="3" t="s">
        <v>27</v>
      </c>
      <c r="I2884" s="3" t="s">
        <v>173</v>
      </c>
      <c r="J2884" s="3" t="n">
        <v>46</v>
      </c>
      <c r="K2884" s="3" t="n">
        <v>25778.24</v>
      </c>
      <c r="L2884" s="3" t="n">
        <v>1185799.04</v>
      </c>
      <c r="M2884" s="3" t="n">
        <v>0.1302</v>
      </c>
      <c r="N2884" s="3" t="n">
        <v>154391.04</v>
      </c>
      <c r="O2884" s="3" t="n">
        <v>1031408</v>
      </c>
      <c r="P2884" s="3" t="n">
        <v>735195.4</v>
      </c>
      <c r="Q2884" s="3" t="n">
        <v>296212.6</v>
      </c>
      <c r="R2884" s="3" t="n">
        <v>0.2872</v>
      </c>
      <c r="S2884" s="3" t="n">
        <v>0.1225</v>
      </c>
      <c r="T2884" s="3" t="n">
        <v>0.0077</v>
      </c>
    </row>
    <row r="2885" customFormat="false" ht="15" hidden="false" customHeight="true" outlineLevel="0" collapsed="false">
      <c r="A2885" s="3" t="s">
        <v>3982</v>
      </c>
      <c r="B2885" s="3" t="s">
        <v>402</v>
      </c>
      <c r="C2885" s="3" t="s">
        <v>93</v>
      </c>
      <c r="D2885" s="3" t="s">
        <v>97</v>
      </c>
      <c r="E2885" s="3" t="s">
        <v>48</v>
      </c>
      <c r="F2885" s="3" t="s">
        <v>40</v>
      </c>
      <c r="G2885" s="3" t="s">
        <v>100</v>
      </c>
      <c r="H2885" s="3" t="s">
        <v>27</v>
      </c>
      <c r="I2885" s="3" t="s">
        <v>28</v>
      </c>
      <c r="J2885" s="3" t="n">
        <v>21</v>
      </c>
      <c r="K2885" s="3" t="n">
        <v>17359.66</v>
      </c>
      <c r="L2885" s="3" t="n">
        <v>364552.86</v>
      </c>
      <c r="M2885" s="3" t="n">
        <v>0.0364</v>
      </c>
      <c r="N2885" s="3" t="n">
        <v>13269.72</v>
      </c>
      <c r="O2885" s="3" t="n">
        <v>351283.14</v>
      </c>
      <c r="P2885" s="3" t="n">
        <v>226022.77</v>
      </c>
      <c r="Q2885" s="3" t="n">
        <v>125260.37</v>
      </c>
      <c r="R2885" s="3" t="n">
        <v>0.3566</v>
      </c>
      <c r="S2885" s="3" t="n">
        <v>0.0363</v>
      </c>
      <c r="T2885" s="3" t="n">
        <v>0.0001</v>
      </c>
    </row>
    <row r="2886" customFormat="false" ht="15" hidden="false" customHeight="true" outlineLevel="0" collapsed="false">
      <c r="A2886" s="3" t="s">
        <v>3983</v>
      </c>
      <c r="B2886" s="3" t="s">
        <v>1877</v>
      </c>
      <c r="C2886" s="3" t="s">
        <v>22</v>
      </c>
      <c r="D2886" s="3" t="s">
        <v>47</v>
      </c>
      <c r="E2886" s="3" t="s">
        <v>48</v>
      </c>
      <c r="F2886" s="3" t="s">
        <v>25</v>
      </c>
      <c r="G2886" s="3" t="s">
        <v>55</v>
      </c>
      <c r="H2886" s="3" t="s">
        <v>64</v>
      </c>
      <c r="I2886" s="3" t="s">
        <v>65</v>
      </c>
      <c r="J2886" s="3" t="n">
        <v>29</v>
      </c>
      <c r="K2886" s="3" t="n">
        <v>3553.31</v>
      </c>
      <c r="L2886" s="3" t="n">
        <v>103045.99</v>
      </c>
      <c r="M2886" s="3" t="n">
        <v>0.1271</v>
      </c>
      <c r="N2886" s="3" t="n">
        <v>13097.15</v>
      </c>
      <c r="O2886" s="3" t="n">
        <v>89948.84</v>
      </c>
      <c r="P2886" s="3" t="n">
        <v>59766.67</v>
      </c>
      <c r="Q2886" s="3" t="n">
        <v>30182.17</v>
      </c>
      <c r="R2886" s="3" t="n">
        <v>0.3355</v>
      </c>
      <c r="S2886" s="3" t="n">
        <v>0.1332</v>
      </c>
      <c r="T2886" s="3" t="n">
        <v>-0.0061</v>
      </c>
    </row>
    <row r="2887" customFormat="false" ht="15" hidden="false" customHeight="true" outlineLevel="0" collapsed="false">
      <c r="A2887" s="3" t="s">
        <v>3984</v>
      </c>
      <c r="B2887" s="3" t="s">
        <v>965</v>
      </c>
      <c r="C2887" s="3" t="s">
        <v>22</v>
      </c>
      <c r="D2887" s="3" t="s">
        <v>97</v>
      </c>
      <c r="E2887" s="3" t="s">
        <v>48</v>
      </c>
      <c r="F2887" s="3" t="s">
        <v>40</v>
      </c>
      <c r="G2887" s="3" t="s">
        <v>34</v>
      </c>
      <c r="H2887" s="3" t="s">
        <v>42</v>
      </c>
      <c r="I2887" s="3" t="s">
        <v>43</v>
      </c>
      <c r="J2887" s="3" t="n">
        <v>19</v>
      </c>
      <c r="K2887" s="3" t="n">
        <v>1533.21</v>
      </c>
      <c r="L2887" s="3" t="n">
        <v>29130.99</v>
      </c>
      <c r="M2887" s="3" t="n">
        <v>0.11</v>
      </c>
      <c r="N2887" s="3" t="n">
        <v>3204.41</v>
      </c>
      <c r="O2887" s="3" t="n">
        <v>25926.58</v>
      </c>
      <c r="P2887" s="3" t="n">
        <v>16022.04</v>
      </c>
      <c r="Q2887" s="3" t="n">
        <v>9904.54</v>
      </c>
      <c r="R2887" s="3" t="n">
        <v>0.382</v>
      </c>
      <c r="S2887" s="3" t="n">
        <v>0.0995</v>
      </c>
      <c r="T2887" s="3" t="n">
        <v>0.0105</v>
      </c>
    </row>
    <row r="2888" customFormat="false" ht="15" hidden="false" customHeight="true" outlineLevel="0" collapsed="false">
      <c r="A2888" s="3" t="s">
        <v>3985</v>
      </c>
      <c r="B2888" s="3" t="s">
        <v>1580</v>
      </c>
      <c r="C2888" s="3" t="s">
        <v>31</v>
      </c>
      <c r="D2888" s="3" t="s">
        <v>23</v>
      </c>
      <c r="E2888" s="3" t="s">
        <v>24</v>
      </c>
      <c r="F2888" s="3" t="s">
        <v>25</v>
      </c>
      <c r="G2888" s="3" t="s">
        <v>71</v>
      </c>
      <c r="H2888" s="3" t="s">
        <v>77</v>
      </c>
      <c r="I2888" s="3" t="s">
        <v>85</v>
      </c>
      <c r="J2888" s="3" t="n">
        <v>31</v>
      </c>
      <c r="K2888" s="3" t="n">
        <v>3345.77</v>
      </c>
      <c r="L2888" s="3" t="n">
        <v>103718.87</v>
      </c>
      <c r="M2888" s="3" t="n">
        <v>0.1242</v>
      </c>
      <c r="N2888" s="3" t="n">
        <v>12881.88</v>
      </c>
      <c r="O2888" s="3" t="n">
        <v>90836.99</v>
      </c>
      <c r="P2888" s="3" t="n">
        <v>70528.83</v>
      </c>
      <c r="Q2888" s="3" t="n">
        <v>20308.16</v>
      </c>
      <c r="R2888" s="3" t="n">
        <v>0.2236</v>
      </c>
      <c r="S2888" s="3" t="n">
        <v>0.1342</v>
      </c>
      <c r="T2888" s="3" t="n">
        <v>-0.01</v>
      </c>
    </row>
    <row r="2889" customFormat="false" ht="15" hidden="false" customHeight="true" outlineLevel="0" collapsed="false">
      <c r="A2889" s="3" t="s">
        <v>3986</v>
      </c>
      <c r="B2889" s="3" t="s">
        <v>792</v>
      </c>
      <c r="C2889" s="3" t="s">
        <v>37</v>
      </c>
      <c r="D2889" s="3" t="s">
        <v>23</v>
      </c>
      <c r="E2889" s="3" t="s">
        <v>24</v>
      </c>
      <c r="F2889" s="3" t="s">
        <v>25</v>
      </c>
      <c r="G2889" s="3" t="s">
        <v>71</v>
      </c>
      <c r="H2889" s="3" t="s">
        <v>56</v>
      </c>
      <c r="I2889" s="3" t="s">
        <v>121</v>
      </c>
      <c r="J2889" s="3" t="n">
        <v>25</v>
      </c>
      <c r="K2889" s="3" t="n">
        <v>9595.79</v>
      </c>
      <c r="L2889" s="3" t="n">
        <v>239894.75</v>
      </c>
      <c r="M2889" s="3" t="n">
        <v>0.137</v>
      </c>
      <c r="N2889" s="3" t="n">
        <v>32865.58</v>
      </c>
      <c r="O2889" s="3" t="n">
        <v>207029.17</v>
      </c>
      <c r="P2889" s="3" t="n">
        <v>143936.85</v>
      </c>
      <c r="Q2889" s="3" t="n">
        <v>63092.32</v>
      </c>
      <c r="R2889" s="3" t="n">
        <v>0.3048</v>
      </c>
      <c r="S2889" s="3" t="n">
        <v>0.1414</v>
      </c>
      <c r="T2889" s="3" t="n">
        <v>-0.0044</v>
      </c>
    </row>
    <row r="2890" customFormat="false" ht="15" hidden="false" customHeight="true" outlineLevel="0" collapsed="false">
      <c r="A2890" s="3" t="s">
        <v>3987</v>
      </c>
      <c r="B2890" s="3" t="s">
        <v>1386</v>
      </c>
      <c r="C2890" s="3" t="s">
        <v>53</v>
      </c>
      <c r="D2890" s="3" t="s">
        <v>47</v>
      </c>
      <c r="E2890" s="3" t="s">
        <v>48</v>
      </c>
      <c r="F2890" s="3" t="s">
        <v>25</v>
      </c>
      <c r="G2890" s="3" t="s">
        <v>76</v>
      </c>
      <c r="H2890" s="3" t="s">
        <v>77</v>
      </c>
      <c r="I2890" s="3" t="s">
        <v>78</v>
      </c>
      <c r="J2890" s="3" t="n">
        <v>40</v>
      </c>
      <c r="K2890" s="3" t="n">
        <v>1395.32</v>
      </c>
      <c r="L2890" s="3" t="n">
        <v>55812.8</v>
      </c>
      <c r="M2890" s="3" t="n">
        <v>0.1364</v>
      </c>
      <c r="N2890" s="3" t="n">
        <v>7612.87</v>
      </c>
      <c r="O2890" s="3" t="n">
        <v>48199.93</v>
      </c>
      <c r="P2890" s="3" t="n">
        <v>37952.7</v>
      </c>
      <c r="Q2890" s="3" t="n">
        <v>10247.23</v>
      </c>
      <c r="R2890" s="3" t="n">
        <v>0.2126</v>
      </c>
      <c r="S2890" s="3" t="n">
        <v>0.1171</v>
      </c>
      <c r="T2890" s="3" t="n">
        <v>0.0193</v>
      </c>
    </row>
    <row r="2891" customFormat="false" ht="15" hidden="false" customHeight="true" outlineLevel="0" collapsed="false">
      <c r="A2891" s="3" t="s">
        <v>3988</v>
      </c>
      <c r="B2891" s="3" t="s">
        <v>1154</v>
      </c>
      <c r="C2891" s="3" t="s">
        <v>126</v>
      </c>
      <c r="D2891" s="3" t="s">
        <v>54</v>
      </c>
      <c r="E2891" s="3" t="s">
        <v>24</v>
      </c>
      <c r="F2891" s="3" t="s">
        <v>40</v>
      </c>
      <c r="G2891" s="3" t="s">
        <v>55</v>
      </c>
      <c r="H2891" s="3" t="s">
        <v>27</v>
      </c>
      <c r="I2891" s="3" t="s">
        <v>28</v>
      </c>
      <c r="J2891" s="3" t="n">
        <v>10</v>
      </c>
      <c r="K2891" s="3" t="n">
        <v>30828.8</v>
      </c>
      <c r="L2891" s="3" t="n">
        <v>308288</v>
      </c>
      <c r="M2891" s="3" t="n">
        <v>0.0381</v>
      </c>
      <c r="N2891" s="3" t="n">
        <v>11745.77</v>
      </c>
      <c r="O2891" s="3" t="n">
        <v>296542.23</v>
      </c>
      <c r="P2891" s="3" t="n">
        <v>191138.56</v>
      </c>
      <c r="Q2891" s="3" t="n">
        <v>105403.67</v>
      </c>
      <c r="R2891" s="3" t="n">
        <v>0.3554</v>
      </c>
      <c r="S2891" s="3" t="n">
        <v>0.0413</v>
      </c>
      <c r="T2891" s="3" t="n">
        <v>-0.0032</v>
      </c>
    </row>
    <row r="2892" customFormat="false" ht="15" hidden="false" customHeight="true" outlineLevel="0" collapsed="false">
      <c r="A2892" s="3" t="s">
        <v>3989</v>
      </c>
      <c r="B2892" s="3" t="s">
        <v>3990</v>
      </c>
      <c r="C2892" s="3" t="s">
        <v>113</v>
      </c>
      <c r="D2892" s="3" t="s">
        <v>23</v>
      </c>
      <c r="E2892" s="3" t="s">
        <v>24</v>
      </c>
      <c r="F2892" s="3" t="s">
        <v>25</v>
      </c>
      <c r="G2892" s="3" t="s">
        <v>26</v>
      </c>
      <c r="H2892" s="3" t="s">
        <v>77</v>
      </c>
      <c r="I2892" s="3" t="s">
        <v>85</v>
      </c>
      <c r="J2892" s="3" t="n">
        <v>50</v>
      </c>
      <c r="K2892" s="3" t="n">
        <v>2949.74</v>
      </c>
      <c r="L2892" s="3" t="n">
        <v>147487</v>
      </c>
      <c r="M2892" s="3" t="n">
        <v>0.109</v>
      </c>
      <c r="N2892" s="3" t="n">
        <v>16076.08</v>
      </c>
      <c r="O2892" s="3" t="n">
        <v>131410.92</v>
      </c>
      <c r="P2892" s="3" t="n">
        <v>100291.16</v>
      </c>
      <c r="Q2892" s="3" t="n">
        <v>31119.76</v>
      </c>
      <c r="R2892" s="3" t="n">
        <v>0.2368</v>
      </c>
      <c r="S2892" s="3" t="n">
        <v>0.0913</v>
      </c>
      <c r="T2892" s="3" t="n">
        <v>0.0177</v>
      </c>
    </row>
    <row r="2893" customFormat="false" ht="15" hidden="false" customHeight="true" outlineLevel="0" collapsed="false">
      <c r="A2893" s="3" t="s">
        <v>3991</v>
      </c>
      <c r="B2893" s="3" t="s">
        <v>1067</v>
      </c>
      <c r="C2893" s="3" t="s">
        <v>93</v>
      </c>
      <c r="D2893" s="3" t="s">
        <v>61</v>
      </c>
      <c r="E2893" s="3" t="s">
        <v>33</v>
      </c>
      <c r="F2893" s="3" t="s">
        <v>62</v>
      </c>
      <c r="G2893" s="3" t="s">
        <v>76</v>
      </c>
      <c r="H2893" s="3" t="s">
        <v>56</v>
      </c>
      <c r="I2893" s="3" t="s">
        <v>188</v>
      </c>
      <c r="J2893" s="3" t="n">
        <v>40</v>
      </c>
      <c r="K2893" s="3" t="n">
        <v>5902.04</v>
      </c>
      <c r="L2893" s="3" t="n">
        <v>236081.6</v>
      </c>
      <c r="M2893" s="3" t="n">
        <v>0.0652</v>
      </c>
      <c r="N2893" s="3" t="n">
        <v>15392.52</v>
      </c>
      <c r="O2893" s="3" t="n">
        <v>220689.08</v>
      </c>
      <c r="P2893" s="3" t="n">
        <v>141648.96</v>
      </c>
      <c r="Q2893" s="3" t="n">
        <v>79040.12</v>
      </c>
      <c r="R2893" s="3" t="n">
        <v>0.3582</v>
      </c>
      <c r="S2893" s="3" t="n">
        <v>0.0526</v>
      </c>
      <c r="T2893" s="3" t="n">
        <v>0.0126</v>
      </c>
    </row>
    <row r="2894" customFormat="false" ht="15" hidden="false" customHeight="true" outlineLevel="0" collapsed="false">
      <c r="A2894" s="3" t="s">
        <v>3992</v>
      </c>
      <c r="B2894" s="3" t="s">
        <v>2542</v>
      </c>
      <c r="C2894" s="3" t="s">
        <v>37</v>
      </c>
      <c r="D2894" s="3" t="s">
        <v>97</v>
      </c>
      <c r="E2894" s="3" t="s">
        <v>48</v>
      </c>
      <c r="F2894" s="3" t="s">
        <v>40</v>
      </c>
      <c r="G2894" s="3" t="s">
        <v>71</v>
      </c>
      <c r="H2894" s="3" t="s">
        <v>42</v>
      </c>
      <c r="I2894" s="3" t="s">
        <v>134</v>
      </c>
      <c r="J2894" s="3" t="n">
        <v>4</v>
      </c>
      <c r="K2894" s="3" t="n">
        <v>1351.36</v>
      </c>
      <c r="L2894" s="3" t="n">
        <v>5405.44</v>
      </c>
      <c r="M2894" s="3" t="n">
        <v>0.0681</v>
      </c>
      <c r="N2894" s="3" t="n">
        <v>368.11</v>
      </c>
      <c r="O2894" s="3" t="n">
        <v>5037.33</v>
      </c>
      <c r="P2894" s="3" t="n">
        <v>2972.99</v>
      </c>
      <c r="Q2894" s="3" t="n">
        <v>2064.34</v>
      </c>
      <c r="R2894" s="3" t="n">
        <v>0.4098</v>
      </c>
      <c r="S2894" s="3" t="n">
        <v>0.0646</v>
      </c>
      <c r="T2894" s="3" t="n">
        <v>0.0035</v>
      </c>
    </row>
    <row r="2895" customFormat="false" ht="15" hidden="false" customHeight="true" outlineLevel="0" collapsed="false">
      <c r="A2895" s="3" t="s">
        <v>3993</v>
      </c>
      <c r="B2895" s="3" t="s">
        <v>3994</v>
      </c>
      <c r="C2895" s="3" t="s">
        <v>46</v>
      </c>
      <c r="D2895" s="3" t="s">
        <v>23</v>
      </c>
      <c r="E2895" s="3" t="s">
        <v>24</v>
      </c>
      <c r="F2895" s="3" t="s">
        <v>25</v>
      </c>
      <c r="G2895" s="3" t="s">
        <v>116</v>
      </c>
      <c r="H2895" s="3" t="s">
        <v>56</v>
      </c>
      <c r="I2895" s="3" t="s">
        <v>188</v>
      </c>
      <c r="J2895" s="3" t="n">
        <v>22</v>
      </c>
      <c r="K2895" s="3" t="n">
        <v>16525.97</v>
      </c>
      <c r="L2895" s="3" t="n">
        <v>363571.34</v>
      </c>
      <c r="M2895" s="3" t="n">
        <v>0.1498</v>
      </c>
      <c r="N2895" s="3" t="n">
        <v>54462.99</v>
      </c>
      <c r="O2895" s="3" t="n">
        <v>309108.35</v>
      </c>
      <c r="P2895" s="3" t="n">
        <v>218142.8</v>
      </c>
      <c r="Q2895" s="3" t="n">
        <v>90965.55</v>
      </c>
      <c r="R2895" s="3" t="n">
        <v>0.2943</v>
      </c>
      <c r="S2895" s="3" t="n">
        <v>0.1517</v>
      </c>
      <c r="T2895" s="3" t="n">
        <v>-0.0019</v>
      </c>
    </row>
    <row r="2896" customFormat="false" ht="15" hidden="false" customHeight="true" outlineLevel="0" collapsed="false">
      <c r="A2896" s="3" t="s">
        <v>3995</v>
      </c>
      <c r="B2896" s="3" t="s">
        <v>3996</v>
      </c>
      <c r="C2896" s="3" t="s">
        <v>53</v>
      </c>
      <c r="D2896" s="3" t="s">
        <v>75</v>
      </c>
      <c r="E2896" s="3" t="s">
        <v>39</v>
      </c>
      <c r="F2896" s="3" t="s">
        <v>25</v>
      </c>
      <c r="G2896" s="3" t="s">
        <v>104</v>
      </c>
      <c r="H2896" s="3" t="s">
        <v>77</v>
      </c>
      <c r="I2896" s="3" t="s">
        <v>131</v>
      </c>
      <c r="J2896" s="3" t="n">
        <v>9</v>
      </c>
      <c r="K2896" s="3" t="n">
        <v>3618.81</v>
      </c>
      <c r="L2896" s="3" t="n">
        <v>32569.29</v>
      </c>
      <c r="M2896" s="3" t="n">
        <v>0.1836</v>
      </c>
      <c r="N2896" s="3" t="n">
        <v>5979.72</v>
      </c>
      <c r="O2896" s="3" t="n">
        <v>26589.57</v>
      </c>
      <c r="P2896" s="3" t="n">
        <v>22147.12</v>
      </c>
      <c r="Q2896" s="3" t="n">
        <v>4442.45</v>
      </c>
      <c r="R2896" s="3" t="n">
        <v>0.1671</v>
      </c>
      <c r="S2896" s="3" t="n">
        <v>0.1934</v>
      </c>
      <c r="T2896" s="3" t="n">
        <v>-0.0098</v>
      </c>
    </row>
    <row r="2897" customFormat="false" ht="15" hidden="false" customHeight="true" outlineLevel="0" collapsed="false">
      <c r="A2897" s="3" t="s">
        <v>3997</v>
      </c>
      <c r="B2897" s="3" t="s">
        <v>258</v>
      </c>
      <c r="C2897" s="3" t="s">
        <v>126</v>
      </c>
      <c r="D2897" s="3" t="s">
        <v>103</v>
      </c>
      <c r="E2897" s="3" t="s">
        <v>24</v>
      </c>
      <c r="F2897" s="3" t="s">
        <v>62</v>
      </c>
      <c r="G2897" s="3" t="s">
        <v>100</v>
      </c>
      <c r="H2897" s="3" t="s">
        <v>56</v>
      </c>
      <c r="I2897" s="3" t="s">
        <v>57</v>
      </c>
      <c r="J2897" s="3" t="n">
        <v>14</v>
      </c>
      <c r="K2897" s="3" t="n">
        <v>16696.22</v>
      </c>
      <c r="L2897" s="3" t="n">
        <v>233747.08</v>
      </c>
      <c r="M2897" s="3" t="n">
        <v>0.041</v>
      </c>
      <c r="N2897" s="3" t="n">
        <v>9583.63</v>
      </c>
      <c r="O2897" s="3" t="n">
        <v>224163.45</v>
      </c>
      <c r="P2897" s="3" t="n">
        <v>140248.25</v>
      </c>
      <c r="Q2897" s="3" t="n">
        <v>83915.2</v>
      </c>
      <c r="R2897" s="3" t="n">
        <v>0.3743</v>
      </c>
      <c r="S2897" s="3" t="n">
        <v>0.0391</v>
      </c>
      <c r="T2897" s="3" t="n">
        <v>0.0019</v>
      </c>
    </row>
    <row r="2898" customFormat="false" ht="15" hidden="false" customHeight="true" outlineLevel="0" collapsed="false">
      <c r="A2898" s="3" t="s">
        <v>3998</v>
      </c>
      <c r="B2898" s="3" t="s">
        <v>1233</v>
      </c>
      <c r="C2898" s="3" t="s">
        <v>126</v>
      </c>
      <c r="D2898" s="3" t="s">
        <v>97</v>
      </c>
      <c r="E2898" s="3" t="s">
        <v>48</v>
      </c>
      <c r="F2898" s="3" t="s">
        <v>40</v>
      </c>
      <c r="G2898" s="3" t="s">
        <v>84</v>
      </c>
      <c r="H2898" s="3" t="s">
        <v>64</v>
      </c>
      <c r="I2898" s="3" t="s">
        <v>145</v>
      </c>
      <c r="J2898" s="3" t="n">
        <v>39</v>
      </c>
      <c r="K2898" s="3" t="n">
        <v>11049.88</v>
      </c>
      <c r="L2898" s="3" t="n">
        <v>430945.32</v>
      </c>
      <c r="M2898" s="3" t="n">
        <v>0.0393</v>
      </c>
      <c r="N2898" s="3" t="n">
        <v>16936.15</v>
      </c>
      <c r="O2898" s="3" t="n">
        <v>414009.17</v>
      </c>
      <c r="P2898" s="3" t="n">
        <v>249948.29</v>
      </c>
      <c r="Q2898" s="3" t="n">
        <v>164060.88</v>
      </c>
      <c r="R2898" s="3" t="n">
        <v>0.3963</v>
      </c>
      <c r="S2898" s="3" t="n">
        <v>0.0382</v>
      </c>
      <c r="T2898" s="3" t="n">
        <v>0.0011</v>
      </c>
    </row>
    <row r="2899" customFormat="false" ht="15" hidden="false" customHeight="true" outlineLevel="0" collapsed="false">
      <c r="A2899" s="3" t="s">
        <v>3999</v>
      </c>
      <c r="B2899" s="3" t="s">
        <v>1957</v>
      </c>
      <c r="C2899" s="3" t="s">
        <v>31</v>
      </c>
      <c r="D2899" s="3" t="s">
        <v>83</v>
      </c>
      <c r="E2899" s="3" t="s">
        <v>48</v>
      </c>
      <c r="F2899" s="3" t="s">
        <v>62</v>
      </c>
      <c r="G2899" s="3" t="s">
        <v>76</v>
      </c>
      <c r="H2899" s="3" t="s">
        <v>56</v>
      </c>
      <c r="I2899" s="3" t="s">
        <v>188</v>
      </c>
      <c r="J2899" s="3" t="n">
        <v>46</v>
      </c>
      <c r="K2899" s="3" t="n">
        <v>8150.46</v>
      </c>
      <c r="L2899" s="3" t="n">
        <v>374921.16</v>
      </c>
      <c r="M2899" s="3" t="n">
        <v>0.0553</v>
      </c>
      <c r="N2899" s="3" t="n">
        <v>20733.14</v>
      </c>
      <c r="O2899" s="3" t="n">
        <v>354188.02</v>
      </c>
      <c r="P2899" s="3" t="n">
        <v>224952.7</v>
      </c>
      <c r="Q2899" s="3" t="n">
        <v>129235.32</v>
      </c>
      <c r="R2899" s="3" t="n">
        <v>0.3649</v>
      </c>
      <c r="S2899" s="3" t="n">
        <v>0.0605</v>
      </c>
      <c r="T2899" s="3" t="n">
        <v>-0.0052</v>
      </c>
    </row>
    <row r="2900" customFormat="false" ht="15" hidden="false" customHeight="true" outlineLevel="0" collapsed="false">
      <c r="A2900" s="3" t="s">
        <v>4000</v>
      </c>
      <c r="B2900" s="3" t="s">
        <v>1623</v>
      </c>
      <c r="C2900" s="3" t="s">
        <v>68</v>
      </c>
      <c r="D2900" s="3" t="s">
        <v>47</v>
      </c>
      <c r="E2900" s="3" t="s">
        <v>48</v>
      </c>
      <c r="F2900" s="3" t="s">
        <v>25</v>
      </c>
      <c r="G2900" s="3" t="s">
        <v>34</v>
      </c>
      <c r="H2900" s="3" t="s">
        <v>42</v>
      </c>
      <c r="I2900" s="3" t="s">
        <v>72</v>
      </c>
      <c r="J2900" s="3" t="n">
        <v>2</v>
      </c>
      <c r="K2900" s="3" t="n">
        <v>3343.1</v>
      </c>
      <c r="L2900" s="3" t="n">
        <v>6686.2</v>
      </c>
      <c r="M2900" s="3" t="n">
        <v>0.181</v>
      </c>
      <c r="N2900" s="3" t="n">
        <v>1210.2</v>
      </c>
      <c r="O2900" s="3" t="n">
        <v>5476</v>
      </c>
      <c r="P2900" s="3" t="n">
        <v>3677.41</v>
      </c>
      <c r="Q2900" s="3" t="n">
        <v>1798.59</v>
      </c>
      <c r="R2900" s="3" t="n">
        <v>0.3284</v>
      </c>
      <c r="S2900" s="3" t="n">
        <v>0.1824</v>
      </c>
      <c r="T2900" s="3" t="n">
        <v>-0.0014</v>
      </c>
    </row>
    <row r="2901" customFormat="false" ht="15" hidden="false" customHeight="true" outlineLevel="0" collapsed="false">
      <c r="A2901" s="3" t="s">
        <v>4001</v>
      </c>
      <c r="B2901" s="3" t="s">
        <v>479</v>
      </c>
      <c r="C2901" s="3" t="s">
        <v>37</v>
      </c>
      <c r="D2901" s="3" t="s">
        <v>23</v>
      </c>
      <c r="E2901" s="3" t="s">
        <v>24</v>
      </c>
      <c r="F2901" s="3" t="s">
        <v>25</v>
      </c>
      <c r="G2901" s="3" t="s">
        <v>49</v>
      </c>
      <c r="H2901" s="3" t="s">
        <v>77</v>
      </c>
      <c r="I2901" s="3" t="s">
        <v>78</v>
      </c>
      <c r="J2901" s="3" t="n">
        <v>34</v>
      </c>
      <c r="K2901" s="3" t="n">
        <v>1902.01</v>
      </c>
      <c r="L2901" s="3" t="n">
        <v>64668.34</v>
      </c>
      <c r="M2901" s="3" t="n">
        <v>0.1085</v>
      </c>
      <c r="N2901" s="3" t="n">
        <v>7016.51</v>
      </c>
      <c r="O2901" s="3" t="n">
        <v>57651.83</v>
      </c>
      <c r="P2901" s="3" t="n">
        <v>43974.47</v>
      </c>
      <c r="Q2901" s="3" t="n">
        <v>13677.36</v>
      </c>
      <c r="R2901" s="3" t="n">
        <v>0.2372</v>
      </c>
      <c r="S2901" s="3" t="n">
        <v>0.0954</v>
      </c>
      <c r="T2901" s="3" t="n">
        <v>0.0131</v>
      </c>
    </row>
    <row r="2902" customFormat="false" ht="15" hidden="false" customHeight="true" outlineLevel="0" collapsed="false">
      <c r="A2902" s="3" t="s">
        <v>4002</v>
      </c>
      <c r="B2902" s="3" t="s">
        <v>1706</v>
      </c>
      <c r="C2902" s="3" t="s">
        <v>156</v>
      </c>
      <c r="D2902" s="3" t="s">
        <v>38</v>
      </c>
      <c r="E2902" s="3" t="s">
        <v>39</v>
      </c>
      <c r="F2902" s="3" t="s">
        <v>40</v>
      </c>
      <c r="G2902" s="3" t="s">
        <v>71</v>
      </c>
      <c r="H2902" s="3" t="s">
        <v>64</v>
      </c>
      <c r="I2902" s="3" t="s">
        <v>90</v>
      </c>
      <c r="J2902" s="3" t="n">
        <v>1</v>
      </c>
      <c r="K2902" s="3" t="n">
        <v>4156.82</v>
      </c>
      <c r="L2902" s="3" t="n">
        <v>4156.82</v>
      </c>
      <c r="M2902" s="3" t="n">
        <v>0.032</v>
      </c>
      <c r="N2902" s="3" t="n">
        <v>133.02</v>
      </c>
      <c r="O2902" s="3" t="n">
        <v>4023.8</v>
      </c>
      <c r="P2902" s="3" t="n">
        <v>2410.96</v>
      </c>
      <c r="Q2902" s="3" t="n">
        <v>1612.84</v>
      </c>
      <c r="R2902" s="3" t="n">
        <v>0.4008</v>
      </c>
      <c r="S2902" s="3" t="n">
        <v>0.0322</v>
      </c>
      <c r="T2902" s="3" t="n">
        <v>-0.0002</v>
      </c>
    </row>
    <row r="2903" customFormat="false" ht="15" hidden="false" customHeight="true" outlineLevel="0" collapsed="false">
      <c r="A2903" s="3" t="s">
        <v>4003</v>
      </c>
      <c r="B2903" s="3" t="s">
        <v>2332</v>
      </c>
      <c r="C2903" s="3" t="s">
        <v>46</v>
      </c>
      <c r="D2903" s="3" t="s">
        <v>97</v>
      </c>
      <c r="E2903" s="3" t="s">
        <v>48</v>
      </c>
      <c r="F2903" s="3" t="s">
        <v>40</v>
      </c>
      <c r="G2903" s="3" t="s">
        <v>100</v>
      </c>
      <c r="H2903" s="3" t="s">
        <v>64</v>
      </c>
      <c r="I2903" s="3" t="s">
        <v>65</v>
      </c>
      <c r="J2903" s="3" t="n">
        <v>4</v>
      </c>
      <c r="K2903" s="3" t="n">
        <v>6520.11</v>
      </c>
      <c r="L2903" s="3" t="n">
        <v>26080.44</v>
      </c>
      <c r="M2903" s="3" t="n">
        <v>0.0343</v>
      </c>
      <c r="N2903" s="3" t="n">
        <v>894.56</v>
      </c>
      <c r="O2903" s="3" t="n">
        <v>25185.88</v>
      </c>
      <c r="P2903" s="3" t="n">
        <v>15126.66</v>
      </c>
      <c r="Q2903" s="3" t="n">
        <v>10059.22</v>
      </c>
      <c r="R2903" s="3" t="n">
        <v>0.3994</v>
      </c>
      <c r="S2903" s="3" t="n">
        <v>0.0356</v>
      </c>
      <c r="T2903" s="3" t="n">
        <v>-0.0013</v>
      </c>
    </row>
    <row r="2904" customFormat="false" ht="15" hidden="false" customHeight="true" outlineLevel="0" collapsed="false">
      <c r="A2904" s="3" t="s">
        <v>4004</v>
      </c>
      <c r="B2904" s="3" t="s">
        <v>2662</v>
      </c>
      <c r="C2904" s="3" t="s">
        <v>68</v>
      </c>
      <c r="D2904" s="3" t="s">
        <v>103</v>
      </c>
      <c r="E2904" s="3" t="s">
        <v>24</v>
      </c>
      <c r="F2904" s="3" t="s">
        <v>62</v>
      </c>
      <c r="G2904" s="3" t="s">
        <v>104</v>
      </c>
      <c r="H2904" s="3" t="s">
        <v>27</v>
      </c>
      <c r="I2904" s="3" t="s">
        <v>94</v>
      </c>
      <c r="J2904" s="3" t="n">
        <v>22</v>
      </c>
      <c r="K2904" s="3" t="n">
        <v>25903.31</v>
      </c>
      <c r="L2904" s="3" t="n">
        <v>569872.82</v>
      </c>
      <c r="M2904" s="3" t="n">
        <v>0.0969</v>
      </c>
      <c r="N2904" s="3" t="n">
        <v>55220.68</v>
      </c>
      <c r="O2904" s="3" t="n">
        <v>514652.14</v>
      </c>
      <c r="P2904" s="3" t="n">
        <v>353321.15</v>
      </c>
      <c r="Q2904" s="3" t="n">
        <v>161330.99</v>
      </c>
      <c r="R2904" s="3" t="n">
        <v>0.3135</v>
      </c>
      <c r="S2904" s="3" t="n">
        <v>0.1031</v>
      </c>
      <c r="T2904" s="3" t="n">
        <v>-0.0062</v>
      </c>
    </row>
    <row r="2905" customFormat="false" ht="15" hidden="false" customHeight="true" outlineLevel="0" collapsed="false">
      <c r="A2905" s="3" t="s">
        <v>4005</v>
      </c>
      <c r="B2905" s="3" t="s">
        <v>2230</v>
      </c>
      <c r="C2905" s="3" t="s">
        <v>31</v>
      </c>
      <c r="D2905" s="3" t="s">
        <v>47</v>
      </c>
      <c r="E2905" s="3" t="s">
        <v>48</v>
      </c>
      <c r="F2905" s="3" t="s">
        <v>25</v>
      </c>
      <c r="G2905" s="3" t="s">
        <v>71</v>
      </c>
      <c r="H2905" s="3" t="s">
        <v>64</v>
      </c>
      <c r="I2905" s="3" t="s">
        <v>65</v>
      </c>
      <c r="J2905" s="3" t="n">
        <v>13</v>
      </c>
      <c r="K2905" s="3" t="n">
        <v>9264.67</v>
      </c>
      <c r="L2905" s="3" t="n">
        <v>120440.71</v>
      </c>
      <c r="M2905" s="3" t="n">
        <v>0.145</v>
      </c>
      <c r="N2905" s="3" t="n">
        <v>17463.9</v>
      </c>
      <c r="O2905" s="3" t="n">
        <v>102976.81</v>
      </c>
      <c r="P2905" s="3" t="n">
        <v>69855.61</v>
      </c>
      <c r="Q2905" s="3" t="n">
        <v>33121.2</v>
      </c>
      <c r="R2905" s="3" t="n">
        <v>0.3216</v>
      </c>
      <c r="S2905" s="3" t="n">
        <v>0.1528</v>
      </c>
      <c r="T2905" s="3" t="n">
        <v>-0.0078</v>
      </c>
    </row>
    <row r="2906" customFormat="false" ht="15" hidden="false" customHeight="true" outlineLevel="0" collapsed="false">
      <c r="A2906" s="3" t="s">
        <v>4006</v>
      </c>
      <c r="B2906" s="3" t="s">
        <v>1088</v>
      </c>
      <c r="C2906" s="3" t="s">
        <v>120</v>
      </c>
      <c r="D2906" s="3" t="s">
        <v>69</v>
      </c>
      <c r="E2906" s="3" t="s">
        <v>39</v>
      </c>
      <c r="F2906" s="3" t="s">
        <v>70</v>
      </c>
      <c r="G2906" s="3" t="s">
        <v>26</v>
      </c>
      <c r="H2906" s="3" t="s">
        <v>77</v>
      </c>
      <c r="I2906" s="3" t="s">
        <v>85</v>
      </c>
      <c r="J2906" s="3" t="n">
        <v>13</v>
      </c>
      <c r="K2906" s="3" t="n">
        <v>4860.61</v>
      </c>
      <c r="L2906" s="3" t="n">
        <v>63187.93</v>
      </c>
      <c r="M2906" s="3" t="n">
        <v>0.0706</v>
      </c>
      <c r="N2906" s="3" t="n">
        <v>4461.07</v>
      </c>
      <c r="O2906" s="3" t="n">
        <v>58726.86</v>
      </c>
      <c r="P2906" s="3" t="n">
        <v>42967.79</v>
      </c>
      <c r="Q2906" s="3" t="n">
        <v>15759.07</v>
      </c>
      <c r="R2906" s="3" t="n">
        <v>0.2683</v>
      </c>
      <c r="S2906" s="3" t="n">
        <v>0.0757</v>
      </c>
      <c r="T2906" s="3" t="n">
        <v>-0.0051</v>
      </c>
    </row>
    <row r="2907" customFormat="false" ht="15" hidden="false" customHeight="true" outlineLevel="0" collapsed="false">
      <c r="A2907" s="3" t="s">
        <v>4007</v>
      </c>
      <c r="B2907" s="3" t="s">
        <v>642</v>
      </c>
      <c r="C2907" s="3" t="s">
        <v>120</v>
      </c>
      <c r="D2907" s="3" t="s">
        <v>32</v>
      </c>
      <c r="E2907" s="3" t="s">
        <v>33</v>
      </c>
      <c r="F2907" s="3" t="s">
        <v>25</v>
      </c>
      <c r="G2907" s="3" t="s">
        <v>104</v>
      </c>
      <c r="H2907" s="3" t="s">
        <v>27</v>
      </c>
      <c r="I2907" s="3" t="s">
        <v>94</v>
      </c>
      <c r="J2907" s="3" t="n">
        <v>39</v>
      </c>
      <c r="K2907" s="3" t="n">
        <v>24842.35</v>
      </c>
      <c r="L2907" s="3" t="n">
        <v>968851.65</v>
      </c>
      <c r="M2907" s="3" t="n">
        <v>0.1424</v>
      </c>
      <c r="N2907" s="3" t="n">
        <v>137964.47</v>
      </c>
      <c r="O2907" s="3" t="n">
        <v>830887.18</v>
      </c>
      <c r="P2907" s="3" t="n">
        <v>600688.02</v>
      </c>
      <c r="Q2907" s="3" t="n">
        <v>230199.16</v>
      </c>
      <c r="R2907" s="3" t="n">
        <v>0.2771</v>
      </c>
      <c r="S2907" s="3" t="n">
        <v>0.145</v>
      </c>
      <c r="T2907" s="3" t="n">
        <v>-0.0026</v>
      </c>
    </row>
    <row r="2908" customFormat="false" ht="15" hidden="false" customHeight="true" outlineLevel="0" collapsed="false">
      <c r="A2908" s="3" t="s">
        <v>4008</v>
      </c>
      <c r="B2908" s="3" t="s">
        <v>1690</v>
      </c>
      <c r="C2908" s="3" t="s">
        <v>22</v>
      </c>
      <c r="D2908" s="3" t="s">
        <v>54</v>
      </c>
      <c r="E2908" s="3" t="s">
        <v>24</v>
      </c>
      <c r="F2908" s="3" t="s">
        <v>40</v>
      </c>
      <c r="G2908" s="3" t="s">
        <v>41</v>
      </c>
      <c r="H2908" s="3" t="s">
        <v>56</v>
      </c>
      <c r="I2908" s="3" t="s">
        <v>188</v>
      </c>
      <c r="J2908" s="3" t="n">
        <v>15</v>
      </c>
      <c r="K2908" s="3" t="n">
        <v>10427.64</v>
      </c>
      <c r="L2908" s="3" t="n">
        <v>156414.6</v>
      </c>
      <c r="M2908" s="3" t="n">
        <v>0.1049</v>
      </c>
      <c r="N2908" s="3" t="n">
        <v>16407.89</v>
      </c>
      <c r="O2908" s="3" t="n">
        <v>140006.71</v>
      </c>
      <c r="P2908" s="3" t="n">
        <v>93848.76</v>
      </c>
      <c r="Q2908" s="3" t="n">
        <v>46157.95</v>
      </c>
      <c r="R2908" s="3" t="n">
        <v>0.3297</v>
      </c>
      <c r="S2908" s="3" t="n">
        <v>0.0944</v>
      </c>
      <c r="T2908" s="3" t="n">
        <v>0.0105</v>
      </c>
    </row>
    <row r="2909" customFormat="false" ht="15" hidden="false" customHeight="true" outlineLevel="0" collapsed="false">
      <c r="A2909" s="3" t="s">
        <v>4009</v>
      </c>
      <c r="B2909" s="3" t="s">
        <v>112</v>
      </c>
      <c r="C2909" s="3" t="s">
        <v>113</v>
      </c>
      <c r="D2909" s="3" t="s">
        <v>38</v>
      </c>
      <c r="E2909" s="3" t="s">
        <v>39</v>
      </c>
      <c r="F2909" s="3" t="s">
        <v>40</v>
      </c>
      <c r="G2909" s="3" t="s">
        <v>55</v>
      </c>
      <c r="H2909" s="3" t="s">
        <v>64</v>
      </c>
      <c r="I2909" s="3" t="s">
        <v>65</v>
      </c>
      <c r="J2909" s="3" t="n">
        <v>4</v>
      </c>
      <c r="K2909" s="3" t="n">
        <v>9656.36</v>
      </c>
      <c r="L2909" s="3" t="n">
        <v>38625.44</v>
      </c>
      <c r="M2909" s="3" t="n">
        <v>0.0762</v>
      </c>
      <c r="N2909" s="3" t="n">
        <v>2943.26</v>
      </c>
      <c r="O2909" s="3" t="n">
        <v>35682.18</v>
      </c>
      <c r="P2909" s="3" t="n">
        <v>22402.76</v>
      </c>
      <c r="Q2909" s="3" t="n">
        <v>13279.42</v>
      </c>
      <c r="R2909" s="3" t="n">
        <v>0.3722</v>
      </c>
      <c r="S2909" s="3" t="n">
        <v>0.0754</v>
      </c>
      <c r="T2909" s="3" t="n">
        <v>0.0008</v>
      </c>
    </row>
    <row r="2910" customFormat="false" ht="15" hidden="false" customHeight="true" outlineLevel="0" collapsed="false">
      <c r="A2910" s="3" t="s">
        <v>4010</v>
      </c>
      <c r="B2910" s="3" t="s">
        <v>663</v>
      </c>
      <c r="C2910" s="3" t="s">
        <v>22</v>
      </c>
      <c r="D2910" s="3" t="s">
        <v>47</v>
      </c>
      <c r="E2910" s="3" t="s">
        <v>48</v>
      </c>
      <c r="F2910" s="3" t="s">
        <v>25</v>
      </c>
      <c r="G2910" s="3" t="s">
        <v>34</v>
      </c>
      <c r="H2910" s="3" t="s">
        <v>77</v>
      </c>
      <c r="I2910" s="3" t="s">
        <v>131</v>
      </c>
      <c r="J2910" s="3" t="n">
        <v>26</v>
      </c>
      <c r="K2910" s="3" t="n">
        <v>4897.51</v>
      </c>
      <c r="L2910" s="3" t="n">
        <v>127335.26</v>
      </c>
      <c r="M2910" s="3" t="n">
        <v>0.1728</v>
      </c>
      <c r="N2910" s="3" t="n">
        <v>22003.53</v>
      </c>
      <c r="O2910" s="3" t="n">
        <v>105331.73</v>
      </c>
      <c r="P2910" s="3" t="n">
        <v>86587.98</v>
      </c>
      <c r="Q2910" s="3" t="n">
        <v>18743.75</v>
      </c>
      <c r="R2910" s="3" t="n">
        <v>0.1779</v>
      </c>
      <c r="S2910" s="3" t="n">
        <v>0.1455</v>
      </c>
      <c r="T2910" s="3" t="n">
        <v>0.0273</v>
      </c>
    </row>
    <row r="2911" customFormat="false" ht="15" hidden="false" customHeight="true" outlineLevel="0" collapsed="false">
      <c r="A2911" s="3" t="s">
        <v>4011</v>
      </c>
      <c r="B2911" s="3" t="s">
        <v>2725</v>
      </c>
      <c r="C2911" s="3" t="s">
        <v>53</v>
      </c>
      <c r="D2911" s="3" t="s">
        <v>75</v>
      </c>
      <c r="E2911" s="3" t="s">
        <v>39</v>
      </c>
      <c r="F2911" s="3" t="s">
        <v>25</v>
      </c>
      <c r="G2911" s="3" t="s">
        <v>116</v>
      </c>
      <c r="H2911" s="3" t="s">
        <v>77</v>
      </c>
      <c r="I2911" s="3" t="s">
        <v>85</v>
      </c>
      <c r="J2911" s="3" t="n">
        <v>49</v>
      </c>
      <c r="K2911" s="3" t="n">
        <v>2874.19</v>
      </c>
      <c r="L2911" s="3" t="n">
        <v>140835.31</v>
      </c>
      <c r="M2911" s="3" t="n">
        <v>0.2168</v>
      </c>
      <c r="N2911" s="3" t="n">
        <v>30533.1</v>
      </c>
      <c r="O2911" s="3" t="n">
        <v>110302.21</v>
      </c>
      <c r="P2911" s="3" t="n">
        <v>95768.01</v>
      </c>
      <c r="Q2911" s="3" t="n">
        <v>14534.2</v>
      </c>
      <c r="R2911" s="3" t="n">
        <v>0.1318</v>
      </c>
      <c r="S2911" s="3" t="n">
        <v>0.2234</v>
      </c>
      <c r="T2911" s="3" t="n">
        <v>-0.0066</v>
      </c>
    </row>
    <row r="2912" customFormat="false" ht="15" hidden="false" customHeight="true" outlineLevel="0" collapsed="false">
      <c r="A2912" s="3" t="s">
        <v>4012</v>
      </c>
      <c r="B2912" s="3" t="s">
        <v>3040</v>
      </c>
      <c r="C2912" s="3" t="s">
        <v>113</v>
      </c>
      <c r="D2912" s="3" t="s">
        <v>32</v>
      </c>
      <c r="E2912" s="3" t="s">
        <v>33</v>
      </c>
      <c r="F2912" s="3" t="s">
        <v>25</v>
      </c>
      <c r="G2912" s="3" t="s">
        <v>34</v>
      </c>
      <c r="H2912" s="3" t="s">
        <v>42</v>
      </c>
      <c r="I2912" s="3" t="s">
        <v>72</v>
      </c>
      <c r="J2912" s="3" t="n">
        <v>6</v>
      </c>
      <c r="K2912" s="3" t="n">
        <v>757.78</v>
      </c>
      <c r="L2912" s="3" t="n">
        <v>4546.68</v>
      </c>
      <c r="M2912" s="3" t="n">
        <v>0.1417</v>
      </c>
      <c r="N2912" s="3" t="n">
        <v>644.26</v>
      </c>
      <c r="O2912" s="3" t="n">
        <v>3902.42</v>
      </c>
      <c r="P2912" s="3" t="n">
        <v>2500.67</v>
      </c>
      <c r="Q2912" s="3" t="n">
        <v>1401.75</v>
      </c>
      <c r="R2912" s="3" t="n">
        <v>0.3592</v>
      </c>
      <c r="S2912" s="3" t="n">
        <v>0.142</v>
      </c>
      <c r="T2912" s="3" t="n">
        <v>-0.0003</v>
      </c>
    </row>
    <row r="2913" customFormat="false" ht="15" hidden="false" customHeight="true" outlineLevel="0" collapsed="false">
      <c r="A2913" s="3" t="s">
        <v>4013</v>
      </c>
      <c r="B2913" s="3" t="s">
        <v>3592</v>
      </c>
      <c r="C2913" s="3" t="s">
        <v>68</v>
      </c>
      <c r="D2913" s="3" t="s">
        <v>97</v>
      </c>
      <c r="E2913" s="3" t="s">
        <v>48</v>
      </c>
      <c r="F2913" s="3" t="s">
        <v>40</v>
      </c>
      <c r="G2913" s="3" t="s">
        <v>55</v>
      </c>
      <c r="H2913" s="3" t="s">
        <v>64</v>
      </c>
      <c r="I2913" s="3" t="s">
        <v>65</v>
      </c>
      <c r="J2913" s="3" t="n">
        <v>13</v>
      </c>
      <c r="K2913" s="3" t="n">
        <v>6893.85</v>
      </c>
      <c r="L2913" s="3" t="n">
        <v>89620.05</v>
      </c>
      <c r="M2913" s="3" t="n">
        <v>0.0602</v>
      </c>
      <c r="N2913" s="3" t="n">
        <v>5395.13</v>
      </c>
      <c r="O2913" s="3" t="n">
        <v>84224.92</v>
      </c>
      <c r="P2913" s="3" t="n">
        <v>51979.63</v>
      </c>
      <c r="Q2913" s="3" t="n">
        <v>32245.29</v>
      </c>
      <c r="R2913" s="3" t="n">
        <v>0.3828</v>
      </c>
      <c r="S2913" s="3" t="n">
        <v>0.0534</v>
      </c>
      <c r="T2913" s="3" t="n">
        <v>0.0068</v>
      </c>
    </row>
    <row r="2914" customFormat="false" ht="15" hidden="false" customHeight="true" outlineLevel="0" collapsed="false">
      <c r="A2914" s="3" t="s">
        <v>4014</v>
      </c>
      <c r="B2914" s="3" t="s">
        <v>1034</v>
      </c>
      <c r="C2914" s="3" t="s">
        <v>53</v>
      </c>
      <c r="D2914" s="3" t="s">
        <v>75</v>
      </c>
      <c r="E2914" s="3" t="s">
        <v>39</v>
      </c>
      <c r="F2914" s="3" t="s">
        <v>25</v>
      </c>
      <c r="G2914" s="3" t="s">
        <v>55</v>
      </c>
      <c r="H2914" s="3" t="s">
        <v>27</v>
      </c>
      <c r="I2914" s="3" t="s">
        <v>94</v>
      </c>
      <c r="J2914" s="3" t="n">
        <v>48</v>
      </c>
      <c r="K2914" s="3" t="n">
        <v>39597.93</v>
      </c>
      <c r="L2914" s="3" t="n">
        <v>1900700.64</v>
      </c>
      <c r="M2914" s="3" t="n">
        <v>0.1388</v>
      </c>
      <c r="N2914" s="3" t="n">
        <v>263817.25</v>
      </c>
      <c r="O2914" s="3" t="n">
        <v>1636883.39</v>
      </c>
      <c r="P2914" s="3" t="n">
        <v>1178434.4</v>
      </c>
      <c r="Q2914" s="3" t="n">
        <v>458448.99</v>
      </c>
      <c r="R2914" s="3" t="n">
        <v>0.2801</v>
      </c>
      <c r="S2914" s="3" t="n">
        <v>0.1308</v>
      </c>
      <c r="T2914" s="3" t="n">
        <v>0.008</v>
      </c>
    </row>
    <row r="2915" customFormat="false" ht="15" hidden="false" customHeight="true" outlineLevel="0" collapsed="false">
      <c r="A2915" s="3" t="s">
        <v>4015</v>
      </c>
      <c r="B2915" s="3" t="s">
        <v>123</v>
      </c>
      <c r="C2915" s="3" t="s">
        <v>120</v>
      </c>
      <c r="D2915" s="3" t="s">
        <v>47</v>
      </c>
      <c r="E2915" s="3" t="s">
        <v>48</v>
      </c>
      <c r="F2915" s="3" t="s">
        <v>25</v>
      </c>
      <c r="G2915" s="3" t="s">
        <v>104</v>
      </c>
      <c r="H2915" s="3" t="s">
        <v>42</v>
      </c>
      <c r="I2915" s="3" t="s">
        <v>72</v>
      </c>
      <c r="J2915" s="3" t="n">
        <v>7</v>
      </c>
      <c r="K2915" s="3" t="n">
        <v>3151.14</v>
      </c>
      <c r="L2915" s="3" t="n">
        <v>22057.98</v>
      </c>
      <c r="M2915" s="3" t="n">
        <v>0.1683</v>
      </c>
      <c r="N2915" s="3" t="n">
        <v>3712.36</v>
      </c>
      <c r="O2915" s="3" t="n">
        <v>18345.62</v>
      </c>
      <c r="P2915" s="3" t="n">
        <v>12131.89</v>
      </c>
      <c r="Q2915" s="3" t="n">
        <v>6213.73</v>
      </c>
      <c r="R2915" s="3" t="n">
        <v>0.3387</v>
      </c>
      <c r="S2915" s="3" t="n">
        <v>0.1603</v>
      </c>
      <c r="T2915" s="3" t="n">
        <v>0.008</v>
      </c>
    </row>
    <row r="2916" customFormat="false" ht="15" hidden="false" customHeight="true" outlineLevel="0" collapsed="false">
      <c r="A2916" s="3" t="s">
        <v>4016</v>
      </c>
      <c r="B2916" s="3" t="s">
        <v>1106</v>
      </c>
      <c r="C2916" s="3" t="s">
        <v>53</v>
      </c>
      <c r="D2916" s="3" t="s">
        <v>83</v>
      </c>
      <c r="E2916" s="3" t="s">
        <v>48</v>
      </c>
      <c r="F2916" s="3" t="s">
        <v>62</v>
      </c>
      <c r="G2916" s="3" t="s">
        <v>71</v>
      </c>
      <c r="H2916" s="3" t="s">
        <v>77</v>
      </c>
      <c r="I2916" s="3" t="s">
        <v>131</v>
      </c>
      <c r="J2916" s="3" t="n">
        <v>14</v>
      </c>
      <c r="K2916" s="3" t="n">
        <v>3747.7</v>
      </c>
      <c r="L2916" s="3" t="n">
        <v>52467.8</v>
      </c>
      <c r="M2916" s="3" t="n">
        <v>0.0505</v>
      </c>
      <c r="N2916" s="3" t="n">
        <v>2649.62</v>
      </c>
      <c r="O2916" s="3" t="n">
        <v>49818.18</v>
      </c>
      <c r="P2916" s="3" t="n">
        <v>35678.1</v>
      </c>
      <c r="Q2916" s="3" t="n">
        <v>14140.08</v>
      </c>
      <c r="R2916" s="3" t="n">
        <v>0.2838</v>
      </c>
      <c r="S2916" s="3" t="n">
        <v>0.0469</v>
      </c>
      <c r="T2916" s="3" t="n">
        <v>0.0036</v>
      </c>
    </row>
    <row r="2917" customFormat="false" ht="15" hidden="false" customHeight="true" outlineLevel="0" collapsed="false">
      <c r="A2917" s="3" t="s">
        <v>4017</v>
      </c>
      <c r="B2917" s="3" t="s">
        <v>1490</v>
      </c>
      <c r="C2917" s="3" t="s">
        <v>60</v>
      </c>
      <c r="D2917" s="3" t="s">
        <v>107</v>
      </c>
      <c r="E2917" s="3" t="s">
        <v>33</v>
      </c>
      <c r="F2917" s="3" t="s">
        <v>70</v>
      </c>
      <c r="G2917" s="3" t="s">
        <v>116</v>
      </c>
      <c r="H2917" s="3" t="s">
        <v>42</v>
      </c>
      <c r="I2917" s="3" t="s">
        <v>43</v>
      </c>
      <c r="J2917" s="3" t="n">
        <v>26</v>
      </c>
      <c r="K2917" s="3" t="n">
        <v>3050.48</v>
      </c>
      <c r="L2917" s="3" t="n">
        <v>79312.48</v>
      </c>
      <c r="M2917" s="3" t="n">
        <v>0.1252</v>
      </c>
      <c r="N2917" s="3" t="n">
        <v>9929.92</v>
      </c>
      <c r="O2917" s="3" t="n">
        <v>69382.56</v>
      </c>
      <c r="P2917" s="3" t="n">
        <v>43621.86</v>
      </c>
      <c r="Q2917" s="3" t="n">
        <v>25760.7</v>
      </c>
      <c r="R2917" s="3" t="n">
        <v>0.3713</v>
      </c>
      <c r="S2917" s="3" t="n">
        <v>0.1175</v>
      </c>
      <c r="T2917" s="3" t="n">
        <v>0.0077</v>
      </c>
    </row>
    <row r="2918" customFormat="false" ht="15" hidden="false" customHeight="true" outlineLevel="0" collapsed="false">
      <c r="A2918" s="3" t="s">
        <v>4018</v>
      </c>
      <c r="B2918" s="3" t="s">
        <v>2395</v>
      </c>
      <c r="C2918" s="3" t="s">
        <v>113</v>
      </c>
      <c r="D2918" s="3" t="s">
        <v>47</v>
      </c>
      <c r="E2918" s="3" t="s">
        <v>48</v>
      </c>
      <c r="F2918" s="3" t="s">
        <v>25</v>
      </c>
      <c r="G2918" s="3" t="s">
        <v>41</v>
      </c>
      <c r="H2918" s="3" t="s">
        <v>64</v>
      </c>
      <c r="I2918" s="3" t="s">
        <v>108</v>
      </c>
      <c r="J2918" s="3" t="n">
        <v>28</v>
      </c>
      <c r="K2918" s="3" t="n">
        <v>6826.03</v>
      </c>
      <c r="L2918" s="3" t="n">
        <v>191128.84</v>
      </c>
      <c r="M2918" s="3" t="n">
        <v>0.1993</v>
      </c>
      <c r="N2918" s="3" t="n">
        <v>38091.98</v>
      </c>
      <c r="O2918" s="3" t="n">
        <v>153036.86</v>
      </c>
      <c r="P2918" s="3" t="n">
        <v>110854.73</v>
      </c>
      <c r="Q2918" s="3" t="n">
        <v>42182.13</v>
      </c>
      <c r="R2918" s="3" t="n">
        <v>0.2756</v>
      </c>
      <c r="S2918" s="3" t="n">
        <v>0.1862</v>
      </c>
      <c r="T2918" s="3" t="n">
        <v>0.0131</v>
      </c>
    </row>
    <row r="2919" customFormat="false" ht="15" hidden="false" customHeight="true" outlineLevel="0" collapsed="false">
      <c r="A2919" s="3" t="s">
        <v>4019</v>
      </c>
      <c r="B2919" s="3" t="s">
        <v>1996</v>
      </c>
      <c r="C2919" s="3" t="s">
        <v>156</v>
      </c>
      <c r="D2919" s="3" t="s">
        <v>47</v>
      </c>
      <c r="E2919" s="3" t="s">
        <v>48</v>
      </c>
      <c r="F2919" s="3" t="s">
        <v>25</v>
      </c>
      <c r="G2919" s="3" t="s">
        <v>49</v>
      </c>
      <c r="H2919" s="3" t="s">
        <v>27</v>
      </c>
      <c r="I2919" s="3" t="s">
        <v>173</v>
      </c>
      <c r="J2919" s="3" t="n">
        <v>36</v>
      </c>
      <c r="K2919" s="3" t="n">
        <v>13408.26</v>
      </c>
      <c r="L2919" s="3" t="n">
        <v>482697.36</v>
      </c>
      <c r="M2919" s="3" t="n">
        <v>0.164</v>
      </c>
      <c r="N2919" s="3" t="n">
        <v>79162.37</v>
      </c>
      <c r="O2919" s="3" t="n">
        <v>403534.99</v>
      </c>
      <c r="P2919" s="3" t="n">
        <v>299272.36</v>
      </c>
      <c r="Q2919" s="3" t="n">
        <v>104262.63</v>
      </c>
      <c r="R2919" s="3" t="n">
        <v>0.2584</v>
      </c>
      <c r="S2919" s="3" t="n">
        <v>0.154</v>
      </c>
      <c r="T2919" s="3" t="n">
        <v>0.01</v>
      </c>
    </row>
    <row r="2920" customFormat="false" ht="15" hidden="false" customHeight="true" outlineLevel="0" collapsed="false">
      <c r="A2920" s="3" t="s">
        <v>4020</v>
      </c>
      <c r="B2920" s="3" t="s">
        <v>1566</v>
      </c>
      <c r="C2920" s="3" t="s">
        <v>37</v>
      </c>
      <c r="D2920" s="3" t="s">
        <v>38</v>
      </c>
      <c r="E2920" s="3" t="s">
        <v>39</v>
      </c>
      <c r="F2920" s="3" t="s">
        <v>40</v>
      </c>
      <c r="G2920" s="3" t="s">
        <v>49</v>
      </c>
      <c r="H2920" s="3" t="s">
        <v>56</v>
      </c>
      <c r="I2920" s="3" t="s">
        <v>188</v>
      </c>
      <c r="J2920" s="3" t="n">
        <v>7</v>
      </c>
      <c r="K2920" s="3" t="n">
        <v>11049.61</v>
      </c>
      <c r="L2920" s="3" t="n">
        <v>77347.27</v>
      </c>
      <c r="M2920" s="3" t="n">
        <v>0.0368</v>
      </c>
      <c r="N2920" s="3" t="n">
        <v>2846.38</v>
      </c>
      <c r="O2920" s="3" t="n">
        <v>74500.89</v>
      </c>
      <c r="P2920" s="3" t="n">
        <v>46408.36</v>
      </c>
      <c r="Q2920" s="3" t="n">
        <v>28092.53</v>
      </c>
      <c r="R2920" s="3" t="n">
        <v>0.3771</v>
      </c>
      <c r="S2920" s="3" t="n">
        <v>0.0363</v>
      </c>
      <c r="T2920" s="3" t="n">
        <v>0.0005</v>
      </c>
    </row>
    <row r="2921" customFormat="false" ht="15" hidden="false" customHeight="true" outlineLevel="0" collapsed="false">
      <c r="A2921" s="3" t="s">
        <v>4021</v>
      </c>
      <c r="B2921" s="3" t="s">
        <v>486</v>
      </c>
      <c r="C2921" s="3" t="s">
        <v>46</v>
      </c>
      <c r="D2921" s="3" t="s">
        <v>83</v>
      </c>
      <c r="E2921" s="3" t="s">
        <v>48</v>
      </c>
      <c r="F2921" s="3" t="s">
        <v>62</v>
      </c>
      <c r="G2921" s="3" t="s">
        <v>63</v>
      </c>
      <c r="H2921" s="3" t="s">
        <v>77</v>
      </c>
      <c r="I2921" s="3" t="s">
        <v>131</v>
      </c>
      <c r="J2921" s="3" t="n">
        <v>39</v>
      </c>
      <c r="K2921" s="3" t="n">
        <v>2749.04</v>
      </c>
      <c r="L2921" s="3" t="n">
        <v>107212.56</v>
      </c>
      <c r="M2921" s="3" t="n">
        <v>0.0718</v>
      </c>
      <c r="N2921" s="3" t="n">
        <v>7697.86</v>
      </c>
      <c r="O2921" s="3" t="n">
        <v>99514.7</v>
      </c>
      <c r="P2921" s="3" t="n">
        <v>72904.54</v>
      </c>
      <c r="Q2921" s="3" t="n">
        <v>26610.16</v>
      </c>
      <c r="R2921" s="3" t="n">
        <v>0.2674</v>
      </c>
      <c r="S2921" s="3" t="n">
        <v>0.0638</v>
      </c>
      <c r="T2921" s="3" t="n">
        <v>0.008</v>
      </c>
    </row>
    <row r="2922" customFormat="false" ht="15" hidden="false" customHeight="true" outlineLevel="0" collapsed="false">
      <c r="A2922" s="3" t="s">
        <v>4022</v>
      </c>
      <c r="B2922" s="3" t="s">
        <v>909</v>
      </c>
      <c r="C2922" s="3" t="s">
        <v>22</v>
      </c>
      <c r="D2922" s="3" t="s">
        <v>107</v>
      </c>
      <c r="E2922" s="3" t="s">
        <v>33</v>
      </c>
      <c r="F2922" s="3" t="s">
        <v>70</v>
      </c>
      <c r="G2922" s="3" t="s">
        <v>26</v>
      </c>
      <c r="H2922" s="3" t="s">
        <v>64</v>
      </c>
      <c r="I2922" s="3" t="s">
        <v>145</v>
      </c>
      <c r="J2922" s="3" t="n">
        <v>21</v>
      </c>
      <c r="K2922" s="3" t="n">
        <v>7789.81</v>
      </c>
      <c r="L2922" s="3" t="n">
        <v>163586.01</v>
      </c>
      <c r="M2922" s="3" t="n">
        <v>0.0315</v>
      </c>
      <c r="N2922" s="3" t="n">
        <v>5152.96</v>
      </c>
      <c r="O2922" s="3" t="n">
        <v>158433.05</v>
      </c>
      <c r="P2922" s="3" t="n">
        <v>94879.89</v>
      </c>
      <c r="Q2922" s="3" t="n">
        <v>63553.16</v>
      </c>
      <c r="R2922" s="3" t="n">
        <v>0.4011</v>
      </c>
      <c r="S2922" s="3" t="n">
        <v>0.0338</v>
      </c>
      <c r="T2922" s="3" t="n">
        <v>-0.0023</v>
      </c>
    </row>
    <row r="2923" customFormat="false" ht="15" hidden="false" customHeight="true" outlineLevel="0" collapsed="false">
      <c r="A2923" s="3" t="s">
        <v>4023</v>
      </c>
      <c r="B2923" s="3" t="s">
        <v>1738</v>
      </c>
      <c r="C2923" s="3" t="s">
        <v>113</v>
      </c>
      <c r="D2923" s="3" t="s">
        <v>54</v>
      </c>
      <c r="E2923" s="3" t="s">
        <v>24</v>
      </c>
      <c r="F2923" s="3" t="s">
        <v>40</v>
      </c>
      <c r="G2923" s="3" t="s">
        <v>116</v>
      </c>
      <c r="H2923" s="3" t="s">
        <v>27</v>
      </c>
      <c r="I2923" s="3" t="s">
        <v>173</v>
      </c>
      <c r="J2923" s="3" t="n">
        <v>50</v>
      </c>
      <c r="K2923" s="3" t="n">
        <v>36542.13</v>
      </c>
      <c r="L2923" s="3" t="n">
        <v>1827106.5</v>
      </c>
      <c r="M2923" s="3" t="n">
        <v>0.0887</v>
      </c>
      <c r="N2923" s="3" t="n">
        <v>162064.35</v>
      </c>
      <c r="O2923" s="3" t="n">
        <v>1665042.15</v>
      </c>
      <c r="P2923" s="3" t="n">
        <v>1132806.03</v>
      </c>
      <c r="Q2923" s="3" t="n">
        <v>532236.12</v>
      </c>
      <c r="R2923" s="3" t="n">
        <v>0.3197</v>
      </c>
      <c r="S2923" s="3" t="n">
        <v>0.0862</v>
      </c>
      <c r="T2923" s="3" t="n">
        <v>0.0025</v>
      </c>
    </row>
    <row r="2924" customFormat="false" ht="15" hidden="false" customHeight="true" outlineLevel="0" collapsed="false">
      <c r="A2924" s="3" t="s">
        <v>4024</v>
      </c>
      <c r="B2924" s="3" t="s">
        <v>642</v>
      </c>
      <c r="C2924" s="3" t="s">
        <v>120</v>
      </c>
      <c r="D2924" s="3" t="s">
        <v>75</v>
      </c>
      <c r="E2924" s="3" t="s">
        <v>39</v>
      </c>
      <c r="F2924" s="3" t="s">
        <v>25</v>
      </c>
      <c r="G2924" s="3" t="s">
        <v>63</v>
      </c>
      <c r="H2924" s="3" t="s">
        <v>56</v>
      </c>
      <c r="I2924" s="3" t="s">
        <v>57</v>
      </c>
      <c r="J2924" s="3" t="n">
        <v>6</v>
      </c>
      <c r="K2924" s="3" t="n">
        <v>7614.7</v>
      </c>
      <c r="L2924" s="3" t="n">
        <v>45688.2</v>
      </c>
      <c r="M2924" s="3" t="n">
        <v>0.132</v>
      </c>
      <c r="N2924" s="3" t="n">
        <v>6030.84</v>
      </c>
      <c r="O2924" s="3" t="n">
        <v>39657.36</v>
      </c>
      <c r="P2924" s="3" t="n">
        <v>27412.92</v>
      </c>
      <c r="Q2924" s="3" t="n">
        <v>12244.44</v>
      </c>
      <c r="R2924" s="3" t="n">
        <v>0.3088</v>
      </c>
      <c r="S2924" s="3" t="n">
        <v>0.139</v>
      </c>
      <c r="T2924" s="3" t="n">
        <v>-0.007</v>
      </c>
    </row>
    <row r="2925" customFormat="false" ht="15" hidden="false" customHeight="true" outlineLevel="0" collapsed="false">
      <c r="A2925" s="3" t="s">
        <v>4025</v>
      </c>
      <c r="B2925" s="3" t="s">
        <v>1121</v>
      </c>
      <c r="C2925" s="3" t="s">
        <v>113</v>
      </c>
      <c r="D2925" s="3" t="s">
        <v>54</v>
      </c>
      <c r="E2925" s="3" t="s">
        <v>24</v>
      </c>
      <c r="F2925" s="3" t="s">
        <v>40</v>
      </c>
      <c r="G2925" s="3" t="s">
        <v>104</v>
      </c>
      <c r="H2925" s="3" t="s">
        <v>56</v>
      </c>
      <c r="I2925" s="3" t="s">
        <v>57</v>
      </c>
      <c r="J2925" s="3" t="n">
        <v>42</v>
      </c>
      <c r="K2925" s="3" t="n">
        <v>2897.32</v>
      </c>
      <c r="L2925" s="3" t="n">
        <v>121687.44</v>
      </c>
      <c r="M2925" s="3" t="n">
        <v>0.0698</v>
      </c>
      <c r="N2925" s="3" t="n">
        <v>8493.78</v>
      </c>
      <c r="O2925" s="3" t="n">
        <v>113193.66</v>
      </c>
      <c r="P2925" s="3" t="n">
        <v>73012.46</v>
      </c>
      <c r="Q2925" s="3" t="n">
        <v>40181.2</v>
      </c>
      <c r="R2925" s="3" t="n">
        <v>0.355</v>
      </c>
      <c r="S2925" s="3" t="n">
        <v>0.0613</v>
      </c>
      <c r="T2925" s="3" t="n">
        <v>0.0085</v>
      </c>
    </row>
    <row r="2926" customFormat="false" ht="15" hidden="false" customHeight="true" outlineLevel="0" collapsed="false">
      <c r="A2926" s="3" t="s">
        <v>4026</v>
      </c>
      <c r="B2926" s="3" t="s">
        <v>3510</v>
      </c>
      <c r="C2926" s="3" t="s">
        <v>93</v>
      </c>
      <c r="D2926" s="3" t="s">
        <v>38</v>
      </c>
      <c r="E2926" s="3" t="s">
        <v>39</v>
      </c>
      <c r="F2926" s="3" t="s">
        <v>40</v>
      </c>
      <c r="G2926" s="3" t="s">
        <v>100</v>
      </c>
      <c r="H2926" s="3" t="s">
        <v>64</v>
      </c>
      <c r="I2926" s="3" t="s">
        <v>90</v>
      </c>
      <c r="J2926" s="3" t="n">
        <v>32</v>
      </c>
      <c r="K2926" s="3" t="n">
        <v>10517.44</v>
      </c>
      <c r="L2926" s="3" t="n">
        <v>336558.08</v>
      </c>
      <c r="M2926" s="3" t="n">
        <v>0.0475</v>
      </c>
      <c r="N2926" s="3" t="n">
        <v>15986.51</v>
      </c>
      <c r="O2926" s="3" t="n">
        <v>320571.57</v>
      </c>
      <c r="P2926" s="3" t="n">
        <v>195203.69</v>
      </c>
      <c r="Q2926" s="3" t="n">
        <v>125367.88</v>
      </c>
      <c r="R2926" s="3" t="n">
        <v>0.3911</v>
      </c>
      <c r="S2926" s="3" t="n">
        <v>0.0521</v>
      </c>
      <c r="T2926" s="3" t="n">
        <v>-0.0046</v>
      </c>
    </row>
    <row r="2927" customFormat="false" ht="15" hidden="false" customHeight="true" outlineLevel="0" collapsed="false">
      <c r="A2927" s="3" t="s">
        <v>4027</v>
      </c>
      <c r="B2927" s="3" t="s">
        <v>4028</v>
      </c>
      <c r="C2927" s="3" t="s">
        <v>156</v>
      </c>
      <c r="D2927" s="3" t="s">
        <v>23</v>
      </c>
      <c r="E2927" s="3" t="s">
        <v>24</v>
      </c>
      <c r="F2927" s="3" t="s">
        <v>25</v>
      </c>
      <c r="G2927" s="3" t="s">
        <v>41</v>
      </c>
      <c r="H2927" s="3" t="s">
        <v>64</v>
      </c>
      <c r="I2927" s="3" t="s">
        <v>65</v>
      </c>
      <c r="J2927" s="3" t="n">
        <v>2</v>
      </c>
      <c r="K2927" s="3" t="n">
        <v>8306.86</v>
      </c>
      <c r="L2927" s="3" t="n">
        <v>16613.72</v>
      </c>
      <c r="M2927" s="3" t="n">
        <v>0.1607</v>
      </c>
      <c r="N2927" s="3" t="n">
        <v>2669.82</v>
      </c>
      <c r="O2927" s="3" t="n">
        <v>13943.9</v>
      </c>
      <c r="P2927" s="3" t="n">
        <v>9635.96</v>
      </c>
      <c r="Q2927" s="3" t="n">
        <v>4307.94</v>
      </c>
      <c r="R2927" s="3" t="n">
        <v>0.3089</v>
      </c>
      <c r="S2927" s="3" t="n">
        <v>0.1316</v>
      </c>
      <c r="T2927" s="3" t="n">
        <v>0.0291</v>
      </c>
    </row>
    <row r="2928" customFormat="false" ht="15" hidden="false" customHeight="true" outlineLevel="0" collapsed="false">
      <c r="A2928" s="3" t="s">
        <v>4029</v>
      </c>
      <c r="B2928" s="3" t="s">
        <v>781</v>
      </c>
      <c r="C2928" s="3" t="s">
        <v>31</v>
      </c>
      <c r="D2928" s="3" t="s">
        <v>107</v>
      </c>
      <c r="E2928" s="3" t="s">
        <v>33</v>
      </c>
      <c r="F2928" s="3" t="s">
        <v>70</v>
      </c>
      <c r="G2928" s="3" t="s">
        <v>104</v>
      </c>
      <c r="H2928" s="3" t="s">
        <v>77</v>
      </c>
      <c r="I2928" s="3" t="s">
        <v>85</v>
      </c>
      <c r="J2928" s="3" t="n">
        <v>11</v>
      </c>
      <c r="K2928" s="3" t="n">
        <v>3568.36</v>
      </c>
      <c r="L2928" s="3" t="n">
        <v>39251.96</v>
      </c>
      <c r="M2928" s="3" t="n">
        <v>0.1173</v>
      </c>
      <c r="N2928" s="3" t="n">
        <v>4604.25</v>
      </c>
      <c r="O2928" s="3" t="n">
        <v>34647.71</v>
      </c>
      <c r="P2928" s="3" t="n">
        <v>26691.33</v>
      </c>
      <c r="Q2928" s="3" t="n">
        <v>7956.38</v>
      </c>
      <c r="R2928" s="3" t="n">
        <v>0.2296</v>
      </c>
      <c r="S2928" s="3" t="n">
        <v>0.1172</v>
      </c>
      <c r="T2928" s="3" t="n">
        <v>0.0001</v>
      </c>
    </row>
    <row r="2929" customFormat="false" ht="15" hidden="false" customHeight="true" outlineLevel="0" collapsed="false">
      <c r="A2929" s="3" t="s">
        <v>4030</v>
      </c>
      <c r="B2929" s="3" t="s">
        <v>963</v>
      </c>
      <c r="C2929" s="3" t="s">
        <v>120</v>
      </c>
      <c r="D2929" s="3" t="s">
        <v>38</v>
      </c>
      <c r="E2929" s="3" t="s">
        <v>39</v>
      </c>
      <c r="F2929" s="3" t="s">
        <v>40</v>
      </c>
      <c r="G2929" s="3" t="s">
        <v>41</v>
      </c>
      <c r="H2929" s="3" t="s">
        <v>42</v>
      </c>
      <c r="I2929" s="3" t="s">
        <v>43</v>
      </c>
      <c r="J2929" s="3" t="n">
        <v>13</v>
      </c>
      <c r="K2929" s="3" t="n">
        <v>1067.18</v>
      </c>
      <c r="L2929" s="3" t="n">
        <v>13873.34</v>
      </c>
      <c r="M2929" s="3" t="n">
        <v>0.0788</v>
      </c>
      <c r="N2929" s="3" t="n">
        <v>1093.22</v>
      </c>
      <c r="O2929" s="3" t="n">
        <v>12780.12</v>
      </c>
      <c r="P2929" s="3" t="n">
        <v>7630.34</v>
      </c>
      <c r="Q2929" s="3" t="n">
        <v>5149.78</v>
      </c>
      <c r="R2929" s="3" t="n">
        <v>0.403</v>
      </c>
      <c r="S2929" s="3" t="n">
        <v>0.0781</v>
      </c>
      <c r="T2929" s="3" t="n">
        <v>0.0007</v>
      </c>
    </row>
    <row r="2930" customFormat="false" ht="15" hidden="false" customHeight="true" outlineLevel="0" collapsed="false">
      <c r="A2930" s="3" t="s">
        <v>4031</v>
      </c>
      <c r="B2930" s="3" t="s">
        <v>3996</v>
      </c>
      <c r="C2930" s="3" t="s">
        <v>53</v>
      </c>
      <c r="D2930" s="3" t="s">
        <v>32</v>
      </c>
      <c r="E2930" s="3" t="s">
        <v>33</v>
      </c>
      <c r="F2930" s="3" t="s">
        <v>25</v>
      </c>
      <c r="G2930" s="3" t="s">
        <v>104</v>
      </c>
      <c r="H2930" s="3" t="s">
        <v>77</v>
      </c>
      <c r="I2930" s="3" t="s">
        <v>131</v>
      </c>
      <c r="J2930" s="3" t="n">
        <v>32</v>
      </c>
      <c r="K2930" s="3" t="n">
        <v>1265.47</v>
      </c>
      <c r="L2930" s="3" t="n">
        <v>40495.04</v>
      </c>
      <c r="M2930" s="3" t="n">
        <v>0.129</v>
      </c>
      <c r="N2930" s="3" t="n">
        <v>5223.86</v>
      </c>
      <c r="O2930" s="3" t="n">
        <v>35271.18</v>
      </c>
      <c r="P2930" s="3" t="n">
        <v>27536.63</v>
      </c>
      <c r="Q2930" s="3" t="n">
        <v>7734.55</v>
      </c>
      <c r="R2930" s="3" t="n">
        <v>0.2193</v>
      </c>
      <c r="S2930" s="3" t="n">
        <v>0.1336</v>
      </c>
      <c r="T2930" s="3" t="n">
        <v>-0.0046</v>
      </c>
    </row>
    <row r="2931" customFormat="false" ht="15" hidden="false" customHeight="true" outlineLevel="0" collapsed="false">
      <c r="A2931" s="3" t="s">
        <v>4032</v>
      </c>
      <c r="B2931" s="3" t="s">
        <v>3808</v>
      </c>
      <c r="C2931" s="3" t="s">
        <v>126</v>
      </c>
      <c r="D2931" s="3" t="s">
        <v>47</v>
      </c>
      <c r="E2931" s="3" t="s">
        <v>48</v>
      </c>
      <c r="F2931" s="3" t="s">
        <v>25</v>
      </c>
      <c r="G2931" s="3" t="s">
        <v>76</v>
      </c>
      <c r="H2931" s="3" t="s">
        <v>77</v>
      </c>
      <c r="I2931" s="3" t="s">
        <v>131</v>
      </c>
      <c r="J2931" s="3" t="n">
        <v>37</v>
      </c>
      <c r="K2931" s="3" t="n">
        <v>4568.4</v>
      </c>
      <c r="L2931" s="3" t="n">
        <v>169030.8</v>
      </c>
      <c r="M2931" s="3" t="n">
        <v>0.1117</v>
      </c>
      <c r="N2931" s="3" t="n">
        <v>18880.74</v>
      </c>
      <c r="O2931" s="3" t="n">
        <v>150150.06</v>
      </c>
      <c r="P2931" s="3" t="n">
        <v>114940.94</v>
      </c>
      <c r="Q2931" s="3" t="n">
        <v>35209.12</v>
      </c>
      <c r="R2931" s="3" t="n">
        <v>0.2345</v>
      </c>
      <c r="S2931" s="3" t="n">
        <v>0.1227</v>
      </c>
      <c r="T2931" s="3" t="n">
        <v>-0.011</v>
      </c>
    </row>
    <row r="2932" customFormat="false" ht="15" hidden="false" customHeight="true" outlineLevel="0" collapsed="false">
      <c r="A2932" s="3" t="s">
        <v>4033</v>
      </c>
      <c r="B2932" s="3" t="s">
        <v>1090</v>
      </c>
      <c r="C2932" s="3" t="s">
        <v>126</v>
      </c>
      <c r="D2932" s="3" t="s">
        <v>97</v>
      </c>
      <c r="E2932" s="3" t="s">
        <v>48</v>
      </c>
      <c r="F2932" s="3" t="s">
        <v>40</v>
      </c>
      <c r="G2932" s="3" t="s">
        <v>26</v>
      </c>
      <c r="H2932" s="3" t="s">
        <v>42</v>
      </c>
      <c r="I2932" s="3" t="s">
        <v>134</v>
      </c>
      <c r="J2932" s="3" t="n">
        <v>42</v>
      </c>
      <c r="K2932" s="3" t="n">
        <v>822.08</v>
      </c>
      <c r="L2932" s="3" t="n">
        <v>34527.36</v>
      </c>
      <c r="M2932" s="3" t="n">
        <v>0.0681</v>
      </c>
      <c r="N2932" s="3" t="n">
        <v>2351.31</v>
      </c>
      <c r="O2932" s="3" t="n">
        <v>32176.05</v>
      </c>
      <c r="P2932" s="3" t="n">
        <v>18990.05</v>
      </c>
      <c r="Q2932" s="3" t="n">
        <v>13186</v>
      </c>
      <c r="R2932" s="3" t="n">
        <v>0.4098</v>
      </c>
      <c r="S2932" s="3" t="n">
        <v>0.0625</v>
      </c>
      <c r="T2932" s="3" t="n">
        <v>0.0056</v>
      </c>
    </row>
    <row r="2933" customFormat="false" ht="15" hidden="false" customHeight="true" outlineLevel="0" collapsed="false">
      <c r="A2933" s="3" t="s">
        <v>4034</v>
      </c>
      <c r="B2933" s="3" t="s">
        <v>2019</v>
      </c>
      <c r="C2933" s="3" t="s">
        <v>68</v>
      </c>
      <c r="D2933" s="3" t="s">
        <v>23</v>
      </c>
      <c r="E2933" s="3" t="s">
        <v>24</v>
      </c>
      <c r="F2933" s="3" t="s">
        <v>25</v>
      </c>
      <c r="G2933" s="3" t="s">
        <v>63</v>
      </c>
      <c r="H2933" s="3" t="s">
        <v>56</v>
      </c>
      <c r="I2933" s="3" t="s">
        <v>57</v>
      </c>
      <c r="J2933" s="3" t="n">
        <v>32</v>
      </c>
      <c r="K2933" s="3" t="n">
        <v>12852.63</v>
      </c>
      <c r="L2933" s="3" t="n">
        <v>411284.16</v>
      </c>
      <c r="M2933" s="3" t="n">
        <v>0.1404</v>
      </c>
      <c r="N2933" s="3" t="n">
        <v>57744.3</v>
      </c>
      <c r="O2933" s="3" t="n">
        <v>353539.86</v>
      </c>
      <c r="P2933" s="3" t="n">
        <v>246770.5</v>
      </c>
      <c r="Q2933" s="3" t="n">
        <v>106769.36</v>
      </c>
      <c r="R2933" s="3" t="n">
        <v>0.302</v>
      </c>
      <c r="S2933" s="3" t="n">
        <v>0.1456</v>
      </c>
      <c r="T2933" s="3" t="n">
        <v>-0.0052</v>
      </c>
    </row>
    <row r="2934" customFormat="false" ht="15" hidden="false" customHeight="true" outlineLevel="0" collapsed="false">
      <c r="A2934" s="3" t="s">
        <v>4035</v>
      </c>
      <c r="B2934" s="3" t="s">
        <v>585</v>
      </c>
      <c r="C2934" s="3" t="s">
        <v>126</v>
      </c>
      <c r="D2934" s="3" t="s">
        <v>103</v>
      </c>
      <c r="E2934" s="3" t="s">
        <v>24</v>
      </c>
      <c r="F2934" s="3" t="s">
        <v>62</v>
      </c>
      <c r="G2934" s="3" t="s">
        <v>49</v>
      </c>
      <c r="H2934" s="3" t="s">
        <v>42</v>
      </c>
      <c r="I2934" s="3" t="s">
        <v>134</v>
      </c>
      <c r="J2934" s="3" t="n">
        <v>22</v>
      </c>
      <c r="K2934" s="3" t="n">
        <v>1266.04</v>
      </c>
      <c r="L2934" s="3" t="n">
        <v>27852.88</v>
      </c>
      <c r="M2934" s="3" t="n">
        <v>0.0662</v>
      </c>
      <c r="N2934" s="3" t="n">
        <v>1843.86</v>
      </c>
      <c r="O2934" s="3" t="n">
        <v>26009.02</v>
      </c>
      <c r="P2934" s="3" t="n">
        <v>15319.08</v>
      </c>
      <c r="Q2934" s="3" t="n">
        <v>10689.94</v>
      </c>
      <c r="R2934" s="3" t="n">
        <v>0.411</v>
      </c>
      <c r="S2934" s="3" t="n">
        <v>0.0605</v>
      </c>
      <c r="T2934" s="3" t="n">
        <v>0.0057</v>
      </c>
    </row>
    <row r="2935" customFormat="false" ht="15" hidden="false" customHeight="true" outlineLevel="0" collapsed="false">
      <c r="A2935" s="3" t="s">
        <v>4036</v>
      </c>
      <c r="B2935" s="3" t="s">
        <v>3578</v>
      </c>
      <c r="C2935" s="3" t="s">
        <v>126</v>
      </c>
      <c r="D2935" s="3" t="s">
        <v>47</v>
      </c>
      <c r="E2935" s="3" t="s">
        <v>48</v>
      </c>
      <c r="F2935" s="3" t="s">
        <v>25</v>
      </c>
      <c r="G2935" s="3" t="s">
        <v>71</v>
      </c>
      <c r="H2935" s="3" t="s">
        <v>56</v>
      </c>
      <c r="I2935" s="3" t="s">
        <v>121</v>
      </c>
      <c r="J2935" s="3" t="n">
        <v>23</v>
      </c>
      <c r="K2935" s="3" t="n">
        <v>15163.54</v>
      </c>
      <c r="L2935" s="3" t="n">
        <v>348761.42</v>
      </c>
      <c r="M2935" s="3" t="n">
        <v>0.1575</v>
      </c>
      <c r="N2935" s="3" t="n">
        <v>54929.92</v>
      </c>
      <c r="O2935" s="3" t="n">
        <v>293831.5</v>
      </c>
      <c r="P2935" s="3" t="n">
        <v>209256.85</v>
      </c>
      <c r="Q2935" s="3" t="n">
        <v>84574.65</v>
      </c>
      <c r="R2935" s="3" t="n">
        <v>0.2878</v>
      </c>
      <c r="S2935" s="3" t="n">
        <v>0.1499</v>
      </c>
      <c r="T2935" s="3" t="n">
        <v>0.0076</v>
      </c>
    </row>
    <row r="2936" customFormat="false" ht="15" hidden="false" customHeight="true" outlineLevel="0" collapsed="false">
      <c r="A2936" s="3" t="s">
        <v>4037</v>
      </c>
      <c r="B2936" s="3" t="s">
        <v>1516</v>
      </c>
      <c r="C2936" s="3" t="s">
        <v>60</v>
      </c>
      <c r="D2936" s="3" t="s">
        <v>54</v>
      </c>
      <c r="E2936" s="3" t="s">
        <v>24</v>
      </c>
      <c r="F2936" s="3" t="s">
        <v>40</v>
      </c>
      <c r="G2936" s="3" t="s">
        <v>34</v>
      </c>
      <c r="H2936" s="3" t="s">
        <v>56</v>
      </c>
      <c r="I2936" s="3" t="s">
        <v>121</v>
      </c>
      <c r="J2936" s="3" t="n">
        <v>23</v>
      </c>
      <c r="K2936" s="3" t="n">
        <v>12581.61</v>
      </c>
      <c r="L2936" s="3" t="n">
        <v>289377.03</v>
      </c>
      <c r="M2936" s="3" t="n">
        <v>0.1205</v>
      </c>
      <c r="N2936" s="3" t="n">
        <v>34869.93</v>
      </c>
      <c r="O2936" s="3" t="n">
        <v>254507.1</v>
      </c>
      <c r="P2936" s="3" t="n">
        <v>173626.22</v>
      </c>
      <c r="Q2936" s="3" t="n">
        <v>80880.88</v>
      </c>
      <c r="R2936" s="3" t="n">
        <v>0.3178</v>
      </c>
      <c r="S2936" s="3" t="n">
        <v>0.1273</v>
      </c>
      <c r="T2936" s="3" t="n">
        <v>-0.0068</v>
      </c>
    </row>
    <row r="2937" customFormat="false" ht="15" hidden="false" customHeight="true" outlineLevel="0" collapsed="false">
      <c r="A2937" s="3" t="s">
        <v>4038</v>
      </c>
      <c r="B2937" s="3" t="s">
        <v>596</v>
      </c>
      <c r="C2937" s="3" t="s">
        <v>60</v>
      </c>
      <c r="D2937" s="3" t="s">
        <v>83</v>
      </c>
      <c r="E2937" s="3" t="s">
        <v>48</v>
      </c>
      <c r="F2937" s="3" t="s">
        <v>62</v>
      </c>
      <c r="G2937" s="3" t="s">
        <v>63</v>
      </c>
      <c r="H2937" s="3" t="s">
        <v>64</v>
      </c>
      <c r="I2937" s="3" t="s">
        <v>90</v>
      </c>
      <c r="J2937" s="3" t="n">
        <v>34</v>
      </c>
      <c r="K2937" s="3" t="n">
        <v>10468.83</v>
      </c>
      <c r="L2937" s="3" t="n">
        <v>355940.22</v>
      </c>
      <c r="M2937" s="3" t="n">
        <v>0.0457</v>
      </c>
      <c r="N2937" s="3" t="n">
        <v>16266.47</v>
      </c>
      <c r="O2937" s="3" t="n">
        <v>339673.75</v>
      </c>
      <c r="P2937" s="3" t="n">
        <v>206445.33</v>
      </c>
      <c r="Q2937" s="3" t="n">
        <v>133228.42</v>
      </c>
      <c r="R2937" s="3" t="n">
        <v>0.3922</v>
      </c>
      <c r="S2937" s="3" t="n">
        <v>0.0369</v>
      </c>
      <c r="T2937" s="3" t="n">
        <v>0.0088</v>
      </c>
    </row>
    <row r="2938" customFormat="false" ht="15" hidden="false" customHeight="true" outlineLevel="0" collapsed="false">
      <c r="A2938" s="3" t="s">
        <v>4039</v>
      </c>
      <c r="B2938" s="3" t="s">
        <v>926</v>
      </c>
      <c r="C2938" s="3" t="s">
        <v>126</v>
      </c>
      <c r="D2938" s="3" t="s">
        <v>23</v>
      </c>
      <c r="E2938" s="3" t="s">
        <v>24</v>
      </c>
      <c r="F2938" s="3" t="s">
        <v>25</v>
      </c>
      <c r="G2938" s="3" t="s">
        <v>49</v>
      </c>
      <c r="H2938" s="3" t="s">
        <v>77</v>
      </c>
      <c r="I2938" s="3" t="s">
        <v>78</v>
      </c>
      <c r="J2938" s="3" t="n">
        <v>1</v>
      </c>
      <c r="K2938" s="3" t="n">
        <v>3717.72</v>
      </c>
      <c r="L2938" s="3" t="n">
        <v>3717.72</v>
      </c>
      <c r="M2938" s="3" t="n">
        <v>0.1883</v>
      </c>
      <c r="N2938" s="3" t="n">
        <v>700.05</v>
      </c>
      <c r="O2938" s="3" t="n">
        <v>3017.67</v>
      </c>
      <c r="P2938" s="3" t="n">
        <v>2528.05</v>
      </c>
      <c r="Q2938" s="3" t="n">
        <v>489.62</v>
      </c>
      <c r="R2938" s="3" t="n">
        <v>0.1623</v>
      </c>
      <c r="S2938" s="3" t="n">
        <v>0.1644</v>
      </c>
      <c r="T2938" s="3" t="n">
        <v>0.0239</v>
      </c>
    </row>
    <row r="2939" customFormat="false" ht="15" hidden="false" customHeight="true" outlineLevel="0" collapsed="false">
      <c r="A2939" s="3" t="s">
        <v>4040</v>
      </c>
      <c r="B2939" s="3" t="s">
        <v>1497</v>
      </c>
      <c r="C2939" s="3" t="s">
        <v>31</v>
      </c>
      <c r="D2939" s="3" t="s">
        <v>23</v>
      </c>
      <c r="E2939" s="3" t="s">
        <v>24</v>
      </c>
      <c r="F2939" s="3" t="s">
        <v>25</v>
      </c>
      <c r="G2939" s="3" t="s">
        <v>100</v>
      </c>
      <c r="H2939" s="3" t="s">
        <v>77</v>
      </c>
      <c r="I2939" s="3" t="s">
        <v>85</v>
      </c>
      <c r="J2939" s="3" t="n">
        <v>42</v>
      </c>
      <c r="K2939" s="3" t="n">
        <v>2248.53</v>
      </c>
      <c r="L2939" s="3" t="n">
        <v>94438.26</v>
      </c>
      <c r="M2939" s="3" t="n">
        <v>0.1021</v>
      </c>
      <c r="N2939" s="3" t="n">
        <v>9642.15</v>
      </c>
      <c r="O2939" s="3" t="n">
        <v>84796.11</v>
      </c>
      <c r="P2939" s="3" t="n">
        <v>64218.02</v>
      </c>
      <c r="Q2939" s="3" t="n">
        <v>20578.09</v>
      </c>
      <c r="R2939" s="3" t="n">
        <v>0.2427</v>
      </c>
      <c r="S2939" s="3" t="n">
        <v>0.1122</v>
      </c>
      <c r="T2939" s="3" t="n">
        <v>-0.0101</v>
      </c>
    </row>
    <row r="2940" customFormat="false" ht="15" hidden="false" customHeight="true" outlineLevel="0" collapsed="false">
      <c r="A2940" s="3" t="s">
        <v>4041</v>
      </c>
      <c r="B2940" s="3" t="s">
        <v>2489</v>
      </c>
      <c r="C2940" s="3" t="s">
        <v>22</v>
      </c>
      <c r="D2940" s="3" t="s">
        <v>97</v>
      </c>
      <c r="E2940" s="3" t="s">
        <v>48</v>
      </c>
      <c r="F2940" s="3" t="s">
        <v>40</v>
      </c>
      <c r="G2940" s="3" t="s">
        <v>104</v>
      </c>
      <c r="H2940" s="3" t="s">
        <v>42</v>
      </c>
      <c r="I2940" s="3" t="s">
        <v>72</v>
      </c>
      <c r="J2940" s="3" t="n">
        <v>49</v>
      </c>
      <c r="K2940" s="3" t="n">
        <v>1746.11</v>
      </c>
      <c r="L2940" s="3" t="n">
        <v>85559.39</v>
      </c>
      <c r="M2940" s="3" t="n">
        <v>0.0984</v>
      </c>
      <c r="N2940" s="3" t="n">
        <v>8419.04</v>
      </c>
      <c r="O2940" s="3" t="n">
        <v>77140.35</v>
      </c>
      <c r="P2940" s="3" t="n">
        <v>47057.66</v>
      </c>
      <c r="Q2940" s="3" t="n">
        <v>30082.69</v>
      </c>
      <c r="R2940" s="3" t="n">
        <v>0.39</v>
      </c>
      <c r="S2940" s="3" t="n">
        <v>0.0894</v>
      </c>
      <c r="T2940" s="3" t="n">
        <v>0.009</v>
      </c>
    </row>
    <row r="2941" customFormat="false" ht="15" hidden="false" customHeight="true" outlineLevel="0" collapsed="false">
      <c r="A2941" s="3" t="s">
        <v>4042</v>
      </c>
      <c r="B2941" s="3" t="s">
        <v>2116</v>
      </c>
      <c r="C2941" s="3" t="s">
        <v>156</v>
      </c>
      <c r="D2941" s="3" t="s">
        <v>97</v>
      </c>
      <c r="E2941" s="3" t="s">
        <v>48</v>
      </c>
      <c r="F2941" s="3" t="s">
        <v>40</v>
      </c>
      <c r="G2941" s="3" t="s">
        <v>41</v>
      </c>
      <c r="H2941" s="3" t="s">
        <v>27</v>
      </c>
      <c r="I2941" s="3" t="s">
        <v>94</v>
      </c>
      <c r="J2941" s="3" t="n">
        <v>26</v>
      </c>
      <c r="K2941" s="3" t="n">
        <v>25024.37</v>
      </c>
      <c r="L2941" s="3" t="n">
        <v>650633.62</v>
      </c>
      <c r="M2941" s="3" t="n">
        <v>0.1025</v>
      </c>
      <c r="N2941" s="3" t="n">
        <v>66689.95</v>
      </c>
      <c r="O2941" s="3" t="n">
        <v>583943.67</v>
      </c>
      <c r="P2941" s="3" t="n">
        <v>403392.84</v>
      </c>
      <c r="Q2941" s="3" t="n">
        <v>180550.83</v>
      </c>
      <c r="R2941" s="3" t="n">
        <v>0.3092</v>
      </c>
      <c r="S2941" s="3" t="n">
        <v>0.0836</v>
      </c>
      <c r="T2941" s="3" t="n">
        <v>0.0189</v>
      </c>
    </row>
    <row r="2942" customFormat="false" ht="15" hidden="false" customHeight="true" outlineLevel="0" collapsed="false">
      <c r="A2942" s="3" t="s">
        <v>4043</v>
      </c>
      <c r="B2942" s="3" t="s">
        <v>1398</v>
      </c>
      <c r="C2942" s="3" t="s">
        <v>93</v>
      </c>
      <c r="D2942" s="3" t="s">
        <v>69</v>
      </c>
      <c r="E2942" s="3" t="s">
        <v>39</v>
      </c>
      <c r="F2942" s="3" t="s">
        <v>70</v>
      </c>
      <c r="G2942" s="3" t="s">
        <v>55</v>
      </c>
      <c r="H2942" s="3" t="s">
        <v>42</v>
      </c>
      <c r="I2942" s="3" t="s">
        <v>43</v>
      </c>
      <c r="J2942" s="3" t="n">
        <v>37</v>
      </c>
      <c r="K2942" s="3" t="n">
        <v>3154.71</v>
      </c>
      <c r="L2942" s="3" t="n">
        <v>116724.27</v>
      </c>
      <c r="M2942" s="3" t="n">
        <v>0.0323</v>
      </c>
      <c r="N2942" s="3" t="n">
        <v>3770.19</v>
      </c>
      <c r="O2942" s="3" t="n">
        <v>112954.08</v>
      </c>
      <c r="P2942" s="3" t="n">
        <v>64198.35</v>
      </c>
      <c r="Q2942" s="3" t="n">
        <v>48755.73</v>
      </c>
      <c r="R2942" s="3" t="n">
        <v>0.4316</v>
      </c>
      <c r="S2942" s="3" t="n">
        <v>0.0302</v>
      </c>
      <c r="T2942" s="3" t="n">
        <v>0.0021</v>
      </c>
    </row>
    <row r="2943" customFormat="false" ht="15" hidden="false" customHeight="true" outlineLevel="0" collapsed="false">
      <c r="A2943" s="3" t="s">
        <v>4044</v>
      </c>
      <c r="B2943" s="3" t="s">
        <v>4045</v>
      </c>
      <c r="C2943" s="3" t="s">
        <v>37</v>
      </c>
      <c r="D2943" s="3" t="s">
        <v>97</v>
      </c>
      <c r="E2943" s="3" t="s">
        <v>48</v>
      </c>
      <c r="F2943" s="3" t="s">
        <v>40</v>
      </c>
      <c r="G2943" s="3" t="s">
        <v>55</v>
      </c>
      <c r="H2943" s="3" t="s">
        <v>77</v>
      </c>
      <c r="I2943" s="3" t="s">
        <v>131</v>
      </c>
      <c r="J2943" s="3" t="n">
        <v>41</v>
      </c>
      <c r="K2943" s="3" t="n">
        <v>2710.71</v>
      </c>
      <c r="L2943" s="3" t="n">
        <v>111139.11</v>
      </c>
      <c r="M2943" s="3" t="n">
        <v>0.0694</v>
      </c>
      <c r="N2943" s="3" t="n">
        <v>7713.05</v>
      </c>
      <c r="O2943" s="3" t="n">
        <v>103426.06</v>
      </c>
      <c r="P2943" s="3" t="n">
        <v>75574.59</v>
      </c>
      <c r="Q2943" s="3" t="n">
        <v>27851.47</v>
      </c>
      <c r="R2943" s="3" t="n">
        <v>0.2693</v>
      </c>
      <c r="S2943" s="3" t="n">
        <v>0.0694</v>
      </c>
      <c r="T2943" s="3" t="n">
        <v>0</v>
      </c>
    </row>
    <row r="2944" customFormat="false" ht="15" hidden="false" customHeight="true" outlineLevel="0" collapsed="false">
      <c r="A2944" s="3" t="s">
        <v>4046</v>
      </c>
      <c r="B2944" s="3" t="s">
        <v>2544</v>
      </c>
      <c r="C2944" s="3" t="s">
        <v>37</v>
      </c>
      <c r="D2944" s="3" t="s">
        <v>23</v>
      </c>
      <c r="E2944" s="3" t="s">
        <v>24</v>
      </c>
      <c r="F2944" s="3" t="s">
        <v>25</v>
      </c>
      <c r="G2944" s="3" t="s">
        <v>100</v>
      </c>
      <c r="H2944" s="3" t="s">
        <v>27</v>
      </c>
      <c r="I2944" s="3" t="s">
        <v>117</v>
      </c>
      <c r="J2944" s="3" t="n">
        <v>5</v>
      </c>
      <c r="K2944" s="3" t="n">
        <v>37612.04</v>
      </c>
      <c r="L2944" s="3" t="n">
        <v>188060.2</v>
      </c>
      <c r="M2944" s="3" t="n">
        <v>0.1179</v>
      </c>
      <c r="N2944" s="3" t="n">
        <v>22172.3</v>
      </c>
      <c r="O2944" s="3" t="n">
        <v>165887.9</v>
      </c>
      <c r="P2944" s="3" t="n">
        <v>116597.32</v>
      </c>
      <c r="Q2944" s="3" t="n">
        <v>49290.58</v>
      </c>
      <c r="R2944" s="3" t="n">
        <v>0.2971</v>
      </c>
      <c r="S2944" s="3" t="n">
        <v>0.0982</v>
      </c>
      <c r="T2944" s="3" t="n">
        <v>0.0197</v>
      </c>
    </row>
    <row r="2945" customFormat="false" ht="15" hidden="false" customHeight="true" outlineLevel="0" collapsed="false">
      <c r="A2945" s="3" t="s">
        <v>4047</v>
      </c>
      <c r="B2945" s="3" t="s">
        <v>2170</v>
      </c>
      <c r="C2945" s="3" t="s">
        <v>120</v>
      </c>
      <c r="D2945" s="3" t="s">
        <v>32</v>
      </c>
      <c r="E2945" s="3" t="s">
        <v>33</v>
      </c>
      <c r="F2945" s="3" t="s">
        <v>25</v>
      </c>
      <c r="G2945" s="3" t="s">
        <v>76</v>
      </c>
      <c r="H2945" s="3" t="s">
        <v>64</v>
      </c>
      <c r="I2945" s="3" t="s">
        <v>65</v>
      </c>
      <c r="J2945" s="3" t="n">
        <v>2</v>
      </c>
      <c r="K2945" s="3" t="n">
        <v>11932.11</v>
      </c>
      <c r="L2945" s="3" t="n">
        <v>23864.22</v>
      </c>
      <c r="M2945" s="3" t="n">
        <v>0.1797</v>
      </c>
      <c r="N2945" s="3" t="n">
        <v>4288.4</v>
      </c>
      <c r="O2945" s="3" t="n">
        <v>19575.82</v>
      </c>
      <c r="P2945" s="3" t="n">
        <v>13841.25</v>
      </c>
      <c r="Q2945" s="3" t="n">
        <v>5734.57</v>
      </c>
      <c r="R2945" s="3" t="n">
        <v>0.2929</v>
      </c>
      <c r="S2945" s="3" t="n">
        <v>0.1605</v>
      </c>
      <c r="T2945" s="3" t="n">
        <v>0.0192</v>
      </c>
    </row>
    <row r="2946" customFormat="false" ht="15" hidden="false" customHeight="true" outlineLevel="0" collapsed="false">
      <c r="A2946" s="3" t="s">
        <v>4048</v>
      </c>
      <c r="B2946" s="3" t="s">
        <v>1034</v>
      </c>
      <c r="C2946" s="3" t="s">
        <v>53</v>
      </c>
      <c r="D2946" s="3" t="s">
        <v>103</v>
      </c>
      <c r="E2946" s="3" t="s">
        <v>24</v>
      </c>
      <c r="F2946" s="3" t="s">
        <v>62</v>
      </c>
      <c r="G2946" s="3" t="s">
        <v>41</v>
      </c>
      <c r="H2946" s="3" t="s">
        <v>64</v>
      </c>
      <c r="I2946" s="3" t="s">
        <v>65</v>
      </c>
      <c r="J2946" s="3" t="n">
        <v>39</v>
      </c>
      <c r="K2946" s="3" t="n">
        <v>11179.7</v>
      </c>
      <c r="L2946" s="3" t="n">
        <v>436008.3</v>
      </c>
      <c r="M2946" s="3" t="n">
        <v>0.0906</v>
      </c>
      <c r="N2946" s="3" t="n">
        <v>39502.35</v>
      </c>
      <c r="O2946" s="3" t="n">
        <v>396505.95</v>
      </c>
      <c r="P2946" s="3" t="n">
        <v>252884.81</v>
      </c>
      <c r="Q2946" s="3" t="n">
        <v>143621.14</v>
      </c>
      <c r="R2946" s="3" t="n">
        <v>0.3622</v>
      </c>
      <c r="S2946" s="3" t="n">
        <v>0.0949</v>
      </c>
      <c r="T2946" s="3" t="n">
        <v>-0.0043</v>
      </c>
    </row>
    <row r="2947" customFormat="false" ht="15" hidden="false" customHeight="true" outlineLevel="0" collapsed="false">
      <c r="A2947" s="3" t="s">
        <v>4049</v>
      </c>
      <c r="B2947" s="3" t="s">
        <v>706</v>
      </c>
      <c r="C2947" s="3" t="s">
        <v>60</v>
      </c>
      <c r="D2947" s="3" t="s">
        <v>83</v>
      </c>
      <c r="E2947" s="3" t="s">
        <v>48</v>
      </c>
      <c r="F2947" s="3" t="s">
        <v>62</v>
      </c>
      <c r="G2947" s="3" t="s">
        <v>34</v>
      </c>
      <c r="H2947" s="3" t="s">
        <v>56</v>
      </c>
      <c r="I2947" s="3" t="s">
        <v>57</v>
      </c>
      <c r="J2947" s="3" t="n">
        <v>47</v>
      </c>
      <c r="K2947" s="3" t="n">
        <v>3258.71</v>
      </c>
      <c r="L2947" s="3" t="n">
        <v>153159.37</v>
      </c>
      <c r="M2947" s="3" t="n">
        <v>0.0903</v>
      </c>
      <c r="N2947" s="3" t="n">
        <v>13830.29</v>
      </c>
      <c r="O2947" s="3" t="n">
        <v>139329.08</v>
      </c>
      <c r="P2947" s="3" t="n">
        <v>91895.62</v>
      </c>
      <c r="Q2947" s="3" t="n">
        <v>47433.46</v>
      </c>
      <c r="R2947" s="3" t="n">
        <v>0.3404</v>
      </c>
      <c r="S2947" s="3" t="n">
        <v>0.0787</v>
      </c>
      <c r="T2947" s="3" t="n">
        <v>0.0116</v>
      </c>
    </row>
    <row r="2948" customFormat="false" ht="15" hidden="false" customHeight="true" outlineLevel="0" collapsed="false">
      <c r="A2948" s="3" t="s">
        <v>4050</v>
      </c>
      <c r="B2948" s="3" t="s">
        <v>1236</v>
      </c>
      <c r="C2948" s="3" t="s">
        <v>113</v>
      </c>
      <c r="D2948" s="3" t="s">
        <v>103</v>
      </c>
      <c r="E2948" s="3" t="s">
        <v>24</v>
      </c>
      <c r="F2948" s="3" t="s">
        <v>62</v>
      </c>
      <c r="G2948" s="3" t="s">
        <v>76</v>
      </c>
      <c r="H2948" s="3" t="s">
        <v>56</v>
      </c>
      <c r="I2948" s="3" t="s">
        <v>188</v>
      </c>
      <c r="J2948" s="3" t="n">
        <v>11</v>
      </c>
      <c r="K2948" s="3" t="n">
        <v>17900.14</v>
      </c>
      <c r="L2948" s="3" t="n">
        <v>196901.54</v>
      </c>
      <c r="M2948" s="3" t="n">
        <v>0.0501</v>
      </c>
      <c r="N2948" s="3" t="n">
        <v>9864.77</v>
      </c>
      <c r="O2948" s="3" t="n">
        <v>187036.77</v>
      </c>
      <c r="P2948" s="3" t="n">
        <v>118140.92</v>
      </c>
      <c r="Q2948" s="3" t="n">
        <v>68895.85</v>
      </c>
      <c r="R2948" s="3" t="n">
        <v>0.3684</v>
      </c>
      <c r="S2948" s="3" t="n">
        <v>0.0533</v>
      </c>
      <c r="T2948" s="3" t="n">
        <v>-0.0032</v>
      </c>
    </row>
    <row r="2949" customFormat="false" ht="15" hidden="false" customHeight="true" outlineLevel="0" collapsed="false">
      <c r="A2949" s="3" t="s">
        <v>4051</v>
      </c>
      <c r="B2949" s="3" t="s">
        <v>914</v>
      </c>
      <c r="C2949" s="3" t="s">
        <v>37</v>
      </c>
      <c r="D2949" s="3" t="s">
        <v>54</v>
      </c>
      <c r="E2949" s="3" t="s">
        <v>24</v>
      </c>
      <c r="F2949" s="3" t="s">
        <v>40</v>
      </c>
      <c r="G2949" s="3" t="s">
        <v>71</v>
      </c>
      <c r="H2949" s="3" t="s">
        <v>64</v>
      </c>
      <c r="I2949" s="3" t="s">
        <v>90</v>
      </c>
      <c r="J2949" s="3" t="n">
        <v>12</v>
      </c>
      <c r="K2949" s="3" t="n">
        <v>6422.74</v>
      </c>
      <c r="L2949" s="3" t="n">
        <v>77072.88</v>
      </c>
      <c r="M2949" s="3" t="n">
        <v>0.0703</v>
      </c>
      <c r="N2949" s="3" t="n">
        <v>5418.22</v>
      </c>
      <c r="O2949" s="3" t="n">
        <v>71654.66</v>
      </c>
      <c r="P2949" s="3" t="n">
        <v>44702.27</v>
      </c>
      <c r="Q2949" s="3" t="n">
        <v>26952.39</v>
      </c>
      <c r="R2949" s="3" t="n">
        <v>0.3761</v>
      </c>
      <c r="S2949" s="3" t="n">
        <v>0.0586</v>
      </c>
      <c r="T2949" s="3" t="n">
        <v>0.0117</v>
      </c>
    </row>
    <row r="2950" customFormat="false" ht="15" hidden="false" customHeight="true" outlineLevel="0" collapsed="false">
      <c r="A2950" s="3" t="s">
        <v>4052</v>
      </c>
      <c r="B2950" s="3" t="s">
        <v>1704</v>
      </c>
      <c r="C2950" s="3" t="s">
        <v>37</v>
      </c>
      <c r="D2950" s="3" t="s">
        <v>32</v>
      </c>
      <c r="E2950" s="3" t="s">
        <v>33</v>
      </c>
      <c r="F2950" s="3" t="s">
        <v>25</v>
      </c>
      <c r="G2950" s="3" t="s">
        <v>84</v>
      </c>
      <c r="H2950" s="3" t="s">
        <v>56</v>
      </c>
      <c r="I2950" s="3" t="s">
        <v>57</v>
      </c>
      <c r="J2950" s="3" t="n">
        <v>13</v>
      </c>
      <c r="K2950" s="3" t="n">
        <v>5575.11</v>
      </c>
      <c r="L2950" s="3" t="n">
        <v>72476.43</v>
      </c>
      <c r="M2950" s="3" t="n">
        <v>0.1519</v>
      </c>
      <c r="N2950" s="3" t="n">
        <v>11009.17</v>
      </c>
      <c r="O2950" s="3" t="n">
        <v>61467.26</v>
      </c>
      <c r="P2950" s="3" t="n">
        <v>43485.86</v>
      </c>
      <c r="Q2950" s="3" t="n">
        <v>17981.4</v>
      </c>
      <c r="R2950" s="3" t="n">
        <v>0.2925</v>
      </c>
      <c r="S2950" s="3" t="n">
        <v>0.1348</v>
      </c>
      <c r="T2950" s="3" t="n">
        <v>0.0171</v>
      </c>
    </row>
    <row r="2951" customFormat="false" ht="15" hidden="false" customHeight="true" outlineLevel="0" collapsed="false">
      <c r="A2951" s="3" t="s">
        <v>4053</v>
      </c>
      <c r="B2951" s="3" t="s">
        <v>4054</v>
      </c>
      <c r="C2951" s="3" t="s">
        <v>22</v>
      </c>
      <c r="D2951" s="3" t="s">
        <v>61</v>
      </c>
      <c r="E2951" s="3" t="s">
        <v>33</v>
      </c>
      <c r="F2951" s="3" t="s">
        <v>62</v>
      </c>
      <c r="G2951" s="3" t="s">
        <v>63</v>
      </c>
      <c r="H2951" s="3" t="s">
        <v>42</v>
      </c>
      <c r="I2951" s="3" t="s">
        <v>72</v>
      </c>
      <c r="J2951" s="3" t="n">
        <v>39</v>
      </c>
      <c r="K2951" s="3" t="n">
        <v>3918.8</v>
      </c>
      <c r="L2951" s="3" t="n">
        <v>152833.2</v>
      </c>
      <c r="M2951" s="3" t="n">
        <v>0.0712</v>
      </c>
      <c r="N2951" s="3" t="n">
        <v>10881.72</v>
      </c>
      <c r="O2951" s="3" t="n">
        <v>141951.48</v>
      </c>
      <c r="P2951" s="3" t="n">
        <v>84058.26</v>
      </c>
      <c r="Q2951" s="3" t="n">
        <v>57893.22</v>
      </c>
      <c r="R2951" s="3" t="n">
        <v>0.4078</v>
      </c>
      <c r="S2951" s="3" t="n">
        <v>0.0694</v>
      </c>
      <c r="T2951" s="3" t="n">
        <v>0.0018</v>
      </c>
    </row>
    <row r="2952" customFormat="false" ht="15" hidden="false" customHeight="true" outlineLevel="0" collapsed="false">
      <c r="A2952" s="3" t="s">
        <v>4055</v>
      </c>
      <c r="B2952" s="3" t="s">
        <v>2024</v>
      </c>
      <c r="C2952" s="3" t="s">
        <v>46</v>
      </c>
      <c r="D2952" s="3" t="s">
        <v>103</v>
      </c>
      <c r="E2952" s="3" t="s">
        <v>24</v>
      </c>
      <c r="F2952" s="3" t="s">
        <v>62</v>
      </c>
      <c r="G2952" s="3" t="s">
        <v>84</v>
      </c>
      <c r="H2952" s="3" t="s">
        <v>27</v>
      </c>
      <c r="I2952" s="3" t="s">
        <v>28</v>
      </c>
      <c r="J2952" s="3" t="n">
        <v>20</v>
      </c>
      <c r="K2952" s="3" t="n">
        <v>29297.99</v>
      </c>
      <c r="L2952" s="3" t="n">
        <v>585959.8</v>
      </c>
      <c r="M2952" s="3" t="n">
        <v>0.0472</v>
      </c>
      <c r="N2952" s="3" t="n">
        <v>27657.3</v>
      </c>
      <c r="O2952" s="3" t="n">
        <v>558302.5</v>
      </c>
      <c r="P2952" s="3" t="n">
        <v>363295.08</v>
      </c>
      <c r="Q2952" s="3" t="n">
        <v>195007.42</v>
      </c>
      <c r="R2952" s="3" t="n">
        <v>0.3493</v>
      </c>
      <c r="S2952" s="3" t="n">
        <v>0.0422</v>
      </c>
      <c r="T2952" s="3" t="n">
        <v>0.005</v>
      </c>
    </row>
    <row r="2953" customFormat="false" ht="15" hidden="false" customHeight="true" outlineLevel="0" collapsed="false">
      <c r="A2953" s="3" t="s">
        <v>4056</v>
      </c>
      <c r="B2953" s="3" t="s">
        <v>1100</v>
      </c>
      <c r="C2953" s="3" t="s">
        <v>120</v>
      </c>
      <c r="D2953" s="3" t="s">
        <v>23</v>
      </c>
      <c r="E2953" s="3" t="s">
        <v>24</v>
      </c>
      <c r="F2953" s="3" t="s">
        <v>25</v>
      </c>
      <c r="G2953" s="3" t="s">
        <v>26</v>
      </c>
      <c r="H2953" s="3" t="s">
        <v>64</v>
      </c>
      <c r="I2953" s="3" t="s">
        <v>90</v>
      </c>
      <c r="J2953" s="3" t="n">
        <v>49</v>
      </c>
      <c r="K2953" s="3" t="n">
        <v>3281.26</v>
      </c>
      <c r="L2953" s="3" t="n">
        <v>160781.74</v>
      </c>
      <c r="M2953" s="3" t="n">
        <v>0.1288</v>
      </c>
      <c r="N2953" s="3" t="n">
        <v>20708.69</v>
      </c>
      <c r="O2953" s="3" t="n">
        <v>140073.05</v>
      </c>
      <c r="P2953" s="3" t="n">
        <v>93253.41</v>
      </c>
      <c r="Q2953" s="3" t="n">
        <v>46819.64</v>
      </c>
      <c r="R2953" s="3" t="n">
        <v>0.3343</v>
      </c>
      <c r="S2953" s="3" t="n">
        <v>0.1191</v>
      </c>
      <c r="T2953" s="3" t="n">
        <v>0.0097</v>
      </c>
    </row>
    <row r="2954" customFormat="false" ht="15" hidden="false" customHeight="true" outlineLevel="0" collapsed="false">
      <c r="A2954" s="3" t="s">
        <v>4057</v>
      </c>
      <c r="B2954" s="3" t="s">
        <v>1918</v>
      </c>
      <c r="C2954" s="3" t="s">
        <v>37</v>
      </c>
      <c r="D2954" s="3" t="s">
        <v>69</v>
      </c>
      <c r="E2954" s="3" t="s">
        <v>39</v>
      </c>
      <c r="F2954" s="3" t="s">
        <v>70</v>
      </c>
      <c r="G2954" s="3" t="s">
        <v>76</v>
      </c>
      <c r="H2954" s="3" t="s">
        <v>64</v>
      </c>
      <c r="I2954" s="3" t="s">
        <v>90</v>
      </c>
      <c r="J2954" s="3" t="n">
        <v>9</v>
      </c>
      <c r="K2954" s="3" t="n">
        <v>6467.44</v>
      </c>
      <c r="L2954" s="3" t="n">
        <v>58206.96</v>
      </c>
      <c r="M2954" s="3" t="n">
        <v>0.0723</v>
      </c>
      <c r="N2954" s="3" t="n">
        <v>4208.36</v>
      </c>
      <c r="O2954" s="3" t="n">
        <v>53998.6</v>
      </c>
      <c r="P2954" s="3" t="n">
        <v>33760.04</v>
      </c>
      <c r="Q2954" s="3" t="n">
        <v>20238.56</v>
      </c>
      <c r="R2954" s="3" t="n">
        <v>0.3748</v>
      </c>
      <c r="S2954" s="3" t="n">
        <v>0.0758</v>
      </c>
      <c r="T2954" s="3" t="n">
        <v>-0.0035</v>
      </c>
    </row>
    <row r="2955" customFormat="false" ht="15" hidden="false" customHeight="true" outlineLevel="0" collapsed="false">
      <c r="A2955" s="3" t="s">
        <v>4058</v>
      </c>
      <c r="B2955" s="3" t="s">
        <v>1200</v>
      </c>
      <c r="C2955" s="3" t="s">
        <v>31</v>
      </c>
      <c r="D2955" s="3" t="s">
        <v>103</v>
      </c>
      <c r="E2955" s="3" t="s">
        <v>24</v>
      </c>
      <c r="F2955" s="3" t="s">
        <v>62</v>
      </c>
      <c r="G2955" s="3" t="s">
        <v>26</v>
      </c>
      <c r="H2955" s="3" t="s">
        <v>77</v>
      </c>
      <c r="I2955" s="3" t="s">
        <v>85</v>
      </c>
      <c r="J2955" s="3" t="n">
        <v>48</v>
      </c>
      <c r="K2955" s="3" t="n">
        <v>4859.98</v>
      </c>
      <c r="L2955" s="3" t="n">
        <v>233279.04</v>
      </c>
      <c r="M2955" s="3" t="n">
        <v>0.0383</v>
      </c>
      <c r="N2955" s="3" t="n">
        <v>8934.59</v>
      </c>
      <c r="O2955" s="3" t="n">
        <v>224344.45</v>
      </c>
      <c r="P2955" s="3" t="n">
        <v>158629.75</v>
      </c>
      <c r="Q2955" s="3" t="n">
        <v>65714.7</v>
      </c>
      <c r="R2955" s="3" t="n">
        <v>0.2929</v>
      </c>
      <c r="S2955" s="3" t="n">
        <v>0.0336</v>
      </c>
      <c r="T2955" s="3" t="n">
        <v>0.0047</v>
      </c>
    </row>
    <row r="2956" customFormat="false" ht="15" hidden="false" customHeight="true" outlineLevel="0" collapsed="false">
      <c r="A2956" s="3" t="s">
        <v>4059</v>
      </c>
      <c r="B2956" s="3" t="s">
        <v>1512</v>
      </c>
      <c r="C2956" s="3" t="s">
        <v>31</v>
      </c>
      <c r="D2956" s="3" t="s">
        <v>61</v>
      </c>
      <c r="E2956" s="3" t="s">
        <v>33</v>
      </c>
      <c r="F2956" s="3" t="s">
        <v>62</v>
      </c>
      <c r="G2956" s="3" t="s">
        <v>104</v>
      </c>
      <c r="H2956" s="3" t="s">
        <v>64</v>
      </c>
      <c r="I2956" s="3" t="s">
        <v>90</v>
      </c>
      <c r="J2956" s="3" t="n">
        <v>34</v>
      </c>
      <c r="K2956" s="3" t="n">
        <v>7623.26</v>
      </c>
      <c r="L2956" s="3" t="n">
        <v>259190.84</v>
      </c>
      <c r="M2956" s="3" t="n">
        <v>0.095</v>
      </c>
      <c r="N2956" s="3" t="n">
        <v>24623.13</v>
      </c>
      <c r="O2956" s="3" t="n">
        <v>234567.71</v>
      </c>
      <c r="P2956" s="3" t="n">
        <v>150330.69</v>
      </c>
      <c r="Q2956" s="3" t="n">
        <v>84237.02</v>
      </c>
      <c r="R2956" s="3" t="n">
        <v>0.3591</v>
      </c>
      <c r="S2956" s="3" t="n">
        <v>0.0871</v>
      </c>
      <c r="T2956" s="3" t="n">
        <v>0.0079</v>
      </c>
    </row>
    <row r="2957" customFormat="false" ht="15" hidden="false" customHeight="true" outlineLevel="0" collapsed="false">
      <c r="A2957" s="3" t="s">
        <v>4060</v>
      </c>
      <c r="B2957" s="3" t="s">
        <v>1278</v>
      </c>
      <c r="C2957" s="3" t="s">
        <v>53</v>
      </c>
      <c r="D2957" s="3" t="s">
        <v>32</v>
      </c>
      <c r="E2957" s="3" t="s">
        <v>33</v>
      </c>
      <c r="F2957" s="3" t="s">
        <v>25</v>
      </c>
      <c r="G2957" s="3" t="s">
        <v>104</v>
      </c>
      <c r="H2957" s="3" t="s">
        <v>56</v>
      </c>
      <c r="I2957" s="3" t="s">
        <v>121</v>
      </c>
      <c r="J2957" s="3" t="n">
        <v>15</v>
      </c>
      <c r="K2957" s="3" t="n">
        <v>8782.34</v>
      </c>
      <c r="L2957" s="3" t="n">
        <v>131735.1</v>
      </c>
      <c r="M2957" s="3" t="n">
        <v>0.1704</v>
      </c>
      <c r="N2957" s="3" t="n">
        <v>22447.66</v>
      </c>
      <c r="O2957" s="3" t="n">
        <v>109287.44</v>
      </c>
      <c r="P2957" s="3" t="n">
        <v>79041.06</v>
      </c>
      <c r="Q2957" s="3" t="n">
        <v>30246.38</v>
      </c>
      <c r="R2957" s="3" t="n">
        <v>0.2768</v>
      </c>
      <c r="S2957" s="3" t="n">
        <v>0.1835</v>
      </c>
      <c r="T2957" s="3" t="n">
        <v>-0.0131</v>
      </c>
    </row>
    <row r="2958" customFormat="false" ht="15" hidden="false" customHeight="true" outlineLevel="0" collapsed="false">
      <c r="A2958" s="3" t="s">
        <v>4061</v>
      </c>
      <c r="B2958" s="3" t="s">
        <v>995</v>
      </c>
      <c r="C2958" s="3" t="s">
        <v>156</v>
      </c>
      <c r="D2958" s="3" t="s">
        <v>38</v>
      </c>
      <c r="E2958" s="3" t="s">
        <v>39</v>
      </c>
      <c r="F2958" s="3" t="s">
        <v>40</v>
      </c>
      <c r="G2958" s="3" t="s">
        <v>63</v>
      </c>
      <c r="H2958" s="3" t="s">
        <v>42</v>
      </c>
      <c r="I2958" s="3" t="s">
        <v>43</v>
      </c>
      <c r="J2958" s="3" t="n">
        <v>4</v>
      </c>
      <c r="K2958" s="3" t="n">
        <v>3106.56</v>
      </c>
      <c r="L2958" s="3" t="n">
        <v>12426.24</v>
      </c>
      <c r="M2958" s="3" t="n">
        <v>0.0455</v>
      </c>
      <c r="N2958" s="3" t="n">
        <v>565.39</v>
      </c>
      <c r="O2958" s="3" t="n">
        <v>11860.85</v>
      </c>
      <c r="P2958" s="3" t="n">
        <v>6834.43</v>
      </c>
      <c r="Q2958" s="3" t="n">
        <v>5026.42</v>
      </c>
      <c r="R2958" s="3" t="n">
        <v>0.4238</v>
      </c>
      <c r="S2958" s="3" t="n">
        <v>0.0462</v>
      </c>
      <c r="T2958" s="3" t="n">
        <v>-0.0007</v>
      </c>
    </row>
    <row r="2959" customFormat="false" ht="15" hidden="false" customHeight="true" outlineLevel="0" collapsed="false">
      <c r="A2959" s="3" t="s">
        <v>4062</v>
      </c>
      <c r="B2959" s="3" t="s">
        <v>488</v>
      </c>
      <c r="C2959" s="3" t="s">
        <v>31</v>
      </c>
      <c r="D2959" s="3" t="s">
        <v>97</v>
      </c>
      <c r="E2959" s="3" t="s">
        <v>48</v>
      </c>
      <c r="F2959" s="3" t="s">
        <v>40</v>
      </c>
      <c r="G2959" s="3" t="s">
        <v>100</v>
      </c>
      <c r="H2959" s="3" t="s">
        <v>56</v>
      </c>
      <c r="I2959" s="3" t="s">
        <v>121</v>
      </c>
      <c r="J2959" s="3" t="n">
        <v>9</v>
      </c>
      <c r="K2959" s="3" t="n">
        <v>4285.42</v>
      </c>
      <c r="L2959" s="3" t="n">
        <v>38568.78</v>
      </c>
      <c r="M2959" s="3" t="n">
        <v>0.0757</v>
      </c>
      <c r="N2959" s="3" t="n">
        <v>2919.66</v>
      </c>
      <c r="O2959" s="3" t="n">
        <v>35649.12</v>
      </c>
      <c r="P2959" s="3" t="n">
        <v>23141.27</v>
      </c>
      <c r="Q2959" s="3" t="n">
        <v>12507.85</v>
      </c>
      <c r="R2959" s="3" t="n">
        <v>0.3509</v>
      </c>
      <c r="S2959" s="3" t="n">
        <v>0.0706</v>
      </c>
      <c r="T2959" s="3" t="n">
        <v>0.0051</v>
      </c>
    </row>
    <row r="2960" customFormat="false" ht="15" hidden="false" customHeight="true" outlineLevel="0" collapsed="false">
      <c r="A2960" s="3" t="s">
        <v>4063</v>
      </c>
      <c r="B2960" s="3" t="s">
        <v>1631</v>
      </c>
      <c r="C2960" s="3" t="s">
        <v>156</v>
      </c>
      <c r="D2960" s="3" t="s">
        <v>23</v>
      </c>
      <c r="E2960" s="3" t="s">
        <v>24</v>
      </c>
      <c r="F2960" s="3" t="s">
        <v>25</v>
      </c>
      <c r="G2960" s="3" t="s">
        <v>34</v>
      </c>
      <c r="H2960" s="3" t="s">
        <v>27</v>
      </c>
      <c r="I2960" s="3" t="s">
        <v>117</v>
      </c>
      <c r="J2960" s="3" t="n">
        <v>15</v>
      </c>
      <c r="K2960" s="3" t="n">
        <v>16972.7</v>
      </c>
      <c r="L2960" s="3" t="n">
        <v>254590.5</v>
      </c>
      <c r="M2960" s="3" t="n">
        <v>0.1961</v>
      </c>
      <c r="N2960" s="3" t="n">
        <v>49925.2</v>
      </c>
      <c r="O2960" s="3" t="n">
        <v>204665.3</v>
      </c>
      <c r="P2960" s="3" t="n">
        <v>157846.11</v>
      </c>
      <c r="Q2960" s="3" t="n">
        <v>46819.19</v>
      </c>
      <c r="R2960" s="3" t="n">
        <v>0.2288</v>
      </c>
      <c r="S2960" s="3" t="n">
        <v>0.175</v>
      </c>
      <c r="T2960" s="3" t="n">
        <v>0.0211</v>
      </c>
    </row>
    <row r="2961" customFormat="false" ht="15" hidden="false" customHeight="true" outlineLevel="0" collapsed="false">
      <c r="A2961" s="3" t="s">
        <v>4064</v>
      </c>
      <c r="B2961" s="3" t="s">
        <v>1960</v>
      </c>
      <c r="C2961" s="3" t="s">
        <v>53</v>
      </c>
      <c r="D2961" s="3" t="s">
        <v>103</v>
      </c>
      <c r="E2961" s="3" t="s">
        <v>24</v>
      </c>
      <c r="F2961" s="3" t="s">
        <v>62</v>
      </c>
      <c r="G2961" s="3" t="s">
        <v>71</v>
      </c>
      <c r="H2961" s="3" t="s">
        <v>27</v>
      </c>
      <c r="I2961" s="3" t="s">
        <v>50</v>
      </c>
      <c r="J2961" s="3" t="n">
        <v>10</v>
      </c>
      <c r="K2961" s="3" t="n">
        <v>12872.12</v>
      </c>
      <c r="L2961" s="3" t="n">
        <v>128721.2</v>
      </c>
      <c r="M2961" s="3" t="n">
        <v>0.0485</v>
      </c>
      <c r="N2961" s="3" t="n">
        <v>6242.98</v>
      </c>
      <c r="O2961" s="3" t="n">
        <v>122478.22</v>
      </c>
      <c r="P2961" s="3" t="n">
        <v>79807.14</v>
      </c>
      <c r="Q2961" s="3" t="n">
        <v>42671.08</v>
      </c>
      <c r="R2961" s="3" t="n">
        <v>0.3484</v>
      </c>
      <c r="S2961" s="3" t="n">
        <v>0.0446</v>
      </c>
      <c r="T2961" s="3" t="n">
        <v>0.0039</v>
      </c>
    </row>
    <row r="2962" customFormat="false" ht="15" hidden="false" customHeight="true" outlineLevel="0" collapsed="false">
      <c r="A2962" s="3" t="s">
        <v>4065</v>
      </c>
      <c r="B2962" s="3" t="s">
        <v>4066</v>
      </c>
      <c r="C2962" s="3" t="s">
        <v>53</v>
      </c>
      <c r="D2962" s="3" t="s">
        <v>103</v>
      </c>
      <c r="E2962" s="3" t="s">
        <v>24</v>
      </c>
      <c r="F2962" s="3" t="s">
        <v>62</v>
      </c>
      <c r="G2962" s="3" t="s">
        <v>100</v>
      </c>
      <c r="H2962" s="3" t="s">
        <v>27</v>
      </c>
      <c r="I2962" s="3" t="s">
        <v>117</v>
      </c>
      <c r="J2962" s="3" t="n">
        <v>47</v>
      </c>
      <c r="K2962" s="3" t="n">
        <v>13622.54</v>
      </c>
      <c r="L2962" s="3" t="n">
        <v>640259.38</v>
      </c>
      <c r="M2962" s="3" t="n">
        <v>0.0419</v>
      </c>
      <c r="N2962" s="3" t="n">
        <v>26826.87</v>
      </c>
      <c r="O2962" s="3" t="n">
        <v>613432.51</v>
      </c>
      <c r="P2962" s="3" t="n">
        <v>396960.82</v>
      </c>
      <c r="Q2962" s="3" t="n">
        <v>216471.69</v>
      </c>
      <c r="R2962" s="3" t="n">
        <v>0.3529</v>
      </c>
      <c r="S2962" s="3" t="n">
        <v>0.0367</v>
      </c>
      <c r="T2962" s="3" t="n">
        <v>0.0052</v>
      </c>
    </row>
    <row r="2963" customFormat="false" ht="15" hidden="false" customHeight="true" outlineLevel="0" collapsed="false">
      <c r="A2963" s="3" t="s">
        <v>4067</v>
      </c>
      <c r="B2963" s="3" t="s">
        <v>535</v>
      </c>
      <c r="C2963" s="3" t="s">
        <v>22</v>
      </c>
      <c r="D2963" s="3" t="s">
        <v>83</v>
      </c>
      <c r="E2963" s="3" t="s">
        <v>48</v>
      </c>
      <c r="F2963" s="3" t="s">
        <v>62</v>
      </c>
      <c r="G2963" s="3" t="s">
        <v>84</v>
      </c>
      <c r="H2963" s="3" t="s">
        <v>42</v>
      </c>
      <c r="I2963" s="3" t="s">
        <v>134</v>
      </c>
      <c r="J2963" s="3" t="n">
        <v>12</v>
      </c>
      <c r="K2963" s="3" t="n">
        <v>1825.09</v>
      </c>
      <c r="L2963" s="3" t="n">
        <v>21901.08</v>
      </c>
      <c r="M2963" s="3" t="n">
        <v>0.0603</v>
      </c>
      <c r="N2963" s="3" t="n">
        <v>1320.64</v>
      </c>
      <c r="O2963" s="3" t="n">
        <v>20580.44</v>
      </c>
      <c r="P2963" s="3" t="n">
        <v>12045.59</v>
      </c>
      <c r="Q2963" s="3" t="n">
        <v>8534.85</v>
      </c>
      <c r="R2963" s="3" t="n">
        <v>0.4147</v>
      </c>
      <c r="S2963" s="3" t="n">
        <v>0.0502</v>
      </c>
      <c r="T2963" s="3" t="n">
        <v>0.0101</v>
      </c>
    </row>
    <row r="2964" customFormat="false" ht="15" hidden="false" customHeight="true" outlineLevel="0" collapsed="false">
      <c r="A2964" s="3" t="s">
        <v>4068</v>
      </c>
      <c r="B2964" s="3" t="s">
        <v>333</v>
      </c>
      <c r="C2964" s="3" t="s">
        <v>68</v>
      </c>
      <c r="D2964" s="3" t="s">
        <v>103</v>
      </c>
      <c r="E2964" s="3" t="s">
        <v>24</v>
      </c>
      <c r="F2964" s="3" t="s">
        <v>62</v>
      </c>
      <c r="G2964" s="3" t="s">
        <v>104</v>
      </c>
      <c r="H2964" s="3" t="s">
        <v>42</v>
      </c>
      <c r="I2964" s="3" t="s">
        <v>72</v>
      </c>
      <c r="J2964" s="3" t="n">
        <v>41</v>
      </c>
      <c r="K2964" s="3" t="n">
        <v>3119.7</v>
      </c>
      <c r="L2964" s="3" t="n">
        <v>127907.7</v>
      </c>
      <c r="M2964" s="3" t="n">
        <v>0.0988</v>
      </c>
      <c r="N2964" s="3" t="n">
        <v>12637.28</v>
      </c>
      <c r="O2964" s="3" t="n">
        <v>115270.42</v>
      </c>
      <c r="P2964" s="3" t="n">
        <v>70349.24</v>
      </c>
      <c r="Q2964" s="3" t="n">
        <v>44921.18</v>
      </c>
      <c r="R2964" s="3" t="n">
        <v>0.3897</v>
      </c>
      <c r="S2964" s="3" t="n">
        <v>0.1042</v>
      </c>
      <c r="T2964" s="3" t="n">
        <v>-0.0054</v>
      </c>
    </row>
    <row r="2965" customFormat="false" ht="15" hidden="false" customHeight="true" outlineLevel="0" collapsed="false">
      <c r="A2965" s="3" t="s">
        <v>4069</v>
      </c>
      <c r="B2965" s="3" t="s">
        <v>633</v>
      </c>
      <c r="C2965" s="3" t="s">
        <v>22</v>
      </c>
      <c r="D2965" s="3" t="s">
        <v>69</v>
      </c>
      <c r="E2965" s="3" t="s">
        <v>39</v>
      </c>
      <c r="F2965" s="3" t="s">
        <v>70</v>
      </c>
      <c r="G2965" s="3" t="s">
        <v>63</v>
      </c>
      <c r="H2965" s="3" t="s">
        <v>42</v>
      </c>
      <c r="I2965" s="3" t="s">
        <v>43</v>
      </c>
      <c r="J2965" s="3" t="n">
        <v>24</v>
      </c>
      <c r="K2965" s="3" t="n">
        <v>3590.26</v>
      </c>
      <c r="L2965" s="3" t="n">
        <v>86166.24</v>
      </c>
      <c r="M2965" s="3" t="n">
        <v>0.0413</v>
      </c>
      <c r="N2965" s="3" t="n">
        <v>3558.67</v>
      </c>
      <c r="O2965" s="3" t="n">
        <v>82607.57</v>
      </c>
      <c r="P2965" s="3" t="n">
        <v>47391.43</v>
      </c>
      <c r="Q2965" s="3" t="n">
        <v>35216.14</v>
      </c>
      <c r="R2965" s="3" t="n">
        <v>0.4263</v>
      </c>
      <c r="S2965" s="3" t="n">
        <v>0.044</v>
      </c>
      <c r="T2965" s="3" t="n">
        <v>-0.0027</v>
      </c>
    </row>
    <row r="2966" customFormat="false" ht="15" hidden="false" customHeight="true" outlineLevel="0" collapsed="false">
      <c r="A2966" s="3" t="s">
        <v>4070</v>
      </c>
      <c r="B2966" s="3" t="s">
        <v>1319</v>
      </c>
      <c r="C2966" s="3" t="s">
        <v>60</v>
      </c>
      <c r="D2966" s="3" t="s">
        <v>23</v>
      </c>
      <c r="E2966" s="3" t="s">
        <v>24</v>
      </c>
      <c r="F2966" s="3" t="s">
        <v>25</v>
      </c>
      <c r="G2966" s="3" t="s">
        <v>84</v>
      </c>
      <c r="H2966" s="3" t="s">
        <v>64</v>
      </c>
      <c r="I2966" s="3" t="s">
        <v>90</v>
      </c>
      <c r="J2966" s="3" t="n">
        <v>42</v>
      </c>
      <c r="K2966" s="3" t="n">
        <v>4068.32</v>
      </c>
      <c r="L2966" s="3" t="n">
        <v>170869.44</v>
      </c>
      <c r="M2966" s="3" t="n">
        <v>0.0766</v>
      </c>
      <c r="N2966" s="3" t="n">
        <v>13088.6</v>
      </c>
      <c r="O2966" s="3" t="n">
        <v>157780.84</v>
      </c>
      <c r="P2966" s="3" t="n">
        <v>99104.28</v>
      </c>
      <c r="Q2966" s="3" t="n">
        <v>58676.56</v>
      </c>
      <c r="R2966" s="3" t="n">
        <v>0.3719</v>
      </c>
      <c r="S2966" s="3" t="n">
        <v>0.077</v>
      </c>
      <c r="T2966" s="3" t="n">
        <v>-0.0004</v>
      </c>
    </row>
    <row r="2967" customFormat="false" ht="15" hidden="false" customHeight="true" outlineLevel="0" collapsed="false">
      <c r="A2967" s="3" t="s">
        <v>4071</v>
      </c>
      <c r="B2967" s="3" t="s">
        <v>181</v>
      </c>
      <c r="C2967" s="3" t="s">
        <v>113</v>
      </c>
      <c r="D2967" s="3" t="s">
        <v>61</v>
      </c>
      <c r="E2967" s="3" t="s">
        <v>33</v>
      </c>
      <c r="F2967" s="3" t="s">
        <v>62</v>
      </c>
      <c r="G2967" s="3" t="s">
        <v>41</v>
      </c>
      <c r="H2967" s="3" t="s">
        <v>77</v>
      </c>
      <c r="I2967" s="3" t="s">
        <v>85</v>
      </c>
      <c r="J2967" s="3" t="n">
        <v>22</v>
      </c>
      <c r="K2967" s="3" t="n">
        <v>3071.17</v>
      </c>
      <c r="L2967" s="3" t="n">
        <v>67565.74</v>
      </c>
      <c r="M2967" s="3" t="n">
        <v>0.1268</v>
      </c>
      <c r="N2967" s="3" t="n">
        <v>8567.34</v>
      </c>
      <c r="O2967" s="3" t="n">
        <v>58998.4</v>
      </c>
      <c r="P2967" s="3" t="n">
        <v>45944.7</v>
      </c>
      <c r="Q2967" s="3" t="n">
        <v>13053.7</v>
      </c>
      <c r="R2967" s="3" t="n">
        <v>0.2213</v>
      </c>
      <c r="S2967" s="3" t="n">
        <v>0.1341</v>
      </c>
      <c r="T2967" s="3" t="n">
        <v>-0.0073</v>
      </c>
    </row>
    <row r="2968" customFormat="false" ht="15" hidden="false" customHeight="true" outlineLevel="0" collapsed="false">
      <c r="A2968" s="3" t="s">
        <v>4072</v>
      </c>
      <c r="B2968" s="3" t="s">
        <v>1619</v>
      </c>
      <c r="C2968" s="3" t="s">
        <v>93</v>
      </c>
      <c r="D2968" s="3" t="s">
        <v>107</v>
      </c>
      <c r="E2968" s="3" t="s">
        <v>33</v>
      </c>
      <c r="F2968" s="3" t="s">
        <v>70</v>
      </c>
      <c r="G2968" s="3" t="s">
        <v>41</v>
      </c>
      <c r="H2968" s="3" t="s">
        <v>27</v>
      </c>
      <c r="I2968" s="3" t="s">
        <v>173</v>
      </c>
      <c r="J2968" s="3" t="n">
        <v>6</v>
      </c>
      <c r="K2968" s="3" t="n">
        <v>29929.87</v>
      </c>
      <c r="L2968" s="3" t="n">
        <v>179579.22</v>
      </c>
      <c r="M2968" s="3" t="n">
        <v>0.1164</v>
      </c>
      <c r="N2968" s="3" t="n">
        <v>20903.02</v>
      </c>
      <c r="O2968" s="3" t="n">
        <v>158676.2</v>
      </c>
      <c r="P2968" s="3" t="n">
        <v>111339.12</v>
      </c>
      <c r="Q2968" s="3" t="n">
        <v>47337.08</v>
      </c>
      <c r="R2968" s="3" t="n">
        <v>0.2983</v>
      </c>
      <c r="S2968" s="3" t="n">
        <v>0.1011</v>
      </c>
      <c r="T2968" s="3" t="n">
        <v>0.0153</v>
      </c>
    </row>
    <row r="2969" customFormat="false" ht="15" hidden="false" customHeight="true" outlineLevel="0" collapsed="false">
      <c r="A2969" s="3" t="s">
        <v>4073</v>
      </c>
      <c r="B2969" s="3" t="s">
        <v>1726</v>
      </c>
      <c r="C2969" s="3" t="s">
        <v>37</v>
      </c>
      <c r="D2969" s="3" t="s">
        <v>38</v>
      </c>
      <c r="E2969" s="3" t="s">
        <v>39</v>
      </c>
      <c r="F2969" s="3" t="s">
        <v>40</v>
      </c>
      <c r="G2969" s="3" t="s">
        <v>116</v>
      </c>
      <c r="H2969" s="3" t="s">
        <v>64</v>
      </c>
      <c r="I2969" s="3" t="s">
        <v>108</v>
      </c>
      <c r="J2969" s="3" t="n">
        <v>16</v>
      </c>
      <c r="K2969" s="3" t="n">
        <v>8343.34</v>
      </c>
      <c r="L2969" s="3" t="n">
        <v>133493.44</v>
      </c>
      <c r="M2969" s="3" t="n">
        <v>0.1058</v>
      </c>
      <c r="N2969" s="3" t="n">
        <v>14123.61</v>
      </c>
      <c r="O2969" s="3" t="n">
        <v>119369.83</v>
      </c>
      <c r="P2969" s="3" t="n">
        <v>77426.2</v>
      </c>
      <c r="Q2969" s="3" t="n">
        <v>41943.63</v>
      </c>
      <c r="R2969" s="3" t="n">
        <v>0.3514</v>
      </c>
      <c r="S2969" s="3" t="n">
        <v>0.0987</v>
      </c>
      <c r="T2969" s="3" t="n">
        <v>0.0071</v>
      </c>
    </row>
    <row r="2970" customFormat="false" ht="15" hidden="false" customHeight="true" outlineLevel="0" collapsed="false">
      <c r="A2970" s="3" t="s">
        <v>4074</v>
      </c>
      <c r="B2970" s="3" t="s">
        <v>1647</v>
      </c>
      <c r="C2970" s="3" t="s">
        <v>93</v>
      </c>
      <c r="D2970" s="3" t="s">
        <v>23</v>
      </c>
      <c r="E2970" s="3" t="s">
        <v>24</v>
      </c>
      <c r="F2970" s="3" t="s">
        <v>25</v>
      </c>
      <c r="G2970" s="3" t="s">
        <v>84</v>
      </c>
      <c r="H2970" s="3" t="s">
        <v>77</v>
      </c>
      <c r="I2970" s="3" t="s">
        <v>78</v>
      </c>
      <c r="J2970" s="3" t="n">
        <v>2</v>
      </c>
      <c r="K2970" s="3" t="n">
        <v>1746.76</v>
      </c>
      <c r="L2970" s="3" t="n">
        <v>3493.52</v>
      </c>
      <c r="M2970" s="3" t="n">
        <v>0.1331</v>
      </c>
      <c r="N2970" s="3" t="n">
        <v>464.99</v>
      </c>
      <c r="O2970" s="3" t="n">
        <v>3028.53</v>
      </c>
      <c r="P2970" s="3" t="n">
        <v>2375.59</v>
      </c>
      <c r="Q2970" s="3" t="n">
        <v>652.94</v>
      </c>
      <c r="R2970" s="3" t="n">
        <v>0.2156</v>
      </c>
      <c r="S2970" s="3" t="n">
        <v>0.126</v>
      </c>
      <c r="T2970" s="3" t="n">
        <v>0.0071</v>
      </c>
    </row>
    <row r="2971" customFormat="false" ht="15" hidden="false" customHeight="true" outlineLevel="0" collapsed="false">
      <c r="A2971" s="3" t="s">
        <v>4075</v>
      </c>
      <c r="B2971" s="3" t="s">
        <v>885</v>
      </c>
      <c r="C2971" s="3" t="s">
        <v>113</v>
      </c>
      <c r="D2971" s="3" t="s">
        <v>83</v>
      </c>
      <c r="E2971" s="3" t="s">
        <v>48</v>
      </c>
      <c r="F2971" s="3" t="s">
        <v>62</v>
      </c>
      <c r="G2971" s="3" t="s">
        <v>55</v>
      </c>
      <c r="H2971" s="3" t="s">
        <v>42</v>
      </c>
      <c r="I2971" s="3" t="s">
        <v>134</v>
      </c>
      <c r="J2971" s="3" t="n">
        <v>47</v>
      </c>
      <c r="K2971" s="3" t="n">
        <v>3091.7</v>
      </c>
      <c r="L2971" s="3" t="n">
        <v>145309.9</v>
      </c>
      <c r="M2971" s="3" t="n">
        <v>0.034</v>
      </c>
      <c r="N2971" s="3" t="n">
        <v>4940.54</v>
      </c>
      <c r="O2971" s="3" t="n">
        <v>140369.36</v>
      </c>
      <c r="P2971" s="3" t="n">
        <v>79920.45</v>
      </c>
      <c r="Q2971" s="3" t="n">
        <v>60448.91</v>
      </c>
      <c r="R2971" s="3" t="n">
        <v>0.4306</v>
      </c>
      <c r="S2971" s="3" t="n">
        <v>0.0278</v>
      </c>
      <c r="T2971" s="3" t="n">
        <v>0.0062</v>
      </c>
    </row>
    <row r="2972" customFormat="false" ht="15" hidden="false" customHeight="true" outlineLevel="0" collapsed="false">
      <c r="A2972" s="3" t="s">
        <v>4076</v>
      </c>
      <c r="B2972" s="3" t="s">
        <v>2332</v>
      </c>
      <c r="C2972" s="3" t="s">
        <v>46</v>
      </c>
      <c r="D2972" s="3" t="s">
        <v>54</v>
      </c>
      <c r="E2972" s="3" t="s">
        <v>24</v>
      </c>
      <c r="F2972" s="3" t="s">
        <v>40</v>
      </c>
      <c r="G2972" s="3" t="s">
        <v>104</v>
      </c>
      <c r="H2972" s="3" t="s">
        <v>42</v>
      </c>
      <c r="I2972" s="3" t="s">
        <v>43</v>
      </c>
      <c r="J2972" s="3" t="n">
        <v>12</v>
      </c>
      <c r="K2972" s="3" t="n">
        <v>3331.03</v>
      </c>
      <c r="L2972" s="3" t="n">
        <v>39972.36</v>
      </c>
      <c r="M2972" s="3" t="n">
        <v>0.0813</v>
      </c>
      <c r="N2972" s="3" t="n">
        <v>3249.75</v>
      </c>
      <c r="O2972" s="3" t="n">
        <v>36722.61</v>
      </c>
      <c r="P2972" s="3" t="n">
        <v>21984.8</v>
      </c>
      <c r="Q2972" s="3" t="n">
        <v>14737.81</v>
      </c>
      <c r="R2972" s="3" t="n">
        <v>0.4013</v>
      </c>
      <c r="S2972" s="3" t="n">
        <v>0.0832</v>
      </c>
      <c r="T2972" s="3" t="n">
        <v>-0.0019</v>
      </c>
    </row>
    <row r="2973" customFormat="false" ht="15" hidden="false" customHeight="true" outlineLevel="0" collapsed="false">
      <c r="A2973" s="3" t="s">
        <v>4077</v>
      </c>
      <c r="B2973" s="3" t="s">
        <v>4078</v>
      </c>
      <c r="C2973" s="3" t="s">
        <v>126</v>
      </c>
      <c r="D2973" s="3" t="s">
        <v>107</v>
      </c>
      <c r="E2973" s="3" t="s">
        <v>33</v>
      </c>
      <c r="F2973" s="3" t="s">
        <v>70</v>
      </c>
      <c r="G2973" s="3" t="s">
        <v>100</v>
      </c>
      <c r="H2973" s="3" t="s">
        <v>64</v>
      </c>
      <c r="I2973" s="3" t="s">
        <v>90</v>
      </c>
      <c r="J2973" s="3" t="n">
        <v>14</v>
      </c>
      <c r="K2973" s="3" t="n">
        <v>8516.26</v>
      </c>
      <c r="L2973" s="3" t="n">
        <v>119227.64</v>
      </c>
      <c r="M2973" s="3" t="n">
        <v>0.0672</v>
      </c>
      <c r="N2973" s="3" t="n">
        <v>8012.1</v>
      </c>
      <c r="O2973" s="3" t="n">
        <v>111215.54</v>
      </c>
      <c r="P2973" s="3" t="n">
        <v>69152.03</v>
      </c>
      <c r="Q2973" s="3" t="n">
        <v>42063.51</v>
      </c>
      <c r="R2973" s="3" t="n">
        <v>0.3782</v>
      </c>
      <c r="S2973" s="3" t="n">
        <v>0.0667</v>
      </c>
      <c r="T2973" s="3" t="n">
        <v>0.0005</v>
      </c>
    </row>
    <row r="2974" customFormat="false" ht="15" hidden="false" customHeight="true" outlineLevel="0" collapsed="false">
      <c r="A2974" s="3" t="s">
        <v>4079</v>
      </c>
      <c r="B2974" s="3" t="s">
        <v>1819</v>
      </c>
      <c r="C2974" s="3" t="s">
        <v>22</v>
      </c>
      <c r="D2974" s="3" t="s">
        <v>32</v>
      </c>
      <c r="E2974" s="3" t="s">
        <v>33</v>
      </c>
      <c r="F2974" s="3" t="s">
        <v>25</v>
      </c>
      <c r="G2974" s="3" t="s">
        <v>100</v>
      </c>
      <c r="H2974" s="3" t="s">
        <v>64</v>
      </c>
      <c r="I2974" s="3" t="s">
        <v>145</v>
      </c>
      <c r="J2974" s="3" t="n">
        <v>49</v>
      </c>
      <c r="K2974" s="3" t="n">
        <v>6597.89</v>
      </c>
      <c r="L2974" s="3" t="n">
        <v>323296.61</v>
      </c>
      <c r="M2974" s="3" t="n">
        <v>0.1088</v>
      </c>
      <c r="N2974" s="3" t="n">
        <v>35174.67</v>
      </c>
      <c r="O2974" s="3" t="n">
        <v>288121.94</v>
      </c>
      <c r="P2974" s="3" t="n">
        <v>187512.03</v>
      </c>
      <c r="Q2974" s="3" t="n">
        <v>100609.91</v>
      </c>
      <c r="R2974" s="3" t="n">
        <v>0.3492</v>
      </c>
      <c r="S2974" s="3" t="n">
        <v>0.096</v>
      </c>
      <c r="T2974" s="3" t="n">
        <v>0.0128</v>
      </c>
    </row>
    <row r="2975" customFormat="false" ht="15" hidden="false" customHeight="true" outlineLevel="0" collapsed="false">
      <c r="A2975" s="3" t="s">
        <v>4080</v>
      </c>
      <c r="B2975" s="3" t="s">
        <v>1473</v>
      </c>
      <c r="C2975" s="3" t="s">
        <v>126</v>
      </c>
      <c r="D2975" s="3" t="s">
        <v>38</v>
      </c>
      <c r="E2975" s="3" t="s">
        <v>39</v>
      </c>
      <c r="F2975" s="3" t="s">
        <v>40</v>
      </c>
      <c r="G2975" s="3" t="s">
        <v>63</v>
      </c>
      <c r="H2975" s="3" t="s">
        <v>64</v>
      </c>
      <c r="I2975" s="3" t="s">
        <v>145</v>
      </c>
      <c r="J2975" s="3" t="n">
        <v>30</v>
      </c>
      <c r="K2975" s="3" t="n">
        <v>9163.6</v>
      </c>
      <c r="L2975" s="3" t="n">
        <v>274908</v>
      </c>
      <c r="M2975" s="3" t="n">
        <v>0.064</v>
      </c>
      <c r="N2975" s="3" t="n">
        <v>17594.11</v>
      </c>
      <c r="O2975" s="3" t="n">
        <v>257313.89</v>
      </c>
      <c r="P2975" s="3" t="n">
        <v>159446.64</v>
      </c>
      <c r="Q2975" s="3" t="n">
        <v>97867.25</v>
      </c>
      <c r="R2975" s="3" t="n">
        <v>0.3803</v>
      </c>
      <c r="S2975" s="3" t="n">
        <v>0.0632</v>
      </c>
      <c r="T2975" s="3" t="n">
        <v>0.0008</v>
      </c>
    </row>
    <row r="2976" customFormat="false" ht="15" hidden="false" customHeight="true" outlineLevel="0" collapsed="false">
      <c r="A2976" s="3" t="s">
        <v>4081</v>
      </c>
      <c r="B2976" s="3" t="s">
        <v>981</v>
      </c>
      <c r="C2976" s="3" t="s">
        <v>53</v>
      </c>
      <c r="D2976" s="3" t="s">
        <v>107</v>
      </c>
      <c r="E2976" s="3" t="s">
        <v>33</v>
      </c>
      <c r="F2976" s="3" t="s">
        <v>70</v>
      </c>
      <c r="G2976" s="3" t="s">
        <v>63</v>
      </c>
      <c r="H2976" s="3" t="s">
        <v>64</v>
      </c>
      <c r="I2976" s="3" t="s">
        <v>108</v>
      </c>
      <c r="J2976" s="3" t="n">
        <v>7</v>
      </c>
      <c r="K2976" s="3" t="n">
        <v>7875.33</v>
      </c>
      <c r="L2976" s="3" t="n">
        <v>55127.31</v>
      </c>
      <c r="M2976" s="3" t="n">
        <v>0.0322</v>
      </c>
      <c r="N2976" s="3" t="n">
        <v>1775.1</v>
      </c>
      <c r="O2976" s="3" t="n">
        <v>53352.21</v>
      </c>
      <c r="P2976" s="3" t="n">
        <v>31973.84</v>
      </c>
      <c r="Q2976" s="3" t="n">
        <v>21378.37</v>
      </c>
      <c r="R2976" s="3" t="n">
        <v>0.4007</v>
      </c>
      <c r="S2976" s="3" t="n">
        <v>0.0338</v>
      </c>
      <c r="T2976" s="3" t="n">
        <v>-0.0016</v>
      </c>
    </row>
    <row r="2977" customFormat="false" ht="15" hidden="false" customHeight="true" outlineLevel="0" collapsed="false">
      <c r="A2977" s="3" t="s">
        <v>4082</v>
      </c>
      <c r="B2977" s="3" t="s">
        <v>3194</v>
      </c>
      <c r="C2977" s="3" t="s">
        <v>22</v>
      </c>
      <c r="D2977" s="3" t="s">
        <v>23</v>
      </c>
      <c r="E2977" s="3" t="s">
        <v>24</v>
      </c>
      <c r="F2977" s="3" t="s">
        <v>25</v>
      </c>
      <c r="G2977" s="3" t="s">
        <v>41</v>
      </c>
      <c r="H2977" s="3" t="s">
        <v>64</v>
      </c>
      <c r="I2977" s="3" t="s">
        <v>90</v>
      </c>
      <c r="J2977" s="3" t="n">
        <v>49</v>
      </c>
      <c r="K2977" s="3" t="n">
        <v>3645.04</v>
      </c>
      <c r="L2977" s="3" t="n">
        <v>178606.96</v>
      </c>
      <c r="M2977" s="3" t="n">
        <v>0.1364</v>
      </c>
      <c r="N2977" s="3" t="n">
        <v>24361.99</v>
      </c>
      <c r="O2977" s="3" t="n">
        <v>154244.97</v>
      </c>
      <c r="P2977" s="3" t="n">
        <v>103592.04</v>
      </c>
      <c r="Q2977" s="3" t="n">
        <v>50652.93</v>
      </c>
      <c r="R2977" s="3" t="n">
        <v>0.3284</v>
      </c>
      <c r="S2977" s="3" t="n">
        <v>0.1132</v>
      </c>
      <c r="T2977" s="3" t="n">
        <v>0.0232</v>
      </c>
    </row>
    <row r="2978" customFormat="false" ht="15" hidden="false" customHeight="true" outlineLevel="0" collapsed="false">
      <c r="A2978" s="3" t="s">
        <v>4083</v>
      </c>
      <c r="B2978" s="3" t="s">
        <v>1106</v>
      </c>
      <c r="C2978" s="3" t="s">
        <v>53</v>
      </c>
      <c r="D2978" s="3" t="s">
        <v>54</v>
      </c>
      <c r="E2978" s="3" t="s">
        <v>24</v>
      </c>
      <c r="F2978" s="3" t="s">
        <v>40</v>
      </c>
      <c r="G2978" s="3" t="s">
        <v>104</v>
      </c>
      <c r="H2978" s="3" t="s">
        <v>64</v>
      </c>
      <c r="I2978" s="3" t="s">
        <v>108</v>
      </c>
      <c r="J2978" s="3" t="n">
        <v>35</v>
      </c>
      <c r="K2978" s="3" t="n">
        <v>3886.86</v>
      </c>
      <c r="L2978" s="3" t="n">
        <v>136040.1</v>
      </c>
      <c r="M2978" s="3" t="n">
        <v>0.0896</v>
      </c>
      <c r="N2978" s="3" t="n">
        <v>12189.19</v>
      </c>
      <c r="O2978" s="3" t="n">
        <v>123850.91</v>
      </c>
      <c r="P2978" s="3" t="n">
        <v>78903.26</v>
      </c>
      <c r="Q2978" s="3" t="n">
        <v>44947.65</v>
      </c>
      <c r="R2978" s="3" t="n">
        <v>0.3629</v>
      </c>
      <c r="S2978" s="3" t="n">
        <v>0.0764</v>
      </c>
      <c r="T2978" s="3" t="n">
        <v>0.0132</v>
      </c>
    </row>
    <row r="2979" customFormat="false" ht="15" hidden="false" customHeight="true" outlineLevel="0" collapsed="false">
      <c r="A2979" s="3" t="s">
        <v>4084</v>
      </c>
      <c r="B2979" s="3" t="s">
        <v>939</v>
      </c>
      <c r="C2979" s="3" t="s">
        <v>31</v>
      </c>
      <c r="D2979" s="3" t="s">
        <v>107</v>
      </c>
      <c r="E2979" s="3" t="s">
        <v>33</v>
      </c>
      <c r="F2979" s="3" t="s">
        <v>70</v>
      </c>
      <c r="G2979" s="3" t="s">
        <v>71</v>
      </c>
      <c r="H2979" s="3" t="s">
        <v>64</v>
      </c>
      <c r="I2979" s="3" t="s">
        <v>65</v>
      </c>
      <c r="J2979" s="3" t="n">
        <v>8</v>
      </c>
      <c r="K2979" s="3" t="n">
        <v>6480.62</v>
      </c>
      <c r="L2979" s="3" t="n">
        <v>51844.96</v>
      </c>
      <c r="M2979" s="3" t="n">
        <v>0.0662</v>
      </c>
      <c r="N2979" s="3" t="n">
        <v>3432.14</v>
      </c>
      <c r="O2979" s="3" t="n">
        <v>48412.82</v>
      </c>
      <c r="P2979" s="3" t="n">
        <v>30070.08</v>
      </c>
      <c r="Q2979" s="3" t="n">
        <v>18342.74</v>
      </c>
      <c r="R2979" s="3" t="n">
        <v>0.3789</v>
      </c>
      <c r="S2979" s="3" t="n">
        <v>0.0574</v>
      </c>
      <c r="T2979" s="3" t="n">
        <v>0.0088</v>
      </c>
    </row>
    <row r="2980" customFormat="false" ht="15" hidden="false" customHeight="true" outlineLevel="0" collapsed="false">
      <c r="A2980" s="3" t="s">
        <v>4085</v>
      </c>
      <c r="B2980" s="3" t="s">
        <v>243</v>
      </c>
      <c r="C2980" s="3" t="s">
        <v>156</v>
      </c>
      <c r="D2980" s="3" t="s">
        <v>32</v>
      </c>
      <c r="E2980" s="3" t="s">
        <v>33</v>
      </c>
      <c r="F2980" s="3" t="s">
        <v>25</v>
      </c>
      <c r="G2980" s="3" t="s">
        <v>71</v>
      </c>
      <c r="H2980" s="3" t="s">
        <v>64</v>
      </c>
      <c r="I2980" s="3" t="s">
        <v>65</v>
      </c>
      <c r="J2980" s="3" t="n">
        <v>31</v>
      </c>
      <c r="K2980" s="3" t="n">
        <v>11445.7</v>
      </c>
      <c r="L2980" s="3" t="n">
        <v>354816.7</v>
      </c>
      <c r="M2980" s="3" t="n">
        <v>0.1786</v>
      </c>
      <c r="N2980" s="3" t="n">
        <v>63370.26</v>
      </c>
      <c r="O2980" s="3" t="n">
        <v>291446.44</v>
      </c>
      <c r="P2980" s="3" t="n">
        <v>205793.69</v>
      </c>
      <c r="Q2980" s="3" t="n">
        <v>85652.75</v>
      </c>
      <c r="R2980" s="3" t="n">
        <v>0.2939</v>
      </c>
      <c r="S2980" s="3" t="n">
        <v>0.1678</v>
      </c>
      <c r="T2980" s="3" t="n">
        <v>0.0108</v>
      </c>
    </row>
    <row r="2981" customFormat="false" ht="15" hidden="false" customHeight="true" outlineLevel="0" collapsed="false">
      <c r="A2981" s="3" t="s">
        <v>4086</v>
      </c>
      <c r="B2981" s="3" t="s">
        <v>2299</v>
      </c>
      <c r="C2981" s="3" t="s">
        <v>22</v>
      </c>
      <c r="D2981" s="3" t="s">
        <v>107</v>
      </c>
      <c r="E2981" s="3" t="s">
        <v>33</v>
      </c>
      <c r="F2981" s="3" t="s">
        <v>70</v>
      </c>
      <c r="G2981" s="3" t="s">
        <v>76</v>
      </c>
      <c r="H2981" s="3" t="s">
        <v>56</v>
      </c>
      <c r="I2981" s="3" t="s">
        <v>121</v>
      </c>
      <c r="J2981" s="3" t="n">
        <v>28</v>
      </c>
      <c r="K2981" s="3" t="n">
        <v>12368.26</v>
      </c>
      <c r="L2981" s="3" t="n">
        <v>346311.28</v>
      </c>
      <c r="M2981" s="3" t="n">
        <v>0.0541</v>
      </c>
      <c r="N2981" s="3" t="n">
        <v>18735.44</v>
      </c>
      <c r="O2981" s="3" t="n">
        <v>327575.84</v>
      </c>
      <c r="P2981" s="3" t="n">
        <v>207786.77</v>
      </c>
      <c r="Q2981" s="3" t="n">
        <v>119789.07</v>
      </c>
      <c r="R2981" s="3" t="n">
        <v>0.3657</v>
      </c>
      <c r="S2981" s="3" t="n">
        <v>0.044</v>
      </c>
      <c r="T2981" s="3" t="n">
        <v>0.0101</v>
      </c>
    </row>
    <row r="2982" customFormat="false" ht="15" hidden="false" customHeight="true" outlineLevel="0" collapsed="false">
      <c r="A2982" s="3" t="s">
        <v>4087</v>
      </c>
      <c r="B2982" s="3" t="s">
        <v>1982</v>
      </c>
      <c r="C2982" s="3" t="s">
        <v>93</v>
      </c>
      <c r="D2982" s="3" t="s">
        <v>103</v>
      </c>
      <c r="E2982" s="3" t="s">
        <v>24</v>
      </c>
      <c r="F2982" s="3" t="s">
        <v>62</v>
      </c>
      <c r="G2982" s="3" t="s">
        <v>76</v>
      </c>
      <c r="H2982" s="3" t="s">
        <v>64</v>
      </c>
      <c r="I2982" s="3" t="s">
        <v>65</v>
      </c>
      <c r="J2982" s="3" t="n">
        <v>7</v>
      </c>
      <c r="K2982" s="3" t="n">
        <v>9288.74</v>
      </c>
      <c r="L2982" s="3" t="n">
        <v>65021.18</v>
      </c>
      <c r="M2982" s="3" t="n">
        <v>0.069</v>
      </c>
      <c r="N2982" s="3" t="n">
        <v>4486.46</v>
      </c>
      <c r="O2982" s="3" t="n">
        <v>60534.72</v>
      </c>
      <c r="P2982" s="3" t="n">
        <v>37712.28</v>
      </c>
      <c r="Q2982" s="3" t="n">
        <v>22822.44</v>
      </c>
      <c r="R2982" s="3" t="n">
        <v>0.377</v>
      </c>
      <c r="S2982" s="3" t="n">
        <v>0.0741</v>
      </c>
      <c r="T2982" s="3" t="n">
        <v>-0.0051</v>
      </c>
    </row>
    <row r="2983" customFormat="false" ht="15" hidden="false" customHeight="true" outlineLevel="0" collapsed="false">
      <c r="A2983" s="3" t="s">
        <v>4088</v>
      </c>
      <c r="B2983" s="3" t="s">
        <v>1304</v>
      </c>
      <c r="C2983" s="3" t="s">
        <v>68</v>
      </c>
      <c r="D2983" s="3" t="s">
        <v>83</v>
      </c>
      <c r="E2983" s="3" t="s">
        <v>48</v>
      </c>
      <c r="F2983" s="3" t="s">
        <v>62</v>
      </c>
      <c r="G2983" s="3" t="s">
        <v>34</v>
      </c>
      <c r="H2983" s="3" t="s">
        <v>27</v>
      </c>
      <c r="I2983" s="3" t="s">
        <v>173</v>
      </c>
      <c r="J2983" s="3" t="n">
        <v>24</v>
      </c>
      <c r="K2983" s="3" t="n">
        <v>16607.82</v>
      </c>
      <c r="L2983" s="3" t="n">
        <v>398587.68</v>
      </c>
      <c r="M2983" s="3" t="n">
        <v>0.0947</v>
      </c>
      <c r="N2983" s="3" t="n">
        <v>37746.25</v>
      </c>
      <c r="O2983" s="3" t="n">
        <v>360841.43</v>
      </c>
      <c r="P2983" s="3" t="n">
        <v>247124.36</v>
      </c>
      <c r="Q2983" s="3" t="n">
        <v>113717.07</v>
      </c>
      <c r="R2983" s="3" t="n">
        <v>0.3151</v>
      </c>
      <c r="S2983" s="3" t="n">
        <v>0.0995</v>
      </c>
      <c r="T2983" s="3" t="n">
        <v>-0.0048</v>
      </c>
    </row>
    <row r="2984" customFormat="false" ht="15" hidden="false" customHeight="true" outlineLevel="0" collapsed="false">
      <c r="A2984" s="3" t="s">
        <v>4089</v>
      </c>
      <c r="B2984" s="3" t="s">
        <v>1709</v>
      </c>
      <c r="C2984" s="3" t="s">
        <v>22</v>
      </c>
      <c r="D2984" s="3" t="s">
        <v>103</v>
      </c>
      <c r="E2984" s="3" t="s">
        <v>24</v>
      </c>
      <c r="F2984" s="3" t="s">
        <v>62</v>
      </c>
      <c r="G2984" s="3" t="s">
        <v>34</v>
      </c>
      <c r="H2984" s="3" t="s">
        <v>27</v>
      </c>
      <c r="I2984" s="3" t="s">
        <v>117</v>
      </c>
      <c r="J2984" s="3" t="n">
        <v>34</v>
      </c>
      <c r="K2984" s="3" t="n">
        <v>22680.89</v>
      </c>
      <c r="L2984" s="3" t="n">
        <v>771150.26</v>
      </c>
      <c r="M2984" s="3" t="n">
        <v>0.0992</v>
      </c>
      <c r="N2984" s="3" t="n">
        <v>76498.11</v>
      </c>
      <c r="O2984" s="3" t="n">
        <v>694652.15</v>
      </c>
      <c r="P2984" s="3" t="n">
        <v>478113.16</v>
      </c>
      <c r="Q2984" s="3" t="n">
        <v>216538.99</v>
      </c>
      <c r="R2984" s="3" t="n">
        <v>0.3117</v>
      </c>
      <c r="S2984" s="3" t="n">
        <v>0.0978</v>
      </c>
      <c r="T2984" s="3" t="n">
        <v>0.0014</v>
      </c>
    </row>
    <row r="2985" customFormat="false" ht="15" hidden="false" customHeight="true" outlineLevel="0" collapsed="false">
      <c r="A2985" s="3" t="s">
        <v>4090</v>
      </c>
      <c r="B2985" s="3" t="s">
        <v>1674</v>
      </c>
      <c r="C2985" s="3" t="s">
        <v>46</v>
      </c>
      <c r="D2985" s="3" t="s">
        <v>23</v>
      </c>
      <c r="E2985" s="3" t="s">
        <v>24</v>
      </c>
      <c r="F2985" s="3" t="s">
        <v>25</v>
      </c>
      <c r="G2985" s="3" t="s">
        <v>76</v>
      </c>
      <c r="H2985" s="3" t="s">
        <v>42</v>
      </c>
      <c r="I2985" s="3" t="s">
        <v>134</v>
      </c>
      <c r="J2985" s="3" t="n">
        <v>27</v>
      </c>
      <c r="K2985" s="3" t="n">
        <v>3771.59</v>
      </c>
      <c r="L2985" s="3" t="n">
        <v>101832.93</v>
      </c>
      <c r="M2985" s="3" t="n">
        <v>0.1116</v>
      </c>
      <c r="N2985" s="3" t="n">
        <v>11364.55</v>
      </c>
      <c r="O2985" s="3" t="n">
        <v>90468.38</v>
      </c>
      <c r="P2985" s="3" t="n">
        <v>56008.11</v>
      </c>
      <c r="Q2985" s="3" t="n">
        <v>34460.27</v>
      </c>
      <c r="R2985" s="3" t="n">
        <v>0.3809</v>
      </c>
      <c r="S2985" s="3" t="n">
        <v>0.1008</v>
      </c>
      <c r="T2985" s="3" t="n">
        <v>0.0108</v>
      </c>
    </row>
    <row r="2986" customFormat="false" ht="15" hidden="false" customHeight="true" outlineLevel="0" collapsed="false">
      <c r="A2986" s="3" t="s">
        <v>4091</v>
      </c>
      <c r="B2986" s="3" t="s">
        <v>2223</v>
      </c>
      <c r="C2986" s="3" t="s">
        <v>120</v>
      </c>
      <c r="D2986" s="3" t="s">
        <v>47</v>
      </c>
      <c r="E2986" s="3" t="s">
        <v>48</v>
      </c>
      <c r="F2986" s="3" t="s">
        <v>25</v>
      </c>
      <c r="G2986" s="3" t="s">
        <v>41</v>
      </c>
      <c r="H2986" s="3" t="s">
        <v>27</v>
      </c>
      <c r="I2986" s="3" t="s">
        <v>94</v>
      </c>
      <c r="J2986" s="3" t="n">
        <v>32</v>
      </c>
      <c r="K2986" s="3" t="n">
        <v>22512.62</v>
      </c>
      <c r="L2986" s="3" t="n">
        <v>720403.84</v>
      </c>
      <c r="M2986" s="3" t="n">
        <v>0.1584</v>
      </c>
      <c r="N2986" s="3" t="n">
        <v>114111.97</v>
      </c>
      <c r="O2986" s="3" t="n">
        <v>606291.87</v>
      </c>
      <c r="P2986" s="3" t="n">
        <v>446650.38</v>
      </c>
      <c r="Q2986" s="3" t="n">
        <v>159641.49</v>
      </c>
      <c r="R2986" s="3" t="n">
        <v>0.2633</v>
      </c>
      <c r="S2986" s="3" t="n">
        <v>0.1594</v>
      </c>
      <c r="T2986" s="3" t="n">
        <v>-0.001</v>
      </c>
    </row>
    <row r="2987" customFormat="false" ht="15" hidden="false" customHeight="true" outlineLevel="0" collapsed="false">
      <c r="A2987" s="3" t="s">
        <v>4092</v>
      </c>
      <c r="B2987" s="3" t="s">
        <v>989</v>
      </c>
      <c r="C2987" s="3" t="s">
        <v>120</v>
      </c>
      <c r="D2987" s="3" t="s">
        <v>23</v>
      </c>
      <c r="E2987" s="3" t="s">
        <v>24</v>
      </c>
      <c r="F2987" s="3" t="s">
        <v>25</v>
      </c>
      <c r="G2987" s="3" t="s">
        <v>63</v>
      </c>
      <c r="H2987" s="3" t="s">
        <v>56</v>
      </c>
      <c r="I2987" s="3" t="s">
        <v>121</v>
      </c>
      <c r="J2987" s="3" t="n">
        <v>28</v>
      </c>
      <c r="K2987" s="3" t="n">
        <v>14001.34</v>
      </c>
      <c r="L2987" s="3" t="n">
        <v>392037.52</v>
      </c>
      <c r="M2987" s="3" t="n">
        <v>0.1104</v>
      </c>
      <c r="N2987" s="3" t="n">
        <v>43280.94</v>
      </c>
      <c r="O2987" s="3" t="n">
        <v>348756.58</v>
      </c>
      <c r="P2987" s="3" t="n">
        <v>235222.51</v>
      </c>
      <c r="Q2987" s="3" t="n">
        <v>113534.07</v>
      </c>
      <c r="R2987" s="3" t="n">
        <v>0.3255</v>
      </c>
      <c r="S2987" s="3" t="n">
        <v>0.0928</v>
      </c>
      <c r="T2987" s="3" t="n">
        <v>0.0176</v>
      </c>
    </row>
    <row r="2988" customFormat="false" ht="15" hidden="false" customHeight="true" outlineLevel="0" collapsed="false">
      <c r="A2988" s="3" t="s">
        <v>4093</v>
      </c>
      <c r="B2988" s="3" t="s">
        <v>1067</v>
      </c>
      <c r="C2988" s="3" t="s">
        <v>93</v>
      </c>
      <c r="D2988" s="3" t="s">
        <v>47</v>
      </c>
      <c r="E2988" s="3" t="s">
        <v>48</v>
      </c>
      <c r="F2988" s="3" t="s">
        <v>25</v>
      </c>
      <c r="G2988" s="3" t="s">
        <v>100</v>
      </c>
      <c r="H2988" s="3" t="s">
        <v>77</v>
      </c>
      <c r="I2988" s="3" t="s">
        <v>78</v>
      </c>
      <c r="J2988" s="3" t="n">
        <v>2</v>
      </c>
      <c r="K2988" s="3" t="n">
        <v>2250.04</v>
      </c>
      <c r="L2988" s="3" t="n">
        <v>4500.08</v>
      </c>
      <c r="M2988" s="3" t="n">
        <v>0.1282</v>
      </c>
      <c r="N2988" s="3" t="n">
        <v>576.91</v>
      </c>
      <c r="O2988" s="3" t="n">
        <v>3923.17</v>
      </c>
      <c r="P2988" s="3" t="n">
        <v>3060.05</v>
      </c>
      <c r="Q2988" s="3" t="n">
        <v>863.12</v>
      </c>
      <c r="R2988" s="3" t="n">
        <v>0.22</v>
      </c>
      <c r="S2988" s="3" t="n">
        <v>0.1063</v>
      </c>
      <c r="T2988" s="3" t="n">
        <v>0.0219</v>
      </c>
    </row>
    <row r="2989" customFormat="false" ht="15" hidden="false" customHeight="true" outlineLevel="0" collapsed="false">
      <c r="A2989" s="3" t="s">
        <v>4094</v>
      </c>
      <c r="B2989" s="3" t="s">
        <v>1524</v>
      </c>
      <c r="C2989" s="3" t="s">
        <v>60</v>
      </c>
      <c r="D2989" s="3" t="s">
        <v>107</v>
      </c>
      <c r="E2989" s="3" t="s">
        <v>33</v>
      </c>
      <c r="F2989" s="3" t="s">
        <v>70</v>
      </c>
      <c r="G2989" s="3" t="s">
        <v>26</v>
      </c>
      <c r="H2989" s="3" t="s">
        <v>56</v>
      </c>
      <c r="I2989" s="3" t="s">
        <v>57</v>
      </c>
      <c r="J2989" s="3" t="n">
        <v>3</v>
      </c>
      <c r="K2989" s="3" t="n">
        <v>6583.93</v>
      </c>
      <c r="L2989" s="3" t="n">
        <v>19751.79</v>
      </c>
      <c r="M2989" s="3" t="n">
        <v>0.0383</v>
      </c>
      <c r="N2989" s="3" t="n">
        <v>756.49</v>
      </c>
      <c r="O2989" s="3" t="n">
        <v>18995.3</v>
      </c>
      <c r="P2989" s="3" t="n">
        <v>11851.07</v>
      </c>
      <c r="Q2989" s="3" t="n">
        <v>7144.23</v>
      </c>
      <c r="R2989" s="3" t="n">
        <v>0.3761</v>
      </c>
      <c r="S2989" s="3" t="n">
        <v>0.0331</v>
      </c>
      <c r="T2989" s="3" t="n">
        <v>0.0052</v>
      </c>
    </row>
    <row r="2990" customFormat="false" ht="15" hidden="false" customHeight="true" outlineLevel="0" collapsed="false">
      <c r="A2990" s="3" t="s">
        <v>4095</v>
      </c>
      <c r="B2990" s="3" t="s">
        <v>285</v>
      </c>
      <c r="C2990" s="3" t="s">
        <v>46</v>
      </c>
      <c r="D2990" s="3" t="s">
        <v>23</v>
      </c>
      <c r="E2990" s="3" t="s">
        <v>24</v>
      </c>
      <c r="F2990" s="3" t="s">
        <v>25</v>
      </c>
      <c r="G2990" s="3" t="s">
        <v>63</v>
      </c>
      <c r="H2990" s="3" t="s">
        <v>42</v>
      </c>
      <c r="I2990" s="3" t="s">
        <v>72</v>
      </c>
      <c r="J2990" s="3" t="n">
        <v>20</v>
      </c>
      <c r="K2990" s="3" t="n">
        <v>3864.95</v>
      </c>
      <c r="L2990" s="3" t="n">
        <v>77299</v>
      </c>
      <c r="M2990" s="3" t="n">
        <v>0.1161</v>
      </c>
      <c r="N2990" s="3" t="n">
        <v>8974.41</v>
      </c>
      <c r="O2990" s="3" t="n">
        <v>68324.59</v>
      </c>
      <c r="P2990" s="3" t="n">
        <v>42514.45</v>
      </c>
      <c r="Q2990" s="3" t="n">
        <v>25810.14</v>
      </c>
      <c r="R2990" s="3" t="n">
        <v>0.3778</v>
      </c>
      <c r="S2990" s="3" t="n">
        <v>0.099</v>
      </c>
      <c r="T2990" s="3" t="n">
        <v>0.0171</v>
      </c>
    </row>
    <row r="2991" customFormat="false" ht="15" hidden="false" customHeight="true" outlineLevel="0" collapsed="false">
      <c r="A2991" s="3" t="s">
        <v>4096</v>
      </c>
      <c r="B2991" s="3" t="s">
        <v>119</v>
      </c>
      <c r="C2991" s="3" t="s">
        <v>120</v>
      </c>
      <c r="D2991" s="3" t="s">
        <v>47</v>
      </c>
      <c r="E2991" s="3" t="s">
        <v>48</v>
      </c>
      <c r="F2991" s="3" t="s">
        <v>25</v>
      </c>
      <c r="G2991" s="3" t="s">
        <v>104</v>
      </c>
      <c r="H2991" s="3" t="s">
        <v>64</v>
      </c>
      <c r="I2991" s="3" t="s">
        <v>108</v>
      </c>
      <c r="J2991" s="3" t="n">
        <v>44</v>
      </c>
      <c r="K2991" s="3" t="n">
        <v>5671.71</v>
      </c>
      <c r="L2991" s="3" t="n">
        <v>249555.24</v>
      </c>
      <c r="M2991" s="3" t="n">
        <v>0.1766</v>
      </c>
      <c r="N2991" s="3" t="n">
        <v>44071.46</v>
      </c>
      <c r="O2991" s="3" t="n">
        <v>205483.78</v>
      </c>
      <c r="P2991" s="3" t="n">
        <v>144742.04</v>
      </c>
      <c r="Q2991" s="3" t="n">
        <v>60741.74</v>
      </c>
      <c r="R2991" s="3" t="n">
        <v>0.2956</v>
      </c>
      <c r="S2991" s="3" t="n">
        <v>0.1775</v>
      </c>
      <c r="T2991" s="3" t="n">
        <v>-0.0009</v>
      </c>
    </row>
    <row r="2992" customFormat="false" ht="15" hidden="false" customHeight="true" outlineLevel="0" collapsed="false">
      <c r="A2992" s="3" t="s">
        <v>4097</v>
      </c>
      <c r="B2992" s="3" t="s">
        <v>1535</v>
      </c>
      <c r="C2992" s="3" t="s">
        <v>31</v>
      </c>
      <c r="D2992" s="3" t="s">
        <v>75</v>
      </c>
      <c r="E2992" s="3" t="s">
        <v>39</v>
      </c>
      <c r="F2992" s="3" t="s">
        <v>25</v>
      </c>
      <c r="G2992" s="3" t="s">
        <v>41</v>
      </c>
      <c r="H2992" s="3" t="s">
        <v>27</v>
      </c>
      <c r="I2992" s="3" t="s">
        <v>50</v>
      </c>
      <c r="J2992" s="3" t="n">
        <v>15</v>
      </c>
      <c r="K2992" s="3" t="n">
        <v>17456.69</v>
      </c>
      <c r="L2992" s="3" t="n">
        <v>261850.35</v>
      </c>
      <c r="M2992" s="3" t="n">
        <v>0.1487</v>
      </c>
      <c r="N2992" s="3" t="n">
        <v>38937.15</v>
      </c>
      <c r="O2992" s="3" t="n">
        <v>222913.2</v>
      </c>
      <c r="P2992" s="3" t="n">
        <v>162347.22</v>
      </c>
      <c r="Q2992" s="3" t="n">
        <v>60565.98</v>
      </c>
      <c r="R2992" s="3" t="n">
        <v>0.2717</v>
      </c>
      <c r="S2992" s="3" t="n">
        <v>0.1282</v>
      </c>
      <c r="T2992" s="3" t="n">
        <v>0.0205</v>
      </c>
    </row>
    <row r="2993" customFormat="false" ht="15" hidden="false" customHeight="true" outlineLevel="0" collapsed="false">
      <c r="A2993" s="3" t="s">
        <v>4098</v>
      </c>
      <c r="B2993" s="3" t="s">
        <v>970</v>
      </c>
      <c r="C2993" s="3" t="s">
        <v>68</v>
      </c>
      <c r="D2993" s="3" t="s">
        <v>47</v>
      </c>
      <c r="E2993" s="3" t="s">
        <v>48</v>
      </c>
      <c r="F2993" s="3" t="s">
        <v>25</v>
      </c>
      <c r="G2993" s="3" t="s">
        <v>104</v>
      </c>
      <c r="H2993" s="3" t="s">
        <v>42</v>
      </c>
      <c r="I2993" s="3" t="s">
        <v>134</v>
      </c>
      <c r="J2993" s="3" t="n">
        <v>25</v>
      </c>
      <c r="K2993" s="3" t="n">
        <v>3446.02</v>
      </c>
      <c r="L2993" s="3" t="n">
        <v>86150.5</v>
      </c>
      <c r="M2993" s="3" t="n">
        <v>0.1714</v>
      </c>
      <c r="N2993" s="3" t="n">
        <v>14766.2</v>
      </c>
      <c r="O2993" s="3" t="n">
        <v>71384.3</v>
      </c>
      <c r="P2993" s="3" t="n">
        <v>47382.78</v>
      </c>
      <c r="Q2993" s="3" t="n">
        <v>24001.52</v>
      </c>
      <c r="R2993" s="3" t="n">
        <v>0.3362</v>
      </c>
      <c r="S2993" s="3" t="n">
        <v>0.1835</v>
      </c>
      <c r="T2993" s="3" t="n">
        <v>-0.0121</v>
      </c>
    </row>
    <row r="2994" customFormat="false" ht="15" hidden="false" customHeight="true" outlineLevel="0" collapsed="false">
      <c r="A2994" s="3" t="s">
        <v>4099</v>
      </c>
      <c r="B2994" s="3" t="s">
        <v>4100</v>
      </c>
      <c r="C2994" s="3" t="s">
        <v>113</v>
      </c>
      <c r="D2994" s="3" t="s">
        <v>32</v>
      </c>
      <c r="E2994" s="3" t="s">
        <v>33</v>
      </c>
      <c r="F2994" s="3" t="s">
        <v>25</v>
      </c>
      <c r="G2994" s="3" t="s">
        <v>100</v>
      </c>
      <c r="H2994" s="3" t="s">
        <v>64</v>
      </c>
      <c r="I2994" s="3" t="s">
        <v>90</v>
      </c>
      <c r="J2994" s="3" t="n">
        <v>15</v>
      </c>
      <c r="K2994" s="3" t="n">
        <v>8028.59</v>
      </c>
      <c r="L2994" s="3" t="n">
        <v>120428.85</v>
      </c>
      <c r="M2994" s="3" t="n">
        <v>0.0924</v>
      </c>
      <c r="N2994" s="3" t="n">
        <v>11127.63</v>
      </c>
      <c r="O2994" s="3" t="n">
        <v>109301.22</v>
      </c>
      <c r="P2994" s="3" t="n">
        <v>69848.73</v>
      </c>
      <c r="Q2994" s="3" t="n">
        <v>39452.49</v>
      </c>
      <c r="R2994" s="3" t="n">
        <v>0.361</v>
      </c>
      <c r="S2994" s="3" t="n">
        <v>0.0874</v>
      </c>
      <c r="T2994" s="3" t="n">
        <v>0.005</v>
      </c>
    </row>
    <row r="2995" customFormat="false" ht="15" hidden="false" customHeight="true" outlineLevel="0" collapsed="false">
      <c r="A2995" s="3" t="s">
        <v>4101</v>
      </c>
      <c r="B2995" s="3" t="s">
        <v>807</v>
      </c>
      <c r="C2995" s="3" t="s">
        <v>113</v>
      </c>
      <c r="D2995" s="3" t="s">
        <v>38</v>
      </c>
      <c r="E2995" s="3" t="s">
        <v>39</v>
      </c>
      <c r="F2995" s="3" t="s">
        <v>40</v>
      </c>
      <c r="G2995" s="3" t="s">
        <v>26</v>
      </c>
      <c r="H2995" s="3" t="s">
        <v>64</v>
      </c>
      <c r="I2995" s="3" t="s">
        <v>90</v>
      </c>
      <c r="J2995" s="3" t="n">
        <v>6</v>
      </c>
      <c r="K2995" s="3" t="n">
        <v>5043.12</v>
      </c>
      <c r="L2995" s="3" t="n">
        <v>30258.72</v>
      </c>
      <c r="M2995" s="3" t="n">
        <v>0.0683</v>
      </c>
      <c r="N2995" s="3" t="n">
        <v>2066.67</v>
      </c>
      <c r="O2995" s="3" t="n">
        <v>28192.05</v>
      </c>
      <c r="P2995" s="3" t="n">
        <v>17550.06</v>
      </c>
      <c r="Q2995" s="3" t="n">
        <v>10641.99</v>
      </c>
      <c r="R2995" s="3" t="n">
        <v>0.3775</v>
      </c>
      <c r="S2995" s="3" t="n">
        <v>0.0699</v>
      </c>
      <c r="T2995" s="3" t="n">
        <v>-0.0016</v>
      </c>
    </row>
    <row r="2996" customFormat="false" ht="15" hidden="false" customHeight="true" outlineLevel="0" collapsed="false">
      <c r="A2996" s="3" t="s">
        <v>4102</v>
      </c>
      <c r="B2996" s="3" t="s">
        <v>3619</v>
      </c>
      <c r="C2996" s="3" t="s">
        <v>53</v>
      </c>
      <c r="D2996" s="3" t="s">
        <v>75</v>
      </c>
      <c r="E2996" s="3" t="s">
        <v>39</v>
      </c>
      <c r="F2996" s="3" t="s">
        <v>25</v>
      </c>
      <c r="G2996" s="3" t="s">
        <v>71</v>
      </c>
      <c r="H2996" s="3" t="s">
        <v>56</v>
      </c>
      <c r="I2996" s="3" t="s">
        <v>188</v>
      </c>
      <c r="J2996" s="3" t="n">
        <v>31</v>
      </c>
      <c r="K2996" s="3" t="n">
        <v>12301.59</v>
      </c>
      <c r="L2996" s="3" t="n">
        <v>381349.29</v>
      </c>
      <c r="M2996" s="3" t="n">
        <v>0.1474</v>
      </c>
      <c r="N2996" s="3" t="n">
        <v>56210.89</v>
      </c>
      <c r="O2996" s="3" t="n">
        <v>325138.4</v>
      </c>
      <c r="P2996" s="3" t="n">
        <v>228809.57</v>
      </c>
      <c r="Q2996" s="3" t="n">
        <v>96328.83</v>
      </c>
      <c r="R2996" s="3" t="n">
        <v>0.2963</v>
      </c>
      <c r="S2996" s="3" t="n">
        <v>0.1303</v>
      </c>
      <c r="T2996" s="3" t="n">
        <v>0.0171</v>
      </c>
    </row>
    <row r="2997" customFormat="false" ht="15" hidden="false" customHeight="true" outlineLevel="0" collapsed="false">
      <c r="A2997" s="3" t="s">
        <v>4103</v>
      </c>
      <c r="B2997" s="3" t="s">
        <v>4104</v>
      </c>
      <c r="C2997" s="3" t="s">
        <v>93</v>
      </c>
      <c r="D2997" s="3" t="s">
        <v>32</v>
      </c>
      <c r="E2997" s="3" t="s">
        <v>33</v>
      </c>
      <c r="F2997" s="3" t="s">
        <v>25</v>
      </c>
      <c r="G2997" s="3" t="s">
        <v>63</v>
      </c>
      <c r="H2997" s="3" t="s">
        <v>42</v>
      </c>
      <c r="I2997" s="3" t="s">
        <v>43</v>
      </c>
      <c r="J2997" s="3" t="n">
        <v>44</v>
      </c>
      <c r="K2997" s="3" t="n">
        <v>3099.89</v>
      </c>
      <c r="L2997" s="3" t="n">
        <v>136395.16</v>
      </c>
      <c r="M2997" s="3" t="n">
        <v>0.0848</v>
      </c>
      <c r="N2997" s="3" t="n">
        <v>11566.31</v>
      </c>
      <c r="O2997" s="3" t="n">
        <v>124828.85</v>
      </c>
      <c r="P2997" s="3" t="n">
        <v>75017.34</v>
      </c>
      <c r="Q2997" s="3" t="n">
        <v>49811.51</v>
      </c>
      <c r="R2997" s="3" t="n">
        <v>0.399</v>
      </c>
      <c r="S2997" s="3" t="n">
        <v>0.0722</v>
      </c>
      <c r="T2997" s="3" t="n">
        <v>0.0126</v>
      </c>
    </row>
    <row r="2998" customFormat="false" ht="15" hidden="false" customHeight="true" outlineLevel="0" collapsed="false">
      <c r="A2998" s="3" t="s">
        <v>4105</v>
      </c>
      <c r="B2998" s="3" t="s">
        <v>642</v>
      </c>
      <c r="C2998" s="3" t="s">
        <v>120</v>
      </c>
      <c r="D2998" s="3" t="s">
        <v>107</v>
      </c>
      <c r="E2998" s="3" t="s">
        <v>33</v>
      </c>
      <c r="F2998" s="3" t="s">
        <v>70</v>
      </c>
      <c r="G2998" s="3" t="s">
        <v>84</v>
      </c>
      <c r="H2998" s="3" t="s">
        <v>64</v>
      </c>
      <c r="I2998" s="3" t="s">
        <v>145</v>
      </c>
      <c r="J2998" s="3" t="n">
        <v>13</v>
      </c>
      <c r="K2998" s="3" t="n">
        <v>4116.69</v>
      </c>
      <c r="L2998" s="3" t="n">
        <v>53516.97</v>
      </c>
      <c r="M2998" s="3" t="n">
        <v>0.031</v>
      </c>
      <c r="N2998" s="3" t="n">
        <v>1659.03</v>
      </c>
      <c r="O2998" s="3" t="n">
        <v>51857.94</v>
      </c>
      <c r="P2998" s="3" t="n">
        <v>31039.84</v>
      </c>
      <c r="Q2998" s="3" t="n">
        <v>20818.1</v>
      </c>
      <c r="R2998" s="3" t="n">
        <v>0.4014</v>
      </c>
      <c r="S2998" s="3" t="n">
        <v>0.029</v>
      </c>
      <c r="T2998" s="3" t="n">
        <v>0.002</v>
      </c>
    </row>
    <row r="2999" customFormat="false" ht="15" hidden="false" customHeight="true" outlineLevel="0" collapsed="false">
      <c r="A2999" s="3" t="s">
        <v>4106</v>
      </c>
      <c r="B2999" s="3" t="s">
        <v>892</v>
      </c>
      <c r="C2999" s="3" t="s">
        <v>68</v>
      </c>
      <c r="D2999" s="3" t="s">
        <v>38</v>
      </c>
      <c r="E2999" s="3" t="s">
        <v>39</v>
      </c>
      <c r="F2999" s="3" t="s">
        <v>40</v>
      </c>
      <c r="G2999" s="3" t="s">
        <v>104</v>
      </c>
      <c r="H2999" s="3" t="s">
        <v>77</v>
      </c>
      <c r="I2999" s="3" t="s">
        <v>85</v>
      </c>
      <c r="J2999" s="3" t="n">
        <v>31</v>
      </c>
      <c r="K2999" s="3" t="n">
        <v>5270.32</v>
      </c>
      <c r="L2999" s="3" t="n">
        <v>163379.92</v>
      </c>
      <c r="M2999" s="3" t="n">
        <v>0.0847</v>
      </c>
      <c r="N2999" s="3" t="n">
        <v>13838.28</v>
      </c>
      <c r="O2999" s="3" t="n">
        <v>149541.64</v>
      </c>
      <c r="P2999" s="3" t="n">
        <v>111098.35</v>
      </c>
      <c r="Q2999" s="3" t="n">
        <v>38443.29</v>
      </c>
      <c r="R2999" s="3" t="n">
        <v>0.2571</v>
      </c>
      <c r="S2999" s="3" t="n">
        <v>0.0844</v>
      </c>
      <c r="T2999" s="3" t="n">
        <v>0.0003</v>
      </c>
    </row>
    <row r="3000" customFormat="false" ht="15" hidden="false" customHeight="true" outlineLevel="0" collapsed="false">
      <c r="A3000" s="3" t="s">
        <v>4107</v>
      </c>
      <c r="B3000" s="3" t="s">
        <v>1447</v>
      </c>
      <c r="C3000" s="3" t="s">
        <v>37</v>
      </c>
      <c r="D3000" s="3" t="s">
        <v>38</v>
      </c>
      <c r="E3000" s="3" t="s">
        <v>39</v>
      </c>
      <c r="F3000" s="3" t="s">
        <v>40</v>
      </c>
      <c r="G3000" s="3" t="s">
        <v>55</v>
      </c>
      <c r="H3000" s="3" t="s">
        <v>77</v>
      </c>
      <c r="I3000" s="3" t="s">
        <v>78</v>
      </c>
      <c r="J3000" s="3" t="n">
        <v>40</v>
      </c>
      <c r="K3000" s="3" t="n">
        <v>4148.64</v>
      </c>
      <c r="L3000" s="3" t="n">
        <v>165945.6</v>
      </c>
      <c r="M3000" s="3" t="n">
        <v>0.06</v>
      </c>
      <c r="N3000" s="3" t="n">
        <v>9956.74</v>
      </c>
      <c r="O3000" s="3" t="n">
        <v>155988.86</v>
      </c>
      <c r="P3000" s="3" t="n">
        <v>112843.01</v>
      </c>
      <c r="Q3000" s="3" t="n">
        <v>43145.85</v>
      </c>
      <c r="R3000" s="3" t="n">
        <v>0.2766</v>
      </c>
      <c r="S3000" s="3" t="n">
        <v>0.0509</v>
      </c>
      <c r="T3000" s="3" t="n">
        <v>0.0091</v>
      </c>
    </row>
    <row r="3001" customFormat="false" ht="15" hidden="false" customHeight="true" outlineLevel="0" collapsed="false">
      <c r="A3001" s="3" t="s">
        <v>4108</v>
      </c>
      <c r="B3001" s="3" t="s">
        <v>3314</v>
      </c>
      <c r="C3001" s="3" t="s">
        <v>37</v>
      </c>
      <c r="D3001" s="3" t="s">
        <v>75</v>
      </c>
      <c r="E3001" s="3" t="s">
        <v>39</v>
      </c>
      <c r="F3001" s="3" t="s">
        <v>25</v>
      </c>
      <c r="G3001" s="3" t="s">
        <v>116</v>
      </c>
      <c r="H3001" s="3" t="s">
        <v>27</v>
      </c>
      <c r="I3001" s="3" t="s">
        <v>173</v>
      </c>
      <c r="J3001" s="3" t="n">
        <v>35</v>
      </c>
      <c r="K3001" s="3" t="n">
        <v>11532.12</v>
      </c>
      <c r="L3001" s="3" t="n">
        <v>403624.2</v>
      </c>
      <c r="M3001" s="3" t="n">
        <v>0.2354</v>
      </c>
      <c r="N3001" s="3" t="n">
        <v>95013.14</v>
      </c>
      <c r="O3001" s="3" t="n">
        <v>308611.06</v>
      </c>
      <c r="P3001" s="3" t="n">
        <v>250247</v>
      </c>
      <c r="Q3001" s="3" t="n">
        <v>58364.06</v>
      </c>
      <c r="R3001" s="3" t="n">
        <v>0.1891</v>
      </c>
      <c r="S3001" s="3" t="n">
        <v>0.2249</v>
      </c>
      <c r="T3001" s="3" t="n">
        <v>0.0105</v>
      </c>
    </row>
    <row r="3002" customFormat="false" ht="15" hidden="false" customHeight="true" outlineLevel="0" collapsed="false">
      <c r="A3002" s="3" t="s">
        <v>4109</v>
      </c>
      <c r="B3002" s="3" t="s">
        <v>4110</v>
      </c>
      <c r="C3002" s="3" t="s">
        <v>68</v>
      </c>
      <c r="D3002" s="3" t="s">
        <v>61</v>
      </c>
      <c r="E3002" s="3" t="s">
        <v>33</v>
      </c>
      <c r="F3002" s="3" t="s">
        <v>62</v>
      </c>
      <c r="G3002" s="3" t="s">
        <v>100</v>
      </c>
      <c r="H3002" s="3" t="s">
        <v>56</v>
      </c>
      <c r="I3002" s="3" t="s">
        <v>121</v>
      </c>
      <c r="J3002" s="3" t="n">
        <v>1</v>
      </c>
      <c r="K3002" s="3" t="n">
        <v>12606.55</v>
      </c>
      <c r="L3002" s="3" t="n">
        <v>12606.55</v>
      </c>
      <c r="M3002" s="3" t="n">
        <v>0.0516</v>
      </c>
      <c r="N3002" s="3" t="n">
        <v>650.5</v>
      </c>
      <c r="O3002" s="3" t="n">
        <v>11956.05</v>
      </c>
      <c r="P3002" s="3" t="n">
        <v>7563.93</v>
      </c>
      <c r="Q3002" s="3" t="n">
        <v>4392.12</v>
      </c>
      <c r="R3002" s="3" t="n">
        <v>0.3674</v>
      </c>
      <c r="S3002" s="3" t="n">
        <v>0.0446</v>
      </c>
      <c r="T3002" s="3" t="n">
        <v>0.007</v>
      </c>
    </row>
    <row r="3003" customFormat="false" ht="15" hidden="false" customHeight="true" outlineLevel="0" collapsed="false">
      <c r="A3003" s="3" t="s">
        <v>4111</v>
      </c>
      <c r="B3003" s="3" t="s">
        <v>2934</v>
      </c>
      <c r="C3003" s="3" t="s">
        <v>46</v>
      </c>
      <c r="D3003" s="3" t="s">
        <v>23</v>
      </c>
      <c r="E3003" s="3" t="s">
        <v>24</v>
      </c>
      <c r="F3003" s="3" t="s">
        <v>25</v>
      </c>
      <c r="G3003" s="3" t="s">
        <v>34</v>
      </c>
      <c r="H3003" s="3" t="s">
        <v>42</v>
      </c>
      <c r="I3003" s="3" t="s">
        <v>134</v>
      </c>
      <c r="J3003" s="3" t="n">
        <v>27</v>
      </c>
      <c r="K3003" s="3" t="n">
        <v>831.5</v>
      </c>
      <c r="L3003" s="3" t="n">
        <v>22450.5</v>
      </c>
      <c r="M3003" s="3" t="n">
        <v>0.1314</v>
      </c>
      <c r="N3003" s="3" t="n">
        <v>2950</v>
      </c>
      <c r="O3003" s="3" t="n">
        <v>19500.5</v>
      </c>
      <c r="P3003" s="3" t="n">
        <v>12347.78</v>
      </c>
      <c r="Q3003" s="3" t="n">
        <v>7152.72</v>
      </c>
      <c r="R3003" s="3" t="n">
        <v>0.3668</v>
      </c>
      <c r="S3003" s="3" t="n">
        <v>0.1379</v>
      </c>
      <c r="T3003" s="3" t="n">
        <v>-0.0065</v>
      </c>
    </row>
    <row r="3004" customFormat="false" ht="15" hidden="false" customHeight="true" outlineLevel="0" collapsed="false">
      <c r="A3004" s="3" t="s">
        <v>4112</v>
      </c>
      <c r="B3004" s="3" t="s">
        <v>2029</v>
      </c>
      <c r="C3004" s="3" t="s">
        <v>68</v>
      </c>
      <c r="D3004" s="3" t="s">
        <v>83</v>
      </c>
      <c r="E3004" s="3" t="s">
        <v>48</v>
      </c>
      <c r="F3004" s="3" t="s">
        <v>62</v>
      </c>
      <c r="G3004" s="3" t="s">
        <v>116</v>
      </c>
      <c r="H3004" s="3" t="s">
        <v>64</v>
      </c>
      <c r="I3004" s="3" t="s">
        <v>90</v>
      </c>
      <c r="J3004" s="3" t="n">
        <v>20</v>
      </c>
      <c r="K3004" s="3" t="n">
        <v>6766.97</v>
      </c>
      <c r="L3004" s="3" t="n">
        <v>135339.4</v>
      </c>
      <c r="M3004" s="3" t="n">
        <v>0.0892</v>
      </c>
      <c r="N3004" s="3" t="n">
        <v>12072.27</v>
      </c>
      <c r="O3004" s="3" t="n">
        <v>123267.13</v>
      </c>
      <c r="P3004" s="3" t="n">
        <v>78496.85</v>
      </c>
      <c r="Q3004" s="3" t="n">
        <v>44770.28</v>
      </c>
      <c r="R3004" s="3" t="n">
        <v>0.3632</v>
      </c>
      <c r="S3004" s="3" t="n">
        <v>0.0732</v>
      </c>
      <c r="T3004" s="3" t="n">
        <v>0.016</v>
      </c>
    </row>
    <row r="3005" customFormat="false" ht="15" hidden="false" customHeight="true" outlineLevel="0" collapsed="false">
      <c r="A3005" s="3" t="s">
        <v>4113</v>
      </c>
      <c r="B3005" s="3" t="s">
        <v>642</v>
      </c>
      <c r="C3005" s="3" t="s">
        <v>120</v>
      </c>
      <c r="D3005" s="3" t="s">
        <v>38</v>
      </c>
      <c r="E3005" s="3" t="s">
        <v>39</v>
      </c>
      <c r="F3005" s="3" t="s">
        <v>40</v>
      </c>
      <c r="G3005" s="3" t="s">
        <v>63</v>
      </c>
      <c r="H3005" s="3" t="s">
        <v>64</v>
      </c>
      <c r="I3005" s="3" t="s">
        <v>65</v>
      </c>
      <c r="J3005" s="3" t="n">
        <v>11</v>
      </c>
      <c r="K3005" s="3" t="n">
        <v>7773.61</v>
      </c>
      <c r="L3005" s="3" t="n">
        <v>85509.71</v>
      </c>
      <c r="M3005" s="3" t="n">
        <v>0.0649</v>
      </c>
      <c r="N3005" s="3" t="n">
        <v>5549.58</v>
      </c>
      <c r="O3005" s="3" t="n">
        <v>79960.13</v>
      </c>
      <c r="P3005" s="3" t="n">
        <v>49595.63</v>
      </c>
      <c r="Q3005" s="3" t="n">
        <v>30364.5</v>
      </c>
      <c r="R3005" s="3" t="n">
        <v>0.3797</v>
      </c>
      <c r="S3005" s="3" t="n">
        <v>0.0668</v>
      </c>
      <c r="T3005" s="3" t="n">
        <v>-0.0019</v>
      </c>
    </row>
    <row r="3006" customFormat="false" ht="15" hidden="false" customHeight="true" outlineLevel="0" collapsed="false">
      <c r="A3006" s="3" t="s">
        <v>4114</v>
      </c>
      <c r="B3006" s="3" t="s">
        <v>1608</v>
      </c>
      <c r="C3006" s="3" t="s">
        <v>120</v>
      </c>
      <c r="D3006" s="3" t="s">
        <v>23</v>
      </c>
      <c r="E3006" s="3" t="s">
        <v>24</v>
      </c>
      <c r="F3006" s="3" t="s">
        <v>25</v>
      </c>
      <c r="G3006" s="3" t="s">
        <v>116</v>
      </c>
      <c r="H3006" s="3" t="s">
        <v>27</v>
      </c>
      <c r="I3006" s="3" t="s">
        <v>173</v>
      </c>
      <c r="J3006" s="3" t="n">
        <v>32</v>
      </c>
      <c r="K3006" s="3" t="n">
        <v>21632.58</v>
      </c>
      <c r="L3006" s="3" t="n">
        <v>692242.56</v>
      </c>
      <c r="M3006" s="3" t="n">
        <v>0.1989</v>
      </c>
      <c r="N3006" s="3" t="n">
        <v>137687.05</v>
      </c>
      <c r="O3006" s="3" t="n">
        <v>554555.51</v>
      </c>
      <c r="P3006" s="3" t="n">
        <v>429190.39</v>
      </c>
      <c r="Q3006" s="3" t="n">
        <v>125365.12</v>
      </c>
      <c r="R3006" s="3" t="n">
        <v>0.2261</v>
      </c>
      <c r="S3006" s="3" t="n">
        <v>0.1823</v>
      </c>
      <c r="T3006" s="3" t="n">
        <v>0.0166</v>
      </c>
    </row>
    <row r="3007" customFormat="false" ht="15" hidden="false" customHeight="true" outlineLevel="0" collapsed="false">
      <c r="A3007" s="3" t="s">
        <v>4115</v>
      </c>
      <c r="B3007" s="3" t="s">
        <v>2910</v>
      </c>
      <c r="C3007" s="3" t="s">
        <v>68</v>
      </c>
      <c r="D3007" s="3" t="s">
        <v>97</v>
      </c>
      <c r="E3007" s="3" t="s">
        <v>48</v>
      </c>
      <c r="F3007" s="3" t="s">
        <v>40</v>
      </c>
      <c r="G3007" s="3" t="s">
        <v>116</v>
      </c>
      <c r="H3007" s="3" t="s">
        <v>64</v>
      </c>
      <c r="I3007" s="3" t="s">
        <v>90</v>
      </c>
      <c r="J3007" s="3" t="n">
        <v>16</v>
      </c>
      <c r="K3007" s="3" t="n">
        <v>10220.97</v>
      </c>
      <c r="L3007" s="3" t="n">
        <v>163535.52</v>
      </c>
      <c r="M3007" s="3" t="n">
        <v>0.0784</v>
      </c>
      <c r="N3007" s="3" t="n">
        <v>12821.18</v>
      </c>
      <c r="O3007" s="3" t="n">
        <v>150714.34</v>
      </c>
      <c r="P3007" s="3" t="n">
        <v>94850.6</v>
      </c>
      <c r="Q3007" s="3" t="n">
        <v>55863.74</v>
      </c>
      <c r="R3007" s="3" t="n">
        <v>0.3707</v>
      </c>
      <c r="S3007" s="3" t="n">
        <v>0.0705</v>
      </c>
      <c r="T3007" s="3" t="n">
        <v>0.0079</v>
      </c>
    </row>
    <row r="3008" customFormat="false" ht="15" hidden="false" customHeight="true" outlineLevel="0" collapsed="false">
      <c r="A3008" s="3" t="s">
        <v>4116</v>
      </c>
      <c r="B3008" s="3" t="s">
        <v>2988</v>
      </c>
      <c r="C3008" s="3" t="s">
        <v>60</v>
      </c>
      <c r="D3008" s="3" t="s">
        <v>38</v>
      </c>
      <c r="E3008" s="3" t="s">
        <v>39</v>
      </c>
      <c r="F3008" s="3" t="s">
        <v>40</v>
      </c>
      <c r="G3008" s="3" t="s">
        <v>76</v>
      </c>
      <c r="H3008" s="3" t="s">
        <v>27</v>
      </c>
      <c r="I3008" s="3" t="s">
        <v>28</v>
      </c>
      <c r="J3008" s="3" t="n">
        <v>4</v>
      </c>
      <c r="K3008" s="3" t="n">
        <v>30055.91</v>
      </c>
      <c r="L3008" s="3" t="n">
        <v>120223.64</v>
      </c>
      <c r="M3008" s="3" t="n">
        <v>0.0421</v>
      </c>
      <c r="N3008" s="3" t="n">
        <v>5061.42</v>
      </c>
      <c r="O3008" s="3" t="n">
        <v>115162.22</v>
      </c>
      <c r="P3008" s="3" t="n">
        <v>74538.66</v>
      </c>
      <c r="Q3008" s="3" t="n">
        <v>40623.56</v>
      </c>
      <c r="R3008" s="3" t="n">
        <v>0.3528</v>
      </c>
      <c r="S3008" s="3" t="n">
        <v>0.0413</v>
      </c>
      <c r="T3008" s="3" t="n">
        <v>0.0008</v>
      </c>
    </row>
    <row r="3009" customFormat="false" ht="15" hidden="false" customHeight="true" outlineLevel="0" collapsed="false">
      <c r="A3009" s="3" t="s">
        <v>4117</v>
      </c>
      <c r="B3009" s="3" t="s">
        <v>602</v>
      </c>
      <c r="C3009" s="3" t="s">
        <v>31</v>
      </c>
      <c r="D3009" s="3" t="s">
        <v>97</v>
      </c>
      <c r="E3009" s="3" t="s">
        <v>48</v>
      </c>
      <c r="F3009" s="3" t="s">
        <v>40</v>
      </c>
      <c r="G3009" s="3" t="s">
        <v>100</v>
      </c>
      <c r="H3009" s="3" t="s">
        <v>42</v>
      </c>
      <c r="I3009" s="3" t="s">
        <v>134</v>
      </c>
      <c r="J3009" s="3" t="n">
        <v>33</v>
      </c>
      <c r="K3009" s="3" t="n">
        <v>3217.84</v>
      </c>
      <c r="L3009" s="3" t="n">
        <v>106188.72</v>
      </c>
      <c r="M3009" s="3" t="n">
        <v>0.0412</v>
      </c>
      <c r="N3009" s="3" t="n">
        <v>4374.98</v>
      </c>
      <c r="O3009" s="3" t="n">
        <v>101813.74</v>
      </c>
      <c r="P3009" s="3" t="n">
        <v>58403.8</v>
      </c>
      <c r="Q3009" s="3" t="n">
        <v>43409.94</v>
      </c>
      <c r="R3009" s="3" t="n">
        <v>0.4264</v>
      </c>
      <c r="S3009" s="3" t="n">
        <v>0.0442</v>
      </c>
      <c r="T3009" s="3" t="n">
        <v>-0.003</v>
      </c>
    </row>
    <row r="3010" customFormat="false" ht="15" hidden="false" customHeight="true" outlineLevel="0" collapsed="false">
      <c r="A3010" s="3" t="s">
        <v>4118</v>
      </c>
      <c r="B3010" s="3" t="s">
        <v>125</v>
      </c>
      <c r="C3010" s="3" t="s">
        <v>126</v>
      </c>
      <c r="D3010" s="3" t="s">
        <v>69</v>
      </c>
      <c r="E3010" s="3" t="s">
        <v>39</v>
      </c>
      <c r="F3010" s="3" t="s">
        <v>70</v>
      </c>
      <c r="G3010" s="3" t="s">
        <v>100</v>
      </c>
      <c r="H3010" s="3" t="s">
        <v>56</v>
      </c>
      <c r="I3010" s="3" t="s">
        <v>121</v>
      </c>
      <c r="J3010" s="3" t="n">
        <v>8</v>
      </c>
      <c r="K3010" s="3" t="n">
        <v>14136.07</v>
      </c>
      <c r="L3010" s="3" t="n">
        <v>113088.56</v>
      </c>
      <c r="M3010" s="3" t="n">
        <v>0.0377</v>
      </c>
      <c r="N3010" s="3" t="n">
        <v>4263.44</v>
      </c>
      <c r="O3010" s="3" t="n">
        <v>108825.12</v>
      </c>
      <c r="P3010" s="3" t="n">
        <v>67853.14</v>
      </c>
      <c r="Q3010" s="3" t="n">
        <v>40971.98</v>
      </c>
      <c r="R3010" s="3" t="n">
        <v>0.3765</v>
      </c>
      <c r="S3010" s="3" t="n">
        <v>0.0414</v>
      </c>
      <c r="T3010" s="3" t="n">
        <v>-0.0037</v>
      </c>
    </row>
    <row r="3011" customFormat="false" ht="15" hidden="false" customHeight="true" outlineLevel="0" collapsed="false">
      <c r="A3011" s="3" t="s">
        <v>4119</v>
      </c>
      <c r="B3011" s="3" t="s">
        <v>2240</v>
      </c>
      <c r="C3011" s="3" t="s">
        <v>120</v>
      </c>
      <c r="D3011" s="3" t="s">
        <v>69</v>
      </c>
      <c r="E3011" s="3" t="s">
        <v>39</v>
      </c>
      <c r="F3011" s="3" t="s">
        <v>70</v>
      </c>
      <c r="G3011" s="3" t="s">
        <v>41</v>
      </c>
      <c r="H3011" s="3" t="s">
        <v>56</v>
      </c>
      <c r="I3011" s="3" t="s">
        <v>121</v>
      </c>
      <c r="J3011" s="3" t="n">
        <v>21</v>
      </c>
      <c r="K3011" s="3" t="n">
        <v>4328</v>
      </c>
      <c r="L3011" s="3" t="n">
        <v>90888</v>
      </c>
      <c r="M3011" s="3" t="n">
        <v>0.1245</v>
      </c>
      <c r="N3011" s="3" t="n">
        <v>11315.56</v>
      </c>
      <c r="O3011" s="3" t="n">
        <v>79572.44</v>
      </c>
      <c r="P3011" s="3" t="n">
        <v>54532.8</v>
      </c>
      <c r="Q3011" s="3" t="n">
        <v>25039.64</v>
      </c>
      <c r="R3011" s="3" t="n">
        <v>0.3147</v>
      </c>
      <c r="S3011" s="3" t="n">
        <v>0.116</v>
      </c>
      <c r="T3011" s="3" t="n">
        <v>0.0085</v>
      </c>
    </row>
    <row r="3012" customFormat="false" ht="15" hidden="false" customHeight="true" outlineLevel="0" collapsed="false">
      <c r="A3012" s="3" t="s">
        <v>4120</v>
      </c>
      <c r="B3012" s="3" t="s">
        <v>1057</v>
      </c>
      <c r="C3012" s="3" t="s">
        <v>22</v>
      </c>
      <c r="D3012" s="3" t="s">
        <v>54</v>
      </c>
      <c r="E3012" s="3" t="s">
        <v>24</v>
      </c>
      <c r="F3012" s="3" t="s">
        <v>40</v>
      </c>
      <c r="G3012" s="3" t="s">
        <v>26</v>
      </c>
      <c r="H3012" s="3" t="s">
        <v>27</v>
      </c>
      <c r="I3012" s="3" t="s">
        <v>94</v>
      </c>
      <c r="J3012" s="3" t="n">
        <v>21</v>
      </c>
      <c r="K3012" s="3" t="n">
        <v>31672.53</v>
      </c>
      <c r="L3012" s="3" t="n">
        <v>665123.13</v>
      </c>
      <c r="M3012" s="3" t="n">
        <v>0.0579</v>
      </c>
      <c r="N3012" s="3" t="n">
        <v>38510.63</v>
      </c>
      <c r="O3012" s="3" t="n">
        <v>626612.5</v>
      </c>
      <c r="P3012" s="3" t="n">
        <v>412376.34</v>
      </c>
      <c r="Q3012" s="3" t="n">
        <v>214236.16</v>
      </c>
      <c r="R3012" s="3" t="n">
        <v>0.3419</v>
      </c>
      <c r="S3012" s="3" t="n">
        <v>0.0572</v>
      </c>
      <c r="T3012" s="3" t="n">
        <v>0.0007</v>
      </c>
    </row>
    <row r="3013" customFormat="false" ht="15" hidden="false" customHeight="true" outlineLevel="0" collapsed="false">
      <c r="A3013" s="3" t="s">
        <v>4121</v>
      </c>
      <c r="B3013" s="3" t="s">
        <v>786</v>
      </c>
      <c r="C3013" s="3" t="s">
        <v>113</v>
      </c>
      <c r="D3013" s="3" t="s">
        <v>54</v>
      </c>
      <c r="E3013" s="3" t="s">
        <v>24</v>
      </c>
      <c r="F3013" s="3" t="s">
        <v>40</v>
      </c>
      <c r="G3013" s="3" t="s">
        <v>41</v>
      </c>
      <c r="H3013" s="3" t="s">
        <v>77</v>
      </c>
      <c r="I3013" s="3" t="s">
        <v>78</v>
      </c>
      <c r="J3013" s="3" t="n">
        <v>7</v>
      </c>
      <c r="K3013" s="3" t="n">
        <v>5542.1</v>
      </c>
      <c r="L3013" s="3" t="n">
        <v>38794.7</v>
      </c>
      <c r="M3013" s="3" t="n">
        <v>0.1306</v>
      </c>
      <c r="N3013" s="3" t="n">
        <v>5066.59</v>
      </c>
      <c r="O3013" s="3" t="n">
        <v>33728.11</v>
      </c>
      <c r="P3013" s="3" t="n">
        <v>26380.4</v>
      </c>
      <c r="Q3013" s="3" t="n">
        <v>7347.71</v>
      </c>
      <c r="R3013" s="3" t="n">
        <v>0.2179</v>
      </c>
      <c r="S3013" s="3" t="n">
        <v>0.1204</v>
      </c>
      <c r="T3013" s="3" t="n">
        <v>0.0102</v>
      </c>
    </row>
    <row r="3014" customFormat="false" ht="15" hidden="false" customHeight="true" outlineLevel="0" collapsed="false">
      <c r="A3014" s="3" t="s">
        <v>4122</v>
      </c>
      <c r="B3014" s="3" t="s">
        <v>712</v>
      </c>
      <c r="C3014" s="3" t="s">
        <v>113</v>
      </c>
      <c r="D3014" s="3" t="s">
        <v>32</v>
      </c>
      <c r="E3014" s="3" t="s">
        <v>33</v>
      </c>
      <c r="F3014" s="3" t="s">
        <v>25</v>
      </c>
      <c r="G3014" s="3" t="s">
        <v>63</v>
      </c>
      <c r="H3014" s="3" t="s">
        <v>27</v>
      </c>
      <c r="I3014" s="3" t="s">
        <v>94</v>
      </c>
      <c r="J3014" s="3" t="n">
        <v>39</v>
      </c>
      <c r="K3014" s="3" t="n">
        <v>15464.67</v>
      </c>
      <c r="L3014" s="3" t="n">
        <v>603122.13</v>
      </c>
      <c r="M3014" s="3" t="n">
        <v>0.1037</v>
      </c>
      <c r="N3014" s="3" t="n">
        <v>62543.76</v>
      </c>
      <c r="O3014" s="3" t="n">
        <v>540578.37</v>
      </c>
      <c r="P3014" s="3" t="n">
        <v>373935.72</v>
      </c>
      <c r="Q3014" s="3" t="n">
        <v>166642.65</v>
      </c>
      <c r="R3014" s="3" t="n">
        <v>0.3083</v>
      </c>
      <c r="S3014" s="3" t="n">
        <v>0.1055</v>
      </c>
      <c r="T3014" s="3" t="n">
        <v>-0.0018</v>
      </c>
    </row>
    <row r="3015" customFormat="false" ht="15" hidden="false" customHeight="true" outlineLevel="0" collapsed="false">
      <c r="A3015" s="3" t="s">
        <v>4123</v>
      </c>
      <c r="B3015" s="3" t="s">
        <v>1960</v>
      </c>
      <c r="C3015" s="3" t="s">
        <v>53</v>
      </c>
      <c r="D3015" s="3" t="s">
        <v>107</v>
      </c>
      <c r="E3015" s="3" t="s">
        <v>33</v>
      </c>
      <c r="F3015" s="3" t="s">
        <v>70</v>
      </c>
      <c r="G3015" s="3" t="s">
        <v>34</v>
      </c>
      <c r="H3015" s="3" t="s">
        <v>42</v>
      </c>
      <c r="I3015" s="3" t="s">
        <v>134</v>
      </c>
      <c r="J3015" s="3" t="n">
        <v>25</v>
      </c>
      <c r="K3015" s="3" t="n">
        <v>828.36</v>
      </c>
      <c r="L3015" s="3" t="n">
        <v>20709</v>
      </c>
      <c r="M3015" s="3" t="n">
        <v>0.063</v>
      </c>
      <c r="N3015" s="3" t="n">
        <v>1304.67</v>
      </c>
      <c r="O3015" s="3" t="n">
        <v>19404.33</v>
      </c>
      <c r="P3015" s="3" t="n">
        <v>11389.95</v>
      </c>
      <c r="Q3015" s="3" t="n">
        <v>8014.38</v>
      </c>
      <c r="R3015" s="3" t="n">
        <v>0.413</v>
      </c>
      <c r="S3015" s="3" t="n">
        <v>0.0506</v>
      </c>
      <c r="T3015" s="3" t="n">
        <v>0.0124</v>
      </c>
    </row>
    <row r="3016" customFormat="false" ht="15" hidden="false" customHeight="true" outlineLevel="0" collapsed="false">
      <c r="A3016" s="3" t="s">
        <v>4124</v>
      </c>
      <c r="B3016" s="3" t="s">
        <v>2299</v>
      </c>
      <c r="C3016" s="3" t="s">
        <v>22</v>
      </c>
      <c r="D3016" s="3" t="s">
        <v>83</v>
      </c>
      <c r="E3016" s="3" t="s">
        <v>48</v>
      </c>
      <c r="F3016" s="3" t="s">
        <v>62</v>
      </c>
      <c r="G3016" s="3" t="s">
        <v>100</v>
      </c>
      <c r="H3016" s="3" t="s">
        <v>56</v>
      </c>
      <c r="I3016" s="3" t="s">
        <v>57</v>
      </c>
      <c r="J3016" s="3" t="n">
        <v>22</v>
      </c>
      <c r="K3016" s="3" t="n">
        <v>12583.64</v>
      </c>
      <c r="L3016" s="3" t="n">
        <v>276840.08</v>
      </c>
      <c r="M3016" s="3" t="n">
        <v>0.0688</v>
      </c>
      <c r="N3016" s="3" t="n">
        <v>19046.6</v>
      </c>
      <c r="O3016" s="3" t="n">
        <v>257793.48</v>
      </c>
      <c r="P3016" s="3" t="n">
        <v>166104.05</v>
      </c>
      <c r="Q3016" s="3" t="n">
        <v>91689.43</v>
      </c>
      <c r="R3016" s="3" t="n">
        <v>0.3557</v>
      </c>
      <c r="S3016" s="3" t="n">
        <v>0.0684</v>
      </c>
      <c r="T3016" s="3" t="n">
        <v>0.0004</v>
      </c>
    </row>
    <row r="3017" customFormat="false" ht="15" hidden="false" customHeight="true" outlineLevel="0" collapsed="false">
      <c r="A3017" s="3" t="s">
        <v>4125</v>
      </c>
      <c r="B3017" s="3" t="s">
        <v>1866</v>
      </c>
      <c r="C3017" s="3" t="s">
        <v>156</v>
      </c>
      <c r="D3017" s="3" t="s">
        <v>47</v>
      </c>
      <c r="E3017" s="3" t="s">
        <v>48</v>
      </c>
      <c r="F3017" s="3" t="s">
        <v>25</v>
      </c>
      <c r="G3017" s="3" t="s">
        <v>55</v>
      </c>
      <c r="H3017" s="3" t="s">
        <v>42</v>
      </c>
      <c r="I3017" s="3" t="s">
        <v>134</v>
      </c>
      <c r="J3017" s="3" t="n">
        <v>9</v>
      </c>
      <c r="K3017" s="3" t="n">
        <v>2384.33</v>
      </c>
      <c r="L3017" s="3" t="n">
        <v>21458.97</v>
      </c>
      <c r="M3017" s="3" t="n">
        <v>0.1747</v>
      </c>
      <c r="N3017" s="3" t="n">
        <v>3748.88</v>
      </c>
      <c r="O3017" s="3" t="n">
        <v>17710.09</v>
      </c>
      <c r="P3017" s="3" t="n">
        <v>11802.43</v>
      </c>
      <c r="Q3017" s="3" t="n">
        <v>5907.66</v>
      </c>
      <c r="R3017" s="3" t="n">
        <v>0.3336</v>
      </c>
      <c r="S3017" s="3" t="n">
        <v>0.1692</v>
      </c>
      <c r="T3017" s="3" t="n">
        <v>0.0055</v>
      </c>
    </row>
    <row r="3018" customFormat="false" ht="15" hidden="false" customHeight="true" outlineLevel="0" collapsed="false">
      <c r="A3018" s="3" t="s">
        <v>4126</v>
      </c>
      <c r="B3018" s="3" t="s">
        <v>1738</v>
      </c>
      <c r="C3018" s="3" t="s">
        <v>113</v>
      </c>
      <c r="D3018" s="3" t="s">
        <v>97</v>
      </c>
      <c r="E3018" s="3" t="s">
        <v>48</v>
      </c>
      <c r="F3018" s="3" t="s">
        <v>40</v>
      </c>
      <c r="G3018" s="3" t="s">
        <v>41</v>
      </c>
      <c r="H3018" s="3" t="s">
        <v>56</v>
      </c>
      <c r="I3018" s="3" t="s">
        <v>121</v>
      </c>
      <c r="J3018" s="3" t="n">
        <v>30</v>
      </c>
      <c r="K3018" s="3" t="n">
        <v>13241.89</v>
      </c>
      <c r="L3018" s="3" t="n">
        <v>397256.7</v>
      </c>
      <c r="M3018" s="3" t="n">
        <v>0.1052</v>
      </c>
      <c r="N3018" s="3" t="n">
        <v>41791.4</v>
      </c>
      <c r="O3018" s="3" t="n">
        <v>355465.3</v>
      </c>
      <c r="P3018" s="3" t="n">
        <v>238354.02</v>
      </c>
      <c r="Q3018" s="3" t="n">
        <v>117111.28</v>
      </c>
      <c r="R3018" s="3" t="n">
        <v>0.3295</v>
      </c>
      <c r="S3018" s="3" t="n">
        <v>0.0946</v>
      </c>
      <c r="T3018" s="3" t="n">
        <v>0.0106</v>
      </c>
    </row>
    <row r="3019" customFormat="false" ht="15" hidden="false" customHeight="true" outlineLevel="0" collapsed="false">
      <c r="A3019" s="3" t="s">
        <v>4127</v>
      </c>
      <c r="B3019" s="3" t="s">
        <v>471</v>
      </c>
      <c r="C3019" s="3" t="s">
        <v>93</v>
      </c>
      <c r="D3019" s="3" t="s">
        <v>61</v>
      </c>
      <c r="E3019" s="3" t="s">
        <v>33</v>
      </c>
      <c r="F3019" s="3" t="s">
        <v>62</v>
      </c>
      <c r="G3019" s="3" t="s">
        <v>100</v>
      </c>
      <c r="H3019" s="3" t="s">
        <v>77</v>
      </c>
      <c r="I3019" s="3" t="s">
        <v>78</v>
      </c>
      <c r="J3019" s="3" t="n">
        <v>14</v>
      </c>
      <c r="K3019" s="3" t="n">
        <v>1508.99</v>
      </c>
      <c r="L3019" s="3" t="n">
        <v>21125.86</v>
      </c>
      <c r="M3019" s="3" t="n">
        <v>0.0408</v>
      </c>
      <c r="N3019" s="3" t="n">
        <v>861.94</v>
      </c>
      <c r="O3019" s="3" t="n">
        <v>20263.92</v>
      </c>
      <c r="P3019" s="3" t="n">
        <v>14365.58</v>
      </c>
      <c r="Q3019" s="3" t="n">
        <v>5898.34</v>
      </c>
      <c r="R3019" s="3" t="n">
        <v>0.2911</v>
      </c>
      <c r="S3019" s="3" t="n">
        <v>0.035</v>
      </c>
      <c r="T3019" s="3" t="n">
        <v>0.0058</v>
      </c>
    </row>
    <row r="3020" customFormat="false" ht="15" hidden="false" customHeight="true" outlineLevel="0" collapsed="false">
      <c r="A3020" s="3" t="s">
        <v>4128</v>
      </c>
      <c r="B3020" s="3" t="s">
        <v>2379</v>
      </c>
      <c r="C3020" s="3" t="s">
        <v>126</v>
      </c>
      <c r="D3020" s="3" t="s">
        <v>47</v>
      </c>
      <c r="E3020" s="3" t="s">
        <v>48</v>
      </c>
      <c r="F3020" s="3" t="s">
        <v>25</v>
      </c>
      <c r="G3020" s="3" t="s">
        <v>84</v>
      </c>
      <c r="H3020" s="3" t="s">
        <v>77</v>
      </c>
      <c r="I3020" s="3" t="s">
        <v>131</v>
      </c>
      <c r="J3020" s="3" t="n">
        <v>8</v>
      </c>
      <c r="K3020" s="3" t="n">
        <v>4523.57</v>
      </c>
      <c r="L3020" s="3" t="n">
        <v>36188.56</v>
      </c>
      <c r="M3020" s="3" t="n">
        <v>0.1121</v>
      </c>
      <c r="N3020" s="3" t="n">
        <v>4056.74</v>
      </c>
      <c r="O3020" s="3" t="n">
        <v>32131.82</v>
      </c>
      <c r="P3020" s="3" t="n">
        <v>24608.22</v>
      </c>
      <c r="Q3020" s="3" t="n">
        <v>7523.6</v>
      </c>
      <c r="R3020" s="3" t="n">
        <v>0.2341</v>
      </c>
      <c r="S3020" s="3" t="n">
        <v>0.1224</v>
      </c>
      <c r="T3020" s="3" t="n">
        <v>-0.0103</v>
      </c>
    </row>
    <row r="3021" customFormat="false" ht="15" hidden="false" customHeight="true" outlineLevel="0" collapsed="false">
      <c r="A3021" s="3" t="s">
        <v>4129</v>
      </c>
      <c r="B3021" s="3" t="s">
        <v>4130</v>
      </c>
      <c r="C3021" s="3" t="s">
        <v>126</v>
      </c>
      <c r="D3021" s="3" t="s">
        <v>97</v>
      </c>
      <c r="E3021" s="3" t="s">
        <v>48</v>
      </c>
      <c r="F3021" s="3" t="s">
        <v>40</v>
      </c>
      <c r="G3021" s="3" t="s">
        <v>41</v>
      </c>
      <c r="H3021" s="3" t="s">
        <v>64</v>
      </c>
      <c r="I3021" s="3" t="s">
        <v>145</v>
      </c>
      <c r="J3021" s="3" t="n">
        <v>42</v>
      </c>
      <c r="K3021" s="3" t="n">
        <v>8854.11</v>
      </c>
      <c r="L3021" s="3" t="n">
        <v>371872.62</v>
      </c>
      <c r="M3021" s="3" t="n">
        <v>0.0926</v>
      </c>
      <c r="N3021" s="3" t="n">
        <v>34435.4</v>
      </c>
      <c r="O3021" s="3" t="n">
        <v>337437.22</v>
      </c>
      <c r="P3021" s="3" t="n">
        <v>215686.12</v>
      </c>
      <c r="Q3021" s="3" t="n">
        <v>121751.1</v>
      </c>
      <c r="R3021" s="3" t="n">
        <v>0.3608</v>
      </c>
      <c r="S3021" s="3" t="n">
        <v>0.0767</v>
      </c>
      <c r="T3021" s="3" t="n">
        <v>0.0159</v>
      </c>
    </row>
    <row r="3022" customFormat="false" ht="15" hidden="false" customHeight="true" outlineLevel="0" collapsed="false">
      <c r="A3022" s="3" t="s">
        <v>4131</v>
      </c>
      <c r="B3022" s="3" t="s">
        <v>1236</v>
      </c>
      <c r="C3022" s="3" t="s">
        <v>113</v>
      </c>
      <c r="D3022" s="3" t="s">
        <v>38</v>
      </c>
      <c r="E3022" s="3" t="s">
        <v>39</v>
      </c>
      <c r="F3022" s="3" t="s">
        <v>40</v>
      </c>
      <c r="G3022" s="3" t="s">
        <v>34</v>
      </c>
      <c r="H3022" s="3" t="s">
        <v>56</v>
      </c>
      <c r="I3022" s="3" t="s">
        <v>121</v>
      </c>
      <c r="J3022" s="3" t="n">
        <v>4</v>
      </c>
      <c r="K3022" s="3" t="n">
        <v>14972.13</v>
      </c>
      <c r="L3022" s="3" t="n">
        <v>59888.52</v>
      </c>
      <c r="M3022" s="3" t="n">
        <v>0.1071</v>
      </c>
      <c r="N3022" s="3" t="n">
        <v>6414.06</v>
      </c>
      <c r="O3022" s="3" t="n">
        <v>53474.46</v>
      </c>
      <c r="P3022" s="3" t="n">
        <v>35933.11</v>
      </c>
      <c r="Q3022" s="3" t="n">
        <v>17541.35</v>
      </c>
      <c r="R3022" s="3" t="n">
        <v>0.328</v>
      </c>
      <c r="S3022" s="3" t="n">
        <v>0.1092</v>
      </c>
      <c r="T3022" s="3" t="n">
        <v>-0.0021</v>
      </c>
    </row>
    <row r="3023" customFormat="false" ht="15" hidden="false" customHeight="true" outlineLevel="0" collapsed="false">
      <c r="A3023" s="3" t="s">
        <v>4132</v>
      </c>
      <c r="B3023" s="3" t="s">
        <v>1452</v>
      </c>
      <c r="C3023" s="3" t="s">
        <v>60</v>
      </c>
      <c r="D3023" s="3" t="s">
        <v>47</v>
      </c>
      <c r="E3023" s="3" t="s">
        <v>48</v>
      </c>
      <c r="F3023" s="3" t="s">
        <v>25</v>
      </c>
      <c r="G3023" s="3" t="s">
        <v>104</v>
      </c>
      <c r="H3023" s="3" t="s">
        <v>42</v>
      </c>
      <c r="I3023" s="3" t="s">
        <v>134</v>
      </c>
      <c r="J3023" s="3" t="n">
        <v>35</v>
      </c>
      <c r="K3023" s="3" t="n">
        <v>829.51</v>
      </c>
      <c r="L3023" s="3" t="n">
        <v>29032.85</v>
      </c>
      <c r="M3023" s="3" t="n">
        <v>0.1699</v>
      </c>
      <c r="N3023" s="3" t="n">
        <v>4932.68</v>
      </c>
      <c r="O3023" s="3" t="n">
        <v>24100.17</v>
      </c>
      <c r="P3023" s="3" t="n">
        <v>15968.07</v>
      </c>
      <c r="Q3023" s="3" t="n">
        <v>8132.1</v>
      </c>
      <c r="R3023" s="3" t="n">
        <v>0.3374</v>
      </c>
      <c r="S3023" s="3" t="n">
        <v>0.151</v>
      </c>
      <c r="T3023" s="3" t="n">
        <v>0.0189</v>
      </c>
    </row>
    <row r="3024" customFormat="false" ht="15" hidden="false" customHeight="true" outlineLevel="0" collapsed="false">
      <c r="A3024" s="3" t="s">
        <v>4133</v>
      </c>
      <c r="B3024" s="3" t="s">
        <v>475</v>
      </c>
      <c r="C3024" s="3" t="s">
        <v>126</v>
      </c>
      <c r="D3024" s="3" t="s">
        <v>107</v>
      </c>
      <c r="E3024" s="3" t="s">
        <v>33</v>
      </c>
      <c r="F3024" s="3" t="s">
        <v>70</v>
      </c>
      <c r="G3024" s="3" t="s">
        <v>71</v>
      </c>
      <c r="H3024" s="3" t="s">
        <v>42</v>
      </c>
      <c r="I3024" s="3" t="s">
        <v>43</v>
      </c>
      <c r="J3024" s="3" t="n">
        <v>2</v>
      </c>
      <c r="K3024" s="3" t="n">
        <v>3948.37</v>
      </c>
      <c r="L3024" s="3" t="n">
        <v>7896.74</v>
      </c>
      <c r="M3024" s="3" t="n">
        <v>0.0379</v>
      </c>
      <c r="N3024" s="3" t="n">
        <v>299.29</v>
      </c>
      <c r="O3024" s="3" t="n">
        <v>7597.45</v>
      </c>
      <c r="P3024" s="3" t="n">
        <v>4343.21</v>
      </c>
      <c r="Q3024" s="3" t="n">
        <v>3254.24</v>
      </c>
      <c r="R3024" s="3" t="n">
        <v>0.4283</v>
      </c>
      <c r="S3024" s="3" t="n">
        <v>0.0331</v>
      </c>
      <c r="T3024" s="3" t="n">
        <v>0.0048</v>
      </c>
    </row>
    <row r="3025" customFormat="false" ht="15" hidden="false" customHeight="true" outlineLevel="0" collapsed="false">
      <c r="A3025" s="3" t="s">
        <v>4134</v>
      </c>
      <c r="B3025" s="3" t="s">
        <v>532</v>
      </c>
      <c r="C3025" s="3" t="s">
        <v>120</v>
      </c>
      <c r="D3025" s="3" t="s">
        <v>103</v>
      </c>
      <c r="E3025" s="3" t="s">
        <v>24</v>
      </c>
      <c r="F3025" s="3" t="s">
        <v>62</v>
      </c>
      <c r="G3025" s="3" t="s">
        <v>76</v>
      </c>
      <c r="H3025" s="3" t="s">
        <v>27</v>
      </c>
      <c r="I3025" s="3" t="s">
        <v>94</v>
      </c>
      <c r="J3025" s="3" t="n">
        <v>23</v>
      </c>
      <c r="K3025" s="3" t="n">
        <v>22054.98</v>
      </c>
      <c r="L3025" s="3" t="n">
        <v>507264.54</v>
      </c>
      <c r="M3025" s="3" t="n">
        <v>0.0651</v>
      </c>
      <c r="N3025" s="3" t="n">
        <v>33022.92</v>
      </c>
      <c r="O3025" s="3" t="n">
        <v>474241.62</v>
      </c>
      <c r="P3025" s="3" t="n">
        <v>314504.01</v>
      </c>
      <c r="Q3025" s="3" t="n">
        <v>159737.61</v>
      </c>
      <c r="R3025" s="3" t="n">
        <v>0.3368</v>
      </c>
      <c r="S3025" s="3" t="n">
        <v>0.0544</v>
      </c>
      <c r="T3025" s="3" t="n">
        <v>0.0107</v>
      </c>
    </row>
    <row r="3026" customFormat="false" ht="15" hidden="false" customHeight="true" outlineLevel="0" collapsed="false">
      <c r="A3026" s="3" t="s">
        <v>4135</v>
      </c>
      <c r="B3026" s="3" t="s">
        <v>1578</v>
      </c>
      <c r="C3026" s="3" t="s">
        <v>126</v>
      </c>
      <c r="D3026" s="3" t="s">
        <v>97</v>
      </c>
      <c r="E3026" s="3" t="s">
        <v>48</v>
      </c>
      <c r="F3026" s="3" t="s">
        <v>40</v>
      </c>
      <c r="G3026" s="3" t="s">
        <v>71</v>
      </c>
      <c r="H3026" s="3" t="s">
        <v>56</v>
      </c>
      <c r="I3026" s="3" t="s">
        <v>57</v>
      </c>
      <c r="J3026" s="3" t="n">
        <v>22</v>
      </c>
      <c r="K3026" s="3" t="n">
        <v>3042.01</v>
      </c>
      <c r="L3026" s="3" t="n">
        <v>66924.22</v>
      </c>
      <c r="M3026" s="3" t="n">
        <v>0.0508</v>
      </c>
      <c r="N3026" s="3" t="n">
        <v>3399.75</v>
      </c>
      <c r="O3026" s="3" t="n">
        <v>63524.47</v>
      </c>
      <c r="P3026" s="3" t="n">
        <v>40154.53</v>
      </c>
      <c r="Q3026" s="3" t="n">
        <v>23369.94</v>
      </c>
      <c r="R3026" s="3" t="n">
        <v>0.3679</v>
      </c>
      <c r="S3026" s="3" t="n">
        <v>0.0408</v>
      </c>
      <c r="T3026" s="3" t="n">
        <v>0.01</v>
      </c>
    </row>
    <row r="3027" customFormat="false" ht="15" hidden="false" customHeight="true" outlineLevel="0" collapsed="false">
      <c r="A3027" s="3" t="s">
        <v>4136</v>
      </c>
      <c r="B3027" s="3" t="s">
        <v>2322</v>
      </c>
      <c r="C3027" s="3" t="s">
        <v>22</v>
      </c>
      <c r="D3027" s="3" t="s">
        <v>38</v>
      </c>
      <c r="E3027" s="3" t="s">
        <v>39</v>
      </c>
      <c r="F3027" s="3" t="s">
        <v>40</v>
      </c>
      <c r="G3027" s="3" t="s">
        <v>76</v>
      </c>
      <c r="H3027" s="3" t="s">
        <v>42</v>
      </c>
      <c r="I3027" s="3" t="s">
        <v>43</v>
      </c>
      <c r="J3027" s="3" t="n">
        <v>13</v>
      </c>
      <c r="K3027" s="3" t="n">
        <v>2232.47</v>
      </c>
      <c r="L3027" s="3" t="n">
        <v>29022.11</v>
      </c>
      <c r="M3027" s="3" t="n">
        <v>0.061</v>
      </c>
      <c r="N3027" s="3" t="n">
        <v>1770.35</v>
      </c>
      <c r="O3027" s="3" t="n">
        <v>27251.76</v>
      </c>
      <c r="P3027" s="3" t="n">
        <v>15962.16</v>
      </c>
      <c r="Q3027" s="3" t="n">
        <v>11289.6</v>
      </c>
      <c r="R3027" s="3" t="n">
        <v>0.4143</v>
      </c>
      <c r="S3027" s="3" t="n">
        <v>0.0653</v>
      </c>
      <c r="T3027" s="3" t="n">
        <v>-0.0043</v>
      </c>
    </row>
    <row r="3028" customFormat="false" ht="15" hidden="false" customHeight="true" outlineLevel="0" collapsed="false">
      <c r="A3028" s="3" t="s">
        <v>4137</v>
      </c>
      <c r="B3028" s="3" t="s">
        <v>227</v>
      </c>
      <c r="C3028" s="3" t="s">
        <v>37</v>
      </c>
      <c r="D3028" s="3" t="s">
        <v>83</v>
      </c>
      <c r="E3028" s="3" t="s">
        <v>48</v>
      </c>
      <c r="F3028" s="3" t="s">
        <v>62</v>
      </c>
      <c r="G3028" s="3" t="s">
        <v>76</v>
      </c>
      <c r="H3028" s="3" t="s">
        <v>27</v>
      </c>
      <c r="I3028" s="3" t="s">
        <v>50</v>
      </c>
      <c r="J3028" s="3" t="n">
        <v>9</v>
      </c>
      <c r="K3028" s="3" t="n">
        <v>34586.18</v>
      </c>
      <c r="L3028" s="3" t="n">
        <v>311275.62</v>
      </c>
      <c r="M3028" s="3" t="n">
        <v>0.045</v>
      </c>
      <c r="N3028" s="3" t="n">
        <v>14007.4</v>
      </c>
      <c r="O3028" s="3" t="n">
        <v>297268.22</v>
      </c>
      <c r="P3028" s="3" t="n">
        <v>192990.88</v>
      </c>
      <c r="Q3028" s="3" t="n">
        <v>104277.34</v>
      </c>
      <c r="R3028" s="3" t="n">
        <v>0.3508</v>
      </c>
      <c r="S3028" s="3" t="n">
        <v>0.0494</v>
      </c>
      <c r="T3028" s="3" t="n">
        <v>-0.0044</v>
      </c>
    </row>
    <row r="3029" customFormat="false" ht="15" hidden="false" customHeight="true" outlineLevel="0" collapsed="false">
      <c r="A3029" s="3" t="s">
        <v>4138</v>
      </c>
      <c r="B3029" s="3" t="s">
        <v>1458</v>
      </c>
      <c r="C3029" s="3" t="s">
        <v>22</v>
      </c>
      <c r="D3029" s="3" t="s">
        <v>23</v>
      </c>
      <c r="E3029" s="3" t="s">
        <v>24</v>
      </c>
      <c r="F3029" s="3" t="s">
        <v>25</v>
      </c>
      <c r="G3029" s="3" t="s">
        <v>100</v>
      </c>
      <c r="H3029" s="3" t="s">
        <v>56</v>
      </c>
      <c r="I3029" s="3" t="s">
        <v>188</v>
      </c>
      <c r="J3029" s="3" t="n">
        <v>12</v>
      </c>
      <c r="K3029" s="3" t="n">
        <v>16548.78</v>
      </c>
      <c r="L3029" s="3" t="n">
        <v>198585.36</v>
      </c>
      <c r="M3029" s="3" t="n">
        <v>0.0954</v>
      </c>
      <c r="N3029" s="3" t="n">
        <v>18945.04</v>
      </c>
      <c r="O3029" s="3" t="n">
        <v>179640.32</v>
      </c>
      <c r="P3029" s="3" t="n">
        <v>119151.22</v>
      </c>
      <c r="Q3029" s="3" t="n">
        <v>60489.1</v>
      </c>
      <c r="R3029" s="3" t="n">
        <v>0.3367</v>
      </c>
      <c r="S3029" s="3" t="n">
        <v>0.0771</v>
      </c>
      <c r="T3029" s="3" t="n">
        <v>0.0183</v>
      </c>
    </row>
    <row r="3030" customFormat="false" ht="15" hidden="false" customHeight="true" outlineLevel="0" collapsed="false">
      <c r="A3030" s="3" t="s">
        <v>4139</v>
      </c>
      <c r="B3030" s="3" t="s">
        <v>687</v>
      </c>
      <c r="C3030" s="3" t="s">
        <v>60</v>
      </c>
      <c r="D3030" s="3" t="s">
        <v>69</v>
      </c>
      <c r="E3030" s="3" t="s">
        <v>39</v>
      </c>
      <c r="F3030" s="3" t="s">
        <v>70</v>
      </c>
      <c r="G3030" s="3" t="s">
        <v>49</v>
      </c>
      <c r="H3030" s="3" t="s">
        <v>42</v>
      </c>
      <c r="I3030" s="3" t="s">
        <v>134</v>
      </c>
      <c r="J3030" s="3" t="n">
        <v>12</v>
      </c>
      <c r="K3030" s="3" t="n">
        <v>2657.76</v>
      </c>
      <c r="L3030" s="3" t="n">
        <v>31893.12</v>
      </c>
      <c r="M3030" s="3" t="n">
        <v>0.0675</v>
      </c>
      <c r="N3030" s="3" t="n">
        <v>2152.79</v>
      </c>
      <c r="O3030" s="3" t="n">
        <v>29740.33</v>
      </c>
      <c r="P3030" s="3" t="n">
        <v>17541.22</v>
      </c>
      <c r="Q3030" s="3" t="n">
        <v>12199.11</v>
      </c>
      <c r="R3030" s="3" t="n">
        <v>0.4102</v>
      </c>
      <c r="S3030" s="3" t="n">
        <v>0.0547</v>
      </c>
      <c r="T3030" s="3" t="n">
        <v>0.0128</v>
      </c>
    </row>
    <row r="3031" customFormat="false" ht="15" hidden="false" customHeight="true" outlineLevel="0" collapsed="false">
      <c r="A3031" s="3" t="s">
        <v>4140</v>
      </c>
      <c r="B3031" s="3" t="s">
        <v>153</v>
      </c>
      <c r="C3031" s="3" t="s">
        <v>31</v>
      </c>
      <c r="D3031" s="3" t="s">
        <v>75</v>
      </c>
      <c r="E3031" s="3" t="s">
        <v>39</v>
      </c>
      <c r="F3031" s="3" t="s">
        <v>25</v>
      </c>
      <c r="G3031" s="3" t="s">
        <v>63</v>
      </c>
      <c r="H3031" s="3" t="s">
        <v>64</v>
      </c>
      <c r="I3031" s="3" t="s">
        <v>90</v>
      </c>
      <c r="J3031" s="3" t="n">
        <v>28</v>
      </c>
      <c r="K3031" s="3" t="n">
        <v>9400.12</v>
      </c>
      <c r="L3031" s="3" t="n">
        <v>263203.36</v>
      </c>
      <c r="M3031" s="3" t="n">
        <v>0.1741</v>
      </c>
      <c r="N3031" s="3" t="n">
        <v>45823.7</v>
      </c>
      <c r="O3031" s="3" t="n">
        <v>217379.66</v>
      </c>
      <c r="P3031" s="3" t="n">
        <v>152657.95</v>
      </c>
      <c r="Q3031" s="3" t="n">
        <v>64721.71</v>
      </c>
      <c r="R3031" s="3" t="n">
        <v>0.2977</v>
      </c>
      <c r="S3031" s="3" t="n">
        <v>0.1706</v>
      </c>
      <c r="T3031" s="3" t="n">
        <v>0.0035</v>
      </c>
    </row>
    <row r="3032" customFormat="false" ht="15" hidden="false" customHeight="true" outlineLevel="0" collapsed="false">
      <c r="A3032" s="3" t="s">
        <v>4141</v>
      </c>
      <c r="B3032" s="3" t="s">
        <v>3508</v>
      </c>
      <c r="C3032" s="3" t="s">
        <v>113</v>
      </c>
      <c r="D3032" s="3" t="s">
        <v>75</v>
      </c>
      <c r="E3032" s="3" t="s">
        <v>39</v>
      </c>
      <c r="F3032" s="3" t="s">
        <v>25</v>
      </c>
      <c r="G3032" s="3" t="s">
        <v>34</v>
      </c>
      <c r="H3032" s="3" t="s">
        <v>56</v>
      </c>
      <c r="I3032" s="3" t="s">
        <v>57</v>
      </c>
      <c r="J3032" s="3" t="n">
        <v>25</v>
      </c>
      <c r="K3032" s="3" t="n">
        <v>5707.4</v>
      </c>
      <c r="L3032" s="3" t="n">
        <v>142685</v>
      </c>
      <c r="M3032" s="3" t="n">
        <v>0.1481</v>
      </c>
      <c r="N3032" s="3" t="n">
        <v>21131.65</v>
      </c>
      <c r="O3032" s="3" t="n">
        <v>121553.35</v>
      </c>
      <c r="P3032" s="3" t="n">
        <v>85611</v>
      </c>
      <c r="Q3032" s="3" t="n">
        <v>35942.35</v>
      </c>
      <c r="R3032" s="3" t="n">
        <v>0.2957</v>
      </c>
      <c r="S3032" s="3" t="n">
        <v>0.1455</v>
      </c>
      <c r="T3032" s="3" t="n">
        <v>0.0026</v>
      </c>
    </row>
    <row r="3033" customFormat="false" ht="15" hidden="false" customHeight="true" outlineLevel="0" collapsed="false">
      <c r="A3033" s="3" t="s">
        <v>4142</v>
      </c>
      <c r="B3033" s="3" t="s">
        <v>3715</v>
      </c>
      <c r="C3033" s="3" t="s">
        <v>156</v>
      </c>
      <c r="D3033" s="3" t="s">
        <v>32</v>
      </c>
      <c r="E3033" s="3" t="s">
        <v>33</v>
      </c>
      <c r="F3033" s="3" t="s">
        <v>25</v>
      </c>
      <c r="G3033" s="3" t="s">
        <v>76</v>
      </c>
      <c r="H3033" s="3" t="s">
        <v>56</v>
      </c>
      <c r="I3033" s="3" t="s">
        <v>188</v>
      </c>
      <c r="J3033" s="3" t="n">
        <v>42</v>
      </c>
      <c r="K3033" s="3" t="n">
        <v>4029.06</v>
      </c>
      <c r="L3033" s="3" t="n">
        <v>169220.52</v>
      </c>
      <c r="M3033" s="3" t="n">
        <v>0.1135</v>
      </c>
      <c r="N3033" s="3" t="n">
        <v>19206.53</v>
      </c>
      <c r="O3033" s="3" t="n">
        <v>150013.99</v>
      </c>
      <c r="P3033" s="3" t="n">
        <v>101532.31</v>
      </c>
      <c r="Q3033" s="3" t="n">
        <v>48481.68</v>
      </c>
      <c r="R3033" s="3" t="n">
        <v>0.3232</v>
      </c>
      <c r="S3033" s="3" t="n">
        <v>0.1036</v>
      </c>
      <c r="T3033" s="3" t="n">
        <v>0.0099</v>
      </c>
    </row>
    <row r="3034" customFormat="false" ht="15" hidden="false" customHeight="true" outlineLevel="0" collapsed="false">
      <c r="A3034" s="3" t="s">
        <v>4143</v>
      </c>
      <c r="B3034" s="3" t="s">
        <v>304</v>
      </c>
      <c r="C3034" s="3" t="s">
        <v>53</v>
      </c>
      <c r="D3034" s="3" t="s">
        <v>23</v>
      </c>
      <c r="E3034" s="3" t="s">
        <v>24</v>
      </c>
      <c r="F3034" s="3" t="s">
        <v>25</v>
      </c>
      <c r="G3034" s="3" t="s">
        <v>76</v>
      </c>
      <c r="H3034" s="3" t="s">
        <v>64</v>
      </c>
      <c r="I3034" s="3" t="s">
        <v>108</v>
      </c>
      <c r="J3034" s="3" t="n">
        <v>13</v>
      </c>
      <c r="K3034" s="3" t="n">
        <v>6691</v>
      </c>
      <c r="L3034" s="3" t="n">
        <v>86983</v>
      </c>
      <c r="M3034" s="3" t="n">
        <v>0.1643</v>
      </c>
      <c r="N3034" s="3" t="n">
        <v>14291.31</v>
      </c>
      <c r="O3034" s="3" t="n">
        <v>72691.69</v>
      </c>
      <c r="P3034" s="3" t="n">
        <v>50450.14</v>
      </c>
      <c r="Q3034" s="3" t="n">
        <v>22241.55</v>
      </c>
      <c r="R3034" s="3" t="n">
        <v>0.306</v>
      </c>
      <c r="S3034" s="3" t="n">
        <v>0.1783</v>
      </c>
      <c r="T3034" s="3" t="n">
        <v>-0.014</v>
      </c>
    </row>
    <row r="3035" customFormat="false" ht="15" hidden="false" customHeight="true" outlineLevel="0" collapsed="false">
      <c r="A3035" s="3" t="s">
        <v>4144</v>
      </c>
      <c r="B3035" s="3" t="s">
        <v>170</v>
      </c>
      <c r="C3035" s="3" t="s">
        <v>31</v>
      </c>
      <c r="D3035" s="3" t="s">
        <v>54</v>
      </c>
      <c r="E3035" s="3" t="s">
        <v>24</v>
      </c>
      <c r="F3035" s="3" t="s">
        <v>40</v>
      </c>
      <c r="G3035" s="3" t="s">
        <v>49</v>
      </c>
      <c r="H3035" s="3" t="s">
        <v>64</v>
      </c>
      <c r="I3035" s="3" t="s">
        <v>90</v>
      </c>
      <c r="J3035" s="3" t="n">
        <v>48</v>
      </c>
      <c r="K3035" s="3" t="n">
        <v>3922.75</v>
      </c>
      <c r="L3035" s="3" t="n">
        <v>188292</v>
      </c>
      <c r="M3035" s="3" t="n">
        <v>0.0563</v>
      </c>
      <c r="N3035" s="3" t="n">
        <v>10600.84</v>
      </c>
      <c r="O3035" s="3" t="n">
        <v>177691.16</v>
      </c>
      <c r="P3035" s="3" t="n">
        <v>109209.36</v>
      </c>
      <c r="Q3035" s="3" t="n">
        <v>68481.8</v>
      </c>
      <c r="R3035" s="3" t="n">
        <v>0.3854</v>
      </c>
      <c r="S3035" s="3" t="n">
        <v>0.0603</v>
      </c>
      <c r="T3035" s="3" t="n">
        <v>-0.004</v>
      </c>
    </row>
    <row r="3036" customFormat="false" ht="15" hidden="false" customHeight="true" outlineLevel="0" collapsed="false">
      <c r="A3036" s="3" t="s">
        <v>4145</v>
      </c>
      <c r="B3036" s="3" t="s">
        <v>687</v>
      </c>
      <c r="C3036" s="3" t="s">
        <v>60</v>
      </c>
      <c r="D3036" s="3" t="s">
        <v>54</v>
      </c>
      <c r="E3036" s="3" t="s">
        <v>24</v>
      </c>
      <c r="F3036" s="3" t="s">
        <v>40</v>
      </c>
      <c r="G3036" s="3" t="s">
        <v>63</v>
      </c>
      <c r="H3036" s="3" t="s">
        <v>27</v>
      </c>
      <c r="I3036" s="3" t="s">
        <v>94</v>
      </c>
      <c r="J3036" s="3" t="n">
        <v>24</v>
      </c>
      <c r="K3036" s="3" t="n">
        <v>32833.48</v>
      </c>
      <c r="L3036" s="3" t="n">
        <v>788003.52</v>
      </c>
      <c r="M3036" s="3" t="n">
        <v>0.0706</v>
      </c>
      <c r="N3036" s="3" t="n">
        <v>55633.05</v>
      </c>
      <c r="O3036" s="3" t="n">
        <v>732370.47</v>
      </c>
      <c r="P3036" s="3" t="n">
        <v>488562.18</v>
      </c>
      <c r="Q3036" s="3" t="n">
        <v>243808.29</v>
      </c>
      <c r="R3036" s="3" t="n">
        <v>0.3329</v>
      </c>
      <c r="S3036" s="3" t="n">
        <v>0.0625</v>
      </c>
      <c r="T3036" s="3" t="n">
        <v>0.0081</v>
      </c>
    </row>
    <row r="3037" customFormat="false" ht="15" hidden="false" customHeight="true" outlineLevel="0" collapsed="false">
      <c r="A3037" s="3" t="s">
        <v>4146</v>
      </c>
      <c r="B3037" s="3" t="s">
        <v>666</v>
      </c>
      <c r="C3037" s="3" t="s">
        <v>37</v>
      </c>
      <c r="D3037" s="3" t="s">
        <v>97</v>
      </c>
      <c r="E3037" s="3" t="s">
        <v>48</v>
      </c>
      <c r="F3037" s="3" t="s">
        <v>40</v>
      </c>
      <c r="G3037" s="3" t="s">
        <v>63</v>
      </c>
      <c r="H3037" s="3" t="s">
        <v>56</v>
      </c>
      <c r="I3037" s="3" t="s">
        <v>188</v>
      </c>
      <c r="J3037" s="3" t="n">
        <v>9</v>
      </c>
      <c r="K3037" s="3" t="n">
        <v>17100.43</v>
      </c>
      <c r="L3037" s="3" t="n">
        <v>153903.87</v>
      </c>
      <c r="M3037" s="3" t="n">
        <v>0.0577</v>
      </c>
      <c r="N3037" s="3" t="n">
        <v>8880.25</v>
      </c>
      <c r="O3037" s="3" t="n">
        <v>145023.62</v>
      </c>
      <c r="P3037" s="3" t="n">
        <v>92342.32</v>
      </c>
      <c r="Q3037" s="3" t="n">
        <v>52681.3</v>
      </c>
      <c r="R3037" s="3" t="n">
        <v>0.3633</v>
      </c>
      <c r="S3037" s="3" t="n">
        <v>0.0465</v>
      </c>
      <c r="T3037" s="3" t="n">
        <v>0.0112</v>
      </c>
    </row>
    <row r="3038" customFormat="false" ht="15" hidden="false" customHeight="true" outlineLevel="0" collapsed="false">
      <c r="A3038" s="3" t="s">
        <v>4147</v>
      </c>
      <c r="B3038" s="3" t="s">
        <v>3200</v>
      </c>
      <c r="C3038" s="3" t="s">
        <v>68</v>
      </c>
      <c r="D3038" s="3" t="s">
        <v>54</v>
      </c>
      <c r="E3038" s="3" t="s">
        <v>24</v>
      </c>
      <c r="F3038" s="3" t="s">
        <v>40</v>
      </c>
      <c r="G3038" s="3" t="s">
        <v>104</v>
      </c>
      <c r="H3038" s="3" t="s">
        <v>64</v>
      </c>
      <c r="I3038" s="3" t="s">
        <v>145</v>
      </c>
      <c r="J3038" s="3" t="n">
        <v>23</v>
      </c>
      <c r="K3038" s="3" t="n">
        <v>8198.56</v>
      </c>
      <c r="L3038" s="3" t="n">
        <v>188566.88</v>
      </c>
      <c r="M3038" s="3" t="n">
        <v>0.0885</v>
      </c>
      <c r="N3038" s="3" t="n">
        <v>16688.17</v>
      </c>
      <c r="O3038" s="3" t="n">
        <v>171878.71</v>
      </c>
      <c r="P3038" s="3" t="n">
        <v>109368.79</v>
      </c>
      <c r="Q3038" s="3" t="n">
        <v>62509.92</v>
      </c>
      <c r="R3038" s="3" t="n">
        <v>0.3637</v>
      </c>
      <c r="S3038" s="3" t="n">
        <v>0.0922</v>
      </c>
      <c r="T3038" s="3" t="n">
        <v>-0.0037</v>
      </c>
    </row>
    <row r="3039" customFormat="false" ht="15" hidden="false" customHeight="true" outlineLevel="0" collapsed="false">
      <c r="A3039" s="3" t="s">
        <v>4148</v>
      </c>
      <c r="B3039" s="3" t="s">
        <v>1580</v>
      </c>
      <c r="C3039" s="3" t="s">
        <v>31</v>
      </c>
      <c r="D3039" s="3" t="s">
        <v>103</v>
      </c>
      <c r="E3039" s="3" t="s">
        <v>24</v>
      </c>
      <c r="F3039" s="3" t="s">
        <v>62</v>
      </c>
      <c r="G3039" s="3" t="s">
        <v>84</v>
      </c>
      <c r="H3039" s="3" t="s">
        <v>56</v>
      </c>
      <c r="I3039" s="3" t="s">
        <v>57</v>
      </c>
      <c r="J3039" s="3" t="n">
        <v>1</v>
      </c>
      <c r="K3039" s="3" t="n">
        <v>15496.45</v>
      </c>
      <c r="L3039" s="3" t="n">
        <v>15496.45</v>
      </c>
      <c r="M3039" s="3" t="n">
        <v>0.0424</v>
      </c>
      <c r="N3039" s="3" t="n">
        <v>657.05</v>
      </c>
      <c r="O3039" s="3" t="n">
        <v>14839.4</v>
      </c>
      <c r="P3039" s="3" t="n">
        <v>9297.87</v>
      </c>
      <c r="Q3039" s="3" t="n">
        <v>5541.53</v>
      </c>
      <c r="R3039" s="3" t="n">
        <v>0.3734</v>
      </c>
      <c r="S3039" s="3" t="n">
        <v>0.0442</v>
      </c>
      <c r="T3039" s="3" t="n">
        <v>-0.0018</v>
      </c>
    </row>
    <row r="3040" customFormat="false" ht="15" hidden="false" customHeight="true" outlineLevel="0" collapsed="false">
      <c r="A3040" s="3" t="s">
        <v>4149</v>
      </c>
      <c r="B3040" s="3" t="s">
        <v>471</v>
      </c>
      <c r="C3040" s="3" t="s">
        <v>93</v>
      </c>
      <c r="D3040" s="3" t="s">
        <v>38</v>
      </c>
      <c r="E3040" s="3" t="s">
        <v>39</v>
      </c>
      <c r="F3040" s="3" t="s">
        <v>40</v>
      </c>
      <c r="G3040" s="3" t="s">
        <v>49</v>
      </c>
      <c r="H3040" s="3" t="s">
        <v>77</v>
      </c>
      <c r="I3040" s="3" t="s">
        <v>78</v>
      </c>
      <c r="J3040" s="3" t="n">
        <v>39</v>
      </c>
      <c r="K3040" s="3" t="n">
        <v>2205.74</v>
      </c>
      <c r="L3040" s="3" t="n">
        <v>86023.86</v>
      </c>
      <c r="M3040" s="3" t="n">
        <v>0.0348</v>
      </c>
      <c r="N3040" s="3" t="n">
        <v>2993.63</v>
      </c>
      <c r="O3040" s="3" t="n">
        <v>83030.23</v>
      </c>
      <c r="P3040" s="3" t="n">
        <v>58496.22</v>
      </c>
      <c r="Q3040" s="3" t="n">
        <v>24534.01</v>
      </c>
      <c r="R3040" s="3" t="n">
        <v>0.2955</v>
      </c>
      <c r="S3040" s="3" t="n">
        <v>0.0321</v>
      </c>
      <c r="T3040" s="3" t="n">
        <v>0.0027</v>
      </c>
    </row>
    <row r="3041" customFormat="false" ht="15" hidden="false" customHeight="true" outlineLevel="0" collapsed="false">
      <c r="A3041" s="3" t="s">
        <v>4150</v>
      </c>
      <c r="B3041" s="3" t="s">
        <v>3344</v>
      </c>
      <c r="C3041" s="3" t="s">
        <v>37</v>
      </c>
      <c r="D3041" s="3" t="s">
        <v>32</v>
      </c>
      <c r="E3041" s="3" t="s">
        <v>33</v>
      </c>
      <c r="F3041" s="3" t="s">
        <v>25</v>
      </c>
      <c r="G3041" s="3" t="s">
        <v>116</v>
      </c>
      <c r="H3041" s="3" t="s">
        <v>42</v>
      </c>
      <c r="I3041" s="3" t="s">
        <v>134</v>
      </c>
      <c r="J3041" s="3" t="n">
        <v>34</v>
      </c>
      <c r="K3041" s="3" t="n">
        <v>3308.99</v>
      </c>
      <c r="L3041" s="3" t="n">
        <v>112505.66</v>
      </c>
      <c r="M3041" s="3" t="n">
        <v>0.1268</v>
      </c>
      <c r="N3041" s="3" t="n">
        <v>14265.72</v>
      </c>
      <c r="O3041" s="3" t="n">
        <v>98239.94</v>
      </c>
      <c r="P3041" s="3" t="n">
        <v>61878.11</v>
      </c>
      <c r="Q3041" s="3" t="n">
        <v>36361.83</v>
      </c>
      <c r="R3041" s="3" t="n">
        <v>0.3701</v>
      </c>
      <c r="S3041" s="3" t="n">
        <v>0.1118</v>
      </c>
      <c r="T3041" s="3" t="n">
        <v>0.015</v>
      </c>
    </row>
    <row r="3042" customFormat="false" ht="15" hidden="false" customHeight="true" outlineLevel="0" collapsed="false">
      <c r="A3042" s="3" t="s">
        <v>4151</v>
      </c>
      <c r="B3042" s="3" t="s">
        <v>2720</v>
      </c>
      <c r="C3042" s="3" t="s">
        <v>31</v>
      </c>
      <c r="D3042" s="3" t="s">
        <v>107</v>
      </c>
      <c r="E3042" s="3" t="s">
        <v>33</v>
      </c>
      <c r="F3042" s="3" t="s">
        <v>70</v>
      </c>
      <c r="G3042" s="3" t="s">
        <v>34</v>
      </c>
      <c r="H3042" s="3" t="s">
        <v>56</v>
      </c>
      <c r="I3042" s="3" t="s">
        <v>57</v>
      </c>
      <c r="J3042" s="3" t="n">
        <v>19</v>
      </c>
      <c r="K3042" s="3" t="n">
        <v>16952.98</v>
      </c>
      <c r="L3042" s="3" t="n">
        <v>322106.62</v>
      </c>
      <c r="M3042" s="3" t="n">
        <v>0.1114</v>
      </c>
      <c r="N3042" s="3" t="n">
        <v>35882.68</v>
      </c>
      <c r="O3042" s="3" t="n">
        <v>286223.94</v>
      </c>
      <c r="P3042" s="3" t="n">
        <v>193263.97</v>
      </c>
      <c r="Q3042" s="3" t="n">
        <v>92959.97</v>
      </c>
      <c r="R3042" s="3" t="n">
        <v>0.3248</v>
      </c>
      <c r="S3042" s="3" t="n">
        <v>0.1114</v>
      </c>
      <c r="T3042" s="3" t="n">
        <v>0</v>
      </c>
    </row>
    <row r="3043" customFormat="false" ht="15" hidden="false" customHeight="true" outlineLevel="0" collapsed="false">
      <c r="A3043" s="3" t="s">
        <v>4152</v>
      </c>
      <c r="B3043" s="3" t="s">
        <v>838</v>
      </c>
      <c r="C3043" s="3" t="s">
        <v>93</v>
      </c>
      <c r="D3043" s="3" t="s">
        <v>107</v>
      </c>
      <c r="E3043" s="3" t="s">
        <v>33</v>
      </c>
      <c r="F3043" s="3" t="s">
        <v>70</v>
      </c>
      <c r="G3043" s="3" t="s">
        <v>84</v>
      </c>
      <c r="H3043" s="3" t="s">
        <v>77</v>
      </c>
      <c r="I3043" s="3" t="s">
        <v>78</v>
      </c>
      <c r="J3043" s="3" t="n">
        <v>40</v>
      </c>
      <c r="K3043" s="3" t="n">
        <v>4027.41</v>
      </c>
      <c r="L3043" s="3" t="n">
        <v>161096.4</v>
      </c>
      <c r="M3043" s="3" t="n">
        <v>0.059</v>
      </c>
      <c r="N3043" s="3" t="n">
        <v>9504.69</v>
      </c>
      <c r="O3043" s="3" t="n">
        <v>151591.71</v>
      </c>
      <c r="P3043" s="3" t="n">
        <v>109545.55</v>
      </c>
      <c r="Q3043" s="3" t="n">
        <v>42046.16</v>
      </c>
      <c r="R3043" s="3" t="n">
        <v>0.2774</v>
      </c>
      <c r="S3043" s="3" t="n">
        <v>0.0475</v>
      </c>
      <c r="T3043" s="3" t="n">
        <v>0.0115</v>
      </c>
    </row>
    <row r="3044" customFormat="false" ht="15" hidden="false" customHeight="true" outlineLevel="0" collapsed="false">
      <c r="A3044" s="3" t="s">
        <v>4153</v>
      </c>
      <c r="B3044" s="3" t="s">
        <v>1992</v>
      </c>
      <c r="C3044" s="3" t="s">
        <v>31</v>
      </c>
      <c r="D3044" s="3" t="s">
        <v>97</v>
      </c>
      <c r="E3044" s="3" t="s">
        <v>48</v>
      </c>
      <c r="F3044" s="3" t="s">
        <v>40</v>
      </c>
      <c r="G3044" s="3" t="s">
        <v>26</v>
      </c>
      <c r="H3044" s="3" t="s">
        <v>27</v>
      </c>
      <c r="I3044" s="3" t="s">
        <v>173</v>
      </c>
      <c r="J3044" s="3" t="n">
        <v>42</v>
      </c>
      <c r="K3044" s="3" t="n">
        <v>35307.28</v>
      </c>
      <c r="L3044" s="3" t="n">
        <v>1482905.76</v>
      </c>
      <c r="M3044" s="3" t="n">
        <v>0.0311</v>
      </c>
      <c r="N3044" s="3" t="n">
        <v>46118.37</v>
      </c>
      <c r="O3044" s="3" t="n">
        <v>1436787.39</v>
      </c>
      <c r="P3044" s="3" t="n">
        <v>919401.57</v>
      </c>
      <c r="Q3044" s="3" t="n">
        <v>517385.82</v>
      </c>
      <c r="R3044" s="3" t="n">
        <v>0.3601</v>
      </c>
      <c r="S3044" s="3" t="n">
        <v>0.0303</v>
      </c>
      <c r="T3044" s="3" t="n">
        <v>0.0008</v>
      </c>
    </row>
    <row r="3045" customFormat="false" ht="15" hidden="false" customHeight="true" outlineLevel="0" collapsed="false">
      <c r="A3045" s="3" t="s">
        <v>4154</v>
      </c>
      <c r="B3045" s="3" t="s">
        <v>2125</v>
      </c>
      <c r="C3045" s="3" t="s">
        <v>113</v>
      </c>
      <c r="D3045" s="3" t="s">
        <v>61</v>
      </c>
      <c r="E3045" s="3" t="s">
        <v>33</v>
      </c>
      <c r="F3045" s="3" t="s">
        <v>62</v>
      </c>
      <c r="G3045" s="3" t="s">
        <v>84</v>
      </c>
      <c r="H3045" s="3" t="s">
        <v>42</v>
      </c>
      <c r="I3045" s="3" t="s">
        <v>72</v>
      </c>
      <c r="J3045" s="3" t="n">
        <v>6</v>
      </c>
      <c r="K3045" s="3" t="n">
        <v>3678.65</v>
      </c>
      <c r="L3045" s="3" t="n">
        <v>22071.9</v>
      </c>
      <c r="M3045" s="3" t="n">
        <v>0.0313</v>
      </c>
      <c r="N3045" s="3" t="n">
        <v>690.85</v>
      </c>
      <c r="O3045" s="3" t="n">
        <v>21381.05</v>
      </c>
      <c r="P3045" s="3" t="n">
        <v>12139.55</v>
      </c>
      <c r="Q3045" s="3" t="n">
        <v>9241.5</v>
      </c>
      <c r="R3045" s="3" t="n">
        <v>0.4322</v>
      </c>
      <c r="S3045" s="3" t="n">
        <v>0.0326</v>
      </c>
      <c r="T3045" s="3" t="n">
        <v>-0.0013</v>
      </c>
    </row>
    <row r="3046" customFormat="false" ht="15" hidden="false" customHeight="true" outlineLevel="0" collapsed="false">
      <c r="A3046" s="3" t="s">
        <v>4155</v>
      </c>
      <c r="B3046" s="3" t="s">
        <v>1180</v>
      </c>
      <c r="C3046" s="3" t="s">
        <v>37</v>
      </c>
      <c r="D3046" s="3" t="s">
        <v>54</v>
      </c>
      <c r="E3046" s="3" t="s">
        <v>24</v>
      </c>
      <c r="F3046" s="3" t="s">
        <v>40</v>
      </c>
      <c r="G3046" s="3" t="s">
        <v>49</v>
      </c>
      <c r="H3046" s="3" t="s">
        <v>77</v>
      </c>
      <c r="I3046" s="3" t="s">
        <v>131</v>
      </c>
      <c r="J3046" s="3" t="n">
        <v>23</v>
      </c>
      <c r="K3046" s="3" t="n">
        <v>3082.51</v>
      </c>
      <c r="L3046" s="3" t="n">
        <v>70897.73</v>
      </c>
      <c r="M3046" s="3" t="n">
        <v>0.0509</v>
      </c>
      <c r="N3046" s="3" t="n">
        <v>3608.69</v>
      </c>
      <c r="O3046" s="3" t="n">
        <v>67289.04</v>
      </c>
      <c r="P3046" s="3" t="n">
        <v>48210.46</v>
      </c>
      <c r="Q3046" s="3" t="n">
        <v>19078.58</v>
      </c>
      <c r="R3046" s="3" t="n">
        <v>0.2835</v>
      </c>
      <c r="S3046" s="3" t="n">
        <v>0.0408</v>
      </c>
      <c r="T3046" s="3" t="n">
        <v>0.0101</v>
      </c>
    </row>
    <row r="3047" customFormat="false" ht="15" hidden="false" customHeight="true" outlineLevel="0" collapsed="false">
      <c r="A3047" s="3" t="s">
        <v>4156</v>
      </c>
      <c r="B3047" s="3" t="s">
        <v>4157</v>
      </c>
      <c r="C3047" s="3" t="s">
        <v>46</v>
      </c>
      <c r="D3047" s="3" t="s">
        <v>103</v>
      </c>
      <c r="E3047" s="3" t="s">
        <v>24</v>
      </c>
      <c r="F3047" s="3" t="s">
        <v>62</v>
      </c>
      <c r="G3047" s="3" t="s">
        <v>26</v>
      </c>
      <c r="H3047" s="3" t="s">
        <v>27</v>
      </c>
      <c r="I3047" s="3" t="s">
        <v>94</v>
      </c>
      <c r="J3047" s="3" t="n">
        <v>2</v>
      </c>
      <c r="K3047" s="3" t="n">
        <v>24165.86</v>
      </c>
      <c r="L3047" s="3" t="n">
        <v>48331.72</v>
      </c>
      <c r="M3047" s="3" t="n">
        <v>0.0643</v>
      </c>
      <c r="N3047" s="3" t="n">
        <v>3107.73</v>
      </c>
      <c r="O3047" s="3" t="n">
        <v>45223.99</v>
      </c>
      <c r="P3047" s="3" t="n">
        <v>29965.67</v>
      </c>
      <c r="Q3047" s="3" t="n">
        <v>15258.32</v>
      </c>
      <c r="R3047" s="3" t="n">
        <v>0.3374</v>
      </c>
      <c r="S3047" s="3" t="n">
        <v>0.0609</v>
      </c>
      <c r="T3047" s="3" t="n">
        <v>0.0034</v>
      </c>
    </row>
    <row r="3048" customFormat="false" ht="15" hidden="false" customHeight="true" outlineLevel="0" collapsed="false">
      <c r="A3048" s="3" t="s">
        <v>4158</v>
      </c>
      <c r="B3048" s="3" t="s">
        <v>496</v>
      </c>
      <c r="C3048" s="3" t="s">
        <v>113</v>
      </c>
      <c r="D3048" s="3" t="s">
        <v>54</v>
      </c>
      <c r="E3048" s="3" t="s">
        <v>24</v>
      </c>
      <c r="F3048" s="3" t="s">
        <v>40</v>
      </c>
      <c r="G3048" s="3" t="s">
        <v>26</v>
      </c>
      <c r="H3048" s="3" t="s">
        <v>42</v>
      </c>
      <c r="I3048" s="3" t="s">
        <v>72</v>
      </c>
      <c r="J3048" s="3" t="n">
        <v>14</v>
      </c>
      <c r="K3048" s="3" t="n">
        <v>2890.82</v>
      </c>
      <c r="L3048" s="3" t="n">
        <v>40471.48</v>
      </c>
      <c r="M3048" s="3" t="n">
        <v>0.0442</v>
      </c>
      <c r="N3048" s="3" t="n">
        <v>1788.84</v>
      </c>
      <c r="O3048" s="3" t="n">
        <v>38682.64</v>
      </c>
      <c r="P3048" s="3" t="n">
        <v>22259.31</v>
      </c>
      <c r="Q3048" s="3" t="n">
        <v>16423.33</v>
      </c>
      <c r="R3048" s="3" t="n">
        <v>0.4246</v>
      </c>
      <c r="S3048" s="3" t="n">
        <v>0.0482</v>
      </c>
      <c r="T3048" s="3" t="n">
        <v>-0.004</v>
      </c>
    </row>
    <row r="3049" customFormat="false" ht="15" hidden="false" customHeight="true" outlineLevel="0" collapsed="false">
      <c r="A3049" s="3" t="s">
        <v>4159</v>
      </c>
      <c r="B3049" s="3" t="s">
        <v>1216</v>
      </c>
      <c r="C3049" s="3" t="s">
        <v>126</v>
      </c>
      <c r="D3049" s="3" t="s">
        <v>103</v>
      </c>
      <c r="E3049" s="3" t="s">
        <v>24</v>
      </c>
      <c r="F3049" s="3" t="s">
        <v>62</v>
      </c>
      <c r="G3049" s="3" t="s">
        <v>63</v>
      </c>
      <c r="H3049" s="3" t="s">
        <v>56</v>
      </c>
      <c r="I3049" s="3" t="s">
        <v>121</v>
      </c>
      <c r="J3049" s="3" t="n">
        <v>21</v>
      </c>
      <c r="K3049" s="3" t="n">
        <v>11207.74</v>
      </c>
      <c r="L3049" s="3" t="n">
        <v>235362.54</v>
      </c>
      <c r="M3049" s="3" t="n">
        <v>0.0309</v>
      </c>
      <c r="N3049" s="3" t="n">
        <v>7272.7</v>
      </c>
      <c r="O3049" s="3" t="n">
        <v>228089.84</v>
      </c>
      <c r="P3049" s="3" t="n">
        <v>141217.52</v>
      </c>
      <c r="Q3049" s="3" t="n">
        <v>86872.32</v>
      </c>
      <c r="R3049" s="3" t="n">
        <v>0.3809</v>
      </c>
      <c r="S3049" s="3" t="n">
        <v>0.0278</v>
      </c>
      <c r="T3049" s="3" t="n">
        <v>0.0031</v>
      </c>
    </row>
    <row r="3050" customFormat="false" ht="15" hidden="false" customHeight="true" outlineLevel="0" collapsed="false">
      <c r="A3050" s="3" t="s">
        <v>4160</v>
      </c>
      <c r="B3050" s="3" t="s">
        <v>1310</v>
      </c>
      <c r="C3050" s="3" t="s">
        <v>37</v>
      </c>
      <c r="D3050" s="3" t="s">
        <v>32</v>
      </c>
      <c r="E3050" s="3" t="s">
        <v>33</v>
      </c>
      <c r="F3050" s="3" t="s">
        <v>25</v>
      </c>
      <c r="G3050" s="3" t="s">
        <v>63</v>
      </c>
      <c r="H3050" s="3" t="s">
        <v>42</v>
      </c>
      <c r="I3050" s="3" t="s">
        <v>134</v>
      </c>
      <c r="J3050" s="3" t="n">
        <v>37</v>
      </c>
      <c r="K3050" s="3" t="n">
        <v>3499.05</v>
      </c>
      <c r="L3050" s="3" t="n">
        <v>129464.85</v>
      </c>
      <c r="M3050" s="3" t="n">
        <v>0.1279</v>
      </c>
      <c r="N3050" s="3" t="n">
        <v>16558.55</v>
      </c>
      <c r="O3050" s="3" t="n">
        <v>112906.3</v>
      </c>
      <c r="P3050" s="3" t="n">
        <v>71205.67</v>
      </c>
      <c r="Q3050" s="3" t="n">
        <v>41700.63</v>
      </c>
      <c r="R3050" s="3" t="n">
        <v>0.3693</v>
      </c>
      <c r="S3050" s="3" t="n">
        <v>0.1142</v>
      </c>
      <c r="T3050" s="3" t="n">
        <v>0.0137</v>
      </c>
    </row>
    <row r="3051" customFormat="false" ht="15" hidden="false" customHeight="true" outlineLevel="0" collapsed="false">
      <c r="A3051" s="3" t="s">
        <v>4161</v>
      </c>
      <c r="B3051" s="3" t="s">
        <v>2860</v>
      </c>
      <c r="C3051" s="3" t="s">
        <v>60</v>
      </c>
      <c r="D3051" s="3" t="s">
        <v>75</v>
      </c>
      <c r="E3051" s="3" t="s">
        <v>39</v>
      </c>
      <c r="F3051" s="3" t="s">
        <v>25</v>
      </c>
      <c r="G3051" s="3" t="s">
        <v>100</v>
      </c>
      <c r="H3051" s="3" t="s">
        <v>42</v>
      </c>
      <c r="I3051" s="3" t="s">
        <v>43</v>
      </c>
      <c r="J3051" s="3" t="n">
        <v>31</v>
      </c>
      <c r="K3051" s="3" t="n">
        <v>2021.22</v>
      </c>
      <c r="L3051" s="3" t="n">
        <v>62657.82</v>
      </c>
      <c r="M3051" s="3" t="n">
        <v>0.1545</v>
      </c>
      <c r="N3051" s="3" t="n">
        <v>9680.63</v>
      </c>
      <c r="O3051" s="3" t="n">
        <v>52977.19</v>
      </c>
      <c r="P3051" s="3" t="n">
        <v>34461.8</v>
      </c>
      <c r="Q3051" s="3" t="n">
        <v>18515.39</v>
      </c>
      <c r="R3051" s="3" t="n">
        <v>0.3495</v>
      </c>
      <c r="S3051" s="3" t="n">
        <v>0.1653</v>
      </c>
      <c r="T3051" s="3" t="n">
        <v>-0.0108</v>
      </c>
    </row>
    <row r="3052" customFormat="false" ht="15" hidden="false" customHeight="true" outlineLevel="0" collapsed="false">
      <c r="A3052" s="3" t="s">
        <v>4162</v>
      </c>
      <c r="B3052" s="3" t="s">
        <v>2017</v>
      </c>
      <c r="C3052" s="3" t="s">
        <v>53</v>
      </c>
      <c r="D3052" s="3" t="s">
        <v>83</v>
      </c>
      <c r="E3052" s="3" t="s">
        <v>48</v>
      </c>
      <c r="F3052" s="3" t="s">
        <v>62</v>
      </c>
      <c r="G3052" s="3" t="s">
        <v>104</v>
      </c>
      <c r="H3052" s="3" t="s">
        <v>27</v>
      </c>
      <c r="I3052" s="3" t="s">
        <v>50</v>
      </c>
      <c r="J3052" s="3" t="n">
        <v>22</v>
      </c>
      <c r="K3052" s="3" t="n">
        <v>35023.5</v>
      </c>
      <c r="L3052" s="3" t="n">
        <v>770517</v>
      </c>
      <c r="M3052" s="3" t="n">
        <v>0.0873</v>
      </c>
      <c r="N3052" s="3" t="n">
        <v>67266.13</v>
      </c>
      <c r="O3052" s="3" t="n">
        <v>703250.87</v>
      </c>
      <c r="P3052" s="3" t="n">
        <v>477720.54</v>
      </c>
      <c r="Q3052" s="3" t="n">
        <v>225530.33</v>
      </c>
      <c r="R3052" s="3" t="n">
        <v>0.3207</v>
      </c>
      <c r="S3052" s="3" t="n">
        <v>0.0839</v>
      </c>
      <c r="T3052" s="3" t="n">
        <v>0.0034</v>
      </c>
    </row>
    <row r="3053" customFormat="false" ht="15" hidden="false" customHeight="true" outlineLevel="0" collapsed="false">
      <c r="A3053" s="3" t="s">
        <v>4163</v>
      </c>
      <c r="B3053" s="3" t="s">
        <v>179</v>
      </c>
      <c r="C3053" s="3" t="s">
        <v>126</v>
      </c>
      <c r="D3053" s="3" t="s">
        <v>97</v>
      </c>
      <c r="E3053" s="3" t="s">
        <v>48</v>
      </c>
      <c r="F3053" s="3" t="s">
        <v>40</v>
      </c>
      <c r="G3053" s="3" t="s">
        <v>26</v>
      </c>
      <c r="H3053" s="3" t="s">
        <v>77</v>
      </c>
      <c r="I3053" s="3" t="s">
        <v>78</v>
      </c>
      <c r="J3053" s="3" t="n">
        <v>25</v>
      </c>
      <c r="K3053" s="3" t="n">
        <v>2027.66</v>
      </c>
      <c r="L3053" s="3" t="n">
        <v>50691.5</v>
      </c>
      <c r="M3053" s="3" t="n">
        <v>0.0737</v>
      </c>
      <c r="N3053" s="3" t="n">
        <v>3735.96</v>
      </c>
      <c r="O3053" s="3" t="n">
        <v>46955.54</v>
      </c>
      <c r="P3053" s="3" t="n">
        <v>34470.22</v>
      </c>
      <c r="Q3053" s="3" t="n">
        <v>12485.32</v>
      </c>
      <c r="R3053" s="3" t="n">
        <v>0.2659</v>
      </c>
      <c r="S3053" s="3" t="n">
        <v>0.0704</v>
      </c>
      <c r="T3053" s="3" t="n">
        <v>0.0033</v>
      </c>
    </row>
    <row r="3054" customFormat="false" ht="15" hidden="false" customHeight="true" outlineLevel="0" collapsed="false">
      <c r="A3054" s="3" t="s">
        <v>4164</v>
      </c>
      <c r="B3054" s="3" t="s">
        <v>1409</v>
      </c>
      <c r="C3054" s="3" t="s">
        <v>31</v>
      </c>
      <c r="D3054" s="3" t="s">
        <v>61</v>
      </c>
      <c r="E3054" s="3" t="s">
        <v>33</v>
      </c>
      <c r="F3054" s="3" t="s">
        <v>62</v>
      </c>
      <c r="G3054" s="3" t="s">
        <v>100</v>
      </c>
      <c r="H3054" s="3" t="s">
        <v>77</v>
      </c>
      <c r="I3054" s="3" t="s">
        <v>131</v>
      </c>
      <c r="J3054" s="3" t="n">
        <v>37</v>
      </c>
      <c r="K3054" s="3" t="n">
        <v>4304.76</v>
      </c>
      <c r="L3054" s="3" t="n">
        <v>159276.12</v>
      </c>
      <c r="M3054" s="3" t="n">
        <v>0.0422</v>
      </c>
      <c r="N3054" s="3" t="n">
        <v>6721.45</v>
      </c>
      <c r="O3054" s="3" t="n">
        <v>152554.67</v>
      </c>
      <c r="P3054" s="3" t="n">
        <v>108307.76</v>
      </c>
      <c r="Q3054" s="3" t="n">
        <v>44246.91</v>
      </c>
      <c r="R3054" s="3" t="n">
        <v>0.29</v>
      </c>
      <c r="S3054" s="3" t="n">
        <v>0.0447</v>
      </c>
      <c r="T3054" s="3" t="n">
        <v>-0.0025</v>
      </c>
    </row>
    <row r="3055" customFormat="false" ht="15" hidden="false" customHeight="true" outlineLevel="0" collapsed="false">
      <c r="A3055" s="3" t="s">
        <v>4165</v>
      </c>
      <c r="B3055" s="3" t="s">
        <v>1748</v>
      </c>
      <c r="C3055" s="3" t="s">
        <v>156</v>
      </c>
      <c r="D3055" s="3" t="s">
        <v>32</v>
      </c>
      <c r="E3055" s="3" t="s">
        <v>33</v>
      </c>
      <c r="F3055" s="3" t="s">
        <v>25</v>
      </c>
      <c r="G3055" s="3" t="s">
        <v>49</v>
      </c>
      <c r="H3055" s="3" t="s">
        <v>77</v>
      </c>
      <c r="I3055" s="3" t="s">
        <v>131</v>
      </c>
      <c r="J3055" s="3" t="n">
        <v>15</v>
      </c>
      <c r="K3055" s="3" t="n">
        <v>3658.31</v>
      </c>
      <c r="L3055" s="3" t="n">
        <v>54874.65</v>
      </c>
      <c r="M3055" s="3" t="n">
        <v>0.1381</v>
      </c>
      <c r="N3055" s="3" t="n">
        <v>7578.19</v>
      </c>
      <c r="O3055" s="3" t="n">
        <v>47296.46</v>
      </c>
      <c r="P3055" s="3" t="n">
        <v>37314.76</v>
      </c>
      <c r="Q3055" s="3" t="n">
        <v>9981.7</v>
      </c>
      <c r="R3055" s="3" t="n">
        <v>0.211</v>
      </c>
      <c r="S3055" s="3" t="n">
        <v>0.1424</v>
      </c>
      <c r="T3055" s="3" t="n">
        <v>-0.0043</v>
      </c>
    </row>
    <row r="3056" customFormat="false" ht="15" hidden="false" customHeight="true" outlineLevel="0" collapsed="false">
      <c r="A3056" s="3" t="s">
        <v>4166</v>
      </c>
      <c r="B3056" s="3" t="s">
        <v>3501</v>
      </c>
      <c r="C3056" s="3" t="s">
        <v>113</v>
      </c>
      <c r="D3056" s="3" t="s">
        <v>75</v>
      </c>
      <c r="E3056" s="3" t="s">
        <v>39</v>
      </c>
      <c r="F3056" s="3" t="s">
        <v>25</v>
      </c>
      <c r="G3056" s="3" t="s">
        <v>55</v>
      </c>
      <c r="H3056" s="3" t="s">
        <v>77</v>
      </c>
      <c r="I3056" s="3" t="s">
        <v>85</v>
      </c>
      <c r="J3056" s="3" t="n">
        <v>22</v>
      </c>
      <c r="K3056" s="3" t="n">
        <v>3011.39</v>
      </c>
      <c r="L3056" s="3" t="n">
        <v>66250.58</v>
      </c>
      <c r="M3056" s="3" t="n">
        <v>0.1387</v>
      </c>
      <c r="N3056" s="3" t="n">
        <v>9188.96</v>
      </c>
      <c r="O3056" s="3" t="n">
        <v>57061.62</v>
      </c>
      <c r="P3056" s="3" t="n">
        <v>45050.39</v>
      </c>
      <c r="Q3056" s="3" t="n">
        <v>12011.23</v>
      </c>
      <c r="R3056" s="3" t="n">
        <v>0.2105</v>
      </c>
      <c r="S3056" s="3" t="n">
        <v>0.111</v>
      </c>
      <c r="T3056" s="3" t="n">
        <v>0.0277</v>
      </c>
    </row>
    <row r="3057" customFormat="false" ht="15" hidden="false" customHeight="true" outlineLevel="0" collapsed="false">
      <c r="A3057" s="3" t="s">
        <v>4167</v>
      </c>
      <c r="B3057" s="3" t="s">
        <v>1378</v>
      </c>
      <c r="C3057" s="3" t="s">
        <v>46</v>
      </c>
      <c r="D3057" s="3" t="s">
        <v>54</v>
      </c>
      <c r="E3057" s="3" t="s">
        <v>24</v>
      </c>
      <c r="F3057" s="3" t="s">
        <v>40</v>
      </c>
      <c r="G3057" s="3" t="s">
        <v>41</v>
      </c>
      <c r="H3057" s="3" t="s">
        <v>56</v>
      </c>
      <c r="I3057" s="3" t="s">
        <v>57</v>
      </c>
      <c r="J3057" s="3" t="n">
        <v>46</v>
      </c>
      <c r="K3057" s="3" t="n">
        <v>16504.82</v>
      </c>
      <c r="L3057" s="3" t="n">
        <v>759221.72</v>
      </c>
      <c r="M3057" s="3" t="n">
        <v>0.0885</v>
      </c>
      <c r="N3057" s="3" t="n">
        <v>67191.12</v>
      </c>
      <c r="O3057" s="3" t="n">
        <v>692030.6</v>
      </c>
      <c r="P3057" s="3" t="n">
        <v>455533.03</v>
      </c>
      <c r="Q3057" s="3" t="n">
        <v>236497.57</v>
      </c>
      <c r="R3057" s="3" t="n">
        <v>0.3417</v>
      </c>
      <c r="S3057" s="3" t="n">
        <v>0.0909</v>
      </c>
      <c r="T3057" s="3" t="n">
        <v>-0.0024</v>
      </c>
    </row>
    <row r="3058" customFormat="false" ht="15" hidden="false" customHeight="true" outlineLevel="0" collapsed="false">
      <c r="A3058" s="3" t="s">
        <v>4168</v>
      </c>
      <c r="B3058" s="3" t="s">
        <v>356</v>
      </c>
      <c r="C3058" s="3" t="s">
        <v>113</v>
      </c>
      <c r="D3058" s="3" t="s">
        <v>32</v>
      </c>
      <c r="E3058" s="3" t="s">
        <v>33</v>
      </c>
      <c r="F3058" s="3" t="s">
        <v>25</v>
      </c>
      <c r="G3058" s="3" t="s">
        <v>49</v>
      </c>
      <c r="H3058" s="3" t="s">
        <v>64</v>
      </c>
      <c r="I3058" s="3" t="s">
        <v>90</v>
      </c>
      <c r="J3058" s="3" t="n">
        <v>4</v>
      </c>
      <c r="K3058" s="3" t="n">
        <v>6734.59</v>
      </c>
      <c r="L3058" s="3" t="n">
        <v>26938.36</v>
      </c>
      <c r="M3058" s="3" t="n">
        <v>0.1771</v>
      </c>
      <c r="N3058" s="3" t="n">
        <v>4770.78</v>
      </c>
      <c r="O3058" s="3" t="n">
        <v>22167.58</v>
      </c>
      <c r="P3058" s="3" t="n">
        <v>15624.25</v>
      </c>
      <c r="Q3058" s="3" t="n">
        <v>6543.33</v>
      </c>
      <c r="R3058" s="3" t="n">
        <v>0.2952</v>
      </c>
      <c r="S3058" s="3" t="n">
        <v>0.1551</v>
      </c>
      <c r="T3058" s="3" t="n">
        <v>0.022</v>
      </c>
    </row>
    <row r="3059" customFormat="false" ht="15" hidden="false" customHeight="true" outlineLevel="0" collapsed="false">
      <c r="A3059" s="3" t="s">
        <v>4169</v>
      </c>
      <c r="B3059" s="3" t="s">
        <v>1790</v>
      </c>
      <c r="C3059" s="3" t="s">
        <v>53</v>
      </c>
      <c r="D3059" s="3" t="s">
        <v>23</v>
      </c>
      <c r="E3059" s="3" t="s">
        <v>24</v>
      </c>
      <c r="F3059" s="3" t="s">
        <v>25</v>
      </c>
      <c r="G3059" s="3" t="s">
        <v>71</v>
      </c>
      <c r="H3059" s="3" t="s">
        <v>42</v>
      </c>
      <c r="I3059" s="3" t="s">
        <v>43</v>
      </c>
      <c r="J3059" s="3" t="n">
        <v>26</v>
      </c>
      <c r="K3059" s="3" t="n">
        <v>2582.97</v>
      </c>
      <c r="L3059" s="3" t="n">
        <v>67157.22</v>
      </c>
      <c r="M3059" s="3" t="n">
        <v>0.1433</v>
      </c>
      <c r="N3059" s="3" t="n">
        <v>9623.63</v>
      </c>
      <c r="O3059" s="3" t="n">
        <v>57533.59</v>
      </c>
      <c r="P3059" s="3" t="n">
        <v>36936.47</v>
      </c>
      <c r="Q3059" s="3" t="n">
        <v>20597.12</v>
      </c>
      <c r="R3059" s="3" t="n">
        <v>0.358</v>
      </c>
      <c r="S3059" s="3" t="n">
        <v>0.1246</v>
      </c>
      <c r="T3059" s="3" t="n">
        <v>0.0187</v>
      </c>
    </row>
    <row r="3060" customFormat="false" ht="15" hidden="false" customHeight="true" outlineLevel="0" collapsed="false">
      <c r="A3060" s="3" t="s">
        <v>4170</v>
      </c>
      <c r="B3060" s="3" t="s">
        <v>1819</v>
      </c>
      <c r="C3060" s="3" t="s">
        <v>22</v>
      </c>
      <c r="D3060" s="3" t="s">
        <v>107</v>
      </c>
      <c r="E3060" s="3" t="s">
        <v>33</v>
      </c>
      <c r="F3060" s="3" t="s">
        <v>70</v>
      </c>
      <c r="G3060" s="3" t="s">
        <v>34</v>
      </c>
      <c r="H3060" s="3" t="s">
        <v>27</v>
      </c>
      <c r="I3060" s="3" t="s">
        <v>117</v>
      </c>
      <c r="J3060" s="3" t="n">
        <v>29</v>
      </c>
      <c r="K3060" s="3" t="n">
        <v>15115.21</v>
      </c>
      <c r="L3060" s="3" t="n">
        <v>438341.09</v>
      </c>
      <c r="M3060" s="3" t="n">
        <v>0.0875</v>
      </c>
      <c r="N3060" s="3" t="n">
        <v>38354.85</v>
      </c>
      <c r="O3060" s="3" t="n">
        <v>399986.24</v>
      </c>
      <c r="P3060" s="3" t="n">
        <v>271771.48</v>
      </c>
      <c r="Q3060" s="3" t="n">
        <v>128214.76</v>
      </c>
      <c r="R3060" s="3" t="n">
        <v>0.3205</v>
      </c>
      <c r="S3060" s="3" t="n">
        <v>0.0818</v>
      </c>
      <c r="T3060" s="3" t="n">
        <v>0.0057</v>
      </c>
    </row>
    <row r="3061" customFormat="false" ht="15" hidden="false" customHeight="true" outlineLevel="0" collapsed="false">
      <c r="A3061" s="3" t="s">
        <v>4171</v>
      </c>
      <c r="B3061" s="3" t="s">
        <v>1287</v>
      </c>
      <c r="C3061" s="3" t="s">
        <v>31</v>
      </c>
      <c r="D3061" s="3" t="s">
        <v>69</v>
      </c>
      <c r="E3061" s="3" t="s">
        <v>39</v>
      </c>
      <c r="F3061" s="3" t="s">
        <v>70</v>
      </c>
      <c r="G3061" s="3" t="s">
        <v>76</v>
      </c>
      <c r="H3061" s="3" t="s">
        <v>27</v>
      </c>
      <c r="I3061" s="3" t="s">
        <v>173</v>
      </c>
      <c r="J3061" s="3" t="n">
        <v>23</v>
      </c>
      <c r="K3061" s="3" t="n">
        <v>16958.09</v>
      </c>
      <c r="L3061" s="3" t="n">
        <v>390036.07</v>
      </c>
      <c r="M3061" s="3" t="n">
        <v>0.053</v>
      </c>
      <c r="N3061" s="3" t="n">
        <v>20671.91</v>
      </c>
      <c r="O3061" s="3" t="n">
        <v>369364.16</v>
      </c>
      <c r="P3061" s="3" t="n">
        <v>241822.36</v>
      </c>
      <c r="Q3061" s="3" t="n">
        <v>127541.8</v>
      </c>
      <c r="R3061" s="3" t="n">
        <v>0.3453</v>
      </c>
      <c r="S3061" s="3" t="n">
        <v>0.0452</v>
      </c>
      <c r="T3061" s="3" t="n">
        <v>0.0078</v>
      </c>
    </row>
    <row r="3062" customFormat="false" ht="15" hidden="false" customHeight="true" outlineLevel="0" collapsed="false">
      <c r="A3062" s="3" t="s">
        <v>4172</v>
      </c>
      <c r="B3062" s="3" t="s">
        <v>99</v>
      </c>
      <c r="C3062" s="3" t="s">
        <v>93</v>
      </c>
      <c r="D3062" s="3" t="s">
        <v>47</v>
      </c>
      <c r="E3062" s="3" t="s">
        <v>48</v>
      </c>
      <c r="F3062" s="3" t="s">
        <v>25</v>
      </c>
      <c r="G3062" s="3" t="s">
        <v>34</v>
      </c>
      <c r="H3062" s="3" t="s">
        <v>64</v>
      </c>
      <c r="I3062" s="3" t="s">
        <v>90</v>
      </c>
      <c r="J3062" s="3" t="n">
        <v>29</v>
      </c>
      <c r="K3062" s="3" t="n">
        <v>11488.81</v>
      </c>
      <c r="L3062" s="3" t="n">
        <v>333175.49</v>
      </c>
      <c r="M3062" s="3" t="n">
        <v>0.193</v>
      </c>
      <c r="N3062" s="3" t="n">
        <v>64302.87</v>
      </c>
      <c r="O3062" s="3" t="n">
        <v>268872.62</v>
      </c>
      <c r="P3062" s="3" t="n">
        <v>193241.78</v>
      </c>
      <c r="Q3062" s="3" t="n">
        <v>75630.84</v>
      </c>
      <c r="R3062" s="3" t="n">
        <v>0.2813</v>
      </c>
      <c r="S3062" s="3" t="n">
        <v>0.2015</v>
      </c>
      <c r="T3062" s="3" t="n">
        <v>-0.0085</v>
      </c>
    </row>
    <row r="3063" customFormat="false" ht="15" hidden="false" customHeight="true" outlineLevel="0" collapsed="false">
      <c r="A3063" s="3" t="s">
        <v>4173</v>
      </c>
      <c r="B3063" s="3" t="s">
        <v>3018</v>
      </c>
      <c r="C3063" s="3" t="s">
        <v>126</v>
      </c>
      <c r="D3063" s="3" t="s">
        <v>54</v>
      </c>
      <c r="E3063" s="3" t="s">
        <v>24</v>
      </c>
      <c r="F3063" s="3" t="s">
        <v>40</v>
      </c>
      <c r="G3063" s="3" t="s">
        <v>55</v>
      </c>
      <c r="H3063" s="3" t="s">
        <v>77</v>
      </c>
      <c r="I3063" s="3" t="s">
        <v>78</v>
      </c>
      <c r="J3063" s="3" t="n">
        <v>19</v>
      </c>
      <c r="K3063" s="3" t="n">
        <v>2508.55</v>
      </c>
      <c r="L3063" s="3" t="n">
        <v>47662.45</v>
      </c>
      <c r="M3063" s="3" t="n">
        <v>0.0625</v>
      </c>
      <c r="N3063" s="3" t="n">
        <v>2978.9</v>
      </c>
      <c r="O3063" s="3" t="n">
        <v>44683.55</v>
      </c>
      <c r="P3063" s="3" t="n">
        <v>32410.47</v>
      </c>
      <c r="Q3063" s="3" t="n">
        <v>12273.08</v>
      </c>
      <c r="R3063" s="3" t="n">
        <v>0.2747</v>
      </c>
      <c r="S3063" s="3" t="n">
        <v>0.0657</v>
      </c>
      <c r="T3063" s="3" t="n">
        <v>-0.0032</v>
      </c>
    </row>
    <row r="3064" customFormat="false" ht="15" hidden="false" customHeight="true" outlineLevel="0" collapsed="false">
      <c r="A3064" s="3" t="s">
        <v>4174</v>
      </c>
      <c r="B3064" s="3" t="s">
        <v>3423</v>
      </c>
      <c r="C3064" s="3" t="s">
        <v>93</v>
      </c>
      <c r="D3064" s="3" t="s">
        <v>97</v>
      </c>
      <c r="E3064" s="3" t="s">
        <v>48</v>
      </c>
      <c r="F3064" s="3" t="s">
        <v>40</v>
      </c>
      <c r="G3064" s="3" t="s">
        <v>55</v>
      </c>
      <c r="H3064" s="3" t="s">
        <v>42</v>
      </c>
      <c r="I3064" s="3" t="s">
        <v>43</v>
      </c>
      <c r="J3064" s="3" t="n">
        <v>13</v>
      </c>
      <c r="K3064" s="3" t="n">
        <v>1739.5</v>
      </c>
      <c r="L3064" s="3" t="n">
        <v>22613.5</v>
      </c>
      <c r="M3064" s="3" t="n">
        <v>0.0523</v>
      </c>
      <c r="N3064" s="3" t="n">
        <v>1182.69</v>
      </c>
      <c r="O3064" s="3" t="n">
        <v>21430.81</v>
      </c>
      <c r="P3064" s="3" t="n">
        <v>12437.43</v>
      </c>
      <c r="Q3064" s="3" t="n">
        <v>8993.38</v>
      </c>
      <c r="R3064" s="3" t="n">
        <v>0.4196</v>
      </c>
      <c r="S3064" s="3" t="n">
        <v>0.0542</v>
      </c>
      <c r="T3064" s="3" t="n">
        <v>-0.0019</v>
      </c>
    </row>
    <row r="3065" customFormat="false" ht="15" hidden="false" customHeight="true" outlineLevel="0" collapsed="false">
      <c r="A3065" s="3" t="s">
        <v>4175</v>
      </c>
      <c r="B3065" s="3" t="s">
        <v>388</v>
      </c>
      <c r="C3065" s="3" t="s">
        <v>60</v>
      </c>
      <c r="D3065" s="3" t="s">
        <v>32</v>
      </c>
      <c r="E3065" s="3" t="s">
        <v>33</v>
      </c>
      <c r="F3065" s="3" t="s">
        <v>25</v>
      </c>
      <c r="G3065" s="3" t="s">
        <v>63</v>
      </c>
      <c r="H3065" s="3" t="s">
        <v>64</v>
      </c>
      <c r="I3065" s="3" t="s">
        <v>90</v>
      </c>
      <c r="J3065" s="3" t="n">
        <v>36</v>
      </c>
      <c r="K3065" s="3" t="n">
        <v>7191.58</v>
      </c>
      <c r="L3065" s="3" t="n">
        <v>258896.88</v>
      </c>
      <c r="M3065" s="3" t="n">
        <v>0.0958</v>
      </c>
      <c r="N3065" s="3" t="n">
        <v>24802.32</v>
      </c>
      <c r="O3065" s="3" t="n">
        <v>234094.56</v>
      </c>
      <c r="P3065" s="3" t="n">
        <v>150160.19</v>
      </c>
      <c r="Q3065" s="3" t="n">
        <v>83934.37</v>
      </c>
      <c r="R3065" s="3" t="n">
        <v>0.3585</v>
      </c>
      <c r="S3065" s="3" t="n">
        <v>0.0773</v>
      </c>
      <c r="T3065" s="3" t="n">
        <v>0.0185</v>
      </c>
    </row>
    <row r="3066" customFormat="false" ht="15" hidden="false" customHeight="true" outlineLevel="0" collapsed="false">
      <c r="A3066" s="3" t="s">
        <v>4176</v>
      </c>
      <c r="B3066" s="3" t="s">
        <v>609</v>
      </c>
      <c r="C3066" s="3" t="s">
        <v>113</v>
      </c>
      <c r="D3066" s="3" t="s">
        <v>83</v>
      </c>
      <c r="E3066" s="3" t="s">
        <v>48</v>
      </c>
      <c r="F3066" s="3" t="s">
        <v>62</v>
      </c>
      <c r="G3066" s="3" t="s">
        <v>49</v>
      </c>
      <c r="H3066" s="3" t="s">
        <v>77</v>
      </c>
      <c r="I3066" s="3" t="s">
        <v>78</v>
      </c>
      <c r="J3066" s="3" t="n">
        <v>39</v>
      </c>
      <c r="K3066" s="3" t="n">
        <v>1586.48</v>
      </c>
      <c r="L3066" s="3" t="n">
        <v>61872.72</v>
      </c>
      <c r="M3066" s="3" t="n">
        <v>0.0523</v>
      </c>
      <c r="N3066" s="3" t="n">
        <v>3235.94</v>
      </c>
      <c r="O3066" s="3" t="n">
        <v>58636.78</v>
      </c>
      <c r="P3066" s="3" t="n">
        <v>42073.45</v>
      </c>
      <c r="Q3066" s="3" t="n">
        <v>16563.33</v>
      </c>
      <c r="R3066" s="3" t="n">
        <v>0.2825</v>
      </c>
      <c r="S3066" s="3" t="n">
        <v>0.0465</v>
      </c>
      <c r="T3066" s="3" t="n">
        <v>0.0058</v>
      </c>
    </row>
    <row r="3067" customFormat="false" ht="15" hidden="false" customHeight="true" outlineLevel="0" collapsed="false">
      <c r="A3067" s="3" t="s">
        <v>4177</v>
      </c>
      <c r="B3067" s="3" t="s">
        <v>995</v>
      </c>
      <c r="C3067" s="3" t="s">
        <v>156</v>
      </c>
      <c r="D3067" s="3" t="s">
        <v>61</v>
      </c>
      <c r="E3067" s="3" t="s">
        <v>33</v>
      </c>
      <c r="F3067" s="3" t="s">
        <v>62</v>
      </c>
      <c r="G3067" s="3" t="s">
        <v>34</v>
      </c>
      <c r="H3067" s="3" t="s">
        <v>42</v>
      </c>
      <c r="I3067" s="3" t="s">
        <v>134</v>
      </c>
      <c r="J3067" s="3" t="n">
        <v>14</v>
      </c>
      <c r="K3067" s="3" t="n">
        <v>2781.09</v>
      </c>
      <c r="L3067" s="3" t="n">
        <v>38935.26</v>
      </c>
      <c r="M3067" s="3" t="n">
        <v>0.0765</v>
      </c>
      <c r="N3067" s="3" t="n">
        <v>2978.55</v>
      </c>
      <c r="O3067" s="3" t="n">
        <v>35956.71</v>
      </c>
      <c r="P3067" s="3" t="n">
        <v>21414.39</v>
      </c>
      <c r="Q3067" s="3" t="n">
        <v>14542.32</v>
      </c>
      <c r="R3067" s="3" t="n">
        <v>0.4044</v>
      </c>
      <c r="S3067" s="3" t="n">
        <v>0.076</v>
      </c>
      <c r="T3067" s="3" t="n">
        <v>0.0005</v>
      </c>
    </row>
    <row r="3068" customFormat="false" ht="15" hidden="false" customHeight="true" outlineLevel="0" collapsed="false">
      <c r="A3068" s="3" t="s">
        <v>4178</v>
      </c>
      <c r="B3068" s="3" t="s">
        <v>2629</v>
      </c>
      <c r="C3068" s="3" t="s">
        <v>68</v>
      </c>
      <c r="D3068" s="3" t="s">
        <v>32</v>
      </c>
      <c r="E3068" s="3" t="s">
        <v>33</v>
      </c>
      <c r="F3068" s="3" t="s">
        <v>25</v>
      </c>
      <c r="G3068" s="3" t="s">
        <v>26</v>
      </c>
      <c r="H3068" s="3" t="s">
        <v>56</v>
      </c>
      <c r="I3068" s="3" t="s">
        <v>57</v>
      </c>
      <c r="J3068" s="3" t="n">
        <v>27</v>
      </c>
      <c r="K3068" s="3" t="n">
        <v>2535.95</v>
      </c>
      <c r="L3068" s="3" t="n">
        <v>68470.65</v>
      </c>
      <c r="M3068" s="3" t="n">
        <v>0.1172</v>
      </c>
      <c r="N3068" s="3" t="n">
        <v>8024.76</v>
      </c>
      <c r="O3068" s="3" t="n">
        <v>60445.89</v>
      </c>
      <c r="P3068" s="3" t="n">
        <v>41082.39</v>
      </c>
      <c r="Q3068" s="3" t="n">
        <v>19363.5</v>
      </c>
      <c r="R3068" s="3" t="n">
        <v>0.3203</v>
      </c>
      <c r="S3068" s="3" t="n">
        <v>0.099</v>
      </c>
      <c r="T3068" s="3" t="n">
        <v>0.0182</v>
      </c>
    </row>
    <row r="3069" customFormat="false" ht="15" hidden="false" customHeight="true" outlineLevel="0" collapsed="false">
      <c r="A3069" s="3" t="s">
        <v>4179</v>
      </c>
      <c r="B3069" s="3" t="s">
        <v>2875</v>
      </c>
      <c r="C3069" s="3" t="s">
        <v>37</v>
      </c>
      <c r="D3069" s="3" t="s">
        <v>97</v>
      </c>
      <c r="E3069" s="3" t="s">
        <v>48</v>
      </c>
      <c r="F3069" s="3" t="s">
        <v>40</v>
      </c>
      <c r="G3069" s="3" t="s">
        <v>76</v>
      </c>
      <c r="H3069" s="3" t="s">
        <v>42</v>
      </c>
      <c r="I3069" s="3" t="s">
        <v>72</v>
      </c>
      <c r="J3069" s="3" t="n">
        <v>34</v>
      </c>
      <c r="K3069" s="3" t="n">
        <v>1701.92</v>
      </c>
      <c r="L3069" s="3" t="n">
        <v>57865.28</v>
      </c>
      <c r="M3069" s="3" t="n">
        <v>0.0792</v>
      </c>
      <c r="N3069" s="3" t="n">
        <v>4582.93</v>
      </c>
      <c r="O3069" s="3" t="n">
        <v>53282.35</v>
      </c>
      <c r="P3069" s="3" t="n">
        <v>31825.9</v>
      </c>
      <c r="Q3069" s="3" t="n">
        <v>21456.45</v>
      </c>
      <c r="R3069" s="3" t="n">
        <v>0.4027</v>
      </c>
      <c r="S3069" s="3" t="n">
        <v>0.0789</v>
      </c>
      <c r="T3069" s="3" t="n">
        <v>0.0003</v>
      </c>
    </row>
    <row r="3070" customFormat="false" ht="15" hidden="false" customHeight="true" outlineLevel="0" collapsed="false">
      <c r="A3070" s="3" t="s">
        <v>4180</v>
      </c>
      <c r="B3070" s="3" t="s">
        <v>1912</v>
      </c>
      <c r="C3070" s="3" t="s">
        <v>31</v>
      </c>
      <c r="D3070" s="3" t="s">
        <v>47</v>
      </c>
      <c r="E3070" s="3" t="s">
        <v>48</v>
      </c>
      <c r="F3070" s="3" t="s">
        <v>25</v>
      </c>
      <c r="G3070" s="3" t="s">
        <v>49</v>
      </c>
      <c r="H3070" s="3" t="s">
        <v>42</v>
      </c>
      <c r="I3070" s="3" t="s">
        <v>43</v>
      </c>
      <c r="J3070" s="3" t="n">
        <v>13</v>
      </c>
      <c r="K3070" s="3" t="n">
        <v>3838.41</v>
      </c>
      <c r="L3070" s="3" t="n">
        <v>49899.33</v>
      </c>
      <c r="M3070" s="3" t="n">
        <v>0.1237</v>
      </c>
      <c r="N3070" s="3" t="n">
        <v>6172.55</v>
      </c>
      <c r="O3070" s="3" t="n">
        <v>43726.78</v>
      </c>
      <c r="P3070" s="3" t="n">
        <v>27444.63</v>
      </c>
      <c r="Q3070" s="3" t="n">
        <v>16282.15</v>
      </c>
      <c r="R3070" s="3" t="n">
        <v>0.3724</v>
      </c>
      <c r="S3070" s="3" t="n">
        <v>0.1149</v>
      </c>
      <c r="T3070" s="3" t="n">
        <v>0.0088</v>
      </c>
    </row>
    <row r="3071" customFormat="false" ht="15" hidden="false" customHeight="true" outlineLevel="0" collapsed="false">
      <c r="A3071" s="3" t="s">
        <v>4181</v>
      </c>
      <c r="B3071" s="3" t="s">
        <v>702</v>
      </c>
      <c r="C3071" s="3" t="s">
        <v>53</v>
      </c>
      <c r="D3071" s="3" t="s">
        <v>32</v>
      </c>
      <c r="E3071" s="3" t="s">
        <v>33</v>
      </c>
      <c r="F3071" s="3" t="s">
        <v>25</v>
      </c>
      <c r="G3071" s="3" t="s">
        <v>76</v>
      </c>
      <c r="H3071" s="3" t="s">
        <v>27</v>
      </c>
      <c r="I3071" s="3" t="s">
        <v>28</v>
      </c>
      <c r="J3071" s="3" t="n">
        <v>37</v>
      </c>
      <c r="K3071" s="3" t="n">
        <v>22925.28</v>
      </c>
      <c r="L3071" s="3" t="n">
        <v>848235.36</v>
      </c>
      <c r="M3071" s="3" t="n">
        <v>0.1125</v>
      </c>
      <c r="N3071" s="3" t="n">
        <v>95426.48</v>
      </c>
      <c r="O3071" s="3" t="n">
        <v>752808.88</v>
      </c>
      <c r="P3071" s="3" t="n">
        <v>525905.92</v>
      </c>
      <c r="Q3071" s="3" t="n">
        <v>226902.96</v>
      </c>
      <c r="R3071" s="3" t="n">
        <v>0.3014</v>
      </c>
      <c r="S3071" s="3" t="n">
        <v>0.1175</v>
      </c>
      <c r="T3071" s="3" t="n">
        <v>-0.005</v>
      </c>
    </row>
    <row r="3072" customFormat="false" ht="15" hidden="false" customHeight="true" outlineLevel="0" collapsed="false">
      <c r="A3072" s="3" t="s">
        <v>4182</v>
      </c>
      <c r="B3072" s="3" t="s">
        <v>3669</v>
      </c>
      <c r="C3072" s="3" t="s">
        <v>46</v>
      </c>
      <c r="D3072" s="3" t="s">
        <v>38</v>
      </c>
      <c r="E3072" s="3" t="s">
        <v>39</v>
      </c>
      <c r="F3072" s="3" t="s">
        <v>40</v>
      </c>
      <c r="G3072" s="3" t="s">
        <v>116</v>
      </c>
      <c r="H3072" s="3" t="s">
        <v>42</v>
      </c>
      <c r="I3072" s="3" t="s">
        <v>134</v>
      </c>
      <c r="J3072" s="3" t="n">
        <v>45</v>
      </c>
      <c r="K3072" s="3" t="n">
        <v>775.33</v>
      </c>
      <c r="L3072" s="3" t="n">
        <v>34889.85</v>
      </c>
      <c r="M3072" s="3" t="n">
        <v>0.1083</v>
      </c>
      <c r="N3072" s="3" t="n">
        <v>3778.57</v>
      </c>
      <c r="O3072" s="3" t="n">
        <v>31111.28</v>
      </c>
      <c r="P3072" s="3" t="n">
        <v>19189.42</v>
      </c>
      <c r="Q3072" s="3" t="n">
        <v>11921.86</v>
      </c>
      <c r="R3072" s="3" t="n">
        <v>0.3832</v>
      </c>
      <c r="S3072" s="3" t="n">
        <v>0.1138</v>
      </c>
      <c r="T3072" s="3" t="n">
        <v>-0.0055</v>
      </c>
    </row>
    <row r="3073" customFormat="false" ht="15" hidden="false" customHeight="true" outlineLevel="0" collapsed="false">
      <c r="A3073" s="3" t="s">
        <v>4183</v>
      </c>
      <c r="B3073" s="3" t="s">
        <v>2408</v>
      </c>
      <c r="C3073" s="3" t="s">
        <v>93</v>
      </c>
      <c r="D3073" s="3" t="s">
        <v>61</v>
      </c>
      <c r="E3073" s="3" t="s">
        <v>33</v>
      </c>
      <c r="F3073" s="3" t="s">
        <v>62</v>
      </c>
      <c r="G3073" s="3" t="s">
        <v>116</v>
      </c>
      <c r="H3073" s="3" t="s">
        <v>27</v>
      </c>
      <c r="I3073" s="3" t="s">
        <v>94</v>
      </c>
      <c r="J3073" s="3" t="n">
        <v>21</v>
      </c>
      <c r="K3073" s="3" t="n">
        <v>29851.11</v>
      </c>
      <c r="L3073" s="3" t="n">
        <v>626873.31</v>
      </c>
      <c r="M3073" s="3" t="n">
        <v>0.1051</v>
      </c>
      <c r="N3073" s="3" t="n">
        <v>65884.38</v>
      </c>
      <c r="O3073" s="3" t="n">
        <v>560988.93</v>
      </c>
      <c r="P3073" s="3" t="n">
        <v>388661.45</v>
      </c>
      <c r="Q3073" s="3" t="n">
        <v>172327.48</v>
      </c>
      <c r="R3073" s="3" t="n">
        <v>0.3072</v>
      </c>
      <c r="S3073" s="3" t="n">
        <v>0.1089</v>
      </c>
      <c r="T3073" s="3" t="n">
        <v>-0.0038</v>
      </c>
    </row>
    <row r="3074" customFormat="false" ht="15" hidden="false" customHeight="true" outlineLevel="0" collapsed="false">
      <c r="A3074" s="3" t="s">
        <v>4184</v>
      </c>
      <c r="B3074" s="3" t="s">
        <v>341</v>
      </c>
      <c r="C3074" s="3" t="s">
        <v>120</v>
      </c>
      <c r="D3074" s="3" t="s">
        <v>54</v>
      </c>
      <c r="E3074" s="3" t="s">
        <v>24</v>
      </c>
      <c r="F3074" s="3" t="s">
        <v>40</v>
      </c>
      <c r="G3074" s="3" t="s">
        <v>116</v>
      </c>
      <c r="H3074" s="3" t="s">
        <v>77</v>
      </c>
      <c r="I3074" s="3" t="s">
        <v>78</v>
      </c>
      <c r="J3074" s="3" t="n">
        <v>20</v>
      </c>
      <c r="K3074" s="3" t="n">
        <v>2697.4</v>
      </c>
      <c r="L3074" s="3" t="n">
        <v>53948</v>
      </c>
      <c r="M3074" s="3" t="n">
        <v>0.0905</v>
      </c>
      <c r="N3074" s="3" t="n">
        <v>4882.29</v>
      </c>
      <c r="O3074" s="3" t="n">
        <v>49065.71</v>
      </c>
      <c r="P3074" s="3" t="n">
        <v>36684.64</v>
      </c>
      <c r="Q3074" s="3" t="n">
        <v>12381.07</v>
      </c>
      <c r="R3074" s="3" t="n">
        <v>0.2523</v>
      </c>
      <c r="S3074" s="3" t="n">
        <v>0.0863</v>
      </c>
      <c r="T3074" s="3" t="n">
        <v>0.0042</v>
      </c>
    </row>
    <row r="3075" customFormat="false" ht="15" hidden="false" customHeight="true" outlineLevel="0" collapsed="false">
      <c r="A3075" s="3" t="s">
        <v>4185</v>
      </c>
      <c r="B3075" s="3" t="s">
        <v>1912</v>
      </c>
      <c r="C3075" s="3" t="s">
        <v>31</v>
      </c>
      <c r="D3075" s="3" t="s">
        <v>23</v>
      </c>
      <c r="E3075" s="3" t="s">
        <v>24</v>
      </c>
      <c r="F3075" s="3" t="s">
        <v>25</v>
      </c>
      <c r="G3075" s="3" t="s">
        <v>84</v>
      </c>
      <c r="H3075" s="3" t="s">
        <v>77</v>
      </c>
      <c r="I3075" s="3" t="s">
        <v>85</v>
      </c>
      <c r="J3075" s="3" t="n">
        <v>18</v>
      </c>
      <c r="K3075" s="3" t="n">
        <v>4410.86</v>
      </c>
      <c r="L3075" s="3" t="n">
        <v>79395.48</v>
      </c>
      <c r="M3075" s="3" t="n">
        <v>0.1647</v>
      </c>
      <c r="N3075" s="3" t="n">
        <v>13076.44</v>
      </c>
      <c r="O3075" s="3" t="n">
        <v>66319.04</v>
      </c>
      <c r="P3075" s="3" t="n">
        <v>53988.93</v>
      </c>
      <c r="Q3075" s="3" t="n">
        <v>12330.11</v>
      </c>
      <c r="R3075" s="3" t="n">
        <v>0.1859</v>
      </c>
      <c r="S3075" s="3" t="n">
        <v>0.1515</v>
      </c>
      <c r="T3075" s="3" t="n">
        <v>0.0132</v>
      </c>
    </row>
    <row r="3076" customFormat="false" ht="15" hidden="false" customHeight="true" outlineLevel="0" collapsed="false">
      <c r="A3076" s="3" t="s">
        <v>4186</v>
      </c>
      <c r="B3076" s="3" t="s">
        <v>1310</v>
      </c>
      <c r="C3076" s="3" t="s">
        <v>37</v>
      </c>
      <c r="D3076" s="3" t="s">
        <v>23</v>
      </c>
      <c r="E3076" s="3" t="s">
        <v>24</v>
      </c>
      <c r="F3076" s="3" t="s">
        <v>25</v>
      </c>
      <c r="G3076" s="3" t="s">
        <v>41</v>
      </c>
      <c r="H3076" s="3" t="s">
        <v>77</v>
      </c>
      <c r="I3076" s="3" t="s">
        <v>85</v>
      </c>
      <c r="J3076" s="3" t="n">
        <v>2</v>
      </c>
      <c r="K3076" s="3" t="n">
        <v>4599.22</v>
      </c>
      <c r="L3076" s="3" t="n">
        <v>9198.44</v>
      </c>
      <c r="M3076" s="3" t="n">
        <v>0.1987</v>
      </c>
      <c r="N3076" s="3" t="n">
        <v>1827.73</v>
      </c>
      <c r="O3076" s="3" t="n">
        <v>7370.71</v>
      </c>
      <c r="P3076" s="3" t="n">
        <v>6254.94</v>
      </c>
      <c r="Q3076" s="3" t="n">
        <v>1115.77</v>
      </c>
      <c r="R3076" s="3" t="n">
        <v>0.1514</v>
      </c>
      <c r="S3076" s="3" t="n">
        <v>0.2173</v>
      </c>
      <c r="T3076" s="3" t="n">
        <v>-0.0186</v>
      </c>
    </row>
    <row r="3077" customFormat="false" ht="15" hidden="false" customHeight="true" outlineLevel="0" collapsed="false">
      <c r="A3077" s="3" t="s">
        <v>4187</v>
      </c>
      <c r="B3077" s="3" t="s">
        <v>1901</v>
      </c>
      <c r="C3077" s="3" t="s">
        <v>60</v>
      </c>
      <c r="D3077" s="3" t="s">
        <v>38</v>
      </c>
      <c r="E3077" s="3" t="s">
        <v>39</v>
      </c>
      <c r="F3077" s="3" t="s">
        <v>40</v>
      </c>
      <c r="G3077" s="3" t="s">
        <v>100</v>
      </c>
      <c r="H3077" s="3" t="s">
        <v>42</v>
      </c>
      <c r="I3077" s="3" t="s">
        <v>43</v>
      </c>
      <c r="J3077" s="3" t="n">
        <v>5</v>
      </c>
      <c r="K3077" s="3" t="n">
        <v>2746.66</v>
      </c>
      <c r="L3077" s="3" t="n">
        <v>13733.3</v>
      </c>
      <c r="M3077" s="3" t="n">
        <v>0.0438</v>
      </c>
      <c r="N3077" s="3" t="n">
        <v>601.52</v>
      </c>
      <c r="O3077" s="3" t="n">
        <v>13131.78</v>
      </c>
      <c r="P3077" s="3" t="n">
        <v>7553.32</v>
      </c>
      <c r="Q3077" s="3" t="n">
        <v>5578.46</v>
      </c>
      <c r="R3077" s="3" t="n">
        <v>0.4248</v>
      </c>
      <c r="S3077" s="3" t="n">
        <v>0.0443</v>
      </c>
      <c r="T3077" s="3" t="n">
        <v>-0.0005</v>
      </c>
    </row>
    <row r="3078" customFormat="false" ht="15" hidden="false" customHeight="true" outlineLevel="0" collapsed="false">
      <c r="A3078" s="3" t="s">
        <v>4188</v>
      </c>
      <c r="B3078" s="3" t="s">
        <v>3292</v>
      </c>
      <c r="C3078" s="3" t="s">
        <v>31</v>
      </c>
      <c r="D3078" s="3" t="s">
        <v>97</v>
      </c>
      <c r="E3078" s="3" t="s">
        <v>48</v>
      </c>
      <c r="F3078" s="3" t="s">
        <v>40</v>
      </c>
      <c r="G3078" s="3" t="s">
        <v>26</v>
      </c>
      <c r="H3078" s="3" t="s">
        <v>64</v>
      </c>
      <c r="I3078" s="3" t="s">
        <v>65</v>
      </c>
      <c r="J3078" s="3" t="n">
        <v>46</v>
      </c>
      <c r="K3078" s="3" t="n">
        <v>4624.33</v>
      </c>
      <c r="L3078" s="3" t="n">
        <v>212719.18</v>
      </c>
      <c r="M3078" s="3" t="n">
        <v>0.0393</v>
      </c>
      <c r="N3078" s="3" t="n">
        <v>8359.86</v>
      </c>
      <c r="O3078" s="3" t="n">
        <v>204359.32</v>
      </c>
      <c r="P3078" s="3" t="n">
        <v>123377.12</v>
      </c>
      <c r="Q3078" s="3" t="n">
        <v>80982.2</v>
      </c>
      <c r="R3078" s="3" t="n">
        <v>0.3963</v>
      </c>
      <c r="S3078" s="3" t="n">
        <v>0.0421</v>
      </c>
      <c r="T3078" s="3" t="n">
        <v>-0.0028</v>
      </c>
    </row>
    <row r="3079" customFormat="false" ht="15" hidden="false" customHeight="true" outlineLevel="0" collapsed="false">
      <c r="A3079" s="3" t="s">
        <v>4189</v>
      </c>
      <c r="B3079" s="3" t="s">
        <v>2325</v>
      </c>
      <c r="C3079" s="3" t="s">
        <v>60</v>
      </c>
      <c r="D3079" s="3" t="s">
        <v>32</v>
      </c>
      <c r="E3079" s="3" t="s">
        <v>33</v>
      </c>
      <c r="F3079" s="3" t="s">
        <v>25</v>
      </c>
      <c r="G3079" s="3" t="s">
        <v>84</v>
      </c>
      <c r="H3079" s="3" t="s">
        <v>42</v>
      </c>
      <c r="I3079" s="3" t="s">
        <v>134</v>
      </c>
      <c r="J3079" s="3" t="n">
        <v>40</v>
      </c>
      <c r="K3079" s="3" t="n">
        <v>2881.43</v>
      </c>
      <c r="L3079" s="3" t="n">
        <v>115257.2</v>
      </c>
      <c r="M3079" s="3" t="n">
        <v>0.1107</v>
      </c>
      <c r="N3079" s="3" t="n">
        <v>12758.97</v>
      </c>
      <c r="O3079" s="3" t="n">
        <v>102498.23</v>
      </c>
      <c r="P3079" s="3" t="n">
        <v>63391.46</v>
      </c>
      <c r="Q3079" s="3" t="n">
        <v>39106.77</v>
      </c>
      <c r="R3079" s="3" t="n">
        <v>0.3815</v>
      </c>
      <c r="S3079" s="3" t="n">
        <v>0.0908</v>
      </c>
      <c r="T3079" s="3" t="n">
        <v>0.0199</v>
      </c>
    </row>
    <row r="3080" customFormat="false" ht="15" hidden="false" customHeight="true" outlineLevel="0" collapsed="false">
      <c r="A3080" s="3" t="s">
        <v>4190</v>
      </c>
      <c r="B3080" s="3" t="s">
        <v>225</v>
      </c>
      <c r="C3080" s="3" t="s">
        <v>93</v>
      </c>
      <c r="D3080" s="3" t="s">
        <v>32</v>
      </c>
      <c r="E3080" s="3" t="s">
        <v>33</v>
      </c>
      <c r="F3080" s="3" t="s">
        <v>25</v>
      </c>
      <c r="G3080" s="3" t="s">
        <v>34</v>
      </c>
      <c r="H3080" s="3" t="s">
        <v>42</v>
      </c>
      <c r="I3080" s="3" t="s">
        <v>43</v>
      </c>
      <c r="J3080" s="3" t="n">
        <v>35</v>
      </c>
      <c r="K3080" s="3" t="n">
        <v>3564.85</v>
      </c>
      <c r="L3080" s="3" t="n">
        <v>124769.75</v>
      </c>
      <c r="M3080" s="3" t="n">
        <v>0.1314</v>
      </c>
      <c r="N3080" s="3" t="n">
        <v>16394.75</v>
      </c>
      <c r="O3080" s="3" t="n">
        <v>108375</v>
      </c>
      <c r="P3080" s="3" t="n">
        <v>68623.36</v>
      </c>
      <c r="Q3080" s="3" t="n">
        <v>39751.64</v>
      </c>
      <c r="R3080" s="3" t="n">
        <v>0.3668</v>
      </c>
      <c r="S3080" s="3" t="n">
        <v>0.1393</v>
      </c>
      <c r="T3080" s="3" t="n">
        <v>-0.0079</v>
      </c>
    </row>
    <row r="3081" customFormat="false" ht="15" hidden="false" customHeight="true" outlineLevel="0" collapsed="false">
      <c r="A3081" s="3" t="s">
        <v>4191</v>
      </c>
      <c r="B3081" s="3" t="s">
        <v>2510</v>
      </c>
      <c r="C3081" s="3" t="s">
        <v>53</v>
      </c>
      <c r="D3081" s="3" t="s">
        <v>69</v>
      </c>
      <c r="E3081" s="3" t="s">
        <v>39</v>
      </c>
      <c r="F3081" s="3" t="s">
        <v>70</v>
      </c>
      <c r="G3081" s="3" t="s">
        <v>116</v>
      </c>
      <c r="H3081" s="3" t="s">
        <v>56</v>
      </c>
      <c r="I3081" s="3" t="s">
        <v>121</v>
      </c>
      <c r="J3081" s="3" t="n">
        <v>47</v>
      </c>
      <c r="K3081" s="3" t="n">
        <v>6053.29</v>
      </c>
      <c r="L3081" s="3" t="n">
        <v>284504.63</v>
      </c>
      <c r="M3081" s="3" t="n">
        <v>0.1006</v>
      </c>
      <c r="N3081" s="3" t="n">
        <v>28621.17</v>
      </c>
      <c r="O3081" s="3" t="n">
        <v>255883.46</v>
      </c>
      <c r="P3081" s="3" t="n">
        <v>170702.78</v>
      </c>
      <c r="Q3081" s="3" t="n">
        <v>85180.68</v>
      </c>
      <c r="R3081" s="3" t="n">
        <v>0.3329</v>
      </c>
      <c r="S3081" s="3" t="n">
        <v>0.0942</v>
      </c>
      <c r="T3081" s="3" t="n">
        <v>0.0064</v>
      </c>
    </row>
    <row r="3082" customFormat="false" ht="15" hidden="false" customHeight="true" outlineLevel="0" collapsed="false">
      <c r="A3082" s="3" t="s">
        <v>4192</v>
      </c>
      <c r="B3082" s="3" t="s">
        <v>2938</v>
      </c>
      <c r="C3082" s="3" t="s">
        <v>60</v>
      </c>
      <c r="D3082" s="3" t="s">
        <v>54</v>
      </c>
      <c r="E3082" s="3" t="s">
        <v>24</v>
      </c>
      <c r="F3082" s="3" t="s">
        <v>40</v>
      </c>
      <c r="G3082" s="3" t="s">
        <v>34</v>
      </c>
      <c r="H3082" s="3" t="s">
        <v>64</v>
      </c>
      <c r="I3082" s="3" t="s">
        <v>65</v>
      </c>
      <c r="J3082" s="3" t="n">
        <v>17</v>
      </c>
      <c r="K3082" s="3" t="n">
        <v>5945.83</v>
      </c>
      <c r="L3082" s="3" t="n">
        <v>101079.11</v>
      </c>
      <c r="M3082" s="3" t="n">
        <v>0.0648</v>
      </c>
      <c r="N3082" s="3" t="n">
        <v>6549.93</v>
      </c>
      <c r="O3082" s="3" t="n">
        <v>94529.18</v>
      </c>
      <c r="P3082" s="3" t="n">
        <v>58625.88</v>
      </c>
      <c r="Q3082" s="3" t="n">
        <v>35903.3</v>
      </c>
      <c r="R3082" s="3" t="n">
        <v>0.3798</v>
      </c>
      <c r="S3082" s="3" t="n">
        <v>0.0696</v>
      </c>
      <c r="T3082" s="3" t="n">
        <v>-0.0048</v>
      </c>
    </row>
    <row r="3083" customFormat="false" ht="15" hidden="false" customHeight="true" outlineLevel="0" collapsed="false">
      <c r="A3083" s="3" t="s">
        <v>4193</v>
      </c>
      <c r="B3083" s="3" t="s">
        <v>160</v>
      </c>
      <c r="C3083" s="3" t="s">
        <v>31</v>
      </c>
      <c r="D3083" s="3" t="s">
        <v>69</v>
      </c>
      <c r="E3083" s="3" t="s">
        <v>39</v>
      </c>
      <c r="F3083" s="3" t="s">
        <v>70</v>
      </c>
      <c r="G3083" s="3" t="s">
        <v>71</v>
      </c>
      <c r="H3083" s="3" t="s">
        <v>56</v>
      </c>
      <c r="I3083" s="3" t="s">
        <v>57</v>
      </c>
      <c r="J3083" s="3" t="n">
        <v>23</v>
      </c>
      <c r="K3083" s="3" t="n">
        <v>5610.57</v>
      </c>
      <c r="L3083" s="3" t="n">
        <v>129043.11</v>
      </c>
      <c r="M3083" s="3" t="n">
        <v>0.0796</v>
      </c>
      <c r="N3083" s="3" t="n">
        <v>10271.83</v>
      </c>
      <c r="O3083" s="3" t="n">
        <v>118771.28</v>
      </c>
      <c r="P3083" s="3" t="n">
        <v>77425.87</v>
      </c>
      <c r="Q3083" s="3" t="n">
        <v>41345.41</v>
      </c>
      <c r="R3083" s="3" t="n">
        <v>0.3481</v>
      </c>
      <c r="S3083" s="3" t="n">
        <v>0.0736</v>
      </c>
      <c r="T3083" s="3" t="n">
        <v>0.006</v>
      </c>
    </row>
    <row r="3084" customFormat="false" ht="15" hidden="false" customHeight="true" outlineLevel="0" collapsed="false">
      <c r="A3084" s="3" t="s">
        <v>4194</v>
      </c>
      <c r="B3084" s="3" t="s">
        <v>786</v>
      </c>
      <c r="C3084" s="3" t="s">
        <v>113</v>
      </c>
      <c r="D3084" s="3" t="s">
        <v>83</v>
      </c>
      <c r="E3084" s="3" t="s">
        <v>48</v>
      </c>
      <c r="F3084" s="3" t="s">
        <v>62</v>
      </c>
      <c r="G3084" s="3" t="s">
        <v>116</v>
      </c>
      <c r="H3084" s="3" t="s">
        <v>77</v>
      </c>
      <c r="I3084" s="3" t="s">
        <v>78</v>
      </c>
      <c r="J3084" s="3" t="n">
        <v>14</v>
      </c>
      <c r="K3084" s="3" t="n">
        <v>2178.18</v>
      </c>
      <c r="L3084" s="3" t="n">
        <v>30494.52</v>
      </c>
      <c r="M3084" s="3" t="n">
        <v>0.099</v>
      </c>
      <c r="N3084" s="3" t="n">
        <v>3018.96</v>
      </c>
      <c r="O3084" s="3" t="n">
        <v>27475.56</v>
      </c>
      <c r="P3084" s="3" t="n">
        <v>20736.27</v>
      </c>
      <c r="Q3084" s="3" t="n">
        <v>6739.29</v>
      </c>
      <c r="R3084" s="3" t="n">
        <v>0.2453</v>
      </c>
      <c r="S3084" s="3" t="n">
        <v>0.0794</v>
      </c>
      <c r="T3084" s="3" t="n">
        <v>0.0196</v>
      </c>
    </row>
    <row r="3085" customFormat="false" ht="15" hidden="false" customHeight="true" outlineLevel="0" collapsed="false">
      <c r="A3085" s="3" t="s">
        <v>4195</v>
      </c>
      <c r="B3085" s="3" t="s">
        <v>3216</v>
      </c>
      <c r="C3085" s="3" t="s">
        <v>22</v>
      </c>
      <c r="D3085" s="3" t="s">
        <v>103</v>
      </c>
      <c r="E3085" s="3" t="s">
        <v>24</v>
      </c>
      <c r="F3085" s="3" t="s">
        <v>62</v>
      </c>
      <c r="G3085" s="3" t="s">
        <v>34</v>
      </c>
      <c r="H3085" s="3" t="s">
        <v>56</v>
      </c>
      <c r="I3085" s="3" t="s">
        <v>57</v>
      </c>
      <c r="J3085" s="3" t="n">
        <v>27</v>
      </c>
      <c r="K3085" s="3" t="n">
        <v>6280.57</v>
      </c>
      <c r="L3085" s="3" t="n">
        <v>169575.39</v>
      </c>
      <c r="M3085" s="3" t="n">
        <v>0.11</v>
      </c>
      <c r="N3085" s="3" t="n">
        <v>18653.29</v>
      </c>
      <c r="O3085" s="3" t="n">
        <v>150922.1</v>
      </c>
      <c r="P3085" s="3" t="n">
        <v>101745.23</v>
      </c>
      <c r="Q3085" s="3" t="n">
        <v>49176.87</v>
      </c>
      <c r="R3085" s="3" t="n">
        <v>0.3258</v>
      </c>
      <c r="S3085" s="3" t="n">
        <v>0.0995</v>
      </c>
      <c r="T3085" s="3" t="n">
        <v>0.0105</v>
      </c>
    </row>
    <row r="3086" customFormat="false" ht="15" hidden="false" customHeight="true" outlineLevel="0" collapsed="false">
      <c r="A3086" s="3" t="s">
        <v>4196</v>
      </c>
      <c r="B3086" s="3" t="s">
        <v>2865</v>
      </c>
      <c r="C3086" s="3" t="s">
        <v>37</v>
      </c>
      <c r="D3086" s="3" t="s">
        <v>38</v>
      </c>
      <c r="E3086" s="3" t="s">
        <v>39</v>
      </c>
      <c r="F3086" s="3" t="s">
        <v>40</v>
      </c>
      <c r="G3086" s="3" t="s">
        <v>49</v>
      </c>
      <c r="H3086" s="3" t="s">
        <v>56</v>
      </c>
      <c r="I3086" s="3" t="s">
        <v>121</v>
      </c>
      <c r="J3086" s="3" t="n">
        <v>45</v>
      </c>
      <c r="K3086" s="3" t="n">
        <v>12203.13</v>
      </c>
      <c r="L3086" s="3" t="n">
        <v>549140.85</v>
      </c>
      <c r="M3086" s="3" t="n">
        <v>0.0359</v>
      </c>
      <c r="N3086" s="3" t="n">
        <v>19714.16</v>
      </c>
      <c r="O3086" s="3" t="n">
        <v>529426.69</v>
      </c>
      <c r="P3086" s="3" t="n">
        <v>329484.51</v>
      </c>
      <c r="Q3086" s="3" t="n">
        <v>199942.18</v>
      </c>
      <c r="R3086" s="3" t="n">
        <v>0.3777</v>
      </c>
      <c r="S3086" s="3" t="n">
        <v>0.0325</v>
      </c>
      <c r="T3086" s="3" t="n">
        <v>0.0034</v>
      </c>
    </row>
    <row r="3087" customFormat="false" ht="15" hidden="false" customHeight="true" outlineLevel="0" collapsed="false">
      <c r="A3087" s="3" t="s">
        <v>4197</v>
      </c>
      <c r="B3087" s="3" t="s">
        <v>4198</v>
      </c>
      <c r="C3087" s="3" t="s">
        <v>22</v>
      </c>
      <c r="D3087" s="3" t="s">
        <v>38</v>
      </c>
      <c r="E3087" s="3" t="s">
        <v>39</v>
      </c>
      <c r="F3087" s="3" t="s">
        <v>40</v>
      </c>
      <c r="G3087" s="3" t="s">
        <v>55</v>
      </c>
      <c r="H3087" s="3" t="s">
        <v>56</v>
      </c>
      <c r="I3087" s="3" t="s">
        <v>188</v>
      </c>
      <c r="J3087" s="3" t="n">
        <v>46</v>
      </c>
      <c r="K3087" s="3" t="n">
        <v>10360.23</v>
      </c>
      <c r="L3087" s="3" t="n">
        <v>476570.58</v>
      </c>
      <c r="M3087" s="3" t="n">
        <v>0.0743</v>
      </c>
      <c r="N3087" s="3" t="n">
        <v>35409.19</v>
      </c>
      <c r="O3087" s="3" t="n">
        <v>441161.39</v>
      </c>
      <c r="P3087" s="3" t="n">
        <v>285942.35</v>
      </c>
      <c r="Q3087" s="3" t="n">
        <v>155219.04</v>
      </c>
      <c r="R3087" s="3" t="n">
        <v>0.3518</v>
      </c>
      <c r="S3087" s="3" t="n">
        <v>0.0799</v>
      </c>
      <c r="T3087" s="3" t="n">
        <v>-0.0056</v>
      </c>
    </row>
    <row r="3088" customFormat="false" ht="15" hidden="false" customHeight="true" outlineLevel="0" collapsed="false">
      <c r="A3088" s="3" t="s">
        <v>4199</v>
      </c>
      <c r="B3088" s="3" t="s">
        <v>2156</v>
      </c>
      <c r="C3088" s="3" t="s">
        <v>37</v>
      </c>
      <c r="D3088" s="3" t="s">
        <v>107</v>
      </c>
      <c r="E3088" s="3" t="s">
        <v>33</v>
      </c>
      <c r="F3088" s="3" t="s">
        <v>70</v>
      </c>
      <c r="G3088" s="3" t="s">
        <v>49</v>
      </c>
      <c r="H3088" s="3" t="s">
        <v>77</v>
      </c>
      <c r="I3088" s="3" t="s">
        <v>78</v>
      </c>
      <c r="J3088" s="3" t="n">
        <v>8</v>
      </c>
      <c r="K3088" s="3" t="n">
        <v>5076.73</v>
      </c>
      <c r="L3088" s="3" t="n">
        <v>40613.84</v>
      </c>
      <c r="M3088" s="3" t="n">
        <v>0.0488</v>
      </c>
      <c r="N3088" s="3" t="n">
        <v>1981.96</v>
      </c>
      <c r="O3088" s="3" t="n">
        <v>38631.88</v>
      </c>
      <c r="P3088" s="3" t="n">
        <v>27617.41</v>
      </c>
      <c r="Q3088" s="3" t="n">
        <v>11014.47</v>
      </c>
      <c r="R3088" s="3" t="n">
        <v>0.2851</v>
      </c>
      <c r="S3088" s="3" t="n">
        <v>0.0502</v>
      </c>
      <c r="T3088" s="3" t="n">
        <v>-0.0014</v>
      </c>
    </row>
    <row r="3089" customFormat="false" ht="15" hidden="false" customHeight="true" outlineLevel="0" collapsed="false">
      <c r="A3089" s="3" t="s">
        <v>4200</v>
      </c>
      <c r="B3089" s="3" t="s">
        <v>380</v>
      </c>
      <c r="C3089" s="3" t="s">
        <v>156</v>
      </c>
      <c r="D3089" s="3" t="s">
        <v>75</v>
      </c>
      <c r="E3089" s="3" t="s">
        <v>39</v>
      </c>
      <c r="F3089" s="3" t="s">
        <v>25</v>
      </c>
      <c r="G3089" s="3" t="s">
        <v>116</v>
      </c>
      <c r="H3089" s="3" t="s">
        <v>64</v>
      </c>
      <c r="I3089" s="3" t="s">
        <v>108</v>
      </c>
      <c r="J3089" s="3" t="n">
        <v>20</v>
      </c>
      <c r="K3089" s="3" t="n">
        <v>8288.37</v>
      </c>
      <c r="L3089" s="3" t="n">
        <v>165767.4</v>
      </c>
      <c r="M3089" s="3" t="n">
        <v>0.1967</v>
      </c>
      <c r="N3089" s="3" t="n">
        <v>32606.45</v>
      </c>
      <c r="O3089" s="3" t="n">
        <v>133160.95</v>
      </c>
      <c r="P3089" s="3" t="n">
        <v>96145.09</v>
      </c>
      <c r="Q3089" s="3" t="n">
        <v>37015.86</v>
      </c>
      <c r="R3089" s="3" t="n">
        <v>0.278</v>
      </c>
      <c r="S3089" s="3" t="n">
        <v>0.2005</v>
      </c>
      <c r="T3089" s="3" t="n">
        <v>-0.0038</v>
      </c>
    </row>
    <row r="3090" customFormat="false" ht="15" hidden="false" customHeight="true" outlineLevel="0" collapsed="false">
      <c r="A3090" s="3" t="s">
        <v>4201</v>
      </c>
      <c r="B3090" s="3" t="s">
        <v>492</v>
      </c>
      <c r="C3090" s="3" t="s">
        <v>60</v>
      </c>
      <c r="D3090" s="3" t="s">
        <v>69</v>
      </c>
      <c r="E3090" s="3" t="s">
        <v>39</v>
      </c>
      <c r="F3090" s="3" t="s">
        <v>70</v>
      </c>
      <c r="G3090" s="3" t="s">
        <v>76</v>
      </c>
      <c r="H3090" s="3" t="s">
        <v>56</v>
      </c>
      <c r="I3090" s="3" t="s">
        <v>188</v>
      </c>
      <c r="J3090" s="3" t="n">
        <v>13</v>
      </c>
      <c r="K3090" s="3" t="n">
        <v>15858.38</v>
      </c>
      <c r="L3090" s="3" t="n">
        <v>206158.94</v>
      </c>
      <c r="M3090" s="3" t="n">
        <v>0.043</v>
      </c>
      <c r="N3090" s="3" t="n">
        <v>8864.83</v>
      </c>
      <c r="O3090" s="3" t="n">
        <v>197294.11</v>
      </c>
      <c r="P3090" s="3" t="n">
        <v>123695.36</v>
      </c>
      <c r="Q3090" s="3" t="n">
        <v>73598.75</v>
      </c>
      <c r="R3090" s="3" t="n">
        <v>0.373</v>
      </c>
      <c r="S3090" s="3" t="n">
        <v>0.0384</v>
      </c>
      <c r="T3090" s="3" t="n">
        <v>0.0046</v>
      </c>
    </row>
    <row r="3091" customFormat="false" ht="15" hidden="false" customHeight="true" outlineLevel="0" collapsed="false">
      <c r="A3091" s="3" t="s">
        <v>4202</v>
      </c>
      <c r="B3091" s="3" t="s">
        <v>965</v>
      </c>
      <c r="C3091" s="3" t="s">
        <v>22</v>
      </c>
      <c r="D3091" s="3" t="s">
        <v>75</v>
      </c>
      <c r="E3091" s="3" t="s">
        <v>39</v>
      </c>
      <c r="F3091" s="3" t="s">
        <v>25</v>
      </c>
      <c r="G3091" s="3" t="s">
        <v>49</v>
      </c>
      <c r="H3091" s="3" t="s">
        <v>27</v>
      </c>
      <c r="I3091" s="3" t="s">
        <v>94</v>
      </c>
      <c r="J3091" s="3" t="n">
        <v>48</v>
      </c>
      <c r="K3091" s="3" t="n">
        <v>26375.47</v>
      </c>
      <c r="L3091" s="3" t="n">
        <v>1266022.56</v>
      </c>
      <c r="M3091" s="3" t="n">
        <v>0.1903</v>
      </c>
      <c r="N3091" s="3" t="n">
        <v>240924.09</v>
      </c>
      <c r="O3091" s="3" t="n">
        <v>1025098.47</v>
      </c>
      <c r="P3091" s="3" t="n">
        <v>784933.99</v>
      </c>
      <c r="Q3091" s="3" t="n">
        <v>240164.48</v>
      </c>
      <c r="R3091" s="3" t="n">
        <v>0.2343</v>
      </c>
      <c r="S3091" s="3" t="n">
        <v>0.2002</v>
      </c>
      <c r="T3091" s="3" t="n">
        <v>-0.0099</v>
      </c>
    </row>
    <row r="3092" customFormat="false" ht="15" hidden="false" customHeight="true" outlineLevel="0" collapsed="false">
      <c r="A3092" s="3" t="s">
        <v>4203</v>
      </c>
      <c r="B3092" s="3" t="s">
        <v>3486</v>
      </c>
      <c r="C3092" s="3" t="s">
        <v>120</v>
      </c>
      <c r="D3092" s="3" t="s">
        <v>97</v>
      </c>
      <c r="E3092" s="3" t="s">
        <v>48</v>
      </c>
      <c r="F3092" s="3" t="s">
        <v>40</v>
      </c>
      <c r="G3092" s="3" t="s">
        <v>116</v>
      </c>
      <c r="H3092" s="3" t="s">
        <v>27</v>
      </c>
      <c r="I3092" s="3" t="s">
        <v>117</v>
      </c>
      <c r="J3092" s="3" t="n">
        <v>10</v>
      </c>
      <c r="K3092" s="3" t="n">
        <v>24480.33</v>
      </c>
      <c r="L3092" s="3" t="n">
        <v>244803.3</v>
      </c>
      <c r="M3092" s="3" t="n">
        <v>0.0813</v>
      </c>
      <c r="N3092" s="3" t="n">
        <v>19902.51</v>
      </c>
      <c r="O3092" s="3" t="n">
        <v>224900.79</v>
      </c>
      <c r="P3092" s="3" t="n">
        <v>151778.05</v>
      </c>
      <c r="Q3092" s="3" t="n">
        <v>73122.74</v>
      </c>
      <c r="R3092" s="3" t="n">
        <v>0.3251</v>
      </c>
      <c r="S3092" s="3" t="n">
        <v>0.0892</v>
      </c>
      <c r="T3092" s="3" t="n">
        <v>-0.0079</v>
      </c>
    </row>
    <row r="3093" customFormat="false" ht="15" hidden="false" customHeight="true" outlineLevel="0" collapsed="false">
      <c r="A3093" s="3" t="s">
        <v>4204</v>
      </c>
      <c r="B3093" s="3" t="s">
        <v>2035</v>
      </c>
      <c r="C3093" s="3" t="s">
        <v>113</v>
      </c>
      <c r="D3093" s="3" t="s">
        <v>54</v>
      </c>
      <c r="E3093" s="3" t="s">
        <v>24</v>
      </c>
      <c r="F3093" s="3" t="s">
        <v>40</v>
      </c>
      <c r="G3093" s="3" t="s">
        <v>34</v>
      </c>
      <c r="H3093" s="3" t="s">
        <v>77</v>
      </c>
      <c r="I3093" s="3" t="s">
        <v>131</v>
      </c>
      <c r="J3093" s="3" t="n">
        <v>22</v>
      </c>
      <c r="K3093" s="3" t="n">
        <v>2397.4</v>
      </c>
      <c r="L3093" s="3" t="n">
        <v>52742.8</v>
      </c>
      <c r="M3093" s="3" t="n">
        <v>0.1084</v>
      </c>
      <c r="N3093" s="3" t="n">
        <v>5717.32</v>
      </c>
      <c r="O3093" s="3" t="n">
        <v>47025.48</v>
      </c>
      <c r="P3093" s="3" t="n">
        <v>35865.1</v>
      </c>
      <c r="Q3093" s="3" t="n">
        <v>11160.38</v>
      </c>
      <c r="R3093" s="3" t="n">
        <v>0.2373</v>
      </c>
      <c r="S3093" s="3" t="n">
        <v>0.1143</v>
      </c>
      <c r="T3093" s="3" t="n">
        <v>-0.0059</v>
      </c>
    </row>
    <row r="3094" customFormat="false" ht="15" hidden="false" customHeight="true" outlineLevel="0" collapsed="false">
      <c r="A3094" s="3" t="s">
        <v>4205</v>
      </c>
      <c r="B3094" s="3" t="s">
        <v>1304</v>
      </c>
      <c r="C3094" s="3" t="s">
        <v>68</v>
      </c>
      <c r="D3094" s="3" t="s">
        <v>61</v>
      </c>
      <c r="E3094" s="3" t="s">
        <v>33</v>
      </c>
      <c r="F3094" s="3" t="s">
        <v>62</v>
      </c>
      <c r="G3094" s="3" t="s">
        <v>104</v>
      </c>
      <c r="H3094" s="3" t="s">
        <v>42</v>
      </c>
      <c r="I3094" s="3" t="s">
        <v>43</v>
      </c>
      <c r="J3094" s="3" t="n">
        <v>20</v>
      </c>
      <c r="K3094" s="3" t="n">
        <v>1164.33</v>
      </c>
      <c r="L3094" s="3" t="n">
        <v>23286.6</v>
      </c>
      <c r="M3094" s="3" t="n">
        <v>0.0828</v>
      </c>
      <c r="N3094" s="3" t="n">
        <v>1928.13</v>
      </c>
      <c r="O3094" s="3" t="n">
        <v>21358.47</v>
      </c>
      <c r="P3094" s="3" t="n">
        <v>12807.63</v>
      </c>
      <c r="Q3094" s="3" t="n">
        <v>8550.84</v>
      </c>
      <c r="R3094" s="3" t="n">
        <v>0.4003</v>
      </c>
      <c r="S3094" s="3" t="n">
        <v>0.0685</v>
      </c>
      <c r="T3094" s="3" t="n">
        <v>0.0143</v>
      </c>
    </row>
    <row r="3095" customFormat="false" ht="15" hidden="false" customHeight="true" outlineLevel="0" collapsed="false">
      <c r="A3095" s="3" t="s">
        <v>4206</v>
      </c>
      <c r="B3095" s="3" t="s">
        <v>454</v>
      </c>
      <c r="C3095" s="3" t="s">
        <v>126</v>
      </c>
      <c r="D3095" s="3" t="s">
        <v>97</v>
      </c>
      <c r="E3095" s="3" t="s">
        <v>48</v>
      </c>
      <c r="F3095" s="3" t="s">
        <v>40</v>
      </c>
      <c r="G3095" s="3" t="s">
        <v>55</v>
      </c>
      <c r="H3095" s="3" t="s">
        <v>27</v>
      </c>
      <c r="I3095" s="3" t="s">
        <v>28</v>
      </c>
      <c r="J3095" s="3" t="n">
        <v>48</v>
      </c>
      <c r="K3095" s="3" t="n">
        <v>39994.13</v>
      </c>
      <c r="L3095" s="3" t="n">
        <v>1919718.24</v>
      </c>
      <c r="M3095" s="3" t="n">
        <v>0.0504</v>
      </c>
      <c r="N3095" s="3" t="n">
        <v>96753.8</v>
      </c>
      <c r="O3095" s="3" t="n">
        <v>1822964.44</v>
      </c>
      <c r="P3095" s="3" t="n">
        <v>1190225.31</v>
      </c>
      <c r="Q3095" s="3" t="n">
        <v>632739.13</v>
      </c>
      <c r="R3095" s="3" t="n">
        <v>0.3471</v>
      </c>
      <c r="S3095" s="3" t="n">
        <v>0.0503</v>
      </c>
      <c r="T3095" s="3" t="n">
        <v>0.0001</v>
      </c>
    </row>
    <row r="3096" customFormat="false" ht="15" hidden="false" customHeight="true" outlineLevel="0" collapsed="false">
      <c r="A3096" s="3" t="s">
        <v>4207</v>
      </c>
      <c r="B3096" s="3" t="s">
        <v>1426</v>
      </c>
      <c r="C3096" s="3" t="s">
        <v>126</v>
      </c>
      <c r="D3096" s="3" t="s">
        <v>103</v>
      </c>
      <c r="E3096" s="3" t="s">
        <v>24</v>
      </c>
      <c r="F3096" s="3" t="s">
        <v>62</v>
      </c>
      <c r="G3096" s="3" t="s">
        <v>63</v>
      </c>
      <c r="H3096" s="3" t="s">
        <v>42</v>
      </c>
      <c r="I3096" s="3" t="s">
        <v>134</v>
      </c>
      <c r="J3096" s="3" t="n">
        <v>46</v>
      </c>
      <c r="K3096" s="3" t="n">
        <v>3094.98</v>
      </c>
      <c r="L3096" s="3" t="n">
        <v>142369.08</v>
      </c>
      <c r="M3096" s="3" t="n">
        <v>0.0516</v>
      </c>
      <c r="N3096" s="3" t="n">
        <v>7346.24</v>
      </c>
      <c r="O3096" s="3" t="n">
        <v>135022.84</v>
      </c>
      <c r="P3096" s="3" t="n">
        <v>78302.99</v>
      </c>
      <c r="Q3096" s="3" t="n">
        <v>56719.85</v>
      </c>
      <c r="R3096" s="3" t="n">
        <v>0.4201</v>
      </c>
      <c r="S3096" s="3" t="n">
        <v>0.0463</v>
      </c>
      <c r="T3096" s="3" t="n">
        <v>0.0053</v>
      </c>
    </row>
    <row r="3097" customFormat="false" ht="15" hidden="false" customHeight="true" outlineLevel="0" collapsed="false">
      <c r="A3097" s="3" t="s">
        <v>4208</v>
      </c>
      <c r="B3097" s="3" t="s">
        <v>4209</v>
      </c>
      <c r="C3097" s="3" t="s">
        <v>60</v>
      </c>
      <c r="D3097" s="3" t="s">
        <v>54</v>
      </c>
      <c r="E3097" s="3" t="s">
        <v>24</v>
      </c>
      <c r="F3097" s="3" t="s">
        <v>40</v>
      </c>
      <c r="G3097" s="3" t="s">
        <v>26</v>
      </c>
      <c r="H3097" s="3" t="s">
        <v>27</v>
      </c>
      <c r="I3097" s="3" t="s">
        <v>94</v>
      </c>
      <c r="J3097" s="3" t="n">
        <v>39</v>
      </c>
      <c r="K3097" s="3" t="n">
        <v>39160.11</v>
      </c>
      <c r="L3097" s="3" t="n">
        <v>1527244.29</v>
      </c>
      <c r="M3097" s="3" t="n">
        <v>0.0596</v>
      </c>
      <c r="N3097" s="3" t="n">
        <v>91023.76</v>
      </c>
      <c r="O3097" s="3" t="n">
        <v>1436220.53</v>
      </c>
      <c r="P3097" s="3" t="n">
        <v>946891.46</v>
      </c>
      <c r="Q3097" s="3" t="n">
        <v>489329.07</v>
      </c>
      <c r="R3097" s="3" t="n">
        <v>0.3407</v>
      </c>
      <c r="S3097" s="3" t="n">
        <v>0.0549</v>
      </c>
      <c r="T3097" s="3" t="n">
        <v>0.0047</v>
      </c>
    </row>
    <row r="3098" customFormat="false" ht="15" hidden="false" customHeight="true" outlineLevel="0" collapsed="false">
      <c r="A3098" s="3" t="s">
        <v>4210</v>
      </c>
      <c r="B3098" s="3" t="s">
        <v>663</v>
      </c>
      <c r="C3098" s="3" t="s">
        <v>22</v>
      </c>
      <c r="D3098" s="3" t="s">
        <v>38</v>
      </c>
      <c r="E3098" s="3" t="s">
        <v>39</v>
      </c>
      <c r="F3098" s="3" t="s">
        <v>40</v>
      </c>
      <c r="G3098" s="3" t="s">
        <v>49</v>
      </c>
      <c r="H3098" s="3" t="s">
        <v>56</v>
      </c>
      <c r="I3098" s="3" t="s">
        <v>57</v>
      </c>
      <c r="J3098" s="3" t="n">
        <v>27</v>
      </c>
      <c r="K3098" s="3" t="n">
        <v>4443.21</v>
      </c>
      <c r="L3098" s="3" t="n">
        <v>119966.67</v>
      </c>
      <c r="M3098" s="3" t="n">
        <v>0.0453</v>
      </c>
      <c r="N3098" s="3" t="n">
        <v>5434.49</v>
      </c>
      <c r="O3098" s="3" t="n">
        <v>114532.18</v>
      </c>
      <c r="P3098" s="3" t="n">
        <v>71980</v>
      </c>
      <c r="Q3098" s="3" t="n">
        <v>42552.18</v>
      </c>
      <c r="R3098" s="3" t="n">
        <v>0.3715</v>
      </c>
      <c r="S3098" s="3" t="n">
        <v>0.049</v>
      </c>
      <c r="T3098" s="3" t="n">
        <v>-0.0037</v>
      </c>
    </row>
    <row r="3099" customFormat="false" ht="15" hidden="false" customHeight="true" outlineLevel="0" collapsed="false">
      <c r="A3099" s="3" t="s">
        <v>4211</v>
      </c>
      <c r="B3099" s="3" t="s">
        <v>563</v>
      </c>
      <c r="C3099" s="3" t="s">
        <v>46</v>
      </c>
      <c r="D3099" s="3" t="s">
        <v>97</v>
      </c>
      <c r="E3099" s="3" t="s">
        <v>48</v>
      </c>
      <c r="F3099" s="3" t="s">
        <v>40</v>
      </c>
      <c r="G3099" s="3" t="s">
        <v>63</v>
      </c>
      <c r="H3099" s="3" t="s">
        <v>27</v>
      </c>
      <c r="I3099" s="3" t="s">
        <v>28</v>
      </c>
      <c r="J3099" s="3" t="n">
        <v>45</v>
      </c>
      <c r="K3099" s="3" t="n">
        <v>39094.37</v>
      </c>
      <c r="L3099" s="3" t="n">
        <v>1759246.65</v>
      </c>
      <c r="M3099" s="3" t="n">
        <v>0.0674</v>
      </c>
      <c r="N3099" s="3" t="n">
        <v>118573.22</v>
      </c>
      <c r="O3099" s="3" t="n">
        <v>1640673.43</v>
      </c>
      <c r="P3099" s="3" t="n">
        <v>1090732.92</v>
      </c>
      <c r="Q3099" s="3" t="n">
        <v>549940.51</v>
      </c>
      <c r="R3099" s="3" t="n">
        <v>0.3352</v>
      </c>
      <c r="S3099" s="3" t="n">
        <v>0.0679</v>
      </c>
      <c r="T3099" s="3" t="n">
        <v>-0.0005</v>
      </c>
    </row>
    <row r="3100" customFormat="false" ht="15" hidden="false" customHeight="true" outlineLevel="0" collapsed="false">
      <c r="A3100" s="3" t="s">
        <v>4212</v>
      </c>
      <c r="B3100" s="3" t="s">
        <v>1038</v>
      </c>
      <c r="C3100" s="3" t="s">
        <v>53</v>
      </c>
      <c r="D3100" s="3" t="s">
        <v>61</v>
      </c>
      <c r="E3100" s="3" t="s">
        <v>33</v>
      </c>
      <c r="F3100" s="3" t="s">
        <v>62</v>
      </c>
      <c r="G3100" s="3" t="s">
        <v>26</v>
      </c>
      <c r="H3100" s="3" t="s">
        <v>27</v>
      </c>
      <c r="I3100" s="3" t="s">
        <v>28</v>
      </c>
      <c r="J3100" s="3" t="n">
        <v>41</v>
      </c>
      <c r="K3100" s="3" t="n">
        <v>31254.73</v>
      </c>
      <c r="L3100" s="3" t="n">
        <v>1281443.93</v>
      </c>
      <c r="M3100" s="3" t="n">
        <v>0.0366</v>
      </c>
      <c r="N3100" s="3" t="n">
        <v>46900.85</v>
      </c>
      <c r="O3100" s="3" t="n">
        <v>1234543.08</v>
      </c>
      <c r="P3100" s="3" t="n">
        <v>794495.24</v>
      </c>
      <c r="Q3100" s="3" t="n">
        <v>440047.84</v>
      </c>
      <c r="R3100" s="3" t="n">
        <v>0.3564</v>
      </c>
      <c r="S3100" s="3" t="n">
        <v>0.0308</v>
      </c>
      <c r="T3100" s="3" t="n">
        <v>0.0058</v>
      </c>
    </row>
    <row r="3101" customFormat="false" ht="15" hidden="false" customHeight="true" outlineLevel="0" collapsed="false">
      <c r="A3101" s="3" t="s">
        <v>4213</v>
      </c>
      <c r="B3101" s="3" t="s">
        <v>3421</v>
      </c>
      <c r="C3101" s="3" t="s">
        <v>60</v>
      </c>
      <c r="D3101" s="3" t="s">
        <v>97</v>
      </c>
      <c r="E3101" s="3" t="s">
        <v>48</v>
      </c>
      <c r="F3101" s="3" t="s">
        <v>40</v>
      </c>
      <c r="G3101" s="3" t="s">
        <v>100</v>
      </c>
      <c r="H3101" s="3" t="s">
        <v>27</v>
      </c>
      <c r="I3101" s="3" t="s">
        <v>173</v>
      </c>
      <c r="J3101" s="3" t="n">
        <v>33</v>
      </c>
      <c r="K3101" s="3" t="n">
        <v>12524.65</v>
      </c>
      <c r="L3101" s="3" t="n">
        <v>413313.45</v>
      </c>
      <c r="M3101" s="3" t="n">
        <v>0.0763</v>
      </c>
      <c r="N3101" s="3" t="n">
        <v>31535.82</v>
      </c>
      <c r="O3101" s="3" t="n">
        <v>381777.63</v>
      </c>
      <c r="P3101" s="3" t="n">
        <v>256254.34</v>
      </c>
      <c r="Q3101" s="3" t="n">
        <v>125523.29</v>
      </c>
      <c r="R3101" s="3" t="n">
        <v>0.3288</v>
      </c>
      <c r="S3101" s="3" t="n">
        <v>0.0767</v>
      </c>
      <c r="T3101" s="3" t="n">
        <v>-0.0004</v>
      </c>
    </row>
    <row r="3102" customFormat="false" ht="15" hidden="false" customHeight="true" outlineLevel="0" collapsed="false">
      <c r="A3102" s="3" t="s">
        <v>4214</v>
      </c>
      <c r="B3102" s="3" t="s">
        <v>1078</v>
      </c>
      <c r="C3102" s="3" t="s">
        <v>46</v>
      </c>
      <c r="D3102" s="3" t="s">
        <v>23</v>
      </c>
      <c r="E3102" s="3" t="s">
        <v>24</v>
      </c>
      <c r="F3102" s="3" t="s">
        <v>25</v>
      </c>
      <c r="G3102" s="3" t="s">
        <v>71</v>
      </c>
      <c r="H3102" s="3" t="s">
        <v>77</v>
      </c>
      <c r="I3102" s="3" t="s">
        <v>78</v>
      </c>
      <c r="J3102" s="3" t="n">
        <v>42</v>
      </c>
      <c r="K3102" s="3" t="n">
        <v>3130.12</v>
      </c>
      <c r="L3102" s="3" t="n">
        <v>131465.04</v>
      </c>
      <c r="M3102" s="3" t="n">
        <v>0.176</v>
      </c>
      <c r="N3102" s="3" t="n">
        <v>23137.85</v>
      </c>
      <c r="O3102" s="3" t="n">
        <v>108327.19</v>
      </c>
      <c r="P3102" s="3" t="n">
        <v>89396.23</v>
      </c>
      <c r="Q3102" s="3" t="n">
        <v>18930.96</v>
      </c>
      <c r="R3102" s="3" t="n">
        <v>0.1748</v>
      </c>
      <c r="S3102" s="3" t="n">
        <v>0.1912</v>
      </c>
      <c r="T3102" s="3" t="n">
        <v>-0.0152</v>
      </c>
    </row>
    <row r="3103" customFormat="false" ht="15" hidden="false" customHeight="true" outlineLevel="0" collapsed="false">
      <c r="A3103" s="3" t="s">
        <v>4215</v>
      </c>
      <c r="B3103" s="3" t="s">
        <v>4216</v>
      </c>
      <c r="C3103" s="3" t="s">
        <v>156</v>
      </c>
      <c r="D3103" s="3" t="s">
        <v>32</v>
      </c>
      <c r="E3103" s="3" t="s">
        <v>33</v>
      </c>
      <c r="F3103" s="3" t="s">
        <v>25</v>
      </c>
      <c r="G3103" s="3" t="s">
        <v>71</v>
      </c>
      <c r="H3103" s="3" t="s">
        <v>56</v>
      </c>
      <c r="I3103" s="3" t="s">
        <v>188</v>
      </c>
      <c r="J3103" s="3" t="n">
        <v>37</v>
      </c>
      <c r="K3103" s="3" t="n">
        <v>6335.84</v>
      </c>
      <c r="L3103" s="3" t="n">
        <v>234426.08</v>
      </c>
      <c r="M3103" s="3" t="n">
        <v>0.1667</v>
      </c>
      <c r="N3103" s="3" t="n">
        <v>39078.83</v>
      </c>
      <c r="O3103" s="3" t="n">
        <v>195347.25</v>
      </c>
      <c r="P3103" s="3" t="n">
        <v>140655.65</v>
      </c>
      <c r="Q3103" s="3" t="n">
        <v>54691.6</v>
      </c>
      <c r="R3103" s="3" t="n">
        <v>0.28</v>
      </c>
      <c r="S3103" s="3" t="n">
        <v>0.1339</v>
      </c>
      <c r="T3103" s="3" t="n">
        <v>0.0328</v>
      </c>
    </row>
    <row r="3104" customFormat="false" ht="15" hidden="false" customHeight="true" outlineLevel="0" collapsed="false">
      <c r="A3104" s="3" t="s">
        <v>4217</v>
      </c>
      <c r="B3104" s="3" t="s">
        <v>738</v>
      </c>
      <c r="C3104" s="3" t="s">
        <v>37</v>
      </c>
      <c r="D3104" s="3" t="s">
        <v>38</v>
      </c>
      <c r="E3104" s="3" t="s">
        <v>39</v>
      </c>
      <c r="F3104" s="3" t="s">
        <v>40</v>
      </c>
      <c r="G3104" s="3" t="s">
        <v>71</v>
      </c>
      <c r="H3104" s="3" t="s">
        <v>64</v>
      </c>
      <c r="I3104" s="3" t="s">
        <v>108</v>
      </c>
      <c r="J3104" s="3" t="n">
        <v>41</v>
      </c>
      <c r="K3104" s="3" t="n">
        <v>10196.88</v>
      </c>
      <c r="L3104" s="3" t="n">
        <v>418072.08</v>
      </c>
      <c r="M3104" s="3" t="n">
        <v>0.0761</v>
      </c>
      <c r="N3104" s="3" t="n">
        <v>31815.29</v>
      </c>
      <c r="O3104" s="3" t="n">
        <v>386256.79</v>
      </c>
      <c r="P3104" s="3" t="n">
        <v>242481.81</v>
      </c>
      <c r="Q3104" s="3" t="n">
        <v>143774.98</v>
      </c>
      <c r="R3104" s="3" t="n">
        <v>0.3722</v>
      </c>
      <c r="S3104" s="3" t="n">
        <v>0.0721</v>
      </c>
      <c r="T3104" s="3" t="n">
        <v>0.004</v>
      </c>
    </row>
    <row r="3105" customFormat="false" ht="15" hidden="false" customHeight="true" outlineLevel="0" collapsed="false">
      <c r="A3105" s="3" t="s">
        <v>4218</v>
      </c>
      <c r="B3105" s="3" t="s">
        <v>3510</v>
      </c>
      <c r="C3105" s="3" t="s">
        <v>93</v>
      </c>
      <c r="D3105" s="3" t="s">
        <v>75</v>
      </c>
      <c r="E3105" s="3" t="s">
        <v>39</v>
      </c>
      <c r="F3105" s="3" t="s">
        <v>25</v>
      </c>
      <c r="G3105" s="3" t="s">
        <v>84</v>
      </c>
      <c r="H3105" s="3" t="s">
        <v>56</v>
      </c>
      <c r="I3105" s="3" t="s">
        <v>121</v>
      </c>
      <c r="J3105" s="3" t="n">
        <v>13</v>
      </c>
      <c r="K3105" s="3" t="n">
        <v>2786.5</v>
      </c>
      <c r="L3105" s="3" t="n">
        <v>36224.5</v>
      </c>
      <c r="M3105" s="3" t="n">
        <v>0.0803</v>
      </c>
      <c r="N3105" s="3" t="n">
        <v>2908.83</v>
      </c>
      <c r="O3105" s="3" t="n">
        <v>33315.67</v>
      </c>
      <c r="P3105" s="3" t="n">
        <v>21734.7</v>
      </c>
      <c r="Q3105" s="3" t="n">
        <v>11580.97</v>
      </c>
      <c r="R3105" s="3" t="n">
        <v>0.3476</v>
      </c>
      <c r="S3105" s="3" t="n">
        <v>0.0863</v>
      </c>
      <c r="T3105" s="3" t="n">
        <v>-0.006</v>
      </c>
    </row>
    <row r="3106" customFormat="false" ht="15" hidden="false" customHeight="true" outlineLevel="0" collapsed="false">
      <c r="A3106" s="3" t="s">
        <v>4219</v>
      </c>
      <c r="B3106" s="3" t="s">
        <v>2168</v>
      </c>
      <c r="C3106" s="3" t="s">
        <v>113</v>
      </c>
      <c r="D3106" s="3" t="s">
        <v>54</v>
      </c>
      <c r="E3106" s="3" t="s">
        <v>24</v>
      </c>
      <c r="F3106" s="3" t="s">
        <v>40</v>
      </c>
      <c r="G3106" s="3" t="s">
        <v>55</v>
      </c>
      <c r="H3106" s="3" t="s">
        <v>56</v>
      </c>
      <c r="I3106" s="3" t="s">
        <v>57</v>
      </c>
      <c r="J3106" s="3" t="n">
        <v>9</v>
      </c>
      <c r="K3106" s="3" t="n">
        <v>9893.53</v>
      </c>
      <c r="L3106" s="3" t="n">
        <v>89041.77</v>
      </c>
      <c r="M3106" s="3" t="n">
        <v>0.0427</v>
      </c>
      <c r="N3106" s="3" t="n">
        <v>3802.08</v>
      </c>
      <c r="O3106" s="3" t="n">
        <v>85239.69</v>
      </c>
      <c r="P3106" s="3" t="n">
        <v>53425.06</v>
      </c>
      <c r="Q3106" s="3" t="n">
        <v>31814.63</v>
      </c>
      <c r="R3106" s="3" t="n">
        <v>0.3732</v>
      </c>
      <c r="S3106" s="3" t="n">
        <v>0.0413</v>
      </c>
      <c r="T3106" s="3" t="n">
        <v>0.0014</v>
      </c>
    </row>
    <row r="3107" customFormat="false" ht="15" hidden="false" customHeight="true" outlineLevel="0" collapsed="false">
      <c r="A3107" s="3" t="s">
        <v>4220</v>
      </c>
      <c r="B3107" s="3" t="s">
        <v>811</v>
      </c>
      <c r="C3107" s="3" t="s">
        <v>37</v>
      </c>
      <c r="D3107" s="3" t="s">
        <v>61</v>
      </c>
      <c r="E3107" s="3" t="s">
        <v>33</v>
      </c>
      <c r="F3107" s="3" t="s">
        <v>62</v>
      </c>
      <c r="G3107" s="3" t="s">
        <v>116</v>
      </c>
      <c r="H3107" s="3" t="s">
        <v>64</v>
      </c>
      <c r="I3107" s="3" t="s">
        <v>145</v>
      </c>
      <c r="J3107" s="3" t="n">
        <v>12</v>
      </c>
      <c r="K3107" s="3" t="n">
        <v>5657.17</v>
      </c>
      <c r="L3107" s="3" t="n">
        <v>67886.04</v>
      </c>
      <c r="M3107" s="3" t="n">
        <v>0.1275</v>
      </c>
      <c r="N3107" s="3" t="n">
        <v>8655.47</v>
      </c>
      <c r="O3107" s="3" t="n">
        <v>59230.57</v>
      </c>
      <c r="P3107" s="3" t="n">
        <v>39373.9</v>
      </c>
      <c r="Q3107" s="3" t="n">
        <v>19856.67</v>
      </c>
      <c r="R3107" s="3" t="n">
        <v>0.3352</v>
      </c>
      <c r="S3107" s="3" t="n">
        <v>0.1279</v>
      </c>
      <c r="T3107" s="3" t="n">
        <v>-0.0004</v>
      </c>
    </row>
    <row r="3108" customFormat="false" ht="15" hidden="false" customHeight="true" outlineLevel="0" collapsed="false">
      <c r="A3108" s="3" t="s">
        <v>4221</v>
      </c>
      <c r="B3108" s="3" t="s">
        <v>486</v>
      </c>
      <c r="C3108" s="3" t="s">
        <v>46</v>
      </c>
      <c r="D3108" s="3" t="s">
        <v>107</v>
      </c>
      <c r="E3108" s="3" t="s">
        <v>33</v>
      </c>
      <c r="F3108" s="3" t="s">
        <v>70</v>
      </c>
      <c r="G3108" s="3" t="s">
        <v>71</v>
      </c>
      <c r="H3108" s="3" t="s">
        <v>27</v>
      </c>
      <c r="I3108" s="3" t="s">
        <v>117</v>
      </c>
      <c r="J3108" s="3" t="n">
        <v>26</v>
      </c>
      <c r="K3108" s="3" t="n">
        <v>38327.21</v>
      </c>
      <c r="L3108" s="3" t="n">
        <v>996507.46</v>
      </c>
      <c r="M3108" s="3" t="n">
        <v>0.0308</v>
      </c>
      <c r="N3108" s="3" t="n">
        <v>30692.43</v>
      </c>
      <c r="O3108" s="3" t="n">
        <v>965815.03</v>
      </c>
      <c r="P3108" s="3" t="n">
        <v>617834.63</v>
      </c>
      <c r="Q3108" s="3" t="n">
        <v>347980.4</v>
      </c>
      <c r="R3108" s="3" t="n">
        <v>0.3603</v>
      </c>
      <c r="S3108" s="3" t="n">
        <v>0.025</v>
      </c>
      <c r="T3108" s="3" t="n">
        <v>0.0058</v>
      </c>
    </row>
    <row r="3109" customFormat="false" ht="15" hidden="false" customHeight="true" outlineLevel="0" collapsed="false">
      <c r="A3109" s="3" t="s">
        <v>4222</v>
      </c>
      <c r="B3109" s="3" t="s">
        <v>521</v>
      </c>
      <c r="C3109" s="3" t="s">
        <v>93</v>
      </c>
      <c r="D3109" s="3" t="s">
        <v>107</v>
      </c>
      <c r="E3109" s="3" t="s">
        <v>33</v>
      </c>
      <c r="F3109" s="3" t="s">
        <v>70</v>
      </c>
      <c r="G3109" s="3" t="s">
        <v>41</v>
      </c>
      <c r="H3109" s="3" t="s">
        <v>27</v>
      </c>
      <c r="I3109" s="3" t="s">
        <v>117</v>
      </c>
      <c r="J3109" s="3" t="n">
        <v>27</v>
      </c>
      <c r="K3109" s="3" t="n">
        <v>16388.72</v>
      </c>
      <c r="L3109" s="3" t="n">
        <v>442495.44</v>
      </c>
      <c r="M3109" s="3" t="n">
        <v>0.123</v>
      </c>
      <c r="N3109" s="3" t="n">
        <v>54426.94</v>
      </c>
      <c r="O3109" s="3" t="n">
        <v>388068.5</v>
      </c>
      <c r="P3109" s="3" t="n">
        <v>274347.17</v>
      </c>
      <c r="Q3109" s="3" t="n">
        <v>113721.33</v>
      </c>
      <c r="R3109" s="3" t="n">
        <v>0.293</v>
      </c>
      <c r="S3109" s="3" t="n">
        <v>0.1082</v>
      </c>
      <c r="T3109" s="3" t="n">
        <v>0.0148</v>
      </c>
    </row>
    <row r="3110" customFormat="false" ht="15" hidden="false" customHeight="true" outlineLevel="0" collapsed="false">
      <c r="A3110" s="3" t="s">
        <v>4223</v>
      </c>
      <c r="B3110" s="3" t="s">
        <v>2665</v>
      </c>
      <c r="C3110" s="3" t="s">
        <v>68</v>
      </c>
      <c r="D3110" s="3" t="s">
        <v>47</v>
      </c>
      <c r="E3110" s="3" t="s">
        <v>48</v>
      </c>
      <c r="F3110" s="3" t="s">
        <v>25</v>
      </c>
      <c r="G3110" s="3" t="s">
        <v>104</v>
      </c>
      <c r="H3110" s="3" t="s">
        <v>56</v>
      </c>
      <c r="I3110" s="3" t="s">
        <v>57</v>
      </c>
      <c r="J3110" s="3" t="n">
        <v>2</v>
      </c>
      <c r="K3110" s="3" t="n">
        <v>13488.27</v>
      </c>
      <c r="L3110" s="3" t="n">
        <v>26976.54</v>
      </c>
      <c r="M3110" s="3" t="n">
        <v>0.1296</v>
      </c>
      <c r="N3110" s="3" t="n">
        <v>3496.16</v>
      </c>
      <c r="O3110" s="3" t="n">
        <v>23480.38</v>
      </c>
      <c r="P3110" s="3" t="n">
        <v>16185.92</v>
      </c>
      <c r="Q3110" s="3" t="n">
        <v>7294.46</v>
      </c>
      <c r="R3110" s="3" t="n">
        <v>0.3107</v>
      </c>
      <c r="S3110" s="3" t="n">
        <v>0.1166</v>
      </c>
      <c r="T3110" s="3" t="n">
        <v>0.013</v>
      </c>
    </row>
    <row r="3111" customFormat="false" ht="15" hidden="false" customHeight="true" outlineLevel="0" collapsed="false">
      <c r="A3111" s="3" t="s">
        <v>4224</v>
      </c>
      <c r="B3111" s="3" t="s">
        <v>3560</v>
      </c>
      <c r="C3111" s="3" t="s">
        <v>60</v>
      </c>
      <c r="D3111" s="3" t="s">
        <v>47</v>
      </c>
      <c r="E3111" s="3" t="s">
        <v>48</v>
      </c>
      <c r="F3111" s="3" t="s">
        <v>25</v>
      </c>
      <c r="G3111" s="3" t="s">
        <v>104</v>
      </c>
      <c r="H3111" s="3" t="s">
        <v>42</v>
      </c>
      <c r="I3111" s="3" t="s">
        <v>43</v>
      </c>
      <c r="J3111" s="3" t="n">
        <v>25</v>
      </c>
      <c r="K3111" s="3" t="n">
        <v>828.19</v>
      </c>
      <c r="L3111" s="3" t="n">
        <v>20704.75</v>
      </c>
      <c r="M3111" s="3" t="n">
        <v>0.191</v>
      </c>
      <c r="N3111" s="3" t="n">
        <v>3954.61</v>
      </c>
      <c r="O3111" s="3" t="n">
        <v>16750.14</v>
      </c>
      <c r="P3111" s="3" t="n">
        <v>11387.61</v>
      </c>
      <c r="Q3111" s="3" t="n">
        <v>5362.53</v>
      </c>
      <c r="R3111" s="3" t="n">
        <v>0.3201</v>
      </c>
      <c r="S3111" s="3" t="n">
        <v>0.1654</v>
      </c>
      <c r="T3111" s="3" t="n">
        <v>0.0256</v>
      </c>
    </row>
    <row r="3112" customFormat="false" ht="15" hidden="false" customHeight="true" outlineLevel="0" collapsed="false">
      <c r="A3112" s="3" t="s">
        <v>4225</v>
      </c>
      <c r="B3112" s="3" t="s">
        <v>285</v>
      </c>
      <c r="C3112" s="3" t="s">
        <v>46</v>
      </c>
      <c r="D3112" s="3" t="s">
        <v>107</v>
      </c>
      <c r="E3112" s="3" t="s">
        <v>33</v>
      </c>
      <c r="F3112" s="3" t="s">
        <v>70</v>
      </c>
      <c r="G3112" s="3" t="s">
        <v>100</v>
      </c>
      <c r="H3112" s="3" t="s">
        <v>77</v>
      </c>
      <c r="I3112" s="3" t="s">
        <v>85</v>
      </c>
      <c r="J3112" s="3" t="n">
        <v>29</v>
      </c>
      <c r="K3112" s="3" t="n">
        <v>5648.38</v>
      </c>
      <c r="L3112" s="3" t="n">
        <v>163803.02</v>
      </c>
      <c r="M3112" s="3" t="n">
        <v>0.0664</v>
      </c>
      <c r="N3112" s="3" t="n">
        <v>10876.52</v>
      </c>
      <c r="O3112" s="3" t="n">
        <v>152926.5</v>
      </c>
      <c r="P3112" s="3" t="n">
        <v>111386.05</v>
      </c>
      <c r="Q3112" s="3" t="n">
        <v>41540.45</v>
      </c>
      <c r="R3112" s="3" t="n">
        <v>0.2716</v>
      </c>
      <c r="S3112" s="3" t="n">
        <v>0.06</v>
      </c>
      <c r="T3112" s="3" t="n">
        <v>0.0064</v>
      </c>
    </row>
    <row r="3113" customFormat="false" ht="15" hidden="false" customHeight="true" outlineLevel="0" collapsed="false">
      <c r="A3113" s="3" t="s">
        <v>4226</v>
      </c>
      <c r="B3113" s="3" t="s">
        <v>2704</v>
      </c>
      <c r="C3113" s="3" t="s">
        <v>120</v>
      </c>
      <c r="D3113" s="3" t="s">
        <v>97</v>
      </c>
      <c r="E3113" s="3" t="s">
        <v>48</v>
      </c>
      <c r="F3113" s="3" t="s">
        <v>40</v>
      </c>
      <c r="G3113" s="3" t="s">
        <v>34</v>
      </c>
      <c r="H3113" s="3" t="s">
        <v>56</v>
      </c>
      <c r="I3113" s="3" t="s">
        <v>121</v>
      </c>
      <c r="J3113" s="3" t="n">
        <v>25</v>
      </c>
      <c r="K3113" s="3" t="n">
        <v>3185.1</v>
      </c>
      <c r="L3113" s="3" t="n">
        <v>79627.5</v>
      </c>
      <c r="M3113" s="3" t="n">
        <v>0.085</v>
      </c>
      <c r="N3113" s="3" t="n">
        <v>6768.34</v>
      </c>
      <c r="O3113" s="3" t="n">
        <v>72859.16</v>
      </c>
      <c r="P3113" s="3" t="n">
        <v>47776.5</v>
      </c>
      <c r="Q3113" s="3" t="n">
        <v>25082.66</v>
      </c>
      <c r="R3113" s="3" t="n">
        <v>0.3443</v>
      </c>
      <c r="S3113" s="3" t="n">
        <v>0.0906</v>
      </c>
      <c r="T3113" s="3" t="n">
        <v>-0.0056</v>
      </c>
    </row>
    <row r="3114" customFormat="false" ht="15" hidden="false" customHeight="true" outlineLevel="0" collapsed="false">
      <c r="A3114" s="3" t="s">
        <v>4227</v>
      </c>
      <c r="B3114" s="3" t="s">
        <v>475</v>
      </c>
      <c r="C3114" s="3" t="s">
        <v>126</v>
      </c>
      <c r="D3114" s="3" t="s">
        <v>75</v>
      </c>
      <c r="E3114" s="3" t="s">
        <v>39</v>
      </c>
      <c r="F3114" s="3" t="s">
        <v>25</v>
      </c>
      <c r="G3114" s="3" t="s">
        <v>116</v>
      </c>
      <c r="H3114" s="3" t="s">
        <v>56</v>
      </c>
      <c r="I3114" s="3" t="s">
        <v>188</v>
      </c>
      <c r="J3114" s="3" t="n">
        <v>47</v>
      </c>
      <c r="K3114" s="3" t="n">
        <v>17876.64</v>
      </c>
      <c r="L3114" s="3" t="n">
        <v>840202.08</v>
      </c>
      <c r="M3114" s="3" t="n">
        <v>0.1783</v>
      </c>
      <c r="N3114" s="3" t="n">
        <v>149808.03</v>
      </c>
      <c r="O3114" s="3" t="n">
        <v>690394.05</v>
      </c>
      <c r="P3114" s="3" t="n">
        <v>504121.25</v>
      </c>
      <c r="Q3114" s="3" t="n">
        <v>186272.8</v>
      </c>
      <c r="R3114" s="3" t="n">
        <v>0.2698</v>
      </c>
      <c r="S3114" s="3" t="n">
        <v>0.1684</v>
      </c>
      <c r="T3114" s="3" t="n">
        <v>0.0099</v>
      </c>
    </row>
    <row r="3115" customFormat="false" ht="15" hidden="false" customHeight="true" outlineLevel="0" collapsed="false">
      <c r="A3115" s="3" t="s">
        <v>4228</v>
      </c>
      <c r="B3115" s="3" t="s">
        <v>974</v>
      </c>
      <c r="C3115" s="3" t="s">
        <v>156</v>
      </c>
      <c r="D3115" s="3" t="s">
        <v>38</v>
      </c>
      <c r="E3115" s="3" t="s">
        <v>39</v>
      </c>
      <c r="F3115" s="3" t="s">
        <v>40</v>
      </c>
      <c r="G3115" s="3" t="s">
        <v>84</v>
      </c>
      <c r="H3115" s="3" t="s">
        <v>42</v>
      </c>
      <c r="I3115" s="3" t="s">
        <v>72</v>
      </c>
      <c r="J3115" s="3" t="n">
        <v>6</v>
      </c>
      <c r="K3115" s="3" t="n">
        <v>3658.93</v>
      </c>
      <c r="L3115" s="3" t="n">
        <v>21953.58</v>
      </c>
      <c r="M3115" s="3" t="n">
        <v>0.0677</v>
      </c>
      <c r="N3115" s="3" t="n">
        <v>1486.26</v>
      </c>
      <c r="O3115" s="3" t="n">
        <v>20467.32</v>
      </c>
      <c r="P3115" s="3" t="n">
        <v>12074.47</v>
      </c>
      <c r="Q3115" s="3" t="n">
        <v>8392.85</v>
      </c>
      <c r="R3115" s="3" t="n">
        <v>0.4101</v>
      </c>
      <c r="S3115" s="3" t="n">
        <v>0.0585</v>
      </c>
      <c r="T3115" s="3" t="n">
        <v>0.0092</v>
      </c>
    </row>
    <row r="3116" customFormat="false" ht="15" hidden="false" customHeight="true" outlineLevel="0" collapsed="false">
      <c r="A3116" s="3" t="s">
        <v>4229</v>
      </c>
      <c r="B3116" s="3" t="s">
        <v>876</v>
      </c>
      <c r="C3116" s="3" t="s">
        <v>37</v>
      </c>
      <c r="D3116" s="3" t="s">
        <v>32</v>
      </c>
      <c r="E3116" s="3" t="s">
        <v>33</v>
      </c>
      <c r="F3116" s="3" t="s">
        <v>25</v>
      </c>
      <c r="G3116" s="3" t="s">
        <v>116</v>
      </c>
      <c r="H3116" s="3" t="s">
        <v>64</v>
      </c>
      <c r="I3116" s="3" t="s">
        <v>145</v>
      </c>
      <c r="J3116" s="3" t="n">
        <v>47</v>
      </c>
      <c r="K3116" s="3" t="n">
        <v>9839.35</v>
      </c>
      <c r="L3116" s="3" t="n">
        <v>462449.45</v>
      </c>
      <c r="M3116" s="3" t="n">
        <v>0.2059</v>
      </c>
      <c r="N3116" s="3" t="n">
        <v>95218.34</v>
      </c>
      <c r="O3116" s="3" t="n">
        <v>367231.11</v>
      </c>
      <c r="P3116" s="3" t="n">
        <v>268220.68</v>
      </c>
      <c r="Q3116" s="3" t="n">
        <v>99010.43</v>
      </c>
      <c r="R3116" s="3" t="n">
        <v>0.2696</v>
      </c>
      <c r="S3116" s="3" t="n">
        <v>0.2098</v>
      </c>
      <c r="T3116" s="3" t="n">
        <v>-0.0039</v>
      </c>
    </row>
    <row r="3117" customFormat="false" ht="15" hidden="false" customHeight="true" outlineLevel="0" collapsed="false">
      <c r="A3117" s="3" t="s">
        <v>4230</v>
      </c>
      <c r="B3117" s="3" t="s">
        <v>1954</v>
      </c>
      <c r="C3117" s="3" t="s">
        <v>53</v>
      </c>
      <c r="D3117" s="3" t="s">
        <v>107</v>
      </c>
      <c r="E3117" s="3" t="s">
        <v>33</v>
      </c>
      <c r="F3117" s="3" t="s">
        <v>70</v>
      </c>
      <c r="G3117" s="3" t="s">
        <v>76</v>
      </c>
      <c r="H3117" s="3" t="s">
        <v>64</v>
      </c>
      <c r="I3117" s="3" t="s">
        <v>145</v>
      </c>
      <c r="J3117" s="3" t="n">
        <v>46</v>
      </c>
      <c r="K3117" s="3" t="n">
        <v>3660.76</v>
      </c>
      <c r="L3117" s="3" t="n">
        <v>168394.96</v>
      </c>
      <c r="M3117" s="3" t="n">
        <v>0.0677</v>
      </c>
      <c r="N3117" s="3" t="n">
        <v>11400.34</v>
      </c>
      <c r="O3117" s="3" t="n">
        <v>156994.62</v>
      </c>
      <c r="P3117" s="3" t="n">
        <v>97669.08</v>
      </c>
      <c r="Q3117" s="3" t="n">
        <v>59325.54</v>
      </c>
      <c r="R3117" s="3" t="n">
        <v>0.3779</v>
      </c>
      <c r="S3117" s="3" t="n">
        <v>0.0635</v>
      </c>
      <c r="T3117" s="3" t="n">
        <v>0.0042</v>
      </c>
    </row>
    <row r="3118" customFormat="false" ht="15" hidden="false" customHeight="true" outlineLevel="0" collapsed="false">
      <c r="A3118" s="3" t="s">
        <v>4231</v>
      </c>
      <c r="B3118" s="3" t="s">
        <v>341</v>
      </c>
      <c r="C3118" s="3" t="s">
        <v>120</v>
      </c>
      <c r="D3118" s="3" t="s">
        <v>38</v>
      </c>
      <c r="E3118" s="3" t="s">
        <v>39</v>
      </c>
      <c r="F3118" s="3" t="s">
        <v>40</v>
      </c>
      <c r="G3118" s="3" t="s">
        <v>34</v>
      </c>
      <c r="H3118" s="3" t="s">
        <v>27</v>
      </c>
      <c r="I3118" s="3" t="s">
        <v>50</v>
      </c>
      <c r="J3118" s="3" t="n">
        <v>9</v>
      </c>
      <c r="K3118" s="3" t="n">
        <v>17844.02</v>
      </c>
      <c r="L3118" s="3" t="n">
        <v>160596.18</v>
      </c>
      <c r="M3118" s="3" t="n">
        <v>0.1016</v>
      </c>
      <c r="N3118" s="3" t="n">
        <v>16316.57</v>
      </c>
      <c r="O3118" s="3" t="n">
        <v>144279.61</v>
      </c>
      <c r="P3118" s="3" t="n">
        <v>99569.63</v>
      </c>
      <c r="Q3118" s="3" t="n">
        <v>44709.98</v>
      </c>
      <c r="R3118" s="3" t="n">
        <v>0.3099</v>
      </c>
      <c r="S3118" s="3" t="n">
        <v>0.1104</v>
      </c>
      <c r="T3118" s="3" t="n">
        <v>-0.0088</v>
      </c>
    </row>
    <row r="3119" customFormat="false" ht="15" hidden="false" customHeight="true" outlineLevel="0" collapsed="false">
      <c r="A3119" s="3" t="s">
        <v>4232</v>
      </c>
      <c r="B3119" s="3" t="s">
        <v>1795</v>
      </c>
      <c r="C3119" s="3" t="s">
        <v>46</v>
      </c>
      <c r="D3119" s="3" t="s">
        <v>47</v>
      </c>
      <c r="E3119" s="3" t="s">
        <v>48</v>
      </c>
      <c r="F3119" s="3" t="s">
        <v>25</v>
      </c>
      <c r="G3119" s="3" t="s">
        <v>71</v>
      </c>
      <c r="H3119" s="3" t="s">
        <v>77</v>
      </c>
      <c r="I3119" s="3" t="s">
        <v>131</v>
      </c>
      <c r="J3119" s="3" t="n">
        <v>37</v>
      </c>
      <c r="K3119" s="3" t="n">
        <v>1470.22</v>
      </c>
      <c r="L3119" s="3" t="n">
        <v>54398.14</v>
      </c>
      <c r="M3119" s="3" t="n">
        <v>0.1043</v>
      </c>
      <c r="N3119" s="3" t="n">
        <v>5673.73</v>
      </c>
      <c r="O3119" s="3" t="n">
        <v>48724.41</v>
      </c>
      <c r="P3119" s="3" t="n">
        <v>36990.74</v>
      </c>
      <c r="Q3119" s="3" t="n">
        <v>11733.67</v>
      </c>
      <c r="R3119" s="3" t="n">
        <v>0.2408</v>
      </c>
      <c r="S3119" s="3" t="n">
        <v>0.0988</v>
      </c>
      <c r="T3119" s="3" t="n">
        <v>0.0055</v>
      </c>
    </row>
    <row r="3120" customFormat="false" ht="15" hidden="false" customHeight="true" outlineLevel="0" collapsed="false">
      <c r="A3120" s="3" t="s">
        <v>4233</v>
      </c>
      <c r="B3120" s="3" t="s">
        <v>1116</v>
      </c>
      <c r="C3120" s="3" t="s">
        <v>31</v>
      </c>
      <c r="D3120" s="3" t="s">
        <v>107</v>
      </c>
      <c r="E3120" s="3" t="s">
        <v>33</v>
      </c>
      <c r="F3120" s="3" t="s">
        <v>70</v>
      </c>
      <c r="G3120" s="3" t="s">
        <v>100</v>
      </c>
      <c r="H3120" s="3" t="s">
        <v>42</v>
      </c>
      <c r="I3120" s="3" t="s">
        <v>72</v>
      </c>
      <c r="J3120" s="3" t="n">
        <v>41</v>
      </c>
      <c r="K3120" s="3" t="n">
        <v>1914.04</v>
      </c>
      <c r="L3120" s="3" t="n">
        <v>78475.64</v>
      </c>
      <c r="M3120" s="3" t="n">
        <v>0.0564</v>
      </c>
      <c r="N3120" s="3" t="n">
        <v>4426.03</v>
      </c>
      <c r="O3120" s="3" t="n">
        <v>74049.61</v>
      </c>
      <c r="P3120" s="3" t="n">
        <v>43161.6</v>
      </c>
      <c r="Q3120" s="3" t="n">
        <v>30888.01</v>
      </c>
      <c r="R3120" s="3" t="n">
        <v>0.4171</v>
      </c>
      <c r="S3120" s="3" t="n">
        <v>0.0593</v>
      </c>
      <c r="T3120" s="3" t="n">
        <v>-0.0029</v>
      </c>
    </row>
    <row r="3121" customFormat="false" ht="15" hidden="false" customHeight="true" outlineLevel="0" collapsed="false">
      <c r="A3121" s="3" t="s">
        <v>4234</v>
      </c>
      <c r="B3121" s="3" t="s">
        <v>3031</v>
      </c>
      <c r="C3121" s="3" t="s">
        <v>68</v>
      </c>
      <c r="D3121" s="3" t="s">
        <v>103</v>
      </c>
      <c r="E3121" s="3" t="s">
        <v>24</v>
      </c>
      <c r="F3121" s="3" t="s">
        <v>62</v>
      </c>
      <c r="G3121" s="3" t="s">
        <v>71</v>
      </c>
      <c r="H3121" s="3" t="s">
        <v>77</v>
      </c>
      <c r="I3121" s="3" t="s">
        <v>85</v>
      </c>
      <c r="J3121" s="3" t="n">
        <v>11</v>
      </c>
      <c r="K3121" s="3" t="n">
        <v>1916.4</v>
      </c>
      <c r="L3121" s="3" t="n">
        <v>21080.4</v>
      </c>
      <c r="M3121" s="3" t="n">
        <v>0.0484</v>
      </c>
      <c r="N3121" s="3" t="n">
        <v>1020.29</v>
      </c>
      <c r="O3121" s="3" t="n">
        <v>20060.11</v>
      </c>
      <c r="P3121" s="3" t="n">
        <v>14334.67</v>
      </c>
      <c r="Q3121" s="3" t="n">
        <v>5725.44</v>
      </c>
      <c r="R3121" s="3" t="n">
        <v>0.2854</v>
      </c>
      <c r="S3121" s="3" t="n">
        <v>0.0483</v>
      </c>
      <c r="T3121" s="3" t="n">
        <v>0.0001</v>
      </c>
    </row>
    <row r="3122" customFormat="false" ht="15" hidden="false" customHeight="true" outlineLevel="0" collapsed="false">
      <c r="A3122" s="3" t="s">
        <v>4235</v>
      </c>
      <c r="B3122" s="3" t="s">
        <v>2237</v>
      </c>
      <c r="C3122" s="3" t="s">
        <v>113</v>
      </c>
      <c r="D3122" s="3" t="s">
        <v>75</v>
      </c>
      <c r="E3122" s="3" t="s">
        <v>39</v>
      </c>
      <c r="F3122" s="3" t="s">
        <v>25</v>
      </c>
      <c r="G3122" s="3" t="s">
        <v>26</v>
      </c>
      <c r="H3122" s="3" t="s">
        <v>56</v>
      </c>
      <c r="I3122" s="3" t="s">
        <v>188</v>
      </c>
      <c r="J3122" s="3" t="n">
        <v>1</v>
      </c>
      <c r="K3122" s="3" t="n">
        <v>10584.34</v>
      </c>
      <c r="L3122" s="3" t="n">
        <v>10584.34</v>
      </c>
      <c r="M3122" s="3" t="n">
        <v>0.1169</v>
      </c>
      <c r="N3122" s="3" t="n">
        <v>1237.31</v>
      </c>
      <c r="O3122" s="3" t="n">
        <v>9347.03</v>
      </c>
      <c r="P3122" s="3" t="n">
        <v>6350.6</v>
      </c>
      <c r="Q3122" s="3" t="n">
        <v>2996.43</v>
      </c>
      <c r="R3122" s="3" t="n">
        <v>0.3206</v>
      </c>
      <c r="S3122" s="3" t="n">
        <v>0.0989</v>
      </c>
      <c r="T3122" s="3" t="n">
        <v>0.018</v>
      </c>
    </row>
    <row r="3123" customFormat="false" ht="15" hidden="false" customHeight="true" outlineLevel="0" collapsed="false">
      <c r="A3123" s="3" t="s">
        <v>4236</v>
      </c>
      <c r="B3123" s="3" t="s">
        <v>3900</v>
      </c>
      <c r="C3123" s="3" t="s">
        <v>126</v>
      </c>
      <c r="D3123" s="3" t="s">
        <v>103</v>
      </c>
      <c r="E3123" s="3" t="s">
        <v>24</v>
      </c>
      <c r="F3123" s="3" t="s">
        <v>62</v>
      </c>
      <c r="G3123" s="3" t="s">
        <v>63</v>
      </c>
      <c r="H3123" s="3" t="s">
        <v>64</v>
      </c>
      <c r="I3123" s="3" t="s">
        <v>65</v>
      </c>
      <c r="J3123" s="3" t="n">
        <v>33</v>
      </c>
      <c r="K3123" s="3" t="n">
        <v>11084.5</v>
      </c>
      <c r="L3123" s="3" t="n">
        <v>365788.5</v>
      </c>
      <c r="M3123" s="3" t="n">
        <v>0.0471</v>
      </c>
      <c r="N3123" s="3" t="n">
        <v>17228.64</v>
      </c>
      <c r="O3123" s="3" t="n">
        <v>348559.86</v>
      </c>
      <c r="P3123" s="3" t="n">
        <v>212157.33</v>
      </c>
      <c r="Q3123" s="3" t="n">
        <v>136402.53</v>
      </c>
      <c r="R3123" s="3" t="n">
        <v>0.3913</v>
      </c>
      <c r="S3123" s="3" t="n">
        <v>0.0474</v>
      </c>
      <c r="T3123" s="3" t="n">
        <v>-0.0003</v>
      </c>
    </row>
    <row r="3124" customFormat="false" ht="15" hidden="false" customHeight="true" outlineLevel="0" collapsed="false">
      <c r="A3124" s="3" t="s">
        <v>4237</v>
      </c>
      <c r="B3124" s="3" t="s">
        <v>330</v>
      </c>
      <c r="C3124" s="3" t="s">
        <v>37</v>
      </c>
      <c r="D3124" s="3" t="s">
        <v>47</v>
      </c>
      <c r="E3124" s="3" t="s">
        <v>48</v>
      </c>
      <c r="F3124" s="3" t="s">
        <v>25</v>
      </c>
      <c r="G3124" s="3" t="s">
        <v>71</v>
      </c>
      <c r="H3124" s="3" t="s">
        <v>77</v>
      </c>
      <c r="I3124" s="3" t="s">
        <v>78</v>
      </c>
      <c r="J3124" s="3" t="n">
        <v>2</v>
      </c>
      <c r="K3124" s="3" t="n">
        <v>3577</v>
      </c>
      <c r="L3124" s="3" t="n">
        <v>7154</v>
      </c>
      <c r="M3124" s="3" t="n">
        <v>0.1325</v>
      </c>
      <c r="N3124" s="3" t="n">
        <v>947.91</v>
      </c>
      <c r="O3124" s="3" t="n">
        <v>6206.09</v>
      </c>
      <c r="P3124" s="3" t="n">
        <v>4864.72</v>
      </c>
      <c r="Q3124" s="3" t="n">
        <v>1341.37</v>
      </c>
      <c r="R3124" s="3" t="n">
        <v>0.2161</v>
      </c>
      <c r="S3124" s="3" t="n">
        <v>0.1378</v>
      </c>
      <c r="T3124" s="3" t="n">
        <v>-0.0053</v>
      </c>
    </row>
    <row r="3125" customFormat="false" ht="15" hidden="false" customHeight="true" outlineLevel="0" collapsed="false">
      <c r="A3125" s="3" t="s">
        <v>4238</v>
      </c>
      <c r="B3125" s="3" t="s">
        <v>194</v>
      </c>
      <c r="C3125" s="3" t="s">
        <v>93</v>
      </c>
      <c r="D3125" s="3" t="s">
        <v>69</v>
      </c>
      <c r="E3125" s="3" t="s">
        <v>39</v>
      </c>
      <c r="F3125" s="3" t="s">
        <v>70</v>
      </c>
      <c r="G3125" s="3" t="s">
        <v>26</v>
      </c>
      <c r="H3125" s="3" t="s">
        <v>77</v>
      </c>
      <c r="I3125" s="3" t="s">
        <v>78</v>
      </c>
      <c r="J3125" s="3" t="n">
        <v>21</v>
      </c>
      <c r="K3125" s="3" t="n">
        <v>2547.49</v>
      </c>
      <c r="L3125" s="3" t="n">
        <v>53497.29</v>
      </c>
      <c r="M3125" s="3" t="n">
        <v>0.0715</v>
      </c>
      <c r="N3125" s="3" t="n">
        <v>3825.06</v>
      </c>
      <c r="O3125" s="3" t="n">
        <v>49672.23</v>
      </c>
      <c r="P3125" s="3" t="n">
        <v>36378.16</v>
      </c>
      <c r="Q3125" s="3" t="n">
        <v>13294.07</v>
      </c>
      <c r="R3125" s="3" t="n">
        <v>0.2676</v>
      </c>
      <c r="S3125" s="3" t="n">
        <v>0.0644</v>
      </c>
      <c r="T3125" s="3" t="n">
        <v>0.0071</v>
      </c>
    </row>
    <row r="3126" customFormat="false" ht="15" hidden="false" customHeight="true" outlineLevel="0" collapsed="false">
      <c r="A3126" s="3" t="s">
        <v>4239</v>
      </c>
      <c r="B3126" s="3" t="s">
        <v>1712</v>
      </c>
      <c r="C3126" s="3" t="s">
        <v>37</v>
      </c>
      <c r="D3126" s="3" t="s">
        <v>61</v>
      </c>
      <c r="E3126" s="3" t="s">
        <v>33</v>
      </c>
      <c r="F3126" s="3" t="s">
        <v>62</v>
      </c>
      <c r="G3126" s="3" t="s">
        <v>71</v>
      </c>
      <c r="H3126" s="3" t="s">
        <v>64</v>
      </c>
      <c r="I3126" s="3" t="s">
        <v>145</v>
      </c>
      <c r="J3126" s="3" t="n">
        <v>31</v>
      </c>
      <c r="K3126" s="3" t="n">
        <v>4805.99</v>
      </c>
      <c r="L3126" s="3" t="n">
        <v>148985.69</v>
      </c>
      <c r="M3126" s="3" t="n">
        <v>0.0461</v>
      </c>
      <c r="N3126" s="3" t="n">
        <v>6868.24</v>
      </c>
      <c r="O3126" s="3" t="n">
        <v>142117.45</v>
      </c>
      <c r="P3126" s="3" t="n">
        <v>86411.7</v>
      </c>
      <c r="Q3126" s="3" t="n">
        <v>55705.75</v>
      </c>
      <c r="R3126" s="3" t="n">
        <v>0.392</v>
      </c>
      <c r="S3126" s="3" t="n">
        <v>0.0464</v>
      </c>
      <c r="T3126" s="3" t="n">
        <v>-0.0003</v>
      </c>
    </row>
    <row r="3127" customFormat="false" ht="15" hidden="false" customHeight="true" outlineLevel="0" collapsed="false">
      <c r="A3127" s="3" t="s">
        <v>4240</v>
      </c>
      <c r="B3127" s="3" t="s">
        <v>99</v>
      </c>
      <c r="C3127" s="3" t="s">
        <v>93</v>
      </c>
      <c r="D3127" s="3" t="s">
        <v>97</v>
      </c>
      <c r="E3127" s="3" t="s">
        <v>48</v>
      </c>
      <c r="F3127" s="3" t="s">
        <v>40</v>
      </c>
      <c r="G3127" s="3" t="s">
        <v>71</v>
      </c>
      <c r="H3127" s="3" t="s">
        <v>42</v>
      </c>
      <c r="I3127" s="3" t="s">
        <v>72</v>
      </c>
      <c r="J3127" s="3" t="n">
        <v>33</v>
      </c>
      <c r="K3127" s="3" t="n">
        <v>1055.24</v>
      </c>
      <c r="L3127" s="3" t="n">
        <v>34822.92</v>
      </c>
      <c r="M3127" s="3" t="n">
        <v>0.065</v>
      </c>
      <c r="N3127" s="3" t="n">
        <v>2263.49</v>
      </c>
      <c r="O3127" s="3" t="n">
        <v>32559.43</v>
      </c>
      <c r="P3127" s="3" t="n">
        <v>19152.61</v>
      </c>
      <c r="Q3127" s="3" t="n">
        <v>13406.82</v>
      </c>
      <c r="R3127" s="3" t="n">
        <v>0.4118</v>
      </c>
      <c r="S3127" s="3" t="n">
        <v>0.0574</v>
      </c>
      <c r="T3127" s="3" t="n">
        <v>0.0076</v>
      </c>
    </row>
    <row r="3128" customFormat="false" ht="15" hidden="false" customHeight="true" outlineLevel="0" collapsed="false">
      <c r="A3128" s="3" t="s">
        <v>4241</v>
      </c>
      <c r="B3128" s="3" t="s">
        <v>392</v>
      </c>
      <c r="C3128" s="3" t="s">
        <v>68</v>
      </c>
      <c r="D3128" s="3" t="s">
        <v>97</v>
      </c>
      <c r="E3128" s="3" t="s">
        <v>48</v>
      </c>
      <c r="F3128" s="3" t="s">
        <v>40</v>
      </c>
      <c r="G3128" s="3" t="s">
        <v>116</v>
      </c>
      <c r="H3128" s="3" t="s">
        <v>77</v>
      </c>
      <c r="I3128" s="3" t="s">
        <v>78</v>
      </c>
      <c r="J3128" s="3" t="n">
        <v>5</v>
      </c>
      <c r="K3128" s="3" t="n">
        <v>5841.45</v>
      </c>
      <c r="L3128" s="3" t="n">
        <v>29207.25</v>
      </c>
      <c r="M3128" s="3" t="n">
        <v>0.0969</v>
      </c>
      <c r="N3128" s="3" t="n">
        <v>2830.18</v>
      </c>
      <c r="O3128" s="3" t="n">
        <v>26377.07</v>
      </c>
      <c r="P3128" s="3" t="n">
        <v>19860.93</v>
      </c>
      <c r="Q3128" s="3" t="n">
        <v>6516.14</v>
      </c>
      <c r="R3128" s="3" t="n">
        <v>0.247</v>
      </c>
      <c r="S3128" s="3" t="n">
        <v>0.0888</v>
      </c>
      <c r="T3128" s="3" t="n">
        <v>0.0081</v>
      </c>
    </row>
    <row r="3129" customFormat="false" ht="15" hidden="false" customHeight="true" outlineLevel="0" collapsed="false">
      <c r="A3129" s="3" t="s">
        <v>4242</v>
      </c>
      <c r="B3129" s="3" t="s">
        <v>2019</v>
      </c>
      <c r="C3129" s="3" t="s">
        <v>68</v>
      </c>
      <c r="D3129" s="3" t="s">
        <v>75</v>
      </c>
      <c r="E3129" s="3" t="s">
        <v>39</v>
      </c>
      <c r="F3129" s="3" t="s">
        <v>25</v>
      </c>
      <c r="G3129" s="3" t="s">
        <v>49</v>
      </c>
      <c r="H3129" s="3" t="s">
        <v>77</v>
      </c>
      <c r="I3129" s="3" t="s">
        <v>78</v>
      </c>
      <c r="J3129" s="3" t="n">
        <v>48</v>
      </c>
      <c r="K3129" s="3" t="n">
        <v>4850.94</v>
      </c>
      <c r="L3129" s="3" t="n">
        <v>232845.12</v>
      </c>
      <c r="M3129" s="3" t="n">
        <v>0.1658</v>
      </c>
      <c r="N3129" s="3" t="n">
        <v>38605.72</v>
      </c>
      <c r="O3129" s="3" t="n">
        <v>194239.4</v>
      </c>
      <c r="P3129" s="3" t="n">
        <v>158334.68</v>
      </c>
      <c r="Q3129" s="3" t="n">
        <v>35904.72</v>
      </c>
      <c r="R3129" s="3" t="n">
        <v>0.1848</v>
      </c>
      <c r="S3129" s="3" t="n">
        <v>0.1537</v>
      </c>
      <c r="T3129" s="3" t="n">
        <v>0.0121</v>
      </c>
    </row>
    <row r="3130" customFormat="false" ht="15" hidden="false" customHeight="true" outlineLevel="0" collapsed="false">
      <c r="A3130" s="3" t="s">
        <v>4243</v>
      </c>
      <c r="B3130" s="3" t="s">
        <v>2318</v>
      </c>
      <c r="C3130" s="3" t="s">
        <v>46</v>
      </c>
      <c r="D3130" s="3" t="s">
        <v>103</v>
      </c>
      <c r="E3130" s="3" t="s">
        <v>24</v>
      </c>
      <c r="F3130" s="3" t="s">
        <v>62</v>
      </c>
      <c r="G3130" s="3" t="s">
        <v>55</v>
      </c>
      <c r="H3130" s="3" t="s">
        <v>64</v>
      </c>
      <c r="I3130" s="3" t="s">
        <v>145</v>
      </c>
      <c r="J3130" s="3" t="n">
        <v>21</v>
      </c>
      <c r="K3130" s="3" t="n">
        <v>6656.33</v>
      </c>
      <c r="L3130" s="3" t="n">
        <v>139782.93</v>
      </c>
      <c r="M3130" s="3" t="n">
        <v>0.0336</v>
      </c>
      <c r="N3130" s="3" t="n">
        <v>4696.71</v>
      </c>
      <c r="O3130" s="3" t="n">
        <v>135086.22</v>
      </c>
      <c r="P3130" s="3" t="n">
        <v>81074.1</v>
      </c>
      <c r="Q3130" s="3" t="n">
        <v>54012.12</v>
      </c>
      <c r="R3130" s="3" t="n">
        <v>0.3998</v>
      </c>
      <c r="S3130" s="3" t="n">
        <v>0.0347</v>
      </c>
      <c r="T3130" s="3" t="n">
        <v>-0.0011</v>
      </c>
    </row>
    <row r="3131" customFormat="false" ht="15" hidden="false" customHeight="true" outlineLevel="0" collapsed="false">
      <c r="A3131" s="3" t="s">
        <v>4244</v>
      </c>
      <c r="B3131" s="3" t="s">
        <v>2116</v>
      </c>
      <c r="C3131" s="3" t="s">
        <v>156</v>
      </c>
      <c r="D3131" s="3" t="s">
        <v>47</v>
      </c>
      <c r="E3131" s="3" t="s">
        <v>48</v>
      </c>
      <c r="F3131" s="3" t="s">
        <v>25</v>
      </c>
      <c r="G3131" s="3" t="s">
        <v>55</v>
      </c>
      <c r="H3131" s="3" t="s">
        <v>42</v>
      </c>
      <c r="I3131" s="3" t="s">
        <v>43</v>
      </c>
      <c r="J3131" s="3" t="n">
        <v>34</v>
      </c>
      <c r="K3131" s="3" t="n">
        <v>1911.56</v>
      </c>
      <c r="L3131" s="3" t="n">
        <v>64993.04</v>
      </c>
      <c r="M3131" s="3" t="n">
        <v>0.1189</v>
      </c>
      <c r="N3131" s="3" t="n">
        <v>7727.67</v>
      </c>
      <c r="O3131" s="3" t="n">
        <v>57265.37</v>
      </c>
      <c r="P3131" s="3" t="n">
        <v>35746.17</v>
      </c>
      <c r="Q3131" s="3" t="n">
        <v>21519.2</v>
      </c>
      <c r="R3131" s="3" t="n">
        <v>0.3758</v>
      </c>
      <c r="S3131" s="3" t="n">
        <v>0.1278</v>
      </c>
      <c r="T3131" s="3" t="n">
        <v>-0.0089</v>
      </c>
    </row>
    <row r="3132" customFormat="false" ht="15" hidden="false" customHeight="true" outlineLevel="0" collapsed="false">
      <c r="A3132" s="3" t="s">
        <v>4245</v>
      </c>
      <c r="B3132" s="3" t="s">
        <v>3508</v>
      </c>
      <c r="C3132" s="3" t="s">
        <v>113</v>
      </c>
      <c r="D3132" s="3" t="s">
        <v>32</v>
      </c>
      <c r="E3132" s="3" t="s">
        <v>33</v>
      </c>
      <c r="F3132" s="3" t="s">
        <v>25</v>
      </c>
      <c r="G3132" s="3" t="s">
        <v>49</v>
      </c>
      <c r="H3132" s="3" t="s">
        <v>56</v>
      </c>
      <c r="I3132" s="3" t="s">
        <v>188</v>
      </c>
      <c r="J3132" s="3" t="n">
        <v>12</v>
      </c>
      <c r="K3132" s="3" t="n">
        <v>13782.37</v>
      </c>
      <c r="L3132" s="3" t="n">
        <v>165388.44</v>
      </c>
      <c r="M3132" s="3" t="n">
        <v>0.0819</v>
      </c>
      <c r="N3132" s="3" t="n">
        <v>13545.31</v>
      </c>
      <c r="O3132" s="3" t="n">
        <v>151843.13</v>
      </c>
      <c r="P3132" s="3" t="n">
        <v>99233.06</v>
      </c>
      <c r="Q3132" s="3" t="n">
        <v>52610.07</v>
      </c>
      <c r="R3132" s="3" t="n">
        <v>0.3465</v>
      </c>
      <c r="S3132" s="3" t="n">
        <v>0.0861</v>
      </c>
      <c r="T3132" s="3" t="n">
        <v>-0.0042</v>
      </c>
    </row>
    <row r="3133" customFormat="false" ht="15" hidden="false" customHeight="true" outlineLevel="0" collapsed="false">
      <c r="A3133" s="3" t="s">
        <v>4246</v>
      </c>
      <c r="B3133" s="3" t="s">
        <v>732</v>
      </c>
      <c r="C3133" s="3" t="s">
        <v>126</v>
      </c>
      <c r="D3133" s="3" t="s">
        <v>61</v>
      </c>
      <c r="E3133" s="3" t="s">
        <v>33</v>
      </c>
      <c r="F3133" s="3" t="s">
        <v>62</v>
      </c>
      <c r="G3133" s="3" t="s">
        <v>84</v>
      </c>
      <c r="H3133" s="3" t="s">
        <v>42</v>
      </c>
      <c r="I3133" s="3" t="s">
        <v>72</v>
      </c>
      <c r="J3133" s="3" t="n">
        <v>10</v>
      </c>
      <c r="K3133" s="3" t="n">
        <v>2782.73</v>
      </c>
      <c r="L3133" s="3" t="n">
        <v>27827.3</v>
      </c>
      <c r="M3133" s="3" t="n">
        <v>0.0386</v>
      </c>
      <c r="N3133" s="3" t="n">
        <v>1074.13</v>
      </c>
      <c r="O3133" s="3" t="n">
        <v>26753.17</v>
      </c>
      <c r="P3133" s="3" t="n">
        <v>15305.02</v>
      </c>
      <c r="Q3133" s="3" t="n">
        <v>11448.15</v>
      </c>
      <c r="R3133" s="3" t="n">
        <v>0.4279</v>
      </c>
      <c r="S3133" s="3" t="n">
        <v>0.0326</v>
      </c>
      <c r="T3133" s="3" t="n">
        <v>0.006</v>
      </c>
    </row>
    <row r="3134" customFormat="false" ht="15" hidden="false" customHeight="true" outlineLevel="0" collapsed="false">
      <c r="A3134" s="3" t="s">
        <v>4247</v>
      </c>
      <c r="B3134" s="3" t="s">
        <v>773</v>
      </c>
      <c r="C3134" s="3" t="s">
        <v>60</v>
      </c>
      <c r="D3134" s="3" t="s">
        <v>107</v>
      </c>
      <c r="E3134" s="3" t="s">
        <v>33</v>
      </c>
      <c r="F3134" s="3" t="s">
        <v>70</v>
      </c>
      <c r="G3134" s="3" t="s">
        <v>26</v>
      </c>
      <c r="H3134" s="3" t="s">
        <v>42</v>
      </c>
      <c r="I3134" s="3" t="s">
        <v>72</v>
      </c>
      <c r="J3134" s="3" t="n">
        <v>50</v>
      </c>
      <c r="K3134" s="3" t="n">
        <v>1252.38</v>
      </c>
      <c r="L3134" s="3" t="n">
        <v>62619</v>
      </c>
      <c r="M3134" s="3" t="n">
        <v>0.0631</v>
      </c>
      <c r="N3134" s="3" t="n">
        <v>3951.26</v>
      </c>
      <c r="O3134" s="3" t="n">
        <v>58667.74</v>
      </c>
      <c r="P3134" s="3" t="n">
        <v>34440.45</v>
      </c>
      <c r="Q3134" s="3" t="n">
        <v>24227.29</v>
      </c>
      <c r="R3134" s="3" t="n">
        <v>0.413</v>
      </c>
      <c r="S3134" s="3" t="n">
        <v>0.0596</v>
      </c>
      <c r="T3134" s="3" t="n">
        <v>0.0035</v>
      </c>
    </row>
    <row r="3135" customFormat="false" ht="15" hidden="false" customHeight="true" outlineLevel="0" collapsed="false">
      <c r="A3135" s="3" t="s">
        <v>4248</v>
      </c>
      <c r="B3135" s="3" t="s">
        <v>716</v>
      </c>
      <c r="C3135" s="3" t="s">
        <v>22</v>
      </c>
      <c r="D3135" s="3" t="s">
        <v>47</v>
      </c>
      <c r="E3135" s="3" t="s">
        <v>48</v>
      </c>
      <c r="F3135" s="3" t="s">
        <v>25</v>
      </c>
      <c r="G3135" s="3" t="s">
        <v>55</v>
      </c>
      <c r="H3135" s="3" t="s">
        <v>56</v>
      </c>
      <c r="I3135" s="3" t="s">
        <v>188</v>
      </c>
      <c r="J3135" s="3" t="n">
        <v>50</v>
      </c>
      <c r="K3135" s="3" t="n">
        <v>12054.87</v>
      </c>
      <c r="L3135" s="3" t="n">
        <v>602743.5</v>
      </c>
      <c r="M3135" s="3" t="n">
        <v>0.1351</v>
      </c>
      <c r="N3135" s="3" t="n">
        <v>81430.65</v>
      </c>
      <c r="O3135" s="3" t="n">
        <v>521312.85</v>
      </c>
      <c r="P3135" s="3" t="n">
        <v>361646.1</v>
      </c>
      <c r="Q3135" s="3" t="n">
        <v>159666.75</v>
      </c>
      <c r="R3135" s="3" t="n">
        <v>0.3063</v>
      </c>
      <c r="S3135" s="3" t="n">
        <v>0.1468</v>
      </c>
      <c r="T3135" s="3" t="n">
        <v>-0.0117</v>
      </c>
    </row>
    <row r="3136" customFormat="false" ht="15" hidden="false" customHeight="true" outlineLevel="0" collapsed="false">
      <c r="A3136" s="3" t="s">
        <v>4249</v>
      </c>
      <c r="B3136" s="3" t="s">
        <v>1289</v>
      </c>
      <c r="C3136" s="3" t="s">
        <v>156</v>
      </c>
      <c r="D3136" s="3" t="s">
        <v>23</v>
      </c>
      <c r="E3136" s="3" t="s">
        <v>24</v>
      </c>
      <c r="F3136" s="3" t="s">
        <v>25</v>
      </c>
      <c r="G3136" s="3" t="s">
        <v>76</v>
      </c>
      <c r="H3136" s="3" t="s">
        <v>56</v>
      </c>
      <c r="I3136" s="3" t="s">
        <v>188</v>
      </c>
      <c r="J3136" s="3" t="n">
        <v>14</v>
      </c>
      <c r="K3136" s="3" t="n">
        <v>2129.71</v>
      </c>
      <c r="L3136" s="3" t="n">
        <v>29815.94</v>
      </c>
      <c r="M3136" s="3" t="n">
        <v>0.1038</v>
      </c>
      <c r="N3136" s="3" t="n">
        <v>3094.89</v>
      </c>
      <c r="O3136" s="3" t="n">
        <v>26721.05</v>
      </c>
      <c r="P3136" s="3" t="n">
        <v>17889.56</v>
      </c>
      <c r="Q3136" s="3" t="n">
        <v>8831.49</v>
      </c>
      <c r="R3136" s="3" t="n">
        <v>0.3305</v>
      </c>
      <c r="S3136" s="3" t="n">
        <v>0.0853</v>
      </c>
      <c r="T3136" s="3" t="n">
        <v>0.0185</v>
      </c>
    </row>
    <row r="3137" customFormat="false" ht="15" hidden="false" customHeight="true" outlineLevel="0" collapsed="false">
      <c r="A3137" s="3" t="s">
        <v>4250</v>
      </c>
      <c r="B3137" s="3" t="s">
        <v>102</v>
      </c>
      <c r="C3137" s="3" t="s">
        <v>93</v>
      </c>
      <c r="D3137" s="3" t="s">
        <v>103</v>
      </c>
      <c r="E3137" s="3" t="s">
        <v>24</v>
      </c>
      <c r="F3137" s="3" t="s">
        <v>62</v>
      </c>
      <c r="G3137" s="3" t="s">
        <v>26</v>
      </c>
      <c r="H3137" s="3" t="s">
        <v>64</v>
      </c>
      <c r="I3137" s="3" t="s">
        <v>90</v>
      </c>
      <c r="J3137" s="3" t="n">
        <v>34</v>
      </c>
      <c r="K3137" s="3" t="n">
        <v>5178.1</v>
      </c>
      <c r="L3137" s="3" t="n">
        <v>176055.4</v>
      </c>
      <c r="M3137" s="3" t="n">
        <v>0.05</v>
      </c>
      <c r="N3137" s="3" t="n">
        <v>8802.77</v>
      </c>
      <c r="O3137" s="3" t="n">
        <v>167252.63</v>
      </c>
      <c r="P3137" s="3" t="n">
        <v>102112.13</v>
      </c>
      <c r="Q3137" s="3" t="n">
        <v>65140.5</v>
      </c>
      <c r="R3137" s="3" t="n">
        <v>0.3895</v>
      </c>
      <c r="S3137" s="3" t="n">
        <v>0.0415</v>
      </c>
      <c r="T3137" s="3" t="n">
        <v>0.0085</v>
      </c>
    </row>
    <row r="3138" customFormat="false" ht="15" hidden="false" customHeight="true" outlineLevel="0" collapsed="false">
      <c r="A3138" s="3" t="s">
        <v>4251</v>
      </c>
      <c r="B3138" s="3" t="s">
        <v>596</v>
      </c>
      <c r="C3138" s="3" t="s">
        <v>60</v>
      </c>
      <c r="D3138" s="3" t="s">
        <v>103</v>
      </c>
      <c r="E3138" s="3" t="s">
        <v>24</v>
      </c>
      <c r="F3138" s="3" t="s">
        <v>62</v>
      </c>
      <c r="G3138" s="3" t="s">
        <v>76</v>
      </c>
      <c r="H3138" s="3" t="s">
        <v>42</v>
      </c>
      <c r="I3138" s="3" t="s">
        <v>134</v>
      </c>
      <c r="J3138" s="3" t="n">
        <v>2</v>
      </c>
      <c r="K3138" s="3" t="n">
        <v>1958.9</v>
      </c>
      <c r="L3138" s="3" t="n">
        <v>3917.8</v>
      </c>
      <c r="M3138" s="3" t="n">
        <v>0.0473</v>
      </c>
      <c r="N3138" s="3" t="n">
        <v>185.31</v>
      </c>
      <c r="O3138" s="3" t="n">
        <v>3732.49</v>
      </c>
      <c r="P3138" s="3" t="n">
        <v>2154.79</v>
      </c>
      <c r="Q3138" s="3" t="n">
        <v>1577.7</v>
      </c>
      <c r="R3138" s="3" t="n">
        <v>0.4227</v>
      </c>
      <c r="S3138" s="3" t="n">
        <v>0.0505</v>
      </c>
      <c r="T3138" s="3" t="n">
        <v>-0.0032</v>
      </c>
    </row>
    <row r="3139" customFormat="false" ht="15" hidden="false" customHeight="true" outlineLevel="0" collapsed="false">
      <c r="A3139" s="3" t="s">
        <v>4252</v>
      </c>
      <c r="B3139" s="3" t="s">
        <v>2040</v>
      </c>
      <c r="C3139" s="3" t="s">
        <v>60</v>
      </c>
      <c r="D3139" s="3" t="s">
        <v>32</v>
      </c>
      <c r="E3139" s="3" t="s">
        <v>33</v>
      </c>
      <c r="F3139" s="3" t="s">
        <v>25</v>
      </c>
      <c r="G3139" s="3" t="s">
        <v>84</v>
      </c>
      <c r="H3139" s="3" t="s">
        <v>56</v>
      </c>
      <c r="I3139" s="3" t="s">
        <v>57</v>
      </c>
      <c r="J3139" s="3" t="n">
        <v>48</v>
      </c>
      <c r="K3139" s="3" t="n">
        <v>15692.67</v>
      </c>
      <c r="L3139" s="3" t="n">
        <v>753248.16</v>
      </c>
      <c r="M3139" s="3" t="n">
        <v>0.1435</v>
      </c>
      <c r="N3139" s="3" t="n">
        <v>108091.11</v>
      </c>
      <c r="O3139" s="3" t="n">
        <v>645157.05</v>
      </c>
      <c r="P3139" s="3" t="n">
        <v>451948.9</v>
      </c>
      <c r="Q3139" s="3" t="n">
        <v>193208.15</v>
      </c>
      <c r="R3139" s="3" t="n">
        <v>0.2995</v>
      </c>
      <c r="S3139" s="3" t="n">
        <v>0.1361</v>
      </c>
      <c r="T3139" s="3" t="n">
        <v>0.0074</v>
      </c>
    </row>
    <row r="3140" customFormat="false" ht="15" hidden="false" customHeight="true" outlineLevel="0" collapsed="false">
      <c r="A3140" s="3" t="s">
        <v>4253</v>
      </c>
      <c r="B3140" s="3" t="s">
        <v>513</v>
      </c>
      <c r="C3140" s="3" t="s">
        <v>120</v>
      </c>
      <c r="D3140" s="3" t="s">
        <v>32</v>
      </c>
      <c r="E3140" s="3" t="s">
        <v>33</v>
      </c>
      <c r="F3140" s="3" t="s">
        <v>25</v>
      </c>
      <c r="G3140" s="3" t="s">
        <v>34</v>
      </c>
      <c r="H3140" s="3" t="s">
        <v>42</v>
      </c>
      <c r="I3140" s="3" t="s">
        <v>72</v>
      </c>
      <c r="J3140" s="3" t="n">
        <v>45</v>
      </c>
      <c r="K3140" s="3" t="n">
        <v>1882.81</v>
      </c>
      <c r="L3140" s="3" t="n">
        <v>84726.45</v>
      </c>
      <c r="M3140" s="3" t="n">
        <v>0.1795</v>
      </c>
      <c r="N3140" s="3" t="n">
        <v>15208.4</v>
      </c>
      <c r="O3140" s="3" t="n">
        <v>69518.05</v>
      </c>
      <c r="P3140" s="3" t="n">
        <v>46599.55</v>
      </c>
      <c r="Q3140" s="3" t="n">
        <v>22918.5</v>
      </c>
      <c r="R3140" s="3" t="n">
        <v>0.3297</v>
      </c>
      <c r="S3140" s="3" t="n">
        <v>0.1758</v>
      </c>
      <c r="T3140" s="3" t="n">
        <v>0.0037</v>
      </c>
    </row>
    <row r="3141" customFormat="false" ht="15" hidden="false" customHeight="true" outlineLevel="0" collapsed="false">
      <c r="A3141" s="3" t="s">
        <v>4254</v>
      </c>
      <c r="B3141" s="3" t="s">
        <v>4255</v>
      </c>
      <c r="C3141" s="3" t="s">
        <v>68</v>
      </c>
      <c r="D3141" s="3" t="s">
        <v>75</v>
      </c>
      <c r="E3141" s="3" t="s">
        <v>39</v>
      </c>
      <c r="F3141" s="3" t="s">
        <v>25</v>
      </c>
      <c r="G3141" s="3" t="s">
        <v>63</v>
      </c>
      <c r="H3141" s="3" t="s">
        <v>56</v>
      </c>
      <c r="I3141" s="3" t="s">
        <v>57</v>
      </c>
      <c r="J3141" s="3" t="n">
        <v>41</v>
      </c>
      <c r="K3141" s="3" t="n">
        <v>9111.16</v>
      </c>
      <c r="L3141" s="3" t="n">
        <v>373557.56</v>
      </c>
      <c r="M3141" s="3" t="n">
        <v>0.1286</v>
      </c>
      <c r="N3141" s="3" t="n">
        <v>48039.5</v>
      </c>
      <c r="O3141" s="3" t="n">
        <v>325518.06</v>
      </c>
      <c r="P3141" s="3" t="n">
        <v>224134.54</v>
      </c>
      <c r="Q3141" s="3" t="n">
        <v>101383.52</v>
      </c>
      <c r="R3141" s="3" t="n">
        <v>0.3115</v>
      </c>
      <c r="S3141" s="3" t="n">
        <v>0.1169</v>
      </c>
      <c r="T3141" s="3" t="n">
        <v>0.0117</v>
      </c>
    </row>
    <row r="3142" customFormat="false" ht="15" hidden="false" customHeight="true" outlineLevel="0" collapsed="false">
      <c r="A3142" s="3" t="s">
        <v>4256</v>
      </c>
      <c r="B3142" s="3" t="s">
        <v>1188</v>
      </c>
      <c r="C3142" s="3" t="s">
        <v>113</v>
      </c>
      <c r="D3142" s="3" t="s">
        <v>32</v>
      </c>
      <c r="E3142" s="3" t="s">
        <v>33</v>
      </c>
      <c r="F3142" s="3" t="s">
        <v>25</v>
      </c>
      <c r="G3142" s="3" t="s">
        <v>49</v>
      </c>
      <c r="H3142" s="3" t="s">
        <v>64</v>
      </c>
      <c r="I3142" s="3" t="s">
        <v>65</v>
      </c>
      <c r="J3142" s="3" t="n">
        <v>47</v>
      </c>
      <c r="K3142" s="3" t="n">
        <v>11728.65</v>
      </c>
      <c r="L3142" s="3" t="n">
        <v>551246.55</v>
      </c>
      <c r="M3142" s="3" t="n">
        <v>0.1771</v>
      </c>
      <c r="N3142" s="3" t="n">
        <v>97625.76</v>
      </c>
      <c r="O3142" s="3" t="n">
        <v>453620.79</v>
      </c>
      <c r="P3142" s="3" t="n">
        <v>319723</v>
      </c>
      <c r="Q3142" s="3" t="n">
        <v>133897.79</v>
      </c>
      <c r="R3142" s="3" t="n">
        <v>0.2952</v>
      </c>
      <c r="S3142" s="3" t="n">
        <v>0.1713</v>
      </c>
      <c r="T3142" s="3" t="n">
        <v>0.0058</v>
      </c>
    </row>
    <row r="3143" customFormat="false" ht="15" hidden="false" customHeight="true" outlineLevel="0" collapsed="false">
      <c r="A3143" s="3" t="s">
        <v>4257</v>
      </c>
      <c r="B3143" s="3" t="s">
        <v>2624</v>
      </c>
      <c r="C3143" s="3" t="s">
        <v>46</v>
      </c>
      <c r="D3143" s="3" t="s">
        <v>32</v>
      </c>
      <c r="E3143" s="3" t="s">
        <v>33</v>
      </c>
      <c r="F3143" s="3" t="s">
        <v>25</v>
      </c>
      <c r="G3143" s="3" t="s">
        <v>49</v>
      </c>
      <c r="H3143" s="3" t="s">
        <v>77</v>
      </c>
      <c r="I3143" s="3" t="s">
        <v>78</v>
      </c>
      <c r="J3143" s="3" t="n">
        <v>36</v>
      </c>
      <c r="K3143" s="3" t="n">
        <v>5398.81</v>
      </c>
      <c r="L3143" s="3" t="n">
        <v>194357.16</v>
      </c>
      <c r="M3143" s="3" t="n">
        <v>0.1501</v>
      </c>
      <c r="N3143" s="3" t="n">
        <v>29173.01</v>
      </c>
      <c r="O3143" s="3" t="n">
        <v>165184.15</v>
      </c>
      <c r="P3143" s="3" t="n">
        <v>132162.87</v>
      </c>
      <c r="Q3143" s="3" t="n">
        <v>33021.28</v>
      </c>
      <c r="R3143" s="3" t="n">
        <v>0.1999</v>
      </c>
      <c r="S3143" s="3" t="n">
        <v>0.1283</v>
      </c>
      <c r="T3143" s="3" t="n">
        <v>0.0218</v>
      </c>
    </row>
    <row r="3144" customFormat="false" ht="15" hidden="false" customHeight="true" outlineLevel="0" collapsed="false">
      <c r="A3144" s="3" t="s">
        <v>4258</v>
      </c>
      <c r="B3144" s="3" t="s">
        <v>1674</v>
      </c>
      <c r="C3144" s="3" t="s">
        <v>46</v>
      </c>
      <c r="D3144" s="3" t="s">
        <v>54</v>
      </c>
      <c r="E3144" s="3" t="s">
        <v>24</v>
      </c>
      <c r="F3144" s="3" t="s">
        <v>40</v>
      </c>
      <c r="G3144" s="3" t="s">
        <v>63</v>
      </c>
      <c r="H3144" s="3" t="s">
        <v>64</v>
      </c>
      <c r="I3144" s="3" t="s">
        <v>145</v>
      </c>
      <c r="J3144" s="3" t="n">
        <v>33</v>
      </c>
      <c r="K3144" s="3" t="n">
        <v>7299.23</v>
      </c>
      <c r="L3144" s="3" t="n">
        <v>240874.59</v>
      </c>
      <c r="M3144" s="3" t="n">
        <v>0.0433</v>
      </c>
      <c r="N3144" s="3" t="n">
        <v>10429.87</v>
      </c>
      <c r="O3144" s="3" t="n">
        <v>230444.72</v>
      </c>
      <c r="P3144" s="3" t="n">
        <v>139707.26</v>
      </c>
      <c r="Q3144" s="3" t="n">
        <v>90737.46</v>
      </c>
      <c r="R3144" s="3" t="n">
        <v>0.3937</v>
      </c>
      <c r="S3144" s="3" t="n">
        <v>0.0347</v>
      </c>
      <c r="T3144" s="3" t="n">
        <v>0.0086</v>
      </c>
    </row>
    <row r="3145" customFormat="false" ht="15" hidden="false" customHeight="true" outlineLevel="0" collapsed="false">
      <c r="A3145" s="3" t="s">
        <v>4259</v>
      </c>
      <c r="B3145" s="3" t="s">
        <v>144</v>
      </c>
      <c r="C3145" s="3" t="s">
        <v>120</v>
      </c>
      <c r="D3145" s="3" t="s">
        <v>107</v>
      </c>
      <c r="E3145" s="3" t="s">
        <v>33</v>
      </c>
      <c r="F3145" s="3" t="s">
        <v>70</v>
      </c>
      <c r="G3145" s="3" t="s">
        <v>84</v>
      </c>
      <c r="H3145" s="3" t="s">
        <v>56</v>
      </c>
      <c r="I3145" s="3" t="s">
        <v>188</v>
      </c>
      <c r="J3145" s="3" t="n">
        <v>6</v>
      </c>
      <c r="K3145" s="3" t="n">
        <v>15282.18</v>
      </c>
      <c r="L3145" s="3" t="n">
        <v>91693.08</v>
      </c>
      <c r="M3145" s="3" t="n">
        <v>0.0633</v>
      </c>
      <c r="N3145" s="3" t="n">
        <v>5804.17</v>
      </c>
      <c r="O3145" s="3" t="n">
        <v>85888.91</v>
      </c>
      <c r="P3145" s="3" t="n">
        <v>55015.85</v>
      </c>
      <c r="Q3145" s="3" t="n">
        <v>30873.06</v>
      </c>
      <c r="R3145" s="3" t="n">
        <v>0.3595</v>
      </c>
      <c r="S3145" s="3" t="n">
        <v>0.0622</v>
      </c>
      <c r="T3145" s="3" t="n">
        <v>0.0011</v>
      </c>
    </row>
    <row r="3146" customFormat="false" ht="15" hidden="false" customHeight="true" outlineLevel="0" collapsed="false">
      <c r="A3146" s="3" t="s">
        <v>4260</v>
      </c>
      <c r="B3146" s="3" t="s">
        <v>328</v>
      </c>
      <c r="C3146" s="3" t="s">
        <v>126</v>
      </c>
      <c r="D3146" s="3" t="s">
        <v>61</v>
      </c>
      <c r="E3146" s="3" t="s">
        <v>33</v>
      </c>
      <c r="F3146" s="3" t="s">
        <v>62</v>
      </c>
      <c r="G3146" s="3" t="s">
        <v>49</v>
      </c>
      <c r="H3146" s="3" t="s">
        <v>77</v>
      </c>
      <c r="I3146" s="3" t="s">
        <v>78</v>
      </c>
      <c r="J3146" s="3" t="n">
        <v>10</v>
      </c>
      <c r="K3146" s="3" t="n">
        <v>2977.56</v>
      </c>
      <c r="L3146" s="3" t="n">
        <v>29775.6</v>
      </c>
      <c r="M3146" s="3" t="n">
        <v>0.0586</v>
      </c>
      <c r="N3146" s="3" t="n">
        <v>1744.85</v>
      </c>
      <c r="O3146" s="3" t="n">
        <v>28030.75</v>
      </c>
      <c r="P3146" s="3" t="n">
        <v>20247.41</v>
      </c>
      <c r="Q3146" s="3" t="n">
        <v>7783.34</v>
      </c>
      <c r="R3146" s="3" t="n">
        <v>0.2777</v>
      </c>
      <c r="S3146" s="3" t="n">
        <v>0.0522</v>
      </c>
      <c r="T3146" s="3" t="n">
        <v>0.0064</v>
      </c>
    </row>
    <row r="3147" customFormat="false" ht="15" hidden="false" customHeight="true" outlineLevel="0" collapsed="false">
      <c r="A3147" s="3" t="s">
        <v>4261</v>
      </c>
      <c r="B3147" s="3" t="s">
        <v>960</v>
      </c>
      <c r="C3147" s="3" t="s">
        <v>126</v>
      </c>
      <c r="D3147" s="3" t="s">
        <v>54</v>
      </c>
      <c r="E3147" s="3" t="s">
        <v>24</v>
      </c>
      <c r="F3147" s="3" t="s">
        <v>40</v>
      </c>
      <c r="G3147" s="3" t="s">
        <v>49</v>
      </c>
      <c r="H3147" s="3" t="s">
        <v>56</v>
      </c>
      <c r="I3147" s="3" t="s">
        <v>188</v>
      </c>
      <c r="J3147" s="3" t="n">
        <v>7</v>
      </c>
      <c r="K3147" s="3" t="n">
        <v>5296.14</v>
      </c>
      <c r="L3147" s="3" t="n">
        <v>37072.98</v>
      </c>
      <c r="M3147" s="3" t="n">
        <v>0.0515</v>
      </c>
      <c r="N3147" s="3" t="n">
        <v>1909.26</v>
      </c>
      <c r="O3147" s="3" t="n">
        <v>35163.72</v>
      </c>
      <c r="P3147" s="3" t="n">
        <v>22243.79</v>
      </c>
      <c r="Q3147" s="3" t="n">
        <v>12919.93</v>
      </c>
      <c r="R3147" s="3" t="n">
        <v>0.3674</v>
      </c>
      <c r="S3147" s="3" t="n">
        <v>0.0508</v>
      </c>
      <c r="T3147" s="3" t="n">
        <v>0.0007</v>
      </c>
    </row>
    <row r="3148" customFormat="false" ht="15" hidden="false" customHeight="true" outlineLevel="0" collapsed="false">
      <c r="A3148" s="3" t="s">
        <v>4262</v>
      </c>
      <c r="B3148" s="3" t="s">
        <v>4263</v>
      </c>
      <c r="C3148" s="3" t="s">
        <v>31</v>
      </c>
      <c r="D3148" s="3" t="s">
        <v>75</v>
      </c>
      <c r="E3148" s="3" t="s">
        <v>39</v>
      </c>
      <c r="F3148" s="3" t="s">
        <v>25</v>
      </c>
      <c r="G3148" s="3" t="s">
        <v>34</v>
      </c>
      <c r="H3148" s="3" t="s">
        <v>56</v>
      </c>
      <c r="I3148" s="3" t="s">
        <v>121</v>
      </c>
      <c r="J3148" s="3" t="n">
        <v>42</v>
      </c>
      <c r="K3148" s="3" t="n">
        <v>10277.59</v>
      </c>
      <c r="L3148" s="3" t="n">
        <v>431658.78</v>
      </c>
      <c r="M3148" s="3" t="n">
        <v>0.1633</v>
      </c>
      <c r="N3148" s="3" t="n">
        <v>70489.88</v>
      </c>
      <c r="O3148" s="3" t="n">
        <v>361168.9</v>
      </c>
      <c r="P3148" s="3" t="n">
        <v>258995.27</v>
      </c>
      <c r="Q3148" s="3" t="n">
        <v>102173.63</v>
      </c>
      <c r="R3148" s="3" t="n">
        <v>0.2829</v>
      </c>
      <c r="S3148" s="3" t="n">
        <v>0.1519</v>
      </c>
      <c r="T3148" s="3" t="n">
        <v>0.0114</v>
      </c>
    </row>
    <row r="3149" customFormat="false" ht="15" hidden="false" customHeight="true" outlineLevel="0" collapsed="false">
      <c r="A3149" s="3" t="s">
        <v>4264</v>
      </c>
      <c r="B3149" s="3" t="s">
        <v>2260</v>
      </c>
      <c r="C3149" s="3" t="s">
        <v>113</v>
      </c>
      <c r="D3149" s="3" t="s">
        <v>47</v>
      </c>
      <c r="E3149" s="3" t="s">
        <v>48</v>
      </c>
      <c r="F3149" s="3" t="s">
        <v>25</v>
      </c>
      <c r="G3149" s="3" t="s">
        <v>104</v>
      </c>
      <c r="H3149" s="3" t="s">
        <v>42</v>
      </c>
      <c r="I3149" s="3" t="s">
        <v>72</v>
      </c>
      <c r="J3149" s="3" t="n">
        <v>24</v>
      </c>
      <c r="K3149" s="3" t="n">
        <v>2184.93</v>
      </c>
      <c r="L3149" s="3" t="n">
        <v>52438.32</v>
      </c>
      <c r="M3149" s="3" t="n">
        <v>0.1749</v>
      </c>
      <c r="N3149" s="3" t="n">
        <v>9171.46</v>
      </c>
      <c r="O3149" s="3" t="n">
        <v>43266.86</v>
      </c>
      <c r="P3149" s="3" t="n">
        <v>28841.08</v>
      </c>
      <c r="Q3149" s="3" t="n">
        <v>14425.78</v>
      </c>
      <c r="R3149" s="3" t="n">
        <v>0.3334</v>
      </c>
      <c r="S3149" s="3" t="n">
        <v>0.1734</v>
      </c>
      <c r="T3149" s="3" t="n">
        <v>0.0015</v>
      </c>
    </row>
    <row r="3150" customFormat="false" ht="15" hidden="false" customHeight="true" outlineLevel="0" collapsed="false">
      <c r="A3150" s="3" t="s">
        <v>4265</v>
      </c>
      <c r="B3150" s="3" t="s">
        <v>1428</v>
      </c>
      <c r="C3150" s="3" t="s">
        <v>31</v>
      </c>
      <c r="D3150" s="3" t="s">
        <v>54</v>
      </c>
      <c r="E3150" s="3" t="s">
        <v>24</v>
      </c>
      <c r="F3150" s="3" t="s">
        <v>40</v>
      </c>
      <c r="G3150" s="3" t="s">
        <v>100</v>
      </c>
      <c r="H3150" s="3" t="s">
        <v>64</v>
      </c>
      <c r="I3150" s="3" t="s">
        <v>90</v>
      </c>
      <c r="J3150" s="3" t="n">
        <v>32</v>
      </c>
      <c r="K3150" s="3" t="n">
        <v>7236.76</v>
      </c>
      <c r="L3150" s="3" t="n">
        <v>231576.32</v>
      </c>
      <c r="M3150" s="3" t="n">
        <v>0.0351</v>
      </c>
      <c r="N3150" s="3" t="n">
        <v>8128.33</v>
      </c>
      <c r="O3150" s="3" t="n">
        <v>223447.99</v>
      </c>
      <c r="P3150" s="3" t="n">
        <v>134314.27</v>
      </c>
      <c r="Q3150" s="3" t="n">
        <v>89133.72</v>
      </c>
      <c r="R3150" s="3" t="n">
        <v>0.3989</v>
      </c>
      <c r="S3150" s="3" t="n">
        <v>0.0365</v>
      </c>
      <c r="T3150" s="3" t="n">
        <v>-0.0014</v>
      </c>
    </row>
    <row r="3151" customFormat="false" ht="15" hidden="false" customHeight="true" outlineLevel="0" collapsed="false">
      <c r="A3151" s="3" t="s">
        <v>4266</v>
      </c>
      <c r="B3151" s="3" t="s">
        <v>627</v>
      </c>
      <c r="C3151" s="3" t="s">
        <v>31</v>
      </c>
      <c r="D3151" s="3" t="s">
        <v>75</v>
      </c>
      <c r="E3151" s="3" t="s">
        <v>39</v>
      </c>
      <c r="F3151" s="3" t="s">
        <v>25</v>
      </c>
      <c r="G3151" s="3" t="s">
        <v>55</v>
      </c>
      <c r="H3151" s="3" t="s">
        <v>64</v>
      </c>
      <c r="I3151" s="3" t="s">
        <v>65</v>
      </c>
      <c r="J3151" s="3" t="n">
        <v>40</v>
      </c>
      <c r="K3151" s="3" t="n">
        <v>5390.68</v>
      </c>
      <c r="L3151" s="3" t="n">
        <v>215627.2</v>
      </c>
      <c r="M3151" s="3" t="n">
        <v>0.1172</v>
      </c>
      <c r="N3151" s="3" t="n">
        <v>25271.51</v>
      </c>
      <c r="O3151" s="3" t="n">
        <v>190355.69</v>
      </c>
      <c r="P3151" s="3" t="n">
        <v>125063.78</v>
      </c>
      <c r="Q3151" s="3" t="n">
        <v>65291.91</v>
      </c>
      <c r="R3151" s="3" t="n">
        <v>0.343</v>
      </c>
      <c r="S3151" s="3" t="n">
        <v>0.1271</v>
      </c>
      <c r="T3151" s="3" t="n">
        <v>-0.0099</v>
      </c>
    </row>
    <row r="3152" customFormat="false" ht="15" hidden="false" customHeight="true" outlineLevel="0" collapsed="false">
      <c r="A3152" s="3" t="s">
        <v>4267</v>
      </c>
      <c r="B3152" s="3" t="s">
        <v>473</v>
      </c>
      <c r="C3152" s="3" t="s">
        <v>22</v>
      </c>
      <c r="D3152" s="3" t="s">
        <v>97</v>
      </c>
      <c r="E3152" s="3" t="s">
        <v>48</v>
      </c>
      <c r="F3152" s="3" t="s">
        <v>40</v>
      </c>
      <c r="G3152" s="3" t="s">
        <v>116</v>
      </c>
      <c r="H3152" s="3" t="s">
        <v>64</v>
      </c>
      <c r="I3152" s="3" t="s">
        <v>145</v>
      </c>
      <c r="J3152" s="3" t="n">
        <v>24</v>
      </c>
      <c r="K3152" s="3" t="n">
        <v>6111.97</v>
      </c>
      <c r="L3152" s="3" t="n">
        <v>146687.28</v>
      </c>
      <c r="M3152" s="3" t="n">
        <v>0.0984</v>
      </c>
      <c r="N3152" s="3" t="n">
        <v>14434.03</v>
      </c>
      <c r="O3152" s="3" t="n">
        <v>132253.25</v>
      </c>
      <c r="P3152" s="3" t="n">
        <v>85078.62</v>
      </c>
      <c r="Q3152" s="3" t="n">
        <v>47174.63</v>
      </c>
      <c r="R3152" s="3" t="n">
        <v>0.3567</v>
      </c>
      <c r="S3152" s="3" t="n">
        <v>0.0983</v>
      </c>
      <c r="T3152" s="3" t="n">
        <v>0.0001</v>
      </c>
    </row>
    <row r="3153" customFormat="false" ht="15" hidden="false" customHeight="true" outlineLevel="0" collapsed="false">
      <c r="A3153" s="3" t="s">
        <v>4268</v>
      </c>
      <c r="B3153" s="3" t="s">
        <v>500</v>
      </c>
      <c r="C3153" s="3" t="s">
        <v>126</v>
      </c>
      <c r="D3153" s="3" t="s">
        <v>61</v>
      </c>
      <c r="E3153" s="3" t="s">
        <v>33</v>
      </c>
      <c r="F3153" s="3" t="s">
        <v>62</v>
      </c>
      <c r="G3153" s="3" t="s">
        <v>71</v>
      </c>
      <c r="H3153" s="3" t="s">
        <v>27</v>
      </c>
      <c r="I3153" s="3" t="s">
        <v>50</v>
      </c>
      <c r="J3153" s="3" t="n">
        <v>30</v>
      </c>
      <c r="K3153" s="3" t="n">
        <v>16072.36</v>
      </c>
      <c r="L3153" s="3" t="n">
        <v>482170.8</v>
      </c>
      <c r="M3153" s="3" t="n">
        <v>0.0729</v>
      </c>
      <c r="N3153" s="3" t="n">
        <v>35150.25</v>
      </c>
      <c r="O3153" s="3" t="n">
        <v>447020.55</v>
      </c>
      <c r="P3153" s="3" t="n">
        <v>298945.9</v>
      </c>
      <c r="Q3153" s="3" t="n">
        <v>148074.65</v>
      </c>
      <c r="R3153" s="3" t="n">
        <v>0.3312</v>
      </c>
      <c r="S3153" s="3" t="n">
        <v>0.0718</v>
      </c>
      <c r="T3153" s="3" t="n">
        <v>0.0011</v>
      </c>
    </row>
    <row r="3154" customFormat="false" ht="15" hidden="false" customHeight="true" outlineLevel="0" collapsed="false">
      <c r="A3154" s="3" t="s">
        <v>4269</v>
      </c>
      <c r="B3154" s="3" t="s">
        <v>492</v>
      </c>
      <c r="C3154" s="3" t="s">
        <v>60</v>
      </c>
      <c r="D3154" s="3" t="s">
        <v>54</v>
      </c>
      <c r="E3154" s="3" t="s">
        <v>24</v>
      </c>
      <c r="F3154" s="3" t="s">
        <v>40</v>
      </c>
      <c r="G3154" s="3" t="s">
        <v>71</v>
      </c>
      <c r="H3154" s="3" t="s">
        <v>64</v>
      </c>
      <c r="I3154" s="3" t="s">
        <v>65</v>
      </c>
      <c r="J3154" s="3" t="n">
        <v>35</v>
      </c>
      <c r="K3154" s="3" t="n">
        <v>5361.73</v>
      </c>
      <c r="L3154" s="3" t="n">
        <v>187660.55</v>
      </c>
      <c r="M3154" s="3" t="n">
        <v>0.0542</v>
      </c>
      <c r="N3154" s="3" t="n">
        <v>10171.2</v>
      </c>
      <c r="O3154" s="3" t="n">
        <v>177489.35</v>
      </c>
      <c r="P3154" s="3" t="n">
        <v>108843.12</v>
      </c>
      <c r="Q3154" s="3" t="n">
        <v>68646.23</v>
      </c>
      <c r="R3154" s="3" t="n">
        <v>0.3868</v>
      </c>
      <c r="S3154" s="3" t="n">
        <v>0.0491</v>
      </c>
      <c r="T3154" s="3" t="n">
        <v>0.0051</v>
      </c>
    </row>
    <row r="3155" customFormat="false" ht="15" hidden="false" customHeight="true" outlineLevel="0" collapsed="false">
      <c r="A3155" s="3" t="s">
        <v>4270</v>
      </c>
      <c r="B3155" s="3" t="s">
        <v>4130</v>
      </c>
      <c r="C3155" s="3" t="s">
        <v>126</v>
      </c>
      <c r="D3155" s="3" t="s">
        <v>103</v>
      </c>
      <c r="E3155" s="3" t="s">
        <v>24</v>
      </c>
      <c r="F3155" s="3" t="s">
        <v>62</v>
      </c>
      <c r="G3155" s="3" t="s">
        <v>49</v>
      </c>
      <c r="H3155" s="3" t="s">
        <v>77</v>
      </c>
      <c r="I3155" s="3" t="s">
        <v>85</v>
      </c>
      <c r="J3155" s="3" t="n">
        <v>7</v>
      </c>
      <c r="K3155" s="3" t="n">
        <v>3126.2</v>
      </c>
      <c r="L3155" s="3" t="n">
        <v>21883.4</v>
      </c>
      <c r="M3155" s="3" t="n">
        <v>0.0412</v>
      </c>
      <c r="N3155" s="3" t="n">
        <v>901.6</v>
      </c>
      <c r="O3155" s="3" t="n">
        <v>20981.8</v>
      </c>
      <c r="P3155" s="3" t="n">
        <v>14880.71</v>
      </c>
      <c r="Q3155" s="3" t="n">
        <v>6101.09</v>
      </c>
      <c r="R3155" s="3" t="n">
        <v>0.2908</v>
      </c>
      <c r="S3155" s="3" t="n">
        <v>0.0409</v>
      </c>
      <c r="T3155" s="3" t="n">
        <v>0.0003</v>
      </c>
    </row>
    <row r="3156" customFormat="false" ht="15" hidden="false" customHeight="true" outlineLevel="0" collapsed="false">
      <c r="A3156" s="3" t="s">
        <v>4271</v>
      </c>
      <c r="B3156" s="3" t="s">
        <v>198</v>
      </c>
      <c r="C3156" s="3" t="s">
        <v>113</v>
      </c>
      <c r="D3156" s="3" t="s">
        <v>97</v>
      </c>
      <c r="E3156" s="3" t="s">
        <v>48</v>
      </c>
      <c r="F3156" s="3" t="s">
        <v>40</v>
      </c>
      <c r="G3156" s="3" t="s">
        <v>116</v>
      </c>
      <c r="H3156" s="3" t="s">
        <v>77</v>
      </c>
      <c r="I3156" s="3" t="s">
        <v>78</v>
      </c>
      <c r="J3156" s="3" t="n">
        <v>22</v>
      </c>
      <c r="K3156" s="3" t="n">
        <v>3088.84</v>
      </c>
      <c r="L3156" s="3" t="n">
        <v>67954.48</v>
      </c>
      <c r="M3156" s="3" t="n">
        <v>0.1087</v>
      </c>
      <c r="N3156" s="3" t="n">
        <v>7386.65</v>
      </c>
      <c r="O3156" s="3" t="n">
        <v>60567.83</v>
      </c>
      <c r="P3156" s="3" t="n">
        <v>46209.05</v>
      </c>
      <c r="Q3156" s="3" t="n">
        <v>14358.78</v>
      </c>
      <c r="R3156" s="3" t="n">
        <v>0.2371</v>
      </c>
      <c r="S3156" s="3" t="n">
        <v>0.1072</v>
      </c>
      <c r="T3156" s="3" t="n">
        <v>0.0015</v>
      </c>
    </row>
    <row r="3157" customFormat="false" ht="15" hidden="false" customHeight="true" outlineLevel="0" collapsed="false">
      <c r="A3157" s="3" t="s">
        <v>4272</v>
      </c>
      <c r="B3157" s="3" t="s">
        <v>914</v>
      </c>
      <c r="C3157" s="3" t="s">
        <v>37</v>
      </c>
      <c r="D3157" s="3" t="s">
        <v>103</v>
      </c>
      <c r="E3157" s="3" t="s">
        <v>24</v>
      </c>
      <c r="F3157" s="3" t="s">
        <v>62</v>
      </c>
      <c r="G3157" s="3" t="s">
        <v>41</v>
      </c>
      <c r="H3157" s="3" t="s">
        <v>64</v>
      </c>
      <c r="I3157" s="3" t="s">
        <v>108</v>
      </c>
      <c r="J3157" s="3" t="n">
        <v>24</v>
      </c>
      <c r="K3157" s="3" t="n">
        <v>7827.66</v>
      </c>
      <c r="L3157" s="3" t="n">
        <v>187863.84</v>
      </c>
      <c r="M3157" s="3" t="n">
        <v>0.0682</v>
      </c>
      <c r="N3157" s="3" t="n">
        <v>12812.31</v>
      </c>
      <c r="O3157" s="3" t="n">
        <v>175051.53</v>
      </c>
      <c r="P3157" s="3" t="n">
        <v>108961.03</v>
      </c>
      <c r="Q3157" s="3" t="n">
        <v>66090.5</v>
      </c>
      <c r="R3157" s="3" t="n">
        <v>0.3775</v>
      </c>
      <c r="S3157" s="3" t="n">
        <v>0.0645</v>
      </c>
      <c r="T3157" s="3" t="n">
        <v>0.0037</v>
      </c>
    </row>
    <row r="3158" customFormat="false" ht="15" hidden="false" customHeight="true" outlineLevel="0" collapsed="false">
      <c r="A3158" s="3" t="s">
        <v>4273</v>
      </c>
      <c r="B3158" s="3" t="s">
        <v>4274</v>
      </c>
      <c r="C3158" s="3" t="s">
        <v>31</v>
      </c>
      <c r="D3158" s="3" t="s">
        <v>38</v>
      </c>
      <c r="E3158" s="3" t="s">
        <v>39</v>
      </c>
      <c r="F3158" s="3" t="s">
        <v>40</v>
      </c>
      <c r="G3158" s="3" t="s">
        <v>49</v>
      </c>
      <c r="H3158" s="3" t="s">
        <v>42</v>
      </c>
      <c r="I3158" s="3" t="s">
        <v>134</v>
      </c>
      <c r="J3158" s="3" t="n">
        <v>7</v>
      </c>
      <c r="K3158" s="3" t="n">
        <v>3747.88</v>
      </c>
      <c r="L3158" s="3" t="n">
        <v>26235.16</v>
      </c>
      <c r="M3158" s="3" t="n">
        <v>0.0627</v>
      </c>
      <c r="N3158" s="3" t="n">
        <v>1644.94</v>
      </c>
      <c r="O3158" s="3" t="n">
        <v>24590.22</v>
      </c>
      <c r="P3158" s="3" t="n">
        <v>14429.34</v>
      </c>
      <c r="Q3158" s="3" t="n">
        <v>10160.88</v>
      </c>
      <c r="R3158" s="3" t="n">
        <v>0.4132</v>
      </c>
      <c r="S3158" s="3" t="n">
        <v>0.051</v>
      </c>
      <c r="T3158" s="3" t="n">
        <v>0.0117</v>
      </c>
    </row>
    <row r="3159" customFormat="false" ht="15" hidden="false" customHeight="true" outlineLevel="0" collapsed="false">
      <c r="A3159" s="3" t="s">
        <v>4275</v>
      </c>
      <c r="B3159" s="3" t="s">
        <v>1978</v>
      </c>
      <c r="C3159" s="3" t="s">
        <v>53</v>
      </c>
      <c r="D3159" s="3" t="s">
        <v>107</v>
      </c>
      <c r="E3159" s="3" t="s">
        <v>33</v>
      </c>
      <c r="F3159" s="3" t="s">
        <v>70</v>
      </c>
      <c r="G3159" s="3" t="s">
        <v>71</v>
      </c>
      <c r="H3159" s="3" t="s">
        <v>42</v>
      </c>
      <c r="I3159" s="3" t="s">
        <v>72</v>
      </c>
      <c r="J3159" s="3" t="n">
        <v>13</v>
      </c>
      <c r="K3159" s="3" t="n">
        <v>911.45</v>
      </c>
      <c r="L3159" s="3" t="n">
        <v>11848.85</v>
      </c>
      <c r="M3159" s="3" t="n">
        <v>0.0505</v>
      </c>
      <c r="N3159" s="3" t="n">
        <v>598.37</v>
      </c>
      <c r="O3159" s="3" t="n">
        <v>11250.48</v>
      </c>
      <c r="P3159" s="3" t="n">
        <v>6516.87</v>
      </c>
      <c r="Q3159" s="3" t="n">
        <v>4733.61</v>
      </c>
      <c r="R3159" s="3" t="n">
        <v>0.4207</v>
      </c>
      <c r="S3159" s="3" t="n">
        <v>0.0437</v>
      </c>
      <c r="T3159" s="3" t="n">
        <v>0.0068</v>
      </c>
    </row>
    <row r="3160" customFormat="false" ht="15" hidden="false" customHeight="true" outlineLevel="0" collapsed="false">
      <c r="A3160" s="3" t="s">
        <v>4276</v>
      </c>
      <c r="B3160" s="3" t="s">
        <v>2022</v>
      </c>
      <c r="C3160" s="3" t="s">
        <v>31</v>
      </c>
      <c r="D3160" s="3" t="s">
        <v>97</v>
      </c>
      <c r="E3160" s="3" t="s">
        <v>48</v>
      </c>
      <c r="F3160" s="3" t="s">
        <v>40</v>
      </c>
      <c r="G3160" s="3" t="s">
        <v>104</v>
      </c>
      <c r="H3160" s="3" t="s">
        <v>42</v>
      </c>
      <c r="I3160" s="3" t="s">
        <v>134</v>
      </c>
      <c r="J3160" s="3" t="n">
        <v>30</v>
      </c>
      <c r="K3160" s="3" t="n">
        <v>1552.04</v>
      </c>
      <c r="L3160" s="3" t="n">
        <v>46561.2</v>
      </c>
      <c r="M3160" s="3" t="n">
        <v>0.0711</v>
      </c>
      <c r="N3160" s="3" t="n">
        <v>3310.5</v>
      </c>
      <c r="O3160" s="3" t="n">
        <v>43250.7</v>
      </c>
      <c r="P3160" s="3" t="n">
        <v>25608.66</v>
      </c>
      <c r="Q3160" s="3" t="n">
        <v>17642.04</v>
      </c>
      <c r="R3160" s="3" t="n">
        <v>0.4079</v>
      </c>
      <c r="S3160" s="3" t="n">
        <v>0.0704</v>
      </c>
      <c r="T3160" s="3" t="n">
        <v>0.0007</v>
      </c>
    </row>
    <row r="3161" customFormat="false" ht="15" hidden="false" customHeight="true" outlineLevel="0" collapsed="false">
      <c r="A3161" s="3" t="s">
        <v>4277</v>
      </c>
      <c r="B3161" s="3" t="s">
        <v>702</v>
      </c>
      <c r="C3161" s="3" t="s">
        <v>53</v>
      </c>
      <c r="D3161" s="3" t="s">
        <v>61</v>
      </c>
      <c r="E3161" s="3" t="s">
        <v>33</v>
      </c>
      <c r="F3161" s="3" t="s">
        <v>62</v>
      </c>
      <c r="G3161" s="3" t="s">
        <v>84</v>
      </c>
      <c r="H3161" s="3" t="s">
        <v>42</v>
      </c>
      <c r="I3161" s="3" t="s">
        <v>72</v>
      </c>
      <c r="J3161" s="3" t="n">
        <v>32</v>
      </c>
      <c r="K3161" s="3" t="n">
        <v>2843.04</v>
      </c>
      <c r="L3161" s="3" t="n">
        <v>90977.28</v>
      </c>
      <c r="M3161" s="3" t="n">
        <v>0.066</v>
      </c>
      <c r="N3161" s="3" t="n">
        <v>6004.5</v>
      </c>
      <c r="O3161" s="3" t="n">
        <v>84972.78</v>
      </c>
      <c r="P3161" s="3" t="n">
        <v>50037.5</v>
      </c>
      <c r="Q3161" s="3" t="n">
        <v>34935.28</v>
      </c>
      <c r="R3161" s="3" t="n">
        <v>0.4111</v>
      </c>
      <c r="S3161" s="3" t="n">
        <v>0.0721</v>
      </c>
      <c r="T3161" s="3" t="n">
        <v>-0.0061</v>
      </c>
    </row>
    <row r="3162" customFormat="false" ht="15" hidden="false" customHeight="true" outlineLevel="0" collapsed="false">
      <c r="A3162" s="3" t="s">
        <v>4278</v>
      </c>
      <c r="B3162" s="3" t="s">
        <v>1345</v>
      </c>
      <c r="C3162" s="3" t="s">
        <v>68</v>
      </c>
      <c r="D3162" s="3" t="s">
        <v>61</v>
      </c>
      <c r="E3162" s="3" t="s">
        <v>33</v>
      </c>
      <c r="F3162" s="3" t="s">
        <v>62</v>
      </c>
      <c r="G3162" s="3" t="s">
        <v>26</v>
      </c>
      <c r="H3162" s="3" t="s">
        <v>56</v>
      </c>
      <c r="I3162" s="3" t="s">
        <v>57</v>
      </c>
      <c r="J3162" s="3" t="n">
        <v>22</v>
      </c>
      <c r="K3162" s="3" t="n">
        <v>7109.47</v>
      </c>
      <c r="L3162" s="3" t="n">
        <v>156408.34</v>
      </c>
      <c r="M3162" s="3" t="n">
        <v>0.0797</v>
      </c>
      <c r="N3162" s="3" t="n">
        <v>12465.74</v>
      </c>
      <c r="O3162" s="3" t="n">
        <v>143942.6</v>
      </c>
      <c r="P3162" s="3" t="n">
        <v>93845</v>
      </c>
      <c r="Q3162" s="3" t="n">
        <v>50097.6</v>
      </c>
      <c r="R3162" s="3" t="n">
        <v>0.348</v>
      </c>
      <c r="S3162" s="3" t="n">
        <v>0.0808</v>
      </c>
      <c r="T3162" s="3" t="n">
        <v>-0.0011</v>
      </c>
    </row>
    <row r="3163" customFormat="false" ht="15" hidden="false" customHeight="true" outlineLevel="0" collapsed="false">
      <c r="A3163" s="3" t="s">
        <v>4279</v>
      </c>
      <c r="B3163" s="3" t="s">
        <v>803</v>
      </c>
      <c r="C3163" s="3" t="s">
        <v>156</v>
      </c>
      <c r="D3163" s="3" t="s">
        <v>83</v>
      </c>
      <c r="E3163" s="3" t="s">
        <v>48</v>
      </c>
      <c r="F3163" s="3" t="s">
        <v>62</v>
      </c>
      <c r="G3163" s="3" t="s">
        <v>26</v>
      </c>
      <c r="H3163" s="3" t="s">
        <v>42</v>
      </c>
      <c r="I3163" s="3" t="s">
        <v>134</v>
      </c>
      <c r="J3163" s="3" t="n">
        <v>3</v>
      </c>
      <c r="K3163" s="3" t="n">
        <v>3183.04</v>
      </c>
      <c r="L3163" s="3" t="n">
        <v>9549.12</v>
      </c>
      <c r="M3163" s="3" t="n">
        <v>0.0361</v>
      </c>
      <c r="N3163" s="3" t="n">
        <v>344.72</v>
      </c>
      <c r="O3163" s="3" t="n">
        <v>9204.4</v>
      </c>
      <c r="P3163" s="3" t="n">
        <v>5252.02</v>
      </c>
      <c r="Q3163" s="3" t="n">
        <v>3952.38</v>
      </c>
      <c r="R3163" s="3" t="n">
        <v>0.4294</v>
      </c>
      <c r="S3163" s="3" t="n">
        <v>0.031</v>
      </c>
      <c r="T3163" s="3" t="n">
        <v>0.0051</v>
      </c>
    </row>
    <row r="3164" customFormat="false" ht="15" hidden="false" customHeight="true" outlineLevel="0" collapsed="false">
      <c r="A3164" s="3" t="s">
        <v>4280</v>
      </c>
      <c r="B3164" s="3" t="s">
        <v>620</v>
      </c>
      <c r="C3164" s="3" t="s">
        <v>120</v>
      </c>
      <c r="D3164" s="3" t="s">
        <v>47</v>
      </c>
      <c r="E3164" s="3" t="s">
        <v>48</v>
      </c>
      <c r="F3164" s="3" t="s">
        <v>25</v>
      </c>
      <c r="G3164" s="3" t="s">
        <v>116</v>
      </c>
      <c r="H3164" s="3" t="s">
        <v>27</v>
      </c>
      <c r="I3164" s="3" t="s">
        <v>28</v>
      </c>
      <c r="J3164" s="3" t="n">
        <v>40</v>
      </c>
      <c r="K3164" s="3" t="n">
        <v>22723.75</v>
      </c>
      <c r="L3164" s="3" t="n">
        <v>908950</v>
      </c>
      <c r="M3164" s="3" t="n">
        <v>0.1782</v>
      </c>
      <c r="N3164" s="3" t="n">
        <v>161974.89</v>
      </c>
      <c r="O3164" s="3" t="n">
        <v>746975.11</v>
      </c>
      <c r="P3164" s="3" t="n">
        <v>563549</v>
      </c>
      <c r="Q3164" s="3" t="n">
        <v>183426.11</v>
      </c>
      <c r="R3164" s="3" t="n">
        <v>0.2456</v>
      </c>
      <c r="S3164" s="3" t="n">
        <v>0.166</v>
      </c>
      <c r="T3164" s="3" t="n">
        <v>0.0122</v>
      </c>
    </row>
    <row r="3165" customFormat="false" ht="15" hidden="false" customHeight="true" outlineLevel="0" collapsed="false">
      <c r="A3165" s="3" t="s">
        <v>4281</v>
      </c>
      <c r="B3165" s="3" t="s">
        <v>4282</v>
      </c>
      <c r="C3165" s="3" t="s">
        <v>31</v>
      </c>
      <c r="D3165" s="3" t="s">
        <v>32</v>
      </c>
      <c r="E3165" s="3" t="s">
        <v>33</v>
      </c>
      <c r="F3165" s="3" t="s">
        <v>25</v>
      </c>
      <c r="G3165" s="3" t="s">
        <v>55</v>
      </c>
      <c r="H3165" s="3" t="s">
        <v>77</v>
      </c>
      <c r="I3165" s="3" t="s">
        <v>78</v>
      </c>
      <c r="J3165" s="3" t="n">
        <v>18</v>
      </c>
      <c r="K3165" s="3" t="n">
        <v>4994.77</v>
      </c>
      <c r="L3165" s="3" t="n">
        <v>89905.86</v>
      </c>
      <c r="M3165" s="3" t="n">
        <v>0.1378</v>
      </c>
      <c r="N3165" s="3" t="n">
        <v>12389.03</v>
      </c>
      <c r="O3165" s="3" t="n">
        <v>77516.83</v>
      </c>
      <c r="P3165" s="3" t="n">
        <v>61135.98</v>
      </c>
      <c r="Q3165" s="3" t="n">
        <v>16380.85</v>
      </c>
      <c r="R3165" s="3" t="n">
        <v>0.2113</v>
      </c>
      <c r="S3165" s="3" t="n">
        <v>0.1393</v>
      </c>
      <c r="T3165" s="3" t="n">
        <v>-0.0015</v>
      </c>
    </row>
    <row r="3166" customFormat="false" ht="15" hidden="false" customHeight="true" outlineLevel="0" collapsed="false">
      <c r="A3166" s="3" t="s">
        <v>4283</v>
      </c>
      <c r="B3166" s="3" t="s">
        <v>4284</v>
      </c>
      <c r="C3166" s="3" t="s">
        <v>46</v>
      </c>
      <c r="D3166" s="3" t="s">
        <v>75</v>
      </c>
      <c r="E3166" s="3" t="s">
        <v>39</v>
      </c>
      <c r="F3166" s="3" t="s">
        <v>25</v>
      </c>
      <c r="G3166" s="3" t="s">
        <v>49</v>
      </c>
      <c r="H3166" s="3" t="s">
        <v>56</v>
      </c>
      <c r="I3166" s="3" t="s">
        <v>57</v>
      </c>
      <c r="J3166" s="3" t="n">
        <v>26</v>
      </c>
      <c r="K3166" s="3" t="n">
        <v>12878.47</v>
      </c>
      <c r="L3166" s="3" t="n">
        <v>334840.22</v>
      </c>
      <c r="M3166" s="3" t="n">
        <v>0.1277</v>
      </c>
      <c r="N3166" s="3" t="n">
        <v>42759.1</v>
      </c>
      <c r="O3166" s="3" t="n">
        <v>292081.12</v>
      </c>
      <c r="P3166" s="3" t="n">
        <v>200904.13</v>
      </c>
      <c r="Q3166" s="3" t="n">
        <v>91176.99</v>
      </c>
      <c r="R3166" s="3" t="n">
        <v>0.3122</v>
      </c>
      <c r="S3166" s="3" t="n">
        <v>0.1243</v>
      </c>
      <c r="T3166" s="3" t="n">
        <v>0.0034</v>
      </c>
    </row>
    <row r="3167" customFormat="false" ht="15" hidden="false" customHeight="true" outlineLevel="0" collapsed="false">
      <c r="A3167" s="3" t="s">
        <v>4285</v>
      </c>
      <c r="B3167" s="3" t="s">
        <v>2093</v>
      </c>
      <c r="C3167" s="3" t="s">
        <v>113</v>
      </c>
      <c r="D3167" s="3" t="s">
        <v>69</v>
      </c>
      <c r="E3167" s="3" t="s">
        <v>39</v>
      </c>
      <c r="F3167" s="3" t="s">
        <v>70</v>
      </c>
      <c r="G3167" s="3" t="s">
        <v>63</v>
      </c>
      <c r="H3167" s="3" t="s">
        <v>56</v>
      </c>
      <c r="I3167" s="3" t="s">
        <v>121</v>
      </c>
      <c r="J3167" s="3" t="n">
        <v>44</v>
      </c>
      <c r="K3167" s="3" t="n">
        <v>9122.71</v>
      </c>
      <c r="L3167" s="3" t="n">
        <v>401399.24</v>
      </c>
      <c r="M3167" s="3" t="n">
        <v>0.0425</v>
      </c>
      <c r="N3167" s="3" t="n">
        <v>17059.47</v>
      </c>
      <c r="O3167" s="3" t="n">
        <v>384339.77</v>
      </c>
      <c r="P3167" s="3" t="n">
        <v>240839.54</v>
      </c>
      <c r="Q3167" s="3" t="n">
        <v>143500.23</v>
      </c>
      <c r="R3167" s="3" t="n">
        <v>0.3734</v>
      </c>
      <c r="S3167" s="3" t="n">
        <v>0.0441</v>
      </c>
      <c r="T3167" s="3" t="n">
        <v>-0.0016</v>
      </c>
    </row>
    <row r="3168" customFormat="false" ht="15" hidden="false" customHeight="true" outlineLevel="0" collapsed="false">
      <c r="A3168" s="3" t="s">
        <v>4286</v>
      </c>
      <c r="B3168" s="3" t="s">
        <v>3232</v>
      </c>
      <c r="C3168" s="3" t="s">
        <v>31</v>
      </c>
      <c r="D3168" s="3" t="s">
        <v>83</v>
      </c>
      <c r="E3168" s="3" t="s">
        <v>48</v>
      </c>
      <c r="F3168" s="3" t="s">
        <v>62</v>
      </c>
      <c r="G3168" s="3" t="s">
        <v>71</v>
      </c>
      <c r="H3168" s="3" t="s">
        <v>64</v>
      </c>
      <c r="I3168" s="3" t="s">
        <v>145</v>
      </c>
      <c r="J3168" s="3" t="n">
        <v>46</v>
      </c>
      <c r="K3168" s="3" t="n">
        <v>10160.25</v>
      </c>
      <c r="L3168" s="3" t="n">
        <v>467371.5</v>
      </c>
      <c r="M3168" s="3" t="n">
        <v>0.0564</v>
      </c>
      <c r="N3168" s="3" t="n">
        <v>26359.75</v>
      </c>
      <c r="O3168" s="3" t="n">
        <v>441011.75</v>
      </c>
      <c r="P3168" s="3" t="n">
        <v>271075.47</v>
      </c>
      <c r="Q3168" s="3" t="n">
        <v>169936.28</v>
      </c>
      <c r="R3168" s="3" t="n">
        <v>0.3853</v>
      </c>
      <c r="S3168" s="3" t="n">
        <v>0.0459</v>
      </c>
      <c r="T3168" s="3" t="n">
        <v>0.0105</v>
      </c>
    </row>
    <row r="3169" customFormat="false" ht="15" hidden="false" customHeight="true" outlineLevel="0" collapsed="false">
      <c r="A3169" s="3" t="s">
        <v>4287</v>
      </c>
      <c r="B3169" s="3" t="s">
        <v>4045</v>
      </c>
      <c r="C3169" s="3" t="s">
        <v>37</v>
      </c>
      <c r="D3169" s="3" t="s">
        <v>32</v>
      </c>
      <c r="E3169" s="3" t="s">
        <v>33</v>
      </c>
      <c r="F3169" s="3" t="s">
        <v>25</v>
      </c>
      <c r="G3169" s="3" t="s">
        <v>41</v>
      </c>
      <c r="H3169" s="3" t="s">
        <v>77</v>
      </c>
      <c r="I3169" s="3" t="s">
        <v>131</v>
      </c>
      <c r="J3169" s="3" t="n">
        <v>14</v>
      </c>
      <c r="K3169" s="3" t="n">
        <v>3763.1</v>
      </c>
      <c r="L3169" s="3" t="n">
        <v>52683.4</v>
      </c>
      <c r="M3169" s="3" t="n">
        <v>0.1189</v>
      </c>
      <c r="N3169" s="3" t="n">
        <v>6264.06</v>
      </c>
      <c r="O3169" s="3" t="n">
        <v>46419.34</v>
      </c>
      <c r="P3169" s="3" t="n">
        <v>35824.71</v>
      </c>
      <c r="Q3169" s="3" t="n">
        <v>10594.63</v>
      </c>
      <c r="R3169" s="3" t="n">
        <v>0.2282</v>
      </c>
      <c r="S3169" s="3" t="n">
        <v>0.1244</v>
      </c>
      <c r="T3169" s="3" t="n">
        <v>-0.0055</v>
      </c>
    </row>
    <row r="3170" customFormat="false" ht="15" hidden="false" customHeight="true" outlineLevel="0" collapsed="false">
      <c r="A3170" s="3" t="s">
        <v>4288</v>
      </c>
      <c r="B3170" s="3" t="s">
        <v>4078</v>
      </c>
      <c r="C3170" s="3" t="s">
        <v>126</v>
      </c>
      <c r="D3170" s="3" t="s">
        <v>69</v>
      </c>
      <c r="E3170" s="3" t="s">
        <v>39</v>
      </c>
      <c r="F3170" s="3" t="s">
        <v>70</v>
      </c>
      <c r="G3170" s="3" t="s">
        <v>116</v>
      </c>
      <c r="H3170" s="3" t="s">
        <v>56</v>
      </c>
      <c r="I3170" s="3" t="s">
        <v>188</v>
      </c>
      <c r="J3170" s="3" t="n">
        <v>4</v>
      </c>
      <c r="K3170" s="3" t="n">
        <v>6353.68</v>
      </c>
      <c r="L3170" s="3" t="n">
        <v>25414.72</v>
      </c>
      <c r="M3170" s="3" t="n">
        <v>0.1166</v>
      </c>
      <c r="N3170" s="3" t="n">
        <v>2963.36</v>
      </c>
      <c r="O3170" s="3" t="n">
        <v>22451.36</v>
      </c>
      <c r="P3170" s="3" t="n">
        <v>15248.83</v>
      </c>
      <c r="Q3170" s="3" t="n">
        <v>7202.53</v>
      </c>
      <c r="R3170" s="3" t="n">
        <v>0.3208</v>
      </c>
      <c r="S3170" s="3" t="n">
        <v>0.0991</v>
      </c>
      <c r="T3170" s="3" t="n">
        <v>0.0175</v>
      </c>
    </row>
    <row r="3171" customFormat="false" ht="15" hidden="false" customHeight="true" outlineLevel="0" collapsed="false">
      <c r="A3171" s="3" t="s">
        <v>4289</v>
      </c>
      <c r="B3171" s="3" t="s">
        <v>1116</v>
      </c>
      <c r="C3171" s="3" t="s">
        <v>31</v>
      </c>
      <c r="D3171" s="3" t="s">
        <v>23</v>
      </c>
      <c r="E3171" s="3" t="s">
        <v>24</v>
      </c>
      <c r="F3171" s="3" t="s">
        <v>25</v>
      </c>
      <c r="G3171" s="3" t="s">
        <v>34</v>
      </c>
      <c r="H3171" s="3" t="s">
        <v>42</v>
      </c>
      <c r="I3171" s="3" t="s">
        <v>72</v>
      </c>
      <c r="J3171" s="3" t="n">
        <v>44</v>
      </c>
      <c r="K3171" s="3" t="n">
        <v>2012.75</v>
      </c>
      <c r="L3171" s="3" t="n">
        <v>88561</v>
      </c>
      <c r="M3171" s="3" t="n">
        <v>0.1897</v>
      </c>
      <c r="N3171" s="3" t="n">
        <v>16800.02</v>
      </c>
      <c r="O3171" s="3" t="n">
        <v>71760.98</v>
      </c>
      <c r="P3171" s="3" t="n">
        <v>48708.55</v>
      </c>
      <c r="Q3171" s="3" t="n">
        <v>23052.43</v>
      </c>
      <c r="R3171" s="3" t="n">
        <v>0.3212</v>
      </c>
      <c r="S3171" s="3" t="n">
        <v>0.1769</v>
      </c>
      <c r="T3171" s="3" t="n">
        <v>0.0128</v>
      </c>
    </row>
    <row r="3172" customFormat="false" ht="15" hidden="false" customHeight="true" outlineLevel="0" collapsed="false">
      <c r="A3172" s="3" t="s">
        <v>4290</v>
      </c>
      <c r="B3172" s="3" t="s">
        <v>1210</v>
      </c>
      <c r="C3172" s="3" t="s">
        <v>156</v>
      </c>
      <c r="D3172" s="3" t="s">
        <v>61</v>
      </c>
      <c r="E3172" s="3" t="s">
        <v>33</v>
      </c>
      <c r="F3172" s="3" t="s">
        <v>62</v>
      </c>
      <c r="G3172" s="3" t="s">
        <v>104</v>
      </c>
      <c r="H3172" s="3" t="s">
        <v>42</v>
      </c>
      <c r="I3172" s="3" t="s">
        <v>72</v>
      </c>
      <c r="J3172" s="3" t="n">
        <v>50</v>
      </c>
      <c r="K3172" s="3" t="n">
        <v>1186.06</v>
      </c>
      <c r="L3172" s="3" t="n">
        <v>59303</v>
      </c>
      <c r="M3172" s="3" t="n">
        <v>0.1284</v>
      </c>
      <c r="N3172" s="3" t="n">
        <v>7614.51</v>
      </c>
      <c r="O3172" s="3" t="n">
        <v>51688.49</v>
      </c>
      <c r="P3172" s="3" t="n">
        <v>32616.65</v>
      </c>
      <c r="Q3172" s="3" t="n">
        <v>19071.84</v>
      </c>
      <c r="R3172" s="3" t="n">
        <v>0.369</v>
      </c>
      <c r="S3172" s="3" t="n">
        <v>0.1283</v>
      </c>
      <c r="T3172" s="3" t="n">
        <v>0.0001</v>
      </c>
    </row>
    <row r="3173" customFormat="false" ht="15" hidden="false" customHeight="true" outlineLevel="0" collapsed="false">
      <c r="A3173" s="3" t="s">
        <v>4291</v>
      </c>
      <c r="B3173" s="3" t="s">
        <v>437</v>
      </c>
      <c r="C3173" s="3" t="s">
        <v>60</v>
      </c>
      <c r="D3173" s="3" t="s">
        <v>83</v>
      </c>
      <c r="E3173" s="3" t="s">
        <v>48</v>
      </c>
      <c r="F3173" s="3" t="s">
        <v>62</v>
      </c>
      <c r="G3173" s="3" t="s">
        <v>71</v>
      </c>
      <c r="H3173" s="3" t="s">
        <v>64</v>
      </c>
      <c r="I3173" s="3" t="s">
        <v>145</v>
      </c>
      <c r="J3173" s="3" t="n">
        <v>24</v>
      </c>
      <c r="K3173" s="3" t="n">
        <v>6932.58</v>
      </c>
      <c r="L3173" s="3" t="n">
        <v>166381.92</v>
      </c>
      <c r="M3173" s="3" t="n">
        <v>0.058</v>
      </c>
      <c r="N3173" s="3" t="n">
        <v>9650.15</v>
      </c>
      <c r="O3173" s="3" t="n">
        <v>156731.77</v>
      </c>
      <c r="P3173" s="3" t="n">
        <v>96501.51</v>
      </c>
      <c r="Q3173" s="3" t="n">
        <v>60230.26</v>
      </c>
      <c r="R3173" s="3" t="n">
        <v>0.3843</v>
      </c>
      <c r="S3173" s="3" t="n">
        <v>0.0532</v>
      </c>
      <c r="T3173" s="3" t="n">
        <v>0.0048</v>
      </c>
    </row>
    <row r="3174" customFormat="false" ht="15" hidden="false" customHeight="true" outlineLevel="0" collapsed="false">
      <c r="A3174" s="3" t="s">
        <v>4292</v>
      </c>
      <c r="B3174" s="3" t="s">
        <v>680</v>
      </c>
      <c r="C3174" s="3" t="s">
        <v>93</v>
      </c>
      <c r="D3174" s="3" t="s">
        <v>32</v>
      </c>
      <c r="E3174" s="3" t="s">
        <v>33</v>
      </c>
      <c r="F3174" s="3" t="s">
        <v>25</v>
      </c>
      <c r="G3174" s="3" t="s">
        <v>49</v>
      </c>
      <c r="H3174" s="3" t="s">
        <v>56</v>
      </c>
      <c r="I3174" s="3" t="s">
        <v>188</v>
      </c>
      <c r="J3174" s="3" t="n">
        <v>43</v>
      </c>
      <c r="K3174" s="3" t="n">
        <v>4903.6</v>
      </c>
      <c r="L3174" s="3" t="n">
        <v>210854.8</v>
      </c>
      <c r="M3174" s="3" t="n">
        <v>0.1625</v>
      </c>
      <c r="N3174" s="3" t="n">
        <v>34263.9</v>
      </c>
      <c r="O3174" s="3" t="n">
        <v>176590.9</v>
      </c>
      <c r="P3174" s="3" t="n">
        <v>126512.88</v>
      </c>
      <c r="Q3174" s="3" t="n">
        <v>50078.02</v>
      </c>
      <c r="R3174" s="3" t="n">
        <v>0.2836</v>
      </c>
      <c r="S3174" s="3" t="n">
        <v>0.1695</v>
      </c>
      <c r="T3174" s="3" t="n">
        <v>-0.007</v>
      </c>
    </row>
    <row r="3175" customFormat="false" ht="15" hidden="false" customHeight="true" outlineLevel="0" collapsed="false">
      <c r="A3175" s="3" t="s">
        <v>4293</v>
      </c>
      <c r="B3175" s="3" t="s">
        <v>3816</v>
      </c>
      <c r="C3175" s="3" t="s">
        <v>120</v>
      </c>
      <c r="D3175" s="3" t="s">
        <v>54</v>
      </c>
      <c r="E3175" s="3" t="s">
        <v>24</v>
      </c>
      <c r="F3175" s="3" t="s">
        <v>40</v>
      </c>
      <c r="G3175" s="3" t="s">
        <v>100</v>
      </c>
      <c r="H3175" s="3" t="s">
        <v>27</v>
      </c>
      <c r="I3175" s="3" t="s">
        <v>117</v>
      </c>
      <c r="J3175" s="3" t="n">
        <v>34</v>
      </c>
      <c r="K3175" s="3" t="n">
        <v>35647.47</v>
      </c>
      <c r="L3175" s="3" t="n">
        <v>1212013.98</v>
      </c>
      <c r="M3175" s="3" t="n">
        <v>0.0495</v>
      </c>
      <c r="N3175" s="3" t="n">
        <v>59994.69</v>
      </c>
      <c r="O3175" s="3" t="n">
        <v>1152019.29</v>
      </c>
      <c r="P3175" s="3" t="n">
        <v>751448.67</v>
      </c>
      <c r="Q3175" s="3" t="n">
        <v>400570.62</v>
      </c>
      <c r="R3175" s="3" t="n">
        <v>0.3477</v>
      </c>
      <c r="S3175" s="3" t="n">
        <v>0.0409</v>
      </c>
      <c r="T3175" s="3" t="n">
        <v>0.0086</v>
      </c>
    </row>
    <row r="3176" customFormat="false" ht="15" hidden="false" customHeight="true" outlineLevel="0" collapsed="false">
      <c r="A3176" s="3" t="s">
        <v>4294</v>
      </c>
      <c r="B3176" s="3" t="s">
        <v>1870</v>
      </c>
      <c r="C3176" s="3" t="s">
        <v>46</v>
      </c>
      <c r="D3176" s="3" t="s">
        <v>75</v>
      </c>
      <c r="E3176" s="3" t="s">
        <v>39</v>
      </c>
      <c r="F3176" s="3" t="s">
        <v>25</v>
      </c>
      <c r="G3176" s="3" t="s">
        <v>41</v>
      </c>
      <c r="H3176" s="3" t="s">
        <v>64</v>
      </c>
      <c r="I3176" s="3" t="s">
        <v>108</v>
      </c>
      <c r="J3176" s="3" t="n">
        <v>41</v>
      </c>
      <c r="K3176" s="3" t="n">
        <v>3680.03</v>
      </c>
      <c r="L3176" s="3" t="n">
        <v>150881.23</v>
      </c>
      <c r="M3176" s="3" t="n">
        <v>0.155</v>
      </c>
      <c r="N3176" s="3" t="n">
        <v>23386.59</v>
      </c>
      <c r="O3176" s="3" t="n">
        <v>127494.64</v>
      </c>
      <c r="P3176" s="3" t="n">
        <v>87511.11</v>
      </c>
      <c r="Q3176" s="3" t="n">
        <v>39983.53</v>
      </c>
      <c r="R3176" s="3" t="n">
        <v>0.3136</v>
      </c>
      <c r="S3176" s="3" t="n">
        <v>0.1279</v>
      </c>
      <c r="T3176" s="3" t="n">
        <v>0.0271</v>
      </c>
    </row>
    <row r="3177" customFormat="false" ht="15" hidden="false" customHeight="true" outlineLevel="0" collapsed="false">
      <c r="A3177" s="3" t="s">
        <v>4295</v>
      </c>
      <c r="B3177" s="3" t="s">
        <v>824</v>
      </c>
      <c r="C3177" s="3" t="s">
        <v>126</v>
      </c>
      <c r="D3177" s="3" t="s">
        <v>61</v>
      </c>
      <c r="E3177" s="3" t="s">
        <v>33</v>
      </c>
      <c r="F3177" s="3" t="s">
        <v>62</v>
      </c>
      <c r="G3177" s="3" t="s">
        <v>71</v>
      </c>
      <c r="H3177" s="3" t="s">
        <v>56</v>
      </c>
      <c r="I3177" s="3" t="s">
        <v>57</v>
      </c>
      <c r="J3177" s="3" t="n">
        <v>10</v>
      </c>
      <c r="K3177" s="3" t="n">
        <v>10744.87</v>
      </c>
      <c r="L3177" s="3" t="n">
        <v>107448.7</v>
      </c>
      <c r="M3177" s="3" t="n">
        <v>0.0721</v>
      </c>
      <c r="N3177" s="3" t="n">
        <v>7747.05</v>
      </c>
      <c r="O3177" s="3" t="n">
        <v>99701.65</v>
      </c>
      <c r="P3177" s="3" t="n">
        <v>64469.22</v>
      </c>
      <c r="Q3177" s="3" t="n">
        <v>35232.43</v>
      </c>
      <c r="R3177" s="3" t="n">
        <v>0.3534</v>
      </c>
      <c r="S3177" s="3" t="n">
        <v>0.0663</v>
      </c>
      <c r="T3177" s="3" t="n">
        <v>0.0058</v>
      </c>
    </row>
    <row r="3178" customFormat="false" ht="15" hidden="false" customHeight="true" outlineLevel="0" collapsed="false">
      <c r="A3178" s="3" t="s">
        <v>4296</v>
      </c>
      <c r="B3178" s="3" t="s">
        <v>629</v>
      </c>
      <c r="C3178" s="3" t="s">
        <v>113</v>
      </c>
      <c r="D3178" s="3" t="s">
        <v>103</v>
      </c>
      <c r="E3178" s="3" t="s">
        <v>24</v>
      </c>
      <c r="F3178" s="3" t="s">
        <v>62</v>
      </c>
      <c r="G3178" s="3" t="s">
        <v>71</v>
      </c>
      <c r="H3178" s="3" t="s">
        <v>77</v>
      </c>
      <c r="I3178" s="3" t="s">
        <v>78</v>
      </c>
      <c r="J3178" s="3" t="n">
        <v>25</v>
      </c>
      <c r="K3178" s="3" t="n">
        <v>4219.75</v>
      </c>
      <c r="L3178" s="3" t="n">
        <v>105493.75</v>
      </c>
      <c r="M3178" s="3" t="n">
        <v>0.0757</v>
      </c>
      <c r="N3178" s="3" t="n">
        <v>7985.88</v>
      </c>
      <c r="O3178" s="3" t="n">
        <v>97507.87</v>
      </c>
      <c r="P3178" s="3" t="n">
        <v>71735.75</v>
      </c>
      <c r="Q3178" s="3" t="n">
        <v>25772.12</v>
      </c>
      <c r="R3178" s="3" t="n">
        <v>0.2643</v>
      </c>
      <c r="S3178" s="3" t="n">
        <v>0.0647</v>
      </c>
      <c r="T3178" s="3" t="n">
        <v>0.011</v>
      </c>
    </row>
    <row r="3179" customFormat="false" ht="15" hidden="false" customHeight="true" outlineLevel="0" collapsed="false">
      <c r="A3179" s="3" t="s">
        <v>4297</v>
      </c>
      <c r="B3179" s="3" t="s">
        <v>1224</v>
      </c>
      <c r="C3179" s="3" t="s">
        <v>68</v>
      </c>
      <c r="D3179" s="3" t="s">
        <v>23</v>
      </c>
      <c r="E3179" s="3" t="s">
        <v>24</v>
      </c>
      <c r="F3179" s="3" t="s">
        <v>25</v>
      </c>
      <c r="G3179" s="3" t="s">
        <v>76</v>
      </c>
      <c r="H3179" s="3" t="s">
        <v>42</v>
      </c>
      <c r="I3179" s="3" t="s">
        <v>134</v>
      </c>
      <c r="J3179" s="3" t="n">
        <v>8</v>
      </c>
      <c r="K3179" s="3" t="n">
        <v>3735.87</v>
      </c>
      <c r="L3179" s="3" t="n">
        <v>29886.96</v>
      </c>
      <c r="M3179" s="3" t="n">
        <v>0.1598</v>
      </c>
      <c r="N3179" s="3" t="n">
        <v>4775.94</v>
      </c>
      <c r="O3179" s="3" t="n">
        <v>25111.02</v>
      </c>
      <c r="P3179" s="3" t="n">
        <v>16437.83</v>
      </c>
      <c r="Q3179" s="3" t="n">
        <v>8673.19</v>
      </c>
      <c r="R3179" s="3" t="n">
        <v>0.3454</v>
      </c>
      <c r="S3179" s="3" t="n">
        <v>0.1598</v>
      </c>
      <c r="T3179" s="3" t="n">
        <v>0</v>
      </c>
    </row>
    <row r="3180" customFormat="false" ht="15" hidden="false" customHeight="true" outlineLevel="0" collapsed="false">
      <c r="A3180" s="3" t="s">
        <v>4298</v>
      </c>
      <c r="B3180" s="3" t="s">
        <v>386</v>
      </c>
      <c r="C3180" s="3" t="s">
        <v>37</v>
      </c>
      <c r="D3180" s="3" t="s">
        <v>97</v>
      </c>
      <c r="E3180" s="3" t="s">
        <v>48</v>
      </c>
      <c r="F3180" s="3" t="s">
        <v>40</v>
      </c>
      <c r="G3180" s="3" t="s">
        <v>34</v>
      </c>
      <c r="H3180" s="3" t="s">
        <v>42</v>
      </c>
      <c r="I3180" s="3" t="s">
        <v>43</v>
      </c>
      <c r="J3180" s="3" t="n">
        <v>29</v>
      </c>
      <c r="K3180" s="3" t="n">
        <v>1837.16</v>
      </c>
      <c r="L3180" s="3" t="n">
        <v>53277.64</v>
      </c>
      <c r="M3180" s="3" t="n">
        <v>0.098</v>
      </c>
      <c r="N3180" s="3" t="n">
        <v>5221.21</v>
      </c>
      <c r="O3180" s="3" t="n">
        <v>48056.43</v>
      </c>
      <c r="P3180" s="3" t="n">
        <v>29302.7</v>
      </c>
      <c r="Q3180" s="3" t="n">
        <v>18753.73</v>
      </c>
      <c r="R3180" s="3" t="n">
        <v>0.3902</v>
      </c>
      <c r="S3180" s="3" t="n">
        <v>0.0827</v>
      </c>
      <c r="T3180" s="3" t="n">
        <v>0.0153</v>
      </c>
    </row>
    <row r="3181" customFormat="false" ht="15" hidden="false" customHeight="true" outlineLevel="0" collapsed="false">
      <c r="A3181" s="3" t="s">
        <v>4299</v>
      </c>
      <c r="B3181" s="3" t="s">
        <v>2022</v>
      </c>
      <c r="C3181" s="3" t="s">
        <v>31</v>
      </c>
      <c r="D3181" s="3" t="s">
        <v>69</v>
      </c>
      <c r="E3181" s="3" t="s">
        <v>39</v>
      </c>
      <c r="F3181" s="3" t="s">
        <v>70</v>
      </c>
      <c r="G3181" s="3" t="s">
        <v>71</v>
      </c>
      <c r="H3181" s="3" t="s">
        <v>56</v>
      </c>
      <c r="I3181" s="3" t="s">
        <v>121</v>
      </c>
      <c r="J3181" s="3" t="n">
        <v>45</v>
      </c>
      <c r="K3181" s="3" t="n">
        <v>10638</v>
      </c>
      <c r="L3181" s="3" t="n">
        <v>478710</v>
      </c>
      <c r="M3181" s="3" t="n">
        <v>0.0597</v>
      </c>
      <c r="N3181" s="3" t="n">
        <v>28578.99</v>
      </c>
      <c r="O3181" s="3" t="n">
        <v>450131.01</v>
      </c>
      <c r="P3181" s="3" t="n">
        <v>287226</v>
      </c>
      <c r="Q3181" s="3" t="n">
        <v>162905.01</v>
      </c>
      <c r="R3181" s="3" t="n">
        <v>0.3619</v>
      </c>
      <c r="S3181" s="3" t="n">
        <v>0.0627</v>
      </c>
      <c r="T3181" s="3" t="n">
        <v>-0.003</v>
      </c>
    </row>
    <row r="3182" customFormat="false" ht="15" hidden="false" customHeight="true" outlineLevel="0" collapsed="false">
      <c r="A3182" s="3" t="s">
        <v>4300</v>
      </c>
      <c r="B3182" s="3" t="s">
        <v>475</v>
      </c>
      <c r="C3182" s="3" t="s">
        <v>126</v>
      </c>
      <c r="D3182" s="3" t="s">
        <v>97</v>
      </c>
      <c r="E3182" s="3" t="s">
        <v>48</v>
      </c>
      <c r="F3182" s="3" t="s">
        <v>40</v>
      </c>
      <c r="G3182" s="3" t="s">
        <v>76</v>
      </c>
      <c r="H3182" s="3" t="s">
        <v>77</v>
      </c>
      <c r="I3182" s="3" t="s">
        <v>85</v>
      </c>
      <c r="J3182" s="3" t="n">
        <v>35</v>
      </c>
      <c r="K3182" s="3" t="n">
        <v>4945.55</v>
      </c>
      <c r="L3182" s="3" t="n">
        <v>173094.25</v>
      </c>
      <c r="M3182" s="3" t="n">
        <v>0.0689</v>
      </c>
      <c r="N3182" s="3" t="n">
        <v>11926.19</v>
      </c>
      <c r="O3182" s="3" t="n">
        <v>161168.06</v>
      </c>
      <c r="P3182" s="3" t="n">
        <v>117704.09</v>
      </c>
      <c r="Q3182" s="3" t="n">
        <v>43463.97</v>
      </c>
      <c r="R3182" s="3" t="n">
        <v>0.2697</v>
      </c>
      <c r="S3182" s="3" t="n">
        <v>0.073</v>
      </c>
      <c r="T3182" s="3" t="n">
        <v>-0.0041</v>
      </c>
    </row>
    <row r="3183" customFormat="false" ht="15" hidden="false" customHeight="true" outlineLevel="0" collapsed="false">
      <c r="A3183" s="3" t="s">
        <v>4301</v>
      </c>
      <c r="B3183" s="3" t="s">
        <v>2510</v>
      </c>
      <c r="C3183" s="3" t="s">
        <v>53</v>
      </c>
      <c r="D3183" s="3" t="s">
        <v>61</v>
      </c>
      <c r="E3183" s="3" t="s">
        <v>33</v>
      </c>
      <c r="F3183" s="3" t="s">
        <v>62</v>
      </c>
      <c r="G3183" s="3" t="s">
        <v>71</v>
      </c>
      <c r="H3183" s="3" t="s">
        <v>42</v>
      </c>
      <c r="I3183" s="3" t="s">
        <v>134</v>
      </c>
      <c r="J3183" s="3" t="n">
        <v>2</v>
      </c>
      <c r="K3183" s="3" t="n">
        <v>971.03</v>
      </c>
      <c r="L3183" s="3" t="n">
        <v>1942.06</v>
      </c>
      <c r="M3183" s="3" t="n">
        <v>0.0773</v>
      </c>
      <c r="N3183" s="3" t="n">
        <v>150.12</v>
      </c>
      <c r="O3183" s="3" t="n">
        <v>1791.94</v>
      </c>
      <c r="P3183" s="3" t="n">
        <v>1068.13</v>
      </c>
      <c r="Q3183" s="3" t="n">
        <v>723.81</v>
      </c>
      <c r="R3183" s="3" t="n">
        <v>0.4039</v>
      </c>
      <c r="S3183" s="3" t="n">
        <v>0.0772</v>
      </c>
      <c r="T3183" s="3" t="n">
        <v>0.0001</v>
      </c>
    </row>
    <row r="3184" customFormat="false" ht="15" hidden="false" customHeight="true" outlineLevel="0" collapsed="false">
      <c r="A3184" s="3" t="s">
        <v>4302</v>
      </c>
      <c r="B3184" s="3" t="s">
        <v>744</v>
      </c>
      <c r="C3184" s="3" t="s">
        <v>120</v>
      </c>
      <c r="D3184" s="3" t="s">
        <v>69</v>
      </c>
      <c r="E3184" s="3" t="s">
        <v>39</v>
      </c>
      <c r="F3184" s="3" t="s">
        <v>70</v>
      </c>
      <c r="G3184" s="3" t="s">
        <v>49</v>
      </c>
      <c r="H3184" s="3" t="s">
        <v>64</v>
      </c>
      <c r="I3184" s="3" t="s">
        <v>108</v>
      </c>
      <c r="J3184" s="3" t="n">
        <v>4</v>
      </c>
      <c r="K3184" s="3" t="n">
        <v>5402.67</v>
      </c>
      <c r="L3184" s="3" t="n">
        <v>21610.68</v>
      </c>
      <c r="M3184" s="3" t="n">
        <v>0.075</v>
      </c>
      <c r="N3184" s="3" t="n">
        <v>1620.8</v>
      </c>
      <c r="O3184" s="3" t="n">
        <v>19989.88</v>
      </c>
      <c r="P3184" s="3" t="n">
        <v>12534.19</v>
      </c>
      <c r="Q3184" s="3" t="n">
        <v>7455.69</v>
      </c>
      <c r="R3184" s="3" t="n">
        <v>0.373</v>
      </c>
      <c r="S3184" s="3" t="n">
        <v>0.0641</v>
      </c>
      <c r="T3184" s="3" t="n">
        <v>0.0109</v>
      </c>
    </row>
    <row r="3185" customFormat="false" ht="15" hidden="false" customHeight="true" outlineLevel="0" collapsed="false">
      <c r="A3185" s="3" t="s">
        <v>4303</v>
      </c>
      <c r="B3185" s="3" t="s">
        <v>722</v>
      </c>
      <c r="C3185" s="3" t="s">
        <v>46</v>
      </c>
      <c r="D3185" s="3" t="s">
        <v>75</v>
      </c>
      <c r="E3185" s="3" t="s">
        <v>39</v>
      </c>
      <c r="F3185" s="3" t="s">
        <v>25</v>
      </c>
      <c r="G3185" s="3" t="s">
        <v>63</v>
      </c>
      <c r="H3185" s="3" t="s">
        <v>56</v>
      </c>
      <c r="I3185" s="3" t="s">
        <v>188</v>
      </c>
      <c r="J3185" s="3" t="n">
        <v>1</v>
      </c>
      <c r="K3185" s="3" t="n">
        <v>2182.69</v>
      </c>
      <c r="L3185" s="3" t="n">
        <v>2182.69</v>
      </c>
      <c r="M3185" s="3" t="n">
        <v>0.1657</v>
      </c>
      <c r="N3185" s="3" t="n">
        <v>361.67</v>
      </c>
      <c r="O3185" s="3" t="n">
        <v>1821.02</v>
      </c>
      <c r="P3185" s="3" t="n">
        <v>1309.61</v>
      </c>
      <c r="Q3185" s="3" t="n">
        <v>511.41</v>
      </c>
      <c r="R3185" s="3" t="n">
        <v>0.2808</v>
      </c>
      <c r="S3185" s="3" t="n">
        <v>0.1783</v>
      </c>
      <c r="T3185" s="3" t="n">
        <v>-0.0126</v>
      </c>
    </row>
    <row r="3186" customFormat="false" ht="15" hidden="false" customHeight="true" outlineLevel="0" collapsed="false">
      <c r="A3186" s="3" t="s">
        <v>4304</v>
      </c>
      <c r="B3186" s="3" t="s">
        <v>3665</v>
      </c>
      <c r="C3186" s="3" t="s">
        <v>93</v>
      </c>
      <c r="D3186" s="3" t="s">
        <v>83</v>
      </c>
      <c r="E3186" s="3" t="s">
        <v>48</v>
      </c>
      <c r="F3186" s="3" t="s">
        <v>62</v>
      </c>
      <c r="G3186" s="3" t="s">
        <v>26</v>
      </c>
      <c r="H3186" s="3" t="s">
        <v>77</v>
      </c>
      <c r="I3186" s="3" t="s">
        <v>131</v>
      </c>
      <c r="J3186" s="3" t="n">
        <v>27</v>
      </c>
      <c r="K3186" s="3" t="n">
        <v>3950.45</v>
      </c>
      <c r="L3186" s="3" t="n">
        <v>106662.15</v>
      </c>
      <c r="M3186" s="3" t="n">
        <v>0.0631</v>
      </c>
      <c r="N3186" s="3" t="n">
        <v>6730.38</v>
      </c>
      <c r="O3186" s="3" t="n">
        <v>99931.77</v>
      </c>
      <c r="P3186" s="3" t="n">
        <v>72530.26</v>
      </c>
      <c r="Q3186" s="3" t="n">
        <v>27401.51</v>
      </c>
      <c r="R3186" s="3" t="n">
        <v>0.2742</v>
      </c>
      <c r="S3186" s="3" t="n">
        <v>0.0587</v>
      </c>
      <c r="T3186" s="3" t="n">
        <v>0.0044</v>
      </c>
    </row>
    <row r="3187" customFormat="false" ht="15" hidden="false" customHeight="true" outlineLevel="0" collapsed="false">
      <c r="A3187" s="3" t="s">
        <v>4305</v>
      </c>
      <c r="B3187" s="3" t="s">
        <v>3665</v>
      </c>
      <c r="C3187" s="3" t="s">
        <v>93</v>
      </c>
      <c r="D3187" s="3" t="s">
        <v>107</v>
      </c>
      <c r="E3187" s="3" t="s">
        <v>33</v>
      </c>
      <c r="F3187" s="3" t="s">
        <v>70</v>
      </c>
      <c r="G3187" s="3" t="s">
        <v>63</v>
      </c>
      <c r="H3187" s="3" t="s">
        <v>64</v>
      </c>
      <c r="I3187" s="3" t="s">
        <v>90</v>
      </c>
      <c r="J3187" s="3" t="n">
        <v>39</v>
      </c>
      <c r="K3187" s="3" t="n">
        <v>4299.43</v>
      </c>
      <c r="L3187" s="3" t="n">
        <v>167677.77</v>
      </c>
      <c r="M3187" s="3" t="n">
        <v>0.0487</v>
      </c>
      <c r="N3187" s="3" t="n">
        <v>8165.91</v>
      </c>
      <c r="O3187" s="3" t="n">
        <v>159511.86</v>
      </c>
      <c r="P3187" s="3" t="n">
        <v>97253.11</v>
      </c>
      <c r="Q3187" s="3" t="n">
        <v>62258.75</v>
      </c>
      <c r="R3187" s="3" t="n">
        <v>0.3903</v>
      </c>
      <c r="S3187" s="3" t="n">
        <v>0.0451</v>
      </c>
      <c r="T3187" s="3" t="n">
        <v>0.0036</v>
      </c>
    </row>
    <row r="3188" customFormat="false" ht="15" hidden="false" customHeight="true" outlineLevel="0" collapsed="false">
      <c r="A3188" s="3" t="s">
        <v>4306</v>
      </c>
      <c r="B3188" s="3" t="s">
        <v>1792</v>
      </c>
      <c r="C3188" s="3" t="s">
        <v>68</v>
      </c>
      <c r="D3188" s="3" t="s">
        <v>83</v>
      </c>
      <c r="E3188" s="3" t="s">
        <v>48</v>
      </c>
      <c r="F3188" s="3" t="s">
        <v>62</v>
      </c>
      <c r="G3188" s="3" t="s">
        <v>41</v>
      </c>
      <c r="H3188" s="3" t="s">
        <v>27</v>
      </c>
      <c r="I3188" s="3" t="s">
        <v>173</v>
      </c>
      <c r="J3188" s="3" t="n">
        <v>32</v>
      </c>
      <c r="K3188" s="3" t="n">
        <v>38670.76</v>
      </c>
      <c r="L3188" s="3" t="n">
        <v>1237464.32</v>
      </c>
      <c r="M3188" s="3" t="n">
        <v>0.0686</v>
      </c>
      <c r="N3188" s="3" t="n">
        <v>84890.05</v>
      </c>
      <c r="O3188" s="3" t="n">
        <v>1152574.27</v>
      </c>
      <c r="P3188" s="3" t="n">
        <v>767227.88</v>
      </c>
      <c r="Q3188" s="3" t="n">
        <v>385346.39</v>
      </c>
      <c r="R3188" s="3" t="n">
        <v>0.3343</v>
      </c>
      <c r="S3188" s="3" t="n">
        <v>0.0723</v>
      </c>
      <c r="T3188" s="3" t="n">
        <v>-0.0037</v>
      </c>
    </row>
    <row r="3189" customFormat="false" ht="15" hidden="false" customHeight="true" outlineLevel="0" collapsed="false">
      <c r="A3189" s="3" t="s">
        <v>4307</v>
      </c>
      <c r="B3189" s="3" t="s">
        <v>623</v>
      </c>
      <c r="C3189" s="3" t="s">
        <v>22</v>
      </c>
      <c r="D3189" s="3" t="s">
        <v>47</v>
      </c>
      <c r="E3189" s="3" t="s">
        <v>48</v>
      </c>
      <c r="F3189" s="3" t="s">
        <v>25</v>
      </c>
      <c r="G3189" s="3" t="s">
        <v>71</v>
      </c>
      <c r="H3189" s="3" t="s">
        <v>56</v>
      </c>
      <c r="I3189" s="3" t="s">
        <v>188</v>
      </c>
      <c r="J3189" s="3" t="n">
        <v>33</v>
      </c>
      <c r="K3189" s="3" t="n">
        <v>6796.87</v>
      </c>
      <c r="L3189" s="3" t="n">
        <v>224296.71</v>
      </c>
      <c r="M3189" s="3" t="n">
        <v>0.1354</v>
      </c>
      <c r="N3189" s="3" t="n">
        <v>30369.77</v>
      </c>
      <c r="O3189" s="3" t="n">
        <v>193926.94</v>
      </c>
      <c r="P3189" s="3" t="n">
        <v>134578.03</v>
      </c>
      <c r="Q3189" s="3" t="n">
        <v>59348.91</v>
      </c>
      <c r="R3189" s="3" t="n">
        <v>0.306</v>
      </c>
      <c r="S3189" s="3" t="n">
        <v>0.1175</v>
      </c>
      <c r="T3189" s="3" t="n">
        <v>0.0179</v>
      </c>
    </row>
    <row r="3190" customFormat="false" ht="15" hidden="false" customHeight="true" outlineLevel="0" collapsed="false">
      <c r="A3190" s="3" t="s">
        <v>4308</v>
      </c>
      <c r="B3190" s="3" t="s">
        <v>541</v>
      </c>
      <c r="C3190" s="3" t="s">
        <v>126</v>
      </c>
      <c r="D3190" s="3" t="s">
        <v>23</v>
      </c>
      <c r="E3190" s="3" t="s">
        <v>24</v>
      </c>
      <c r="F3190" s="3" t="s">
        <v>25</v>
      </c>
      <c r="G3190" s="3" t="s">
        <v>76</v>
      </c>
      <c r="H3190" s="3" t="s">
        <v>64</v>
      </c>
      <c r="I3190" s="3" t="s">
        <v>90</v>
      </c>
      <c r="J3190" s="3" t="n">
        <v>26</v>
      </c>
      <c r="K3190" s="3" t="n">
        <v>8889.07</v>
      </c>
      <c r="L3190" s="3" t="n">
        <v>231115.82</v>
      </c>
      <c r="M3190" s="3" t="n">
        <v>0.1172</v>
      </c>
      <c r="N3190" s="3" t="n">
        <v>27086.77</v>
      </c>
      <c r="O3190" s="3" t="n">
        <v>204029.05</v>
      </c>
      <c r="P3190" s="3" t="n">
        <v>134047.18</v>
      </c>
      <c r="Q3190" s="3" t="n">
        <v>69981.87</v>
      </c>
      <c r="R3190" s="3" t="n">
        <v>0.343</v>
      </c>
      <c r="S3190" s="3" t="n">
        <v>0.0976</v>
      </c>
      <c r="T3190" s="3" t="n">
        <v>0.0196</v>
      </c>
    </row>
    <row r="3191" customFormat="false" ht="15" hidden="false" customHeight="true" outlineLevel="0" collapsed="false">
      <c r="A3191" s="3" t="s">
        <v>4309</v>
      </c>
      <c r="B3191" s="3" t="s">
        <v>783</v>
      </c>
      <c r="C3191" s="3" t="s">
        <v>156</v>
      </c>
      <c r="D3191" s="3" t="s">
        <v>38</v>
      </c>
      <c r="E3191" s="3" t="s">
        <v>39</v>
      </c>
      <c r="F3191" s="3" t="s">
        <v>40</v>
      </c>
      <c r="G3191" s="3" t="s">
        <v>104</v>
      </c>
      <c r="H3191" s="3" t="s">
        <v>27</v>
      </c>
      <c r="I3191" s="3" t="s">
        <v>173</v>
      </c>
      <c r="J3191" s="3" t="n">
        <v>44</v>
      </c>
      <c r="K3191" s="3" t="n">
        <v>18332.84</v>
      </c>
      <c r="L3191" s="3" t="n">
        <v>806644.96</v>
      </c>
      <c r="M3191" s="3" t="n">
        <v>0.112</v>
      </c>
      <c r="N3191" s="3" t="n">
        <v>90344.24</v>
      </c>
      <c r="O3191" s="3" t="n">
        <v>716300.72</v>
      </c>
      <c r="P3191" s="3" t="n">
        <v>500119.88</v>
      </c>
      <c r="Q3191" s="3" t="n">
        <v>216180.84</v>
      </c>
      <c r="R3191" s="3" t="n">
        <v>0.3018</v>
      </c>
      <c r="S3191" s="3" t="n">
        <v>0.1026</v>
      </c>
      <c r="T3191" s="3" t="n">
        <v>0.0094</v>
      </c>
    </row>
    <row r="3192" customFormat="false" ht="15" hidden="false" customHeight="true" outlineLevel="0" collapsed="false">
      <c r="A3192" s="3" t="s">
        <v>4310</v>
      </c>
      <c r="B3192" s="3" t="s">
        <v>974</v>
      </c>
      <c r="C3192" s="3" t="s">
        <v>156</v>
      </c>
      <c r="D3192" s="3" t="s">
        <v>54</v>
      </c>
      <c r="E3192" s="3" t="s">
        <v>24</v>
      </c>
      <c r="F3192" s="3" t="s">
        <v>40</v>
      </c>
      <c r="G3192" s="3" t="s">
        <v>55</v>
      </c>
      <c r="H3192" s="3" t="s">
        <v>56</v>
      </c>
      <c r="I3192" s="3" t="s">
        <v>188</v>
      </c>
      <c r="J3192" s="3" t="n">
        <v>49</v>
      </c>
      <c r="K3192" s="3" t="n">
        <v>13509.09</v>
      </c>
      <c r="L3192" s="3" t="n">
        <v>661945.41</v>
      </c>
      <c r="M3192" s="3" t="n">
        <v>0.0543</v>
      </c>
      <c r="N3192" s="3" t="n">
        <v>35943.64</v>
      </c>
      <c r="O3192" s="3" t="n">
        <v>626001.77</v>
      </c>
      <c r="P3192" s="3" t="n">
        <v>397167.25</v>
      </c>
      <c r="Q3192" s="3" t="n">
        <v>228834.52</v>
      </c>
      <c r="R3192" s="3" t="n">
        <v>0.3655</v>
      </c>
      <c r="S3192" s="3" t="n">
        <v>0.0472</v>
      </c>
      <c r="T3192" s="3" t="n">
        <v>0.0071</v>
      </c>
    </row>
    <row r="3193" customFormat="false" ht="15" hidden="false" customHeight="true" outlineLevel="0" collapsed="false">
      <c r="A3193" s="3" t="s">
        <v>4311</v>
      </c>
      <c r="B3193" s="3" t="s">
        <v>406</v>
      </c>
      <c r="C3193" s="3" t="s">
        <v>46</v>
      </c>
      <c r="D3193" s="3" t="s">
        <v>75</v>
      </c>
      <c r="E3193" s="3" t="s">
        <v>39</v>
      </c>
      <c r="F3193" s="3" t="s">
        <v>25</v>
      </c>
      <c r="G3193" s="3" t="s">
        <v>116</v>
      </c>
      <c r="H3193" s="3" t="s">
        <v>42</v>
      </c>
      <c r="I3193" s="3" t="s">
        <v>72</v>
      </c>
      <c r="J3193" s="3" t="n">
        <v>39</v>
      </c>
      <c r="K3193" s="3" t="n">
        <v>2968.09</v>
      </c>
      <c r="L3193" s="3" t="n">
        <v>115755.51</v>
      </c>
      <c r="M3193" s="3" t="n">
        <v>0.1389</v>
      </c>
      <c r="N3193" s="3" t="n">
        <v>16078.44</v>
      </c>
      <c r="O3193" s="3" t="n">
        <v>99677.07</v>
      </c>
      <c r="P3193" s="3" t="n">
        <v>63665.53</v>
      </c>
      <c r="Q3193" s="3" t="n">
        <v>36011.54</v>
      </c>
      <c r="R3193" s="3" t="n">
        <v>0.3613</v>
      </c>
      <c r="S3193" s="3" t="n">
        <v>0.1344</v>
      </c>
      <c r="T3193" s="3" t="n">
        <v>0.0045</v>
      </c>
    </row>
    <row r="3194" customFormat="false" ht="15" hidden="false" customHeight="true" outlineLevel="0" collapsed="false">
      <c r="A3194" s="3" t="s">
        <v>4312</v>
      </c>
      <c r="B3194" s="3" t="s">
        <v>1210</v>
      </c>
      <c r="C3194" s="3" t="s">
        <v>156</v>
      </c>
      <c r="D3194" s="3" t="s">
        <v>61</v>
      </c>
      <c r="E3194" s="3" t="s">
        <v>33</v>
      </c>
      <c r="F3194" s="3" t="s">
        <v>62</v>
      </c>
      <c r="G3194" s="3" t="s">
        <v>100</v>
      </c>
      <c r="H3194" s="3" t="s">
        <v>64</v>
      </c>
      <c r="I3194" s="3" t="s">
        <v>90</v>
      </c>
      <c r="J3194" s="3" t="n">
        <v>26</v>
      </c>
      <c r="K3194" s="3" t="n">
        <v>4279.81</v>
      </c>
      <c r="L3194" s="3" t="n">
        <v>111275.06</v>
      </c>
      <c r="M3194" s="3" t="n">
        <v>0.0532</v>
      </c>
      <c r="N3194" s="3" t="n">
        <v>5919.83</v>
      </c>
      <c r="O3194" s="3" t="n">
        <v>105355.23</v>
      </c>
      <c r="P3194" s="3" t="n">
        <v>64539.53</v>
      </c>
      <c r="Q3194" s="3" t="n">
        <v>40815.7</v>
      </c>
      <c r="R3194" s="3" t="n">
        <v>0.3874</v>
      </c>
      <c r="S3194" s="3" t="n">
        <v>0.05</v>
      </c>
      <c r="T3194" s="3" t="n">
        <v>0.0032</v>
      </c>
    </row>
    <row r="3195" customFormat="false" ht="15" hidden="false" customHeight="true" outlineLevel="0" collapsed="false">
      <c r="A3195" s="3" t="s">
        <v>4313</v>
      </c>
      <c r="B3195" s="3" t="s">
        <v>219</v>
      </c>
      <c r="C3195" s="3" t="s">
        <v>37</v>
      </c>
      <c r="D3195" s="3" t="s">
        <v>75</v>
      </c>
      <c r="E3195" s="3" t="s">
        <v>39</v>
      </c>
      <c r="F3195" s="3" t="s">
        <v>25</v>
      </c>
      <c r="G3195" s="3" t="s">
        <v>34</v>
      </c>
      <c r="H3195" s="3" t="s">
        <v>27</v>
      </c>
      <c r="I3195" s="3" t="s">
        <v>50</v>
      </c>
      <c r="J3195" s="3" t="n">
        <v>16</v>
      </c>
      <c r="K3195" s="3" t="n">
        <v>10143.51</v>
      </c>
      <c r="L3195" s="3" t="n">
        <v>162296.16</v>
      </c>
      <c r="M3195" s="3" t="n">
        <v>0.1593</v>
      </c>
      <c r="N3195" s="3" t="n">
        <v>25853.78</v>
      </c>
      <c r="O3195" s="3" t="n">
        <v>136442.38</v>
      </c>
      <c r="P3195" s="3" t="n">
        <v>100623.62</v>
      </c>
      <c r="Q3195" s="3" t="n">
        <v>35818.76</v>
      </c>
      <c r="R3195" s="3" t="n">
        <v>0.2625</v>
      </c>
      <c r="S3195" s="3" t="n">
        <v>0.1729</v>
      </c>
      <c r="T3195" s="3" t="n">
        <v>-0.0136</v>
      </c>
    </row>
    <row r="3196" customFormat="false" ht="15" hidden="false" customHeight="true" outlineLevel="0" collapsed="false">
      <c r="A3196" s="3" t="s">
        <v>4314</v>
      </c>
      <c r="B3196" s="3" t="s">
        <v>2569</v>
      </c>
      <c r="C3196" s="3" t="s">
        <v>68</v>
      </c>
      <c r="D3196" s="3" t="s">
        <v>47</v>
      </c>
      <c r="E3196" s="3" t="s">
        <v>48</v>
      </c>
      <c r="F3196" s="3" t="s">
        <v>25</v>
      </c>
      <c r="G3196" s="3" t="s">
        <v>41</v>
      </c>
      <c r="H3196" s="3" t="s">
        <v>27</v>
      </c>
      <c r="I3196" s="3" t="s">
        <v>117</v>
      </c>
      <c r="J3196" s="3" t="n">
        <v>37</v>
      </c>
      <c r="K3196" s="3" t="n">
        <v>11618.61</v>
      </c>
      <c r="L3196" s="3" t="n">
        <v>429888.57</v>
      </c>
      <c r="M3196" s="3" t="n">
        <v>0.2093</v>
      </c>
      <c r="N3196" s="3" t="n">
        <v>89975.68</v>
      </c>
      <c r="O3196" s="3" t="n">
        <v>339912.89</v>
      </c>
      <c r="P3196" s="3" t="n">
        <v>266530.91</v>
      </c>
      <c r="Q3196" s="3" t="n">
        <v>73381.98</v>
      </c>
      <c r="R3196" s="3" t="n">
        <v>0.2159</v>
      </c>
      <c r="S3196" s="3" t="n">
        <v>0.196</v>
      </c>
      <c r="T3196" s="3" t="n">
        <v>0.0133</v>
      </c>
    </row>
    <row r="3197" customFormat="false" ht="15" hidden="false" customHeight="true" outlineLevel="0" collapsed="false">
      <c r="A3197" s="3" t="s">
        <v>4315</v>
      </c>
      <c r="B3197" s="3" t="s">
        <v>4316</v>
      </c>
      <c r="C3197" s="3" t="s">
        <v>46</v>
      </c>
      <c r="D3197" s="3" t="s">
        <v>54</v>
      </c>
      <c r="E3197" s="3" t="s">
        <v>24</v>
      </c>
      <c r="F3197" s="3" t="s">
        <v>40</v>
      </c>
      <c r="G3197" s="3" t="s">
        <v>41</v>
      </c>
      <c r="H3197" s="3" t="s">
        <v>56</v>
      </c>
      <c r="I3197" s="3" t="s">
        <v>188</v>
      </c>
      <c r="J3197" s="3" t="n">
        <v>39</v>
      </c>
      <c r="K3197" s="3" t="n">
        <v>15837.43</v>
      </c>
      <c r="L3197" s="3" t="n">
        <v>617659.77</v>
      </c>
      <c r="M3197" s="3" t="n">
        <v>0.0925</v>
      </c>
      <c r="N3197" s="3" t="n">
        <v>57133.53</v>
      </c>
      <c r="O3197" s="3" t="n">
        <v>560526.24</v>
      </c>
      <c r="P3197" s="3" t="n">
        <v>370595.86</v>
      </c>
      <c r="Q3197" s="3" t="n">
        <v>189930.38</v>
      </c>
      <c r="R3197" s="3" t="n">
        <v>0.3388</v>
      </c>
      <c r="S3197" s="3" t="n">
        <v>0.0891</v>
      </c>
      <c r="T3197" s="3" t="n">
        <v>0.0034</v>
      </c>
    </row>
    <row r="3198" customFormat="false" ht="15" hidden="false" customHeight="true" outlineLevel="0" collapsed="false">
      <c r="A3198" s="3" t="s">
        <v>4317</v>
      </c>
      <c r="B3198" s="3" t="s">
        <v>2840</v>
      </c>
      <c r="C3198" s="3" t="s">
        <v>31</v>
      </c>
      <c r="D3198" s="3" t="s">
        <v>107</v>
      </c>
      <c r="E3198" s="3" t="s">
        <v>33</v>
      </c>
      <c r="F3198" s="3" t="s">
        <v>70</v>
      </c>
      <c r="G3198" s="3" t="s">
        <v>71</v>
      </c>
      <c r="H3198" s="3" t="s">
        <v>42</v>
      </c>
      <c r="I3198" s="3" t="s">
        <v>43</v>
      </c>
      <c r="J3198" s="3" t="n">
        <v>41</v>
      </c>
      <c r="K3198" s="3" t="n">
        <v>3437.19</v>
      </c>
      <c r="L3198" s="3" t="n">
        <v>140924.79</v>
      </c>
      <c r="M3198" s="3" t="n">
        <v>0.0341</v>
      </c>
      <c r="N3198" s="3" t="n">
        <v>4805.54</v>
      </c>
      <c r="O3198" s="3" t="n">
        <v>136119.25</v>
      </c>
      <c r="P3198" s="3" t="n">
        <v>77508.63</v>
      </c>
      <c r="Q3198" s="3" t="n">
        <v>58610.62</v>
      </c>
      <c r="R3198" s="3" t="n">
        <v>0.4306</v>
      </c>
      <c r="S3198" s="3" t="n">
        <v>0.031</v>
      </c>
      <c r="T3198" s="3" t="n">
        <v>0.0031</v>
      </c>
    </row>
    <row r="3199" customFormat="false" ht="15" hidden="false" customHeight="true" outlineLevel="0" collapsed="false">
      <c r="A3199" s="3" t="s">
        <v>4318</v>
      </c>
      <c r="B3199" s="3" t="s">
        <v>1188</v>
      </c>
      <c r="C3199" s="3" t="s">
        <v>113</v>
      </c>
      <c r="D3199" s="3" t="s">
        <v>69</v>
      </c>
      <c r="E3199" s="3" t="s">
        <v>39</v>
      </c>
      <c r="F3199" s="3" t="s">
        <v>70</v>
      </c>
      <c r="G3199" s="3" t="s">
        <v>84</v>
      </c>
      <c r="H3199" s="3" t="s">
        <v>42</v>
      </c>
      <c r="I3199" s="3" t="s">
        <v>43</v>
      </c>
      <c r="J3199" s="3" t="n">
        <v>17</v>
      </c>
      <c r="K3199" s="3" t="n">
        <v>1590.24</v>
      </c>
      <c r="L3199" s="3" t="n">
        <v>27034.08</v>
      </c>
      <c r="M3199" s="3" t="n">
        <v>0.0489</v>
      </c>
      <c r="N3199" s="3" t="n">
        <v>1321.97</v>
      </c>
      <c r="O3199" s="3" t="n">
        <v>25712.11</v>
      </c>
      <c r="P3199" s="3" t="n">
        <v>14868.74</v>
      </c>
      <c r="Q3199" s="3" t="n">
        <v>10843.37</v>
      </c>
      <c r="R3199" s="3" t="n">
        <v>0.4217</v>
      </c>
      <c r="S3199" s="3" t="n">
        <v>0.0504</v>
      </c>
      <c r="T3199" s="3" t="n">
        <v>-0.0015</v>
      </c>
    </row>
    <row r="3200" customFormat="false" ht="15" hidden="false" customHeight="true" outlineLevel="0" collapsed="false">
      <c r="A3200" s="3" t="s">
        <v>4319</v>
      </c>
      <c r="B3200" s="3" t="s">
        <v>2533</v>
      </c>
      <c r="C3200" s="3" t="s">
        <v>120</v>
      </c>
      <c r="D3200" s="3" t="s">
        <v>97</v>
      </c>
      <c r="E3200" s="3" t="s">
        <v>48</v>
      </c>
      <c r="F3200" s="3" t="s">
        <v>40</v>
      </c>
      <c r="G3200" s="3" t="s">
        <v>104</v>
      </c>
      <c r="H3200" s="3" t="s">
        <v>42</v>
      </c>
      <c r="I3200" s="3" t="s">
        <v>43</v>
      </c>
      <c r="J3200" s="3" t="n">
        <v>48</v>
      </c>
      <c r="K3200" s="3" t="n">
        <v>3566.29</v>
      </c>
      <c r="L3200" s="3" t="n">
        <v>171181.92</v>
      </c>
      <c r="M3200" s="3" t="n">
        <v>0.056</v>
      </c>
      <c r="N3200" s="3" t="n">
        <v>9586.19</v>
      </c>
      <c r="O3200" s="3" t="n">
        <v>161595.73</v>
      </c>
      <c r="P3200" s="3" t="n">
        <v>94150.06</v>
      </c>
      <c r="Q3200" s="3" t="n">
        <v>67445.67</v>
      </c>
      <c r="R3200" s="3" t="n">
        <v>0.4174</v>
      </c>
      <c r="S3200" s="3" t="n">
        <v>0.0473</v>
      </c>
      <c r="T3200" s="3" t="n">
        <v>0.0087</v>
      </c>
    </row>
    <row r="3201" customFormat="false" ht="15" hidden="false" customHeight="true" outlineLevel="0" collapsed="false">
      <c r="A3201" s="3" t="s">
        <v>4320</v>
      </c>
      <c r="B3201" s="3" t="s">
        <v>2271</v>
      </c>
      <c r="C3201" s="3" t="s">
        <v>93</v>
      </c>
      <c r="D3201" s="3" t="s">
        <v>107</v>
      </c>
      <c r="E3201" s="3" t="s">
        <v>33</v>
      </c>
      <c r="F3201" s="3" t="s">
        <v>70</v>
      </c>
      <c r="G3201" s="3" t="s">
        <v>116</v>
      </c>
      <c r="H3201" s="3" t="s">
        <v>64</v>
      </c>
      <c r="I3201" s="3" t="s">
        <v>108</v>
      </c>
      <c r="J3201" s="3" t="n">
        <v>24</v>
      </c>
      <c r="K3201" s="3" t="n">
        <v>8142.21</v>
      </c>
      <c r="L3201" s="3" t="n">
        <v>195413.04</v>
      </c>
      <c r="M3201" s="3" t="n">
        <v>0.1011</v>
      </c>
      <c r="N3201" s="3" t="n">
        <v>19756.26</v>
      </c>
      <c r="O3201" s="3" t="n">
        <v>175656.78</v>
      </c>
      <c r="P3201" s="3" t="n">
        <v>113339.56</v>
      </c>
      <c r="Q3201" s="3" t="n">
        <v>62317.22</v>
      </c>
      <c r="R3201" s="3" t="n">
        <v>0.3548</v>
      </c>
      <c r="S3201" s="3" t="n">
        <v>0.098</v>
      </c>
      <c r="T3201" s="3" t="n">
        <v>0.0031</v>
      </c>
    </row>
    <row r="3202" customFormat="false" ht="15" hidden="false" customHeight="true" outlineLevel="0" collapsed="false">
      <c r="A3202" s="3" t="s">
        <v>4321</v>
      </c>
      <c r="B3202" s="3" t="s">
        <v>102</v>
      </c>
      <c r="C3202" s="3" t="s">
        <v>93</v>
      </c>
      <c r="D3202" s="3" t="s">
        <v>32</v>
      </c>
      <c r="E3202" s="3" t="s">
        <v>33</v>
      </c>
      <c r="F3202" s="3" t="s">
        <v>25</v>
      </c>
      <c r="G3202" s="3" t="s">
        <v>55</v>
      </c>
      <c r="H3202" s="3" t="s">
        <v>64</v>
      </c>
      <c r="I3202" s="3" t="s">
        <v>145</v>
      </c>
      <c r="J3202" s="3" t="n">
        <v>32</v>
      </c>
      <c r="K3202" s="3" t="n">
        <v>7084.16</v>
      </c>
      <c r="L3202" s="3" t="n">
        <v>226693.12</v>
      </c>
      <c r="M3202" s="3" t="n">
        <v>0.123</v>
      </c>
      <c r="N3202" s="3" t="n">
        <v>27883.25</v>
      </c>
      <c r="O3202" s="3" t="n">
        <v>198809.87</v>
      </c>
      <c r="P3202" s="3" t="n">
        <v>131482.01</v>
      </c>
      <c r="Q3202" s="3" t="n">
        <v>67327.86</v>
      </c>
      <c r="R3202" s="3" t="n">
        <v>0.3387</v>
      </c>
      <c r="S3202" s="3" t="n">
        <v>0.1242</v>
      </c>
      <c r="T3202" s="3" t="n">
        <v>-0.0012</v>
      </c>
    </row>
    <row r="3203" customFormat="false" ht="15" hidden="false" customHeight="true" outlineLevel="0" collapsed="false">
      <c r="A3203" s="3" t="s">
        <v>4322</v>
      </c>
      <c r="B3203" s="3" t="s">
        <v>2050</v>
      </c>
      <c r="C3203" s="3" t="s">
        <v>126</v>
      </c>
      <c r="D3203" s="3" t="s">
        <v>69</v>
      </c>
      <c r="E3203" s="3" t="s">
        <v>39</v>
      </c>
      <c r="F3203" s="3" t="s">
        <v>70</v>
      </c>
      <c r="G3203" s="3" t="s">
        <v>63</v>
      </c>
      <c r="H3203" s="3" t="s">
        <v>27</v>
      </c>
      <c r="I3203" s="3" t="s">
        <v>50</v>
      </c>
      <c r="J3203" s="3" t="n">
        <v>4</v>
      </c>
      <c r="K3203" s="3" t="n">
        <v>24010.14</v>
      </c>
      <c r="L3203" s="3" t="n">
        <v>96040.56</v>
      </c>
      <c r="M3203" s="3" t="n">
        <v>0.0747</v>
      </c>
      <c r="N3203" s="3" t="n">
        <v>7174.23</v>
      </c>
      <c r="O3203" s="3" t="n">
        <v>88866.33</v>
      </c>
      <c r="P3203" s="3" t="n">
        <v>59545.15</v>
      </c>
      <c r="Q3203" s="3" t="n">
        <v>29321.18</v>
      </c>
      <c r="R3203" s="3" t="n">
        <v>0.3299</v>
      </c>
      <c r="S3203" s="3" t="n">
        <v>0.0614</v>
      </c>
      <c r="T3203" s="3" t="n">
        <v>0.0133</v>
      </c>
    </row>
    <row r="3204" customFormat="false" ht="15" hidden="false" customHeight="true" outlineLevel="0" collapsed="false">
      <c r="A3204" s="3" t="s">
        <v>4323</v>
      </c>
      <c r="B3204" s="3" t="s">
        <v>1486</v>
      </c>
      <c r="C3204" s="3" t="s">
        <v>53</v>
      </c>
      <c r="D3204" s="3" t="s">
        <v>54</v>
      </c>
      <c r="E3204" s="3" t="s">
        <v>24</v>
      </c>
      <c r="F3204" s="3" t="s">
        <v>40</v>
      </c>
      <c r="G3204" s="3" t="s">
        <v>49</v>
      </c>
      <c r="H3204" s="3" t="s">
        <v>77</v>
      </c>
      <c r="I3204" s="3" t="s">
        <v>131</v>
      </c>
      <c r="J3204" s="3" t="n">
        <v>26</v>
      </c>
      <c r="K3204" s="3" t="n">
        <v>1647.47</v>
      </c>
      <c r="L3204" s="3" t="n">
        <v>42834.22</v>
      </c>
      <c r="M3204" s="3" t="n">
        <v>0.0427</v>
      </c>
      <c r="N3204" s="3" t="n">
        <v>1829.02</v>
      </c>
      <c r="O3204" s="3" t="n">
        <v>41005.2</v>
      </c>
      <c r="P3204" s="3" t="n">
        <v>29127.27</v>
      </c>
      <c r="Q3204" s="3" t="n">
        <v>11877.93</v>
      </c>
      <c r="R3204" s="3" t="n">
        <v>0.2897</v>
      </c>
      <c r="S3204" s="3" t="n">
        <v>0.0439</v>
      </c>
      <c r="T3204" s="3" t="n">
        <v>-0.0012</v>
      </c>
    </row>
    <row r="3205" customFormat="false" ht="15" hidden="false" customHeight="true" outlineLevel="0" collapsed="false">
      <c r="A3205" s="3" t="s">
        <v>4324</v>
      </c>
      <c r="B3205" s="3" t="s">
        <v>1276</v>
      </c>
      <c r="C3205" s="3" t="s">
        <v>93</v>
      </c>
      <c r="D3205" s="3" t="s">
        <v>23</v>
      </c>
      <c r="E3205" s="3" t="s">
        <v>24</v>
      </c>
      <c r="F3205" s="3" t="s">
        <v>25</v>
      </c>
      <c r="G3205" s="3" t="s">
        <v>49</v>
      </c>
      <c r="H3205" s="3" t="s">
        <v>56</v>
      </c>
      <c r="I3205" s="3" t="s">
        <v>121</v>
      </c>
      <c r="J3205" s="3" t="n">
        <v>29</v>
      </c>
      <c r="K3205" s="3" t="n">
        <v>5341.34</v>
      </c>
      <c r="L3205" s="3" t="n">
        <v>154898.86</v>
      </c>
      <c r="M3205" s="3" t="n">
        <v>0.11</v>
      </c>
      <c r="N3205" s="3" t="n">
        <v>17038.87</v>
      </c>
      <c r="O3205" s="3" t="n">
        <v>137859.99</v>
      </c>
      <c r="P3205" s="3" t="n">
        <v>92939.32</v>
      </c>
      <c r="Q3205" s="3" t="n">
        <v>44920.67</v>
      </c>
      <c r="R3205" s="3" t="n">
        <v>0.3258</v>
      </c>
      <c r="S3205" s="3" t="n">
        <v>0.1132</v>
      </c>
      <c r="T3205" s="3" t="n">
        <v>-0.0032</v>
      </c>
    </row>
    <row r="3206" customFormat="false" ht="15" hidden="false" customHeight="true" outlineLevel="0" collapsed="false">
      <c r="A3206" s="3" t="s">
        <v>4325</v>
      </c>
      <c r="B3206" s="3" t="s">
        <v>368</v>
      </c>
      <c r="C3206" s="3" t="s">
        <v>126</v>
      </c>
      <c r="D3206" s="3" t="s">
        <v>47</v>
      </c>
      <c r="E3206" s="3" t="s">
        <v>48</v>
      </c>
      <c r="F3206" s="3" t="s">
        <v>25</v>
      </c>
      <c r="G3206" s="3" t="s">
        <v>71</v>
      </c>
      <c r="H3206" s="3" t="s">
        <v>77</v>
      </c>
      <c r="I3206" s="3" t="s">
        <v>78</v>
      </c>
      <c r="J3206" s="3" t="n">
        <v>4</v>
      </c>
      <c r="K3206" s="3" t="n">
        <v>3290.8</v>
      </c>
      <c r="L3206" s="3" t="n">
        <v>13163.2</v>
      </c>
      <c r="M3206" s="3" t="n">
        <v>0.0929</v>
      </c>
      <c r="N3206" s="3" t="n">
        <v>1222.86</v>
      </c>
      <c r="O3206" s="3" t="n">
        <v>11940.34</v>
      </c>
      <c r="P3206" s="3" t="n">
        <v>8950.98</v>
      </c>
      <c r="Q3206" s="3" t="n">
        <v>2989.36</v>
      </c>
      <c r="R3206" s="3" t="n">
        <v>0.2504</v>
      </c>
      <c r="S3206" s="3" t="n">
        <v>0.0833</v>
      </c>
      <c r="T3206" s="3" t="n">
        <v>0.0096</v>
      </c>
    </row>
    <row r="3207" customFormat="false" ht="15" hidden="false" customHeight="true" outlineLevel="0" collapsed="false">
      <c r="A3207" s="3" t="s">
        <v>4326</v>
      </c>
      <c r="B3207" s="3" t="s">
        <v>1208</v>
      </c>
      <c r="C3207" s="3" t="s">
        <v>93</v>
      </c>
      <c r="D3207" s="3" t="s">
        <v>23</v>
      </c>
      <c r="E3207" s="3" t="s">
        <v>24</v>
      </c>
      <c r="F3207" s="3" t="s">
        <v>25</v>
      </c>
      <c r="G3207" s="3" t="s">
        <v>84</v>
      </c>
      <c r="H3207" s="3" t="s">
        <v>56</v>
      </c>
      <c r="I3207" s="3" t="s">
        <v>121</v>
      </c>
      <c r="J3207" s="3" t="n">
        <v>43</v>
      </c>
      <c r="K3207" s="3" t="n">
        <v>12821.16</v>
      </c>
      <c r="L3207" s="3" t="n">
        <v>551309.88</v>
      </c>
      <c r="M3207" s="3" t="n">
        <v>0.1795</v>
      </c>
      <c r="N3207" s="3" t="n">
        <v>98960.12</v>
      </c>
      <c r="O3207" s="3" t="n">
        <v>452349.76</v>
      </c>
      <c r="P3207" s="3" t="n">
        <v>330785.93</v>
      </c>
      <c r="Q3207" s="3" t="n">
        <v>121563.83</v>
      </c>
      <c r="R3207" s="3" t="n">
        <v>0.2687</v>
      </c>
      <c r="S3207" s="3" t="n">
        <v>0.1846</v>
      </c>
      <c r="T3207" s="3" t="n">
        <v>-0.0051</v>
      </c>
    </row>
    <row r="3208" customFormat="false" ht="15" hidden="false" customHeight="true" outlineLevel="0" collapsed="false">
      <c r="A3208" s="3" t="s">
        <v>4327</v>
      </c>
      <c r="B3208" s="3" t="s">
        <v>1642</v>
      </c>
      <c r="C3208" s="3" t="s">
        <v>68</v>
      </c>
      <c r="D3208" s="3" t="s">
        <v>32</v>
      </c>
      <c r="E3208" s="3" t="s">
        <v>33</v>
      </c>
      <c r="F3208" s="3" t="s">
        <v>25</v>
      </c>
      <c r="G3208" s="3" t="s">
        <v>41</v>
      </c>
      <c r="H3208" s="3" t="s">
        <v>64</v>
      </c>
      <c r="I3208" s="3" t="s">
        <v>108</v>
      </c>
      <c r="J3208" s="3" t="n">
        <v>27</v>
      </c>
      <c r="K3208" s="3" t="n">
        <v>5377.77</v>
      </c>
      <c r="L3208" s="3" t="n">
        <v>145199.79</v>
      </c>
      <c r="M3208" s="3" t="n">
        <v>0.2033</v>
      </c>
      <c r="N3208" s="3" t="n">
        <v>29519.12</v>
      </c>
      <c r="O3208" s="3" t="n">
        <v>115680.67</v>
      </c>
      <c r="P3208" s="3" t="n">
        <v>84215.88</v>
      </c>
      <c r="Q3208" s="3" t="n">
        <v>31464.79</v>
      </c>
      <c r="R3208" s="3" t="n">
        <v>0.272</v>
      </c>
      <c r="S3208" s="3" t="n">
        <v>0.2173</v>
      </c>
      <c r="T3208" s="3" t="n">
        <v>-0.014</v>
      </c>
    </row>
    <row r="3209" customFormat="false" ht="15" hidden="false" customHeight="true" outlineLevel="0" collapsed="false">
      <c r="A3209" s="3" t="s">
        <v>4328</v>
      </c>
      <c r="B3209" s="3" t="s">
        <v>2050</v>
      </c>
      <c r="C3209" s="3" t="s">
        <v>126</v>
      </c>
      <c r="D3209" s="3" t="s">
        <v>54</v>
      </c>
      <c r="E3209" s="3" t="s">
        <v>24</v>
      </c>
      <c r="F3209" s="3" t="s">
        <v>40</v>
      </c>
      <c r="G3209" s="3" t="s">
        <v>104</v>
      </c>
      <c r="H3209" s="3" t="s">
        <v>42</v>
      </c>
      <c r="I3209" s="3" t="s">
        <v>43</v>
      </c>
      <c r="J3209" s="3" t="n">
        <v>18</v>
      </c>
      <c r="K3209" s="3" t="n">
        <v>1557.68</v>
      </c>
      <c r="L3209" s="3" t="n">
        <v>28038.24</v>
      </c>
      <c r="M3209" s="3" t="n">
        <v>0.1292</v>
      </c>
      <c r="N3209" s="3" t="n">
        <v>3622.54</v>
      </c>
      <c r="O3209" s="3" t="n">
        <v>24415.7</v>
      </c>
      <c r="P3209" s="3" t="n">
        <v>15421.03</v>
      </c>
      <c r="Q3209" s="3" t="n">
        <v>8994.67</v>
      </c>
      <c r="R3209" s="3" t="n">
        <v>0.3684</v>
      </c>
      <c r="S3209" s="3" t="n">
        <v>0.1305</v>
      </c>
      <c r="T3209" s="3" t="n">
        <v>-0.0013</v>
      </c>
    </row>
    <row r="3210" customFormat="false" ht="15" hidden="false" customHeight="true" outlineLevel="0" collapsed="false">
      <c r="A3210" s="3" t="s">
        <v>4329</v>
      </c>
      <c r="B3210" s="3" t="s">
        <v>219</v>
      </c>
      <c r="C3210" s="3" t="s">
        <v>37</v>
      </c>
      <c r="D3210" s="3" t="s">
        <v>83</v>
      </c>
      <c r="E3210" s="3" t="s">
        <v>48</v>
      </c>
      <c r="F3210" s="3" t="s">
        <v>62</v>
      </c>
      <c r="G3210" s="3" t="s">
        <v>100</v>
      </c>
      <c r="H3210" s="3" t="s">
        <v>64</v>
      </c>
      <c r="I3210" s="3" t="s">
        <v>65</v>
      </c>
      <c r="J3210" s="3" t="n">
        <v>23</v>
      </c>
      <c r="K3210" s="3" t="n">
        <v>3834.57</v>
      </c>
      <c r="L3210" s="3" t="n">
        <v>88195.11</v>
      </c>
      <c r="M3210" s="3" t="n">
        <v>0.0494</v>
      </c>
      <c r="N3210" s="3" t="n">
        <v>4356.84</v>
      </c>
      <c r="O3210" s="3" t="n">
        <v>83838.27</v>
      </c>
      <c r="P3210" s="3" t="n">
        <v>51153.16</v>
      </c>
      <c r="Q3210" s="3" t="n">
        <v>32685.11</v>
      </c>
      <c r="R3210" s="3" t="n">
        <v>0.3899</v>
      </c>
      <c r="S3210" s="3" t="n">
        <v>0.052</v>
      </c>
      <c r="T3210" s="3" t="n">
        <v>-0.0026</v>
      </c>
    </row>
    <row r="3211" customFormat="false" ht="15" hidden="false" customHeight="true" outlineLevel="0" collapsed="false">
      <c r="A3211" s="3" t="s">
        <v>4330</v>
      </c>
      <c r="B3211" s="3" t="s">
        <v>668</v>
      </c>
      <c r="C3211" s="3" t="s">
        <v>126</v>
      </c>
      <c r="D3211" s="3" t="s">
        <v>75</v>
      </c>
      <c r="E3211" s="3" t="s">
        <v>39</v>
      </c>
      <c r="F3211" s="3" t="s">
        <v>25</v>
      </c>
      <c r="G3211" s="3" t="s">
        <v>84</v>
      </c>
      <c r="H3211" s="3" t="s">
        <v>77</v>
      </c>
      <c r="I3211" s="3" t="s">
        <v>131</v>
      </c>
      <c r="J3211" s="3" t="n">
        <v>38</v>
      </c>
      <c r="K3211" s="3" t="n">
        <v>4052.89</v>
      </c>
      <c r="L3211" s="3" t="n">
        <v>154009.82</v>
      </c>
      <c r="M3211" s="3" t="n">
        <v>0.1433</v>
      </c>
      <c r="N3211" s="3" t="n">
        <v>22069.61</v>
      </c>
      <c r="O3211" s="3" t="n">
        <v>131940.21</v>
      </c>
      <c r="P3211" s="3" t="n">
        <v>104726.68</v>
      </c>
      <c r="Q3211" s="3" t="n">
        <v>27213.53</v>
      </c>
      <c r="R3211" s="3" t="n">
        <v>0.2063</v>
      </c>
      <c r="S3211" s="3" t="n">
        <v>0.1492</v>
      </c>
      <c r="T3211" s="3" t="n">
        <v>-0.0059</v>
      </c>
    </row>
    <row r="3212" customFormat="false" ht="15" hidden="false" customHeight="true" outlineLevel="0" collapsed="false">
      <c r="A3212" s="3" t="s">
        <v>4331</v>
      </c>
      <c r="B3212" s="3" t="s">
        <v>1031</v>
      </c>
      <c r="C3212" s="3" t="s">
        <v>126</v>
      </c>
      <c r="D3212" s="3" t="s">
        <v>47</v>
      </c>
      <c r="E3212" s="3" t="s">
        <v>48</v>
      </c>
      <c r="F3212" s="3" t="s">
        <v>25</v>
      </c>
      <c r="G3212" s="3" t="s">
        <v>116</v>
      </c>
      <c r="H3212" s="3" t="s">
        <v>27</v>
      </c>
      <c r="I3212" s="3" t="s">
        <v>28</v>
      </c>
      <c r="J3212" s="3" t="n">
        <v>37</v>
      </c>
      <c r="K3212" s="3" t="n">
        <v>9639.2</v>
      </c>
      <c r="L3212" s="3" t="n">
        <v>356650.4</v>
      </c>
      <c r="M3212" s="3" t="n">
        <v>0.1561</v>
      </c>
      <c r="N3212" s="3" t="n">
        <v>55673.13</v>
      </c>
      <c r="O3212" s="3" t="n">
        <v>300977.27</v>
      </c>
      <c r="P3212" s="3" t="n">
        <v>221123.25</v>
      </c>
      <c r="Q3212" s="3" t="n">
        <v>79854.02</v>
      </c>
      <c r="R3212" s="3" t="n">
        <v>0.2653</v>
      </c>
      <c r="S3212" s="3" t="n">
        <v>0.1565</v>
      </c>
      <c r="T3212" s="3" t="n">
        <v>-0.0004</v>
      </c>
    </row>
    <row r="3213" customFormat="false" ht="15" hidden="false" customHeight="true" outlineLevel="0" collapsed="false">
      <c r="A3213" s="3" t="s">
        <v>4332</v>
      </c>
      <c r="B3213" s="3" t="s">
        <v>2026</v>
      </c>
      <c r="C3213" s="3" t="s">
        <v>60</v>
      </c>
      <c r="D3213" s="3" t="s">
        <v>103</v>
      </c>
      <c r="E3213" s="3" t="s">
        <v>24</v>
      </c>
      <c r="F3213" s="3" t="s">
        <v>62</v>
      </c>
      <c r="G3213" s="3" t="s">
        <v>84</v>
      </c>
      <c r="H3213" s="3" t="s">
        <v>77</v>
      </c>
      <c r="I3213" s="3" t="s">
        <v>78</v>
      </c>
      <c r="J3213" s="3" t="n">
        <v>37</v>
      </c>
      <c r="K3213" s="3" t="n">
        <v>1919.32</v>
      </c>
      <c r="L3213" s="3" t="n">
        <v>71014.84</v>
      </c>
      <c r="M3213" s="3" t="n">
        <v>0.0695</v>
      </c>
      <c r="N3213" s="3" t="n">
        <v>4935.53</v>
      </c>
      <c r="O3213" s="3" t="n">
        <v>66079.31</v>
      </c>
      <c r="P3213" s="3" t="n">
        <v>48290.09</v>
      </c>
      <c r="Q3213" s="3" t="n">
        <v>17789.22</v>
      </c>
      <c r="R3213" s="3" t="n">
        <v>0.2692</v>
      </c>
      <c r="S3213" s="3" t="n">
        <v>0.0591</v>
      </c>
      <c r="T3213" s="3" t="n">
        <v>0.0104</v>
      </c>
    </row>
    <row r="3214" customFormat="false" ht="15" hidden="false" customHeight="true" outlineLevel="0" collapsed="false">
      <c r="A3214" s="3" t="s">
        <v>4333</v>
      </c>
      <c r="B3214" s="3" t="s">
        <v>2200</v>
      </c>
      <c r="C3214" s="3" t="s">
        <v>113</v>
      </c>
      <c r="D3214" s="3" t="s">
        <v>23</v>
      </c>
      <c r="E3214" s="3" t="s">
        <v>24</v>
      </c>
      <c r="F3214" s="3" t="s">
        <v>25</v>
      </c>
      <c r="G3214" s="3" t="s">
        <v>76</v>
      </c>
      <c r="H3214" s="3" t="s">
        <v>56</v>
      </c>
      <c r="I3214" s="3" t="s">
        <v>188</v>
      </c>
      <c r="J3214" s="3" t="n">
        <v>18</v>
      </c>
      <c r="K3214" s="3" t="n">
        <v>10110.56</v>
      </c>
      <c r="L3214" s="3" t="n">
        <v>181990.08</v>
      </c>
      <c r="M3214" s="3" t="n">
        <v>0.1716</v>
      </c>
      <c r="N3214" s="3" t="n">
        <v>31229.5</v>
      </c>
      <c r="O3214" s="3" t="n">
        <v>150760.58</v>
      </c>
      <c r="P3214" s="3" t="n">
        <v>109194.05</v>
      </c>
      <c r="Q3214" s="3" t="n">
        <v>41566.53</v>
      </c>
      <c r="R3214" s="3" t="n">
        <v>0.2757</v>
      </c>
      <c r="S3214" s="3" t="n">
        <v>0.1671</v>
      </c>
      <c r="T3214" s="3" t="n">
        <v>0.0045</v>
      </c>
    </row>
    <row r="3215" customFormat="false" ht="15" hidden="false" customHeight="true" outlineLevel="0" collapsed="false">
      <c r="A3215" s="3" t="s">
        <v>4334</v>
      </c>
      <c r="B3215" s="3" t="s">
        <v>1080</v>
      </c>
      <c r="C3215" s="3" t="s">
        <v>156</v>
      </c>
      <c r="D3215" s="3" t="s">
        <v>38</v>
      </c>
      <c r="E3215" s="3" t="s">
        <v>39</v>
      </c>
      <c r="F3215" s="3" t="s">
        <v>40</v>
      </c>
      <c r="G3215" s="3" t="s">
        <v>71</v>
      </c>
      <c r="H3215" s="3" t="s">
        <v>56</v>
      </c>
      <c r="I3215" s="3" t="s">
        <v>57</v>
      </c>
      <c r="J3215" s="3" t="n">
        <v>23</v>
      </c>
      <c r="K3215" s="3" t="n">
        <v>8083.61</v>
      </c>
      <c r="L3215" s="3" t="n">
        <v>185923.03</v>
      </c>
      <c r="M3215" s="3" t="n">
        <v>0.0671</v>
      </c>
      <c r="N3215" s="3" t="n">
        <v>12475.44</v>
      </c>
      <c r="O3215" s="3" t="n">
        <v>173447.59</v>
      </c>
      <c r="P3215" s="3" t="n">
        <v>111553.82</v>
      </c>
      <c r="Q3215" s="3" t="n">
        <v>61893.77</v>
      </c>
      <c r="R3215" s="3" t="n">
        <v>0.3568</v>
      </c>
      <c r="S3215" s="3" t="n">
        <v>0.0706</v>
      </c>
      <c r="T3215" s="3" t="n">
        <v>-0.0035</v>
      </c>
    </row>
    <row r="3216" customFormat="false" ht="15" hidden="false" customHeight="true" outlineLevel="0" collapsed="false">
      <c r="A3216" s="3" t="s">
        <v>4335</v>
      </c>
      <c r="B3216" s="3" t="s">
        <v>2237</v>
      </c>
      <c r="C3216" s="3" t="s">
        <v>113</v>
      </c>
      <c r="D3216" s="3" t="s">
        <v>47</v>
      </c>
      <c r="E3216" s="3" t="s">
        <v>48</v>
      </c>
      <c r="F3216" s="3" t="s">
        <v>25</v>
      </c>
      <c r="G3216" s="3" t="s">
        <v>55</v>
      </c>
      <c r="H3216" s="3" t="s">
        <v>56</v>
      </c>
      <c r="I3216" s="3" t="s">
        <v>121</v>
      </c>
      <c r="J3216" s="3" t="n">
        <v>42</v>
      </c>
      <c r="K3216" s="3" t="n">
        <v>4911.94</v>
      </c>
      <c r="L3216" s="3" t="n">
        <v>206301.48</v>
      </c>
      <c r="M3216" s="3" t="n">
        <v>0.1385</v>
      </c>
      <c r="N3216" s="3" t="n">
        <v>28572.75</v>
      </c>
      <c r="O3216" s="3" t="n">
        <v>177728.73</v>
      </c>
      <c r="P3216" s="3" t="n">
        <v>123780.89</v>
      </c>
      <c r="Q3216" s="3" t="n">
        <v>53947.84</v>
      </c>
      <c r="R3216" s="3" t="n">
        <v>0.3035</v>
      </c>
      <c r="S3216" s="3" t="n">
        <v>0.1324</v>
      </c>
      <c r="T3216" s="3" t="n">
        <v>0.0061</v>
      </c>
    </row>
    <row r="3217" customFormat="false" ht="15" hidden="false" customHeight="true" outlineLevel="0" collapsed="false">
      <c r="A3217" s="3" t="s">
        <v>4336</v>
      </c>
      <c r="B3217" s="3" t="s">
        <v>1415</v>
      </c>
      <c r="C3217" s="3" t="s">
        <v>46</v>
      </c>
      <c r="D3217" s="3" t="s">
        <v>47</v>
      </c>
      <c r="E3217" s="3" t="s">
        <v>48</v>
      </c>
      <c r="F3217" s="3" t="s">
        <v>25</v>
      </c>
      <c r="G3217" s="3" t="s">
        <v>104</v>
      </c>
      <c r="H3217" s="3" t="s">
        <v>56</v>
      </c>
      <c r="I3217" s="3" t="s">
        <v>57</v>
      </c>
      <c r="J3217" s="3" t="n">
        <v>29</v>
      </c>
      <c r="K3217" s="3" t="n">
        <v>11996.73</v>
      </c>
      <c r="L3217" s="3" t="n">
        <v>347905.17</v>
      </c>
      <c r="M3217" s="3" t="n">
        <v>0.2229</v>
      </c>
      <c r="N3217" s="3" t="n">
        <v>77548.06</v>
      </c>
      <c r="O3217" s="3" t="n">
        <v>270357.11</v>
      </c>
      <c r="P3217" s="3" t="n">
        <v>208743.1</v>
      </c>
      <c r="Q3217" s="3" t="n">
        <v>61614.01</v>
      </c>
      <c r="R3217" s="3" t="n">
        <v>0.2279</v>
      </c>
      <c r="S3217" s="3" t="n">
        <v>0.2097</v>
      </c>
      <c r="T3217" s="3" t="n">
        <v>0.0132</v>
      </c>
    </row>
    <row r="3218" customFormat="false" ht="15" hidden="false" customHeight="true" outlineLevel="0" collapsed="false">
      <c r="A3218" s="3" t="s">
        <v>4337</v>
      </c>
      <c r="B3218" s="3" t="s">
        <v>856</v>
      </c>
      <c r="C3218" s="3" t="s">
        <v>31</v>
      </c>
      <c r="D3218" s="3" t="s">
        <v>23</v>
      </c>
      <c r="E3218" s="3" t="s">
        <v>24</v>
      </c>
      <c r="F3218" s="3" t="s">
        <v>25</v>
      </c>
      <c r="G3218" s="3" t="s">
        <v>41</v>
      </c>
      <c r="H3218" s="3" t="s">
        <v>64</v>
      </c>
      <c r="I3218" s="3" t="s">
        <v>90</v>
      </c>
      <c r="J3218" s="3" t="n">
        <v>32</v>
      </c>
      <c r="K3218" s="3" t="n">
        <v>6386.24</v>
      </c>
      <c r="L3218" s="3" t="n">
        <v>204359.68</v>
      </c>
      <c r="M3218" s="3" t="n">
        <v>0.1579</v>
      </c>
      <c r="N3218" s="3" t="n">
        <v>32268.39</v>
      </c>
      <c r="O3218" s="3" t="n">
        <v>172091.29</v>
      </c>
      <c r="P3218" s="3" t="n">
        <v>118528.61</v>
      </c>
      <c r="Q3218" s="3" t="n">
        <v>53562.68</v>
      </c>
      <c r="R3218" s="3" t="n">
        <v>0.3112</v>
      </c>
      <c r="S3218" s="3" t="n">
        <v>0.1297</v>
      </c>
      <c r="T3218" s="3" t="n">
        <v>0.0282</v>
      </c>
    </row>
    <row r="3219" customFormat="false" ht="15" hidden="false" customHeight="true" outlineLevel="0" collapsed="false">
      <c r="A3219" s="3" t="s">
        <v>4338</v>
      </c>
      <c r="B3219" s="3" t="s">
        <v>4339</v>
      </c>
      <c r="C3219" s="3" t="s">
        <v>60</v>
      </c>
      <c r="D3219" s="3" t="s">
        <v>61</v>
      </c>
      <c r="E3219" s="3" t="s">
        <v>33</v>
      </c>
      <c r="F3219" s="3" t="s">
        <v>62</v>
      </c>
      <c r="G3219" s="3" t="s">
        <v>34</v>
      </c>
      <c r="H3219" s="3" t="s">
        <v>27</v>
      </c>
      <c r="I3219" s="3" t="s">
        <v>173</v>
      </c>
      <c r="J3219" s="3" t="n">
        <v>8</v>
      </c>
      <c r="K3219" s="3" t="n">
        <v>39627.39</v>
      </c>
      <c r="L3219" s="3" t="n">
        <v>317019.12</v>
      </c>
      <c r="M3219" s="3" t="n">
        <v>0.0804</v>
      </c>
      <c r="N3219" s="3" t="n">
        <v>25488.34</v>
      </c>
      <c r="O3219" s="3" t="n">
        <v>291530.78</v>
      </c>
      <c r="P3219" s="3" t="n">
        <v>196551.85</v>
      </c>
      <c r="Q3219" s="3" t="n">
        <v>94978.93</v>
      </c>
      <c r="R3219" s="3" t="n">
        <v>0.3258</v>
      </c>
      <c r="S3219" s="3" t="n">
        <v>0.0688</v>
      </c>
      <c r="T3219" s="3" t="n">
        <v>0.0116</v>
      </c>
    </row>
    <row r="3220" customFormat="false" ht="15" hidden="false" customHeight="true" outlineLevel="0" collapsed="false">
      <c r="A3220" s="3" t="s">
        <v>4340</v>
      </c>
      <c r="B3220" s="3" t="s">
        <v>2250</v>
      </c>
      <c r="C3220" s="3" t="s">
        <v>53</v>
      </c>
      <c r="D3220" s="3" t="s">
        <v>32</v>
      </c>
      <c r="E3220" s="3" t="s">
        <v>33</v>
      </c>
      <c r="F3220" s="3" t="s">
        <v>25</v>
      </c>
      <c r="G3220" s="3" t="s">
        <v>71</v>
      </c>
      <c r="H3220" s="3" t="s">
        <v>77</v>
      </c>
      <c r="I3220" s="3" t="s">
        <v>85</v>
      </c>
      <c r="J3220" s="3" t="n">
        <v>19</v>
      </c>
      <c r="K3220" s="3" t="n">
        <v>5598.18</v>
      </c>
      <c r="L3220" s="3" t="n">
        <v>106365.42</v>
      </c>
      <c r="M3220" s="3" t="n">
        <v>0.0986</v>
      </c>
      <c r="N3220" s="3" t="n">
        <v>10487.63</v>
      </c>
      <c r="O3220" s="3" t="n">
        <v>95877.79</v>
      </c>
      <c r="P3220" s="3" t="n">
        <v>72328.49</v>
      </c>
      <c r="Q3220" s="3" t="n">
        <v>23549.3</v>
      </c>
      <c r="R3220" s="3" t="n">
        <v>0.2456</v>
      </c>
      <c r="S3220" s="3" t="n">
        <v>0.0804</v>
      </c>
      <c r="T3220" s="3" t="n">
        <v>0.0182</v>
      </c>
    </row>
    <row r="3221" customFormat="false" ht="15" hidden="false" customHeight="true" outlineLevel="0" collapsed="false">
      <c r="A3221" s="3" t="s">
        <v>4341</v>
      </c>
      <c r="B3221" s="3" t="s">
        <v>168</v>
      </c>
      <c r="C3221" s="3" t="s">
        <v>156</v>
      </c>
      <c r="D3221" s="3" t="s">
        <v>75</v>
      </c>
      <c r="E3221" s="3" t="s">
        <v>39</v>
      </c>
      <c r="F3221" s="3" t="s">
        <v>25</v>
      </c>
      <c r="G3221" s="3" t="s">
        <v>76</v>
      </c>
      <c r="H3221" s="3" t="s">
        <v>64</v>
      </c>
      <c r="I3221" s="3" t="s">
        <v>108</v>
      </c>
      <c r="J3221" s="3" t="n">
        <v>2</v>
      </c>
      <c r="K3221" s="3" t="n">
        <v>5519.31</v>
      </c>
      <c r="L3221" s="3" t="n">
        <v>11038.62</v>
      </c>
      <c r="M3221" s="3" t="n">
        <v>0.1745</v>
      </c>
      <c r="N3221" s="3" t="n">
        <v>1926.24</v>
      </c>
      <c r="O3221" s="3" t="n">
        <v>9112.38</v>
      </c>
      <c r="P3221" s="3" t="n">
        <v>6402.4</v>
      </c>
      <c r="Q3221" s="3" t="n">
        <v>2709.98</v>
      </c>
      <c r="R3221" s="3" t="n">
        <v>0.2974</v>
      </c>
      <c r="S3221" s="3" t="n">
        <v>0.1833</v>
      </c>
      <c r="T3221" s="3" t="n">
        <v>-0.0088</v>
      </c>
    </row>
    <row r="3222" customFormat="false" ht="15" hidden="false" customHeight="true" outlineLevel="0" collapsed="false">
      <c r="A3222" s="3" t="s">
        <v>4342</v>
      </c>
      <c r="B3222" s="3" t="s">
        <v>463</v>
      </c>
      <c r="C3222" s="3" t="s">
        <v>120</v>
      </c>
      <c r="D3222" s="3" t="s">
        <v>47</v>
      </c>
      <c r="E3222" s="3" t="s">
        <v>48</v>
      </c>
      <c r="F3222" s="3" t="s">
        <v>25</v>
      </c>
      <c r="G3222" s="3" t="s">
        <v>26</v>
      </c>
      <c r="H3222" s="3" t="s">
        <v>56</v>
      </c>
      <c r="I3222" s="3" t="s">
        <v>57</v>
      </c>
      <c r="J3222" s="3" t="n">
        <v>1</v>
      </c>
      <c r="K3222" s="3" t="n">
        <v>5625.05</v>
      </c>
      <c r="L3222" s="3" t="n">
        <v>5625.05</v>
      </c>
      <c r="M3222" s="3" t="n">
        <v>0.1174</v>
      </c>
      <c r="N3222" s="3" t="n">
        <v>660.38</v>
      </c>
      <c r="O3222" s="3" t="n">
        <v>4964.67</v>
      </c>
      <c r="P3222" s="3" t="n">
        <v>3375.03</v>
      </c>
      <c r="Q3222" s="3" t="n">
        <v>1589.64</v>
      </c>
      <c r="R3222" s="3" t="n">
        <v>0.3202</v>
      </c>
      <c r="S3222" s="3" t="n">
        <v>0.1007</v>
      </c>
      <c r="T3222" s="3" t="n">
        <v>0.0167</v>
      </c>
    </row>
    <row r="3223" customFormat="false" ht="15" hidden="false" customHeight="true" outlineLevel="0" collapsed="false">
      <c r="A3223" s="3" t="s">
        <v>4343</v>
      </c>
      <c r="B3223" s="3" t="s">
        <v>1664</v>
      </c>
      <c r="C3223" s="3" t="s">
        <v>60</v>
      </c>
      <c r="D3223" s="3" t="s">
        <v>83</v>
      </c>
      <c r="E3223" s="3" t="s">
        <v>48</v>
      </c>
      <c r="F3223" s="3" t="s">
        <v>62</v>
      </c>
      <c r="G3223" s="3" t="s">
        <v>49</v>
      </c>
      <c r="H3223" s="3" t="s">
        <v>56</v>
      </c>
      <c r="I3223" s="3" t="s">
        <v>57</v>
      </c>
      <c r="J3223" s="3" t="n">
        <v>39</v>
      </c>
      <c r="K3223" s="3" t="n">
        <v>14456.45</v>
      </c>
      <c r="L3223" s="3" t="n">
        <v>563801.55</v>
      </c>
      <c r="M3223" s="3" t="n">
        <v>0.0453</v>
      </c>
      <c r="N3223" s="3" t="n">
        <v>25540.21</v>
      </c>
      <c r="O3223" s="3" t="n">
        <v>538261.34</v>
      </c>
      <c r="P3223" s="3" t="n">
        <v>338280.93</v>
      </c>
      <c r="Q3223" s="3" t="n">
        <v>199980.41</v>
      </c>
      <c r="R3223" s="3" t="n">
        <v>0.3715</v>
      </c>
      <c r="S3223" s="3" t="n">
        <v>0.0431</v>
      </c>
      <c r="T3223" s="3" t="n">
        <v>0.0022</v>
      </c>
    </row>
    <row r="3224" customFormat="false" ht="15" hidden="false" customHeight="true" outlineLevel="0" collapsed="false">
      <c r="A3224" s="3" t="s">
        <v>4344</v>
      </c>
      <c r="B3224" s="3" t="s">
        <v>504</v>
      </c>
      <c r="C3224" s="3" t="s">
        <v>68</v>
      </c>
      <c r="D3224" s="3" t="s">
        <v>69</v>
      </c>
      <c r="E3224" s="3" t="s">
        <v>39</v>
      </c>
      <c r="F3224" s="3" t="s">
        <v>70</v>
      </c>
      <c r="G3224" s="3" t="s">
        <v>104</v>
      </c>
      <c r="H3224" s="3" t="s">
        <v>77</v>
      </c>
      <c r="I3224" s="3" t="s">
        <v>85</v>
      </c>
      <c r="J3224" s="3" t="n">
        <v>25</v>
      </c>
      <c r="K3224" s="3" t="n">
        <v>1358.43</v>
      </c>
      <c r="L3224" s="3" t="n">
        <v>33960.75</v>
      </c>
      <c r="M3224" s="3" t="n">
        <v>0.1037</v>
      </c>
      <c r="N3224" s="3" t="n">
        <v>3521.73</v>
      </c>
      <c r="O3224" s="3" t="n">
        <v>30439.02</v>
      </c>
      <c r="P3224" s="3" t="n">
        <v>23093.31</v>
      </c>
      <c r="Q3224" s="3" t="n">
        <v>7345.71</v>
      </c>
      <c r="R3224" s="3" t="n">
        <v>0.2413</v>
      </c>
      <c r="S3224" s="3" t="n">
        <v>0.1105</v>
      </c>
      <c r="T3224" s="3" t="n">
        <v>-0.0068</v>
      </c>
    </row>
    <row r="3225" customFormat="false" ht="15" hidden="false" customHeight="true" outlineLevel="0" collapsed="false">
      <c r="A3225" s="3" t="s">
        <v>4345</v>
      </c>
      <c r="B3225" s="3" t="s">
        <v>2223</v>
      </c>
      <c r="C3225" s="3" t="s">
        <v>120</v>
      </c>
      <c r="D3225" s="3" t="s">
        <v>107</v>
      </c>
      <c r="E3225" s="3" t="s">
        <v>33</v>
      </c>
      <c r="F3225" s="3" t="s">
        <v>70</v>
      </c>
      <c r="G3225" s="3" t="s">
        <v>100</v>
      </c>
      <c r="H3225" s="3" t="s">
        <v>42</v>
      </c>
      <c r="I3225" s="3" t="s">
        <v>134</v>
      </c>
      <c r="J3225" s="3" t="n">
        <v>22</v>
      </c>
      <c r="K3225" s="3" t="n">
        <v>2176.07</v>
      </c>
      <c r="L3225" s="3" t="n">
        <v>47873.54</v>
      </c>
      <c r="M3225" s="3" t="n">
        <v>0.0423</v>
      </c>
      <c r="N3225" s="3" t="n">
        <v>2025.05</v>
      </c>
      <c r="O3225" s="3" t="n">
        <v>45848.49</v>
      </c>
      <c r="P3225" s="3" t="n">
        <v>26330.45</v>
      </c>
      <c r="Q3225" s="3" t="n">
        <v>19518.04</v>
      </c>
      <c r="R3225" s="3" t="n">
        <v>0.4257</v>
      </c>
      <c r="S3225" s="3" t="n">
        <v>0.046</v>
      </c>
      <c r="T3225" s="3" t="n">
        <v>-0.0037</v>
      </c>
    </row>
    <row r="3226" customFormat="false" ht="15" hidden="false" customHeight="true" outlineLevel="0" collapsed="false">
      <c r="A3226" s="3" t="s">
        <v>4346</v>
      </c>
      <c r="B3226" s="3" t="s">
        <v>1104</v>
      </c>
      <c r="C3226" s="3" t="s">
        <v>68</v>
      </c>
      <c r="D3226" s="3" t="s">
        <v>23</v>
      </c>
      <c r="E3226" s="3" t="s">
        <v>24</v>
      </c>
      <c r="F3226" s="3" t="s">
        <v>25</v>
      </c>
      <c r="G3226" s="3" t="s">
        <v>76</v>
      </c>
      <c r="H3226" s="3" t="s">
        <v>56</v>
      </c>
      <c r="I3226" s="3" t="s">
        <v>188</v>
      </c>
      <c r="J3226" s="3" t="n">
        <v>23</v>
      </c>
      <c r="K3226" s="3" t="n">
        <v>4667.5</v>
      </c>
      <c r="L3226" s="3" t="n">
        <v>107352.5</v>
      </c>
      <c r="M3226" s="3" t="n">
        <v>0.1905</v>
      </c>
      <c r="N3226" s="3" t="n">
        <v>20450.65</v>
      </c>
      <c r="O3226" s="3" t="n">
        <v>86901.85</v>
      </c>
      <c r="P3226" s="3" t="n">
        <v>64411.5</v>
      </c>
      <c r="Q3226" s="3" t="n">
        <v>22490.35</v>
      </c>
      <c r="R3226" s="3" t="n">
        <v>0.2588</v>
      </c>
      <c r="S3226" s="3" t="n">
        <v>0.1983</v>
      </c>
      <c r="T3226" s="3" t="n">
        <v>-0.0078</v>
      </c>
    </row>
    <row r="3227" customFormat="false" ht="15" hidden="false" customHeight="true" outlineLevel="0" collapsed="false">
      <c r="A3227" s="3" t="s">
        <v>4347</v>
      </c>
      <c r="B3227" s="3" t="s">
        <v>4284</v>
      </c>
      <c r="C3227" s="3" t="s">
        <v>46</v>
      </c>
      <c r="D3227" s="3" t="s">
        <v>103</v>
      </c>
      <c r="E3227" s="3" t="s">
        <v>24</v>
      </c>
      <c r="F3227" s="3" t="s">
        <v>62</v>
      </c>
      <c r="G3227" s="3" t="s">
        <v>63</v>
      </c>
      <c r="H3227" s="3" t="s">
        <v>64</v>
      </c>
      <c r="I3227" s="3" t="s">
        <v>90</v>
      </c>
      <c r="J3227" s="3" t="n">
        <v>20</v>
      </c>
      <c r="K3227" s="3" t="n">
        <v>9841.19</v>
      </c>
      <c r="L3227" s="3" t="n">
        <v>196823.8</v>
      </c>
      <c r="M3227" s="3" t="n">
        <v>0.0785</v>
      </c>
      <c r="N3227" s="3" t="n">
        <v>15450.67</v>
      </c>
      <c r="O3227" s="3" t="n">
        <v>181373.13</v>
      </c>
      <c r="P3227" s="3" t="n">
        <v>114157.8</v>
      </c>
      <c r="Q3227" s="3" t="n">
        <v>67215.33</v>
      </c>
      <c r="R3227" s="3" t="n">
        <v>0.3706</v>
      </c>
      <c r="S3227" s="3" t="n">
        <v>0.0707</v>
      </c>
      <c r="T3227" s="3" t="n">
        <v>0.0078</v>
      </c>
    </row>
    <row r="3228" customFormat="false" ht="15" hidden="false" customHeight="true" outlineLevel="0" collapsed="false">
      <c r="A3228" s="3" t="s">
        <v>4348</v>
      </c>
      <c r="B3228" s="3" t="s">
        <v>168</v>
      </c>
      <c r="C3228" s="3" t="s">
        <v>156</v>
      </c>
      <c r="D3228" s="3" t="s">
        <v>32</v>
      </c>
      <c r="E3228" s="3" t="s">
        <v>33</v>
      </c>
      <c r="F3228" s="3" t="s">
        <v>25</v>
      </c>
      <c r="G3228" s="3" t="s">
        <v>63</v>
      </c>
      <c r="H3228" s="3" t="s">
        <v>77</v>
      </c>
      <c r="I3228" s="3" t="s">
        <v>85</v>
      </c>
      <c r="J3228" s="3" t="n">
        <v>41</v>
      </c>
      <c r="K3228" s="3" t="n">
        <v>3843.11</v>
      </c>
      <c r="L3228" s="3" t="n">
        <v>157567.51</v>
      </c>
      <c r="M3228" s="3" t="n">
        <v>0.1616</v>
      </c>
      <c r="N3228" s="3" t="n">
        <v>25462.91</v>
      </c>
      <c r="O3228" s="3" t="n">
        <v>132104.6</v>
      </c>
      <c r="P3228" s="3" t="n">
        <v>107145.91</v>
      </c>
      <c r="Q3228" s="3" t="n">
        <v>24958.69</v>
      </c>
      <c r="R3228" s="3" t="n">
        <v>0.1889</v>
      </c>
      <c r="S3228" s="3" t="n">
        <v>0.1622</v>
      </c>
      <c r="T3228" s="3" t="n">
        <v>-0.0006</v>
      </c>
    </row>
    <row r="3229" customFormat="false" ht="15" hidden="false" customHeight="true" outlineLevel="0" collapsed="false">
      <c r="A3229" s="3" t="s">
        <v>4349</v>
      </c>
      <c r="B3229" s="3" t="s">
        <v>1180</v>
      </c>
      <c r="C3229" s="3" t="s">
        <v>37</v>
      </c>
      <c r="D3229" s="3" t="s">
        <v>32</v>
      </c>
      <c r="E3229" s="3" t="s">
        <v>33</v>
      </c>
      <c r="F3229" s="3" t="s">
        <v>25</v>
      </c>
      <c r="G3229" s="3" t="s">
        <v>41</v>
      </c>
      <c r="H3229" s="3" t="s">
        <v>64</v>
      </c>
      <c r="I3229" s="3" t="s">
        <v>108</v>
      </c>
      <c r="J3229" s="3" t="n">
        <v>5</v>
      </c>
      <c r="K3229" s="3" t="n">
        <v>4101.09</v>
      </c>
      <c r="L3229" s="3" t="n">
        <v>20505.45</v>
      </c>
      <c r="M3229" s="3" t="n">
        <v>0.1746</v>
      </c>
      <c r="N3229" s="3" t="n">
        <v>3580.25</v>
      </c>
      <c r="O3229" s="3" t="n">
        <v>16925.2</v>
      </c>
      <c r="P3229" s="3" t="n">
        <v>11893.16</v>
      </c>
      <c r="Q3229" s="3" t="n">
        <v>5032.04</v>
      </c>
      <c r="R3229" s="3" t="n">
        <v>0.2973</v>
      </c>
      <c r="S3229" s="3" t="n">
        <v>0.169</v>
      </c>
      <c r="T3229" s="3" t="n">
        <v>0.0056</v>
      </c>
    </row>
    <row r="3230" customFormat="false" ht="15" hidden="false" customHeight="true" outlineLevel="0" collapsed="false">
      <c r="A3230" s="3" t="s">
        <v>4350</v>
      </c>
      <c r="B3230" s="3" t="s">
        <v>2837</v>
      </c>
      <c r="C3230" s="3" t="s">
        <v>68</v>
      </c>
      <c r="D3230" s="3" t="s">
        <v>47</v>
      </c>
      <c r="E3230" s="3" t="s">
        <v>48</v>
      </c>
      <c r="F3230" s="3" t="s">
        <v>25</v>
      </c>
      <c r="G3230" s="3" t="s">
        <v>100</v>
      </c>
      <c r="H3230" s="3" t="s">
        <v>64</v>
      </c>
      <c r="I3230" s="3" t="s">
        <v>108</v>
      </c>
      <c r="J3230" s="3" t="n">
        <v>37</v>
      </c>
      <c r="K3230" s="3" t="n">
        <v>10299.99</v>
      </c>
      <c r="L3230" s="3" t="n">
        <v>381099.63</v>
      </c>
      <c r="M3230" s="3" t="n">
        <v>0.1349</v>
      </c>
      <c r="N3230" s="3" t="n">
        <v>51410.34</v>
      </c>
      <c r="O3230" s="3" t="n">
        <v>329689.29</v>
      </c>
      <c r="P3230" s="3" t="n">
        <v>221037.79</v>
      </c>
      <c r="Q3230" s="3" t="n">
        <v>108651.5</v>
      </c>
      <c r="R3230" s="3" t="n">
        <v>0.3296</v>
      </c>
      <c r="S3230" s="3" t="n">
        <v>0.1281</v>
      </c>
      <c r="T3230" s="3" t="n">
        <v>0.0068</v>
      </c>
    </row>
    <row r="3231" customFormat="false" ht="15" hidden="false" customHeight="true" outlineLevel="0" collapsed="false">
      <c r="A3231" s="3" t="s">
        <v>4351</v>
      </c>
      <c r="B3231" s="3" t="s">
        <v>848</v>
      </c>
      <c r="C3231" s="3" t="s">
        <v>120</v>
      </c>
      <c r="D3231" s="3" t="s">
        <v>97</v>
      </c>
      <c r="E3231" s="3" t="s">
        <v>48</v>
      </c>
      <c r="F3231" s="3" t="s">
        <v>40</v>
      </c>
      <c r="G3231" s="3" t="s">
        <v>41</v>
      </c>
      <c r="H3231" s="3" t="s">
        <v>27</v>
      </c>
      <c r="I3231" s="3" t="s">
        <v>50</v>
      </c>
      <c r="J3231" s="3" t="n">
        <v>37</v>
      </c>
      <c r="K3231" s="3" t="n">
        <v>33778.1</v>
      </c>
      <c r="L3231" s="3" t="n">
        <v>1249789.7</v>
      </c>
      <c r="M3231" s="3" t="n">
        <v>0.0845</v>
      </c>
      <c r="N3231" s="3" t="n">
        <v>105607.23</v>
      </c>
      <c r="O3231" s="3" t="n">
        <v>1144182.47</v>
      </c>
      <c r="P3231" s="3" t="n">
        <v>774869.61</v>
      </c>
      <c r="Q3231" s="3" t="n">
        <v>369312.86</v>
      </c>
      <c r="R3231" s="3" t="n">
        <v>0.3228</v>
      </c>
      <c r="S3231" s="3" t="n">
        <v>0.0796</v>
      </c>
      <c r="T3231" s="3" t="n">
        <v>0.0049</v>
      </c>
    </row>
    <row r="3232" customFormat="false" ht="15" hidden="false" customHeight="true" outlineLevel="0" collapsed="false">
      <c r="A3232" s="3" t="s">
        <v>4352</v>
      </c>
      <c r="B3232" s="3" t="s">
        <v>2398</v>
      </c>
      <c r="C3232" s="3" t="s">
        <v>113</v>
      </c>
      <c r="D3232" s="3" t="s">
        <v>23</v>
      </c>
      <c r="E3232" s="3" t="s">
        <v>24</v>
      </c>
      <c r="F3232" s="3" t="s">
        <v>25</v>
      </c>
      <c r="G3232" s="3" t="s">
        <v>76</v>
      </c>
      <c r="H3232" s="3" t="s">
        <v>56</v>
      </c>
      <c r="I3232" s="3" t="s">
        <v>57</v>
      </c>
      <c r="J3232" s="3" t="n">
        <v>28</v>
      </c>
      <c r="K3232" s="3" t="n">
        <v>6806.67</v>
      </c>
      <c r="L3232" s="3" t="n">
        <v>190586.76</v>
      </c>
      <c r="M3232" s="3" t="n">
        <v>0.086</v>
      </c>
      <c r="N3232" s="3" t="n">
        <v>16390.46</v>
      </c>
      <c r="O3232" s="3" t="n">
        <v>174196.3</v>
      </c>
      <c r="P3232" s="3" t="n">
        <v>114352.06</v>
      </c>
      <c r="Q3232" s="3" t="n">
        <v>59844.24</v>
      </c>
      <c r="R3232" s="3" t="n">
        <v>0.3435</v>
      </c>
      <c r="S3232" s="3" t="n">
        <v>0.0828</v>
      </c>
      <c r="T3232" s="3" t="n">
        <v>0.0032</v>
      </c>
    </row>
    <row r="3233" customFormat="false" ht="15" hidden="false" customHeight="true" outlineLevel="0" collapsed="false">
      <c r="A3233" s="3" t="s">
        <v>4353</v>
      </c>
      <c r="B3233" s="3" t="s">
        <v>1801</v>
      </c>
      <c r="C3233" s="3" t="s">
        <v>93</v>
      </c>
      <c r="D3233" s="3" t="s">
        <v>107</v>
      </c>
      <c r="E3233" s="3" t="s">
        <v>33</v>
      </c>
      <c r="F3233" s="3" t="s">
        <v>70</v>
      </c>
      <c r="G3233" s="3" t="s">
        <v>104</v>
      </c>
      <c r="H3233" s="3" t="s">
        <v>27</v>
      </c>
      <c r="I3233" s="3" t="s">
        <v>173</v>
      </c>
      <c r="J3233" s="3" t="n">
        <v>6</v>
      </c>
      <c r="K3233" s="3" t="n">
        <v>8620.36</v>
      </c>
      <c r="L3233" s="3" t="n">
        <v>51722.16</v>
      </c>
      <c r="M3233" s="3" t="n">
        <v>0.0922</v>
      </c>
      <c r="N3233" s="3" t="n">
        <v>4768.78</v>
      </c>
      <c r="O3233" s="3" t="n">
        <v>46953.38</v>
      </c>
      <c r="P3233" s="3" t="n">
        <v>32067.74</v>
      </c>
      <c r="Q3233" s="3" t="n">
        <v>14885.64</v>
      </c>
      <c r="R3233" s="3" t="n">
        <v>0.317</v>
      </c>
      <c r="S3233" s="3" t="n">
        <v>0.0824</v>
      </c>
      <c r="T3233" s="3" t="n">
        <v>0.0098</v>
      </c>
    </row>
    <row r="3234" customFormat="false" ht="15" hidden="false" customHeight="true" outlineLevel="0" collapsed="false">
      <c r="A3234" s="3" t="s">
        <v>4354</v>
      </c>
      <c r="B3234" s="3" t="s">
        <v>1619</v>
      </c>
      <c r="C3234" s="3" t="s">
        <v>93</v>
      </c>
      <c r="D3234" s="3" t="s">
        <v>23</v>
      </c>
      <c r="E3234" s="3" t="s">
        <v>24</v>
      </c>
      <c r="F3234" s="3" t="s">
        <v>25</v>
      </c>
      <c r="G3234" s="3" t="s">
        <v>104</v>
      </c>
      <c r="H3234" s="3" t="s">
        <v>27</v>
      </c>
      <c r="I3234" s="3" t="s">
        <v>117</v>
      </c>
      <c r="J3234" s="3" t="n">
        <v>11</v>
      </c>
      <c r="K3234" s="3" t="n">
        <v>12708.47</v>
      </c>
      <c r="L3234" s="3" t="n">
        <v>139793.17</v>
      </c>
      <c r="M3234" s="3" t="n">
        <v>0.1792</v>
      </c>
      <c r="N3234" s="3" t="n">
        <v>25050.94</v>
      </c>
      <c r="O3234" s="3" t="n">
        <v>114742.23</v>
      </c>
      <c r="P3234" s="3" t="n">
        <v>86671.77</v>
      </c>
      <c r="Q3234" s="3" t="n">
        <v>28070.46</v>
      </c>
      <c r="R3234" s="3" t="n">
        <v>0.2446</v>
      </c>
      <c r="S3234" s="3" t="n">
        <v>0.1627</v>
      </c>
      <c r="T3234" s="3" t="n">
        <v>0.0165</v>
      </c>
    </row>
    <row r="3235" customFormat="false" ht="15" hidden="false" customHeight="true" outlineLevel="0" collapsed="false">
      <c r="A3235" s="3" t="s">
        <v>4355</v>
      </c>
      <c r="B3235" s="3" t="s">
        <v>138</v>
      </c>
      <c r="C3235" s="3" t="s">
        <v>22</v>
      </c>
      <c r="D3235" s="3" t="s">
        <v>103</v>
      </c>
      <c r="E3235" s="3" t="s">
        <v>24</v>
      </c>
      <c r="F3235" s="3" t="s">
        <v>62</v>
      </c>
      <c r="G3235" s="3" t="s">
        <v>63</v>
      </c>
      <c r="H3235" s="3" t="s">
        <v>42</v>
      </c>
      <c r="I3235" s="3" t="s">
        <v>43</v>
      </c>
      <c r="J3235" s="3" t="n">
        <v>32</v>
      </c>
      <c r="K3235" s="3" t="n">
        <v>1463.99</v>
      </c>
      <c r="L3235" s="3" t="n">
        <v>46847.68</v>
      </c>
      <c r="M3235" s="3" t="n">
        <v>0.061</v>
      </c>
      <c r="N3235" s="3" t="n">
        <v>2857.71</v>
      </c>
      <c r="O3235" s="3" t="n">
        <v>43989.97</v>
      </c>
      <c r="P3235" s="3" t="n">
        <v>25766.22</v>
      </c>
      <c r="Q3235" s="3" t="n">
        <v>18223.75</v>
      </c>
      <c r="R3235" s="3" t="n">
        <v>0.4143</v>
      </c>
      <c r="S3235" s="3" t="n">
        <v>0.0498</v>
      </c>
      <c r="T3235" s="3" t="n">
        <v>0.0112</v>
      </c>
    </row>
    <row r="3236" customFormat="false" ht="15" hidden="false" customHeight="true" outlineLevel="0" collapsed="false">
      <c r="A3236" s="3" t="s">
        <v>4356</v>
      </c>
      <c r="B3236" s="3" t="s">
        <v>954</v>
      </c>
      <c r="C3236" s="3" t="s">
        <v>120</v>
      </c>
      <c r="D3236" s="3" t="s">
        <v>54</v>
      </c>
      <c r="E3236" s="3" t="s">
        <v>24</v>
      </c>
      <c r="F3236" s="3" t="s">
        <v>40</v>
      </c>
      <c r="G3236" s="3" t="s">
        <v>41</v>
      </c>
      <c r="H3236" s="3" t="s">
        <v>77</v>
      </c>
      <c r="I3236" s="3" t="s">
        <v>78</v>
      </c>
      <c r="J3236" s="3" t="n">
        <v>21</v>
      </c>
      <c r="K3236" s="3" t="n">
        <v>5397.34</v>
      </c>
      <c r="L3236" s="3" t="n">
        <v>113344.14</v>
      </c>
      <c r="M3236" s="3" t="n">
        <v>0.0832</v>
      </c>
      <c r="N3236" s="3" t="n">
        <v>9430.23</v>
      </c>
      <c r="O3236" s="3" t="n">
        <v>103913.91</v>
      </c>
      <c r="P3236" s="3" t="n">
        <v>77074.02</v>
      </c>
      <c r="Q3236" s="3" t="n">
        <v>26839.89</v>
      </c>
      <c r="R3236" s="3" t="n">
        <v>0.2583</v>
      </c>
      <c r="S3236" s="3" t="n">
        <v>0.0755</v>
      </c>
      <c r="T3236" s="3" t="n">
        <v>0.0077</v>
      </c>
    </row>
    <row r="3237" customFormat="false" ht="15" hidden="false" customHeight="true" outlineLevel="0" collapsed="false">
      <c r="A3237" s="3" t="s">
        <v>4357</v>
      </c>
      <c r="B3237" s="3" t="s">
        <v>2014</v>
      </c>
      <c r="C3237" s="3" t="s">
        <v>22</v>
      </c>
      <c r="D3237" s="3" t="s">
        <v>47</v>
      </c>
      <c r="E3237" s="3" t="s">
        <v>48</v>
      </c>
      <c r="F3237" s="3" t="s">
        <v>25</v>
      </c>
      <c r="G3237" s="3" t="s">
        <v>76</v>
      </c>
      <c r="H3237" s="3" t="s">
        <v>56</v>
      </c>
      <c r="I3237" s="3" t="s">
        <v>57</v>
      </c>
      <c r="J3237" s="3" t="n">
        <v>4</v>
      </c>
      <c r="K3237" s="3" t="n">
        <v>6412.4</v>
      </c>
      <c r="L3237" s="3" t="n">
        <v>25649.6</v>
      </c>
      <c r="M3237" s="3" t="n">
        <v>0.1392</v>
      </c>
      <c r="N3237" s="3" t="n">
        <v>3570.42</v>
      </c>
      <c r="O3237" s="3" t="n">
        <v>22079.18</v>
      </c>
      <c r="P3237" s="3" t="n">
        <v>15389.76</v>
      </c>
      <c r="Q3237" s="3" t="n">
        <v>6689.42</v>
      </c>
      <c r="R3237" s="3" t="n">
        <v>0.303</v>
      </c>
      <c r="S3237" s="3" t="n">
        <v>0.1315</v>
      </c>
      <c r="T3237" s="3" t="n">
        <v>0.0077</v>
      </c>
    </row>
    <row r="3238" customFormat="false" ht="15" hidden="false" customHeight="true" outlineLevel="0" collapsed="false">
      <c r="A3238" s="3" t="s">
        <v>4358</v>
      </c>
      <c r="B3238" s="3" t="s">
        <v>1001</v>
      </c>
      <c r="C3238" s="3" t="s">
        <v>46</v>
      </c>
      <c r="D3238" s="3" t="s">
        <v>103</v>
      </c>
      <c r="E3238" s="3" t="s">
        <v>24</v>
      </c>
      <c r="F3238" s="3" t="s">
        <v>62</v>
      </c>
      <c r="G3238" s="3" t="s">
        <v>100</v>
      </c>
      <c r="H3238" s="3" t="s">
        <v>42</v>
      </c>
      <c r="I3238" s="3" t="s">
        <v>72</v>
      </c>
      <c r="J3238" s="3" t="n">
        <v>13</v>
      </c>
      <c r="K3238" s="3" t="n">
        <v>3762.02</v>
      </c>
      <c r="L3238" s="3" t="n">
        <v>48906.26</v>
      </c>
      <c r="M3238" s="3" t="n">
        <v>0.0401</v>
      </c>
      <c r="N3238" s="3" t="n">
        <v>1961.14</v>
      </c>
      <c r="O3238" s="3" t="n">
        <v>46945.12</v>
      </c>
      <c r="P3238" s="3" t="n">
        <v>26898.44</v>
      </c>
      <c r="Q3238" s="3" t="n">
        <v>20046.68</v>
      </c>
      <c r="R3238" s="3" t="n">
        <v>0.427</v>
      </c>
      <c r="S3238" s="3" t="n">
        <v>0.0382</v>
      </c>
      <c r="T3238" s="3" t="n">
        <v>0.0019</v>
      </c>
    </row>
    <row r="3239" customFormat="false" ht="15" hidden="false" customHeight="true" outlineLevel="0" collapsed="false">
      <c r="A3239" s="3" t="s">
        <v>4359</v>
      </c>
      <c r="B3239" s="3" t="s">
        <v>1025</v>
      </c>
      <c r="C3239" s="3" t="s">
        <v>156</v>
      </c>
      <c r="D3239" s="3" t="s">
        <v>83</v>
      </c>
      <c r="E3239" s="3" t="s">
        <v>48</v>
      </c>
      <c r="F3239" s="3" t="s">
        <v>62</v>
      </c>
      <c r="G3239" s="3" t="s">
        <v>26</v>
      </c>
      <c r="H3239" s="3" t="s">
        <v>64</v>
      </c>
      <c r="I3239" s="3" t="s">
        <v>108</v>
      </c>
      <c r="J3239" s="3" t="n">
        <v>26</v>
      </c>
      <c r="K3239" s="3" t="n">
        <v>7998.52</v>
      </c>
      <c r="L3239" s="3" t="n">
        <v>207961.52</v>
      </c>
      <c r="M3239" s="3" t="n">
        <v>0.0567</v>
      </c>
      <c r="N3239" s="3" t="n">
        <v>11791.42</v>
      </c>
      <c r="O3239" s="3" t="n">
        <v>196170.1</v>
      </c>
      <c r="P3239" s="3" t="n">
        <v>120617.68</v>
      </c>
      <c r="Q3239" s="3" t="n">
        <v>75552.42</v>
      </c>
      <c r="R3239" s="3" t="n">
        <v>0.3851</v>
      </c>
      <c r="S3239" s="3" t="n">
        <v>0.0527</v>
      </c>
      <c r="T3239" s="3" t="n">
        <v>0.004</v>
      </c>
    </row>
    <row r="3240" customFormat="false" ht="15" hidden="false" customHeight="true" outlineLevel="0" collapsed="false">
      <c r="A3240" s="3" t="s">
        <v>4360</v>
      </c>
      <c r="B3240" s="3" t="s">
        <v>1889</v>
      </c>
      <c r="C3240" s="3" t="s">
        <v>31</v>
      </c>
      <c r="D3240" s="3" t="s">
        <v>61</v>
      </c>
      <c r="E3240" s="3" t="s">
        <v>33</v>
      </c>
      <c r="F3240" s="3" t="s">
        <v>62</v>
      </c>
      <c r="G3240" s="3" t="s">
        <v>84</v>
      </c>
      <c r="H3240" s="3" t="s">
        <v>42</v>
      </c>
      <c r="I3240" s="3" t="s">
        <v>134</v>
      </c>
      <c r="J3240" s="3" t="n">
        <v>10</v>
      </c>
      <c r="K3240" s="3" t="n">
        <v>3922.38</v>
      </c>
      <c r="L3240" s="3" t="n">
        <v>39223.8</v>
      </c>
      <c r="M3240" s="3" t="n">
        <v>0.0415</v>
      </c>
      <c r="N3240" s="3" t="n">
        <v>1627.79</v>
      </c>
      <c r="O3240" s="3" t="n">
        <v>37596.01</v>
      </c>
      <c r="P3240" s="3" t="n">
        <v>21573.09</v>
      </c>
      <c r="Q3240" s="3" t="n">
        <v>16022.92</v>
      </c>
      <c r="R3240" s="3" t="n">
        <v>0.4262</v>
      </c>
      <c r="S3240" s="3" t="n">
        <v>0.0392</v>
      </c>
      <c r="T3240" s="3" t="n">
        <v>0.0023</v>
      </c>
    </row>
    <row r="3241" customFormat="false" ht="15" hidden="false" customHeight="true" outlineLevel="0" collapsed="false">
      <c r="A3241" s="3" t="s">
        <v>4361</v>
      </c>
      <c r="B3241" s="3" t="s">
        <v>956</v>
      </c>
      <c r="C3241" s="3" t="s">
        <v>156</v>
      </c>
      <c r="D3241" s="3" t="s">
        <v>54</v>
      </c>
      <c r="E3241" s="3" t="s">
        <v>24</v>
      </c>
      <c r="F3241" s="3" t="s">
        <v>40</v>
      </c>
      <c r="G3241" s="3" t="s">
        <v>100</v>
      </c>
      <c r="H3241" s="3" t="s">
        <v>56</v>
      </c>
      <c r="I3241" s="3" t="s">
        <v>57</v>
      </c>
      <c r="J3241" s="3" t="n">
        <v>40</v>
      </c>
      <c r="K3241" s="3" t="n">
        <v>13259.12</v>
      </c>
      <c r="L3241" s="3" t="n">
        <v>530364.8</v>
      </c>
      <c r="M3241" s="3" t="n">
        <v>0.0617</v>
      </c>
      <c r="N3241" s="3" t="n">
        <v>32723.51</v>
      </c>
      <c r="O3241" s="3" t="n">
        <v>497641.29</v>
      </c>
      <c r="P3241" s="3" t="n">
        <v>318218.88</v>
      </c>
      <c r="Q3241" s="3" t="n">
        <v>179422.41</v>
      </c>
      <c r="R3241" s="3" t="n">
        <v>0.3605</v>
      </c>
      <c r="S3241" s="3" t="n">
        <v>0.0511</v>
      </c>
      <c r="T3241" s="3" t="n">
        <v>0.0106</v>
      </c>
    </row>
    <row r="3242" customFormat="false" ht="15" hidden="false" customHeight="true" outlineLevel="0" collapsed="false">
      <c r="A3242" s="3" t="s">
        <v>4362</v>
      </c>
      <c r="B3242" s="3" t="s">
        <v>390</v>
      </c>
      <c r="C3242" s="3" t="s">
        <v>120</v>
      </c>
      <c r="D3242" s="3" t="s">
        <v>32</v>
      </c>
      <c r="E3242" s="3" t="s">
        <v>33</v>
      </c>
      <c r="F3242" s="3" t="s">
        <v>25</v>
      </c>
      <c r="G3242" s="3" t="s">
        <v>63</v>
      </c>
      <c r="H3242" s="3" t="s">
        <v>27</v>
      </c>
      <c r="I3242" s="3" t="s">
        <v>94</v>
      </c>
      <c r="J3242" s="3" t="n">
        <v>31</v>
      </c>
      <c r="K3242" s="3" t="n">
        <v>23883.25</v>
      </c>
      <c r="L3242" s="3" t="n">
        <v>740380.75</v>
      </c>
      <c r="M3242" s="3" t="n">
        <v>0.1057</v>
      </c>
      <c r="N3242" s="3" t="n">
        <v>78258.25</v>
      </c>
      <c r="O3242" s="3" t="n">
        <v>662122.5</v>
      </c>
      <c r="P3242" s="3" t="n">
        <v>459036.07</v>
      </c>
      <c r="Q3242" s="3" t="n">
        <v>203086.43</v>
      </c>
      <c r="R3242" s="3" t="n">
        <v>0.3067</v>
      </c>
      <c r="S3242" s="3" t="n">
        <v>0.0957</v>
      </c>
      <c r="T3242" s="3" t="n">
        <v>0.01</v>
      </c>
    </row>
    <row r="3243" customFormat="false" ht="15" hidden="false" customHeight="true" outlineLevel="0" collapsed="false">
      <c r="A3243" s="3" t="s">
        <v>4363</v>
      </c>
      <c r="B3243" s="3" t="s">
        <v>1514</v>
      </c>
      <c r="C3243" s="3" t="s">
        <v>120</v>
      </c>
      <c r="D3243" s="3" t="s">
        <v>38</v>
      </c>
      <c r="E3243" s="3" t="s">
        <v>39</v>
      </c>
      <c r="F3243" s="3" t="s">
        <v>40</v>
      </c>
      <c r="G3243" s="3" t="s">
        <v>116</v>
      </c>
      <c r="H3243" s="3" t="s">
        <v>64</v>
      </c>
      <c r="I3243" s="3" t="s">
        <v>65</v>
      </c>
      <c r="J3243" s="3" t="n">
        <v>10</v>
      </c>
      <c r="K3243" s="3" t="n">
        <v>10635.47</v>
      </c>
      <c r="L3243" s="3" t="n">
        <v>106354.7</v>
      </c>
      <c r="M3243" s="3" t="n">
        <v>0.1063</v>
      </c>
      <c r="N3243" s="3" t="n">
        <v>11305.5</v>
      </c>
      <c r="O3243" s="3" t="n">
        <v>95049.2</v>
      </c>
      <c r="P3243" s="3" t="n">
        <v>61685.73</v>
      </c>
      <c r="Q3243" s="3" t="n">
        <v>33363.47</v>
      </c>
      <c r="R3243" s="3" t="n">
        <v>0.351</v>
      </c>
      <c r="S3243" s="3" t="n">
        <v>0.0927</v>
      </c>
      <c r="T3243" s="3" t="n">
        <v>0.0136</v>
      </c>
    </row>
    <row r="3244" customFormat="false" ht="15" hidden="false" customHeight="true" outlineLevel="0" collapsed="false">
      <c r="A3244" s="3" t="s">
        <v>4364</v>
      </c>
      <c r="B3244" s="3" t="s">
        <v>2752</v>
      </c>
      <c r="C3244" s="3" t="s">
        <v>93</v>
      </c>
      <c r="D3244" s="3" t="s">
        <v>97</v>
      </c>
      <c r="E3244" s="3" t="s">
        <v>48</v>
      </c>
      <c r="F3244" s="3" t="s">
        <v>40</v>
      </c>
      <c r="G3244" s="3" t="s">
        <v>104</v>
      </c>
      <c r="H3244" s="3" t="s">
        <v>64</v>
      </c>
      <c r="I3244" s="3" t="s">
        <v>90</v>
      </c>
      <c r="J3244" s="3" t="n">
        <v>37</v>
      </c>
      <c r="K3244" s="3" t="n">
        <v>10482.07</v>
      </c>
      <c r="L3244" s="3" t="n">
        <v>387836.59</v>
      </c>
      <c r="M3244" s="3" t="n">
        <v>0.0903</v>
      </c>
      <c r="N3244" s="3" t="n">
        <v>35021.64</v>
      </c>
      <c r="O3244" s="3" t="n">
        <v>352814.95</v>
      </c>
      <c r="P3244" s="3" t="n">
        <v>224945.22</v>
      </c>
      <c r="Q3244" s="3" t="n">
        <v>127869.73</v>
      </c>
      <c r="R3244" s="3" t="n">
        <v>0.3624</v>
      </c>
      <c r="S3244" s="3" t="n">
        <v>0.0881</v>
      </c>
      <c r="T3244" s="3" t="n">
        <v>0.0022</v>
      </c>
    </row>
    <row r="3245" customFormat="false" ht="15" hidden="false" customHeight="true" outlineLevel="0" collapsed="false">
      <c r="A3245" s="3" t="s">
        <v>4365</v>
      </c>
      <c r="B3245" s="3" t="s">
        <v>876</v>
      </c>
      <c r="C3245" s="3" t="s">
        <v>37</v>
      </c>
      <c r="D3245" s="3" t="s">
        <v>107</v>
      </c>
      <c r="E3245" s="3" t="s">
        <v>33</v>
      </c>
      <c r="F3245" s="3" t="s">
        <v>70</v>
      </c>
      <c r="G3245" s="3" t="s">
        <v>49</v>
      </c>
      <c r="H3245" s="3" t="s">
        <v>64</v>
      </c>
      <c r="I3245" s="3" t="s">
        <v>65</v>
      </c>
      <c r="J3245" s="3" t="n">
        <v>41</v>
      </c>
      <c r="K3245" s="3" t="n">
        <v>7819.74</v>
      </c>
      <c r="L3245" s="3" t="n">
        <v>320609.34</v>
      </c>
      <c r="M3245" s="3" t="n">
        <v>0.0754</v>
      </c>
      <c r="N3245" s="3" t="n">
        <v>24173.94</v>
      </c>
      <c r="O3245" s="3" t="n">
        <v>296435.4</v>
      </c>
      <c r="P3245" s="3" t="n">
        <v>185953.42</v>
      </c>
      <c r="Q3245" s="3" t="n">
        <v>110481.98</v>
      </c>
      <c r="R3245" s="3" t="n">
        <v>0.3727</v>
      </c>
      <c r="S3245" s="3" t="n">
        <v>0.0787</v>
      </c>
      <c r="T3245" s="3" t="n">
        <v>-0.0033</v>
      </c>
    </row>
    <row r="3246" customFormat="false" ht="15" hidden="false" customHeight="true" outlineLevel="0" collapsed="false">
      <c r="A3246" s="3" t="s">
        <v>4366</v>
      </c>
      <c r="B3246" s="3" t="s">
        <v>2643</v>
      </c>
      <c r="C3246" s="3" t="s">
        <v>60</v>
      </c>
      <c r="D3246" s="3" t="s">
        <v>61</v>
      </c>
      <c r="E3246" s="3" t="s">
        <v>33</v>
      </c>
      <c r="F3246" s="3" t="s">
        <v>62</v>
      </c>
      <c r="G3246" s="3" t="s">
        <v>55</v>
      </c>
      <c r="H3246" s="3" t="s">
        <v>77</v>
      </c>
      <c r="I3246" s="3" t="s">
        <v>131</v>
      </c>
      <c r="J3246" s="3" t="n">
        <v>6</v>
      </c>
      <c r="K3246" s="3" t="n">
        <v>4300.44</v>
      </c>
      <c r="L3246" s="3" t="n">
        <v>25802.64</v>
      </c>
      <c r="M3246" s="3" t="n">
        <v>0.0441</v>
      </c>
      <c r="N3246" s="3" t="n">
        <v>1137.9</v>
      </c>
      <c r="O3246" s="3" t="n">
        <v>24664.74</v>
      </c>
      <c r="P3246" s="3" t="n">
        <v>17545.8</v>
      </c>
      <c r="Q3246" s="3" t="n">
        <v>7118.94</v>
      </c>
      <c r="R3246" s="3" t="n">
        <v>0.2886</v>
      </c>
      <c r="S3246" s="3" t="n">
        <v>0.0482</v>
      </c>
      <c r="T3246" s="3" t="n">
        <v>-0.0041</v>
      </c>
    </row>
    <row r="3247" customFormat="false" ht="15" hidden="false" customHeight="true" outlineLevel="0" collapsed="false">
      <c r="A3247" s="3" t="s">
        <v>4367</v>
      </c>
      <c r="B3247" s="3" t="s">
        <v>4078</v>
      </c>
      <c r="C3247" s="3" t="s">
        <v>126</v>
      </c>
      <c r="D3247" s="3" t="s">
        <v>83</v>
      </c>
      <c r="E3247" s="3" t="s">
        <v>48</v>
      </c>
      <c r="F3247" s="3" t="s">
        <v>62</v>
      </c>
      <c r="G3247" s="3" t="s">
        <v>76</v>
      </c>
      <c r="H3247" s="3" t="s">
        <v>42</v>
      </c>
      <c r="I3247" s="3" t="s">
        <v>134</v>
      </c>
      <c r="J3247" s="3" t="n">
        <v>8</v>
      </c>
      <c r="K3247" s="3" t="n">
        <v>2935.97</v>
      </c>
      <c r="L3247" s="3" t="n">
        <v>23487.76</v>
      </c>
      <c r="M3247" s="3" t="n">
        <v>0.0797</v>
      </c>
      <c r="N3247" s="3" t="n">
        <v>1871.97</v>
      </c>
      <c r="O3247" s="3" t="n">
        <v>21615.79</v>
      </c>
      <c r="P3247" s="3" t="n">
        <v>12918.27</v>
      </c>
      <c r="Q3247" s="3" t="n">
        <v>8697.52</v>
      </c>
      <c r="R3247" s="3" t="n">
        <v>0.4024</v>
      </c>
      <c r="S3247" s="3" t="n">
        <v>0.0857</v>
      </c>
      <c r="T3247" s="3" t="n">
        <v>-0.006</v>
      </c>
    </row>
    <row r="3248" customFormat="false" ht="15" hidden="false" customHeight="true" outlineLevel="0" collapsed="false">
      <c r="A3248" s="3" t="s">
        <v>4368</v>
      </c>
      <c r="B3248" s="3" t="s">
        <v>967</v>
      </c>
      <c r="C3248" s="3" t="s">
        <v>22</v>
      </c>
      <c r="D3248" s="3" t="s">
        <v>54</v>
      </c>
      <c r="E3248" s="3" t="s">
        <v>24</v>
      </c>
      <c r="F3248" s="3" t="s">
        <v>40</v>
      </c>
      <c r="G3248" s="3" t="s">
        <v>34</v>
      </c>
      <c r="H3248" s="3" t="s">
        <v>56</v>
      </c>
      <c r="I3248" s="3" t="s">
        <v>57</v>
      </c>
      <c r="J3248" s="3" t="n">
        <v>11</v>
      </c>
      <c r="K3248" s="3" t="n">
        <v>11325.18</v>
      </c>
      <c r="L3248" s="3" t="n">
        <v>124576.98</v>
      </c>
      <c r="M3248" s="3" t="n">
        <v>0.0831</v>
      </c>
      <c r="N3248" s="3" t="n">
        <v>10352.35</v>
      </c>
      <c r="O3248" s="3" t="n">
        <v>114224.63</v>
      </c>
      <c r="P3248" s="3" t="n">
        <v>74746.19</v>
      </c>
      <c r="Q3248" s="3" t="n">
        <v>39478.44</v>
      </c>
      <c r="R3248" s="3" t="n">
        <v>0.3456</v>
      </c>
      <c r="S3248" s="3" t="n">
        <v>0.0794</v>
      </c>
      <c r="T3248" s="3" t="n">
        <v>0.0037</v>
      </c>
    </row>
    <row r="3249" customFormat="false" ht="15" hidden="false" customHeight="true" outlineLevel="0" collapsed="false">
      <c r="A3249" s="3" t="s">
        <v>4369</v>
      </c>
      <c r="B3249" s="3" t="s">
        <v>1381</v>
      </c>
      <c r="C3249" s="3" t="s">
        <v>93</v>
      </c>
      <c r="D3249" s="3" t="s">
        <v>107</v>
      </c>
      <c r="E3249" s="3" t="s">
        <v>33</v>
      </c>
      <c r="F3249" s="3" t="s">
        <v>70</v>
      </c>
      <c r="G3249" s="3" t="s">
        <v>41</v>
      </c>
      <c r="H3249" s="3" t="s">
        <v>64</v>
      </c>
      <c r="I3249" s="3" t="s">
        <v>65</v>
      </c>
      <c r="J3249" s="3" t="n">
        <v>37</v>
      </c>
      <c r="K3249" s="3" t="n">
        <v>5703.41</v>
      </c>
      <c r="L3249" s="3" t="n">
        <v>211026.17</v>
      </c>
      <c r="M3249" s="3" t="n">
        <v>0.1363</v>
      </c>
      <c r="N3249" s="3" t="n">
        <v>28762.87</v>
      </c>
      <c r="O3249" s="3" t="n">
        <v>182263.3</v>
      </c>
      <c r="P3249" s="3" t="n">
        <v>122395.18</v>
      </c>
      <c r="Q3249" s="3" t="n">
        <v>59868.12</v>
      </c>
      <c r="R3249" s="3" t="n">
        <v>0.3285</v>
      </c>
      <c r="S3249" s="3" t="n">
        <v>0.1388</v>
      </c>
      <c r="T3249" s="3" t="n">
        <v>-0.0025</v>
      </c>
    </row>
    <row r="3250" customFormat="false" ht="15" hidden="false" customHeight="true" outlineLevel="0" collapsed="false">
      <c r="A3250" s="3" t="s">
        <v>4370</v>
      </c>
      <c r="B3250" s="3" t="s">
        <v>2168</v>
      </c>
      <c r="C3250" s="3" t="s">
        <v>113</v>
      </c>
      <c r="D3250" s="3" t="s">
        <v>69</v>
      </c>
      <c r="E3250" s="3" t="s">
        <v>39</v>
      </c>
      <c r="F3250" s="3" t="s">
        <v>70</v>
      </c>
      <c r="G3250" s="3" t="s">
        <v>84</v>
      </c>
      <c r="H3250" s="3" t="s">
        <v>77</v>
      </c>
      <c r="I3250" s="3" t="s">
        <v>85</v>
      </c>
      <c r="J3250" s="3" t="n">
        <v>49</v>
      </c>
      <c r="K3250" s="3" t="n">
        <v>3504.08</v>
      </c>
      <c r="L3250" s="3" t="n">
        <v>171699.92</v>
      </c>
      <c r="M3250" s="3" t="n">
        <v>0.0429</v>
      </c>
      <c r="N3250" s="3" t="n">
        <v>7365.93</v>
      </c>
      <c r="O3250" s="3" t="n">
        <v>164333.99</v>
      </c>
      <c r="P3250" s="3" t="n">
        <v>116755.95</v>
      </c>
      <c r="Q3250" s="3" t="n">
        <v>47578.04</v>
      </c>
      <c r="R3250" s="3" t="n">
        <v>0.2895</v>
      </c>
      <c r="S3250" s="3" t="n">
        <v>0.0425</v>
      </c>
      <c r="T3250" s="3" t="n">
        <v>0.0004</v>
      </c>
    </row>
    <row r="3251" customFormat="false" ht="15" hidden="false" customHeight="true" outlineLevel="0" collapsed="false">
      <c r="A3251" s="3" t="s">
        <v>4371</v>
      </c>
      <c r="B3251" s="3" t="s">
        <v>1378</v>
      </c>
      <c r="C3251" s="3" t="s">
        <v>46</v>
      </c>
      <c r="D3251" s="3" t="s">
        <v>69</v>
      </c>
      <c r="E3251" s="3" t="s">
        <v>39</v>
      </c>
      <c r="F3251" s="3" t="s">
        <v>70</v>
      </c>
      <c r="G3251" s="3" t="s">
        <v>55</v>
      </c>
      <c r="H3251" s="3" t="s">
        <v>42</v>
      </c>
      <c r="I3251" s="3" t="s">
        <v>134</v>
      </c>
      <c r="J3251" s="3" t="n">
        <v>34</v>
      </c>
      <c r="K3251" s="3" t="n">
        <v>3638.58</v>
      </c>
      <c r="L3251" s="3" t="n">
        <v>123711.72</v>
      </c>
      <c r="M3251" s="3" t="n">
        <v>0.0548</v>
      </c>
      <c r="N3251" s="3" t="n">
        <v>6779.4</v>
      </c>
      <c r="O3251" s="3" t="n">
        <v>116932.32</v>
      </c>
      <c r="P3251" s="3" t="n">
        <v>68041.45</v>
      </c>
      <c r="Q3251" s="3" t="n">
        <v>48890.87</v>
      </c>
      <c r="R3251" s="3" t="n">
        <v>0.4181</v>
      </c>
      <c r="S3251" s="3" t="n">
        <v>0.0498</v>
      </c>
      <c r="T3251" s="3" t="n">
        <v>0.005</v>
      </c>
    </row>
    <row r="3252" customFormat="false" ht="15" hidden="false" customHeight="true" outlineLevel="0" collapsed="false">
      <c r="A3252" s="3" t="s">
        <v>4372</v>
      </c>
      <c r="B3252" s="3" t="s">
        <v>4373</v>
      </c>
      <c r="C3252" s="3" t="s">
        <v>156</v>
      </c>
      <c r="D3252" s="3" t="s">
        <v>61</v>
      </c>
      <c r="E3252" s="3" t="s">
        <v>33</v>
      </c>
      <c r="F3252" s="3" t="s">
        <v>62</v>
      </c>
      <c r="G3252" s="3" t="s">
        <v>26</v>
      </c>
      <c r="H3252" s="3" t="s">
        <v>42</v>
      </c>
      <c r="I3252" s="3" t="s">
        <v>134</v>
      </c>
      <c r="J3252" s="3" t="n">
        <v>15</v>
      </c>
      <c r="K3252" s="3" t="n">
        <v>3479.93</v>
      </c>
      <c r="L3252" s="3" t="n">
        <v>52198.95</v>
      </c>
      <c r="M3252" s="3" t="n">
        <v>0.0747</v>
      </c>
      <c r="N3252" s="3" t="n">
        <v>3899.26</v>
      </c>
      <c r="O3252" s="3" t="n">
        <v>48299.69</v>
      </c>
      <c r="P3252" s="3" t="n">
        <v>28709.42</v>
      </c>
      <c r="Q3252" s="3" t="n">
        <v>19590.27</v>
      </c>
      <c r="R3252" s="3" t="n">
        <v>0.4056</v>
      </c>
      <c r="S3252" s="3" t="n">
        <v>0.0785</v>
      </c>
      <c r="T3252" s="3" t="n">
        <v>-0.0038</v>
      </c>
    </row>
    <row r="3253" customFormat="false" ht="15" hidden="false" customHeight="true" outlineLevel="0" collapsed="false">
      <c r="A3253" s="3" t="s">
        <v>4374</v>
      </c>
      <c r="B3253" s="3" t="s">
        <v>1352</v>
      </c>
      <c r="C3253" s="3" t="s">
        <v>120</v>
      </c>
      <c r="D3253" s="3" t="s">
        <v>38</v>
      </c>
      <c r="E3253" s="3" t="s">
        <v>39</v>
      </c>
      <c r="F3253" s="3" t="s">
        <v>40</v>
      </c>
      <c r="G3253" s="3" t="s">
        <v>34</v>
      </c>
      <c r="H3253" s="3" t="s">
        <v>56</v>
      </c>
      <c r="I3253" s="3" t="s">
        <v>188</v>
      </c>
      <c r="J3253" s="3" t="n">
        <v>35</v>
      </c>
      <c r="K3253" s="3" t="n">
        <v>6323.37</v>
      </c>
      <c r="L3253" s="3" t="n">
        <v>221317.95</v>
      </c>
      <c r="M3253" s="3" t="n">
        <v>0.108</v>
      </c>
      <c r="N3253" s="3" t="n">
        <v>23902.34</v>
      </c>
      <c r="O3253" s="3" t="n">
        <v>197415.61</v>
      </c>
      <c r="P3253" s="3" t="n">
        <v>132790.77</v>
      </c>
      <c r="Q3253" s="3" t="n">
        <v>64624.84</v>
      </c>
      <c r="R3253" s="3" t="n">
        <v>0.3274</v>
      </c>
      <c r="S3253" s="3" t="n">
        <v>0.0959</v>
      </c>
      <c r="T3253" s="3" t="n">
        <v>0.0121</v>
      </c>
    </row>
    <row r="3254" customFormat="false" ht="15" hidden="false" customHeight="true" outlineLevel="0" collapsed="false">
      <c r="A3254" s="3" t="s">
        <v>4375</v>
      </c>
      <c r="B3254" s="3" t="s">
        <v>155</v>
      </c>
      <c r="C3254" s="3" t="s">
        <v>156</v>
      </c>
      <c r="D3254" s="3" t="s">
        <v>38</v>
      </c>
      <c r="E3254" s="3" t="s">
        <v>39</v>
      </c>
      <c r="F3254" s="3" t="s">
        <v>40</v>
      </c>
      <c r="G3254" s="3" t="s">
        <v>71</v>
      </c>
      <c r="H3254" s="3" t="s">
        <v>77</v>
      </c>
      <c r="I3254" s="3" t="s">
        <v>131</v>
      </c>
      <c r="J3254" s="3" t="n">
        <v>4</v>
      </c>
      <c r="K3254" s="3" t="n">
        <v>1346.74</v>
      </c>
      <c r="L3254" s="3" t="n">
        <v>5386.96</v>
      </c>
      <c r="M3254" s="3" t="n">
        <v>0.0584</v>
      </c>
      <c r="N3254" s="3" t="n">
        <v>314.6</v>
      </c>
      <c r="O3254" s="3" t="n">
        <v>5072.36</v>
      </c>
      <c r="P3254" s="3" t="n">
        <v>3663.13</v>
      </c>
      <c r="Q3254" s="3" t="n">
        <v>1409.23</v>
      </c>
      <c r="R3254" s="3" t="n">
        <v>0.2778</v>
      </c>
      <c r="S3254" s="3" t="n">
        <v>0.0572</v>
      </c>
      <c r="T3254" s="3" t="n">
        <v>0.0012</v>
      </c>
    </row>
    <row r="3255" customFormat="false" ht="15" hidden="false" customHeight="true" outlineLevel="0" collapsed="false">
      <c r="A3255" s="3" t="s">
        <v>4376</v>
      </c>
      <c r="B3255" s="3" t="s">
        <v>842</v>
      </c>
      <c r="C3255" s="3" t="s">
        <v>60</v>
      </c>
      <c r="D3255" s="3" t="s">
        <v>47</v>
      </c>
      <c r="E3255" s="3" t="s">
        <v>48</v>
      </c>
      <c r="F3255" s="3" t="s">
        <v>25</v>
      </c>
      <c r="G3255" s="3" t="s">
        <v>34</v>
      </c>
      <c r="H3255" s="3" t="s">
        <v>42</v>
      </c>
      <c r="I3255" s="3" t="s">
        <v>134</v>
      </c>
      <c r="J3255" s="3" t="n">
        <v>9</v>
      </c>
      <c r="K3255" s="3" t="n">
        <v>2172.59</v>
      </c>
      <c r="L3255" s="3" t="n">
        <v>19553.31</v>
      </c>
      <c r="M3255" s="3" t="n">
        <v>0.1331</v>
      </c>
      <c r="N3255" s="3" t="n">
        <v>2602.55</v>
      </c>
      <c r="O3255" s="3" t="n">
        <v>16950.76</v>
      </c>
      <c r="P3255" s="3" t="n">
        <v>10754.32</v>
      </c>
      <c r="Q3255" s="3" t="n">
        <v>6196.44</v>
      </c>
      <c r="R3255" s="3" t="n">
        <v>0.3656</v>
      </c>
      <c r="S3255" s="3" t="n">
        <v>0.1115</v>
      </c>
      <c r="T3255" s="3" t="n">
        <v>0.0216</v>
      </c>
    </row>
    <row r="3256" customFormat="false" ht="15" hidden="false" customHeight="true" outlineLevel="0" collapsed="false">
      <c r="A3256" s="3" t="s">
        <v>4377</v>
      </c>
      <c r="B3256" s="3" t="s">
        <v>633</v>
      </c>
      <c r="C3256" s="3" t="s">
        <v>22</v>
      </c>
      <c r="D3256" s="3" t="s">
        <v>54</v>
      </c>
      <c r="E3256" s="3" t="s">
        <v>24</v>
      </c>
      <c r="F3256" s="3" t="s">
        <v>40</v>
      </c>
      <c r="G3256" s="3" t="s">
        <v>104</v>
      </c>
      <c r="H3256" s="3" t="s">
        <v>56</v>
      </c>
      <c r="I3256" s="3" t="s">
        <v>188</v>
      </c>
      <c r="J3256" s="3" t="n">
        <v>39</v>
      </c>
      <c r="K3256" s="3" t="n">
        <v>5533.18</v>
      </c>
      <c r="L3256" s="3" t="n">
        <v>215794.02</v>
      </c>
      <c r="M3256" s="3" t="n">
        <v>0.0854</v>
      </c>
      <c r="N3256" s="3" t="n">
        <v>18428.81</v>
      </c>
      <c r="O3256" s="3" t="n">
        <v>197365.21</v>
      </c>
      <c r="P3256" s="3" t="n">
        <v>129476.41</v>
      </c>
      <c r="Q3256" s="3" t="n">
        <v>67888.8</v>
      </c>
      <c r="R3256" s="3" t="n">
        <v>0.344</v>
      </c>
      <c r="S3256" s="3" t="n">
        <v>0.0867</v>
      </c>
      <c r="T3256" s="3" t="n">
        <v>-0.0013</v>
      </c>
    </row>
    <row r="3257" customFormat="false" ht="15" hidden="false" customHeight="true" outlineLevel="0" collapsed="false">
      <c r="A3257" s="3" t="s">
        <v>4378</v>
      </c>
      <c r="B3257" s="3" t="s">
        <v>276</v>
      </c>
      <c r="C3257" s="3" t="s">
        <v>120</v>
      </c>
      <c r="D3257" s="3" t="s">
        <v>54</v>
      </c>
      <c r="E3257" s="3" t="s">
        <v>24</v>
      </c>
      <c r="F3257" s="3" t="s">
        <v>40</v>
      </c>
      <c r="G3257" s="3" t="s">
        <v>71</v>
      </c>
      <c r="H3257" s="3" t="s">
        <v>27</v>
      </c>
      <c r="I3257" s="3" t="s">
        <v>28</v>
      </c>
      <c r="J3257" s="3" t="n">
        <v>30</v>
      </c>
      <c r="K3257" s="3" t="n">
        <v>18626.81</v>
      </c>
      <c r="L3257" s="3" t="n">
        <v>558804.3</v>
      </c>
      <c r="M3257" s="3" t="n">
        <v>0.0421</v>
      </c>
      <c r="N3257" s="3" t="n">
        <v>23525.66</v>
      </c>
      <c r="O3257" s="3" t="n">
        <v>535278.64</v>
      </c>
      <c r="P3257" s="3" t="n">
        <v>346458.67</v>
      </c>
      <c r="Q3257" s="3" t="n">
        <v>188819.97</v>
      </c>
      <c r="R3257" s="3" t="n">
        <v>0.3528</v>
      </c>
      <c r="S3257" s="3" t="n">
        <v>0.0432</v>
      </c>
      <c r="T3257" s="3" t="n">
        <v>-0.0011</v>
      </c>
    </row>
    <row r="3258" customFormat="false" ht="15" hidden="false" customHeight="true" outlineLevel="0" collapsed="false">
      <c r="A3258" s="3" t="s">
        <v>4379</v>
      </c>
      <c r="B3258" s="3" t="s">
        <v>602</v>
      </c>
      <c r="C3258" s="3" t="s">
        <v>31</v>
      </c>
      <c r="D3258" s="3" t="s">
        <v>75</v>
      </c>
      <c r="E3258" s="3" t="s">
        <v>39</v>
      </c>
      <c r="F3258" s="3" t="s">
        <v>25</v>
      </c>
      <c r="G3258" s="3" t="s">
        <v>76</v>
      </c>
      <c r="H3258" s="3" t="s">
        <v>64</v>
      </c>
      <c r="I3258" s="3" t="s">
        <v>90</v>
      </c>
      <c r="J3258" s="3" t="n">
        <v>17</v>
      </c>
      <c r="K3258" s="3" t="n">
        <v>11202.98</v>
      </c>
      <c r="L3258" s="3" t="n">
        <v>190450.66</v>
      </c>
      <c r="M3258" s="3" t="n">
        <v>0.1639</v>
      </c>
      <c r="N3258" s="3" t="n">
        <v>31214.86</v>
      </c>
      <c r="O3258" s="3" t="n">
        <v>159235.8</v>
      </c>
      <c r="P3258" s="3" t="n">
        <v>110461.38</v>
      </c>
      <c r="Q3258" s="3" t="n">
        <v>48774.42</v>
      </c>
      <c r="R3258" s="3" t="n">
        <v>0.3063</v>
      </c>
      <c r="S3258" s="3" t="n">
        <v>0.1592</v>
      </c>
      <c r="T3258" s="3" t="n">
        <v>0.0047</v>
      </c>
    </row>
    <row r="3259" customFormat="false" ht="15" hidden="false" customHeight="true" outlineLevel="0" collapsed="false">
      <c r="A3259" s="3" t="s">
        <v>4380</v>
      </c>
      <c r="B3259" s="3" t="s">
        <v>523</v>
      </c>
      <c r="C3259" s="3" t="s">
        <v>37</v>
      </c>
      <c r="D3259" s="3" t="s">
        <v>32</v>
      </c>
      <c r="E3259" s="3" t="s">
        <v>33</v>
      </c>
      <c r="F3259" s="3" t="s">
        <v>25</v>
      </c>
      <c r="G3259" s="3" t="s">
        <v>100</v>
      </c>
      <c r="H3259" s="3" t="s">
        <v>27</v>
      </c>
      <c r="I3259" s="3" t="s">
        <v>28</v>
      </c>
      <c r="J3259" s="3" t="n">
        <v>40</v>
      </c>
      <c r="K3259" s="3" t="n">
        <v>16508.65</v>
      </c>
      <c r="L3259" s="3" t="n">
        <v>660346</v>
      </c>
      <c r="M3259" s="3" t="n">
        <v>0.1273</v>
      </c>
      <c r="N3259" s="3" t="n">
        <v>84062.05</v>
      </c>
      <c r="O3259" s="3" t="n">
        <v>576283.95</v>
      </c>
      <c r="P3259" s="3" t="n">
        <v>409414.52</v>
      </c>
      <c r="Q3259" s="3" t="n">
        <v>166869.43</v>
      </c>
      <c r="R3259" s="3" t="n">
        <v>0.2896</v>
      </c>
      <c r="S3259" s="3" t="n">
        <v>0.1251</v>
      </c>
      <c r="T3259" s="3" t="n">
        <v>0.0022</v>
      </c>
    </row>
    <row r="3260" customFormat="false" ht="15" hidden="false" customHeight="true" outlineLevel="0" collapsed="false">
      <c r="A3260" s="3" t="s">
        <v>4381</v>
      </c>
      <c r="B3260" s="3" t="s">
        <v>1960</v>
      </c>
      <c r="C3260" s="3" t="s">
        <v>53</v>
      </c>
      <c r="D3260" s="3" t="s">
        <v>97</v>
      </c>
      <c r="E3260" s="3" t="s">
        <v>48</v>
      </c>
      <c r="F3260" s="3" t="s">
        <v>40</v>
      </c>
      <c r="G3260" s="3" t="s">
        <v>76</v>
      </c>
      <c r="H3260" s="3" t="s">
        <v>42</v>
      </c>
      <c r="I3260" s="3" t="s">
        <v>134</v>
      </c>
      <c r="J3260" s="3" t="n">
        <v>37</v>
      </c>
      <c r="K3260" s="3" t="n">
        <v>1072.54</v>
      </c>
      <c r="L3260" s="3" t="n">
        <v>39683.98</v>
      </c>
      <c r="M3260" s="3" t="n">
        <v>0.0569</v>
      </c>
      <c r="N3260" s="3" t="n">
        <v>2258.02</v>
      </c>
      <c r="O3260" s="3" t="n">
        <v>37425.96</v>
      </c>
      <c r="P3260" s="3" t="n">
        <v>21826.19</v>
      </c>
      <c r="Q3260" s="3" t="n">
        <v>15599.77</v>
      </c>
      <c r="R3260" s="3" t="n">
        <v>0.4168</v>
      </c>
      <c r="S3260" s="3" t="n">
        <v>0.0598</v>
      </c>
      <c r="T3260" s="3" t="n">
        <v>-0.0029</v>
      </c>
    </row>
    <row r="3261" customFormat="false" ht="15" hidden="false" customHeight="true" outlineLevel="0" collapsed="false">
      <c r="A3261" s="3" t="s">
        <v>4382</v>
      </c>
      <c r="B3261" s="3" t="s">
        <v>663</v>
      </c>
      <c r="C3261" s="3" t="s">
        <v>22</v>
      </c>
      <c r="D3261" s="3" t="s">
        <v>23</v>
      </c>
      <c r="E3261" s="3" t="s">
        <v>24</v>
      </c>
      <c r="F3261" s="3" t="s">
        <v>25</v>
      </c>
      <c r="G3261" s="3" t="s">
        <v>63</v>
      </c>
      <c r="H3261" s="3" t="s">
        <v>42</v>
      </c>
      <c r="I3261" s="3" t="s">
        <v>72</v>
      </c>
      <c r="J3261" s="3" t="n">
        <v>45</v>
      </c>
      <c r="K3261" s="3" t="n">
        <v>2895.37</v>
      </c>
      <c r="L3261" s="3" t="n">
        <v>130291.65</v>
      </c>
      <c r="M3261" s="3" t="n">
        <v>0.1322</v>
      </c>
      <c r="N3261" s="3" t="n">
        <v>17224.56</v>
      </c>
      <c r="O3261" s="3" t="n">
        <v>113067.09</v>
      </c>
      <c r="P3261" s="3" t="n">
        <v>71660.41</v>
      </c>
      <c r="Q3261" s="3" t="n">
        <v>41406.68</v>
      </c>
      <c r="R3261" s="3" t="n">
        <v>0.3662</v>
      </c>
      <c r="S3261" s="3" t="n">
        <v>0.1447</v>
      </c>
      <c r="T3261" s="3" t="n">
        <v>-0.0125</v>
      </c>
    </row>
    <row r="3262" customFormat="false" ht="15" hidden="false" customHeight="true" outlineLevel="0" collapsed="false">
      <c r="A3262" s="3" t="s">
        <v>4383</v>
      </c>
      <c r="B3262" s="3" t="s">
        <v>223</v>
      </c>
      <c r="C3262" s="3" t="s">
        <v>93</v>
      </c>
      <c r="D3262" s="3" t="s">
        <v>69</v>
      </c>
      <c r="E3262" s="3" t="s">
        <v>39</v>
      </c>
      <c r="F3262" s="3" t="s">
        <v>70</v>
      </c>
      <c r="G3262" s="3" t="s">
        <v>41</v>
      </c>
      <c r="H3262" s="3" t="s">
        <v>56</v>
      </c>
      <c r="I3262" s="3" t="s">
        <v>188</v>
      </c>
      <c r="J3262" s="3" t="n">
        <v>50</v>
      </c>
      <c r="K3262" s="3" t="n">
        <v>4658.63</v>
      </c>
      <c r="L3262" s="3" t="n">
        <v>232931.5</v>
      </c>
      <c r="M3262" s="3" t="n">
        <v>0.1253</v>
      </c>
      <c r="N3262" s="3" t="n">
        <v>29186.32</v>
      </c>
      <c r="O3262" s="3" t="n">
        <v>203745.18</v>
      </c>
      <c r="P3262" s="3" t="n">
        <v>139758.9</v>
      </c>
      <c r="Q3262" s="3" t="n">
        <v>63986.28</v>
      </c>
      <c r="R3262" s="3" t="n">
        <v>0.3141</v>
      </c>
      <c r="S3262" s="3" t="n">
        <v>0.1276</v>
      </c>
      <c r="T3262" s="3" t="n">
        <v>-0.0023</v>
      </c>
    </row>
    <row r="3263" customFormat="false" ht="15" hidden="false" customHeight="true" outlineLevel="0" collapsed="false">
      <c r="A3263" s="3" t="s">
        <v>4384</v>
      </c>
      <c r="B3263" s="3" t="s">
        <v>1686</v>
      </c>
      <c r="C3263" s="3" t="s">
        <v>156</v>
      </c>
      <c r="D3263" s="3" t="s">
        <v>69</v>
      </c>
      <c r="E3263" s="3" t="s">
        <v>39</v>
      </c>
      <c r="F3263" s="3" t="s">
        <v>70</v>
      </c>
      <c r="G3263" s="3" t="s">
        <v>104</v>
      </c>
      <c r="H3263" s="3" t="s">
        <v>77</v>
      </c>
      <c r="I3263" s="3" t="s">
        <v>78</v>
      </c>
      <c r="J3263" s="3" t="n">
        <v>13</v>
      </c>
      <c r="K3263" s="3" t="n">
        <v>1404.99</v>
      </c>
      <c r="L3263" s="3" t="n">
        <v>18264.87</v>
      </c>
      <c r="M3263" s="3" t="n">
        <v>0.0797</v>
      </c>
      <c r="N3263" s="3" t="n">
        <v>1455.71</v>
      </c>
      <c r="O3263" s="3" t="n">
        <v>16809.16</v>
      </c>
      <c r="P3263" s="3" t="n">
        <v>12420.11</v>
      </c>
      <c r="Q3263" s="3" t="n">
        <v>4389.05</v>
      </c>
      <c r="R3263" s="3" t="n">
        <v>0.2611</v>
      </c>
      <c r="S3263" s="3" t="n">
        <v>0.0805</v>
      </c>
      <c r="T3263" s="3" t="n">
        <v>-0.0008</v>
      </c>
    </row>
    <row r="3264" customFormat="false" ht="15" hidden="false" customHeight="true" outlineLevel="0" collapsed="false">
      <c r="A3264" s="3" t="s">
        <v>4385</v>
      </c>
      <c r="B3264" s="3" t="s">
        <v>1935</v>
      </c>
      <c r="C3264" s="3" t="s">
        <v>126</v>
      </c>
      <c r="D3264" s="3" t="s">
        <v>23</v>
      </c>
      <c r="E3264" s="3" t="s">
        <v>24</v>
      </c>
      <c r="F3264" s="3" t="s">
        <v>25</v>
      </c>
      <c r="G3264" s="3" t="s">
        <v>76</v>
      </c>
      <c r="H3264" s="3" t="s">
        <v>27</v>
      </c>
      <c r="I3264" s="3" t="s">
        <v>173</v>
      </c>
      <c r="J3264" s="3" t="n">
        <v>27</v>
      </c>
      <c r="K3264" s="3" t="n">
        <v>34957.66</v>
      </c>
      <c r="L3264" s="3" t="n">
        <v>943856.82</v>
      </c>
      <c r="M3264" s="3" t="n">
        <v>0.1406</v>
      </c>
      <c r="N3264" s="3" t="n">
        <v>132706.27</v>
      </c>
      <c r="O3264" s="3" t="n">
        <v>811150.55</v>
      </c>
      <c r="P3264" s="3" t="n">
        <v>585191.23</v>
      </c>
      <c r="Q3264" s="3" t="n">
        <v>225959.32</v>
      </c>
      <c r="R3264" s="3" t="n">
        <v>0.2786</v>
      </c>
      <c r="S3264" s="3" t="n">
        <v>0.1252</v>
      </c>
      <c r="T3264" s="3" t="n">
        <v>0.0154</v>
      </c>
    </row>
    <row r="3265" customFormat="false" ht="15" hidden="false" customHeight="true" outlineLevel="0" collapsed="false">
      <c r="A3265" s="3" t="s">
        <v>4386</v>
      </c>
      <c r="B3265" s="3" t="s">
        <v>1669</v>
      </c>
      <c r="C3265" s="3" t="s">
        <v>22</v>
      </c>
      <c r="D3265" s="3" t="s">
        <v>83</v>
      </c>
      <c r="E3265" s="3" t="s">
        <v>48</v>
      </c>
      <c r="F3265" s="3" t="s">
        <v>62</v>
      </c>
      <c r="G3265" s="3" t="s">
        <v>34</v>
      </c>
      <c r="H3265" s="3" t="s">
        <v>56</v>
      </c>
      <c r="I3265" s="3" t="s">
        <v>57</v>
      </c>
      <c r="J3265" s="3" t="n">
        <v>46</v>
      </c>
      <c r="K3265" s="3" t="n">
        <v>15472.56</v>
      </c>
      <c r="L3265" s="3" t="n">
        <v>711737.76</v>
      </c>
      <c r="M3265" s="3" t="n">
        <v>0.0766</v>
      </c>
      <c r="N3265" s="3" t="n">
        <v>54519.11</v>
      </c>
      <c r="O3265" s="3" t="n">
        <v>657218.65</v>
      </c>
      <c r="P3265" s="3" t="n">
        <v>427042.66</v>
      </c>
      <c r="Q3265" s="3" t="n">
        <v>230175.99</v>
      </c>
      <c r="R3265" s="3" t="n">
        <v>0.3502</v>
      </c>
      <c r="S3265" s="3" t="n">
        <v>0.0777</v>
      </c>
      <c r="T3265" s="3" t="n">
        <v>-0.0011</v>
      </c>
    </row>
    <row r="3266" customFormat="false" ht="15" hidden="false" customHeight="true" outlineLevel="0" collapsed="false">
      <c r="A3266" s="3" t="s">
        <v>4387</v>
      </c>
      <c r="B3266" s="3" t="s">
        <v>1817</v>
      </c>
      <c r="C3266" s="3" t="s">
        <v>22</v>
      </c>
      <c r="D3266" s="3" t="s">
        <v>54</v>
      </c>
      <c r="E3266" s="3" t="s">
        <v>24</v>
      </c>
      <c r="F3266" s="3" t="s">
        <v>40</v>
      </c>
      <c r="G3266" s="3" t="s">
        <v>116</v>
      </c>
      <c r="H3266" s="3" t="s">
        <v>64</v>
      </c>
      <c r="I3266" s="3" t="s">
        <v>108</v>
      </c>
      <c r="J3266" s="3" t="n">
        <v>32</v>
      </c>
      <c r="K3266" s="3" t="n">
        <v>6604.97</v>
      </c>
      <c r="L3266" s="3" t="n">
        <v>211359.04</v>
      </c>
      <c r="M3266" s="3" t="n">
        <v>0.1089</v>
      </c>
      <c r="N3266" s="3" t="n">
        <v>23017</v>
      </c>
      <c r="O3266" s="3" t="n">
        <v>188342.04</v>
      </c>
      <c r="P3266" s="3" t="n">
        <v>122588.24</v>
      </c>
      <c r="Q3266" s="3" t="n">
        <v>65753.8</v>
      </c>
      <c r="R3266" s="3" t="n">
        <v>0.3491</v>
      </c>
      <c r="S3266" s="3" t="n">
        <v>0.1111</v>
      </c>
      <c r="T3266" s="3" t="n">
        <v>-0.0022</v>
      </c>
    </row>
    <row r="3267" customFormat="false" ht="15" hidden="false" customHeight="true" outlineLevel="0" collapsed="false">
      <c r="A3267" s="3" t="s">
        <v>4388</v>
      </c>
      <c r="B3267" s="3" t="s">
        <v>4389</v>
      </c>
      <c r="C3267" s="3" t="s">
        <v>53</v>
      </c>
      <c r="D3267" s="3" t="s">
        <v>83</v>
      </c>
      <c r="E3267" s="3" t="s">
        <v>48</v>
      </c>
      <c r="F3267" s="3" t="s">
        <v>62</v>
      </c>
      <c r="G3267" s="3" t="s">
        <v>55</v>
      </c>
      <c r="H3267" s="3" t="s">
        <v>42</v>
      </c>
      <c r="I3267" s="3" t="s">
        <v>134</v>
      </c>
      <c r="J3267" s="3" t="n">
        <v>13</v>
      </c>
      <c r="K3267" s="3" t="n">
        <v>1286.22</v>
      </c>
      <c r="L3267" s="3" t="n">
        <v>16720.86</v>
      </c>
      <c r="M3267" s="3" t="n">
        <v>0.0453</v>
      </c>
      <c r="N3267" s="3" t="n">
        <v>757.45</v>
      </c>
      <c r="O3267" s="3" t="n">
        <v>15963.41</v>
      </c>
      <c r="P3267" s="3" t="n">
        <v>9196.47</v>
      </c>
      <c r="Q3267" s="3" t="n">
        <v>6766.94</v>
      </c>
      <c r="R3267" s="3" t="n">
        <v>0.4239</v>
      </c>
      <c r="S3267" s="3" t="n">
        <v>0.0455</v>
      </c>
      <c r="T3267" s="3" t="n">
        <v>-0.0002</v>
      </c>
    </row>
    <row r="3268" customFormat="false" ht="15" hidden="false" customHeight="true" outlineLevel="0" collapsed="false">
      <c r="A3268" s="3" t="s">
        <v>4390</v>
      </c>
      <c r="B3268" s="3" t="s">
        <v>3448</v>
      </c>
      <c r="C3268" s="3" t="s">
        <v>113</v>
      </c>
      <c r="D3268" s="3" t="s">
        <v>47</v>
      </c>
      <c r="E3268" s="3" t="s">
        <v>48</v>
      </c>
      <c r="F3268" s="3" t="s">
        <v>25</v>
      </c>
      <c r="G3268" s="3" t="s">
        <v>76</v>
      </c>
      <c r="H3268" s="3" t="s">
        <v>56</v>
      </c>
      <c r="I3268" s="3" t="s">
        <v>188</v>
      </c>
      <c r="J3268" s="3" t="n">
        <v>14</v>
      </c>
      <c r="K3268" s="3" t="n">
        <v>7111.44</v>
      </c>
      <c r="L3268" s="3" t="n">
        <v>99560.16</v>
      </c>
      <c r="M3268" s="3" t="n">
        <v>0.1607</v>
      </c>
      <c r="N3268" s="3" t="n">
        <v>15999.32</v>
      </c>
      <c r="O3268" s="3" t="n">
        <v>83560.84</v>
      </c>
      <c r="P3268" s="3" t="n">
        <v>59736.1</v>
      </c>
      <c r="Q3268" s="3" t="n">
        <v>23824.74</v>
      </c>
      <c r="R3268" s="3" t="n">
        <v>0.2851</v>
      </c>
      <c r="S3268" s="3" t="n">
        <v>0.1667</v>
      </c>
      <c r="T3268" s="3" t="n">
        <v>-0.006</v>
      </c>
    </row>
    <row r="3269" customFormat="false" ht="15" hidden="false" customHeight="true" outlineLevel="0" collapsed="false">
      <c r="A3269" s="3" t="s">
        <v>4391</v>
      </c>
      <c r="B3269" s="3" t="s">
        <v>838</v>
      </c>
      <c r="C3269" s="3" t="s">
        <v>93</v>
      </c>
      <c r="D3269" s="3" t="s">
        <v>97</v>
      </c>
      <c r="E3269" s="3" t="s">
        <v>48</v>
      </c>
      <c r="F3269" s="3" t="s">
        <v>40</v>
      </c>
      <c r="G3269" s="3" t="s">
        <v>100</v>
      </c>
      <c r="H3269" s="3" t="s">
        <v>42</v>
      </c>
      <c r="I3269" s="3" t="s">
        <v>43</v>
      </c>
      <c r="J3269" s="3" t="n">
        <v>45</v>
      </c>
      <c r="K3269" s="3" t="n">
        <v>2140.83</v>
      </c>
      <c r="L3269" s="3" t="n">
        <v>96337.35</v>
      </c>
      <c r="M3269" s="3" t="n">
        <v>0.0411</v>
      </c>
      <c r="N3269" s="3" t="n">
        <v>3959.47</v>
      </c>
      <c r="O3269" s="3" t="n">
        <v>92377.88</v>
      </c>
      <c r="P3269" s="3" t="n">
        <v>52985.54</v>
      </c>
      <c r="Q3269" s="3" t="n">
        <v>39392.34</v>
      </c>
      <c r="R3269" s="3" t="n">
        <v>0.4264</v>
      </c>
      <c r="S3269" s="3" t="n">
        <v>0.0353</v>
      </c>
      <c r="T3269" s="3" t="n">
        <v>0.0058</v>
      </c>
    </row>
    <row r="3270" customFormat="false" ht="15" hidden="false" customHeight="true" outlineLevel="0" collapsed="false">
      <c r="A3270" s="3" t="s">
        <v>4392</v>
      </c>
      <c r="B3270" s="3" t="s">
        <v>3501</v>
      </c>
      <c r="C3270" s="3" t="s">
        <v>113</v>
      </c>
      <c r="D3270" s="3" t="s">
        <v>107</v>
      </c>
      <c r="E3270" s="3" t="s">
        <v>33</v>
      </c>
      <c r="F3270" s="3" t="s">
        <v>70</v>
      </c>
      <c r="G3270" s="3" t="s">
        <v>34</v>
      </c>
      <c r="H3270" s="3" t="s">
        <v>27</v>
      </c>
      <c r="I3270" s="3" t="s">
        <v>117</v>
      </c>
      <c r="J3270" s="3" t="n">
        <v>31</v>
      </c>
      <c r="K3270" s="3" t="n">
        <v>8630.2</v>
      </c>
      <c r="L3270" s="3" t="n">
        <v>267536.2</v>
      </c>
      <c r="M3270" s="3" t="n">
        <v>0.0752</v>
      </c>
      <c r="N3270" s="3" t="n">
        <v>20118.72</v>
      </c>
      <c r="O3270" s="3" t="n">
        <v>247417.48</v>
      </c>
      <c r="P3270" s="3" t="n">
        <v>165872.44</v>
      </c>
      <c r="Q3270" s="3" t="n">
        <v>81545.04</v>
      </c>
      <c r="R3270" s="3" t="n">
        <v>0.3296</v>
      </c>
      <c r="S3270" s="3" t="n">
        <v>0.0613</v>
      </c>
      <c r="T3270" s="3" t="n">
        <v>0.0139</v>
      </c>
    </row>
    <row r="3271" customFormat="false" ht="15" hidden="false" customHeight="true" outlineLevel="0" collapsed="false">
      <c r="A3271" s="3" t="s">
        <v>4393</v>
      </c>
      <c r="B3271" s="3" t="s">
        <v>4394</v>
      </c>
      <c r="C3271" s="3" t="s">
        <v>53</v>
      </c>
      <c r="D3271" s="3" t="s">
        <v>69</v>
      </c>
      <c r="E3271" s="3" t="s">
        <v>39</v>
      </c>
      <c r="F3271" s="3" t="s">
        <v>70</v>
      </c>
      <c r="G3271" s="3" t="s">
        <v>116</v>
      </c>
      <c r="H3271" s="3" t="s">
        <v>77</v>
      </c>
      <c r="I3271" s="3" t="s">
        <v>78</v>
      </c>
      <c r="J3271" s="3" t="n">
        <v>10</v>
      </c>
      <c r="K3271" s="3" t="n">
        <v>5256.64</v>
      </c>
      <c r="L3271" s="3" t="n">
        <v>52566.4</v>
      </c>
      <c r="M3271" s="3" t="n">
        <v>0.0837</v>
      </c>
      <c r="N3271" s="3" t="n">
        <v>4399.81</v>
      </c>
      <c r="O3271" s="3" t="n">
        <v>48166.59</v>
      </c>
      <c r="P3271" s="3" t="n">
        <v>35745.15</v>
      </c>
      <c r="Q3271" s="3" t="n">
        <v>12421.44</v>
      </c>
      <c r="R3271" s="3" t="n">
        <v>0.2579</v>
      </c>
      <c r="S3271" s="3" t="n">
        <v>0.0675</v>
      </c>
      <c r="T3271" s="3" t="n">
        <v>0.0162</v>
      </c>
    </row>
    <row r="3272" customFormat="false" ht="15" hidden="false" customHeight="true" outlineLevel="0" collapsed="false">
      <c r="A3272" s="3" t="s">
        <v>4395</v>
      </c>
      <c r="B3272" s="3" t="s">
        <v>3095</v>
      </c>
      <c r="C3272" s="3" t="s">
        <v>37</v>
      </c>
      <c r="D3272" s="3" t="s">
        <v>38</v>
      </c>
      <c r="E3272" s="3" t="s">
        <v>39</v>
      </c>
      <c r="F3272" s="3" t="s">
        <v>40</v>
      </c>
      <c r="G3272" s="3" t="s">
        <v>34</v>
      </c>
      <c r="H3272" s="3" t="s">
        <v>56</v>
      </c>
      <c r="I3272" s="3" t="s">
        <v>57</v>
      </c>
      <c r="J3272" s="3" t="n">
        <v>30</v>
      </c>
      <c r="K3272" s="3" t="n">
        <v>13433.27</v>
      </c>
      <c r="L3272" s="3" t="n">
        <v>402998.1</v>
      </c>
      <c r="M3272" s="3" t="n">
        <v>0.0675</v>
      </c>
      <c r="N3272" s="3" t="n">
        <v>27202.37</v>
      </c>
      <c r="O3272" s="3" t="n">
        <v>375795.73</v>
      </c>
      <c r="P3272" s="3" t="n">
        <v>241798.86</v>
      </c>
      <c r="Q3272" s="3" t="n">
        <v>133996.87</v>
      </c>
      <c r="R3272" s="3" t="n">
        <v>0.3566</v>
      </c>
      <c r="S3272" s="3" t="n">
        <v>0.0549</v>
      </c>
      <c r="T3272" s="3" t="n">
        <v>0.0126</v>
      </c>
    </row>
    <row r="3273" customFormat="false" ht="15" hidden="false" customHeight="true" outlineLevel="0" collapsed="false">
      <c r="A3273" s="3" t="s">
        <v>4396</v>
      </c>
      <c r="B3273" s="3" t="s">
        <v>1801</v>
      </c>
      <c r="C3273" s="3" t="s">
        <v>93</v>
      </c>
      <c r="D3273" s="3" t="s">
        <v>61</v>
      </c>
      <c r="E3273" s="3" t="s">
        <v>33</v>
      </c>
      <c r="F3273" s="3" t="s">
        <v>62</v>
      </c>
      <c r="G3273" s="3" t="s">
        <v>41</v>
      </c>
      <c r="H3273" s="3" t="s">
        <v>77</v>
      </c>
      <c r="I3273" s="3" t="s">
        <v>131</v>
      </c>
      <c r="J3273" s="3" t="n">
        <v>9</v>
      </c>
      <c r="K3273" s="3" t="n">
        <v>2392.98</v>
      </c>
      <c r="L3273" s="3" t="n">
        <v>21536.82</v>
      </c>
      <c r="M3273" s="3" t="n">
        <v>0.0991</v>
      </c>
      <c r="N3273" s="3" t="n">
        <v>2134.3</v>
      </c>
      <c r="O3273" s="3" t="n">
        <v>19402.52</v>
      </c>
      <c r="P3273" s="3" t="n">
        <v>14645.04</v>
      </c>
      <c r="Q3273" s="3" t="n">
        <v>4757.48</v>
      </c>
      <c r="R3273" s="3" t="n">
        <v>0.2452</v>
      </c>
      <c r="S3273" s="3" t="n">
        <v>0.1003</v>
      </c>
      <c r="T3273" s="3" t="n">
        <v>-0.0012</v>
      </c>
    </row>
    <row r="3274" customFormat="false" ht="15" hidden="false" customHeight="true" outlineLevel="0" collapsed="false">
      <c r="A3274" s="3" t="s">
        <v>4397</v>
      </c>
      <c r="B3274" s="3" t="s">
        <v>4398</v>
      </c>
      <c r="C3274" s="3" t="s">
        <v>53</v>
      </c>
      <c r="D3274" s="3" t="s">
        <v>103</v>
      </c>
      <c r="E3274" s="3" t="s">
        <v>24</v>
      </c>
      <c r="F3274" s="3" t="s">
        <v>62</v>
      </c>
      <c r="G3274" s="3" t="s">
        <v>100</v>
      </c>
      <c r="H3274" s="3" t="s">
        <v>42</v>
      </c>
      <c r="I3274" s="3" t="s">
        <v>134</v>
      </c>
      <c r="J3274" s="3" t="n">
        <v>4</v>
      </c>
      <c r="K3274" s="3" t="n">
        <v>3507.2</v>
      </c>
      <c r="L3274" s="3" t="n">
        <v>14028.8</v>
      </c>
      <c r="M3274" s="3" t="n">
        <v>0.0702</v>
      </c>
      <c r="N3274" s="3" t="n">
        <v>984.82</v>
      </c>
      <c r="O3274" s="3" t="n">
        <v>13043.98</v>
      </c>
      <c r="P3274" s="3" t="n">
        <v>7715.84</v>
      </c>
      <c r="Q3274" s="3" t="n">
        <v>5328.14</v>
      </c>
      <c r="R3274" s="3" t="n">
        <v>0.4085</v>
      </c>
      <c r="S3274" s="3" t="n">
        <v>0.0695</v>
      </c>
      <c r="T3274" s="3" t="n">
        <v>0.0007</v>
      </c>
    </row>
    <row r="3275" customFormat="false" ht="15" hidden="false" customHeight="true" outlineLevel="0" collapsed="false">
      <c r="A3275" s="3" t="s">
        <v>4399</v>
      </c>
      <c r="B3275" s="3" t="s">
        <v>219</v>
      </c>
      <c r="C3275" s="3" t="s">
        <v>37</v>
      </c>
      <c r="D3275" s="3" t="s">
        <v>97</v>
      </c>
      <c r="E3275" s="3" t="s">
        <v>48</v>
      </c>
      <c r="F3275" s="3" t="s">
        <v>40</v>
      </c>
      <c r="G3275" s="3" t="s">
        <v>41</v>
      </c>
      <c r="H3275" s="3" t="s">
        <v>27</v>
      </c>
      <c r="I3275" s="3" t="s">
        <v>50</v>
      </c>
      <c r="J3275" s="3" t="n">
        <v>42</v>
      </c>
      <c r="K3275" s="3" t="n">
        <v>12874</v>
      </c>
      <c r="L3275" s="3" t="n">
        <v>540708</v>
      </c>
      <c r="M3275" s="3" t="n">
        <v>0.1179</v>
      </c>
      <c r="N3275" s="3" t="n">
        <v>63749.47</v>
      </c>
      <c r="O3275" s="3" t="n">
        <v>476958.53</v>
      </c>
      <c r="P3275" s="3" t="n">
        <v>335238.96</v>
      </c>
      <c r="Q3275" s="3" t="n">
        <v>141719.57</v>
      </c>
      <c r="R3275" s="3" t="n">
        <v>0.2971</v>
      </c>
      <c r="S3275" s="3" t="n">
        <v>0.1082</v>
      </c>
      <c r="T3275" s="3" t="n">
        <v>0.0097</v>
      </c>
    </row>
    <row r="3276" customFormat="false" ht="15" hidden="false" customHeight="true" outlineLevel="0" collapsed="false">
      <c r="A3276" s="3" t="s">
        <v>4400</v>
      </c>
      <c r="B3276" s="3" t="s">
        <v>2339</v>
      </c>
      <c r="C3276" s="3" t="s">
        <v>120</v>
      </c>
      <c r="D3276" s="3" t="s">
        <v>61</v>
      </c>
      <c r="E3276" s="3" t="s">
        <v>33</v>
      </c>
      <c r="F3276" s="3" t="s">
        <v>62</v>
      </c>
      <c r="G3276" s="3" t="s">
        <v>55</v>
      </c>
      <c r="H3276" s="3" t="s">
        <v>27</v>
      </c>
      <c r="I3276" s="3" t="s">
        <v>94</v>
      </c>
      <c r="J3276" s="3" t="n">
        <v>24</v>
      </c>
      <c r="K3276" s="3" t="n">
        <v>13000.62</v>
      </c>
      <c r="L3276" s="3" t="n">
        <v>312014.88</v>
      </c>
      <c r="M3276" s="3" t="n">
        <v>0.0728</v>
      </c>
      <c r="N3276" s="3" t="n">
        <v>22714.68</v>
      </c>
      <c r="O3276" s="3" t="n">
        <v>289300.2</v>
      </c>
      <c r="P3276" s="3" t="n">
        <v>193449.23</v>
      </c>
      <c r="Q3276" s="3" t="n">
        <v>95850.97</v>
      </c>
      <c r="R3276" s="3" t="n">
        <v>0.3313</v>
      </c>
      <c r="S3276" s="3" t="n">
        <v>0.0652</v>
      </c>
      <c r="T3276" s="3" t="n">
        <v>0.0076</v>
      </c>
    </row>
    <row r="3277" customFormat="false" ht="15" hidden="false" customHeight="true" outlineLevel="0" collapsed="false">
      <c r="A3277" s="3" t="s">
        <v>4401</v>
      </c>
      <c r="B3277" s="3" t="s">
        <v>4045</v>
      </c>
      <c r="C3277" s="3" t="s">
        <v>37</v>
      </c>
      <c r="D3277" s="3" t="s">
        <v>107</v>
      </c>
      <c r="E3277" s="3" t="s">
        <v>33</v>
      </c>
      <c r="F3277" s="3" t="s">
        <v>70</v>
      </c>
      <c r="G3277" s="3" t="s">
        <v>100</v>
      </c>
      <c r="H3277" s="3" t="s">
        <v>27</v>
      </c>
      <c r="I3277" s="3" t="s">
        <v>173</v>
      </c>
      <c r="J3277" s="3" t="n">
        <v>6</v>
      </c>
      <c r="K3277" s="3" t="n">
        <v>10411.77</v>
      </c>
      <c r="L3277" s="3" t="n">
        <v>62470.62</v>
      </c>
      <c r="M3277" s="3" t="n">
        <v>0.0722</v>
      </c>
      <c r="N3277" s="3" t="n">
        <v>4510.38</v>
      </c>
      <c r="O3277" s="3" t="n">
        <v>57960.24</v>
      </c>
      <c r="P3277" s="3" t="n">
        <v>38731.78</v>
      </c>
      <c r="Q3277" s="3" t="n">
        <v>19228.46</v>
      </c>
      <c r="R3277" s="3" t="n">
        <v>0.3318</v>
      </c>
      <c r="S3277" s="3" t="n">
        <v>0.0774</v>
      </c>
      <c r="T3277" s="3" t="n">
        <v>-0.0052</v>
      </c>
    </row>
    <row r="3278" customFormat="false" ht="15" hidden="false" customHeight="true" outlineLevel="0" collapsed="false">
      <c r="A3278" s="3" t="s">
        <v>4402</v>
      </c>
      <c r="B3278" s="3" t="s">
        <v>471</v>
      </c>
      <c r="C3278" s="3" t="s">
        <v>93</v>
      </c>
      <c r="D3278" s="3" t="s">
        <v>103</v>
      </c>
      <c r="E3278" s="3" t="s">
        <v>24</v>
      </c>
      <c r="F3278" s="3" t="s">
        <v>62</v>
      </c>
      <c r="G3278" s="3" t="s">
        <v>55</v>
      </c>
      <c r="H3278" s="3" t="s">
        <v>64</v>
      </c>
      <c r="I3278" s="3" t="s">
        <v>145</v>
      </c>
      <c r="J3278" s="3" t="n">
        <v>49</v>
      </c>
      <c r="K3278" s="3" t="n">
        <v>11648.98</v>
      </c>
      <c r="L3278" s="3" t="n">
        <v>570800.02</v>
      </c>
      <c r="M3278" s="3" t="n">
        <v>0.0787</v>
      </c>
      <c r="N3278" s="3" t="n">
        <v>44921.96</v>
      </c>
      <c r="O3278" s="3" t="n">
        <v>525878.06</v>
      </c>
      <c r="P3278" s="3" t="n">
        <v>331064.01</v>
      </c>
      <c r="Q3278" s="3" t="n">
        <v>194814.05</v>
      </c>
      <c r="R3278" s="3" t="n">
        <v>0.3705</v>
      </c>
      <c r="S3278" s="3" t="n">
        <v>0.0656</v>
      </c>
      <c r="T3278" s="3" t="n">
        <v>0.0131</v>
      </c>
    </row>
    <row r="3279" customFormat="false" ht="15" hidden="false" customHeight="true" outlineLevel="0" collapsed="false">
      <c r="A3279" s="3" t="s">
        <v>4403</v>
      </c>
      <c r="B3279" s="3" t="s">
        <v>4404</v>
      </c>
      <c r="C3279" s="3" t="s">
        <v>46</v>
      </c>
      <c r="D3279" s="3" t="s">
        <v>97</v>
      </c>
      <c r="E3279" s="3" t="s">
        <v>48</v>
      </c>
      <c r="F3279" s="3" t="s">
        <v>40</v>
      </c>
      <c r="G3279" s="3" t="s">
        <v>49</v>
      </c>
      <c r="H3279" s="3" t="s">
        <v>77</v>
      </c>
      <c r="I3279" s="3" t="s">
        <v>78</v>
      </c>
      <c r="J3279" s="3" t="n">
        <v>8</v>
      </c>
      <c r="K3279" s="3" t="n">
        <v>3581.65</v>
      </c>
      <c r="L3279" s="3" t="n">
        <v>28653.2</v>
      </c>
      <c r="M3279" s="3" t="n">
        <v>0.0747</v>
      </c>
      <c r="N3279" s="3" t="n">
        <v>2140.39</v>
      </c>
      <c r="O3279" s="3" t="n">
        <v>26512.81</v>
      </c>
      <c r="P3279" s="3" t="n">
        <v>19484.18</v>
      </c>
      <c r="Q3279" s="3" t="n">
        <v>7028.63</v>
      </c>
      <c r="R3279" s="3" t="n">
        <v>0.2651</v>
      </c>
      <c r="S3279" s="3" t="n">
        <v>0.0695</v>
      </c>
      <c r="T3279" s="3" t="n">
        <v>0.0052</v>
      </c>
    </row>
    <row r="3280" customFormat="false" ht="15" hidden="false" customHeight="true" outlineLevel="0" collapsed="false">
      <c r="A3280" s="3" t="s">
        <v>4405</v>
      </c>
      <c r="B3280" s="3" t="s">
        <v>1497</v>
      </c>
      <c r="C3280" s="3" t="s">
        <v>31</v>
      </c>
      <c r="D3280" s="3" t="s">
        <v>69</v>
      </c>
      <c r="E3280" s="3" t="s">
        <v>39</v>
      </c>
      <c r="F3280" s="3" t="s">
        <v>70</v>
      </c>
      <c r="G3280" s="3" t="s">
        <v>76</v>
      </c>
      <c r="H3280" s="3" t="s">
        <v>64</v>
      </c>
      <c r="I3280" s="3" t="s">
        <v>108</v>
      </c>
      <c r="J3280" s="3" t="n">
        <v>2</v>
      </c>
      <c r="K3280" s="3" t="n">
        <v>6686.22</v>
      </c>
      <c r="L3280" s="3" t="n">
        <v>13372.44</v>
      </c>
      <c r="M3280" s="3" t="n">
        <v>0.072</v>
      </c>
      <c r="N3280" s="3" t="n">
        <v>962.82</v>
      </c>
      <c r="O3280" s="3" t="n">
        <v>12409.62</v>
      </c>
      <c r="P3280" s="3" t="n">
        <v>7756.02</v>
      </c>
      <c r="Q3280" s="3" t="n">
        <v>4653.6</v>
      </c>
      <c r="R3280" s="3" t="n">
        <v>0.375</v>
      </c>
      <c r="S3280" s="3" t="n">
        <v>0.0602</v>
      </c>
      <c r="T3280" s="3" t="n">
        <v>0.0118</v>
      </c>
    </row>
    <row r="3281" customFormat="false" ht="15" hidden="false" customHeight="true" outlineLevel="0" collapsed="false">
      <c r="A3281" s="3" t="s">
        <v>4406</v>
      </c>
      <c r="B3281" s="3" t="s">
        <v>4282</v>
      </c>
      <c r="C3281" s="3" t="s">
        <v>31</v>
      </c>
      <c r="D3281" s="3" t="s">
        <v>47</v>
      </c>
      <c r="E3281" s="3" t="s">
        <v>48</v>
      </c>
      <c r="F3281" s="3" t="s">
        <v>25</v>
      </c>
      <c r="G3281" s="3" t="s">
        <v>71</v>
      </c>
      <c r="H3281" s="3" t="s">
        <v>64</v>
      </c>
      <c r="I3281" s="3" t="s">
        <v>65</v>
      </c>
      <c r="J3281" s="3" t="n">
        <v>35</v>
      </c>
      <c r="K3281" s="3" t="n">
        <v>9026.53</v>
      </c>
      <c r="L3281" s="3" t="n">
        <v>315928.55</v>
      </c>
      <c r="M3281" s="3" t="n">
        <v>0.1742</v>
      </c>
      <c r="N3281" s="3" t="n">
        <v>55034.75</v>
      </c>
      <c r="O3281" s="3" t="n">
        <v>260893.8</v>
      </c>
      <c r="P3281" s="3" t="n">
        <v>183238.56</v>
      </c>
      <c r="Q3281" s="3" t="n">
        <v>77655.24</v>
      </c>
      <c r="R3281" s="3" t="n">
        <v>0.2977</v>
      </c>
      <c r="S3281" s="3" t="n">
        <v>0.1518</v>
      </c>
      <c r="T3281" s="3" t="n">
        <v>0.0224</v>
      </c>
    </row>
    <row r="3282" customFormat="false" ht="15" hidden="false" customHeight="true" outlineLevel="0" collapsed="false">
      <c r="A3282" s="3" t="s">
        <v>4407</v>
      </c>
      <c r="B3282" s="3" t="s">
        <v>1297</v>
      </c>
      <c r="C3282" s="3" t="s">
        <v>22</v>
      </c>
      <c r="D3282" s="3" t="s">
        <v>75</v>
      </c>
      <c r="E3282" s="3" t="s">
        <v>39</v>
      </c>
      <c r="F3282" s="3" t="s">
        <v>25</v>
      </c>
      <c r="G3282" s="3" t="s">
        <v>84</v>
      </c>
      <c r="H3282" s="3" t="s">
        <v>27</v>
      </c>
      <c r="I3282" s="3" t="s">
        <v>28</v>
      </c>
      <c r="J3282" s="3" t="n">
        <v>5</v>
      </c>
      <c r="K3282" s="3" t="n">
        <v>21946.19</v>
      </c>
      <c r="L3282" s="3" t="n">
        <v>109730.95</v>
      </c>
      <c r="M3282" s="3" t="n">
        <v>0.1088</v>
      </c>
      <c r="N3282" s="3" t="n">
        <v>11938.73</v>
      </c>
      <c r="O3282" s="3" t="n">
        <v>97792.22</v>
      </c>
      <c r="P3282" s="3" t="n">
        <v>68033.19</v>
      </c>
      <c r="Q3282" s="3" t="n">
        <v>29759.03</v>
      </c>
      <c r="R3282" s="3" t="n">
        <v>0.3043</v>
      </c>
      <c r="S3282" s="3" t="n">
        <v>0.0973</v>
      </c>
      <c r="T3282" s="3" t="n">
        <v>0.0115</v>
      </c>
    </row>
    <row r="3283" customFormat="false" ht="15" hidden="false" customHeight="true" outlineLevel="0" collapsed="false">
      <c r="A3283" s="3" t="s">
        <v>4408</v>
      </c>
      <c r="B3283" s="3" t="s">
        <v>2470</v>
      </c>
      <c r="C3283" s="3" t="s">
        <v>93</v>
      </c>
      <c r="D3283" s="3" t="s">
        <v>107</v>
      </c>
      <c r="E3283" s="3" t="s">
        <v>33</v>
      </c>
      <c r="F3283" s="3" t="s">
        <v>70</v>
      </c>
      <c r="G3283" s="3" t="s">
        <v>49</v>
      </c>
      <c r="H3283" s="3" t="s">
        <v>77</v>
      </c>
      <c r="I3283" s="3" t="s">
        <v>85</v>
      </c>
      <c r="J3283" s="3" t="n">
        <v>27</v>
      </c>
      <c r="K3283" s="3" t="n">
        <v>4404.69</v>
      </c>
      <c r="L3283" s="3" t="n">
        <v>118926.63</v>
      </c>
      <c r="M3283" s="3" t="n">
        <v>0.0598</v>
      </c>
      <c r="N3283" s="3" t="n">
        <v>7111.81</v>
      </c>
      <c r="O3283" s="3" t="n">
        <v>111814.82</v>
      </c>
      <c r="P3283" s="3" t="n">
        <v>80870.11</v>
      </c>
      <c r="Q3283" s="3" t="n">
        <v>30944.71</v>
      </c>
      <c r="R3283" s="3" t="n">
        <v>0.2767</v>
      </c>
      <c r="S3283" s="3" t="n">
        <v>0.0636</v>
      </c>
      <c r="T3283" s="3" t="n">
        <v>-0.0038</v>
      </c>
    </row>
    <row r="3284" customFormat="false" ht="15" hidden="false" customHeight="true" outlineLevel="0" collapsed="false">
      <c r="A3284" s="3" t="s">
        <v>4409</v>
      </c>
      <c r="B3284" s="3" t="s">
        <v>2665</v>
      </c>
      <c r="C3284" s="3" t="s">
        <v>68</v>
      </c>
      <c r="D3284" s="3" t="s">
        <v>54</v>
      </c>
      <c r="E3284" s="3" t="s">
        <v>24</v>
      </c>
      <c r="F3284" s="3" t="s">
        <v>40</v>
      </c>
      <c r="G3284" s="3" t="s">
        <v>26</v>
      </c>
      <c r="H3284" s="3" t="s">
        <v>64</v>
      </c>
      <c r="I3284" s="3" t="s">
        <v>108</v>
      </c>
      <c r="J3284" s="3" t="n">
        <v>2</v>
      </c>
      <c r="K3284" s="3" t="n">
        <v>11679.17</v>
      </c>
      <c r="L3284" s="3" t="n">
        <v>23358.34</v>
      </c>
      <c r="M3284" s="3" t="n">
        <v>0.0756</v>
      </c>
      <c r="N3284" s="3" t="n">
        <v>1765.89</v>
      </c>
      <c r="O3284" s="3" t="n">
        <v>21592.45</v>
      </c>
      <c r="P3284" s="3" t="n">
        <v>13547.84</v>
      </c>
      <c r="Q3284" s="3" t="n">
        <v>8044.61</v>
      </c>
      <c r="R3284" s="3" t="n">
        <v>0.3726</v>
      </c>
      <c r="S3284" s="3" t="n">
        <v>0.0615</v>
      </c>
      <c r="T3284" s="3" t="n">
        <v>0.0141</v>
      </c>
    </row>
    <row r="3285" customFormat="false" ht="15" hidden="false" customHeight="true" outlineLevel="0" collapsed="false">
      <c r="A3285" s="3" t="s">
        <v>4410</v>
      </c>
      <c r="B3285" s="3" t="s">
        <v>1463</v>
      </c>
      <c r="C3285" s="3" t="s">
        <v>120</v>
      </c>
      <c r="D3285" s="3" t="s">
        <v>38</v>
      </c>
      <c r="E3285" s="3" t="s">
        <v>39</v>
      </c>
      <c r="F3285" s="3" t="s">
        <v>40</v>
      </c>
      <c r="G3285" s="3" t="s">
        <v>104</v>
      </c>
      <c r="H3285" s="3" t="s">
        <v>27</v>
      </c>
      <c r="I3285" s="3" t="s">
        <v>28</v>
      </c>
      <c r="J3285" s="3" t="n">
        <v>19</v>
      </c>
      <c r="K3285" s="3" t="n">
        <v>10516.71</v>
      </c>
      <c r="L3285" s="3" t="n">
        <v>199817.49</v>
      </c>
      <c r="M3285" s="3" t="n">
        <v>0.105</v>
      </c>
      <c r="N3285" s="3" t="n">
        <v>20980.84</v>
      </c>
      <c r="O3285" s="3" t="n">
        <v>178836.65</v>
      </c>
      <c r="P3285" s="3" t="n">
        <v>123886.84</v>
      </c>
      <c r="Q3285" s="3" t="n">
        <v>54949.81</v>
      </c>
      <c r="R3285" s="3" t="n">
        <v>0.3073</v>
      </c>
      <c r="S3285" s="3" t="n">
        <v>0.1107</v>
      </c>
      <c r="T3285" s="3" t="n">
        <v>-0.0057</v>
      </c>
    </row>
    <row r="3286" customFormat="false" ht="15" hidden="false" customHeight="true" outlineLevel="0" collapsed="false">
      <c r="A3286" s="3" t="s">
        <v>4411</v>
      </c>
      <c r="B3286" s="3" t="s">
        <v>123</v>
      </c>
      <c r="C3286" s="3" t="s">
        <v>120</v>
      </c>
      <c r="D3286" s="3" t="s">
        <v>97</v>
      </c>
      <c r="E3286" s="3" t="s">
        <v>48</v>
      </c>
      <c r="F3286" s="3" t="s">
        <v>40</v>
      </c>
      <c r="G3286" s="3" t="s">
        <v>84</v>
      </c>
      <c r="H3286" s="3" t="s">
        <v>64</v>
      </c>
      <c r="I3286" s="3" t="s">
        <v>108</v>
      </c>
      <c r="J3286" s="3" t="n">
        <v>34</v>
      </c>
      <c r="K3286" s="3" t="n">
        <v>10479.52</v>
      </c>
      <c r="L3286" s="3" t="n">
        <v>356303.68</v>
      </c>
      <c r="M3286" s="3" t="n">
        <v>0.055</v>
      </c>
      <c r="N3286" s="3" t="n">
        <v>19596.7</v>
      </c>
      <c r="O3286" s="3" t="n">
        <v>336706.98</v>
      </c>
      <c r="P3286" s="3" t="n">
        <v>206656.13</v>
      </c>
      <c r="Q3286" s="3" t="n">
        <v>130050.85</v>
      </c>
      <c r="R3286" s="3" t="n">
        <v>0.3862</v>
      </c>
      <c r="S3286" s="3" t="n">
        <v>0.0529</v>
      </c>
      <c r="T3286" s="3" t="n">
        <v>0.0021</v>
      </c>
    </row>
    <row r="3287" customFormat="false" ht="15" hidden="false" customHeight="true" outlineLevel="0" collapsed="false">
      <c r="A3287" s="3" t="s">
        <v>4412</v>
      </c>
      <c r="B3287" s="3" t="s">
        <v>3200</v>
      </c>
      <c r="C3287" s="3" t="s">
        <v>68</v>
      </c>
      <c r="D3287" s="3" t="s">
        <v>69</v>
      </c>
      <c r="E3287" s="3" t="s">
        <v>39</v>
      </c>
      <c r="F3287" s="3" t="s">
        <v>70</v>
      </c>
      <c r="G3287" s="3" t="s">
        <v>63</v>
      </c>
      <c r="H3287" s="3" t="s">
        <v>27</v>
      </c>
      <c r="I3287" s="3" t="s">
        <v>50</v>
      </c>
      <c r="J3287" s="3" t="n">
        <v>25</v>
      </c>
      <c r="K3287" s="3" t="n">
        <v>29006.2</v>
      </c>
      <c r="L3287" s="3" t="n">
        <v>725155</v>
      </c>
      <c r="M3287" s="3" t="n">
        <v>0.0769</v>
      </c>
      <c r="N3287" s="3" t="n">
        <v>55764.42</v>
      </c>
      <c r="O3287" s="3" t="n">
        <v>669390.58</v>
      </c>
      <c r="P3287" s="3" t="n">
        <v>449596.1</v>
      </c>
      <c r="Q3287" s="3" t="n">
        <v>219794.48</v>
      </c>
      <c r="R3287" s="3" t="n">
        <v>0.3284</v>
      </c>
      <c r="S3287" s="3" t="n">
        <v>0.0642</v>
      </c>
      <c r="T3287" s="3" t="n">
        <v>0.0127</v>
      </c>
    </row>
    <row r="3288" customFormat="false" ht="15" hidden="false" customHeight="true" outlineLevel="0" collapsed="false">
      <c r="A3288" s="3" t="s">
        <v>4413</v>
      </c>
      <c r="B3288" s="3" t="s">
        <v>1313</v>
      </c>
      <c r="C3288" s="3" t="s">
        <v>37</v>
      </c>
      <c r="D3288" s="3" t="s">
        <v>107</v>
      </c>
      <c r="E3288" s="3" t="s">
        <v>33</v>
      </c>
      <c r="F3288" s="3" t="s">
        <v>70</v>
      </c>
      <c r="G3288" s="3" t="s">
        <v>100</v>
      </c>
      <c r="H3288" s="3" t="s">
        <v>77</v>
      </c>
      <c r="I3288" s="3" t="s">
        <v>85</v>
      </c>
      <c r="J3288" s="3" t="n">
        <v>6</v>
      </c>
      <c r="K3288" s="3" t="n">
        <v>4722.52</v>
      </c>
      <c r="L3288" s="3" t="n">
        <v>28335.12</v>
      </c>
      <c r="M3288" s="3" t="n">
        <v>0.0564</v>
      </c>
      <c r="N3288" s="3" t="n">
        <v>1598.1</v>
      </c>
      <c r="O3288" s="3" t="n">
        <v>26737.02</v>
      </c>
      <c r="P3288" s="3" t="n">
        <v>19267.88</v>
      </c>
      <c r="Q3288" s="3" t="n">
        <v>7469.14</v>
      </c>
      <c r="R3288" s="3" t="n">
        <v>0.2794</v>
      </c>
      <c r="S3288" s="3" t="n">
        <v>0.0609</v>
      </c>
      <c r="T3288" s="3" t="n">
        <v>-0.0045</v>
      </c>
    </row>
    <row r="3289" customFormat="false" ht="15" hidden="false" customHeight="true" outlineLevel="0" collapsed="false">
      <c r="A3289" s="3" t="s">
        <v>4414</v>
      </c>
      <c r="B3289" s="3" t="s">
        <v>3165</v>
      </c>
      <c r="C3289" s="3" t="s">
        <v>46</v>
      </c>
      <c r="D3289" s="3" t="s">
        <v>38</v>
      </c>
      <c r="E3289" s="3" t="s">
        <v>39</v>
      </c>
      <c r="F3289" s="3" t="s">
        <v>40</v>
      </c>
      <c r="G3289" s="3" t="s">
        <v>71</v>
      </c>
      <c r="H3289" s="3" t="s">
        <v>27</v>
      </c>
      <c r="I3289" s="3" t="s">
        <v>50</v>
      </c>
      <c r="J3289" s="3" t="n">
        <v>38</v>
      </c>
      <c r="K3289" s="3" t="n">
        <v>9125.91</v>
      </c>
      <c r="L3289" s="3" t="n">
        <v>346784.58</v>
      </c>
      <c r="M3289" s="3" t="n">
        <v>0.0491</v>
      </c>
      <c r="N3289" s="3" t="n">
        <v>17027.12</v>
      </c>
      <c r="O3289" s="3" t="n">
        <v>329757.46</v>
      </c>
      <c r="P3289" s="3" t="n">
        <v>215006.44</v>
      </c>
      <c r="Q3289" s="3" t="n">
        <v>114751.02</v>
      </c>
      <c r="R3289" s="3" t="n">
        <v>0.348</v>
      </c>
      <c r="S3289" s="3" t="n">
        <v>0.0504</v>
      </c>
      <c r="T3289" s="3" t="n">
        <v>-0.0013</v>
      </c>
    </row>
    <row r="3290" customFormat="false" ht="15" hidden="false" customHeight="true" outlineLevel="0" collapsed="false">
      <c r="A3290" s="3" t="s">
        <v>4415</v>
      </c>
      <c r="B3290" s="3" t="s">
        <v>1697</v>
      </c>
      <c r="C3290" s="3" t="s">
        <v>60</v>
      </c>
      <c r="D3290" s="3" t="s">
        <v>107</v>
      </c>
      <c r="E3290" s="3" t="s">
        <v>33</v>
      </c>
      <c r="F3290" s="3" t="s">
        <v>70</v>
      </c>
      <c r="G3290" s="3" t="s">
        <v>84</v>
      </c>
      <c r="H3290" s="3" t="s">
        <v>64</v>
      </c>
      <c r="I3290" s="3" t="s">
        <v>90</v>
      </c>
      <c r="J3290" s="3" t="n">
        <v>3</v>
      </c>
      <c r="K3290" s="3" t="n">
        <v>4584.87</v>
      </c>
      <c r="L3290" s="3" t="n">
        <v>13754.61</v>
      </c>
      <c r="M3290" s="3" t="n">
        <v>0.0306</v>
      </c>
      <c r="N3290" s="3" t="n">
        <v>420.89</v>
      </c>
      <c r="O3290" s="3" t="n">
        <v>13333.72</v>
      </c>
      <c r="P3290" s="3" t="n">
        <v>7977.67</v>
      </c>
      <c r="Q3290" s="3" t="n">
        <v>5356.05</v>
      </c>
      <c r="R3290" s="3" t="n">
        <v>0.4017</v>
      </c>
      <c r="S3290" s="3" t="n">
        <v>0.031</v>
      </c>
      <c r="T3290" s="3" t="n">
        <v>-0.0004</v>
      </c>
    </row>
    <row r="3291" customFormat="false" ht="15" hidden="false" customHeight="true" outlineLevel="0" collapsed="false">
      <c r="A3291" s="3" t="s">
        <v>4416</v>
      </c>
      <c r="B3291" s="3" t="s">
        <v>738</v>
      </c>
      <c r="C3291" s="3" t="s">
        <v>37</v>
      </c>
      <c r="D3291" s="3" t="s">
        <v>75</v>
      </c>
      <c r="E3291" s="3" t="s">
        <v>39</v>
      </c>
      <c r="F3291" s="3" t="s">
        <v>25</v>
      </c>
      <c r="G3291" s="3" t="s">
        <v>116</v>
      </c>
      <c r="H3291" s="3" t="s">
        <v>27</v>
      </c>
      <c r="I3291" s="3" t="s">
        <v>94</v>
      </c>
      <c r="J3291" s="3" t="n">
        <v>19</v>
      </c>
      <c r="K3291" s="3" t="n">
        <v>29543.35</v>
      </c>
      <c r="L3291" s="3" t="n">
        <v>561323.65</v>
      </c>
      <c r="M3291" s="3" t="n">
        <v>0.1813</v>
      </c>
      <c r="N3291" s="3" t="n">
        <v>101767.98</v>
      </c>
      <c r="O3291" s="3" t="n">
        <v>459555.67</v>
      </c>
      <c r="P3291" s="3" t="n">
        <v>348020.66</v>
      </c>
      <c r="Q3291" s="3" t="n">
        <v>111535.01</v>
      </c>
      <c r="R3291" s="3" t="n">
        <v>0.2427</v>
      </c>
      <c r="S3291" s="3" t="n">
        <v>0.1679</v>
      </c>
      <c r="T3291" s="3" t="n">
        <v>0.0134</v>
      </c>
    </row>
    <row r="3292" customFormat="false" ht="15" hidden="false" customHeight="true" outlineLevel="0" collapsed="false">
      <c r="A3292" s="3" t="s">
        <v>4417</v>
      </c>
      <c r="B3292" s="3" t="s">
        <v>3165</v>
      </c>
      <c r="C3292" s="3" t="s">
        <v>46</v>
      </c>
      <c r="D3292" s="3" t="s">
        <v>32</v>
      </c>
      <c r="E3292" s="3" t="s">
        <v>33</v>
      </c>
      <c r="F3292" s="3" t="s">
        <v>25</v>
      </c>
      <c r="G3292" s="3" t="s">
        <v>34</v>
      </c>
      <c r="H3292" s="3" t="s">
        <v>77</v>
      </c>
      <c r="I3292" s="3" t="s">
        <v>85</v>
      </c>
      <c r="J3292" s="3" t="n">
        <v>46</v>
      </c>
      <c r="K3292" s="3" t="n">
        <v>4690.33</v>
      </c>
      <c r="L3292" s="3" t="n">
        <v>215755.18</v>
      </c>
      <c r="M3292" s="3" t="n">
        <v>0.2147</v>
      </c>
      <c r="N3292" s="3" t="n">
        <v>46322.64</v>
      </c>
      <c r="O3292" s="3" t="n">
        <v>169432.54</v>
      </c>
      <c r="P3292" s="3" t="n">
        <v>146713.52</v>
      </c>
      <c r="Q3292" s="3" t="n">
        <v>22719.02</v>
      </c>
      <c r="R3292" s="3" t="n">
        <v>0.1341</v>
      </c>
      <c r="S3292" s="3" t="n">
        <v>0.2106</v>
      </c>
      <c r="T3292" s="3" t="n">
        <v>0.0041</v>
      </c>
    </row>
    <row r="3293" customFormat="false" ht="15" hidden="false" customHeight="true" outlineLevel="0" collapsed="false">
      <c r="A3293" s="3" t="s">
        <v>4418</v>
      </c>
      <c r="B3293" s="3" t="s">
        <v>1771</v>
      </c>
      <c r="C3293" s="3" t="s">
        <v>53</v>
      </c>
      <c r="D3293" s="3" t="s">
        <v>107</v>
      </c>
      <c r="E3293" s="3" t="s">
        <v>33</v>
      </c>
      <c r="F3293" s="3" t="s">
        <v>70</v>
      </c>
      <c r="G3293" s="3" t="s">
        <v>71</v>
      </c>
      <c r="H3293" s="3" t="s">
        <v>56</v>
      </c>
      <c r="I3293" s="3" t="s">
        <v>121</v>
      </c>
      <c r="J3293" s="3" t="n">
        <v>24</v>
      </c>
      <c r="K3293" s="3" t="n">
        <v>17818.33</v>
      </c>
      <c r="L3293" s="3" t="n">
        <v>427639.92</v>
      </c>
      <c r="M3293" s="3" t="n">
        <v>0.0352</v>
      </c>
      <c r="N3293" s="3" t="n">
        <v>15052.93</v>
      </c>
      <c r="O3293" s="3" t="n">
        <v>412586.99</v>
      </c>
      <c r="P3293" s="3" t="n">
        <v>256583.95</v>
      </c>
      <c r="Q3293" s="3" t="n">
        <v>156003.04</v>
      </c>
      <c r="R3293" s="3" t="n">
        <v>0.3781</v>
      </c>
      <c r="S3293" s="3" t="n">
        <v>0.0318</v>
      </c>
      <c r="T3293" s="3" t="n">
        <v>0.0034</v>
      </c>
    </row>
    <row r="3294" customFormat="false" ht="15" hidden="false" customHeight="true" outlineLevel="0" collapsed="false">
      <c r="A3294" s="3" t="s">
        <v>4419</v>
      </c>
      <c r="B3294" s="3" t="s">
        <v>695</v>
      </c>
      <c r="C3294" s="3" t="s">
        <v>156</v>
      </c>
      <c r="D3294" s="3" t="s">
        <v>54</v>
      </c>
      <c r="E3294" s="3" t="s">
        <v>24</v>
      </c>
      <c r="F3294" s="3" t="s">
        <v>40</v>
      </c>
      <c r="G3294" s="3" t="s">
        <v>34</v>
      </c>
      <c r="H3294" s="3" t="s">
        <v>56</v>
      </c>
      <c r="I3294" s="3" t="s">
        <v>121</v>
      </c>
      <c r="J3294" s="3" t="n">
        <v>6</v>
      </c>
      <c r="K3294" s="3" t="n">
        <v>8586.5</v>
      </c>
      <c r="L3294" s="3" t="n">
        <v>51519</v>
      </c>
      <c r="M3294" s="3" t="n">
        <v>0.0822</v>
      </c>
      <c r="N3294" s="3" t="n">
        <v>4234.86</v>
      </c>
      <c r="O3294" s="3" t="n">
        <v>47284.14</v>
      </c>
      <c r="P3294" s="3" t="n">
        <v>30911.4</v>
      </c>
      <c r="Q3294" s="3" t="n">
        <v>16372.74</v>
      </c>
      <c r="R3294" s="3" t="n">
        <v>0.3463</v>
      </c>
      <c r="S3294" s="3" t="n">
        <v>0.0891</v>
      </c>
      <c r="T3294" s="3" t="n">
        <v>-0.0069</v>
      </c>
    </row>
    <row r="3295" customFormat="false" ht="15" hidden="false" customHeight="true" outlineLevel="0" collapsed="false">
      <c r="A3295" s="3" t="s">
        <v>4420</v>
      </c>
      <c r="B3295" s="3" t="s">
        <v>1365</v>
      </c>
      <c r="C3295" s="3" t="s">
        <v>68</v>
      </c>
      <c r="D3295" s="3" t="s">
        <v>47</v>
      </c>
      <c r="E3295" s="3" t="s">
        <v>48</v>
      </c>
      <c r="F3295" s="3" t="s">
        <v>25</v>
      </c>
      <c r="G3295" s="3" t="s">
        <v>26</v>
      </c>
      <c r="H3295" s="3" t="s">
        <v>56</v>
      </c>
      <c r="I3295" s="3" t="s">
        <v>121</v>
      </c>
      <c r="J3295" s="3" t="n">
        <v>24</v>
      </c>
      <c r="K3295" s="3" t="n">
        <v>8685.7</v>
      </c>
      <c r="L3295" s="3" t="n">
        <v>208456.8</v>
      </c>
      <c r="M3295" s="3" t="n">
        <v>0.1183</v>
      </c>
      <c r="N3295" s="3" t="n">
        <v>24660.44</v>
      </c>
      <c r="O3295" s="3" t="n">
        <v>183796.36</v>
      </c>
      <c r="P3295" s="3" t="n">
        <v>125074.08</v>
      </c>
      <c r="Q3295" s="3" t="n">
        <v>58722.28</v>
      </c>
      <c r="R3295" s="3" t="n">
        <v>0.3195</v>
      </c>
      <c r="S3295" s="3" t="n">
        <v>0.1264</v>
      </c>
      <c r="T3295" s="3" t="n">
        <v>-0.0081</v>
      </c>
    </row>
    <row r="3296" customFormat="false" ht="15" hidden="false" customHeight="true" outlineLevel="0" collapsed="false">
      <c r="A3296" s="3" t="s">
        <v>4421</v>
      </c>
      <c r="B3296" s="3" t="s">
        <v>477</v>
      </c>
      <c r="C3296" s="3" t="s">
        <v>46</v>
      </c>
      <c r="D3296" s="3" t="s">
        <v>61</v>
      </c>
      <c r="E3296" s="3" t="s">
        <v>33</v>
      </c>
      <c r="F3296" s="3" t="s">
        <v>62</v>
      </c>
      <c r="G3296" s="3" t="s">
        <v>49</v>
      </c>
      <c r="H3296" s="3" t="s">
        <v>77</v>
      </c>
      <c r="I3296" s="3" t="s">
        <v>78</v>
      </c>
      <c r="J3296" s="3" t="n">
        <v>23</v>
      </c>
      <c r="K3296" s="3" t="n">
        <v>3269.32</v>
      </c>
      <c r="L3296" s="3" t="n">
        <v>75194.36</v>
      </c>
      <c r="M3296" s="3" t="n">
        <v>0.0634</v>
      </c>
      <c r="N3296" s="3" t="n">
        <v>4767.32</v>
      </c>
      <c r="O3296" s="3" t="n">
        <v>70427.04</v>
      </c>
      <c r="P3296" s="3" t="n">
        <v>51132.16</v>
      </c>
      <c r="Q3296" s="3" t="n">
        <v>19294.88</v>
      </c>
      <c r="R3296" s="3" t="n">
        <v>0.274</v>
      </c>
      <c r="S3296" s="3" t="n">
        <v>0.0664</v>
      </c>
      <c r="T3296" s="3" t="n">
        <v>-0.003</v>
      </c>
    </row>
    <row r="3297" customFormat="false" ht="15" hidden="false" customHeight="true" outlineLevel="0" collapsed="false">
      <c r="A3297" s="3" t="s">
        <v>4422</v>
      </c>
      <c r="B3297" s="3" t="s">
        <v>2220</v>
      </c>
      <c r="C3297" s="3" t="s">
        <v>60</v>
      </c>
      <c r="D3297" s="3" t="s">
        <v>69</v>
      </c>
      <c r="E3297" s="3" t="s">
        <v>39</v>
      </c>
      <c r="F3297" s="3" t="s">
        <v>70</v>
      </c>
      <c r="G3297" s="3" t="s">
        <v>116</v>
      </c>
      <c r="H3297" s="3" t="s">
        <v>42</v>
      </c>
      <c r="I3297" s="3" t="s">
        <v>43</v>
      </c>
      <c r="J3297" s="3" t="n">
        <v>41</v>
      </c>
      <c r="K3297" s="3" t="n">
        <v>2263.23</v>
      </c>
      <c r="L3297" s="3" t="n">
        <v>92792.43</v>
      </c>
      <c r="M3297" s="3" t="n">
        <v>0.0912</v>
      </c>
      <c r="N3297" s="3" t="n">
        <v>8462.67</v>
      </c>
      <c r="O3297" s="3" t="n">
        <v>84329.76</v>
      </c>
      <c r="P3297" s="3" t="n">
        <v>51035.84</v>
      </c>
      <c r="Q3297" s="3" t="n">
        <v>33293.92</v>
      </c>
      <c r="R3297" s="3" t="n">
        <v>0.3948</v>
      </c>
      <c r="S3297" s="3" t="n">
        <v>0.0734</v>
      </c>
      <c r="T3297" s="3" t="n">
        <v>0.0178</v>
      </c>
    </row>
    <row r="3298" customFormat="false" ht="15" hidden="false" customHeight="true" outlineLevel="0" collapsed="false">
      <c r="A3298" s="3" t="s">
        <v>4423</v>
      </c>
      <c r="B3298" s="3" t="s">
        <v>198</v>
      </c>
      <c r="C3298" s="3" t="s">
        <v>113</v>
      </c>
      <c r="D3298" s="3" t="s">
        <v>32</v>
      </c>
      <c r="E3298" s="3" t="s">
        <v>33</v>
      </c>
      <c r="F3298" s="3" t="s">
        <v>25</v>
      </c>
      <c r="G3298" s="3" t="s">
        <v>100</v>
      </c>
      <c r="H3298" s="3" t="s">
        <v>64</v>
      </c>
      <c r="I3298" s="3" t="s">
        <v>145</v>
      </c>
      <c r="J3298" s="3" t="n">
        <v>23</v>
      </c>
      <c r="K3298" s="3" t="n">
        <v>10514.05</v>
      </c>
      <c r="L3298" s="3" t="n">
        <v>241823.15</v>
      </c>
      <c r="M3298" s="3" t="n">
        <v>0.1521</v>
      </c>
      <c r="N3298" s="3" t="n">
        <v>36781.3</v>
      </c>
      <c r="O3298" s="3" t="n">
        <v>205041.85</v>
      </c>
      <c r="P3298" s="3" t="n">
        <v>140257.43</v>
      </c>
      <c r="Q3298" s="3" t="n">
        <v>64784.42</v>
      </c>
      <c r="R3298" s="3" t="n">
        <v>0.316</v>
      </c>
      <c r="S3298" s="3" t="n">
        <v>0.1326</v>
      </c>
      <c r="T3298" s="3" t="n">
        <v>0.0195</v>
      </c>
    </row>
    <row r="3299" customFormat="false" ht="15" hidden="false" customHeight="true" outlineLevel="0" collapsed="false">
      <c r="A3299" s="3" t="s">
        <v>4424</v>
      </c>
      <c r="B3299" s="3" t="s">
        <v>1695</v>
      </c>
      <c r="C3299" s="3" t="s">
        <v>93</v>
      </c>
      <c r="D3299" s="3" t="s">
        <v>83</v>
      </c>
      <c r="E3299" s="3" t="s">
        <v>48</v>
      </c>
      <c r="F3299" s="3" t="s">
        <v>62</v>
      </c>
      <c r="G3299" s="3" t="s">
        <v>34</v>
      </c>
      <c r="H3299" s="3" t="s">
        <v>77</v>
      </c>
      <c r="I3299" s="3" t="s">
        <v>78</v>
      </c>
      <c r="J3299" s="3" t="n">
        <v>13</v>
      </c>
      <c r="K3299" s="3" t="n">
        <v>1288.46</v>
      </c>
      <c r="L3299" s="3" t="n">
        <v>16749.98</v>
      </c>
      <c r="M3299" s="3" t="n">
        <v>0.0748</v>
      </c>
      <c r="N3299" s="3" t="n">
        <v>1252.9</v>
      </c>
      <c r="O3299" s="3" t="n">
        <v>15497.08</v>
      </c>
      <c r="P3299" s="3" t="n">
        <v>11389.99</v>
      </c>
      <c r="Q3299" s="3" t="n">
        <v>4107.09</v>
      </c>
      <c r="R3299" s="3" t="n">
        <v>0.265</v>
      </c>
      <c r="S3299" s="3" t="n">
        <v>0.0622</v>
      </c>
      <c r="T3299" s="3" t="n">
        <v>0.0126</v>
      </c>
    </row>
    <row r="3300" customFormat="false" ht="15" hidden="false" customHeight="true" outlineLevel="0" collapsed="false">
      <c r="A3300" s="3" t="s">
        <v>4425</v>
      </c>
      <c r="B3300" s="3" t="s">
        <v>1243</v>
      </c>
      <c r="C3300" s="3" t="s">
        <v>120</v>
      </c>
      <c r="D3300" s="3" t="s">
        <v>75</v>
      </c>
      <c r="E3300" s="3" t="s">
        <v>39</v>
      </c>
      <c r="F3300" s="3" t="s">
        <v>25</v>
      </c>
      <c r="G3300" s="3" t="s">
        <v>49</v>
      </c>
      <c r="H3300" s="3" t="s">
        <v>77</v>
      </c>
      <c r="I3300" s="3" t="s">
        <v>131</v>
      </c>
      <c r="J3300" s="3" t="n">
        <v>31</v>
      </c>
      <c r="K3300" s="3" t="n">
        <v>2559.22</v>
      </c>
      <c r="L3300" s="3" t="n">
        <v>79335.82</v>
      </c>
      <c r="M3300" s="3" t="n">
        <v>0.1047</v>
      </c>
      <c r="N3300" s="3" t="n">
        <v>8306.46</v>
      </c>
      <c r="O3300" s="3" t="n">
        <v>71029.36</v>
      </c>
      <c r="P3300" s="3" t="n">
        <v>53948.36</v>
      </c>
      <c r="Q3300" s="3" t="n">
        <v>17081</v>
      </c>
      <c r="R3300" s="3" t="n">
        <v>0.2405</v>
      </c>
      <c r="S3300" s="3" t="n">
        <v>0.0882</v>
      </c>
      <c r="T3300" s="3" t="n">
        <v>0.0165</v>
      </c>
    </row>
    <row r="3301" customFormat="false" ht="15" hidden="false" customHeight="true" outlineLevel="0" collapsed="false">
      <c r="A3301" s="3" t="s">
        <v>4426</v>
      </c>
      <c r="B3301" s="3" t="s">
        <v>3764</v>
      </c>
      <c r="C3301" s="3" t="s">
        <v>22</v>
      </c>
      <c r="D3301" s="3" t="s">
        <v>23</v>
      </c>
      <c r="E3301" s="3" t="s">
        <v>24</v>
      </c>
      <c r="F3301" s="3" t="s">
        <v>25</v>
      </c>
      <c r="G3301" s="3" t="s">
        <v>49</v>
      </c>
      <c r="H3301" s="3" t="s">
        <v>27</v>
      </c>
      <c r="I3301" s="3" t="s">
        <v>117</v>
      </c>
      <c r="J3301" s="3" t="n">
        <v>19</v>
      </c>
      <c r="K3301" s="3" t="n">
        <v>38569.76</v>
      </c>
      <c r="L3301" s="3" t="n">
        <v>732825.44</v>
      </c>
      <c r="M3301" s="3" t="n">
        <v>0.0888</v>
      </c>
      <c r="N3301" s="3" t="n">
        <v>65074.9</v>
      </c>
      <c r="O3301" s="3" t="n">
        <v>667750.54</v>
      </c>
      <c r="P3301" s="3" t="n">
        <v>454351.77</v>
      </c>
      <c r="Q3301" s="3" t="n">
        <v>213398.77</v>
      </c>
      <c r="R3301" s="3" t="n">
        <v>0.3196</v>
      </c>
      <c r="S3301" s="3" t="n">
        <v>0.0975</v>
      </c>
      <c r="T3301" s="3" t="n">
        <v>-0.0087</v>
      </c>
    </row>
    <row r="3302" customFormat="false" ht="15" hidden="false" customHeight="true" outlineLevel="0" collapsed="false">
      <c r="A3302" s="3" t="s">
        <v>4427</v>
      </c>
      <c r="B3302" s="3" t="s">
        <v>1060</v>
      </c>
      <c r="C3302" s="3" t="s">
        <v>113</v>
      </c>
      <c r="D3302" s="3" t="s">
        <v>54</v>
      </c>
      <c r="E3302" s="3" t="s">
        <v>24</v>
      </c>
      <c r="F3302" s="3" t="s">
        <v>40</v>
      </c>
      <c r="G3302" s="3" t="s">
        <v>100</v>
      </c>
      <c r="H3302" s="3" t="s">
        <v>56</v>
      </c>
      <c r="I3302" s="3" t="s">
        <v>188</v>
      </c>
      <c r="J3302" s="3" t="n">
        <v>47</v>
      </c>
      <c r="K3302" s="3" t="n">
        <v>17896.45</v>
      </c>
      <c r="L3302" s="3" t="n">
        <v>841133.15</v>
      </c>
      <c r="M3302" s="3" t="n">
        <v>0.0318</v>
      </c>
      <c r="N3302" s="3" t="n">
        <v>26748.03</v>
      </c>
      <c r="O3302" s="3" t="n">
        <v>814385.12</v>
      </c>
      <c r="P3302" s="3" t="n">
        <v>504679.89</v>
      </c>
      <c r="Q3302" s="3" t="n">
        <v>309705.23</v>
      </c>
      <c r="R3302" s="3" t="n">
        <v>0.3803</v>
      </c>
      <c r="S3302" s="3" t="n">
        <v>0.0309</v>
      </c>
      <c r="T3302" s="3" t="n">
        <v>0.0009</v>
      </c>
    </row>
    <row r="3303" customFormat="false" ht="15" hidden="false" customHeight="true" outlineLevel="0" collapsed="false">
      <c r="A3303" s="3" t="s">
        <v>4428</v>
      </c>
      <c r="B3303" s="3" t="s">
        <v>4078</v>
      </c>
      <c r="C3303" s="3" t="s">
        <v>126</v>
      </c>
      <c r="D3303" s="3" t="s">
        <v>83</v>
      </c>
      <c r="E3303" s="3" t="s">
        <v>48</v>
      </c>
      <c r="F3303" s="3" t="s">
        <v>62</v>
      </c>
      <c r="G3303" s="3" t="s">
        <v>84</v>
      </c>
      <c r="H3303" s="3" t="s">
        <v>77</v>
      </c>
      <c r="I3303" s="3" t="s">
        <v>85</v>
      </c>
      <c r="J3303" s="3" t="n">
        <v>33</v>
      </c>
      <c r="K3303" s="3" t="n">
        <v>2337.13</v>
      </c>
      <c r="L3303" s="3" t="n">
        <v>77125.29</v>
      </c>
      <c r="M3303" s="3" t="n">
        <v>0.0539</v>
      </c>
      <c r="N3303" s="3" t="n">
        <v>4157.05</v>
      </c>
      <c r="O3303" s="3" t="n">
        <v>72968.24</v>
      </c>
      <c r="P3303" s="3" t="n">
        <v>52445.2</v>
      </c>
      <c r="Q3303" s="3" t="n">
        <v>20523.04</v>
      </c>
      <c r="R3303" s="3" t="n">
        <v>0.2813</v>
      </c>
      <c r="S3303" s="3" t="n">
        <v>0.0492</v>
      </c>
      <c r="T3303" s="3" t="n">
        <v>0.0047</v>
      </c>
    </row>
    <row r="3304" customFormat="false" ht="15" hidden="false" customHeight="true" outlineLevel="0" collapsed="false">
      <c r="A3304" s="3" t="s">
        <v>4429</v>
      </c>
      <c r="B3304" s="3" t="s">
        <v>2046</v>
      </c>
      <c r="C3304" s="3" t="s">
        <v>22</v>
      </c>
      <c r="D3304" s="3" t="s">
        <v>47</v>
      </c>
      <c r="E3304" s="3" t="s">
        <v>48</v>
      </c>
      <c r="F3304" s="3" t="s">
        <v>25</v>
      </c>
      <c r="G3304" s="3" t="s">
        <v>34</v>
      </c>
      <c r="H3304" s="3" t="s">
        <v>64</v>
      </c>
      <c r="I3304" s="3" t="s">
        <v>65</v>
      </c>
      <c r="J3304" s="3" t="n">
        <v>50</v>
      </c>
      <c r="K3304" s="3" t="n">
        <v>10185.01</v>
      </c>
      <c r="L3304" s="3" t="n">
        <v>509250.5</v>
      </c>
      <c r="M3304" s="3" t="n">
        <v>0.1771</v>
      </c>
      <c r="N3304" s="3" t="n">
        <v>90188.26</v>
      </c>
      <c r="O3304" s="3" t="n">
        <v>419062.24</v>
      </c>
      <c r="P3304" s="3" t="n">
        <v>295365.29</v>
      </c>
      <c r="Q3304" s="3" t="n">
        <v>123696.95</v>
      </c>
      <c r="R3304" s="3" t="n">
        <v>0.2952</v>
      </c>
      <c r="S3304" s="3" t="n">
        <v>0.1431</v>
      </c>
      <c r="T3304" s="3" t="n">
        <v>0.034</v>
      </c>
    </row>
    <row r="3305" customFormat="false" ht="15" hidden="false" customHeight="true" outlineLevel="0" collapsed="false">
      <c r="A3305" s="3" t="s">
        <v>4430</v>
      </c>
      <c r="B3305" s="3" t="s">
        <v>858</v>
      </c>
      <c r="C3305" s="3" t="s">
        <v>156</v>
      </c>
      <c r="D3305" s="3" t="s">
        <v>38</v>
      </c>
      <c r="E3305" s="3" t="s">
        <v>39</v>
      </c>
      <c r="F3305" s="3" t="s">
        <v>40</v>
      </c>
      <c r="G3305" s="3" t="s">
        <v>34</v>
      </c>
      <c r="H3305" s="3" t="s">
        <v>27</v>
      </c>
      <c r="I3305" s="3" t="s">
        <v>50</v>
      </c>
      <c r="J3305" s="3" t="n">
        <v>40</v>
      </c>
      <c r="K3305" s="3" t="n">
        <v>18011.88</v>
      </c>
      <c r="L3305" s="3" t="n">
        <v>720475.2</v>
      </c>
      <c r="M3305" s="3" t="n">
        <v>0.1028</v>
      </c>
      <c r="N3305" s="3" t="n">
        <v>74064.85</v>
      </c>
      <c r="O3305" s="3" t="n">
        <v>646410.35</v>
      </c>
      <c r="P3305" s="3" t="n">
        <v>446694.62</v>
      </c>
      <c r="Q3305" s="3" t="n">
        <v>199715.73</v>
      </c>
      <c r="R3305" s="3" t="n">
        <v>0.309</v>
      </c>
      <c r="S3305" s="3" t="n">
        <v>0.0974</v>
      </c>
      <c r="T3305" s="3" t="n">
        <v>0.0054</v>
      </c>
    </row>
    <row r="3306" customFormat="false" ht="15" hidden="false" customHeight="true" outlineLevel="0" collapsed="false">
      <c r="A3306" s="3" t="s">
        <v>4431</v>
      </c>
      <c r="B3306" s="3" t="s">
        <v>3158</v>
      </c>
      <c r="C3306" s="3" t="s">
        <v>31</v>
      </c>
      <c r="D3306" s="3" t="s">
        <v>97</v>
      </c>
      <c r="E3306" s="3" t="s">
        <v>48</v>
      </c>
      <c r="F3306" s="3" t="s">
        <v>40</v>
      </c>
      <c r="G3306" s="3" t="s">
        <v>84</v>
      </c>
      <c r="H3306" s="3" t="s">
        <v>42</v>
      </c>
      <c r="I3306" s="3" t="s">
        <v>43</v>
      </c>
      <c r="J3306" s="3" t="n">
        <v>37</v>
      </c>
      <c r="K3306" s="3" t="n">
        <v>3970.56</v>
      </c>
      <c r="L3306" s="3" t="n">
        <v>146910.72</v>
      </c>
      <c r="M3306" s="3" t="n">
        <v>0.0781</v>
      </c>
      <c r="N3306" s="3" t="n">
        <v>11473.73</v>
      </c>
      <c r="O3306" s="3" t="n">
        <v>135436.99</v>
      </c>
      <c r="P3306" s="3" t="n">
        <v>80800.9</v>
      </c>
      <c r="Q3306" s="3" t="n">
        <v>54636.09</v>
      </c>
      <c r="R3306" s="3" t="n">
        <v>0.4034</v>
      </c>
      <c r="S3306" s="3" t="n">
        <v>0.0698</v>
      </c>
      <c r="T3306" s="3" t="n">
        <v>0.0083</v>
      </c>
    </row>
    <row r="3307" customFormat="false" ht="15" hidden="false" customHeight="true" outlineLevel="0" collapsed="false">
      <c r="A3307" s="3" t="s">
        <v>4432</v>
      </c>
      <c r="B3307" s="3" t="s">
        <v>2820</v>
      </c>
      <c r="C3307" s="3" t="s">
        <v>68</v>
      </c>
      <c r="D3307" s="3" t="s">
        <v>54</v>
      </c>
      <c r="E3307" s="3" t="s">
        <v>24</v>
      </c>
      <c r="F3307" s="3" t="s">
        <v>40</v>
      </c>
      <c r="G3307" s="3" t="s">
        <v>41</v>
      </c>
      <c r="H3307" s="3" t="s">
        <v>77</v>
      </c>
      <c r="I3307" s="3" t="s">
        <v>78</v>
      </c>
      <c r="J3307" s="3" t="n">
        <v>32</v>
      </c>
      <c r="K3307" s="3" t="n">
        <v>3657.53</v>
      </c>
      <c r="L3307" s="3" t="n">
        <v>117040.96</v>
      </c>
      <c r="M3307" s="3" t="n">
        <v>0.099</v>
      </c>
      <c r="N3307" s="3" t="n">
        <v>11587.06</v>
      </c>
      <c r="O3307" s="3" t="n">
        <v>105453.9</v>
      </c>
      <c r="P3307" s="3" t="n">
        <v>79587.85</v>
      </c>
      <c r="Q3307" s="3" t="n">
        <v>25866.05</v>
      </c>
      <c r="R3307" s="3" t="n">
        <v>0.2453</v>
      </c>
      <c r="S3307" s="3" t="n">
        <v>0.0972</v>
      </c>
      <c r="T3307" s="3" t="n">
        <v>0.0018</v>
      </c>
    </row>
    <row r="3308" customFormat="false" ht="15" hidden="false" customHeight="true" outlineLevel="0" collapsed="false">
      <c r="A3308" s="3" t="s">
        <v>4433</v>
      </c>
      <c r="B3308" s="3" t="s">
        <v>822</v>
      </c>
      <c r="C3308" s="3" t="s">
        <v>156</v>
      </c>
      <c r="D3308" s="3" t="s">
        <v>47</v>
      </c>
      <c r="E3308" s="3" t="s">
        <v>48</v>
      </c>
      <c r="F3308" s="3" t="s">
        <v>25</v>
      </c>
      <c r="G3308" s="3" t="s">
        <v>49</v>
      </c>
      <c r="H3308" s="3" t="s">
        <v>64</v>
      </c>
      <c r="I3308" s="3" t="s">
        <v>108</v>
      </c>
      <c r="J3308" s="3" t="n">
        <v>50</v>
      </c>
      <c r="K3308" s="3" t="n">
        <v>4396.83</v>
      </c>
      <c r="L3308" s="3" t="n">
        <v>219841.5</v>
      </c>
      <c r="M3308" s="3" t="n">
        <v>0.1187</v>
      </c>
      <c r="N3308" s="3" t="n">
        <v>26095.19</v>
      </c>
      <c r="O3308" s="3" t="n">
        <v>193746.31</v>
      </c>
      <c r="P3308" s="3" t="n">
        <v>127508.07</v>
      </c>
      <c r="Q3308" s="3" t="n">
        <v>66238.24</v>
      </c>
      <c r="R3308" s="3" t="n">
        <v>0.3419</v>
      </c>
      <c r="S3308" s="3" t="n">
        <v>0.1009</v>
      </c>
      <c r="T3308" s="3" t="n">
        <v>0.0178</v>
      </c>
    </row>
    <row r="3309" customFormat="false" ht="15" hidden="false" customHeight="true" outlineLevel="0" collapsed="false">
      <c r="A3309" s="3" t="s">
        <v>4434</v>
      </c>
      <c r="B3309" s="3" t="s">
        <v>1468</v>
      </c>
      <c r="C3309" s="3" t="s">
        <v>93</v>
      </c>
      <c r="D3309" s="3" t="s">
        <v>69</v>
      </c>
      <c r="E3309" s="3" t="s">
        <v>39</v>
      </c>
      <c r="F3309" s="3" t="s">
        <v>70</v>
      </c>
      <c r="G3309" s="3" t="s">
        <v>34</v>
      </c>
      <c r="H3309" s="3" t="s">
        <v>27</v>
      </c>
      <c r="I3309" s="3" t="s">
        <v>117</v>
      </c>
      <c r="J3309" s="3" t="n">
        <v>19</v>
      </c>
      <c r="K3309" s="3" t="n">
        <v>36692.47</v>
      </c>
      <c r="L3309" s="3" t="n">
        <v>697156.93</v>
      </c>
      <c r="M3309" s="3" t="n">
        <v>0.0672</v>
      </c>
      <c r="N3309" s="3" t="n">
        <v>46848.95</v>
      </c>
      <c r="O3309" s="3" t="n">
        <v>650307.98</v>
      </c>
      <c r="P3309" s="3" t="n">
        <v>432237.3</v>
      </c>
      <c r="Q3309" s="3" t="n">
        <v>218070.68</v>
      </c>
      <c r="R3309" s="3" t="n">
        <v>0.3353</v>
      </c>
      <c r="S3309" s="3" t="n">
        <v>0.0629</v>
      </c>
      <c r="T3309" s="3" t="n">
        <v>0.0043</v>
      </c>
    </row>
    <row r="3310" customFormat="false" ht="15" hidden="false" customHeight="true" outlineLevel="0" collapsed="false">
      <c r="A3310" s="3" t="s">
        <v>4435</v>
      </c>
      <c r="B3310" s="3" t="s">
        <v>3966</v>
      </c>
      <c r="C3310" s="3" t="s">
        <v>53</v>
      </c>
      <c r="D3310" s="3" t="s">
        <v>61</v>
      </c>
      <c r="E3310" s="3" t="s">
        <v>33</v>
      </c>
      <c r="F3310" s="3" t="s">
        <v>62</v>
      </c>
      <c r="G3310" s="3" t="s">
        <v>116</v>
      </c>
      <c r="H3310" s="3" t="s">
        <v>64</v>
      </c>
      <c r="I3310" s="3" t="s">
        <v>145</v>
      </c>
      <c r="J3310" s="3" t="n">
        <v>34</v>
      </c>
      <c r="K3310" s="3" t="n">
        <v>8933.66</v>
      </c>
      <c r="L3310" s="3" t="n">
        <v>303744.44</v>
      </c>
      <c r="M3310" s="3" t="n">
        <v>0.0799</v>
      </c>
      <c r="N3310" s="3" t="n">
        <v>24269.18</v>
      </c>
      <c r="O3310" s="3" t="n">
        <v>279475.26</v>
      </c>
      <c r="P3310" s="3" t="n">
        <v>176171.78</v>
      </c>
      <c r="Q3310" s="3" t="n">
        <v>103303.48</v>
      </c>
      <c r="R3310" s="3" t="n">
        <v>0.3696</v>
      </c>
      <c r="S3310" s="3" t="n">
        <v>0.0664</v>
      </c>
      <c r="T3310" s="3" t="n">
        <v>0.0135</v>
      </c>
    </row>
    <row r="3311" customFormat="false" ht="15" hidden="false" customHeight="true" outlineLevel="0" collapsed="false">
      <c r="A3311" s="3" t="s">
        <v>4436</v>
      </c>
      <c r="B3311" s="3" t="s">
        <v>1608</v>
      </c>
      <c r="C3311" s="3" t="s">
        <v>120</v>
      </c>
      <c r="D3311" s="3" t="s">
        <v>107</v>
      </c>
      <c r="E3311" s="3" t="s">
        <v>33</v>
      </c>
      <c r="F3311" s="3" t="s">
        <v>70</v>
      </c>
      <c r="G3311" s="3" t="s">
        <v>49</v>
      </c>
      <c r="H3311" s="3" t="s">
        <v>64</v>
      </c>
      <c r="I3311" s="3" t="s">
        <v>65</v>
      </c>
      <c r="J3311" s="3" t="n">
        <v>26</v>
      </c>
      <c r="K3311" s="3" t="n">
        <v>3625.05</v>
      </c>
      <c r="L3311" s="3" t="n">
        <v>94251.3</v>
      </c>
      <c r="M3311" s="3" t="n">
        <v>0.0516</v>
      </c>
      <c r="N3311" s="3" t="n">
        <v>4863.37</v>
      </c>
      <c r="O3311" s="3" t="n">
        <v>89387.93</v>
      </c>
      <c r="P3311" s="3" t="n">
        <v>54665.75</v>
      </c>
      <c r="Q3311" s="3" t="n">
        <v>34722.18</v>
      </c>
      <c r="R3311" s="3" t="n">
        <v>0.3884</v>
      </c>
      <c r="S3311" s="3" t="n">
        <v>0.0544</v>
      </c>
      <c r="T3311" s="3" t="n">
        <v>-0.0028</v>
      </c>
    </row>
    <row r="3312" customFormat="false" ht="15" hidden="false" customHeight="true" outlineLevel="0" collapsed="false">
      <c r="A3312" s="3" t="s">
        <v>4437</v>
      </c>
      <c r="B3312" s="3" t="s">
        <v>102</v>
      </c>
      <c r="C3312" s="3" t="s">
        <v>93</v>
      </c>
      <c r="D3312" s="3" t="s">
        <v>69</v>
      </c>
      <c r="E3312" s="3" t="s">
        <v>39</v>
      </c>
      <c r="F3312" s="3" t="s">
        <v>70</v>
      </c>
      <c r="G3312" s="3" t="s">
        <v>84</v>
      </c>
      <c r="H3312" s="3" t="s">
        <v>56</v>
      </c>
      <c r="I3312" s="3" t="s">
        <v>188</v>
      </c>
      <c r="J3312" s="3" t="n">
        <v>19</v>
      </c>
      <c r="K3312" s="3" t="n">
        <v>10435.27</v>
      </c>
      <c r="L3312" s="3" t="n">
        <v>198270.13</v>
      </c>
      <c r="M3312" s="3" t="n">
        <v>0.0686</v>
      </c>
      <c r="N3312" s="3" t="n">
        <v>13601.33</v>
      </c>
      <c r="O3312" s="3" t="n">
        <v>184668.8</v>
      </c>
      <c r="P3312" s="3" t="n">
        <v>118962.08</v>
      </c>
      <c r="Q3312" s="3" t="n">
        <v>65706.72</v>
      </c>
      <c r="R3312" s="3" t="n">
        <v>0.3558</v>
      </c>
      <c r="S3312" s="3" t="n">
        <v>0.0679</v>
      </c>
      <c r="T3312" s="3" t="n">
        <v>0.0007</v>
      </c>
    </row>
    <row r="3313" customFormat="false" ht="15" hidden="false" customHeight="true" outlineLevel="0" collapsed="false">
      <c r="A3313" s="3" t="s">
        <v>4438</v>
      </c>
      <c r="B3313" s="3" t="s">
        <v>1645</v>
      </c>
      <c r="C3313" s="3" t="s">
        <v>46</v>
      </c>
      <c r="D3313" s="3" t="s">
        <v>32</v>
      </c>
      <c r="E3313" s="3" t="s">
        <v>33</v>
      </c>
      <c r="F3313" s="3" t="s">
        <v>25</v>
      </c>
      <c r="G3313" s="3" t="s">
        <v>63</v>
      </c>
      <c r="H3313" s="3" t="s">
        <v>56</v>
      </c>
      <c r="I3313" s="3" t="s">
        <v>121</v>
      </c>
      <c r="J3313" s="3" t="n">
        <v>27</v>
      </c>
      <c r="K3313" s="3" t="n">
        <v>14794.52</v>
      </c>
      <c r="L3313" s="3" t="n">
        <v>399452.04</v>
      </c>
      <c r="M3313" s="3" t="n">
        <v>0.0854</v>
      </c>
      <c r="N3313" s="3" t="n">
        <v>34113.2</v>
      </c>
      <c r="O3313" s="3" t="n">
        <v>365338.84</v>
      </c>
      <c r="P3313" s="3" t="n">
        <v>239671.22</v>
      </c>
      <c r="Q3313" s="3" t="n">
        <v>125667.62</v>
      </c>
      <c r="R3313" s="3" t="n">
        <v>0.344</v>
      </c>
      <c r="S3313" s="3" t="n">
        <v>0.084</v>
      </c>
      <c r="T3313" s="3" t="n">
        <v>0.0014</v>
      </c>
    </row>
    <row r="3314" customFormat="false" ht="15" hidden="false" customHeight="true" outlineLevel="0" collapsed="false">
      <c r="A3314" s="3" t="s">
        <v>4439</v>
      </c>
      <c r="B3314" s="3" t="s">
        <v>1954</v>
      </c>
      <c r="C3314" s="3" t="s">
        <v>53</v>
      </c>
      <c r="D3314" s="3" t="s">
        <v>107</v>
      </c>
      <c r="E3314" s="3" t="s">
        <v>33</v>
      </c>
      <c r="F3314" s="3" t="s">
        <v>70</v>
      </c>
      <c r="G3314" s="3" t="s">
        <v>76</v>
      </c>
      <c r="H3314" s="3" t="s">
        <v>42</v>
      </c>
      <c r="I3314" s="3" t="s">
        <v>134</v>
      </c>
      <c r="J3314" s="3" t="n">
        <v>10</v>
      </c>
      <c r="K3314" s="3" t="n">
        <v>1043.52</v>
      </c>
      <c r="L3314" s="3" t="n">
        <v>10435.2</v>
      </c>
      <c r="M3314" s="3" t="n">
        <v>0.038</v>
      </c>
      <c r="N3314" s="3" t="n">
        <v>396.54</v>
      </c>
      <c r="O3314" s="3" t="n">
        <v>10038.66</v>
      </c>
      <c r="P3314" s="3" t="n">
        <v>5739.36</v>
      </c>
      <c r="Q3314" s="3" t="n">
        <v>4299.3</v>
      </c>
      <c r="R3314" s="3" t="n">
        <v>0.4283</v>
      </c>
      <c r="S3314" s="3" t="n">
        <v>0.0383</v>
      </c>
      <c r="T3314" s="3" t="n">
        <v>-0.0003</v>
      </c>
    </row>
    <row r="3315" customFormat="false" ht="15" hidden="false" customHeight="true" outlineLevel="0" collapsed="false">
      <c r="A3315" s="3" t="s">
        <v>4440</v>
      </c>
      <c r="B3315" s="3" t="s">
        <v>1662</v>
      </c>
      <c r="C3315" s="3" t="s">
        <v>93</v>
      </c>
      <c r="D3315" s="3" t="s">
        <v>75</v>
      </c>
      <c r="E3315" s="3" t="s">
        <v>39</v>
      </c>
      <c r="F3315" s="3" t="s">
        <v>25</v>
      </c>
      <c r="G3315" s="3" t="s">
        <v>100</v>
      </c>
      <c r="H3315" s="3" t="s">
        <v>42</v>
      </c>
      <c r="I3315" s="3" t="s">
        <v>72</v>
      </c>
      <c r="J3315" s="3" t="n">
        <v>13</v>
      </c>
      <c r="K3315" s="3" t="n">
        <v>3427.37</v>
      </c>
      <c r="L3315" s="3" t="n">
        <v>44555.81</v>
      </c>
      <c r="M3315" s="3" t="n">
        <v>0.1258</v>
      </c>
      <c r="N3315" s="3" t="n">
        <v>5605.12</v>
      </c>
      <c r="O3315" s="3" t="n">
        <v>38950.69</v>
      </c>
      <c r="P3315" s="3" t="n">
        <v>24505.7</v>
      </c>
      <c r="Q3315" s="3" t="n">
        <v>14444.99</v>
      </c>
      <c r="R3315" s="3" t="n">
        <v>0.3709</v>
      </c>
      <c r="S3315" s="3" t="n">
        <v>0.1095</v>
      </c>
      <c r="T3315" s="3" t="n">
        <v>0.0163</v>
      </c>
    </row>
    <row r="3316" customFormat="false" ht="15" hidden="false" customHeight="true" outlineLevel="0" collapsed="false">
      <c r="A3316" s="3" t="s">
        <v>4441</v>
      </c>
      <c r="B3316" s="3" t="s">
        <v>1304</v>
      </c>
      <c r="C3316" s="3" t="s">
        <v>68</v>
      </c>
      <c r="D3316" s="3" t="s">
        <v>61</v>
      </c>
      <c r="E3316" s="3" t="s">
        <v>33</v>
      </c>
      <c r="F3316" s="3" t="s">
        <v>62</v>
      </c>
      <c r="G3316" s="3" t="s">
        <v>104</v>
      </c>
      <c r="H3316" s="3" t="s">
        <v>42</v>
      </c>
      <c r="I3316" s="3" t="s">
        <v>134</v>
      </c>
      <c r="J3316" s="3" t="n">
        <v>5</v>
      </c>
      <c r="K3316" s="3" t="n">
        <v>1292.27</v>
      </c>
      <c r="L3316" s="3" t="n">
        <v>6461.35</v>
      </c>
      <c r="M3316" s="3" t="n">
        <v>0.1267</v>
      </c>
      <c r="N3316" s="3" t="n">
        <v>818.65</v>
      </c>
      <c r="O3316" s="3" t="n">
        <v>5642.7</v>
      </c>
      <c r="P3316" s="3" t="n">
        <v>3553.74</v>
      </c>
      <c r="Q3316" s="3" t="n">
        <v>2088.96</v>
      </c>
      <c r="R3316" s="3" t="n">
        <v>0.3702</v>
      </c>
      <c r="S3316" s="3" t="n">
        <v>0.1026</v>
      </c>
      <c r="T3316" s="3" t="n">
        <v>0.0241</v>
      </c>
    </row>
    <row r="3317" customFormat="false" ht="15" hidden="false" customHeight="true" outlineLevel="0" collapsed="false">
      <c r="A3317" s="3" t="s">
        <v>4442</v>
      </c>
      <c r="B3317" s="3" t="s">
        <v>1065</v>
      </c>
      <c r="C3317" s="3" t="s">
        <v>53</v>
      </c>
      <c r="D3317" s="3" t="s">
        <v>75</v>
      </c>
      <c r="E3317" s="3" t="s">
        <v>39</v>
      </c>
      <c r="F3317" s="3" t="s">
        <v>25</v>
      </c>
      <c r="G3317" s="3" t="s">
        <v>63</v>
      </c>
      <c r="H3317" s="3" t="s">
        <v>77</v>
      </c>
      <c r="I3317" s="3" t="s">
        <v>85</v>
      </c>
      <c r="J3317" s="3" t="n">
        <v>8</v>
      </c>
      <c r="K3317" s="3" t="n">
        <v>4230.23</v>
      </c>
      <c r="L3317" s="3" t="n">
        <v>33841.84</v>
      </c>
      <c r="M3317" s="3" t="n">
        <v>0.179</v>
      </c>
      <c r="N3317" s="3" t="n">
        <v>6057.69</v>
      </c>
      <c r="O3317" s="3" t="n">
        <v>27784.15</v>
      </c>
      <c r="P3317" s="3" t="n">
        <v>23012.45</v>
      </c>
      <c r="Q3317" s="3" t="n">
        <v>4771.7</v>
      </c>
      <c r="R3317" s="3" t="n">
        <v>0.1717</v>
      </c>
      <c r="S3317" s="3" t="n">
        <v>0.1792</v>
      </c>
      <c r="T3317" s="3" t="n">
        <v>-0.0002</v>
      </c>
    </row>
    <row r="3318" customFormat="false" ht="15" hidden="false" customHeight="true" outlineLevel="0" collapsed="false">
      <c r="A3318" s="3" t="s">
        <v>4443</v>
      </c>
      <c r="B3318" s="3" t="s">
        <v>426</v>
      </c>
      <c r="C3318" s="3" t="s">
        <v>120</v>
      </c>
      <c r="D3318" s="3" t="s">
        <v>47</v>
      </c>
      <c r="E3318" s="3" t="s">
        <v>48</v>
      </c>
      <c r="F3318" s="3" t="s">
        <v>25</v>
      </c>
      <c r="G3318" s="3" t="s">
        <v>116</v>
      </c>
      <c r="H3318" s="3" t="s">
        <v>27</v>
      </c>
      <c r="I3318" s="3" t="s">
        <v>173</v>
      </c>
      <c r="J3318" s="3" t="n">
        <v>30</v>
      </c>
      <c r="K3318" s="3" t="n">
        <v>8784.23</v>
      </c>
      <c r="L3318" s="3" t="n">
        <v>263526.9</v>
      </c>
      <c r="M3318" s="3" t="n">
        <v>0.2345</v>
      </c>
      <c r="N3318" s="3" t="n">
        <v>61797.06</v>
      </c>
      <c r="O3318" s="3" t="n">
        <v>201729.84</v>
      </c>
      <c r="P3318" s="3" t="n">
        <v>163386.68</v>
      </c>
      <c r="Q3318" s="3" t="n">
        <v>38343.16</v>
      </c>
      <c r="R3318" s="3" t="n">
        <v>0.1901</v>
      </c>
      <c r="S3318" s="3" t="n">
        <v>0.2461</v>
      </c>
      <c r="T3318" s="3" t="n">
        <v>-0.0116</v>
      </c>
    </row>
    <row r="3319" customFormat="false" ht="15" hidden="false" customHeight="true" outlineLevel="0" collapsed="false">
      <c r="A3319" s="3" t="s">
        <v>4444</v>
      </c>
      <c r="B3319" s="3" t="s">
        <v>1653</v>
      </c>
      <c r="C3319" s="3" t="s">
        <v>60</v>
      </c>
      <c r="D3319" s="3" t="s">
        <v>38</v>
      </c>
      <c r="E3319" s="3" t="s">
        <v>39</v>
      </c>
      <c r="F3319" s="3" t="s">
        <v>40</v>
      </c>
      <c r="G3319" s="3" t="s">
        <v>26</v>
      </c>
      <c r="H3319" s="3" t="s">
        <v>56</v>
      </c>
      <c r="I3319" s="3" t="s">
        <v>188</v>
      </c>
      <c r="J3319" s="3" t="n">
        <v>25</v>
      </c>
      <c r="K3319" s="3" t="n">
        <v>7045.25</v>
      </c>
      <c r="L3319" s="3" t="n">
        <v>176131.25</v>
      </c>
      <c r="M3319" s="3" t="n">
        <v>0.0778</v>
      </c>
      <c r="N3319" s="3" t="n">
        <v>13703.01</v>
      </c>
      <c r="O3319" s="3" t="n">
        <v>162428.24</v>
      </c>
      <c r="P3319" s="3" t="n">
        <v>105678.75</v>
      </c>
      <c r="Q3319" s="3" t="n">
        <v>56749.49</v>
      </c>
      <c r="R3319" s="3" t="n">
        <v>0.3494</v>
      </c>
      <c r="S3319" s="3" t="n">
        <v>0.083</v>
      </c>
      <c r="T3319" s="3" t="n">
        <v>-0.0052</v>
      </c>
    </row>
    <row r="3320" customFormat="false" ht="15" hidden="false" customHeight="true" outlineLevel="0" collapsed="false">
      <c r="A3320" s="3" t="s">
        <v>4445</v>
      </c>
      <c r="B3320" s="3" t="s">
        <v>1302</v>
      </c>
      <c r="C3320" s="3" t="s">
        <v>22</v>
      </c>
      <c r="D3320" s="3" t="s">
        <v>97</v>
      </c>
      <c r="E3320" s="3" t="s">
        <v>48</v>
      </c>
      <c r="F3320" s="3" t="s">
        <v>40</v>
      </c>
      <c r="G3320" s="3" t="s">
        <v>100</v>
      </c>
      <c r="H3320" s="3" t="s">
        <v>77</v>
      </c>
      <c r="I3320" s="3" t="s">
        <v>78</v>
      </c>
      <c r="J3320" s="3" t="n">
        <v>50</v>
      </c>
      <c r="K3320" s="3" t="n">
        <v>3850.62</v>
      </c>
      <c r="L3320" s="3" t="n">
        <v>192531</v>
      </c>
      <c r="M3320" s="3" t="n">
        <v>0.0406</v>
      </c>
      <c r="N3320" s="3" t="n">
        <v>7816.76</v>
      </c>
      <c r="O3320" s="3" t="n">
        <v>184714.24</v>
      </c>
      <c r="P3320" s="3" t="n">
        <v>130921.08</v>
      </c>
      <c r="Q3320" s="3" t="n">
        <v>53793.16</v>
      </c>
      <c r="R3320" s="3" t="n">
        <v>0.2912</v>
      </c>
      <c r="S3320" s="3" t="n">
        <v>0.0442</v>
      </c>
      <c r="T3320" s="3" t="n">
        <v>-0.0036</v>
      </c>
    </row>
    <row r="3321" customFormat="false" ht="15" hidden="false" customHeight="true" outlineLevel="0" collapsed="false">
      <c r="A3321" s="3" t="s">
        <v>4446</v>
      </c>
      <c r="B3321" s="3" t="s">
        <v>3816</v>
      </c>
      <c r="C3321" s="3" t="s">
        <v>120</v>
      </c>
      <c r="D3321" s="3" t="s">
        <v>69</v>
      </c>
      <c r="E3321" s="3" t="s">
        <v>39</v>
      </c>
      <c r="F3321" s="3" t="s">
        <v>70</v>
      </c>
      <c r="G3321" s="3" t="s">
        <v>76</v>
      </c>
      <c r="H3321" s="3" t="s">
        <v>42</v>
      </c>
      <c r="I3321" s="3" t="s">
        <v>43</v>
      </c>
      <c r="J3321" s="3" t="n">
        <v>49</v>
      </c>
      <c r="K3321" s="3" t="n">
        <v>826.33</v>
      </c>
      <c r="L3321" s="3" t="n">
        <v>40490.17</v>
      </c>
      <c r="M3321" s="3" t="n">
        <v>0.0335</v>
      </c>
      <c r="N3321" s="3" t="n">
        <v>1356.42</v>
      </c>
      <c r="O3321" s="3" t="n">
        <v>39133.75</v>
      </c>
      <c r="P3321" s="3" t="n">
        <v>22269.59</v>
      </c>
      <c r="Q3321" s="3" t="n">
        <v>16864.16</v>
      </c>
      <c r="R3321" s="3" t="n">
        <v>0.4309</v>
      </c>
      <c r="S3321" s="3" t="n">
        <v>0.0279</v>
      </c>
      <c r="T3321" s="3" t="n">
        <v>0.0056</v>
      </c>
    </row>
    <row r="3322" customFormat="false" ht="15" hidden="false" customHeight="true" outlineLevel="0" collapsed="false">
      <c r="A3322" s="3" t="s">
        <v>4447</v>
      </c>
      <c r="B3322" s="3" t="s">
        <v>1486</v>
      </c>
      <c r="C3322" s="3" t="s">
        <v>53</v>
      </c>
      <c r="D3322" s="3" t="s">
        <v>107</v>
      </c>
      <c r="E3322" s="3" t="s">
        <v>33</v>
      </c>
      <c r="F3322" s="3" t="s">
        <v>70</v>
      </c>
      <c r="G3322" s="3" t="s">
        <v>104</v>
      </c>
      <c r="H3322" s="3" t="s">
        <v>27</v>
      </c>
      <c r="I3322" s="3" t="s">
        <v>50</v>
      </c>
      <c r="J3322" s="3" t="n">
        <v>22</v>
      </c>
      <c r="K3322" s="3" t="n">
        <v>38360.87</v>
      </c>
      <c r="L3322" s="3" t="n">
        <v>843939.14</v>
      </c>
      <c r="M3322" s="3" t="n">
        <v>0.124</v>
      </c>
      <c r="N3322" s="3" t="n">
        <v>104648.45</v>
      </c>
      <c r="O3322" s="3" t="n">
        <v>739290.69</v>
      </c>
      <c r="P3322" s="3" t="n">
        <v>523242.27</v>
      </c>
      <c r="Q3322" s="3" t="n">
        <v>216048.42</v>
      </c>
      <c r="R3322" s="3" t="n">
        <v>0.2922</v>
      </c>
      <c r="S3322" s="3" t="n">
        <v>0.105</v>
      </c>
      <c r="T3322" s="3" t="n">
        <v>0.019</v>
      </c>
    </row>
    <row r="3323" customFormat="false" ht="15" hidden="false" customHeight="true" outlineLevel="0" collapsed="false">
      <c r="A3323" s="3" t="s">
        <v>4448</v>
      </c>
      <c r="B3323" s="3" t="s">
        <v>931</v>
      </c>
      <c r="C3323" s="3" t="s">
        <v>46</v>
      </c>
      <c r="D3323" s="3" t="s">
        <v>23</v>
      </c>
      <c r="E3323" s="3" t="s">
        <v>24</v>
      </c>
      <c r="F3323" s="3" t="s">
        <v>25</v>
      </c>
      <c r="G3323" s="3" t="s">
        <v>55</v>
      </c>
      <c r="H3323" s="3" t="s">
        <v>27</v>
      </c>
      <c r="I3323" s="3" t="s">
        <v>173</v>
      </c>
      <c r="J3323" s="3" t="n">
        <v>20</v>
      </c>
      <c r="K3323" s="3" t="n">
        <v>29392.53</v>
      </c>
      <c r="L3323" s="3" t="n">
        <v>587850.6</v>
      </c>
      <c r="M3323" s="3" t="n">
        <v>0.0887</v>
      </c>
      <c r="N3323" s="3" t="n">
        <v>52142.35</v>
      </c>
      <c r="O3323" s="3" t="n">
        <v>535708.25</v>
      </c>
      <c r="P3323" s="3" t="n">
        <v>364467.37</v>
      </c>
      <c r="Q3323" s="3" t="n">
        <v>171240.88</v>
      </c>
      <c r="R3323" s="3" t="n">
        <v>0.3197</v>
      </c>
      <c r="S3323" s="3" t="n">
        <v>0.082</v>
      </c>
      <c r="T3323" s="3" t="n">
        <v>0.0067</v>
      </c>
    </row>
    <row r="3324" customFormat="false" ht="15" hidden="false" customHeight="true" outlineLevel="0" collapsed="false">
      <c r="A3324" s="3" t="s">
        <v>4449</v>
      </c>
      <c r="B3324" s="3" t="s">
        <v>3296</v>
      </c>
      <c r="C3324" s="3" t="s">
        <v>68</v>
      </c>
      <c r="D3324" s="3" t="s">
        <v>38</v>
      </c>
      <c r="E3324" s="3" t="s">
        <v>39</v>
      </c>
      <c r="F3324" s="3" t="s">
        <v>40</v>
      </c>
      <c r="G3324" s="3" t="s">
        <v>63</v>
      </c>
      <c r="H3324" s="3" t="s">
        <v>42</v>
      </c>
      <c r="I3324" s="3" t="s">
        <v>43</v>
      </c>
      <c r="J3324" s="3" t="n">
        <v>19</v>
      </c>
      <c r="K3324" s="3" t="n">
        <v>2086.32</v>
      </c>
      <c r="L3324" s="3" t="n">
        <v>39640.08</v>
      </c>
      <c r="M3324" s="3" t="n">
        <v>0.063</v>
      </c>
      <c r="N3324" s="3" t="n">
        <v>2497.33</v>
      </c>
      <c r="O3324" s="3" t="n">
        <v>37142.75</v>
      </c>
      <c r="P3324" s="3" t="n">
        <v>21802.04</v>
      </c>
      <c r="Q3324" s="3" t="n">
        <v>15340.71</v>
      </c>
      <c r="R3324" s="3" t="n">
        <v>0.413</v>
      </c>
      <c r="S3324" s="3" t="n">
        <v>0.0591</v>
      </c>
      <c r="T3324" s="3" t="n">
        <v>0.0039</v>
      </c>
    </row>
    <row r="3325" customFormat="false" ht="15" hidden="false" customHeight="true" outlineLevel="0" collapsed="false">
      <c r="A3325" s="3" t="s">
        <v>4450</v>
      </c>
      <c r="B3325" s="3" t="s">
        <v>80</v>
      </c>
      <c r="C3325" s="3" t="s">
        <v>37</v>
      </c>
      <c r="D3325" s="3" t="s">
        <v>69</v>
      </c>
      <c r="E3325" s="3" t="s">
        <v>39</v>
      </c>
      <c r="F3325" s="3" t="s">
        <v>70</v>
      </c>
      <c r="G3325" s="3" t="s">
        <v>34</v>
      </c>
      <c r="H3325" s="3" t="s">
        <v>27</v>
      </c>
      <c r="I3325" s="3" t="s">
        <v>28</v>
      </c>
      <c r="J3325" s="3" t="n">
        <v>23</v>
      </c>
      <c r="K3325" s="3" t="n">
        <v>11346.13</v>
      </c>
      <c r="L3325" s="3" t="n">
        <v>260960.99</v>
      </c>
      <c r="M3325" s="3" t="n">
        <v>0.1037</v>
      </c>
      <c r="N3325" s="3" t="n">
        <v>27061.65</v>
      </c>
      <c r="O3325" s="3" t="n">
        <v>233899.34</v>
      </c>
      <c r="P3325" s="3" t="n">
        <v>161795.81</v>
      </c>
      <c r="Q3325" s="3" t="n">
        <v>72103.53</v>
      </c>
      <c r="R3325" s="3" t="n">
        <v>0.3083</v>
      </c>
      <c r="S3325" s="3" t="n">
        <v>0.0977</v>
      </c>
      <c r="T3325" s="3" t="n">
        <v>0.006</v>
      </c>
    </row>
    <row r="3326" customFormat="false" ht="15" hidden="false" customHeight="true" outlineLevel="0" collapsed="false">
      <c r="A3326" s="3" t="s">
        <v>4451</v>
      </c>
      <c r="B3326" s="3" t="s">
        <v>3578</v>
      </c>
      <c r="C3326" s="3" t="s">
        <v>126</v>
      </c>
      <c r="D3326" s="3" t="s">
        <v>75</v>
      </c>
      <c r="E3326" s="3" t="s">
        <v>39</v>
      </c>
      <c r="F3326" s="3" t="s">
        <v>25</v>
      </c>
      <c r="G3326" s="3" t="s">
        <v>71</v>
      </c>
      <c r="H3326" s="3" t="s">
        <v>77</v>
      </c>
      <c r="I3326" s="3" t="s">
        <v>78</v>
      </c>
      <c r="J3326" s="3" t="n">
        <v>39</v>
      </c>
      <c r="K3326" s="3" t="n">
        <v>5888.24</v>
      </c>
      <c r="L3326" s="3" t="n">
        <v>229641.36</v>
      </c>
      <c r="M3326" s="3" t="n">
        <v>0.0878</v>
      </c>
      <c r="N3326" s="3" t="n">
        <v>20162.51</v>
      </c>
      <c r="O3326" s="3" t="n">
        <v>209478.85</v>
      </c>
      <c r="P3326" s="3" t="n">
        <v>156156.12</v>
      </c>
      <c r="Q3326" s="3" t="n">
        <v>53322.73</v>
      </c>
      <c r="R3326" s="3" t="n">
        <v>0.2545</v>
      </c>
      <c r="S3326" s="3" t="n">
        <v>0.071</v>
      </c>
      <c r="T3326" s="3" t="n">
        <v>0.0168</v>
      </c>
    </row>
    <row r="3327" customFormat="false" ht="15" hidden="false" customHeight="true" outlineLevel="0" collapsed="false">
      <c r="A3327" s="3" t="s">
        <v>4452</v>
      </c>
      <c r="B3327" s="3" t="s">
        <v>1126</v>
      </c>
      <c r="C3327" s="3" t="s">
        <v>68</v>
      </c>
      <c r="D3327" s="3" t="s">
        <v>69</v>
      </c>
      <c r="E3327" s="3" t="s">
        <v>39</v>
      </c>
      <c r="F3327" s="3" t="s">
        <v>70</v>
      </c>
      <c r="G3327" s="3" t="s">
        <v>76</v>
      </c>
      <c r="H3327" s="3" t="s">
        <v>77</v>
      </c>
      <c r="I3327" s="3" t="s">
        <v>78</v>
      </c>
      <c r="J3327" s="3" t="n">
        <v>38</v>
      </c>
      <c r="K3327" s="3" t="n">
        <v>4167.54</v>
      </c>
      <c r="L3327" s="3" t="n">
        <v>158366.52</v>
      </c>
      <c r="M3327" s="3" t="n">
        <v>0.0607</v>
      </c>
      <c r="N3327" s="3" t="n">
        <v>9612.85</v>
      </c>
      <c r="O3327" s="3" t="n">
        <v>148753.67</v>
      </c>
      <c r="P3327" s="3" t="n">
        <v>107689.23</v>
      </c>
      <c r="Q3327" s="3" t="n">
        <v>41064.44</v>
      </c>
      <c r="R3327" s="3" t="n">
        <v>0.2761</v>
      </c>
      <c r="S3327" s="3" t="n">
        <v>0.0567</v>
      </c>
      <c r="T3327" s="3" t="n">
        <v>0.004</v>
      </c>
    </row>
    <row r="3328" customFormat="false" ht="15" hidden="false" customHeight="true" outlineLevel="0" collapsed="false">
      <c r="A3328" s="3" t="s">
        <v>4453</v>
      </c>
      <c r="B3328" s="3" t="s">
        <v>258</v>
      </c>
      <c r="C3328" s="3" t="s">
        <v>126</v>
      </c>
      <c r="D3328" s="3" t="s">
        <v>38</v>
      </c>
      <c r="E3328" s="3" t="s">
        <v>39</v>
      </c>
      <c r="F3328" s="3" t="s">
        <v>40</v>
      </c>
      <c r="G3328" s="3" t="s">
        <v>55</v>
      </c>
      <c r="H3328" s="3" t="s">
        <v>64</v>
      </c>
      <c r="I3328" s="3" t="s">
        <v>108</v>
      </c>
      <c r="J3328" s="3" t="n">
        <v>15</v>
      </c>
      <c r="K3328" s="3" t="n">
        <v>3958.88</v>
      </c>
      <c r="L3328" s="3" t="n">
        <v>59383.2</v>
      </c>
      <c r="M3328" s="3" t="n">
        <v>0.0497</v>
      </c>
      <c r="N3328" s="3" t="n">
        <v>2951.35</v>
      </c>
      <c r="O3328" s="3" t="n">
        <v>56431.85</v>
      </c>
      <c r="P3328" s="3" t="n">
        <v>34442.26</v>
      </c>
      <c r="Q3328" s="3" t="n">
        <v>21989.59</v>
      </c>
      <c r="R3328" s="3" t="n">
        <v>0.3897</v>
      </c>
      <c r="S3328" s="3" t="n">
        <v>0.0411</v>
      </c>
      <c r="T3328" s="3" t="n">
        <v>0.0086</v>
      </c>
    </row>
    <row r="3329" customFormat="false" ht="15" hidden="false" customHeight="true" outlineLevel="0" collapsed="false">
      <c r="A3329" s="3" t="s">
        <v>4454</v>
      </c>
      <c r="B3329" s="3" t="s">
        <v>225</v>
      </c>
      <c r="C3329" s="3" t="s">
        <v>93</v>
      </c>
      <c r="D3329" s="3" t="s">
        <v>23</v>
      </c>
      <c r="E3329" s="3" t="s">
        <v>24</v>
      </c>
      <c r="F3329" s="3" t="s">
        <v>25</v>
      </c>
      <c r="G3329" s="3" t="s">
        <v>116</v>
      </c>
      <c r="H3329" s="3" t="s">
        <v>77</v>
      </c>
      <c r="I3329" s="3" t="s">
        <v>78</v>
      </c>
      <c r="J3329" s="3" t="n">
        <v>25</v>
      </c>
      <c r="K3329" s="3" t="n">
        <v>1220.67</v>
      </c>
      <c r="L3329" s="3" t="n">
        <v>30516.75</v>
      </c>
      <c r="M3329" s="3" t="n">
        <v>0.1346</v>
      </c>
      <c r="N3329" s="3" t="n">
        <v>4107.55</v>
      </c>
      <c r="O3329" s="3" t="n">
        <v>26409.2</v>
      </c>
      <c r="P3329" s="3" t="n">
        <v>20751.39</v>
      </c>
      <c r="Q3329" s="3" t="n">
        <v>5657.81</v>
      </c>
      <c r="R3329" s="3" t="n">
        <v>0.2142</v>
      </c>
      <c r="S3329" s="3" t="n">
        <v>0.1219</v>
      </c>
      <c r="T3329" s="3" t="n">
        <v>0.0127</v>
      </c>
    </row>
    <row r="3330" customFormat="false" ht="15" hidden="false" customHeight="true" outlineLevel="0" collapsed="false">
      <c r="A3330" s="3" t="s">
        <v>4455</v>
      </c>
      <c r="B3330" s="3" t="s">
        <v>511</v>
      </c>
      <c r="C3330" s="3" t="s">
        <v>156</v>
      </c>
      <c r="D3330" s="3" t="s">
        <v>61</v>
      </c>
      <c r="E3330" s="3" t="s">
        <v>33</v>
      </c>
      <c r="F3330" s="3" t="s">
        <v>62</v>
      </c>
      <c r="G3330" s="3" t="s">
        <v>49</v>
      </c>
      <c r="H3330" s="3" t="s">
        <v>56</v>
      </c>
      <c r="I3330" s="3" t="s">
        <v>188</v>
      </c>
      <c r="J3330" s="3" t="n">
        <v>26</v>
      </c>
      <c r="K3330" s="3" t="n">
        <v>9822.57</v>
      </c>
      <c r="L3330" s="3" t="n">
        <v>255386.82</v>
      </c>
      <c r="M3330" s="3" t="n">
        <v>0.0421</v>
      </c>
      <c r="N3330" s="3" t="n">
        <v>10751.79</v>
      </c>
      <c r="O3330" s="3" t="n">
        <v>244635.03</v>
      </c>
      <c r="P3330" s="3" t="n">
        <v>153232.09</v>
      </c>
      <c r="Q3330" s="3" t="n">
        <v>91402.94</v>
      </c>
      <c r="R3330" s="3" t="n">
        <v>0.3736</v>
      </c>
      <c r="S3330" s="3" t="n">
        <v>0.0347</v>
      </c>
      <c r="T3330" s="3" t="n">
        <v>0.0074</v>
      </c>
    </row>
    <row r="3331" customFormat="false" ht="15" hidden="false" customHeight="true" outlineLevel="0" collapsed="false">
      <c r="A3331" s="3" t="s">
        <v>4456</v>
      </c>
      <c r="B3331" s="3" t="s">
        <v>396</v>
      </c>
      <c r="C3331" s="3" t="s">
        <v>60</v>
      </c>
      <c r="D3331" s="3" t="s">
        <v>107</v>
      </c>
      <c r="E3331" s="3" t="s">
        <v>33</v>
      </c>
      <c r="F3331" s="3" t="s">
        <v>70</v>
      </c>
      <c r="G3331" s="3" t="s">
        <v>71</v>
      </c>
      <c r="H3331" s="3" t="s">
        <v>56</v>
      </c>
      <c r="I3331" s="3" t="s">
        <v>57</v>
      </c>
      <c r="J3331" s="3" t="n">
        <v>27</v>
      </c>
      <c r="K3331" s="3" t="n">
        <v>7316.6</v>
      </c>
      <c r="L3331" s="3" t="n">
        <v>197548.2</v>
      </c>
      <c r="M3331" s="3" t="n">
        <v>0.0693</v>
      </c>
      <c r="N3331" s="3" t="n">
        <v>13690.09</v>
      </c>
      <c r="O3331" s="3" t="n">
        <v>183858.11</v>
      </c>
      <c r="P3331" s="3" t="n">
        <v>118528.92</v>
      </c>
      <c r="Q3331" s="3" t="n">
        <v>65329.19</v>
      </c>
      <c r="R3331" s="3" t="n">
        <v>0.3553</v>
      </c>
      <c r="S3331" s="3" t="n">
        <v>0.0622</v>
      </c>
      <c r="T3331" s="3" t="n">
        <v>0.0071</v>
      </c>
    </row>
    <row r="3332" customFormat="false" ht="15" hidden="false" customHeight="true" outlineLevel="0" collapsed="false">
      <c r="A3332" s="3" t="s">
        <v>4457</v>
      </c>
      <c r="B3332" s="3" t="s">
        <v>3165</v>
      </c>
      <c r="C3332" s="3" t="s">
        <v>46</v>
      </c>
      <c r="D3332" s="3" t="s">
        <v>47</v>
      </c>
      <c r="E3332" s="3" t="s">
        <v>48</v>
      </c>
      <c r="F3332" s="3" t="s">
        <v>25</v>
      </c>
      <c r="G3332" s="3" t="s">
        <v>76</v>
      </c>
      <c r="H3332" s="3" t="s">
        <v>27</v>
      </c>
      <c r="I3332" s="3" t="s">
        <v>173</v>
      </c>
      <c r="J3332" s="3" t="n">
        <v>18</v>
      </c>
      <c r="K3332" s="3" t="n">
        <v>8682.19</v>
      </c>
      <c r="L3332" s="3" t="n">
        <v>156279.42</v>
      </c>
      <c r="M3332" s="3" t="n">
        <v>0.1681</v>
      </c>
      <c r="N3332" s="3" t="n">
        <v>26270.57</v>
      </c>
      <c r="O3332" s="3" t="n">
        <v>130008.85</v>
      </c>
      <c r="P3332" s="3" t="n">
        <v>96893.24</v>
      </c>
      <c r="Q3332" s="3" t="n">
        <v>33115.61</v>
      </c>
      <c r="R3332" s="3" t="n">
        <v>0.2547</v>
      </c>
      <c r="S3332" s="3" t="n">
        <v>0.1579</v>
      </c>
      <c r="T3332" s="3" t="n">
        <v>0.0102</v>
      </c>
    </row>
    <row r="3333" customFormat="false" ht="15" hidden="false" customHeight="true" outlineLevel="0" collapsed="false">
      <c r="A3333" s="3" t="s">
        <v>4458</v>
      </c>
      <c r="B3333" s="3" t="s">
        <v>2104</v>
      </c>
      <c r="C3333" s="3" t="s">
        <v>68</v>
      </c>
      <c r="D3333" s="3" t="s">
        <v>54</v>
      </c>
      <c r="E3333" s="3" t="s">
        <v>24</v>
      </c>
      <c r="F3333" s="3" t="s">
        <v>40</v>
      </c>
      <c r="G3333" s="3" t="s">
        <v>71</v>
      </c>
      <c r="H3333" s="3" t="s">
        <v>56</v>
      </c>
      <c r="I3333" s="3" t="s">
        <v>57</v>
      </c>
      <c r="J3333" s="3" t="n">
        <v>34</v>
      </c>
      <c r="K3333" s="3" t="n">
        <v>12178.39</v>
      </c>
      <c r="L3333" s="3" t="n">
        <v>414065.26</v>
      </c>
      <c r="M3333" s="3" t="n">
        <v>0.0595</v>
      </c>
      <c r="N3333" s="3" t="n">
        <v>24636.88</v>
      </c>
      <c r="O3333" s="3" t="n">
        <v>389428.38</v>
      </c>
      <c r="P3333" s="3" t="n">
        <v>248439.16</v>
      </c>
      <c r="Q3333" s="3" t="n">
        <v>140989.22</v>
      </c>
      <c r="R3333" s="3" t="n">
        <v>0.362</v>
      </c>
      <c r="S3333" s="3" t="n">
        <v>0.0521</v>
      </c>
      <c r="T3333" s="3" t="n">
        <v>0.0074</v>
      </c>
    </row>
    <row r="3334" customFormat="false" ht="15" hidden="false" customHeight="true" outlineLevel="0" collapsed="false">
      <c r="A3334" s="3" t="s">
        <v>4459</v>
      </c>
      <c r="B3334" s="3" t="s">
        <v>4460</v>
      </c>
      <c r="C3334" s="3" t="s">
        <v>22</v>
      </c>
      <c r="D3334" s="3" t="s">
        <v>61</v>
      </c>
      <c r="E3334" s="3" t="s">
        <v>33</v>
      </c>
      <c r="F3334" s="3" t="s">
        <v>62</v>
      </c>
      <c r="G3334" s="3" t="s">
        <v>71</v>
      </c>
      <c r="H3334" s="3" t="s">
        <v>77</v>
      </c>
      <c r="I3334" s="3" t="s">
        <v>131</v>
      </c>
      <c r="J3334" s="3" t="n">
        <v>7</v>
      </c>
      <c r="K3334" s="3" t="n">
        <v>2382.99</v>
      </c>
      <c r="L3334" s="3" t="n">
        <v>16680.93</v>
      </c>
      <c r="M3334" s="3" t="n">
        <v>0.0313</v>
      </c>
      <c r="N3334" s="3" t="n">
        <v>522.11</v>
      </c>
      <c r="O3334" s="3" t="n">
        <v>16158.82</v>
      </c>
      <c r="P3334" s="3" t="n">
        <v>11343.03</v>
      </c>
      <c r="Q3334" s="3" t="n">
        <v>4815.79</v>
      </c>
      <c r="R3334" s="3" t="n">
        <v>0.298</v>
      </c>
      <c r="S3334" s="3" t="n">
        <v>0.0337</v>
      </c>
      <c r="T3334" s="3" t="n">
        <v>-0.0024</v>
      </c>
    </row>
    <row r="3335" customFormat="false" ht="15" hidden="false" customHeight="true" outlineLevel="0" collapsed="false">
      <c r="A3335" s="3" t="s">
        <v>4461</v>
      </c>
      <c r="B3335" s="3" t="s">
        <v>1231</v>
      </c>
      <c r="C3335" s="3" t="s">
        <v>37</v>
      </c>
      <c r="D3335" s="3" t="s">
        <v>83</v>
      </c>
      <c r="E3335" s="3" t="s">
        <v>48</v>
      </c>
      <c r="F3335" s="3" t="s">
        <v>62</v>
      </c>
      <c r="G3335" s="3" t="s">
        <v>116</v>
      </c>
      <c r="H3335" s="3" t="s">
        <v>77</v>
      </c>
      <c r="I3335" s="3" t="s">
        <v>131</v>
      </c>
      <c r="J3335" s="3" t="n">
        <v>49</v>
      </c>
      <c r="K3335" s="3" t="n">
        <v>3333.68</v>
      </c>
      <c r="L3335" s="3" t="n">
        <v>163350.32</v>
      </c>
      <c r="M3335" s="3" t="n">
        <v>0.1192</v>
      </c>
      <c r="N3335" s="3" t="n">
        <v>19471.36</v>
      </c>
      <c r="O3335" s="3" t="n">
        <v>143878.96</v>
      </c>
      <c r="P3335" s="3" t="n">
        <v>111078.22</v>
      </c>
      <c r="Q3335" s="3" t="n">
        <v>32800.74</v>
      </c>
      <c r="R3335" s="3" t="n">
        <v>0.228</v>
      </c>
      <c r="S3335" s="3" t="n">
        <v>0.1159</v>
      </c>
      <c r="T3335" s="3" t="n">
        <v>0.0033</v>
      </c>
    </row>
    <row r="3336" customFormat="false" ht="15" hidden="false" customHeight="true" outlineLevel="0" collapsed="false">
      <c r="A3336" s="3" t="s">
        <v>4462</v>
      </c>
      <c r="B3336" s="3" t="s">
        <v>449</v>
      </c>
      <c r="C3336" s="3" t="s">
        <v>22</v>
      </c>
      <c r="D3336" s="3" t="s">
        <v>54</v>
      </c>
      <c r="E3336" s="3" t="s">
        <v>24</v>
      </c>
      <c r="F3336" s="3" t="s">
        <v>40</v>
      </c>
      <c r="G3336" s="3" t="s">
        <v>34</v>
      </c>
      <c r="H3336" s="3" t="s">
        <v>56</v>
      </c>
      <c r="I3336" s="3" t="s">
        <v>188</v>
      </c>
      <c r="J3336" s="3" t="n">
        <v>3</v>
      </c>
      <c r="K3336" s="3" t="n">
        <v>15053.97</v>
      </c>
      <c r="L3336" s="3" t="n">
        <v>45161.91</v>
      </c>
      <c r="M3336" s="3" t="n">
        <v>0.0763</v>
      </c>
      <c r="N3336" s="3" t="n">
        <v>3445.85</v>
      </c>
      <c r="O3336" s="3" t="n">
        <v>41716.06</v>
      </c>
      <c r="P3336" s="3" t="n">
        <v>27097.15</v>
      </c>
      <c r="Q3336" s="3" t="n">
        <v>14618.91</v>
      </c>
      <c r="R3336" s="3" t="n">
        <v>0.3504</v>
      </c>
      <c r="S3336" s="3" t="n">
        <v>0.0712</v>
      </c>
      <c r="T3336" s="3" t="n">
        <v>0.0051</v>
      </c>
    </row>
    <row r="3337" customFormat="false" ht="15" hidden="false" customHeight="true" outlineLevel="0" collapsed="false">
      <c r="A3337" s="3" t="s">
        <v>4463</v>
      </c>
      <c r="B3337" s="3" t="s">
        <v>2426</v>
      </c>
      <c r="C3337" s="3" t="s">
        <v>126</v>
      </c>
      <c r="D3337" s="3" t="s">
        <v>38</v>
      </c>
      <c r="E3337" s="3" t="s">
        <v>39</v>
      </c>
      <c r="F3337" s="3" t="s">
        <v>40</v>
      </c>
      <c r="G3337" s="3" t="s">
        <v>104</v>
      </c>
      <c r="H3337" s="3" t="s">
        <v>77</v>
      </c>
      <c r="I3337" s="3" t="s">
        <v>131</v>
      </c>
      <c r="J3337" s="3" t="n">
        <v>2</v>
      </c>
      <c r="K3337" s="3" t="n">
        <v>2534.55</v>
      </c>
      <c r="L3337" s="3" t="n">
        <v>5069.1</v>
      </c>
      <c r="M3337" s="3" t="n">
        <v>0.0622</v>
      </c>
      <c r="N3337" s="3" t="n">
        <v>315.3</v>
      </c>
      <c r="O3337" s="3" t="n">
        <v>4753.8</v>
      </c>
      <c r="P3337" s="3" t="n">
        <v>3446.99</v>
      </c>
      <c r="Q3337" s="3" t="n">
        <v>1306.81</v>
      </c>
      <c r="R3337" s="3" t="n">
        <v>0.2749</v>
      </c>
      <c r="S3337" s="3" t="n">
        <v>0.0553</v>
      </c>
      <c r="T3337" s="3" t="n">
        <v>0.0069</v>
      </c>
    </row>
    <row r="3338" customFormat="false" ht="15" hidden="false" customHeight="true" outlineLevel="0" collapsed="false">
      <c r="A3338" s="3" t="s">
        <v>4464</v>
      </c>
      <c r="B3338" s="3" t="s">
        <v>452</v>
      </c>
      <c r="C3338" s="3" t="s">
        <v>68</v>
      </c>
      <c r="D3338" s="3" t="s">
        <v>103</v>
      </c>
      <c r="E3338" s="3" t="s">
        <v>24</v>
      </c>
      <c r="F3338" s="3" t="s">
        <v>62</v>
      </c>
      <c r="G3338" s="3" t="s">
        <v>63</v>
      </c>
      <c r="H3338" s="3" t="s">
        <v>42</v>
      </c>
      <c r="I3338" s="3" t="s">
        <v>72</v>
      </c>
      <c r="J3338" s="3" t="n">
        <v>15</v>
      </c>
      <c r="K3338" s="3" t="n">
        <v>2067.09</v>
      </c>
      <c r="L3338" s="3" t="n">
        <v>31006.35</v>
      </c>
      <c r="M3338" s="3" t="n">
        <v>0.0416</v>
      </c>
      <c r="N3338" s="3" t="n">
        <v>1289.86</v>
      </c>
      <c r="O3338" s="3" t="n">
        <v>29716.49</v>
      </c>
      <c r="P3338" s="3" t="n">
        <v>17053.49</v>
      </c>
      <c r="Q3338" s="3" t="n">
        <v>12663</v>
      </c>
      <c r="R3338" s="3" t="n">
        <v>0.4261</v>
      </c>
      <c r="S3338" s="3" t="n">
        <v>0.0371</v>
      </c>
      <c r="T3338" s="3" t="n">
        <v>0.0045</v>
      </c>
    </row>
    <row r="3339" customFormat="false" ht="15" hidden="false" customHeight="true" outlineLevel="0" collapsed="false">
      <c r="A3339" s="3" t="s">
        <v>4465</v>
      </c>
      <c r="B3339" s="3" t="s">
        <v>1717</v>
      </c>
      <c r="C3339" s="3" t="s">
        <v>120</v>
      </c>
      <c r="D3339" s="3" t="s">
        <v>38</v>
      </c>
      <c r="E3339" s="3" t="s">
        <v>39</v>
      </c>
      <c r="F3339" s="3" t="s">
        <v>40</v>
      </c>
      <c r="G3339" s="3" t="s">
        <v>49</v>
      </c>
      <c r="H3339" s="3" t="s">
        <v>77</v>
      </c>
      <c r="I3339" s="3" t="s">
        <v>85</v>
      </c>
      <c r="J3339" s="3" t="n">
        <v>11</v>
      </c>
      <c r="K3339" s="3" t="n">
        <v>2995.32</v>
      </c>
      <c r="L3339" s="3" t="n">
        <v>32948.52</v>
      </c>
      <c r="M3339" s="3" t="n">
        <v>0.0414</v>
      </c>
      <c r="N3339" s="3" t="n">
        <v>1364.07</v>
      </c>
      <c r="O3339" s="3" t="n">
        <v>31584.45</v>
      </c>
      <c r="P3339" s="3" t="n">
        <v>22404.99</v>
      </c>
      <c r="Q3339" s="3" t="n">
        <v>9179.46</v>
      </c>
      <c r="R3339" s="3" t="n">
        <v>0.2906</v>
      </c>
      <c r="S3339" s="3" t="n">
        <v>0.0391</v>
      </c>
      <c r="T3339" s="3" t="n">
        <v>0.0023</v>
      </c>
    </row>
    <row r="3340" customFormat="false" ht="15" hidden="false" customHeight="true" outlineLevel="0" collapsed="false">
      <c r="A3340" s="3" t="s">
        <v>4466</v>
      </c>
      <c r="B3340" s="3" t="s">
        <v>2014</v>
      </c>
      <c r="C3340" s="3" t="s">
        <v>22</v>
      </c>
      <c r="D3340" s="3" t="s">
        <v>23</v>
      </c>
      <c r="E3340" s="3" t="s">
        <v>24</v>
      </c>
      <c r="F3340" s="3" t="s">
        <v>25</v>
      </c>
      <c r="G3340" s="3" t="s">
        <v>26</v>
      </c>
      <c r="H3340" s="3" t="s">
        <v>27</v>
      </c>
      <c r="I3340" s="3" t="s">
        <v>117</v>
      </c>
      <c r="J3340" s="3" t="n">
        <v>16</v>
      </c>
      <c r="K3340" s="3" t="n">
        <v>15492.43</v>
      </c>
      <c r="L3340" s="3" t="n">
        <v>247878.88</v>
      </c>
      <c r="M3340" s="3" t="n">
        <v>0.1855</v>
      </c>
      <c r="N3340" s="3" t="n">
        <v>45981.53</v>
      </c>
      <c r="O3340" s="3" t="n">
        <v>201897.35</v>
      </c>
      <c r="P3340" s="3" t="n">
        <v>153684.91</v>
      </c>
      <c r="Q3340" s="3" t="n">
        <v>48212.44</v>
      </c>
      <c r="R3340" s="3" t="n">
        <v>0.2388</v>
      </c>
      <c r="S3340" s="3" t="n">
        <v>0.1657</v>
      </c>
      <c r="T3340" s="3" t="n">
        <v>0.0198</v>
      </c>
    </row>
    <row r="3341" customFormat="false" ht="15" hidden="false" customHeight="true" outlineLevel="0" collapsed="false">
      <c r="A3341" s="3" t="s">
        <v>4467</v>
      </c>
      <c r="B3341" s="3" t="s">
        <v>4468</v>
      </c>
      <c r="C3341" s="3" t="s">
        <v>46</v>
      </c>
      <c r="D3341" s="3" t="s">
        <v>97</v>
      </c>
      <c r="E3341" s="3" t="s">
        <v>48</v>
      </c>
      <c r="F3341" s="3" t="s">
        <v>40</v>
      </c>
      <c r="G3341" s="3" t="s">
        <v>41</v>
      </c>
      <c r="H3341" s="3" t="s">
        <v>56</v>
      </c>
      <c r="I3341" s="3" t="s">
        <v>121</v>
      </c>
      <c r="J3341" s="3" t="n">
        <v>26</v>
      </c>
      <c r="K3341" s="3" t="n">
        <v>8155.63</v>
      </c>
      <c r="L3341" s="3" t="n">
        <v>212046.38</v>
      </c>
      <c r="M3341" s="3" t="n">
        <v>0.1076</v>
      </c>
      <c r="N3341" s="3" t="n">
        <v>22816.19</v>
      </c>
      <c r="O3341" s="3" t="n">
        <v>189230.19</v>
      </c>
      <c r="P3341" s="3" t="n">
        <v>127227.83</v>
      </c>
      <c r="Q3341" s="3" t="n">
        <v>62002.36</v>
      </c>
      <c r="R3341" s="3" t="n">
        <v>0.3277</v>
      </c>
      <c r="S3341" s="3" t="n">
        <v>0.1092</v>
      </c>
      <c r="T3341" s="3" t="n">
        <v>-0.0016</v>
      </c>
    </row>
    <row r="3342" customFormat="false" ht="15" hidden="false" customHeight="true" outlineLevel="0" collapsed="false">
      <c r="A3342" s="3" t="s">
        <v>4469</v>
      </c>
      <c r="B3342" s="3" t="s">
        <v>862</v>
      </c>
      <c r="C3342" s="3" t="s">
        <v>93</v>
      </c>
      <c r="D3342" s="3" t="s">
        <v>97</v>
      </c>
      <c r="E3342" s="3" t="s">
        <v>48</v>
      </c>
      <c r="F3342" s="3" t="s">
        <v>40</v>
      </c>
      <c r="G3342" s="3" t="s">
        <v>71</v>
      </c>
      <c r="H3342" s="3" t="s">
        <v>56</v>
      </c>
      <c r="I3342" s="3" t="s">
        <v>57</v>
      </c>
      <c r="J3342" s="3" t="n">
        <v>16</v>
      </c>
      <c r="K3342" s="3" t="n">
        <v>15303.55</v>
      </c>
      <c r="L3342" s="3" t="n">
        <v>244856.8</v>
      </c>
      <c r="M3342" s="3" t="n">
        <v>0.0352</v>
      </c>
      <c r="N3342" s="3" t="n">
        <v>8618.96</v>
      </c>
      <c r="O3342" s="3" t="n">
        <v>236237.84</v>
      </c>
      <c r="P3342" s="3" t="n">
        <v>146914.08</v>
      </c>
      <c r="Q3342" s="3" t="n">
        <v>89323.76</v>
      </c>
      <c r="R3342" s="3" t="n">
        <v>0.3781</v>
      </c>
      <c r="S3342" s="3" t="n">
        <v>0.0304</v>
      </c>
      <c r="T3342" s="3" t="n">
        <v>0.0048</v>
      </c>
    </row>
    <row r="3343" customFormat="false" ht="15" hidden="false" customHeight="true" outlineLevel="0" collapsed="false">
      <c r="A3343" s="3" t="s">
        <v>4470</v>
      </c>
      <c r="B3343" s="3" t="s">
        <v>3421</v>
      </c>
      <c r="C3343" s="3" t="s">
        <v>60</v>
      </c>
      <c r="D3343" s="3" t="s">
        <v>38</v>
      </c>
      <c r="E3343" s="3" t="s">
        <v>39</v>
      </c>
      <c r="F3343" s="3" t="s">
        <v>40</v>
      </c>
      <c r="G3343" s="3" t="s">
        <v>26</v>
      </c>
      <c r="H3343" s="3" t="s">
        <v>42</v>
      </c>
      <c r="I3343" s="3" t="s">
        <v>134</v>
      </c>
      <c r="J3343" s="3" t="n">
        <v>18</v>
      </c>
      <c r="K3343" s="3" t="n">
        <v>3695.64</v>
      </c>
      <c r="L3343" s="3" t="n">
        <v>66521.52</v>
      </c>
      <c r="M3343" s="3" t="n">
        <v>0.0553</v>
      </c>
      <c r="N3343" s="3" t="n">
        <v>3678.64</v>
      </c>
      <c r="O3343" s="3" t="n">
        <v>62842.88</v>
      </c>
      <c r="P3343" s="3" t="n">
        <v>36586.84</v>
      </c>
      <c r="Q3343" s="3" t="n">
        <v>26256.04</v>
      </c>
      <c r="R3343" s="3" t="n">
        <v>0.4178</v>
      </c>
      <c r="S3343" s="3" t="n">
        <v>0.0597</v>
      </c>
      <c r="T3343" s="3" t="n">
        <v>-0.0044</v>
      </c>
    </row>
    <row r="3344" customFormat="false" ht="15" hidden="false" customHeight="true" outlineLevel="0" collapsed="false">
      <c r="A3344" s="3" t="s">
        <v>4471</v>
      </c>
      <c r="B3344" s="3" t="s">
        <v>981</v>
      </c>
      <c r="C3344" s="3" t="s">
        <v>53</v>
      </c>
      <c r="D3344" s="3" t="s">
        <v>69</v>
      </c>
      <c r="E3344" s="3" t="s">
        <v>39</v>
      </c>
      <c r="F3344" s="3" t="s">
        <v>70</v>
      </c>
      <c r="G3344" s="3" t="s">
        <v>100</v>
      </c>
      <c r="H3344" s="3" t="s">
        <v>56</v>
      </c>
      <c r="I3344" s="3" t="s">
        <v>57</v>
      </c>
      <c r="J3344" s="3" t="n">
        <v>22</v>
      </c>
      <c r="K3344" s="3" t="n">
        <v>8017.85</v>
      </c>
      <c r="L3344" s="3" t="n">
        <v>176392.7</v>
      </c>
      <c r="M3344" s="3" t="n">
        <v>0.0785</v>
      </c>
      <c r="N3344" s="3" t="n">
        <v>13846.83</v>
      </c>
      <c r="O3344" s="3" t="n">
        <v>162545.87</v>
      </c>
      <c r="P3344" s="3" t="n">
        <v>105835.62</v>
      </c>
      <c r="Q3344" s="3" t="n">
        <v>56710.25</v>
      </c>
      <c r="R3344" s="3" t="n">
        <v>0.3489</v>
      </c>
      <c r="S3344" s="3" t="n">
        <v>0.0825</v>
      </c>
      <c r="T3344" s="3" t="n">
        <v>-0.004</v>
      </c>
    </row>
    <row r="3345" customFormat="false" ht="15" hidden="false" customHeight="true" outlineLevel="0" collapsed="false">
      <c r="A3345" s="3" t="s">
        <v>4472</v>
      </c>
      <c r="B3345" s="3" t="s">
        <v>2361</v>
      </c>
      <c r="C3345" s="3" t="s">
        <v>53</v>
      </c>
      <c r="D3345" s="3" t="s">
        <v>75</v>
      </c>
      <c r="E3345" s="3" t="s">
        <v>39</v>
      </c>
      <c r="F3345" s="3" t="s">
        <v>25</v>
      </c>
      <c r="G3345" s="3" t="s">
        <v>63</v>
      </c>
      <c r="H3345" s="3" t="s">
        <v>77</v>
      </c>
      <c r="I3345" s="3" t="s">
        <v>85</v>
      </c>
      <c r="J3345" s="3" t="n">
        <v>43</v>
      </c>
      <c r="K3345" s="3" t="n">
        <v>3856.36</v>
      </c>
      <c r="L3345" s="3" t="n">
        <v>165823.48</v>
      </c>
      <c r="M3345" s="3" t="n">
        <v>0.1307</v>
      </c>
      <c r="N3345" s="3" t="n">
        <v>21673.13</v>
      </c>
      <c r="O3345" s="3" t="n">
        <v>144150.35</v>
      </c>
      <c r="P3345" s="3" t="n">
        <v>112759.97</v>
      </c>
      <c r="Q3345" s="3" t="n">
        <v>31390.38</v>
      </c>
      <c r="R3345" s="3" t="n">
        <v>0.2178</v>
      </c>
      <c r="S3345" s="3" t="n">
        <v>0.1153</v>
      </c>
      <c r="T3345" s="3" t="n">
        <v>0.0154</v>
      </c>
    </row>
    <row r="3346" customFormat="false" ht="15" hidden="false" customHeight="true" outlineLevel="0" collapsed="false">
      <c r="A3346" s="3" t="s">
        <v>4473</v>
      </c>
      <c r="B3346" s="3" t="s">
        <v>477</v>
      </c>
      <c r="C3346" s="3" t="s">
        <v>46</v>
      </c>
      <c r="D3346" s="3" t="s">
        <v>69</v>
      </c>
      <c r="E3346" s="3" t="s">
        <v>39</v>
      </c>
      <c r="F3346" s="3" t="s">
        <v>70</v>
      </c>
      <c r="G3346" s="3" t="s">
        <v>55</v>
      </c>
      <c r="H3346" s="3" t="s">
        <v>27</v>
      </c>
      <c r="I3346" s="3" t="s">
        <v>173</v>
      </c>
      <c r="J3346" s="3" t="n">
        <v>3</v>
      </c>
      <c r="K3346" s="3" t="n">
        <v>20496.54</v>
      </c>
      <c r="L3346" s="3" t="n">
        <v>61489.62</v>
      </c>
      <c r="M3346" s="3" t="n">
        <v>0.0515</v>
      </c>
      <c r="N3346" s="3" t="n">
        <v>3166.72</v>
      </c>
      <c r="O3346" s="3" t="n">
        <v>58322.9</v>
      </c>
      <c r="P3346" s="3" t="n">
        <v>38123.56</v>
      </c>
      <c r="Q3346" s="3" t="n">
        <v>20199.34</v>
      </c>
      <c r="R3346" s="3" t="n">
        <v>0.3463</v>
      </c>
      <c r="S3346" s="3" t="n">
        <v>0.0468</v>
      </c>
      <c r="T3346" s="3" t="n">
        <v>0.0047</v>
      </c>
    </row>
    <row r="3347" customFormat="false" ht="15" hidden="false" customHeight="true" outlineLevel="0" collapsed="false">
      <c r="A3347" s="3" t="s">
        <v>4474</v>
      </c>
      <c r="B3347" s="3" t="s">
        <v>2444</v>
      </c>
      <c r="C3347" s="3" t="s">
        <v>46</v>
      </c>
      <c r="D3347" s="3" t="s">
        <v>23</v>
      </c>
      <c r="E3347" s="3" t="s">
        <v>24</v>
      </c>
      <c r="F3347" s="3" t="s">
        <v>25</v>
      </c>
      <c r="G3347" s="3" t="s">
        <v>34</v>
      </c>
      <c r="H3347" s="3" t="s">
        <v>27</v>
      </c>
      <c r="I3347" s="3" t="s">
        <v>173</v>
      </c>
      <c r="J3347" s="3" t="n">
        <v>30</v>
      </c>
      <c r="K3347" s="3" t="n">
        <v>34392.21</v>
      </c>
      <c r="L3347" s="3" t="n">
        <v>1031766.3</v>
      </c>
      <c r="M3347" s="3" t="n">
        <v>0.1585</v>
      </c>
      <c r="N3347" s="3" t="n">
        <v>163534.96</v>
      </c>
      <c r="O3347" s="3" t="n">
        <v>868231.34</v>
      </c>
      <c r="P3347" s="3" t="n">
        <v>639695.11</v>
      </c>
      <c r="Q3347" s="3" t="n">
        <v>228536.23</v>
      </c>
      <c r="R3347" s="3" t="n">
        <v>0.2632</v>
      </c>
      <c r="S3347" s="3" t="n">
        <v>0.1333</v>
      </c>
      <c r="T3347" s="3" t="n">
        <v>0.0252</v>
      </c>
    </row>
    <row r="3348" customFormat="false" ht="15" hidden="false" customHeight="true" outlineLevel="0" collapsed="false">
      <c r="A3348" s="3" t="s">
        <v>4475</v>
      </c>
      <c r="B3348" s="3" t="s">
        <v>82</v>
      </c>
      <c r="C3348" s="3" t="s">
        <v>53</v>
      </c>
      <c r="D3348" s="3" t="s">
        <v>32</v>
      </c>
      <c r="E3348" s="3" t="s">
        <v>33</v>
      </c>
      <c r="F3348" s="3" t="s">
        <v>25</v>
      </c>
      <c r="G3348" s="3" t="s">
        <v>55</v>
      </c>
      <c r="H3348" s="3" t="s">
        <v>77</v>
      </c>
      <c r="I3348" s="3" t="s">
        <v>85</v>
      </c>
      <c r="J3348" s="3" t="n">
        <v>13</v>
      </c>
      <c r="K3348" s="3" t="n">
        <v>3875</v>
      </c>
      <c r="L3348" s="3" t="n">
        <v>50375</v>
      </c>
      <c r="M3348" s="3" t="n">
        <v>0.1464</v>
      </c>
      <c r="N3348" s="3" t="n">
        <v>7374.9</v>
      </c>
      <c r="O3348" s="3" t="n">
        <v>43000.1</v>
      </c>
      <c r="P3348" s="3" t="n">
        <v>34255</v>
      </c>
      <c r="Q3348" s="3" t="n">
        <v>8745.1</v>
      </c>
      <c r="R3348" s="3" t="n">
        <v>0.2034</v>
      </c>
      <c r="S3348" s="3" t="n">
        <v>0.1344</v>
      </c>
      <c r="T3348" s="3" t="n">
        <v>0.012</v>
      </c>
    </row>
    <row r="3349" customFormat="false" ht="15" hidden="false" customHeight="true" outlineLevel="0" collapsed="false">
      <c r="A3349" s="3" t="s">
        <v>4476</v>
      </c>
      <c r="B3349" s="3" t="s">
        <v>102</v>
      </c>
      <c r="C3349" s="3" t="s">
        <v>93</v>
      </c>
      <c r="D3349" s="3" t="s">
        <v>47</v>
      </c>
      <c r="E3349" s="3" t="s">
        <v>48</v>
      </c>
      <c r="F3349" s="3" t="s">
        <v>25</v>
      </c>
      <c r="G3349" s="3" t="s">
        <v>104</v>
      </c>
      <c r="H3349" s="3" t="s">
        <v>64</v>
      </c>
      <c r="I3349" s="3" t="s">
        <v>90</v>
      </c>
      <c r="J3349" s="3" t="n">
        <v>19</v>
      </c>
      <c r="K3349" s="3" t="n">
        <v>3914.62</v>
      </c>
      <c r="L3349" s="3" t="n">
        <v>74377.78</v>
      </c>
      <c r="M3349" s="3" t="n">
        <v>0.1865</v>
      </c>
      <c r="N3349" s="3" t="n">
        <v>13871.46</v>
      </c>
      <c r="O3349" s="3" t="n">
        <v>60506.32</v>
      </c>
      <c r="P3349" s="3" t="n">
        <v>43139.11</v>
      </c>
      <c r="Q3349" s="3" t="n">
        <v>17367.21</v>
      </c>
      <c r="R3349" s="3" t="n">
        <v>0.287</v>
      </c>
      <c r="S3349" s="3" t="n">
        <v>0.1495</v>
      </c>
      <c r="T3349" s="3" t="n">
        <v>0.037</v>
      </c>
    </row>
    <row r="3350" customFormat="false" ht="15" hidden="false" customHeight="true" outlineLevel="0" collapsed="false">
      <c r="A3350" s="3" t="s">
        <v>4477</v>
      </c>
      <c r="B3350" s="3" t="s">
        <v>321</v>
      </c>
      <c r="C3350" s="3" t="s">
        <v>120</v>
      </c>
      <c r="D3350" s="3" t="s">
        <v>69</v>
      </c>
      <c r="E3350" s="3" t="s">
        <v>39</v>
      </c>
      <c r="F3350" s="3" t="s">
        <v>70</v>
      </c>
      <c r="G3350" s="3" t="s">
        <v>34</v>
      </c>
      <c r="H3350" s="3" t="s">
        <v>56</v>
      </c>
      <c r="I3350" s="3" t="s">
        <v>121</v>
      </c>
      <c r="J3350" s="3" t="n">
        <v>9</v>
      </c>
      <c r="K3350" s="3" t="n">
        <v>6008.6</v>
      </c>
      <c r="L3350" s="3" t="n">
        <v>54077.4</v>
      </c>
      <c r="M3350" s="3" t="n">
        <v>0.1074</v>
      </c>
      <c r="N3350" s="3" t="n">
        <v>5807.91</v>
      </c>
      <c r="O3350" s="3" t="n">
        <v>48269.49</v>
      </c>
      <c r="P3350" s="3" t="n">
        <v>32446.44</v>
      </c>
      <c r="Q3350" s="3" t="n">
        <v>15823.05</v>
      </c>
      <c r="R3350" s="3" t="n">
        <v>0.3278</v>
      </c>
      <c r="S3350" s="3" t="n">
        <v>0.1092</v>
      </c>
      <c r="T3350" s="3" t="n">
        <v>-0.0018</v>
      </c>
    </row>
    <row r="3351" customFormat="false" ht="15" hidden="false" customHeight="true" outlineLevel="0" collapsed="false">
      <c r="A3351" s="3" t="s">
        <v>4478</v>
      </c>
      <c r="B3351" s="3" t="s">
        <v>1297</v>
      </c>
      <c r="C3351" s="3" t="s">
        <v>22</v>
      </c>
      <c r="D3351" s="3" t="s">
        <v>47</v>
      </c>
      <c r="E3351" s="3" t="s">
        <v>48</v>
      </c>
      <c r="F3351" s="3" t="s">
        <v>25</v>
      </c>
      <c r="G3351" s="3" t="s">
        <v>55</v>
      </c>
      <c r="H3351" s="3" t="s">
        <v>77</v>
      </c>
      <c r="I3351" s="3" t="s">
        <v>85</v>
      </c>
      <c r="J3351" s="3" t="n">
        <v>24</v>
      </c>
      <c r="K3351" s="3" t="n">
        <v>5831.42</v>
      </c>
      <c r="L3351" s="3" t="n">
        <v>139954.08</v>
      </c>
      <c r="M3351" s="3" t="n">
        <v>0.1345</v>
      </c>
      <c r="N3351" s="3" t="n">
        <v>18823.82</v>
      </c>
      <c r="O3351" s="3" t="n">
        <v>121130.26</v>
      </c>
      <c r="P3351" s="3" t="n">
        <v>95168.77</v>
      </c>
      <c r="Q3351" s="3" t="n">
        <v>25961.49</v>
      </c>
      <c r="R3351" s="3" t="n">
        <v>0.2143</v>
      </c>
      <c r="S3351" s="3" t="n">
        <v>0.1208</v>
      </c>
      <c r="T3351" s="3" t="n">
        <v>0.0137</v>
      </c>
    </row>
    <row r="3352" customFormat="false" ht="15" hidden="false" customHeight="true" outlineLevel="0" collapsed="false">
      <c r="A3352" s="3" t="s">
        <v>4479</v>
      </c>
      <c r="B3352" s="3" t="s">
        <v>744</v>
      </c>
      <c r="C3352" s="3" t="s">
        <v>120</v>
      </c>
      <c r="D3352" s="3" t="s">
        <v>38</v>
      </c>
      <c r="E3352" s="3" t="s">
        <v>39</v>
      </c>
      <c r="F3352" s="3" t="s">
        <v>40</v>
      </c>
      <c r="G3352" s="3" t="s">
        <v>104</v>
      </c>
      <c r="H3352" s="3" t="s">
        <v>64</v>
      </c>
      <c r="I3352" s="3" t="s">
        <v>90</v>
      </c>
      <c r="J3352" s="3" t="n">
        <v>43</v>
      </c>
      <c r="K3352" s="3" t="n">
        <v>3063.79</v>
      </c>
      <c r="L3352" s="3" t="n">
        <v>131742.97</v>
      </c>
      <c r="M3352" s="3" t="n">
        <v>0.0923</v>
      </c>
      <c r="N3352" s="3" t="n">
        <v>12159.88</v>
      </c>
      <c r="O3352" s="3" t="n">
        <v>119583.09</v>
      </c>
      <c r="P3352" s="3" t="n">
        <v>76410.92</v>
      </c>
      <c r="Q3352" s="3" t="n">
        <v>43172.17</v>
      </c>
      <c r="R3352" s="3" t="n">
        <v>0.361</v>
      </c>
      <c r="S3352" s="3" t="n">
        <v>0.0924</v>
      </c>
      <c r="T3352" s="3" t="n">
        <v>-0.0001</v>
      </c>
    </row>
    <row r="3353" customFormat="false" ht="15" hidden="false" customHeight="true" outlineLevel="0" collapsed="false">
      <c r="A3353" s="3" t="s">
        <v>4480</v>
      </c>
      <c r="B3353" s="3" t="s">
        <v>3423</v>
      </c>
      <c r="C3353" s="3" t="s">
        <v>93</v>
      </c>
      <c r="D3353" s="3" t="s">
        <v>97</v>
      </c>
      <c r="E3353" s="3" t="s">
        <v>48</v>
      </c>
      <c r="F3353" s="3" t="s">
        <v>40</v>
      </c>
      <c r="G3353" s="3" t="s">
        <v>49</v>
      </c>
      <c r="H3353" s="3" t="s">
        <v>27</v>
      </c>
      <c r="I3353" s="3" t="s">
        <v>28</v>
      </c>
      <c r="J3353" s="3" t="n">
        <v>27</v>
      </c>
      <c r="K3353" s="3" t="n">
        <v>21572.24</v>
      </c>
      <c r="L3353" s="3" t="n">
        <v>582450.48</v>
      </c>
      <c r="M3353" s="3" t="n">
        <v>0.0335</v>
      </c>
      <c r="N3353" s="3" t="n">
        <v>19512.09</v>
      </c>
      <c r="O3353" s="3" t="n">
        <v>562938.39</v>
      </c>
      <c r="P3353" s="3" t="n">
        <v>361119.3</v>
      </c>
      <c r="Q3353" s="3" t="n">
        <v>201819.09</v>
      </c>
      <c r="R3353" s="3" t="n">
        <v>0.3585</v>
      </c>
      <c r="S3353" s="3" t="n">
        <v>0.0288</v>
      </c>
      <c r="T3353" s="3" t="n">
        <v>0.0047</v>
      </c>
    </row>
    <row r="3354" customFormat="false" ht="15" hidden="false" customHeight="true" outlineLevel="0" collapsed="false">
      <c r="A3354" s="3" t="s">
        <v>4481</v>
      </c>
      <c r="B3354" s="3" t="s">
        <v>4482</v>
      </c>
      <c r="C3354" s="3" t="s">
        <v>22</v>
      </c>
      <c r="D3354" s="3" t="s">
        <v>54</v>
      </c>
      <c r="E3354" s="3" t="s">
        <v>24</v>
      </c>
      <c r="F3354" s="3" t="s">
        <v>40</v>
      </c>
      <c r="G3354" s="3" t="s">
        <v>55</v>
      </c>
      <c r="H3354" s="3" t="s">
        <v>42</v>
      </c>
      <c r="I3354" s="3" t="s">
        <v>72</v>
      </c>
      <c r="J3354" s="3" t="n">
        <v>6</v>
      </c>
      <c r="K3354" s="3" t="n">
        <v>2693.8</v>
      </c>
      <c r="L3354" s="3" t="n">
        <v>16162.8</v>
      </c>
      <c r="M3354" s="3" t="n">
        <v>0.037</v>
      </c>
      <c r="N3354" s="3" t="n">
        <v>598.02</v>
      </c>
      <c r="O3354" s="3" t="n">
        <v>15564.78</v>
      </c>
      <c r="P3354" s="3" t="n">
        <v>8889.54</v>
      </c>
      <c r="Q3354" s="3" t="n">
        <v>6675.24</v>
      </c>
      <c r="R3354" s="3" t="n">
        <v>0.4289</v>
      </c>
      <c r="S3354" s="3" t="n">
        <v>0.0391</v>
      </c>
      <c r="T3354" s="3" t="n">
        <v>-0.0021</v>
      </c>
    </row>
    <row r="3355" customFormat="false" ht="15" hidden="false" customHeight="true" outlineLevel="0" collapsed="false">
      <c r="A3355" s="3" t="s">
        <v>4483</v>
      </c>
      <c r="B3355" s="3" t="s">
        <v>215</v>
      </c>
      <c r="C3355" s="3" t="s">
        <v>46</v>
      </c>
      <c r="D3355" s="3" t="s">
        <v>32</v>
      </c>
      <c r="E3355" s="3" t="s">
        <v>33</v>
      </c>
      <c r="F3355" s="3" t="s">
        <v>25</v>
      </c>
      <c r="G3355" s="3" t="s">
        <v>100</v>
      </c>
      <c r="H3355" s="3" t="s">
        <v>27</v>
      </c>
      <c r="I3355" s="3" t="s">
        <v>94</v>
      </c>
      <c r="J3355" s="3" t="n">
        <v>49</v>
      </c>
      <c r="K3355" s="3" t="n">
        <v>12477.81</v>
      </c>
      <c r="L3355" s="3" t="n">
        <v>611412.69</v>
      </c>
      <c r="M3355" s="3" t="n">
        <v>0.148</v>
      </c>
      <c r="N3355" s="3" t="n">
        <v>90489.08</v>
      </c>
      <c r="O3355" s="3" t="n">
        <v>520923.61</v>
      </c>
      <c r="P3355" s="3" t="n">
        <v>379075.87</v>
      </c>
      <c r="Q3355" s="3" t="n">
        <v>141847.74</v>
      </c>
      <c r="R3355" s="3" t="n">
        <v>0.2723</v>
      </c>
      <c r="S3355" s="3" t="n">
        <v>0.1553</v>
      </c>
      <c r="T3355" s="3" t="n">
        <v>-0.0073</v>
      </c>
    </row>
    <row r="3356" customFormat="false" ht="15" hidden="false" customHeight="true" outlineLevel="0" collapsed="false">
      <c r="A3356" s="3" t="s">
        <v>4484</v>
      </c>
      <c r="B3356" s="3" t="s">
        <v>1043</v>
      </c>
      <c r="C3356" s="3" t="s">
        <v>113</v>
      </c>
      <c r="D3356" s="3" t="s">
        <v>38</v>
      </c>
      <c r="E3356" s="3" t="s">
        <v>39</v>
      </c>
      <c r="F3356" s="3" t="s">
        <v>40</v>
      </c>
      <c r="G3356" s="3" t="s">
        <v>63</v>
      </c>
      <c r="H3356" s="3" t="s">
        <v>27</v>
      </c>
      <c r="I3356" s="3" t="s">
        <v>94</v>
      </c>
      <c r="J3356" s="3" t="n">
        <v>13</v>
      </c>
      <c r="K3356" s="3" t="n">
        <v>23298.28</v>
      </c>
      <c r="L3356" s="3" t="n">
        <v>302877.64</v>
      </c>
      <c r="M3356" s="3" t="n">
        <v>0.0637</v>
      </c>
      <c r="N3356" s="3" t="n">
        <v>19293.31</v>
      </c>
      <c r="O3356" s="3" t="n">
        <v>283584.33</v>
      </c>
      <c r="P3356" s="3" t="n">
        <v>187784.14</v>
      </c>
      <c r="Q3356" s="3" t="n">
        <v>95800.19</v>
      </c>
      <c r="R3356" s="3" t="n">
        <v>0.3378</v>
      </c>
      <c r="S3356" s="3" t="n">
        <v>0.0524</v>
      </c>
      <c r="T3356" s="3" t="n">
        <v>0.0113</v>
      </c>
    </row>
    <row r="3357" customFormat="false" ht="15" hidden="false" customHeight="true" outlineLevel="0" collapsed="false">
      <c r="A3357" s="3" t="s">
        <v>4485</v>
      </c>
      <c r="B3357" s="3" t="s">
        <v>3158</v>
      </c>
      <c r="C3357" s="3" t="s">
        <v>31</v>
      </c>
      <c r="D3357" s="3" t="s">
        <v>54</v>
      </c>
      <c r="E3357" s="3" t="s">
        <v>24</v>
      </c>
      <c r="F3357" s="3" t="s">
        <v>40</v>
      </c>
      <c r="G3357" s="3" t="s">
        <v>116</v>
      </c>
      <c r="H3357" s="3" t="s">
        <v>42</v>
      </c>
      <c r="I3357" s="3" t="s">
        <v>72</v>
      </c>
      <c r="J3357" s="3" t="n">
        <v>30</v>
      </c>
      <c r="K3357" s="3" t="n">
        <v>2228.27</v>
      </c>
      <c r="L3357" s="3" t="n">
        <v>66848.1</v>
      </c>
      <c r="M3357" s="3" t="n">
        <v>0.1072</v>
      </c>
      <c r="N3357" s="3" t="n">
        <v>7166.12</v>
      </c>
      <c r="O3357" s="3" t="n">
        <v>59681.98</v>
      </c>
      <c r="P3357" s="3" t="n">
        <v>36766.46</v>
      </c>
      <c r="Q3357" s="3" t="n">
        <v>22915.52</v>
      </c>
      <c r="R3357" s="3" t="n">
        <v>0.384</v>
      </c>
      <c r="S3357" s="3" t="n">
        <v>0.1133</v>
      </c>
      <c r="T3357" s="3" t="n">
        <v>-0.0061</v>
      </c>
    </row>
    <row r="3358" customFormat="false" ht="15" hidden="false" customHeight="true" outlineLevel="0" collapsed="false">
      <c r="A3358" s="3" t="s">
        <v>4486</v>
      </c>
      <c r="B3358" s="3" t="s">
        <v>903</v>
      </c>
      <c r="C3358" s="3" t="s">
        <v>22</v>
      </c>
      <c r="D3358" s="3" t="s">
        <v>103</v>
      </c>
      <c r="E3358" s="3" t="s">
        <v>24</v>
      </c>
      <c r="F3358" s="3" t="s">
        <v>62</v>
      </c>
      <c r="G3358" s="3" t="s">
        <v>63</v>
      </c>
      <c r="H3358" s="3" t="s">
        <v>42</v>
      </c>
      <c r="I3358" s="3" t="s">
        <v>72</v>
      </c>
      <c r="J3358" s="3" t="n">
        <v>9</v>
      </c>
      <c r="K3358" s="3" t="n">
        <v>745.73</v>
      </c>
      <c r="L3358" s="3" t="n">
        <v>6711.57</v>
      </c>
      <c r="M3358" s="3" t="n">
        <v>0.0363</v>
      </c>
      <c r="N3358" s="3" t="n">
        <v>243.63</v>
      </c>
      <c r="O3358" s="3" t="n">
        <v>6467.94</v>
      </c>
      <c r="P3358" s="3" t="n">
        <v>3691.36</v>
      </c>
      <c r="Q3358" s="3" t="n">
        <v>2776.58</v>
      </c>
      <c r="R3358" s="3" t="n">
        <v>0.4293</v>
      </c>
      <c r="S3358" s="3" t="n">
        <v>0.0375</v>
      </c>
      <c r="T3358" s="3" t="n">
        <v>-0.0012</v>
      </c>
    </row>
    <row r="3359" customFormat="false" ht="15" hidden="false" customHeight="true" outlineLevel="0" collapsed="false">
      <c r="A3359" s="3" t="s">
        <v>4487</v>
      </c>
      <c r="B3359" s="3" t="s">
        <v>1637</v>
      </c>
      <c r="C3359" s="3" t="s">
        <v>46</v>
      </c>
      <c r="D3359" s="3" t="s">
        <v>107</v>
      </c>
      <c r="E3359" s="3" t="s">
        <v>33</v>
      </c>
      <c r="F3359" s="3" t="s">
        <v>70</v>
      </c>
      <c r="G3359" s="3" t="s">
        <v>41</v>
      </c>
      <c r="H3359" s="3" t="s">
        <v>56</v>
      </c>
      <c r="I3359" s="3" t="s">
        <v>188</v>
      </c>
      <c r="J3359" s="3" t="n">
        <v>14</v>
      </c>
      <c r="K3359" s="3" t="n">
        <v>2335.86</v>
      </c>
      <c r="L3359" s="3" t="n">
        <v>32702.04</v>
      </c>
      <c r="M3359" s="3" t="n">
        <v>0.1086</v>
      </c>
      <c r="N3359" s="3" t="n">
        <v>3551.44</v>
      </c>
      <c r="O3359" s="3" t="n">
        <v>29150.6</v>
      </c>
      <c r="P3359" s="3" t="n">
        <v>19621.22</v>
      </c>
      <c r="Q3359" s="3" t="n">
        <v>9529.38</v>
      </c>
      <c r="R3359" s="3" t="n">
        <v>0.3269</v>
      </c>
      <c r="S3359" s="3" t="n">
        <v>0.1136</v>
      </c>
      <c r="T3359" s="3" t="n">
        <v>-0.005</v>
      </c>
    </row>
    <row r="3360" customFormat="false" ht="15" hidden="false" customHeight="true" outlineLevel="0" collapsed="false">
      <c r="A3360" s="3" t="s">
        <v>4488</v>
      </c>
      <c r="B3360" s="3" t="s">
        <v>2174</v>
      </c>
      <c r="C3360" s="3" t="s">
        <v>156</v>
      </c>
      <c r="D3360" s="3" t="s">
        <v>61</v>
      </c>
      <c r="E3360" s="3" t="s">
        <v>33</v>
      </c>
      <c r="F3360" s="3" t="s">
        <v>62</v>
      </c>
      <c r="G3360" s="3" t="s">
        <v>116</v>
      </c>
      <c r="H3360" s="3" t="s">
        <v>77</v>
      </c>
      <c r="I3360" s="3" t="s">
        <v>78</v>
      </c>
      <c r="J3360" s="3" t="n">
        <v>41</v>
      </c>
      <c r="K3360" s="3" t="n">
        <v>4262.76</v>
      </c>
      <c r="L3360" s="3" t="n">
        <v>174773.16</v>
      </c>
      <c r="M3360" s="3" t="n">
        <v>0.1077</v>
      </c>
      <c r="N3360" s="3" t="n">
        <v>18823.07</v>
      </c>
      <c r="O3360" s="3" t="n">
        <v>155950.09</v>
      </c>
      <c r="P3360" s="3" t="n">
        <v>118845.75</v>
      </c>
      <c r="Q3360" s="3" t="n">
        <v>37104.34</v>
      </c>
      <c r="R3360" s="3" t="n">
        <v>0.2379</v>
      </c>
      <c r="S3360" s="3" t="n">
        <v>0.0912</v>
      </c>
      <c r="T3360" s="3" t="n">
        <v>0.0165</v>
      </c>
    </row>
    <row r="3361" customFormat="false" ht="15" hidden="false" customHeight="true" outlineLevel="0" collapsed="false">
      <c r="A3361" s="3" t="s">
        <v>4489</v>
      </c>
      <c r="B3361" s="3" t="s">
        <v>290</v>
      </c>
      <c r="C3361" s="3" t="s">
        <v>37</v>
      </c>
      <c r="D3361" s="3" t="s">
        <v>47</v>
      </c>
      <c r="E3361" s="3" t="s">
        <v>48</v>
      </c>
      <c r="F3361" s="3" t="s">
        <v>25</v>
      </c>
      <c r="G3361" s="3" t="s">
        <v>26</v>
      </c>
      <c r="H3361" s="3" t="s">
        <v>42</v>
      </c>
      <c r="I3361" s="3" t="s">
        <v>43</v>
      </c>
      <c r="J3361" s="3" t="n">
        <v>39</v>
      </c>
      <c r="K3361" s="3" t="n">
        <v>2697.27</v>
      </c>
      <c r="L3361" s="3" t="n">
        <v>105193.53</v>
      </c>
      <c r="M3361" s="3" t="n">
        <v>0.1225</v>
      </c>
      <c r="N3361" s="3" t="n">
        <v>12886.21</v>
      </c>
      <c r="O3361" s="3" t="n">
        <v>92307.32</v>
      </c>
      <c r="P3361" s="3" t="n">
        <v>57856.44</v>
      </c>
      <c r="Q3361" s="3" t="n">
        <v>34450.88</v>
      </c>
      <c r="R3361" s="3" t="n">
        <v>0.3732</v>
      </c>
      <c r="S3361" s="3" t="n">
        <v>0.1315</v>
      </c>
      <c r="T3361" s="3" t="n">
        <v>-0.009</v>
      </c>
    </row>
    <row r="3362" customFormat="false" ht="15" hidden="false" customHeight="true" outlineLevel="0" collapsed="false">
      <c r="A3362" s="3" t="s">
        <v>4490</v>
      </c>
      <c r="B3362" s="3" t="s">
        <v>625</v>
      </c>
      <c r="C3362" s="3" t="s">
        <v>53</v>
      </c>
      <c r="D3362" s="3" t="s">
        <v>38</v>
      </c>
      <c r="E3362" s="3" t="s">
        <v>39</v>
      </c>
      <c r="F3362" s="3" t="s">
        <v>40</v>
      </c>
      <c r="G3362" s="3" t="s">
        <v>63</v>
      </c>
      <c r="H3362" s="3" t="s">
        <v>56</v>
      </c>
      <c r="I3362" s="3" t="s">
        <v>188</v>
      </c>
      <c r="J3362" s="3" t="n">
        <v>28</v>
      </c>
      <c r="K3362" s="3" t="n">
        <v>15561.87</v>
      </c>
      <c r="L3362" s="3" t="n">
        <v>435732.36</v>
      </c>
      <c r="M3362" s="3" t="n">
        <v>0.0437</v>
      </c>
      <c r="N3362" s="3" t="n">
        <v>19041.5</v>
      </c>
      <c r="O3362" s="3" t="n">
        <v>416690.86</v>
      </c>
      <c r="P3362" s="3" t="n">
        <v>261439.42</v>
      </c>
      <c r="Q3362" s="3" t="n">
        <v>155251.44</v>
      </c>
      <c r="R3362" s="3" t="n">
        <v>0.3726</v>
      </c>
      <c r="S3362" s="3" t="n">
        <v>0.0369</v>
      </c>
      <c r="T3362" s="3" t="n">
        <v>0.0068</v>
      </c>
    </row>
    <row r="3363" customFormat="false" ht="15" hidden="false" customHeight="true" outlineLevel="0" collapsed="false">
      <c r="A3363" s="3" t="s">
        <v>4491</v>
      </c>
      <c r="B3363" s="3" t="s">
        <v>1524</v>
      </c>
      <c r="C3363" s="3" t="s">
        <v>60</v>
      </c>
      <c r="D3363" s="3" t="s">
        <v>38</v>
      </c>
      <c r="E3363" s="3" t="s">
        <v>39</v>
      </c>
      <c r="F3363" s="3" t="s">
        <v>40</v>
      </c>
      <c r="G3363" s="3" t="s">
        <v>26</v>
      </c>
      <c r="H3363" s="3" t="s">
        <v>27</v>
      </c>
      <c r="I3363" s="3" t="s">
        <v>94</v>
      </c>
      <c r="J3363" s="3" t="n">
        <v>12</v>
      </c>
      <c r="K3363" s="3" t="n">
        <v>15299.71</v>
      </c>
      <c r="L3363" s="3" t="n">
        <v>183596.52</v>
      </c>
      <c r="M3363" s="3" t="n">
        <v>0.0789</v>
      </c>
      <c r="N3363" s="3" t="n">
        <v>14485.77</v>
      </c>
      <c r="O3363" s="3" t="n">
        <v>169110.75</v>
      </c>
      <c r="P3363" s="3" t="n">
        <v>113829.84</v>
      </c>
      <c r="Q3363" s="3" t="n">
        <v>55280.91</v>
      </c>
      <c r="R3363" s="3" t="n">
        <v>0.3269</v>
      </c>
      <c r="S3363" s="3" t="n">
        <v>0.0818</v>
      </c>
      <c r="T3363" s="3" t="n">
        <v>-0.0029</v>
      </c>
    </row>
    <row r="3364" customFormat="false" ht="15" hidden="false" customHeight="true" outlineLevel="0" collapsed="false">
      <c r="A3364" s="3" t="s">
        <v>4492</v>
      </c>
      <c r="B3364" s="3" t="s">
        <v>2017</v>
      </c>
      <c r="C3364" s="3" t="s">
        <v>53</v>
      </c>
      <c r="D3364" s="3" t="s">
        <v>107</v>
      </c>
      <c r="E3364" s="3" t="s">
        <v>33</v>
      </c>
      <c r="F3364" s="3" t="s">
        <v>70</v>
      </c>
      <c r="G3364" s="3" t="s">
        <v>84</v>
      </c>
      <c r="H3364" s="3" t="s">
        <v>64</v>
      </c>
      <c r="I3364" s="3" t="s">
        <v>90</v>
      </c>
      <c r="J3364" s="3" t="n">
        <v>12</v>
      </c>
      <c r="K3364" s="3" t="n">
        <v>11203.58</v>
      </c>
      <c r="L3364" s="3" t="n">
        <v>134442.96</v>
      </c>
      <c r="M3364" s="3" t="n">
        <v>0.049</v>
      </c>
      <c r="N3364" s="3" t="n">
        <v>6587.71</v>
      </c>
      <c r="O3364" s="3" t="n">
        <v>127855.25</v>
      </c>
      <c r="P3364" s="3" t="n">
        <v>77976.92</v>
      </c>
      <c r="Q3364" s="3" t="n">
        <v>49878.33</v>
      </c>
      <c r="R3364" s="3" t="n">
        <v>0.3901</v>
      </c>
      <c r="S3364" s="3" t="n">
        <v>0.046</v>
      </c>
      <c r="T3364" s="3" t="n">
        <v>0.003</v>
      </c>
    </row>
    <row r="3365" customFormat="false" ht="15" hidden="false" customHeight="true" outlineLevel="0" collapsed="false">
      <c r="A3365" s="3" t="s">
        <v>4493</v>
      </c>
      <c r="B3365" s="3" t="s">
        <v>1231</v>
      </c>
      <c r="C3365" s="3" t="s">
        <v>37</v>
      </c>
      <c r="D3365" s="3" t="s">
        <v>54</v>
      </c>
      <c r="E3365" s="3" t="s">
        <v>24</v>
      </c>
      <c r="F3365" s="3" t="s">
        <v>40</v>
      </c>
      <c r="G3365" s="3" t="s">
        <v>55</v>
      </c>
      <c r="H3365" s="3" t="s">
        <v>56</v>
      </c>
      <c r="I3365" s="3" t="s">
        <v>121</v>
      </c>
      <c r="J3365" s="3" t="n">
        <v>11</v>
      </c>
      <c r="K3365" s="3" t="n">
        <v>7134.05</v>
      </c>
      <c r="L3365" s="3" t="n">
        <v>78474.55</v>
      </c>
      <c r="M3365" s="3" t="n">
        <v>0.0768</v>
      </c>
      <c r="N3365" s="3" t="n">
        <v>6026.85</v>
      </c>
      <c r="O3365" s="3" t="n">
        <v>72447.7</v>
      </c>
      <c r="P3365" s="3" t="n">
        <v>47084.73</v>
      </c>
      <c r="Q3365" s="3" t="n">
        <v>25362.97</v>
      </c>
      <c r="R3365" s="3" t="n">
        <v>0.3501</v>
      </c>
      <c r="S3365" s="3" t="n">
        <v>0.0657</v>
      </c>
      <c r="T3365" s="3" t="n">
        <v>0.0111</v>
      </c>
    </row>
    <row r="3366" customFormat="false" ht="15" hidden="false" customHeight="true" outlineLevel="0" collapsed="false">
      <c r="A3366" s="3" t="s">
        <v>4494</v>
      </c>
      <c r="B3366" s="3" t="s">
        <v>871</v>
      </c>
      <c r="C3366" s="3" t="s">
        <v>53</v>
      </c>
      <c r="D3366" s="3" t="s">
        <v>38</v>
      </c>
      <c r="E3366" s="3" t="s">
        <v>39</v>
      </c>
      <c r="F3366" s="3" t="s">
        <v>40</v>
      </c>
      <c r="G3366" s="3" t="s">
        <v>76</v>
      </c>
      <c r="H3366" s="3" t="s">
        <v>77</v>
      </c>
      <c r="I3366" s="3" t="s">
        <v>78</v>
      </c>
      <c r="J3366" s="3" t="n">
        <v>34</v>
      </c>
      <c r="K3366" s="3" t="n">
        <v>2646.17</v>
      </c>
      <c r="L3366" s="3" t="n">
        <v>89969.78</v>
      </c>
      <c r="M3366" s="3" t="n">
        <v>0.0439</v>
      </c>
      <c r="N3366" s="3" t="n">
        <v>3949.67</v>
      </c>
      <c r="O3366" s="3" t="n">
        <v>86020.11</v>
      </c>
      <c r="P3366" s="3" t="n">
        <v>61179.45</v>
      </c>
      <c r="Q3366" s="3" t="n">
        <v>24840.66</v>
      </c>
      <c r="R3366" s="3" t="n">
        <v>0.2888</v>
      </c>
      <c r="S3366" s="3" t="n">
        <v>0.0457</v>
      </c>
      <c r="T3366" s="3" t="n">
        <v>-0.0018</v>
      </c>
    </row>
    <row r="3367" customFormat="false" ht="15" hidden="false" customHeight="true" outlineLevel="0" collapsed="false">
      <c r="A3367" s="3" t="s">
        <v>4495</v>
      </c>
      <c r="B3367" s="3" t="s">
        <v>831</v>
      </c>
      <c r="C3367" s="3" t="s">
        <v>120</v>
      </c>
      <c r="D3367" s="3" t="s">
        <v>97</v>
      </c>
      <c r="E3367" s="3" t="s">
        <v>48</v>
      </c>
      <c r="F3367" s="3" t="s">
        <v>40</v>
      </c>
      <c r="G3367" s="3" t="s">
        <v>26</v>
      </c>
      <c r="H3367" s="3" t="s">
        <v>77</v>
      </c>
      <c r="I3367" s="3" t="s">
        <v>85</v>
      </c>
      <c r="J3367" s="3" t="n">
        <v>33</v>
      </c>
      <c r="K3367" s="3" t="n">
        <v>3802.22</v>
      </c>
      <c r="L3367" s="3" t="n">
        <v>125473.26</v>
      </c>
      <c r="M3367" s="3" t="n">
        <v>0.0356</v>
      </c>
      <c r="N3367" s="3" t="n">
        <v>4466.85</v>
      </c>
      <c r="O3367" s="3" t="n">
        <v>121006.41</v>
      </c>
      <c r="P3367" s="3" t="n">
        <v>85321.82</v>
      </c>
      <c r="Q3367" s="3" t="n">
        <v>35684.59</v>
      </c>
      <c r="R3367" s="3" t="n">
        <v>0.2949</v>
      </c>
      <c r="S3367" s="3" t="n">
        <v>0.0293</v>
      </c>
      <c r="T3367" s="3" t="n">
        <v>0.0063</v>
      </c>
    </row>
    <row r="3368" customFormat="false" ht="15" hidden="false" customHeight="true" outlineLevel="0" collapsed="false">
      <c r="A3368" s="3" t="s">
        <v>4496</v>
      </c>
      <c r="B3368" s="3" t="s">
        <v>1541</v>
      </c>
      <c r="C3368" s="3" t="s">
        <v>156</v>
      </c>
      <c r="D3368" s="3" t="s">
        <v>69</v>
      </c>
      <c r="E3368" s="3" t="s">
        <v>39</v>
      </c>
      <c r="F3368" s="3" t="s">
        <v>70</v>
      </c>
      <c r="G3368" s="3" t="s">
        <v>63</v>
      </c>
      <c r="H3368" s="3" t="s">
        <v>64</v>
      </c>
      <c r="I3368" s="3" t="s">
        <v>65</v>
      </c>
      <c r="J3368" s="3" t="n">
        <v>39</v>
      </c>
      <c r="K3368" s="3" t="n">
        <v>5317.54</v>
      </c>
      <c r="L3368" s="3" t="n">
        <v>207384.06</v>
      </c>
      <c r="M3368" s="3" t="n">
        <v>0.0654</v>
      </c>
      <c r="N3368" s="3" t="n">
        <v>13562.92</v>
      </c>
      <c r="O3368" s="3" t="n">
        <v>193821.14</v>
      </c>
      <c r="P3368" s="3" t="n">
        <v>120282.75</v>
      </c>
      <c r="Q3368" s="3" t="n">
        <v>73538.39</v>
      </c>
      <c r="R3368" s="3" t="n">
        <v>0.3794</v>
      </c>
      <c r="S3368" s="3" t="n">
        <v>0.0586</v>
      </c>
      <c r="T3368" s="3" t="n">
        <v>0.0068</v>
      </c>
    </row>
    <row r="3369" customFormat="false" ht="15" hidden="false" customHeight="true" outlineLevel="0" collapsed="false">
      <c r="A3369" s="3" t="s">
        <v>4497</v>
      </c>
      <c r="B3369" s="3" t="s">
        <v>1158</v>
      </c>
      <c r="C3369" s="3" t="s">
        <v>22</v>
      </c>
      <c r="D3369" s="3" t="s">
        <v>83</v>
      </c>
      <c r="E3369" s="3" t="s">
        <v>48</v>
      </c>
      <c r="F3369" s="3" t="s">
        <v>62</v>
      </c>
      <c r="G3369" s="3" t="s">
        <v>49</v>
      </c>
      <c r="H3369" s="3" t="s">
        <v>77</v>
      </c>
      <c r="I3369" s="3" t="s">
        <v>131</v>
      </c>
      <c r="J3369" s="3" t="n">
        <v>23</v>
      </c>
      <c r="K3369" s="3" t="n">
        <v>2722.87</v>
      </c>
      <c r="L3369" s="3" t="n">
        <v>62626.01</v>
      </c>
      <c r="M3369" s="3" t="n">
        <v>0.0597</v>
      </c>
      <c r="N3369" s="3" t="n">
        <v>3738.77</v>
      </c>
      <c r="O3369" s="3" t="n">
        <v>58887.24</v>
      </c>
      <c r="P3369" s="3" t="n">
        <v>42585.69</v>
      </c>
      <c r="Q3369" s="3" t="n">
        <v>16301.55</v>
      </c>
      <c r="R3369" s="3" t="n">
        <v>0.2768</v>
      </c>
      <c r="S3369" s="3" t="n">
        <v>0.0616</v>
      </c>
      <c r="T3369" s="3" t="n">
        <v>-0.0019</v>
      </c>
    </row>
    <row r="3370" customFormat="false" ht="15" hidden="false" customHeight="true" outlineLevel="0" collapsed="false">
      <c r="A3370" s="3" t="s">
        <v>4498</v>
      </c>
      <c r="B3370" s="3" t="s">
        <v>954</v>
      </c>
      <c r="C3370" s="3" t="s">
        <v>120</v>
      </c>
      <c r="D3370" s="3" t="s">
        <v>47</v>
      </c>
      <c r="E3370" s="3" t="s">
        <v>48</v>
      </c>
      <c r="F3370" s="3" t="s">
        <v>25</v>
      </c>
      <c r="G3370" s="3" t="s">
        <v>100</v>
      </c>
      <c r="H3370" s="3" t="s">
        <v>64</v>
      </c>
      <c r="I3370" s="3" t="s">
        <v>90</v>
      </c>
      <c r="J3370" s="3" t="n">
        <v>40</v>
      </c>
      <c r="K3370" s="3" t="n">
        <v>7310.18</v>
      </c>
      <c r="L3370" s="3" t="n">
        <v>292407.2</v>
      </c>
      <c r="M3370" s="3" t="n">
        <v>0.1464</v>
      </c>
      <c r="N3370" s="3" t="n">
        <v>42808.41</v>
      </c>
      <c r="O3370" s="3" t="n">
        <v>249598.79</v>
      </c>
      <c r="P3370" s="3" t="n">
        <v>169596.18</v>
      </c>
      <c r="Q3370" s="3" t="n">
        <v>80002.61</v>
      </c>
      <c r="R3370" s="3" t="n">
        <v>0.3205</v>
      </c>
      <c r="S3370" s="3" t="n">
        <v>0.1473</v>
      </c>
      <c r="T3370" s="3" t="n">
        <v>-0.0009</v>
      </c>
    </row>
    <row r="3371" customFormat="false" ht="15" hidden="false" customHeight="true" outlineLevel="0" collapsed="false">
      <c r="A3371" s="3" t="s">
        <v>4499</v>
      </c>
      <c r="B3371" s="3" t="s">
        <v>1674</v>
      </c>
      <c r="C3371" s="3" t="s">
        <v>46</v>
      </c>
      <c r="D3371" s="3" t="s">
        <v>32</v>
      </c>
      <c r="E3371" s="3" t="s">
        <v>33</v>
      </c>
      <c r="F3371" s="3" t="s">
        <v>25</v>
      </c>
      <c r="G3371" s="3" t="s">
        <v>34</v>
      </c>
      <c r="H3371" s="3" t="s">
        <v>42</v>
      </c>
      <c r="I3371" s="3" t="s">
        <v>134</v>
      </c>
      <c r="J3371" s="3" t="n">
        <v>8</v>
      </c>
      <c r="K3371" s="3" t="n">
        <v>2137.87</v>
      </c>
      <c r="L3371" s="3" t="n">
        <v>17102.96</v>
      </c>
      <c r="M3371" s="3" t="n">
        <v>0.2202</v>
      </c>
      <c r="N3371" s="3" t="n">
        <v>3766.07</v>
      </c>
      <c r="O3371" s="3" t="n">
        <v>13336.89</v>
      </c>
      <c r="P3371" s="3" t="n">
        <v>9406.63</v>
      </c>
      <c r="Q3371" s="3" t="n">
        <v>3930.26</v>
      </c>
      <c r="R3371" s="3" t="n">
        <v>0.2947</v>
      </c>
      <c r="S3371" s="3" t="n">
        <v>0.224</v>
      </c>
      <c r="T3371" s="3" t="n">
        <v>-0.0038</v>
      </c>
    </row>
    <row r="3372" customFormat="false" ht="15" hidden="false" customHeight="true" outlineLevel="0" collapsed="false">
      <c r="A3372" s="3" t="s">
        <v>4500</v>
      </c>
      <c r="B3372" s="3" t="s">
        <v>936</v>
      </c>
      <c r="C3372" s="3" t="s">
        <v>156</v>
      </c>
      <c r="D3372" s="3" t="s">
        <v>69</v>
      </c>
      <c r="E3372" s="3" t="s">
        <v>39</v>
      </c>
      <c r="F3372" s="3" t="s">
        <v>70</v>
      </c>
      <c r="G3372" s="3" t="s">
        <v>49</v>
      </c>
      <c r="H3372" s="3" t="s">
        <v>64</v>
      </c>
      <c r="I3372" s="3" t="s">
        <v>108</v>
      </c>
      <c r="J3372" s="3" t="n">
        <v>5</v>
      </c>
      <c r="K3372" s="3" t="n">
        <v>7578.48</v>
      </c>
      <c r="L3372" s="3" t="n">
        <v>37892.4</v>
      </c>
      <c r="M3372" s="3" t="n">
        <v>0.0568</v>
      </c>
      <c r="N3372" s="3" t="n">
        <v>2152.29</v>
      </c>
      <c r="O3372" s="3" t="n">
        <v>35740.11</v>
      </c>
      <c r="P3372" s="3" t="n">
        <v>21977.59</v>
      </c>
      <c r="Q3372" s="3" t="n">
        <v>13762.52</v>
      </c>
      <c r="R3372" s="3" t="n">
        <v>0.3851</v>
      </c>
      <c r="S3372" s="3" t="n">
        <v>0.0484</v>
      </c>
      <c r="T3372" s="3" t="n">
        <v>0.0084</v>
      </c>
    </row>
    <row r="3373" customFormat="false" ht="15" hidden="false" customHeight="true" outlineLevel="0" collapsed="false">
      <c r="A3373" s="3" t="s">
        <v>4501</v>
      </c>
      <c r="B3373" s="3" t="s">
        <v>3434</v>
      </c>
      <c r="C3373" s="3" t="s">
        <v>53</v>
      </c>
      <c r="D3373" s="3" t="s">
        <v>103</v>
      </c>
      <c r="E3373" s="3" t="s">
        <v>24</v>
      </c>
      <c r="F3373" s="3" t="s">
        <v>62</v>
      </c>
      <c r="G3373" s="3" t="s">
        <v>55</v>
      </c>
      <c r="H3373" s="3" t="s">
        <v>42</v>
      </c>
      <c r="I3373" s="3" t="s">
        <v>72</v>
      </c>
      <c r="J3373" s="3" t="n">
        <v>32</v>
      </c>
      <c r="K3373" s="3" t="n">
        <v>2563.03</v>
      </c>
      <c r="L3373" s="3" t="n">
        <v>82016.96</v>
      </c>
      <c r="M3373" s="3" t="n">
        <v>0.0534</v>
      </c>
      <c r="N3373" s="3" t="n">
        <v>4379.71</v>
      </c>
      <c r="O3373" s="3" t="n">
        <v>77637.25</v>
      </c>
      <c r="P3373" s="3" t="n">
        <v>45109.33</v>
      </c>
      <c r="Q3373" s="3" t="n">
        <v>32527.92</v>
      </c>
      <c r="R3373" s="3" t="n">
        <v>0.419</v>
      </c>
      <c r="S3373" s="3" t="n">
        <v>0.0543</v>
      </c>
      <c r="T3373" s="3" t="n">
        <v>-0.0009</v>
      </c>
    </row>
    <row r="3374" customFormat="false" ht="15" hidden="false" customHeight="true" outlineLevel="0" collapsed="false">
      <c r="A3374" s="3" t="s">
        <v>4502</v>
      </c>
      <c r="B3374" s="3" t="s">
        <v>418</v>
      </c>
      <c r="C3374" s="3" t="s">
        <v>22</v>
      </c>
      <c r="D3374" s="3" t="s">
        <v>38</v>
      </c>
      <c r="E3374" s="3" t="s">
        <v>39</v>
      </c>
      <c r="F3374" s="3" t="s">
        <v>40</v>
      </c>
      <c r="G3374" s="3" t="s">
        <v>84</v>
      </c>
      <c r="H3374" s="3" t="s">
        <v>64</v>
      </c>
      <c r="I3374" s="3" t="s">
        <v>145</v>
      </c>
      <c r="J3374" s="3" t="n">
        <v>21</v>
      </c>
      <c r="K3374" s="3" t="n">
        <v>10674.43</v>
      </c>
      <c r="L3374" s="3" t="n">
        <v>224163.03</v>
      </c>
      <c r="M3374" s="3" t="n">
        <v>0.0682</v>
      </c>
      <c r="N3374" s="3" t="n">
        <v>15287.92</v>
      </c>
      <c r="O3374" s="3" t="n">
        <v>208875.11</v>
      </c>
      <c r="P3374" s="3" t="n">
        <v>130014.56</v>
      </c>
      <c r="Q3374" s="3" t="n">
        <v>78860.55</v>
      </c>
      <c r="R3374" s="3" t="n">
        <v>0.3775</v>
      </c>
      <c r="S3374" s="3" t="n">
        <v>0.0661</v>
      </c>
      <c r="T3374" s="3" t="n">
        <v>0.0021</v>
      </c>
    </row>
    <row r="3375" customFormat="false" ht="15" hidden="false" customHeight="true" outlineLevel="0" collapsed="false">
      <c r="A3375" s="3" t="s">
        <v>4503</v>
      </c>
      <c r="B3375" s="3" t="s">
        <v>2159</v>
      </c>
      <c r="C3375" s="3" t="s">
        <v>113</v>
      </c>
      <c r="D3375" s="3" t="s">
        <v>23</v>
      </c>
      <c r="E3375" s="3" t="s">
        <v>24</v>
      </c>
      <c r="F3375" s="3" t="s">
        <v>25</v>
      </c>
      <c r="G3375" s="3" t="s">
        <v>26</v>
      </c>
      <c r="H3375" s="3" t="s">
        <v>64</v>
      </c>
      <c r="I3375" s="3" t="s">
        <v>145</v>
      </c>
      <c r="J3375" s="3" t="n">
        <v>44</v>
      </c>
      <c r="K3375" s="3" t="n">
        <v>7062.95</v>
      </c>
      <c r="L3375" s="3" t="n">
        <v>310769.8</v>
      </c>
      <c r="M3375" s="3" t="n">
        <v>0.0794</v>
      </c>
      <c r="N3375" s="3" t="n">
        <v>24675.12</v>
      </c>
      <c r="O3375" s="3" t="n">
        <v>286094.68</v>
      </c>
      <c r="P3375" s="3" t="n">
        <v>180246.48</v>
      </c>
      <c r="Q3375" s="3" t="n">
        <v>105848.2</v>
      </c>
      <c r="R3375" s="3" t="n">
        <v>0.37</v>
      </c>
      <c r="S3375" s="3" t="n">
        <v>0.0871</v>
      </c>
      <c r="T3375" s="3" t="n">
        <v>-0.0077</v>
      </c>
    </row>
    <row r="3376" customFormat="false" ht="15" hidden="false" customHeight="true" outlineLevel="0" collapsed="false">
      <c r="A3376" s="3" t="s">
        <v>4504</v>
      </c>
      <c r="B3376" s="3" t="s">
        <v>3538</v>
      </c>
      <c r="C3376" s="3" t="s">
        <v>46</v>
      </c>
      <c r="D3376" s="3" t="s">
        <v>83</v>
      </c>
      <c r="E3376" s="3" t="s">
        <v>48</v>
      </c>
      <c r="F3376" s="3" t="s">
        <v>62</v>
      </c>
      <c r="G3376" s="3" t="s">
        <v>26</v>
      </c>
      <c r="H3376" s="3" t="s">
        <v>27</v>
      </c>
      <c r="I3376" s="3" t="s">
        <v>117</v>
      </c>
      <c r="J3376" s="3" t="n">
        <v>10</v>
      </c>
      <c r="K3376" s="3" t="n">
        <v>24886.59</v>
      </c>
      <c r="L3376" s="3" t="n">
        <v>248865.9</v>
      </c>
      <c r="M3376" s="3" t="n">
        <v>0.0781</v>
      </c>
      <c r="N3376" s="3" t="n">
        <v>19436.43</v>
      </c>
      <c r="O3376" s="3" t="n">
        <v>229429.47</v>
      </c>
      <c r="P3376" s="3" t="n">
        <v>154296.86</v>
      </c>
      <c r="Q3376" s="3" t="n">
        <v>75132.61</v>
      </c>
      <c r="R3376" s="3" t="n">
        <v>0.3275</v>
      </c>
      <c r="S3376" s="3" t="n">
        <v>0.0849</v>
      </c>
      <c r="T3376" s="3" t="n">
        <v>-0.0068</v>
      </c>
    </row>
    <row r="3377" customFormat="false" ht="15" hidden="false" customHeight="true" outlineLevel="0" collapsed="false">
      <c r="A3377" s="3" t="s">
        <v>4505</v>
      </c>
      <c r="B3377" s="3" t="s">
        <v>326</v>
      </c>
      <c r="C3377" s="3" t="s">
        <v>113</v>
      </c>
      <c r="D3377" s="3" t="s">
        <v>83</v>
      </c>
      <c r="E3377" s="3" t="s">
        <v>48</v>
      </c>
      <c r="F3377" s="3" t="s">
        <v>62</v>
      </c>
      <c r="G3377" s="3" t="s">
        <v>116</v>
      </c>
      <c r="H3377" s="3" t="s">
        <v>77</v>
      </c>
      <c r="I3377" s="3" t="s">
        <v>131</v>
      </c>
      <c r="J3377" s="3" t="n">
        <v>36</v>
      </c>
      <c r="K3377" s="3" t="n">
        <v>1969.5</v>
      </c>
      <c r="L3377" s="3" t="n">
        <v>70902</v>
      </c>
      <c r="M3377" s="3" t="n">
        <v>0.0986</v>
      </c>
      <c r="N3377" s="3" t="n">
        <v>6990.94</v>
      </c>
      <c r="O3377" s="3" t="n">
        <v>63911.06</v>
      </c>
      <c r="P3377" s="3" t="n">
        <v>48213.36</v>
      </c>
      <c r="Q3377" s="3" t="n">
        <v>15697.7</v>
      </c>
      <c r="R3377" s="3" t="n">
        <v>0.2456</v>
      </c>
      <c r="S3377" s="3" t="n">
        <v>0.085</v>
      </c>
      <c r="T3377" s="3" t="n">
        <v>0.0136</v>
      </c>
    </row>
    <row r="3378" customFormat="false" ht="15" hidden="false" customHeight="true" outlineLevel="0" collapsed="false">
      <c r="A3378" s="3" t="s">
        <v>4506</v>
      </c>
      <c r="B3378" s="3" t="s">
        <v>408</v>
      </c>
      <c r="C3378" s="3" t="s">
        <v>60</v>
      </c>
      <c r="D3378" s="3" t="s">
        <v>32</v>
      </c>
      <c r="E3378" s="3" t="s">
        <v>33</v>
      </c>
      <c r="F3378" s="3" t="s">
        <v>25</v>
      </c>
      <c r="G3378" s="3" t="s">
        <v>49</v>
      </c>
      <c r="H3378" s="3" t="s">
        <v>56</v>
      </c>
      <c r="I3378" s="3" t="s">
        <v>188</v>
      </c>
      <c r="J3378" s="3" t="n">
        <v>16</v>
      </c>
      <c r="K3378" s="3" t="n">
        <v>8366.76</v>
      </c>
      <c r="L3378" s="3" t="n">
        <v>133868.16</v>
      </c>
      <c r="M3378" s="3" t="n">
        <v>0.1474</v>
      </c>
      <c r="N3378" s="3" t="n">
        <v>19732.17</v>
      </c>
      <c r="O3378" s="3" t="n">
        <v>114135.99</v>
      </c>
      <c r="P3378" s="3" t="n">
        <v>80320.9</v>
      </c>
      <c r="Q3378" s="3" t="n">
        <v>33815.09</v>
      </c>
      <c r="R3378" s="3" t="n">
        <v>0.2963</v>
      </c>
      <c r="S3378" s="3" t="n">
        <v>0.1435</v>
      </c>
      <c r="T3378" s="3" t="n">
        <v>0.0039</v>
      </c>
    </row>
    <row r="3379" customFormat="false" ht="15" hidden="false" customHeight="true" outlineLevel="0" collapsed="false">
      <c r="A3379" s="3" t="s">
        <v>4507</v>
      </c>
      <c r="B3379" s="3" t="s">
        <v>1613</v>
      </c>
      <c r="C3379" s="3" t="s">
        <v>60</v>
      </c>
      <c r="D3379" s="3" t="s">
        <v>75</v>
      </c>
      <c r="E3379" s="3" t="s">
        <v>39</v>
      </c>
      <c r="F3379" s="3" t="s">
        <v>25</v>
      </c>
      <c r="G3379" s="3" t="s">
        <v>100</v>
      </c>
      <c r="H3379" s="3" t="s">
        <v>42</v>
      </c>
      <c r="I3379" s="3" t="s">
        <v>72</v>
      </c>
      <c r="J3379" s="3" t="n">
        <v>30</v>
      </c>
      <c r="K3379" s="3" t="n">
        <v>987.6</v>
      </c>
      <c r="L3379" s="3" t="n">
        <v>29628</v>
      </c>
      <c r="M3379" s="3" t="n">
        <v>0.1539</v>
      </c>
      <c r="N3379" s="3" t="n">
        <v>4559.75</v>
      </c>
      <c r="O3379" s="3" t="n">
        <v>25068.25</v>
      </c>
      <c r="P3379" s="3" t="n">
        <v>16295.4</v>
      </c>
      <c r="Q3379" s="3" t="n">
        <v>8772.85</v>
      </c>
      <c r="R3379" s="3" t="n">
        <v>0.35</v>
      </c>
      <c r="S3379" s="3" t="n">
        <v>0.16</v>
      </c>
      <c r="T3379" s="3" t="n">
        <v>-0.0061</v>
      </c>
    </row>
    <row r="3380" customFormat="false" ht="15" hidden="false" customHeight="true" outlineLevel="0" collapsed="false">
      <c r="A3380" s="3" t="s">
        <v>4508</v>
      </c>
      <c r="B3380" s="3" t="s">
        <v>1285</v>
      </c>
      <c r="C3380" s="3" t="s">
        <v>53</v>
      </c>
      <c r="D3380" s="3" t="s">
        <v>32</v>
      </c>
      <c r="E3380" s="3" t="s">
        <v>33</v>
      </c>
      <c r="F3380" s="3" t="s">
        <v>25</v>
      </c>
      <c r="G3380" s="3" t="s">
        <v>26</v>
      </c>
      <c r="H3380" s="3" t="s">
        <v>77</v>
      </c>
      <c r="I3380" s="3" t="s">
        <v>85</v>
      </c>
      <c r="J3380" s="3" t="n">
        <v>13</v>
      </c>
      <c r="K3380" s="3" t="n">
        <v>3704.17</v>
      </c>
      <c r="L3380" s="3" t="n">
        <v>48154.21</v>
      </c>
      <c r="M3380" s="3" t="n">
        <v>0.1251</v>
      </c>
      <c r="N3380" s="3" t="n">
        <v>6024.09</v>
      </c>
      <c r="O3380" s="3" t="n">
        <v>42130.12</v>
      </c>
      <c r="P3380" s="3" t="n">
        <v>32744.86</v>
      </c>
      <c r="Q3380" s="3" t="n">
        <v>9385.26</v>
      </c>
      <c r="R3380" s="3" t="n">
        <v>0.2228</v>
      </c>
      <c r="S3380" s="3" t="n">
        <v>0.127</v>
      </c>
      <c r="T3380" s="3" t="n">
        <v>-0.0019</v>
      </c>
    </row>
    <row r="3381" customFormat="false" ht="15" hidden="false" customHeight="true" outlineLevel="0" collapsed="false">
      <c r="A3381" s="3" t="s">
        <v>4509</v>
      </c>
      <c r="B3381" s="3" t="s">
        <v>936</v>
      </c>
      <c r="C3381" s="3" t="s">
        <v>156</v>
      </c>
      <c r="D3381" s="3" t="s">
        <v>103</v>
      </c>
      <c r="E3381" s="3" t="s">
        <v>24</v>
      </c>
      <c r="F3381" s="3" t="s">
        <v>62</v>
      </c>
      <c r="G3381" s="3" t="s">
        <v>49</v>
      </c>
      <c r="H3381" s="3" t="s">
        <v>42</v>
      </c>
      <c r="I3381" s="3" t="s">
        <v>72</v>
      </c>
      <c r="J3381" s="3" t="n">
        <v>1</v>
      </c>
      <c r="K3381" s="3" t="n">
        <v>1022.71</v>
      </c>
      <c r="L3381" s="3" t="n">
        <v>1022.71</v>
      </c>
      <c r="M3381" s="3" t="n">
        <v>0.0536</v>
      </c>
      <c r="N3381" s="3" t="n">
        <v>54.82</v>
      </c>
      <c r="O3381" s="3" t="n">
        <v>967.89</v>
      </c>
      <c r="P3381" s="3" t="n">
        <v>562.49</v>
      </c>
      <c r="Q3381" s="3" t="n">
        <v>405.4</v>
      </c>
      <c r="R3381" s="3" t="n">
        <v>0.4188</v>
      </c>
      <c r="S3381" s="3" t="n">
        <v>0.0439</v>
      </c>
      <c r="T3381" s="3" t="n">
        <v>0.0097</v>
      </c>
    </row>
    <row r="3382" customFormat="false" ht="15" hidden="false" customHeight="true" outlineLevel="0" collapsed="false">
      <c r="A3382" s="3" t="s">
        <v>4510</v>
      </c>
      <c r="B3382" s="3" t="s">
        <v>166</v>
      </c>
      <c r="C3382" s="3" t="s">
        <v>22</v>
      </c>
      <c r="D3382" s="3" t="s">
        <v>83</v>
      </c>
      <c r="E3382" s="3" t="s">
        <v>48</v>
      </c>
      <c r="F3382" s="3" t="s">
        <v>62</v>
      </c>
      <c r="G3382" s="3" t="s">
        <v>76</v>
      </c>
      <c r="H3382" s="3" t="s">
        <v>27</v>
      </c>
      <c r="I3382" s="3" t="s">
        <v>94</v>
      </c>
      <c r="J3382" s="3" t="n">
        <v>31</v>
      </c>
      <c r="K3382" s="3" t="n">
        <v>12407.26</v>
      </c>
      <c r="L3382" s="3" t="n">
        <v>384625.06</v>
      </c>
      <c r="M3382" s="3" t="n">
        <v>0.0427</v>
      </c>
      <c r="N3382" s="3" t="n">
        <v>16423.49</v>
      </c>
      <c r="O3382" s="3" t="n">
        <v>368201.57</v>
      </c>
      <c r="P3382" s="3" t="n">
        <v>238467.54</v>
      </c>
      <c r="Q3382" s="3" t="n">
        <v>129734.03</v>
      </c>
      <c r="R3382" s="3" t="n">
        <v>0.3523</v>
      </c>
      <c r="S3382" s="3" t="n">
        <v>0.0397</v>
      </c>
      <c r="T3382" s="3" t="n">
        <v>0.003</v>
      </c>
    </row>
    <row r="3383" customFormat="false" ht="15" hidden="false" customHeight="true" outlineLevel="0" collapsed="false">
      <c r="A3383" s="3" t="s">
        <v>4511</v>
      </c>
      <c r="B3383" s="3" t="s">
        <v>302</v>
      </c>
      <c r="C3383" s="3" t="s">
        <v>46</v>
      </c>
      <c r="D3383" s="3" t="s">
        <v>97</v>
      </c>
      <c r="E3383" s="3" t="s">
        <v>48</v>
      </c>
      <c r="F3383" s="3" t="s">
        <v>40</v>
      </c>
      <c r="G3383" s="3" t="s">
        <v>55</v>
      </c>
      <c r="H3383" s="3" t="s">
        <v>64</v>
      </c>
      <c r="I3383" s="3" t="s">
        <v>90</v>
      </c>
      <c r="J3383" s="3" t="n">
        <v>49</v>
      </c>
      <c r="K3383" s="3" t="n">
        <v>9283.68</v>
      </c>
      <c r="L3383" s="3" t="n">
        <v>454900.32</v>
      </c>
      <c r="M3383" s="3" t="n">
        <v>0.0744</v>
      </c>
      <c r="N3383" s="3" t="n">
        <v>33844.58</v>
      </c>
      <c r="O3383" s="3" t="n">
        <v>421055.74</v>
      </c>
      <c r="P3383" s="3" t="n">
        <v>263842.19</v>
      </c>
      <c r="Q3383" s="3" t="n">
        <v>157213.55</v>
      </c>
      <c r="R3383" s="3" t="n">
        <v>0.3734</v>
      </c>
      <c r="S3383" s="3" t="n">
        <v>0.0668</v>
      </c>
      <c r="T3383" s="3" t="n">
        <v>0.0076</v>
      </c>
    </row>
    <row r="3384" customFormat="false" ht="15" hidden="false" customHeight="true" outlineLevel="0" collapsed="false">
      <c r="A3384" s="3" t="s">
        <v>4512</v>
      </c>
      <c r="B3384" s="3" t="s">
        <v>1097</v>
      </c>
      <c r="C3384" s="3" t="s">
        <v>156</v>
      </c>
      <c r="D3384" s="3" t="s">
        <v>75</v>
      </c>
      <c r="E3384" s="3" t="s">
        <v>39</v>
      </c>
      <c r="F3384" s="3" t="s">
        <v>25</v>
      </c>
      <c r="G3384" s="3" t="s">
        <v>26</v>
      </c>
      <c r="H3384" s="3" t="s">
        <v>56</v>
      </c>
      <c r="I3384" s="3" t="s">
        <v>121</v>
      </c>
      <c r="J3384" s="3" t="n">
        <v>22</v>
      </c>
      <c r="K3384" s="3" t="n">
        <v>7235.81</v>
      </c>
      <c r="L3384" s="3" t="n">
        <v>159187.82</v>
      </c>
      <c r="M3384" s="3" t="n">
        <v>0.1313</v>
      </c>
      <c r="N3384" s="3" t="n">
        <v>20901.36</v>
      </c>
      <c r="O3384" s="3" t="n">
        <v>138286.46</v>
      </c>
      <c r="P3384" s="3" t="n">
        <v>95512.69</v>
      </c>
      <c r="Q3384" s="3" t="n">
        <v>42773.77</v>
      </c>
      <c r="R3384" s="3" t="n">
        <v>0.3093</v>
      </c>
      <c r="S3384" s="3" t="n">
        <v>0.1428</v>
      </c>
      <c r="T3384" s="3" t="n">
        <v>-0.0115</v>
      </c>
    </row>
    <row r="3385" customFormat="false" ht="15" hidden="false" customHeight="true" outlineLevel="0" collapsed="false">
      <c r="A3385" s="3" t="s">
        <v>4513</v>
      </c>
      <c r="B3385" s="3" t="s">
        <v>2265</v>
      </c>
      <c r="C3385" s="3" t="s">
        <v>120</v>
      </c>
      <c r="D3385" s="3" t="s">
        <v>61</v>
      </c>
      <c r="E3385" s="3" t="s">
        <v>33</v>
      </c>
      <c r="F3385" s="3" t="s">
        <v>62</v>
      </c>
      <c r="G3385" s="3" t="s">
        <v>116</v>
      </c>
      <c r="H3385" s="3" t="s">
        <v>27</v>
      </c>
      <c r="I3385" s="3" t="s">
        <v>94</v>
      </c>
      <c r="J3385" s="3" t="n">
        <v>45</v>
      </c>
      <c r="K3385" s="3" t="n">
        <v>27790.19</v>
      </c>
      <c r="L3385" s="3" t="n">
        <v>1250558.55</v>
      </c>
      <c r="M3385" s="3" t="n">
        <v>0.0871</v>
      </c>
      <c r="N3385" s="3" t="n">
        <v>108923.65</v>
      </c>
      <c r="O3385" s="3" t="n">
        <v>1141634.9</v>
      </c>
      <c r="P3385" s="3" t="n">
        <v>775346.3</v>
      </c>
      <c r="Q3385" s="3" t="n">
        <v>366288.6</v>
      </c>
      <c r="R3385" s="3" t="n">
        <v>0.3208</v>
      </c>
      <c r="S3385" s="3" t="n">
        <v>0.0731</v>
      </c>
      <c r="T3385" s="3" t="n">
        <v>0.014</v>
      </c>
    </row>
    <row r="3386" customFormat="false" ht="15" hidden="false" customHeight="true" outlineLevel="0" collapsed="false">
      <c r="A3386" s="3" t="s">
        <v>4514</v>
      </c>
      <c r="B3386" s="3" t="s">
        <v>1631</v>
      </c>
      <c r="C3386" s="3" t="s">
        <v>156</v>
      </c>
      <c r="D3386" s="3" t="s">
        <v>75</v>
      </c>
      <c r="E3386" s="3" t="s">
        <v>39</v>
      </c>
      <c r="F3386" s="3" t="s">
        <v>25</v>
      </c>
      <c r="G3386" s="3" t="s">
        <v>104</v>
      </c>
      <c r="H3386" s="3" t="s">
        <v>64</v>
      </c>
      <c r="I3386" s="3" t="s">
        <v>65</v>
      </c>
      <c r="J3386" s="3" t="n">
        <v>1</v>
      </c>
      <c r="K3386" s="3" t="n">
        <v>4888.24</v>
      </c>
      <c r="L3386" s="3" t="n">
        <v>4888.24</v>
      </c>
      <c r="M3386" s="3" t="n">
        <v>0.1602</v>
      </c>
      <c r="N3386" s="3" t="n">
        <v>783.1</v>
      </c>
      <c r="O3386" s="3" t="n">
        <v>4105.14</v>
      </c>
      <c r="P3386" s="3" t="n">
        <v>2835.18</v>
      </c>
      <c r="Q3386" s="3" t="n">
        <v>1269.96</v>
      </c>
      <c r="R3386" s="3" t="n">
        <v>0.3094</v>
      </c>
      <c r="S3386" s="3" t="n">
        <v>0.1355</v>
      </c>
      <c r="T3386" s="3" t="n">
        <v>0.0247</v>
      </c>
    </row>
    <row r="3387" customFormat="false" ht="15" hidden="false" customHeight="true" outlineLevel="0" collapsed="false">
      <c r="A3387" s="3" t="s">
        <v>4515</v>
      </c>
      <c r="B3387" s="3" t="s">
        <v>1633</v>
      </c>
      <c r="C3387" s="3" t="s">
        <v>126</v>
      </c>
      <c r="D3387" s="3" t="s">
        <v>23</v>
      </c>
      <c r="E3387" s="3" t="s">
        <v>24</v>
      </c>
      <c r="F3387" s="3" t="s">
        <v>25</v>
      </c>
      <c r="G3387" s="3" t="s">
        <v>104</v>
      </c>
      <c r="H3387" s="3" t="s">
        <v>56</v>
      </c>
      <c r="I3387" s="3" t="s">
        <v>188</v>
      </c>
      <c r="J3387" s="3" t="n">
        <v>13</v>
      </c>
      <c r="K3387" s="3" t="n">
        <v>13286.23</v>
      </c>
      <c r="L3387" s="3" t="n">
        <v>172720.99</v>
      </c>
      <c r="M3387" s="3" t="n">
        <v>0.2132</v>
      </c>
      <c r="N3387" s="3" t="n">
        <v>36824.12</v>
      </c>
      <c r="O3387" s="3" t="n">
        <v>135896.87</v>
      </c>
      <c r="P3387" s="3" t="n">
        <v>103632.59</v>
      </c>
      <c r="Q3387" s="3" t="n">
        <v>32264.28</v>
      </c>
      <c r="R3387" s="3" t="n">
        <v>0.2374</v>
      </c>
      <c r="S3387" s="3" t="n">
        <v>0.1832</v>
      </c>
      <c r="T3387" s="3" t="n">
        <v>0.03</v>
      </c>
    </row>
    <row r="3388" customFormat="false" ht="15" hidden="false" customHeight="true" outlineLevel="0" collapsed="false">
      <c r="A3388" s="3" t="s">
        <v>4516</v>
      </c>
      <c r="B3388" s="3" t="s">
        <v>4209</v>
      </c>
      <c r="C3388" s="3" t="s">
        <v>60</v>
      </c>
      <c r="D3388" s="3" t="s">
        <v>83</v>
      </c>
      <c r="E3388" s="3" t="s">
        <v>48</v>
      </c>
      <c r="F3388" s="3" t="s">
        <v>62</v>
      </c>
      <c r="G3388" s="3" t="s">
        <v>55</v>
      </c>
      <c r="H3388" s="3" t="s">
        <v>42</v>
      </c>
      <c r="I3388" s="3" t="s">
        <v>43</v>
      </c>
      <c r="J3388" s="3" t="n">
        <v>28</v>
      </c>
      <c r="K3388" s="3" t="n">
        <v>901.55</v>
      </c>
      <c r="L3388" s="3" t="n">
        <v>25243.4</v>
      </c>
      <c r="M3388" s="3" t="n">
        <v>0.0684</v>
      </c>
      <c r="N3388" s="3" t="n">
        <v>1726.65</v>
      </c>
      <c r="O3388" s="3" t="n">
        <v>23516.75</v>
      </c>
      <c r="P3388" s="3" t="n">
        <v>13883.87</v>
      </c>
      <c r="Q3388" s="3" t="n">
        <v>9632.88</v>
      </c>
      <c r="R3388" s="3" t="n">
        <v>0.4096</v>
      </c>
      <c r="S3388" s="3" t="n">
        <v>0.0721</v>
      </c>
      <c r="T3388" s="3" t="n">
        <v>-0.0037</v>
      </c>
    </row>
    <row r="3389" customFormat="false" ht="15" hidden="false" customHeight="true" outlineLevel="0" collapsed="false">
      <c r="A3389" s="3" t="s">
        <v>4517</v>
      </c>
      <c r="B3389" s="3" t="s">
        <v>2789</v>
      </c>
      <c r="C3389" s="3" t="s">
        <v>31</v>
      </c>
      <c r="D3389" s="3" t="s">
        <v>107</v>
      </c>
      <c r="E3389" s="3" t="s">
        <v>33</v>
      </c>
      <c r="F3389" s="3" t="s">
        <v>70</v>
      </c>
      <c r="G3389" s="3" t="s">
        <v>116</v>
      </c>
      <c r="H3389" s="3" t="s">
        <v>27</v>
      </c>
      <c r="I3389" s="3" t="s">
        <v>94</v>
      </c>
      <c r="J3389" s="3" t="n">
        <v>46</v>
      </c>
      <c r="K3389" s="3" t="n">
        <v>35878.4</v>
      </c>
      <c r="L3389" s="3" t="n">
        <v>1650406.4</v>
      </c>
      <c r="M3389" s="3" t="n">
        <v>0.0748</v>
      </c>
      <c r="N3389" s="3" t="n">
        <v>123450.4</v>
      </c>
      <c r="O3389" s="3" t="n">
        <v>1526956</v>
      </c>
      <c r="P3389" s="3" t="n">
        <v>1023251.97</v>
      </c>
      <c r="Q3389" s="3" t="n">
        <v>503704.03</v>
      </c>
      <c r="R3389" s="3" t="n">
        <v>0.3299</v>
      </c>
      <c r="S3389" s="3" t="n">
        <v>0.0736</v>
      </c>
      <c r="T3389" s="3" t="n">
        <v>0.0012</v>
      </c>
    </row>
    <row r="3390" customFormat="false" ht="15" hidden="false" customHeight="true" outlineLevel="0" collapsed="false">
      <c r="A3390" s="3" t="s">
        <v>4518</v>
      </c>
      <c r="B3390" s="3" t="s">
        <v>704</v>
      </c>
      <c r="C3390" s="3" t="s">
        <v>156</v>
      </c>
      <c r="D3390" s="3" t="s">
        <v>107</v>
      </c>
      <c r="E3390" s="3" t="s">
        <v>33</v>
      </c>
      <c r="F3390" s="3" t="s">
        <v>70</v>
      </c>
      <c r="G3390" s="3" t="s">
        <v>71</v>
      </c>
      <c r="H3390" s="3" t="s">
        <v>77</v>
      </c>
      <c r="I3390" s="3" t="s">
        <v>85</v>
      </c>
      <c r="J3390" s="3" t="n">
        <v>16</v>
      </c>
      <c r="K3390" s="3" t="n">
        <v>2666.63</v>
      </c>
      <c r="L3390" s="3" t="n">
        <v>42666.08</v>
      </c>
      <c r="M3390" s="3" t="n">
        <v>0.0403</v>
      </c>
      <c r="N3390" s="3" t="n">
        <v>1719.44</v>
      </c>
      <c r="O3390" s="3" t="n">
        <v>40946.64</v>
      </c>
      <c r="P3390" s="3" t="n">
        <v>29012.93</v>
      </c>
      <c r="Q3390" s="3" t="n">
        <v>11933.71</v>
      </c>
      <c r="R3390" s="3" t="n">
        <v>0.2914</v>
      </c>
      <c r="S3390" s="3" t="n">
        <v>0.0353</v>
      </c>
      <c r="T3390" s="3" t="n">
        <v>0.005</v>
      </c>
    </row>
    <row r="3391" customFormat="false" ht="15" hidden="false" customHeight="true" outlineLevel="0" collapsed="false">
      <c r="A3391" s="3" t="s">
        <v>4519</v>
      </c>
      <c r="B3391" s="3" t="s">
        <v>822</v>
      </c>
      <c r="C3391" s="3" t="s">
        <v>156</v>
      </c>
      <c r="D3391" s="3" t="s">
        <v>54</v>
      </c>
      <c r="E3391" s="3" t="s">
        <v>24</v>
      </c>
      <c r="F3391" s="3" t="s">
        <v>40</v>
      </c>
      <c r="G3391" s="3" t="s">
        <v>104</v>
      </c>
      <c r="H3391" s="3" t="s">
        <v>42</v>
      </c>
      <c r="I3391" s="3" t="s">
        <v>43</v>
      </c>
      <c r="J3391" s="3" t="n">
        <v>28</v>
      </c>
      <c r="K3391" s="3" t="n">
        <v>1863.37</v>
      </c>
      <c r="L3391" s="3" t="n">
        <v>52174.36</v>
      </c>
      <c r="M3391" s="3" t="n">
        <v>0.0928</v>
      </c>
      <c r="N3391" s="3" t="n">
        <v>4841.78</v>
      </c>
      <c r="O3391" s="3" t="n">
        <v>47332.58</v>
      </c>
      <c r="P3391" s="3" t="n">
        <v>28695.9</v>
      </c>
      <c r="Q3391" s="3" t="n">
        <v>18636.68</v>
      </c>
      <c r="R3391" s="3" t="n">
        <v>0.3937</v>
      </c>
      <c r="S3391" s="3" t="n">
        <v>0.0751</v>
      </c>
      <c r="T3391" s="3" t="n">
        <v>0.0177</v>
      </c>
    </row>
    <row r="3392" customFormat="false" ht="15" hidden="false" customHeight="true" outlineLevel="0" collapsed="false">
      <c r="A3392" s="3" t="s">
        <v>4520</v>
      </c>
      <c r="B3392" s="3" t="s">
        <v>339</v>
      </c>
      <c r="C3392" s="3" t="s">
        <v>120</v>
      </c>
      <c r="D3392" s="3" t="s">
        <v>107</v>
      </c>
      <c r="E3392" s="3" t="s">
        <v>33</v>
      </c>
      <c r="F3392" s="3" t="s">
        <v>70</v>
      </c>
      <c r="G3392" s="3" t="s">
        <v>26</v>
      </c>
      <c r="H3392" s="3" t="s">
        <v>42</v>
      </c>
      <c r="I3392" s="3" t="s">
        <v>134</v>
      </c>
      <c r="J3392" s="3" t="n">
        <v>2</v>
      </c>
      <c r="K3392" s="3" t="n">
        <v>1659.51</v>
      </c>
      <c r="L3392" s="3" t="n">
        <v>3319.02</v>
      </c>
      <c r="M3392" s="3" t="n">
        <v>0.035</v>
      </c>
      <c r="N3392" s="3" t="n">
        <v>116.17</v>
      </c>
      <c r="O3392" s="3" t="n">
        <v>3202.85</v>
      </c>
      <c r="P3392" s="3" t="n">
        <v>1825.46</v>
      </c>
      <c r="Q3392" s="3" t="n">
        <v>1377.39</v>
      </c>
      <c r="R3392" s="3" t="n">
        <v>0.4301</v>
      </c>
      <c r="S3392" s="3" t="n">
        <v>0.0331</v>
      </c>
      <c r="T3392" s="3" t="n">
        <v>0.0019</v>
      </c>
    </row>
    <row r="3393" customFormat="false" ht="15" hidden="false" customHeight="true" outlineLevel="0" collapsed="false">
      <c r="A3393" s="3" t="s">
        <v>4521</v>
      </c>
      <c r="B3393" s="3" t="s">
        <v>177</v>
      </c>
      <c r="C3393" s="3" t="s">
        <v>126</v>
      </c>
      <c r="D3393" s="3" t="s">
        <v>54</v>
      </c>
      <c r="E3393" s="3" t="s">
        <v>24</v>
      </c>
      <c r="F3393" s="3" t="s">
        <v>40</v>
      </c>
      <c r="G3393" s="3" t="s">
        <v>26</v>
      </c>
      <c r="H3393" s="3" t="s">
        <v>64</v>
      </c>
      <c r="I3393" s="3" t="s">
        <v>90</v>
      </c>
      <c r="J3393" s="3" t="n">
        <v>1</v>
      </c>
      <c r="K3393" s="3" t="n">
        <v>4529.61</v>
      </c>
      <c r="L3393" s="3" t="n">
        <v>4529.61</v>
      </c>
      <c r="M3393" s="3" t="n">
        <v>0.0593</v>
      </c>
      <c r="N3393" s="3" t="n">
        <v>268.61</v>
      </c>
      <c r="O3393" s="3" t="n">
        <v>4261</v>
      </c>
      <c r="P3393" s="3" t="n">
        <v>2627.17</v>
      </c>
      <c r="Q3393" s="3" t="n">
        <v>1633.83</v>
      </c>
      <c r="R3393" s="3" t="n">
        <v>0.3834</v>
      </c>
      <c r="S3393" s="3" t="n">
        <v>0.0492</v>
      </c>
      <c r="T3393" s="3" t="n">
        <v>0.0101</v>
      </c>
    </row>
    <row r="3394" customFormat="false" ht="15" hidden="false" customHeight="true" outlineLevel="0" collapsed="false">
      <c r="A3394" s="3" t="s">
        <v>4522</v>
      </c>
      <c r="B3394" s="3" t="s">
        <v>639</v>
      </c>
      <c r="C3394" s="3" t="s">
        <v>31</v>
      </c>
      <c r="D3394" s="3" t="s">
        <v>103</v>
      </c>
      <c r="E3394" s="3" t="s">
        <v>24</v>
      </c>
      <c r="F3394" s="3" t="s">
        <v>62</v>
      </c>
      <c r="G3394" s="3" t="s">
        <v>104</v>
      </c>
      <c r="H3394" s="3" t="s">
        <v>27</v>
      </c>
      <c r="I3394" s="3" t="s">
        <v>50</v>
      </c>
      <c r="J3394" s="3" t="n">
        <v>27</v>
      </c>
      <c r="K3394" s="3" t="n">
        <v>28934.3</v>
      </c>
      <c r="L3394" s="3" t="n">
        <v>781226.1</v>
      </c>
      <c r="M3394" s="3" t="n">
        <v>0.1199</v>
      </c>
      <c r="N3394" s="3" t="n">
        <v>93669.01</v>
      </c>
      <c r="O3394" s="3" t="n">
        <v>687557.09</v>
      </c>
      <c r="P3394" s="3" t="n">
        <v>484360.18</v>
      </c>
      <c r="Q3394" s="3" t="n">
        <v>203196.91</v>
      </c>
      <c r="R3394" s="3" t="n">
        <v>0.2955</v>
      </c>
      <c r="S3394" s="3" t="n">
        <v>0.0995</v>
      </c>
      <c r="T3394" s="3" t="n">
        <v>0.0204</v>
      </c>
    </row>
    <row r="3395" customFormat="false" ht="15" hidden="false" customHeight="true" outlineLevel="0" collapsed="false">
      <c r="A3395" s="3" t="s">
        <v>4523</v>
      </c>
      <c r="B3395" s="3" t="s">
        <v>1516</v>
      </c>
      <c r="C3395" s="3" t="s">
        <v>60</v>
      </c>
      <c r="D3395" s="3" t="s">
        <v>97</v>
      </c>
      <c r="E3395" s="3" t="s">
        <v>48</v>
      </c>
      <c r="F3395" s="3" t="s">
        <v>40</v>
      </c>
      <c r="G3395" s="3" t="s">
        <v>49</v>
      </c>
      <c r="H3395" s="3" t="s">
        <v>64</v>
      </c>
      <c r="I3395" s="3" t="s">
        <v>65</v>
      </c>
      <c r="J3395" s="3" t="n">
        <v>46</v>
      </c>
      <c r="K3395" s="3" t="n">
        <v>10528.12</v>
      </c>
      <c r="L3395" s="3" t="n">
        <v>484293.52</v>
      </c>
      <c r="M3395" s="3" t="n">
        <v>0.0466</v>
      </c>
      <c r="N3395" s="3" t="n">
        <v>22568.08</v>
      </c>
      <c r="O3395" s="3" t="n">
        <v>461725.44</v>
      </c>
      <c r="P3395" s="3" t="n">
        <v>280890.24</v>
      </c>
      <c r="Q3395" s="3" t="n">
        <v>180835.2</v>
      </c>
      <c r="R3395" s="3" t="n">
        <v>0.3917</v>
      </c>
      <c r="S3395" s="3" t="n">
        <v>0.047</v>
      </c>
      <c r="T3395" s="3" t="n">
        <v>-0.0004</v>
      </c>
    </row>
    <row r="3396" customFormat="false" ht="15" hidden="false" customHeight="true" outlineLevel="0" collapsed="false">
      <c r="A3396" s="3" t="s">
        <v>4524</v>
      </c>
      <c r="B3396" s="3" t="s">
        <v>74</v>
      </c>
      <c r="C3396" s="3" t="s">
        <v>37</v>
      </c>
      <c r="D3396" s="3" t="s">
        <v>97</v>
      </c>
      <c r="E3396" s="3" t="s">
        <v>48</v>
      </c>
      <c r="F3396" s="3" t="s">
        <v>40</v>
      </c>
      <c r="G3396" s="3" t="s">
        <v>71</v>
      </c>
      <c r="H3396" s="3" t="s">
        <v>64</v>
      </c>
      <c r="I3396" s="3" t="s">
        <v>108</v>
      </c>
      <c r="J3396" s="3" t="n">
        <v>36</v>
      </c>
      <c r="K3396" s="3" t="n">
        <v>10138.65</v>
      </c>
      <c r="L3396" s="3" t="n">
        <v>364991.4</v>
      </c>
      <c r="M3396" s="3" t="n">
        <v>0.0768</v>
      </c>
      <c r="N3396" s="3" t="n">
        <v>28031.34</v>
      </c>
      <c r="O3396" s="3" t="n">
        <v>336960.06</v>
      </c>
      <c r="P3396" s="3" t="n">
        <v>211695.01</v>
      </c>
      <c r="Q3396" s="3" t="n">
        <v>125265.05</v>
      </c>
      <c r="R3396" s="3" t="n">
        <v>0.3718</v>
      </c>
      <c r="S3396" s="3" t="n">
        <v>0.073</v>
      </c>
      <c r="T3396" s="3" t="n">
        <v>0.0038</v>
      </c>
    </row>
    <row r="3397" customFormat="false" ht="15" hidden="false" customHeight="true" outlineLevel="0" collapsed="false">
      <c r="A3397" s="3" t="s">
        <v>4525</v>
      </c>
      <c r="B3397" s="3" t="s">
        <v>502</v>
      </c>
      <c r="C3397" s="3" t="s">
        <v>126</v>
      </c>
      <c r="D3397" s="3" t="s">
        <v>107</v>
      </c>
      <c r="E3397" s="3" t="s">
        <v>33</v>
      </c>
      <c r="F3397" s="3" t="s">
        <v>70</v>
      </c>
      <c r="G3397" s="3" t="s">
        <v>71</v>
      </c>
      <c r="H3397" s="3" t="s">
        <v>64</v>
      </c>
      <c r="I3397" s="3" t="s">
        <v>90</v>
      </c>
      <c r="J3397" s="3" t="n">
        <v>20</v>
      </c>
      <c r="K3397" s="3" t="n">
        <v>7005.48</v>
      </c>
      <c r="L3397" s="3" t="n">
        <v>140109.6</v>
      </c>
      <c r="M3397" s="3" t="n">
        <v>0.0418</v>
      </c>
      <c r="N3397" s="3" t="n">
        <v>5856.58</v>
      </c>
      <c r="O3397" s="3" t="n">
        <v>134253.02</v>
      </c>
      <c r="P3397" s="3" t="n">
        <v>81263.57</v>
      </c>
      <c r="Q3397" s="3" t="n">
        <v>52989.45</v>
      </c>
      <c r="R3397" s="3" t="n">
        <v>0.3947</v>
      </c>
      <c r="S3397" s="3" t="n">
        <v>0.0427</v>
      </c>
      <c r="T3397" s="3" t="n">
        <v>-0.0009</v>
      </c>
    </row>
    <row r="3398" customFormat="false" ht="15" hidden="false" customHeight="true" outlineLevel="0" collapsed="false">
      <c r="A3398" s="3" t="s">
        <v>4526</v>
      </c>
      <c r="B3398" s="3" t="s">
        <v>1805</v>
      </c>
      <c r="C3398" s="3" t="s">
        <v>113</v>
      </c>
      <c r="D3398" s="3" t="s">
        <v>97</v>
      </c>
      <c r="E3398" s="3" t="s">
        <v>48</v>
      </c>
      <c r="F3398" s="3" t="s">
        <v>40</v>
      </c>
      <c r="G3398" s="3" t="s">
        <v>63</v>
      </c>
      <c r="H3398" s="3" t="s">
        <v>42</v>
      </c>
      <c r="I3398" s="3" t="s">
        <v>134</v>
      </c>
      <c r="J3398" s="3" t="n">
        <v>22</v>
      </c>
      <c r="K3398" s="3" t="n">
        <v>1110.25</v>
      </c>
      <c r="L3398" s="3" t="n">
        <v>24425.5</v>
      </c>
      <c r="M3398" s="3" t="n">
        <v>0.0673</v>
      </c>
      <c r="N3398" s="3" t="n">
        <v>1643.84</v>
      </c>
      <c r="O3398" s="3" t="n">
        <v>22781.66</v>
      </c>
      <c r="P3398" s="3" t="n">
        <v>13434.03</v>
      </c>
      <c r="Q3398" s="3" t="n">
        <v>9347.63</v>
      </c>
      <c r="R3398" s="3" t="n">
        <v>0.4103</v>
      </c>
      <c r="S3398" s="3" t="n">
        <v>0.0659</v>
      </c>
      <c r="T3398" s="3" t="n">
        <v>0.0014</v>
      </c>
    </row>
    <row r="3399" customFormat="false" ht="15" hidden="false" customHeight="true" outlineLevel="0" collapsed="false">
      <c r="A3399" s="3" t="s">
        <v>4527</v>
      </c>
      <c r="B3399" s="3" t="s">
        <v>1183</v>
      </c>
      <c r="C3399" s="3" t="s">
        <v>31</v>
      </c>
      <c r="D3399" s="3" t="s">
        <v>32</v>
      </c>
      <c r="E3399" s="3" t="s">
        <v>33</v>
      </c>
      <c r="F3399" s="3" t="s">
        <v>25</v>
      </c>
      <c r="G3399" s="3" t="s">
        <v>116</v>
      </c>
      <c r="H3399" s="3" t="s">
        <v>27</v>
      </c>
      <c r="I3399" s="3" t="s">
        <v>28</v>
      </c>
      <c r="J3399" s="3" t="n">
        <v>50</v>
      </c>
      <c r="K3399" s="3" t="n">
        <v>37268.33</v>
      </c>
      <c r="L3399" s="3" t="n">
        <v>1863416.5</v>
      </c>
      <c r="M3399" s="3" t="n">
        <v>0.1442</v>
      </c>
      <c r="N3399" s="3" t="n">
        <v>268704.66</v>
      </c>
      <c r="O3399" s="3" t="n">
        <v>1594711.84</v>
      </c>
      <c r="P3399" s="3" t="n">
        <v>1155318.23</v>
      </c>
      <c r="Q3399" s="3" t="n">
        <v>439393.61</v>
      </c>
      <c r="R3399" s="3" t="n">
        <v>0.2755</v>
      </c>
      <c r="S3399" s="3" t="n">
        <v>0.1515</v>
      </c>
      <c r="T3399" s="3" t="n">
        <v>-0.0073</v>
      </c>
    </row>
    <row r="3400" customFormat="false" ht="15" hidden="false" customHeight="true" outlineLevel="0" collapsed="false">
      <c r="A3400" s="3" t="s">
        <v>4528</v>
      </c>
      <c r="B3400" s="3" t="s">
        <v>618</v>
      </c>
      <c r="C3400" s="3" t="s">
        <v>113</v>
      </c>
      <c r="D3400" s="3" t="s">
        <v>83</v>
      </c>
      <c r="E3400" s="3" t="s">
        <v>48</v>
      </c>
      <c r="F3400" s="3" t="s">
        <v>62</v>
      </c>
      <c r="G3400" s="3" t="s">
        <v>100</v>
      </c>
      <c r="H3400" s="3" t="s">
        <v>77</v>
      </c>
      <c r="I3400" s="3" t="s">
        <v>85</v>
      </c>
      <c r="J3400" s="3" t="n">
        <v>12</v>
      </c>
      <c r="K3400" s="3" t="n">
        <v>3850.38</v>
      </c>
      <c r="L3400" s="3" t="n">
        <v>46204.56</v>
      </c>
      <c r="M3400" s="3" t="n">
        <v>0.0501</v>
      </c>
      <c r="N3400" s="3" t="n">
        <v>2314.85</v>
      </c>
      <c r="O3400" s="3" t="n">
        <v>43889.71</v>
      </c>
      <c r="P3400" s="3" t="n">
        <v>31419.1</v>
      </c>
      <c r="Q3400" s="3" t="n">
        <v>12470.61</v>
      </c>
      <c r="R3400" s="3" t="n">
        <v>0.2841</v>
      </c>
      <c r="S3400" s="3" t="n">
        <v>0.0413</v>
      </c>
      <c r="T3400" s="3" t="n">
        <v>0.0088</v>
      </c>
    </row>
    <row r="3401" customFormat="false" ht="15" hidden="false" customHeight="true" outlineLevel="0" collapsed="false">
      <c r="A3401" s="3" t="s">
        <v>4529</v>
      </c>
      <c r="B3401" s="3" t="s">
        <v>4530</v>
      </c>
      <c r="C3401" s="3" t="s">
        <v>46</v>
      </c>
      <c r="D3401" s="3" t="s">
        <v>83</v>
      </c>
      <c r="E3401" s="3" t="s">
        <v>48</v>
      </c>
      <c r="F3401" s="3" t="s">
        <v>62</v>
      </c>
      <c r="G3401" s="3" t="s">
        <v>55</v>
      </c>
      <c r="H3401" s="3" t="s">
        <v>42</v>
      </c>
      <c r="I3401" s="3" t="s">
        <v>72</v>
      </c>
      <c r="J3401" s="3" t="n">
        <v>16</v>
      </c>
      <c r="K3401" s="3" t="n">
        <v>565.38</v>
      </c>
      <c r="L3401" s="3" t="n">
        <v>9046.08</v>
      </c>
      <c r="M3401" s="3" t="n">
        <v>0.031</v>
      </c>
      <c r="N3401" s="3" t="n">
        <v>280.43</v>
      </c>
      <c r="O3401" s="3" t="n">
        <v>8765.65</v>
      </c>
      <c r="P3401" s="3" t="n">
        <v>4975.34</v>
      </c>
      <c r="Q3401" s="3" t="n">
        <v>3790.31</v>
      </c>
      <c r="R3401" s="3" t="n">
        <v>0.4324</v>
      </c>
      <c r="S3401" s="3" t="n">
        <v>0.0323</v>
      </c>
      <c r="T3401" s="3" t="n">
        <v>-0.0013</v>
      </c>
    </row>
    <row r="3402" customFormat="false" ht="15" hidden="false" customHeight="true" outlineLevel="0" collapsed="false">
      <c r="A3402" s="3" t="s">
        <v>4531</v>
      </c>
      <c r="B3402" s="3" t="s">
        <v>1227</v>
      </c>
      <c r="C3402" s="3" t="s">
        <v>31</v>
      </c>
      <c r="D3402" s="3" t="s">
        <v>107</v>
      </c>
      <c r="E3402" s="3" t="s">
        <v>33</v>
      </c>
      <c r="F3402" s="3" t="s">
        <v>70</v>
      </c>
      <c r="G3402" s="3" t="s">
        <v>26</v>
      </c>
      <c r="H3402" s="3" t="s">
        <v>56</v>
      </c>
      <c r="I3402" s="3" t="s">
        <v>188</v>
      </c>
      <c r="J3402" s="3" t="n">
        <v>31</v>
      </c>
      <c r="K3402" s="3" t="n">
        <v>14147.72</v>
      </c>
      <c r="L3402" s="3" t="n">
        <v>438579.32</v>
      </c>
      <c r="M3402" s="3" t="n">
        <v>0.0359</v>
      </c>
      <c r="N3402" s="3" t="n">
        <v>15745</v>
      </c>
      <c r="O3402" s="3" t="n">
        <v>422834.32</v>
      </c>
      <c r="P3402" s="3" t="n">
        <v>263147.59</v>
      </c>
      <c r="Q3402" s="3" t="n">
        <v>159686.73</v>
      </c>
      <c r="R3402" s="3" t="n">
        <v>0.3777</v>
      </c>
      <c r="S3402" s="3" t="n">
        <v>0.0294</v>
      </c>
      <c r="T3402" s="3" t="n">
        <v>0.0065</v>
      </c>
    </row>
    <row r="3403" customFormat="false" ht="15" hidden="false" customHeight="true" outlineLevel="0" collapsed="false">
      <c r="A3403" s="3" t="s">
        <v>4532</v>
      </c>
      <c r="B3403" s="3" t="s">
        <v>3352</v>
      </c>
      <c r="C3403" s="3" t="s">
        <v>37</v>
      </c>
      <c r="D3403" s="3" t="s">
        <v>54</v>
      </c>
      <c r="E3403" s="3" t="s">
        <v>24</v>
      </c>
      <c r="F3403" s="3" t="s">
        <v>40</v>
      </c>
      <c r="G3403" s="3" t="s">
        <v>55</v>
      </c>
      <c r="H3403" s="3" t="s">
        <v>64</v>
      </c>
      <c r="I3403" s="3" t="s">
        <v>108</v>
      </c>
      <c r="J3403" s="3" t="n">
        <v>15</v>
      </c>
      <c r="K3403" s="3" t="n">
        <v>11924.89</v>
      </c>
      <c r="L3403" s="3" t="n">
        <v>178873.35</v>
      </c>
      <c r="M3403" s="3" t="n">
        <v>0.0484</v>
      </c>
      <c r="N3403" s="3" t="n">
        <v>8657.47</v>
      </c>
      <c r="O3403" s="3" t="n">
        <v>170215.88</v>
      </c>
      <c r="P3403" s="3" t="n">
        <v>103746.54</v>
      </c>
      <c r="Q3403" s="3" t="n">
        <v>66469.34</v>
      </c>
      <c r="R3403" s="3" t="n">
        <v>0.3905</v>
      </c>
      <c r="S3403" s="3" t="n">
        <v>0.0527</v>
      </c>
      <c r="T3403" s="3" t="n">
        <v>-0.0043</v>
      </c>
    </row>
    <row r="3404" customFormat="false" ht="15" hidden="false" customHeight="true" outlineLevel="0" collapsed="false">
      <c r="A3404" s="3" t="s">
        <v>4533</v>
      </c>
      <c r="B3404" s="3" t="s">
        <v>1069</v>
      </c>
      <c r="C3404" s="3" t="s">
        <v>31</v>
      </c>
      <c r="D3404" s="3" t="s">
        <v>54</v>
      </c>
      <c r="E3404" s="3" t="s">
        <v>24</v>
      </c>
      <c r="F3404" s="3" t="s">
        <v>40</v>
      </c>
      <c r="G3404" s="3" t="s">
        <v>41</v>
      </c>
      <c r="H3404" s="3" t="s">
        <v>42</v>
      </c>
      <c r="I3404" s="3" t="s">
        <v>72</v>
      </c>
      <c r="J3404" s="3" t="n">
        <v>48</v>
      </c>
      <c r="K3404" s="3" t="n">
        <v>658.18</v>
      </c>
      <c r="L3404" s="3" t="n">
        <v>31592.64</v>
      </c>
      <c r="M3404" s="3" t="n">
        <v>0.1122</v>
      </c>
      <c r="N3404" s="3" t="n">
        <v>3544.69</v>
      </c>
      <c r="O3404" s="3" t="n">
        <v>28047.95</v>
      </c>
      <c r="P3404" s="3" t="n">
        <v>17375.95</v>
      </c>
      <c r="Q3404" s="3" t="n">
        <v>10672</v>
      </c>
      <c r="R3404" s="3" t="n">
        <v>0.3805</v>
      </c>
      <c r="S3404" s="3" t="n">
        <v>0.1006</v>
      </c>
      <c r="T3404" s="3" t="n">
        <v>0.0116</v>
      </c>
    </row>
    <row r="3405" customFormat="false" ht="15" hidden="false" customHeight="true" outlineLevel="0" collapsed="false">
      <c r="A3405" s="3" t="s">
        <v>4534</v>
      </c>
      <c r="B3405" s="3" t="s">
        <v>4535</v>
      </c>
      <c r="C3405" s="3" t="s">
        <v>53</v>
      </c>
      <c r="D3405" s="3" t="s">
        <v>83</v>
      </c>
      <c r="E3405" s="3" t="s">
        <v>48</v>
      </c>
      <c r="F3405" s="3" t="s">
        <v>62</v>
      </c>
      <c r="G3405" s="3" t="s">
        <v>116</v>
      </c>
      <c r="H3405" s="3" t="s">
        <v>56</v>
      </c>
      <c r="I3405" s="3" t="s">
        <v>121</v>
      </c>
      <c r="J3405" s="3" t="n">
        <v>13</v>
      </c>
      <c r="K3405" s="3" t="n">
        <v>3711.6</v>
      </c>
      <c r="L3405" s="3" t="n">
        <v>48250.8</v>
      </c>
      <c r="M3405" s="3" t="n">
        <v>0.1288</v>
      </c>
      <c r="N3405" s="3" t="n">
        <v>6214.7</v>
      </c>
      <c r="O3405" s="3" t="n">
        <v>42036.1</v>
      </c>
      <c r="P3405" s="3" t="n">
        <v>28950.48</v>
      </c>
      <c r="Q3405" s="3" t="n">
        <v>13085.62</v>
      </c>
      <c r="R3405" s="3" t="n">
        <v>0.3113</v>
      </c>
      <c r="S3405" s="3" t="n">
        <v>0.1038</v>
      </c>
      <c r="T3405" s="3" t="n">
        <v>0.025</v>
      </c>
    </row>
    <row r="3406" customFormat="false" ht="15" hidden="false" customHeight="true" outlineLevel="0" collapsed="false">
      <c r="A3406" s="3" t="s">
        <v>4536</v>
      </c>
      <c r="B3406" s="3" t="s">
        <v>227</v>
      </c>
      <c r="C3406" s="3" t="s">
        <v>37</v>
      </c>
      <c r="D3406" s="3" t="s">
        <v>54</v>
      </c>
      <c r="E3406" s="3" t="s">
        <v>24</v>
      </c>
      <c r="F3406" s="3" t="s">
        <v>40</v>
      </c>
      <c r="G3406" s="3" t="s">
        <v>63</v>
      </c>
      <c r="H3406" s="3" t="s">
        <v>42</v>
      </c>
      <c r="I3406" s="3" t="s">
        <v>134</v>
      </c>
      <c r="J3406" s="3" t="n">
        <v>29</v>
      </c>
      <c r="K3406" s="3" t="n">
        <v>3900.48</v>
      </c>
      <c r="L3406" s="3" t="n">
        <v>113113.92</v>
      </c>
      <c r="M3406" s="3" t="n">
        <v>0.0737</v>
      </c>
      <c r="N3406" s="3" t="n">
        <v>8336.5</v>
      </c>
      <c r="O3406" s="3" t="n">
        <v>104777.42</v>
      </c>
      <c r="P3406" s="3" t="n">
        <v>62212.66</v>
      </c>
      <c r="Q3406" s="3" t="n">
        <v>42564.76</v>
      </c>
      <c r="R3406" s="3" t="n">
        <v>0.4062</v>
      </c>
      <c r="S3406" s="3" t="n">
        <v>0.0759</v>
      </c>
      <c r="T3406" s="3" t="n">
        <v>-0.0022</v>
      </c>
    </row>
    <row r="3407" customFormat="false" ht="15" hidden="false" customHeight="true" outlineLevel="0" collapsed="false">
      <c r="A3407" s="3" t="s">
        <v>4537</v>
      </c>
      <c r="B3407" s="3" t="s">
        <v>1444</v>
      </c>
      <c r="C3407" s="3" t="s">
        <v>68</v>
      </c>
      <c r="D3407" s="3" t="s">
        <v>23</v>
      </c>
      <c r="E3407" s="3" t="s">
        <v>24</v>
      </c>
      <c r="F3407" s="3" t="s">
        <v>25</v>
      </c>
      <c r="G3407" s="3" t="s">
        <v>63</v>
      </c>
      <c r="H3407" s="3" t="s">
        <v>27</v>
      </c>
      <c r="I3407" s="3" t="s">
        <v>28</v>
      </c>
      <c r="J3407" s="3" t="n">
        <v>37</v>
      </c>
      <c r="K3407" s="3" t="n">
        <v>8018</v>
      </c>
      <c r="L3407" s="3" t="n">
        <v>296666</v>
      </c>
      <c r="M3407" s="3" t="n">
        <v>0.1869</v>
      </c>
      <c r="N3407" s="3" t="n">
        <v>55446.88</v>
      </c>
      <c r="O3407" s="3" t="n">
        <v>241219.12</v>
      </c>
      <c r="P3407" s="3" t="n">
        <v>183932.92</v>
      </c>
      <c r="Q3407" s="3" t="n">
        <v>57286.2</v>
      </c>
      <c r="R3407" s="3" t="n">
        <v>0.2375</v>
      </c>
      <c r="S3407" s="3" t="n">
        <v>0.1815</v>
      </c>
      <c r="T3407" s="3" t="n">
        <v>0.0054</v>
      </c>
    </row>
    <row r="3408" customFormat="false" ht="15" hidden="false" customHeight="true" outlineLevel="0" collapsed="false">
      <c r="A3408" s="3" t="s">
        <v>4538</v>
      </c>
      <c r="B3408" s="3" t="s">
        <v>742</v>
      </c>
      <c r="C3408" s="3" t="s">
        <v>113</v>
      </c>
      <c r="D3408" s="3" t="s">
        <v>32</v>
      </c>
      <c r="E3408" s="3" t="s">
        <v>33</v>
      </c>
      <c r="F3408" s="3" t="s">
        <v>25</v>
      </c>
      <c r="G3408" s="3" t="s">
        <v>71</v>
      </c>
      <c r="H3408" s="3" t="s">
        <v>27</v>
      </c>
      <c r="I3408" s="3" t="s">
        <v>50</v>
      </c>
      <c r="J3408" s="3" t="n">
        <v>11</v>
      </c>
      <c r="K3408" s="3" t="n">
        <v>37707.73</v>
      </c>
      <c r="L3408" s="3" t="n">
        <v>414785.03</v>
      </c>
      <c r="M3408" s="3" t="n">
        <v>0.1412</v>
      </c>
      <c r="N3408" s="3" t="n">
        <v>58567.65</v>
      </c>
      <c r="O3408" s="3" t="n">
        <v>356217.38</v>
      </c>
      <c r="P3408" s="3" t="n">
        <v>257166.72</v>
      </c>
      <c r="Q3408" s="3" t="n">
        <v>99050.66</v>
      </c>
      <c r="R3408" s="3" t="n">
        <v>0.2781</v>
      </c>
      <c r="S3408" s="3" t="n">
        <v>0.129</v>
      </c>
      <c r="T3408" s="3" t="n">
        <v>0.0122</v>
      </c>
    </row>
    <row r="3409" customFormat="false" ht="15" hidden="false" customHeight="true" outlineLevel="0" collapsed="false">
      <c r="A3409" s="3" t="s">
        <v>4539</v>
      </c>
      <c r="B3409" s="3" t="s">
        <v>1458</v>
      </c>
      <c r="C3409" s="3" t="s">
        <v>22</v>
      </c>
      <c r="D3409" s="3" t="s">
        <v>107</v>
      </c>
      <c r="E3409" s="3" t="s">
        <v>33</v>
      </c>
      <c r="F3409" s="3" t="s">
        <v>70</v>
      </c>
      <c r="G3409" s="3" t="s">
        <v>104</v>
      </c>
      <c r="H3409" s="3" t="s">
        <v>56</v>
      </c>
      <c r="I3409" s="3" t="s">
        <v>57</v>
      </c>
      <c r="J3409" s="3" t="n">
        <v>33</v>
      </c>
      <c r="K3409" s="3" t="n">
        <v>2124.2</v>
      </c>
      <c r="L3409" s="3" t="n">
        <v>70098.6</v>
      </c>
      <c r="M3409" s="3" t="n">
        <v>0.0781</v>
      </c>
      <c r="N3409" s="3" t="n">
        <v>5474.7</v>
      </c>
      <c r="O3409" s="3" t="n">
        <v>64623.9</v>
      </c>
      <c r="P3409" s="3" t="n">
        <v>42059.16</v>
      </c>
      <c r="Q3409" s="3" t="n">
        <v>22564.74</v>
      </c>
      <c r="R3409" s="3" t="n">
        <v>0.3492</v>
      </c>
      <c r="S3409" s="3" t="n">
        <v>0.0655</v>
      </c>
      <c r="T3409" s="3" t="n">
        <v>0.0126</v>
      </c>
    </row>
    <row r="3410" customFormat="false" ht="15" hidden="false" customHeight="true" outlineLevel="0" collapsed="false">
      <c r="A3410" s="3" t="s">
        <v>4540</v>
      </c>
      <c r="B3410" s="3" t="s">
        <v>1933</v>
      </c>
      <c r="C3410" s="3" t="s">
        <v>68</v>
      </c>
      <c r="D3410" s="3" t="s">
        <v>107</v>
      </c>
      <c r="E3410" s="3" t="s">
        <v>33</v>
      </c>
      <c r="F3410" s="3" t="s">
        <v>70</v>
      </c>
      <c r="G3410" s="3" t="s">
        <v>55</v>
      </c>
      <c r="H3410" s="3" t="s">
        <v>56</v>
      </c>
      <c r="I3410" s="3" t="s">
        <v>121</v>
      </c>
      <c r="J3410" s="3" t="n">
        <v>15</v>
      </c>
      <c r="K3410" s="3" t="n">
        <v>11878.84</v>
      </c>
      <c r="L3410" s="3" t="n">
        <v>178182.6</v>
      </c>
      <c r="M3410" s="3" t="n">
        <v>0.0304</v>
      </c>
      <c r="N3410" s="3" t="n">
        <v>5416.75</v>
      </c>
      <c r="O3410" s="3" t="n">
        <v>172765.85</v>
      </c>
      <c r="P3410" s="3" t="n">
        <v>106909.56</v>
      </c>
      <c r="Q3410" s="3" t="n">
        <v>65856.29</v>
      </c>
      <c r="R3410" s="3" t="n">
        <v>0.3812</v>
      </c>
      <c r="S3410" s="3" t="n">
        <v>0.0268</v>
      </c>
      <c r="T3410" s="3" t="n">
        <v>0.0036</v>
      </c>
    </row>
    <row r="3411" customFormat="false" ht="15" hidden="false" customHeight="true" outlineLevel="0" collapsed="false">
      <c r="A3411" s="3" t="s">
        <v>4541</v>
      </c>
      <c r="B3411" s="3" t="s">
        <v>726</v>
      </c>
      <c r="C3411" s="3" t="s">
        <v>93</v>
      </c>
      <c r="D3411" s="3" t="s">
        <v>61</v>
      </c>
      <c r="E3411" s="3" t="s">
        <v>33</v>
      </c>
      <c r="F3411" s="3" t="s">
        <v>62</v>
      </c>
      <c r="G3411" s="3" t="s">
        <v>26</v>
      </c>
      <c r="H3411" s="3" t="s">
        <v>27</v>
      </c>
      <c r="I3411" s="3" t="s">
        <v>117</v>
      </c>
      <c r="J3411" s="3" t="n">
        <v>39</v>
      </c>
      <c r="K3411" s="3" t="n">
        <v>34787.25</v>
      </c>
      <c r="L3411" s="3" t="n">
        <v>1356702.75</v>
      </c>
      <c r="M3411" s="3" t="n">
        <v>0.0678</v>
      </c>
      <c r="N3411" s="3" t="n">
        <v>91984.45</v>
      </c>
      <c r="O3411" s="3" t="n">
        <v>1264718.3</v>
      </c>
      <c r="P3411" s="3" t="n">
        <v>841155.7</v>
      </c>
      <c r="Q3411" s="3" t="n">
        <v>423562.6</v>
      </c>
      <c r="R3411" s="3" t="n">
        <v>0.3349</v>
      </c>
      <c r="S3411" s="3" t="n">
        <v>0.0659</v>
      </c>
      <c r="T3411" s="3" t="n">
        <v>0.0019</v>
      </c>
    </row>
    <row r="3412" customFormat="false" ht="15" hidden="false" customHeight="true" outlineLevel="0" collapsed="false">
      <c r="A3412" s="3" t="s">
        <v>4542</v>
      </c>
      <c r="B3412" s="3" t="s">
        <v>112</v>
      </c>
      <c r="C3412" s="3" t="s">
        <v>113</v>
      </c>
      <c r="D3412" s="3" t="s">
        <v>38</v>
      </c>
      <c r="E3412" s="3" t="s">
        <v>39</v>
      </c>
      <c r="F3412" s="3" t="s">
        <v>40</v>
      </c>
      <c r="G3412" s="3" t="s">
        <v>116</v>
      </c>
      <c r="H3412" s="3" t="s">
        <v>64</v>
      </c>
      <c r="I3412" s="3" t="s">
        <v>90</v>
      </c>
      <c r="J3412" s="3" t="n">
        <v>22</v>
      </c>
      <c r="K3412" s="3" t="n">
        <v>8700.61</v>
      </c>
      <c r="L3412" s="3" t="n">
        <v>191413.42</v>
      </c>
      <c r="M3412" s="3" t="n">
        <v>0.1222</v>
      </c>
      <c r="N3412" s="3" t="n">
        <v>23390.72</v>
      </c>
      <c r="O3412" s="3" t="n">
        <v>168022.7</v>
      </c>
      <c r="P3412" s="3" t="n">
        <v>111019.78</v>
      </c>
      <c r="Q3412" s="3" t="n">
        <v>57002.92</v>
      </c>
      <c r="R3412" s="3" t="n">
        <v>0.3393</v>
      </c>
      <c r="S3412" s="3" t="n">
        <v>0.1055</v>
      </c>
      <c r="T3412" s="3" t="n">
        <v>0.0167</v>
      </c>
    </row>
    <row r="3413" customFormat="false" ht="15" hidden="false" customHeight="true" outlineLevel="0" collapsed="false">
      <c r="A3413" s="3" t="s">
        <v>4543</v>
      </c>
      <c r="B3413" s="3" t="s">
        <v>404</v>
      </c>
      <c r="C3413" s="3" t="s">
        <v>68</v>
      </c>
      <c r="D3413" s="3" t="s">
        <v>23</v>
      </c>
      <c r="E3413" s="3" t="s">
        <v>24</v>
      </c>
      <c r="F3413" s="3" t="s">
        <v>25</v>
      </c>
      <c r="G3413" s="3" t="s">
        <v>100</v>
      </c>
      <c r="H3413" s="3" t="s">
        <v>77</v>
      </c>
      <c r="I3413" s="3" t="s">
        <v>85</v>
      </c>
      <c r="J3413" s="3" t="n">
        <v>44</v>
      </c>
      <c r="K3413" s="3" t="n">
        <v>5433.26</v>
      </c>
      <c r="L3413" s="3" t="n">
        <v>239063.44</v>
      </c>
      <c r="M3413" s="3" t="n">
        <v>0.1539</v>
      </c>
      <c r="N3413" s="3" t="n">
        <v>36791.86</v>
      </c>
      <c r="O3413" s="3" t="n">
        <v>202271.58</v>
      </c>
      <c r="P3413" s="3" t="n">
        <v>162563.14</v>
      </c>
      <c r="Q3413" s="3" t="n">
        <v>39708.44</v>
      </c>
      <c r="R3413" s="3" t="n">
        <v>0.1963</v>
      </c>
      <c r="S3413" s="3" t="n">
        <v>0.14</v>
      </c>
      <c r="T3413" s="3" t="n">
        <v>0.0139</v>
      </c>
    </row>
    <row r="3414" customFormat="false" ht="15" hidden="false" customHeight="true" outlineLevel="0" collapsed="false">
      <c r="A3414" s="3" t="s">
        <v>4544</v>
      </c>
      <c r="B3414" s="3" t="s">
        <v>1868</v>
      </c>
      <c r="C3414" s="3" t="s">
        <v>53</v>
      </c>
      <c r="D3414" s="3" t="s">
        <v>23</v>
      </c>
      <c r="E3414" s="3" t="s">
        <v>24</v>
      </c>
      <c r="F3414" s="3" t="s">
        <v>25</v>
      </c>
      <c r="G3414" s="3" t="s">
        <v>100</v>
      </c>
      <c r="H3414" s="3" t="s">
        <v>56</v>
      </c>
      <c r="I3414" s="3" t="s">
        <v>121</v>
      </c>
      <c r="J3414" s="3" t="n">
        <v>42</v>
      </c>
      <c r="K3414" s="3" t="n">
        <v>8345.02</v>
      </c>
      <c r="L3414" s="3" t="n">
        <v>350490.84</v>
      </c>
      <c r="M3414" s="3" t="n">
        <v>0.1371</v>
      </c>
      <c r="N3414" s="3" t="n">
        <v>48052.29</v>
      </c>
      <c r="O3414" s="3" t="n">
        <v>302438.55</v>
      </c>
      <c r="P3414" s="3" t="n">
        <v>210294.5</v>
      </c>
      <c r="Q3414" s="3" t="n">
        <v>92144.05</v>
      </c>
      <c r="R3414" s="3" t="n">
        <v>0.3047</v>
      </c>
      <c r="S3414" s="3" t="n">
        <v>0.1416</v>
      </c>
      <c r="T3414" s="3" t="n">
        <v>-0.0045</v>
      </c>
    </row>
    <row r="3415" customFormat="false" ht="15" hidden="false" customHeight="true" outlineLevel="0" collapsed="false">
      <c r="A3415" s="3" t="s">
        <v>4545</v>
      </c>
      <c r="B3415" s="3" t="s">
        <v>2645</v>
      </c>
      <c r="C3415" s="3" t="s">
        <v>156</v>
      </c>
      <c r="D3415" s="3" t="s">
        <v>38</v>
      </c>
      <c r="E3415" s="3" t="s">
        <v>39</v>
      </c>
      <c r="F3415" s="3" t="s">
        <v>40</v>
      </c>
      <c r="G3415" s="3" t="s">
        <v>26</v>
      </c>
      <c r="H3415" s="3" t="s">
        <v>77</v>
      </c>
      <c r="I3415" s="3" t="s">
        <v>78</v>
      </c>
      <c r="J3415" s="3" t="n">
        <v>46</v>
      </c>
      <c r="K3415" s="3" t="n">
        <v>2365.02</v>
      </c>
      <c r="L3415" s="3" t="n">
        <v>108790.92</v>
      </c>
      <c r="M3415" s="3" t="n">
        <v>0.0755</v>
      </c>
      <c r="N3415" s="3" t="n">
        <v>8213.71</v>
      </c>
      <c r="O3415" s="3" t="n">
        <v>100577.21</v>
      </c>
      <c r="P3415" s="3" t="n">
        <v>73977.83</v>
      </c>
      <c r="Q3415" s="3" t="n">
        <v>26599.38</v>
      </c>
      <c r="R3415" s="3" t="n">
        <v>0.2645</v>
      </c>
      <c r="S3415" s="3" t="n">
        <v>0.075</v>
      </c>
      <c r="T3415" s="3" t="n">
        <v>0.0005</v>
      </c>
    </row>
    <row r="3416" customFormat="false" ht="15" hidden="false" customHeight="true" outlineLevel="0" collapsed="false">
      <c r="A3416" s="3" t="s">
        <v>4546</v>
      </c>
      <c r="B3416" s="3" t="s">
        <v>2694</v>
      </c>
      <c r="C3416" s="3" t="s">
        <v>126</v>
      </c>
      <c r="D3416" s="3" t="s">
        <v>83</v>
      </c>
      <c r="E3416" s="3" t="s">
        <v>48</v>
      </c>
      <c r="F3416" s="3" t="s">
        <v>62</v>
      </c>
      <c r="G3416" s="3" t="s">
        <v>55</v>
      </c>
      <c r="H3416" s="3" t="s">
        <v>64</v>
      </c>
      <c r="I3416" s="3" t="s">
        <v>90</v>
      </c>
      <c r="J3416" s="3" t="n">
        <v>38</v>
      </c>
      <c r="K3416" s="3" t="n">
        <v>5561.1</v>
      </c>
      <c r="L3416" s="3" t="n">
        <v>211321.8</v>
      </c>
      <c r="M3416" s="3" t="n">
        <v>0.079</v>
      </c>
      <c r="N3416" s="3" t="n">
        <v>16694.42</v>
      </c>
      <c r="O3416" s="3" t="n">
        <v>194627.38</v>
      </c>
      <c r="P3416" s="3" t="n">
        <v>122566.64</v>
      </c>
      <c r="Q3416" s="3" t="n">
        <v>72060.74</v>
      </c>
      <c r="R3416" s="3" t="n">
        <v>0.3702</v>
      </c>
      <c r="S3416" s="3" t="n">
        <v>0.0817</v>
      </c>
      <c r="T3416" s="3" t="n">
        <v>-0.0027</v>
      </c>
    </row>
    <row r="3417" customFormat="false" ht="15" hidden="false" customHeight="true" outlineLevel="0" collapsed="false">
      <c r="A3417" s="3" t="s">
        <v>4547</v>
      </c>
      <c r="B3417" s="3" t="s">
        <v>4373</v>
      </c>
      <c r="C3417" s="3" t="s">
        <v>156</v>
      </c>
      <c r="D3417" s="3" t="s">
        <v>103</v>
      </c>
      <c r="E3417" s="3" t="s">
        <v>24</v>
      </c>
      <c r="F3417" s="3" t="s">
        <v>62</v>
      </c>
      <c r="G3417" s="3" t="s">
        <v>71</v>
      </c>
      <c r="H3417" s="3" t="s">
        <v>77</v>
      </c>
      <c r="I3417" s="3" t="s">
        <v>85</v>
      </c>
      <c r="J3417" s="3" t="n">
        <v>20</v>
      </c>
      <c r="K3417" s="3" t="n">
        <v>4365.35</v>
      </c>
      <c r="L3417" s="3" t="n">
        <v>87307</v>
      </c>
      <c r="M3417" s="3" t="n">
        <v>0.0439</v>
      </c>
      <c r="N3417" s="3" t="n">
        <v>3832.78</v>
      </c>
      <c r="O3417" s="3" t="n">
        <v>83474.22</v>
      </c>
      <c r="P3417" s="3" t="n">
        <v>59368.76</v>
      </c>
      <c r="Q3417" s="3" t="n">
        <v>24105.46</v>
      </c>
      <c r="R3417" s="3" t="n">
        <v>0.2888</v>
      </c>
      <c r="S3417" s="3" t="n">
        <v>0.041</v>
      </c>
      <c r="T3417" s="3" t="n">
        <v>0.0029</v>
      </c>
    </row>
    <row r="3418" customFormat="false" ht="15" hidden="false" customHeight="true" outlineLevel="0" collapsed="false">
      <c r="A3418" s="3" t="s">
        <v>4548</v>
      </c>
      <c r="B3418" s="3" t="s">
        <v>509</v>
      </c>
      <c r="C3418" s="3" t="s">
        <v>53</v>
      </c>
      <c r="D3418" s="3" t="s">
        <v>38</v>
      </c>
      <c r="E3418" s="3" t="s">
        <v>39</v>
      </c>
      <c r="F3418" s="3" t="s">
        <v>40</v>
      </c>
      <c r="G3418" s="3" t="s">
        <v>41</v>
      </c>
      <c r="H3418" s="3" t="s">
        <v>64</v>
      </c>
      <c r="I3418" s="3" t="s">
        <v>90</v>
      </c>
      <c r="J3418" s="3" t="n">
        <v>50</v>
      </c>
      <c r="K3418" s="3" t="n">
        <v>6470.41</v>
      </c>
      <c r="L3418" s="3" t="n">
        <v>323520.5</v>
      </c>
      <c r="M3418" s="3" t="n">
        <v>0.1077</v>
      </c>
      <c r="N3418" s="3" t="n">
        <v>34843.16</v>
      </c>
      <c r="O3418" s="3" t="n">
        <v>288677.34</v>
      </c>
      <c r="P3418" s="3" t="n">
        <v>187641.89</v>
      </c>
      <c r="Q3418" s="3" t="n">
        <v>101035.45</v>
      </c>
      <c r="R3418" s="3" t="n">
        <v>0.35</v>
      </c>
      <c r="S3418" s="3" t="n">
        <v>0.0958</v>
      </c>
      <c r="T3418" s="3" t="n">
        <v>0.0119</v>
      </c>
    </row>
    <row r="3419" customFormat="false" ht="15" hidden="false" customHeight="true" outlineLevel="0" collapsed="false">
      <c r="A3419" s="3" t="s">
        <v>4549</v>
      </c>
      <c r="B3419" s="3" t="s">
        <v>190</v>
      </c>
      <c r="C3419" s="3" t="s">
        <v>53</v>
      </c>
      <c r="D3419" s="3" t="s">
        <v>83</v>
      </c>
      <c r="E3419" s="3" t="s">
        <v>48</v>
      </c>
      <c r="F3419" s="3" t="s">
        <v>62</v>
      </c>
      <c r="G3419" s="3" t="s">
        <v>116</v>
      </c>
      <c r="H3419" s="3" t="s">
        <v>42</v>
      </c>
      <c r="I3419" s="3" t="s">
        <v>72</v>
      </c>
      <c r="J3419" s="3" t="n">
        <v>2</v>
      </c>
      <c r="K3419" s="3" t="n">
        <v>2912.79</v>
      </c>
      <c r="L3419" s="3" t="n">
        <v>5825.58</v>
      </c>
      <c r="M3419" s="3" t="n">
        <v>0.1262</v>
      </c>
      <c r="N3419" s="3" t="n">
        <v>735.19</v>
      </c>
      <c r="O3419" s="3" t="n">
        <v>5090.39</v>
      </c>
      <c r="P3419" s="3" t="n">
        <v>3204.07</v>
      </c>
      <c r="Q3419" s="3" t="n">
        <v>1886.32</v>
      </c>
      <c r="R3419" s="3" t="n">
        <v>0.3706</v>
      </c>
      <c r="S3419" s="3" t="n">
        <v>0.1138</v>
      </c>
      <c r="T3419" s="3" t="n">
        <v>0.0124</v>
      </c>
    </row>
    <row r="3420" customFormat="false" ht="15" hidden="false" customHeight="true" outlineLevel="0" collapsed="false">
      <c r="A3420" s="3" t="s">
        <v>4550</v>
      </c>
      <c r="B3420" s="3" t="s">
        <v>1751</v>
      </c>
      <c r="C3420" s="3" t="s">
        <v>22</v>
      </c>
      <c r="D3420" s="3" t="s">
        <v>23</v>
      </c>
      <c r="E3420" s="3" t="s">
        <v>24</v>
      </c>
      <c r="F3420" s="3" t="s">
        <v>25</v>
      </c>
      <c r="G3420" s="3" t="s">
        <v>55</v>
      </c>
      <c r="H3420" s="3" t="s">
        <v>56</v>
      </c>
      <c r="I3420" s="3" t="s">
        <v>188</v>
      </c>
      <c r="J3420" s="3" t="n">
        <v>41</v>
      </c>
      <c r="K3420" s="3" t="n">
        <v>10251.6</v>
      </c>
      <c r="L3420" s="3" t="n">
        <v>420315.6</v>
      </c>
      <c r="M3420" s="3" t="n">
        <v>0.1708</v>
      </c>
      <c r="N3420" s="3" t="n">
        <v>71789.9</v>
      </c>
      <c r="O3420" s="3" t="n">
        <v>348525.7</v>
      </c>
      <c r="P3420" s="3" t="n">
        <v>252189.36</v>
      </c>
      <c r="Q3420" s="3" t="n">
        <v>96336.34</v>
      </c>
      <c r="R3420" s="3" t="n">
        <v>0.2764</v>
      </c>
      <c r="S3420" s="3" t="n">
        <v>0.1603</v>
      </c>
      <c r="T3420" s="3" t="n">
        <v>0.0105</v>
      </c>
    </row>
    <row r="3421" customFormat="false" ht="15" hidden="false" customHeight="true" outlineLevel="0" collapsed="false">
      <c r="A3421" s="3" t="s">
        <v>4551</v>
      </c>
      <c r="B3421" s="3" t="s">
        <v>3619</v>
      </c>
      <c r="C3421" s="3" t="s">
        <v>53</v>
      </c>
      <c r="D3421" s="3" t="s">
        <v>38</v>
      </c>
      <c r="E3421" s="3" t="s">
        <v>39</v>
      </c>
      <c r="F3421" s="3" t="s">
        <v>40</v>
      </c>
      <c r="G3421" s="3" t="s">
        <v>49</v>
      </c>
      <c r="H3421" s="3" t="s">
        <v>56</v>
      </c>
      <c r="I3421" s="3" t="s">
        <v>57</v>
      </c>
      <c r="J3421" s="3" t="n">
        <v>21</v>
      </c>
      <c r="K3421" s="3" t="n">
        <v>10100.5</v>
      </c>
      <c r="L3421" s="3" t="n">
        <v>212110.5</v>
      </c>
      <c r="M3421" s="3" t="n">
        <v>0.0525</v>
      </c>
      <c r="N3421" s="3" t="n">
        <v>11135.8</v>
      </c>
      <c r="O3421" s="3" t="n">
        <v>200974.7</v>
      </c>
      <c r="P3421" s="3" t="n">
        <v>127266.3</v>
      </c>
      <c r="Q3421" s="3" t="n">
        <v>73708.4</v>
      </c>
      <c r="R3421" s="3" t="n">
        <v>0.3668</v>
      </c>
      <c r="S3421" s="3" t="n">
        <v>0.0565</v>
      </c>
      <c r="T3421" s="3" t="n">
        <v>-0.004</v>
      </c>
    </row>
    <row r="3422" customFormat="false" ht="15" hidden="false" customHeight="true" outlineLevel="0" collapsed="false">
      <c r="A3422" s="3" t="s">
        <v>4552</v>
      </c>
      <c r="B3422" s="3" t="s">
        <v>2752</v>
      </c>
      <c r="C3422" s="3" t="s">
        <v>93</v>
      </c>
      <c r="D3422" s="3" t="s">
        <v>83</v>
      </c>
      <c r="E3422" s="3" t="s">
        <v>48</v>
      </c>
      <c r="F3422" s="3" t="s">
        <v>62</v>
      </c>
      <c r="G3422" s="3" t="s">
        <v>71</v>
      </c>
      <c r="H3422" s="3" t="s">
        <v>42</v>
      </c>
      <c r="I3422" s="3" t="s">
        <v>134</v>
      </c>
      <c r="J3422" s="3" t="n">
        <v>36</v>
      </c>
      <c r="K3422" s="3" t="n">
        <v>3951.78</v>
      </c>
      <c r="L3422" s="3" t="n">
        <v>142264.08</v>
      </c>
      <c r="M3422" s="3" t="n">
        <v>0.0336</v>
      </c>
      <c r="N3422" s="3" t="n">
        <v>4780.07</v>
      </c>
      <c r="O3422" s="3" t="n">
        <v>137484.01</v>
      </c>
      <c r="P3422" s="3" t="n">
        <v>78245.24</v>
      </c>
      <c r="Q3422" s="3" t="n">
        <v>59238.77</v>
      </c>
      <c r="R3422" s="3" t="n">
        <v>0.4309</v>
      </c>
      <c r="S3422" s="3" t="n">
        <v>0.0322</v>
      </c>
      <c r="T3422" s="3" t="n">
        <v>0.0014</v>
      </c>
    </row>
    <row r="3423" customFormat="false" ht="15" hidden="false" customHeight="true" outlineLevel="0" collapsed="false">
      <c r="A3423" s="3" t="s">
        <v>4553</v>
      </c>
      <c r="B3423" s="3" t="s">
        <v>954</v>
      </c>
      <c r="C3423" s="3" t="s">
        <v>120</v>
      </c>
      <c r="D3423" s="3" t="s">
        <v>69</v>
      </c>
      <c r="E3423" s="3" t="s">
        <v>39</v>
      </c>
      <c r="F3423" s="3" t="s">
        <v>70</v>
      </c>
      <c r="G3423" s="3" t="s">
        <v>104</v>
      </c>
      <c r="H3423" s="3" t="s">
        <v>42</v>
      </c>
      <c r="I3423" s="3" t="s">
        <v>72</v>
      </c>
      <c r="J3423" s="3" t="n">
        <v>45</v>
      </c>
      <c r="K3423" s="3" t="n">
        <v>2210.82</v>
      </c>
      <c r="L3423" s="3" t="n">
        <v>99486.9</v>
      </c>
      <c r="M3423" s="3" t="n">
        <v>0.1004</v>
      </c>
      <c r="N3423" s="3" t="n">
        <v>9988.48</v>
      </c>
      <c r="O3423" s="3" t="n">
        <v>89498.42</v>
      </c>
      <c r="P3423" s="3" t="n">
        <v>54717.8</v>
      </c>
      <c r="Q3423" s="3" t="n">
        <v>34780.62</v>
      </c>
      <c r="R3423" s="3" t="n">
        <v>0.3886</v>
      </c>
      <c r="S3423" s="3" t="n">
        <v>0.1046</v>
      </c>
      <c r="T3423" s="3" t="n">
        <v>-0.0042</v>
      </c>
    </row>
    <row r="3424" customFormat="false" ht="15" hidden="false" customHeight="true" outlineLevel="0" collapsed="false">
      <c r="A3424" s="3" t="s">
        <v>4554</v>
      </c>
      <c r="B3424" s="3" t="s">
        <v>803</v>
      </c>
      <c r="C3424" s="3" t="s">
        <v>156</v>
      </c>
      <c r="D3424" s="3" t="s">
        <v>83</v>
      </c>
      <c r="E3424" s="3" t="s">
        <v>48</v>
      </c>
      <c r="F3424" s="3" t="s">
        <v>62</v>
      </c>
      <c r="G3424" s="3" t="s">
        <v>116</v>
      </c>
      <c r="H3424" s="3" t="s">
        <v>77</v>
      </c>
      <c r="I3424" s="3" t="s">
        <v>78</v>
      </c>
      <c r="J3424" s="3" t="n">
        <v>44</v>
      </c>
      <c r="K3424" s="3" t="n">
        <v>5424.77</v>
      </c>
      <c r="L3424" s="3" t="n">
        <v>238689.88</v>
      </c>
      <c r="M3424" s="3" t="n">
        <v>0.0896</v>
      </c>
      <c r="N3424" s="3" t="n">
        <v>21386.61</v>
      </c>
      <c r="O3424" s="3" t="n">
        <v>217303.27</v>
      </c>
      <c r="P3424" s="3" t="n">
        <v>162309.12</v>
      </c>
      <c r="Q3424" s="3" t="n">
        <v>54994.15</v>
      </c>
      <c r="R3424" s="3" t="n">
        <v>0.2531</v>
      </c>
      <c r="S3424" s="3" t="n">
        <v>0.0889</v>
      </c>
      <c r="T3424" s="3" t="n">
        <v>0.0007</v>
      </c>
    </row>
    <row r="3425" customFormat="false" ht="15" hidden="false" customHeight="true" outlineLevel="0" collapsed="false">
      <c r="A3425" s="3" t="s">
        <v>4555</v>
      </c>
      <c r="B3425" s="3" t="s">
        <v>4255</v>
      </c>
      <c r="C3425" s="3" t="s">
        <v>68</v>
      </c>
      <c r="D3425" s="3" t="s">
        <v>32</v>
      </c>
      <c r="E3425" s="3" t="s">
        <v>33</v>
      </c>
      <c r="F3425" s="3" t="s">
        <v>25</v>
      </c>
      <c r="G3425" s="3" t="s">
        <v>100</v>
      </c>
      <c r="H3425" s="3" t="s">
        <v>77</v>
      </c>
      <c r="I3425" s="3" t="s">
        <v>85</v>
      </c>
      <c r="J3425" s="3" t="n">
        <v>38</v>
      </c>
      <c r="K3425" s="3" t="n">
        <v>2245.98</v>
      </c>
      <c r="L3425" s="3" t="n">
        <v>85347.24</v>
      </c>
      <c r="M3425" s="3" t="n">
        <v>0.0931</v>
      </c>
      <c r="N3425" s="3" t="n">
        <v>7945.83</v>
      </c>
      <c r="O3425" s="3" t="n">
        <v>77401.41</v>
      </c>
      <c r="P3425" s="3" t="n">
        <v>58036.12</v>
      </c>
      <c r="Q3425" s="3" t="n">
        <v>19365.29</v>
      </c>
      <c r="R3425" s="3" t="n">
        <v>0.2502</v>
      </c>
      <c r="S3425" s="3" t="n">
        <v>0.0835</v>
      </c>
      <c r="T3425" s="3" t="n">
        <v>0.0096</v>
      </c>
    </row>
    <row r="3426" customFormat="false" ht="15" hidden="false" customHeight="true" outlineLevel="0" collapsed="false">
      <c r="A3426" s="3" t="s">
        <v>4556</v>
      </c>
      <c r="B3426" s="3" t="s">
        <v>479</v>
      </c>
      <c r="C3426" s="3" t="s">
        <v>37</v>
      </c>
      <c r="D3426" s="3" t="s">
        <v>32</v>
      </c>
      <c r="E3426" s="3" t="s">
        <v>33</v>
      </c>
      <c r="F3426" s="3" t="s">
        <v>25</v>
      </c>
      <c r="G3426" s="3" t="s">
        <v>63</v>
      </c>
      <c r="H3426" s="3" t="s">
        <v>64</v>
      </c>
      <c r="I3426" s="3" t="s">
        <v>108</v>
      </c>
      <c r="J3426" s="3" t="n">
        <v>39</v>
      </c>
      <c r="K3426" s="3" t="n">
        <v>8234.79</v>
      </c>
      <c r="L3426" s="3" t="n">
        <v>321156.81</v>
      </c>
      <c r="M3426" s="3" t="n">
        <v>0.1633</v>
      </c>
      <c r="N3426" s="3" t="n">
        <v>52444.91</v>
      </c>
      <c r="O3426" s="3" t="n">
        <v>268711.9</v>
      </c>
      <c r="P3426" s="3" t="n">
        <v>186270.95</v>
      </c>
      <c r="Q3426" s="3" t="n">
        <v>82440.95</v>
      </c>
      <c r="R3426" s="3" t="n">
        <v>0.3068</v>
      </c>
      <c r="S3426" s="3" t="n">
        <v>0.1641</v>
      </c>
      <c r="T3426" s="3" t="n">
        <v>-0.0008</v>
      </c>
    </row>
    <row r="3427" customFormat="false" ht="15" hidden="false" customHeight="true" outlineLevel="0" collapsed="false">
      <c r="A3427" s="3" t="s">
        <v>4557</v>
      </c>
      <c r="B3427" s="3" t="s">
        <v>2035</v>
      </c>
      <c r="C3427" s="3" t="s">
        <v>113</v>
      </c>
      <c r="D3427" s="3" t="s">
        <v>32</v>
      </c>
      <c r="E3427" s="3" t="s">
        <v>33</v>
      </c>
      <c r="F3427" s="3" t="s">
        <v>25</v>
      </c>
      <c r="G3427" s="3" t="s">
        <v>116</v>
      </c>
      <c r="H3427" s="3" t="s">
        <v>64</v>
      </c>
      <c r="I3427" s="3" t="s">
        <v>108</v>
      </c>
      <c r="J3427" s="3" t="n">
        <v>9</v>
      </c>
      <c r="K3427" s="3" t="n">
        <v>9884.81</v>
      </c>
      <c r="L3427" s="3" t="n">
        <v>88963.29</v>
      </c>
      <c r="M3427" s="3" t="n">
        <v>0.2069</v>
      </c>
      <c r="N3427" s="3" t="n">
        <v>18406.5</v>
      </c>
      <c r="O3427" s="3" t="n">
        <v>70556.79</v>
      </c>
      <c r="P3427" s="3" t="n">
        <v>51598.71</v>
      </c>
      <c r="Q3427" s="3" t="n">
        <v>18958.08</v>
      </c>
      <c r="R3427" s="3" t="n">
        <v>0.2687</v>
      </c>
      <c r="S3427" s="3" t="n">
        <v>0.1753</v>
      </c>
      <c r="T3427" s="3" t="n">
        <v>0.0316</v>
      </c>
    </row>
    <row r="3428" customFormat="false" ht="15" hidden="false" customHeight="true" outlineLevel="0" collapsed="false">
      <c r="A3428" s="3" t="s">
        <v>4558</v>
      </c>
      <c r="B3428" s="3" t="s">
        <v>382</v>
      </c>
      <c r="C3428" s="3" t="s">
        <v>93</v>
      </c>
      <c r="D3428" s="3" t="s">
        <v>69</v>
      </c>
      <c r="E3428" s="3" t="s">
        <v>39</v>
      </c>
      <c r="F3428" s="3" t="s">
        <v>70</v>
      </c>
      <c r="G3428" s="3" t="s">
        <v>71</v>
      </c>
      <c r="H3428" s="3" t="s">
        <v>42</v>
      </c>
      <c r="I3428" s="3" t="s">
        <v>72</v>
      </c>
      <c r="J3428" s="3" t="n">
        <v>8</v>
      </c>
      <c r="K3428" s="3" t="n">
        <v>2988.27</v>
      </c>
      <c r="L3428" s="3" t="n">
        <v>23906.16</v>
      </c>
      <c r="M3428" s="3" t="n">
        <v>0.0442</v>
      </c>
      <c r="N3428" s="3" t="n">
        <v>1056.65</v>
      </c>
      <c r="O3428" s="3" t="n">
        <v>22849.51</v>
      </c>
      <c r="P3428" s="3" t="n">
        <v>13148.39</v>
      </c>
      <c r="Q3428" s="3" t="n">
        <v>9701.12</v>
      </c>
      <c r="R3428" s="3" t="n">
        <v>0.4246</v>
      </c>
      <c r="S3428" s="3" t="n">
        <v>0.0375</v>
      </c>
      <c r="T3428" s="3" t="n">
        <v>0.0067</v>
      </c>
    </row>
    <row r="3429" customFormat="false" ht="15" hidden="false" customHeight="true" outlineLevel="0" collapsed="false">
      <c r="A3429" s="3" t="s">
        <v>4559</v>
      </c>
      <c r="B3429" s="3" t="s">
        <v>2057</v>
      </c>
      <c r="C3429" s="3" t="s">
        <v>126</v>
      </c>
      <c r="D3429" s="3" t="s">
        <v>38</v>
      </c>
      <c r="E3429" s="3" t="s">
        <v>39</v>
      </c>
      <c r="F3429" s="3" t="s">
        <v>40</v>
      </c>
      <c r="G3429" s="3" t="s">
        <v>41</v>
      </c>
      <c r="H3429" s="3" t="s">
        <v>27</v>
      </c>
      <c r="I3429" s="3" t="s">
        <v>117</v>
      </c>
      <c r="J3429" s="3" t="n">
        <v>16</v>
      </c>
      <c r="K3429" s="3" t="n">
        <v>38994.52</v>
      </c>
      <c r="L3429" s="3" t="n">
        <v>623912.32</v>
      </c>
      <c r="M3429" s="3" t="n">
        <v>0.0829</v>
      </c>
      <c r="N3429" s="3" t="n">
        <v>51722.33</v>
      </c>
      <c r="O3429" s="3" t="n">
        <v>572189.99</v>
      </c>
      <c r="P3429" s="3" t="n">
        <v>386825.64</v>
      </c>
      <c r="Q3429" s="3" t="n">
        <v>185364.35</v>
      </c>
      <c r="R3429" s="3" t="n">
        <v>0.324</v>
      </c>
      <c r="S3429" s="3" t="n">
        <v>0.0768</v>
      </c>
      <c r="T3429" s="3" t="n">
        <v>0.0061</v>
      </c>
    </row>
    <row r="3430" customFormat="false" ht="15" hidden="false" customHeight="true" outlineLevel="0" collapsed="false">
      <c r="A3430" s="3" t="s">
        <v>4560</v>
      </c>
      <c r="B3430" s="3" t="s">
        <v>1712</v>
      </c>
      <c r="C3430" s="3" t="s">
        <v>37</v>
      </c>
      <c r="D3430" s="3" t="s">
        <v>38</v>
      </c>
      <c r="E3430" s="3" t="s">
        <v>39</v>
      </c>
      <c r="F3430" s="3" t="s">
        <v>40</v>
      </c>
      <c r="G3430" s="3" t="s">
        <v>55</v>
      </c>
      <c r="H3430" s="3" t="s">
        <v>42</v>
      </c>
      <c r="I3430" s="3" t="s">
        <v>43</v>
      </c>
      <c r="J3430" s="3" t="n">
        <v>23</v>
      </c>
      <c r="K3430" s="3" t="n">
        <v>1350.59</v>
      </c>
      <c r="L3430" s="3" t="n">
        <v>31063.57</v>
      </c>
      <c r="M3430" s="3" t="n">
        <v>0.0457</v>
      </c>
      <c r="N3430" s="3" t="n">
        <v>1419.61</v>
      </c>
      <c r="O3430" s="3" t="n">
        <v>29643.96</v>
      </c>
      <c r="P3430" s="3" t="n">
        <v>17084.96</v>
      </c>
      <c r="Q3430" s="3" t="n">
        <v>12559</v>
      </c>
      <c r="R3430" s="3" t="n">
        <v>0.4237</v>
      </c>
      <c r="S3430" s="3" t="n">
        <v>0.0461</v>
      </c>
      <c r="T3430" s="3" t="n">
        <v>-0.0004</v>
      </c>
    </row>
    <row r="3431" customFormat="false" ht="15" hidden="false" customHeight="true" outlineLevel="0" collapsed="false">
      <c r="A3431" s="3" t="s">
        <v>4561</v>
      </c>
      <c r="B3431" s="3" t="s">
        <v>761</v>
      </c>
      <c r="C3431" s="3" t="s">
        <v>53</v>
      </c>
      <c r="D3431" s="3" t="s">
        <v>32</v>
      </c>
      <c r="E3431" s="3" t="s">
        <v>33</v>
      </c>
      <c r="F3431" s="3" t="s">
        <v>25</v>
      </c>
      <c r="G3431" s="3" t="s">
        <v>104</v>
      </c>
      <c r="H3431" s="3" t="s">
        <v>64</v>
      </c>
      <c r="I3431" s="3" t="s">
        <v>65</v>
      </c>
      <c r="J3431" s="3" t="n">
        <v>31</v>
      </c>
      <c r="K3431" s="3" t="n">
        <v>6699.66</v>
      </c>
      <c r="L3431" s="3" t="n">
        <v>207689.46</v>
      </c>
      <c r="M3431" s="3" t="n">
        <v>0.1571</v>
      </c>
      <c r="N3431" s="3" t="n">
        <v>32628.01</v>
      </c>
      <c r="O3431" s="3" t="n">
        <v>175061.45</v>
      </c>
      <c r="P3431" s="3" t="n">
        <v>120459.89</v>
      </c>
      <c r="Q3431" s="3" t="n">
        <v>54601.56</v>
      </c>
      <c r="R3431" s="3" t="n">
        <v>0.3119</v>
      </c>
      <c r="S3431" s="3" t="n">
        <v>0.1699</v>
      </c>
      <c r="T3431" s="3" t="n">
        <v>-0.0128</v>
      </c>
    </row>
    <row r="3432" customFormat="false" ht="15" hidden="false" customHeight="true" outlineLevel="0" collapsed="false">
      <c r="A3432" s="3" t="s">
        <v>4562</v>
      </c>
      <c r="B3432" s="3" t="s">
        <v>1100</v>
      </c>
      <c r="C3432" s="3" t="s">
        <v>120</v>
      </c>
      <c r="D3432" s="3" t="s">
        <v>103</v>
      </c>
      <c r="E3432" s="3" t="s">
        <v>24</v>
      </c>
      <c r="F3432" s="3" t="s">
        <v>62</v>
      </c>
      <c r="G3432" s="3" t="s">
        <v>84</v>
      </c>
      <c r="H3432" s="3" t="s">
        <v>56</v>
      </c>
      <c r="I3432" s="3" t="s">
        <v>57</v>
      </c>
      <c r="J3432" s="3" t="n">
        <v>8</v>
      </c>
      <c r="K3432" s="3" t="n">
        <v>14787.13</v>
      </c>
      <c r="L3432" s="3" t="n">
        <v>118297.04</v>
      </c>
      <c r="M3432" s="3" t="n">
        <v>0.0683</v>
      </c>
      <c r="N3432" s="3" t="n">
        <v>8079.69</v>
      </c>
      <c r="O3432" s="3" t="n">
        <v>110217.35</v>
      </c>
      <c r="P3432" s="3" t="n">
        <v>70978.22</v>
      </c>
      <c r="Q3432" s="3" t="n">
        <v>39239.13</v>
      </c>
      <c r="R3432" s="3" t="n">
        <v>0.356</v>
      </c>
      <c r="S3432" s="3" t="n">
        <v>0.0659</v>
      </c>
      <c r="T3432" s="3" t="n">
        <v>0.0024</v>
      </c>
    </row>
    <row r="3433" customFormat="false" ht="15" hidden="false" customHeight="true" outlineLevel="0" collapsed="false">
      <c r="A3433" s="3" t="s">
        <v>4563</v>
      </c>
      <c r="B3433" s="3" t="s">
        <v>1671</v>
      </c>
      <c r="C3433" s="3" t="s">
        <v>156</v>
      </c>
      <c r="D3433" s="3" t="s">
        <v>69</v>
      </c>
      <c r="E3433" s="3" t="s">
        <v>39</v>
      </c>
      <c r="F3433" s="3" t="s">
        <v>70</v>
      </c>
      <c r="G3433" s="3" t="s">
        <v>71</v>
      </c>
      <c r="H3433" s="3" t="s">
        <v>56</v>
      </c>
      <c r="I3433" s="3" t="s">
        <v>188</v>
      </c>
      <c r="J3433" s="3" t="n">
        <v>44</v>
      </c>
      <c r="K3433" s="3" t="n">
        <v>4359.6</v>
      </c>
      <c r="L3433" s="3" t="n">
        <v>191822.4</v>
      </c>
      <c r="M3433" s="3" t="n">
        <v>0.0666</v>
      </c>
      <c r="N3433" s="3" t="n">
        <v>12775.37</v>
      </c>
      <c r="O3433" s="3" t="n">
        <v>179047.03</v>
      </c>
      <c r="P3433" s="3" t="n">
        <v>115093.44</v>
      </c>
      <c r="Q3433" s="3" t="n">
        <v>63953.59</v>
      </c>
      <c r="R3433" s="3" t="n">
        <v>0.3572</v>
      </c>
      <c r="S3433" s="3" t="n">
        <v>0.0701</v>
      </c>
      <c r="T3433" s="3" t="n">
        <v>-0.0035</v>
      </c>
    </row>
    <row r="3434" customFormat="false" ht="15" hidden="false" customHeight="true" outlineLevel="0" collapsed="false">
      <c r="A3434" s="3" t="s">
        <v>4564</v>
      </c>
      <c r="B3434" s="3" t="s">
        <v>2486</v>
      </c>
      <c r="C3434" s="3" t="s">
        <v>60</v>
      </c>
      <c r="D3434" s="3" t="s">
        <v>103</v>
      </c>
      <c r="E3434" s="3" t="s">
        <v>24</v>
      </c>
      <c r="F3434" s="3" t="s">
        <v>62</v>
      </c>
      <c r="G3434" s="3" t="s">
        <v>26</v>
      </c>
      <c r="H3434" s="3" t="s">
        <v>27</v>
      </c>
      <c r="I3434" s="3" t="s">
        <v>173</v>
      </c>
      <c r="J3434" s="3" t="n">
        <v>10</v>
      </c>
      <c r="K3434" s="3" t="n">
        <v>20967.08</v>
      </c>
      <c r="L3434" s="3" t="n">
        <v>209670.8</v>
      </c>
      <c r="M3434" s="3" t="n">
        <v>0.0384</v>
      </c>
      <c r="N3434" s="3" t="n">
        <v>8051.36</v>
      </c>
      <c r="O3434" s="3" t="n">
        <v>201619.44</v>
      </c>
      <c r="P3434" s="3" t="n">
        <v>129995.9</v>
      </c>
      <c r="Q3434" s="3" t="n">
        <v>71623.54</v>
      </c>
      <c r="R3434" s="3" t="n">
        <v>0.3552</v>
      </c>
      <c r="S3434" s="3" t="n">
        <v>0.0412</v>
      </c>
      <c r="T3434" s="3" t="n">
        <v>-0.0028</v>
      </c>
    </row>
    <row r="3435" customFormat="false" ht="15" hidden="false" customHeight="true" outlineLevel="0" collapsed="false">
      <c r="A3435" s="3" t="s">
        <v>4565</v>
      </c>
      <c r="B3435" s="3" t="s">
        <v>1383</v>
      </c>
      <c r="C3435" s="3" t="s">
        <v>37</v>
      </c>
      <c r="D3435" s="3" t="s">
        <v>107</v>
      </c>
      <c r="E3435" s="3" t="s">
        <v>33</v>
      </c>
      <c r="F3435" s="3" t="s">
        <v>70</v>
      </c>
      <c r="G3435" s="3" t="s">
        <v>49</v>
      </c>
      <c r="H3435" s="3" t="s">
        <v>64</v>
      </c>
      <c r="I3435" s="3" t="s">
        <v>65</v>
      </c>
      <c r="J3435" s="3" t="n">
        <v>19</v>
      </c>
      <c r="K3435" s="3" t="n">
        <v>6475.83</v>
      </c>
      <c r="L3435" s="3" t="n">
        <v>123040.77</v>
      </c>
      <c r="M3435" s="3" t="n">
        <v>0.051</v>
      </c>
      <c r="N3435" s="3" t="n">
        <v>6275.08</v>
      </c>
      <c r="O3435" s="3" t="n">
        <v>116765.69</v>
      </c>
      <c r="P3435" s="3" t="n">
        <v>71363.65</v>
      </c>
      <c r="Q3435" s="3" t="n">
        <v>45402.04</v>
      </c>
      <c r="R3435" s="3" t="n">
        <v>0.3888</v>
      </c>
      <c r="S3435" s="3" t="n">
        <v>0.0446</v>
      </c>
      <c r="T3435" s="3" t="n">
        <v>0.0064</v>
      </c>
    </row>
    <row r="3436" customFormat="false" ht="15" hidden="false" customHeight="true" outlineLevel="0" collapsed="false">
      <c r="A3436" s="3" t="s">
        <v>4566</v>
      </c>
      <c r="B3436" s="3" t="s">
        <v>3838</v>
      </c>
      <c r="C3436" s="3" t="s">
        <v>31</v>
      </c>
      <c r="D3436" s="3" t="s">
        <v>32</v>
      </c>
      <c r="E3436" s="3" t="s">
        <v>33</v>
      </c>
      <c r="F3436" s="3" t="s">
        <v>25</v>
      </c>
      <c r="G3436" s="3" t="s">
        <v>49</v>
      </c>
      <c r="H3436" s="3" t="s">
        <v>42</v>
      </c>
      <c r="I3436" s="3" t="s">
        <v>134</v>
      </c>
      <c r="J3436" s="3" t="n">
        <v>22</v>
      </c>
      <c r="K3436" s="3" t="n">
        <v>1633.45</v>
      </c>
      <c r="L3436" s="3" t="n">
        <v>35935.9</v>
      </c>
      <c r="M3436" s="3" t="n">
        <v>0.1031</v>
      </c>
      <c r="N3436" s="3" t="n">
        <v>3704.99</v>
      </c>
      <c r="O3436" s="3" t="n">
        <v>32230.91</v>
      </c>
      <c r="P3436" s="3" t="n">
        <v>19764.75</v>
      </c>
      <c r="Q3436" s="3" t="n">
        <v>12466.16</v>
      </c>
      <c r="R3436" s="3" t="n">
        <v>0.3868</v>
      </c>
      <c r="S3436" s="3" t="n">
        <v>0.0891</v>
      </c>
      <c r="T3436" s="3" t="n">
        <v>0.014</v>
      </c>
    </row>
    <row r="3437" customFormat="false" ht="15" hidden="false" customHeight="true" outlineLevel="0" collapsed="false">
      <c r="A3437" s="3" t="s">
        <v>4567</v>
      </c>
      <c r="B3437" s="3" t="s">
        <v>1935</v>
      </c>
      <c r="C3437" s="3" t="s">
        <v>126</v>
      </c>
      <c r="D3437" s="3" t="s">
        <v>103</v>
      </c>
      <c r="E3437" s="3" t="s">
        <v>24</v>
      </c>
      <c r="F3437" s="3" t="s">
        <v>62</v>
      </c>
      <c r="G3437" s="3" t="s">
        <v>84</v>
      </c>
      <c r="H3437" s="3" t="s">
        <v>77</v>
      </c>
      <c r="I3437" s="3" t="s">
        <v>131</v>
      </c>
      <c r="J3437" s="3" t="n">
        <v>50</v>
      </c>
      <c r="K3437" s="3" t="n">
        <v>3592.41</v>
      </c>
      <c r="L3437" s="3" t="n">
        <v>179620.5</v>
      </c>
      <c r="M3437" s="3" t="n">
        <v>0.0569</v>
      </c>
      <c r="N3437" s="3" t="n">
        <v>10220.41</v>
      </c>
      <c r="O3437" s="3" t="n">
        <v>169400.09</v>
      </c>
      <c r="P3437" s="3" t="n">
        <v>122141.94</v>
      </c>
      <c r="Q3437" s="3" t="n">
        <v>47258.15</v>
      </c>
      <c r="R3437" s="3" t="n">
        <v>0.279</v>
      </c>
      <c r="S3437" s="3" t="n">
        <v>0.0613</v>
      </c>
      <c r="T3437" s="3" t="n">
        <v>-0.0044</v>
      </c>
    </row>
    <row r="3438" customFormat="false" ht="15" hidden="false" customHeight="true" outlineLevel="0" collapsed="false">
      <c r="A3438" s="3" t="s">
        <v>4568</v>
      </c>
      <c r="B3438" s="3" t="s">
        <v>1740</v>
      </c>
      <c r="C3438" s="3" t="s">
        <v>22</v>
      </c>
      <c r="D3438" s="3" t="s">
        <v>69</v>
      </c>
      <c r="E3438" s="3" t="s">
        <v>39</v>
      </c>
      <c r="F3438" s="3" t="s">
        <v>70</v>
      </c>
      <c r="G3438" s="3" t="s">
        <v>84</v>
      </c>
      <c r="H3438" s="3" t="s">
        <v>64</v>
      </c>
      <c r="I3438" s="3" t="s">
        <v>108</v>
      </c>
      <c r="J3438" s="3" t="n">
        <v>13</v>
      </c>
      <c r="K3438" s="3" t="n">
        <v>6689.48</v>
      </c>
      <c r="L3438" s="3" t="n">
        <v>86963.24</v>
      </c>
      <c r="M3438" s="3" t="n">
        <v>0.0588</v>
      </c>
      <c r="N3438" s="3" t="n">
        <v>5113.44</v>
      </c>
      <c r="O3438" s="3" t="n">
        <v>81849.8</v>
      </c>
      <c r="P3438" s="3" t="n">
        <v>50438.68</v>
      </c>
      <c r="Q3438" s="3" t="n">
        <v>31411.12</v>
      </c>
      <c r="R3438" s="3" t="n">
        <v>0.3838</v>
      </c>
      <c r="S3438" s="3" t="n">
        <v>0.0517</v>
      </c>
      <c r="T3438" s="3" t="n">
        <v>0.0071</v>
      </c>
    </row>
    <row r="3439" customFormat="false" ht="15" hidden="false" customHeight="true" outlineLevel="0" collapsed="false">
      <c r="A3439" s="3" t="s">
        <v>4569</v>
      </c>
      <c r="B3439" s="3" t="s">
        <v>2332</v>
      </c>
      <c r="C3439" s="3" t="s">
        <v>46</v>
      </c>
      <c r="D3439" s="3" t="s">
        <v>47</v>
      </c>
      <c r="E3439" s="3" t="s">
        <v>48</v>
      </c>
      <c r="F3439" s="3" t="s">
        <v>25</v>
      </c>
      <c r="G3439" s="3" t="s">
        <v>100</v>
      </c>
      <c r="H3439" s="3" t="s">
        <v>27</v>
      </c>
      <c r="I3439" s="3" t="s">
        <v>28</v>
      </c>
      <c r="J3439" s="3" t="n">
        <v>48</v>
      </c>
      <c r="K3439" s="3" t="n">
        <v>13694.18</v>
      </c>
      <c r="L3439" s="3" t="n">
        <v>657320.64</v>
      </c>
      <c r="M3439" s="3" t="n">
        <v>0.1433</v>
      </c>
      <c r="N3439" s="3" t="n">
        <v>94194.05</v>
      </c>
      <c r="O3439" s="3" t="n">
        <v>563126.59</v>
      </c>
      <c r="P3439" s="3" t="n">
        <v>407538.8</v>
      </c>
      <c r="Q3439" s="3" t="n">
        <v>155587.79</v>
      </c>
      <c r="R3439" s="3" t="n">
        <v>0.2763</v>
      </c>
      <c r="S3439" s="3" t="n">
        <v>0.1456</v>
      </c>
      <c r="T3439" s="3" t="n">
        <v>-0.0023</v>
      </c>
    </row>
    <row r="3440" customFormat="false" ht="15" hidden="false" customHeight="true" outlineLevel="0" collapsed="false">
      <c r="A3440" s="3" t="s">
        <v>4570</v>
      </c>
      <c r="B3440" s="3" t="s">
        <v>1012</v>
      </c>
      <c r="C3440" s="3" t="s">
        <v>37</v>
      </c>
      <c r="D3440" s="3" t="s">
        <v>75</v>
      </c>
      <c r="E3440" s="3" t="s">
        <v>39</v>
      </c>
      <c r="F3440" s="3" t="s">
        <v>25</v>
      </c>
      <c r="G3440" s="3" t="s">
        <v>104</v>
      </c>
      <c r="H3440" s="3" t="s">
        <v>77</v>
      </c>
      <c r="I3440" s="3" t="s">
        <v>85</v>
      </c>
      <c r="J3440" s="3" t="n">
        <v>44</v>
      </c>
      <c r="K3440" s="3" t="n">
        <v>2081.96</v>
      </c>
      <c r="L3440" s="3" t="n">
        <v>91606.24</v>
      </c>
      <c r="M3440" s="3" t="n">
        <v>0.1219</v>
      </c>
      <c r="N3440" s="3" t="n">
        <v>11166.8</v>
      </c>
      <c r="O3440" s="3" t="n">
        <v>80439.44</v>
      </c>
      <c r="P3440" s="3" t="n">
        <v>62292.24</v>
      </c>
      <c r="Q3440" s="3" t="n">
        <v>18147.2</v>
      </c>
      <c r="R3440" s="3" t="n">
        <v>0.2256</v>
      </c>
      <c r="S3440" s="3" t="n">
        <v>0.1223</v>
      </c>
      <c r="T3440" s="3" t="n">
        <v>-0.0004</v>
      </c>
    </row>
    <row r="3441" customFormat="false" ht="15" hidden="false" customHeight="true" outlineLevel="0" collapsed="false">
      <c r="A3441" s="3" t="s">
        <v>4571</v>
      </c>
      <c r="B3441" s="3" t="s">
        <v>1299</v>
      </c>
      <c r="C3441" s="3" t="s">
        <v>22</v>
      </c>
      <c r="D3441" s="3" t="s">
        <v>47</v>
      </c>
      <c r="E3441" s="3" t="s">
        <v>48</v>
      </c>
      <c r="F3441" s="3" t="s">
        <v>25</v>
      </c>
      <c r="G3441" s="3" t="s">
        <v>55</v>
      </c>
      <c r="H3441" s="3" t="s">
        <v>27</v>
      </c>
      <c r="I3441" s="3" t="s">
        <v>173</v>
      </c>
      <c r="J3441" s="3" t="n">
        <v>42</v>
      </c>
      <c r="K3441" s="3" t="n">
        <v>9188.04</v>
      </c>
      <c r="L3441" s="3" t="n">
        <v>385897.68</v>
      </c>
      <c r="M3441" s="3" t="n">
        <v>0.1539</v>
      </c>
      <c r="N3441" s="3" t="n">
        <v>59389.65</v>
      </c>
      <c r="O3441" s="3" t="n">
        <v>326508.03</v>
      </c>
      <c r="P3441" s="3" t="n">
        <v>239256.56</v>
      </c>
      <c r="Q3441" s="3" t="n">
        <v>87251.47</v>
      </c>
      <c r="R3441" s="3" t="n">
        <v>0.2672</v>
      </c>
      <c r="S3441" s="3" t="n">
        <v>0.1673</v>
      </c>
      <c r="T3441" s="3" t="n">
        <v>-0.0134</v>
      </c>
    </row>
    <row r="3442" customFormat="false" ht="15" hidden="false" customHeight="true" outlineLevel="0" collapsed="false">
      <c r="A3442" s="3" t="s">
        <v>4572</v>
      </c>
      <c r="B3442" s="3" t="s">
        <v>3048</v>
      </c>
      <c r="C3442" s="3" t="s">
        <v>93</v>
      </c>
      <c r="D3442" s="3" t="s">
        <v>23</v>
      </c>
      <c r="E3442" s="3" t="s">
        <v>24</v>
      </c>
      <c r="F3442" s="3" t="s">
        <v>25</v>
      </c>
      <c r="G3442" s="3" t="s">
        <v>104</v>
      </c>
      <c r="H3442" s="3" t="s">
        <v>27</v>
      </c>
      <c r="I3442" s="3" t="s">
        <v>117</v>
      </c>
      <c r="J3442" s="3" t="n">
        <v>38</v>
      </c>
      <c r="K3442" s="3" t="n">
        <v>9786.14</v>
      </c>
      <c r="L3442" s="3" t="n">
        <v>371873.32</v>
      </c>
      <c r="M3442" s="3" t="n">
        <v>0.1771</v>
      </c>
      <c r="N3442" s="3" t="n">
        <v>65858.76</v>
      </c>
      <c r="O3442" s="3" t="n">
        <v>306014.56</v>
      </c>
      <c r="P3442" s="3" t="n">
        <v>230561.46</v>
      </c>
      <c r="Q3442" s="3" t="n">
        <v>75453.1</v>
      </c>
      <c r="R3442" s="3" t="n">
        <v>0.2466</v>
      </c>
      <c r="S3442" s="3" t="n">
        <v>0.1649</v>
      </c>
      <c r="T3442" s="3" t="n">
        <v>0.0122</v>
      </c>
    </row>
    <row r="3443" customFormat="false" ht="15" hidden="false" customHeight="true" outlineLevel="0" collapsed="false">
      <c r="A3443" s="3" t="s">
        <v>4573</v>
      </c>
      <c r="B3443" s="3" t="s">
        <v>1598</v>
      </c>
      <c r="C3443" s="3" t="s">
        <v>113</v>
      </c>
      <c r="D3443" s="3" t="s">
        <v>83</v>
      </c>
      <c r="E3443" s="3" t="s">
        <v>48</v>
      </c>
      <c r="F3443" s="3" t="s">
        <v>62</v>
      </c>
      <c r="G3443" s="3" t="s">
        <v>63</v>
      </c>
      <c r="H3443" s="3" t="s">
        <v>64</v>
      </c>
      <c r="I3443" s="3" t="s">
        <v>65</v>
      </c>
      <c r="J3443" s="3" t="n">
        <v>5</v>
      </c>
      <c r="K3443" s="3" t="n">
        <v>4640.89</v>
      </c>
      <c r="L3443" s="3" t="n">
        <v>23204.45</v>
      </c>
      <c r="M3443" s="3" t="n">
        <v>0.0576</v>
      </c>
      <c r="N3443" s="3" t="n">
        <v>1336.58</v>
      </c>
      <c r="O3443" s="3" t="n">
        <v>21867.87</v>
      </c>
      <c r="P3443" s="3" t="n">
        <v>13458.58</v>
      </c>
      <c r="Q3443" s="3" t="n">
        <v>8409.29</v>
      </c>
      <c r="R3443" s="3" t="n">
        <v>0.3846</v>
      </c>
      <c r="S3443" s="3" t="n">
        <v>0.0579</v>
      </c>
      <c r="T3443" s="3" t="n">
        <v>-0.0003</v>
      </c>
    </row>
    <row r="3444" customFormat="false" ht="15" hidden="false" customHeight="true" outlineLevel="0" collapsed="false">
      <c r="A3444" s="3" t="s">
        <v>4574</v>
      </c>
      <c r="B3444" s="3" t="s">
        <v>2220</v>
      </c>
      <c r="C3444" s="3" t="s">
        <v>60</v>
      </c>
      <c r="D3444" s="3" t="s">
        <v>23</v>
      </c>
      <c r="E3444" s="3" t="s">
        <v>24</v>
      </c>
      <c r="F3444" s="3" t="s">
        <v>25</v>
      </c>
      <c r="G3444" s="3" t="s">
        <v>26</v>
      </c>
      <c r="H3444" s="3" t="s">
        <v>64</v>
      </c>
      <c r="I3444" s="3" t="s">
        <v>65</v>
      </c>
      <c r="J3444" s="3" t="n">
        <v>37</v>
      </c>
      <c r="K3444" s="3" t="n">
        <v>8366.42</v>
      </c>
      <c r="L3444" s="3" t="n">
        <v>309557.54</v>
      </c>
      <c r="M3444" s="3" t="n">
        <v>0.1786</v>
      </c>
      <c r="N3444" s="3" t="n">
        <v>55286.98</v>
      </c>
      <c r="O3444" s="3" t="n">
        <v>254270.56</v>
      </c>
      <c r="P3444" s="3" t="n">
        <v>179543.37</v>
      </c>
      <c r="Q3444" s="3" t="n">
        <v>74727.19</v>
      </c>
      <c r="R3444" s="3" t="n">
        <v>0.2939</v>
      </c>
      <c r="S3444" s="3" t="n">
        <v>0.1489</v>
      </c>
      <c r="T3444" s="3" t="n">
        <v>0.0297</v>
      </c>
    </row>
    <row r="3445" customFormat="false" ht="15" hidden="false" customHeight="true" outlineLevel="0" collapsed="false">
      <c r="A3445" s="3" t="s">
        <v>4575</v>
      </c>
      <c r="B3445" s="3" t="s">
        <v>1605</v>
      </c>
      <c r="C3445" s="3" t="s">
        <v>156</v>
      </c>
      <c r="D3445" s="3" t="s">
        <v>103</v>
      </c>
      <c r="E3445" s="3" t="s">
        <v>24</v>
      </c>
      <c r="F3445" s="3" t="s">
        <v>62</v>
      </c>
      <c r="G3445" s="3" t="s">
        <v>84</v>
      </c>
      <c r="H3445" s="3" t="s">
        <v>64</v>
      </c>
      <c r="I3445" s="3" t="s">
        <v>65</v>
      </c>
      <c r="J3445" s="3" t="n">
        <v>12</v>
      </c>
      <c r="K3445" s="3" t="n">
        <v>3765.36</v>
      </c>
      <c r="L3445" s="3" t="n">
        <v>45184.32</v>
      </c>
      <c r="M3445" s="3" t="n">
        <v>0.076</v>
      </c>
      <c r="N3445" s="3" t="n">
        <v>3434.01</v>
      </c>
      <c r="O3445" s="3" t="n">
        <v>41750.31</v>
      </c>
      <c r="P3445" s="3" t="n">
        <v>26206.91</v>
      </c>
      <c r="Q3445" s="3" t="n">
        <v>15543.4</v>
      </c>
      <c r="R3445" s="3" t="n">
        <v>0.3723</v>
      </c>
      <c r="S3445" s="3" t="n">
        <v>0.0805</v>
      </c>
      <c r="T3445" s="3" t="n">
        <v>-0.0045</v>
      </c>
    </row>
    <row r="3446" customFormat="false" ht="15" hidden="false" customHeight="true" outlineLevel="0" collapsed="false">
      <c r="A3446" s="3" t="s">
        <v>4576</v>
      </c>
      <c r="B3446" s="3" t="s">
        <v>475</v>
      </c>
      <c r="C3446" s="3" t="s">
        <v>126</v>
      </c>
      <c r="D3446" s="3" t="s">
        <v>107</v>
      </c>
      <c r="E3446" s="3" t="s">
        <v>33</v>
      </c>
      <c r="F3446" s="3" t="s">
        <v>70</v>
      </c>
      <c r="G3446" s="3" t="s">
        <v>100</v>
      </c>
      <c r="H3446" s="3" t="s">
        <v>64</v>
      </c>
      <c r="I3446" s="3" t="s">
        <v>108</v>
      </c>
      <c r="J3446" s="3" t="n">
        <v>30</v>
      </c>
      <c r="K3446" s="3" t="n">
        <v>5098.56</v>
      </c>
      <c r="L3446" s="3" t="n">
        <v>152956.8</v>
      </c>
      <c r="M3446" s="3" t="n">
        <v>0.0522</v>
      </c>
      <c r="N3446" s="3" t="n">
        <v>7984.34</v>
      </c>
      <c r="O3446" s="3" t="n">
        <v>144972.46</v>
      </c>
      <c r="P3446" s="3" t="n">
        <v>88714.94</v>
      </c>
      <c r="Q3446" s="3" t="n">
        <v>56257.52</v>
      </c>
      <c r="R3446" s="3" t="n">
        <v>0.3881</v>
      </c>
      <c r="S3446" s="3" t="n">
        <v>0.0446</v>
      </c>
      <c r="T3446" s="3" t="n">
        <v>0.0076</v>
      </c>
    </row>
    <row r="3447" customFormat="false" ht="15" hidden="false" customHeight="true" outlineLevel="0" collapsed="false">
      <c r="A3447" s="3" t="s">
        <v>4577</v>
      </c>
      <c r="B3447" s="3" t="s">
        <v>4263</v>
      </c>
      <c r="C3447" s="3" t="s">
        <v>31</v>
      </c>
      <c r="D3447" s="3" t="s">
        <v>32</v>
      </c>
      <c r="E3447" s="3" t="s">
        <v>33</v>
      </c>
      <c r="F3447" s="3" t="s">
        <v>25</v>
      </c>
      <c r="G3447" s="3" t="s">
        <v>55</v>
      </c>
      <c r="H3447" s="3" t="s">
        <v>42</v>
      </c>
      <c r="I3447" s="3" t="s">
        <v>134</v>
      </c>
      <c r="J3447" s="3" t="n">
        <v>32</v>
      </c>
      <c r="K3447" s="3" t="n">
        <v>2458.81</v>
      </c>
      <c r="L3447" s="3" t="n">
        <v>78681.92</v>
      </c>
      <c r="M3447" s="3" t="n">
        <v>0.1496</v>
      </c>
      <c r="N3447" s="3" t="n">
        <v>11770.82</v>
      </c>
      <c r="O3447" s="3" t="n">
        <v>66911.1</v>
      </c>
      <c r="P3447" s="3" t="n">
        <v>43275.06</v>
      </c>
      <c r="Q3447" s="3" t="n">
        <v>23636.04</v>
      </c>
      <c r="R3447" s="3" t="n">
        <v>0.3532</v>
      </c>
      <c r="S3447" s="3" t="n">
        <v>0.1551</v>
      </c>
      <c r="T3447" s="3" t="n">
        <v>-0.0055</v>
      </c>
    </row>
    <row r="3448" customFormat="false" ht="15" hidden="false" customHeight="true" outlineLevel="0" collapsed="false">
      <c r="A3448" s="3" t="s">
        <v>4578</v>
      </c>
      <c r="B3448" s="3" t="s">
        <v>1345</v>
      </c>
      <c r="C3448" s="3" t="s">
        <v>68</v>
      </c>
      <c r="D3448" s="3" t="s">
        <v>107</v>
      </c>
      <c r="E3448" s="3" t="s">
        <v>33</v>
      </c>
      <c r="F3448" s="3" t="s">
        <v>70</v>
      </c>
      <c r="G3448" s="3" t="s">
        <v>63</v>
      </c>
      <c r="H3448" s="3" t="s">
        <v>64</v>
      </c>
      <c r="I3448" s="3" t="s">
        <v>65</v>
      </c>
      <c r="J3448" s="3" t="n">
        <v>11</v>
      </c>
      <c r="K3448" s="3" t="n">
        <v>4741.64</v>
      </c>
      <c r="L3448" s="3" t="n">
        <v>52158.04</v>
      </c>
      <c r="M3448" s="3" t="n">
        <v>0.0646</v>
      </c>
      <c r="N3448" s="3" t="n">
        <v>3369.41</v>
      </c>
      <c r="O3448" s="3" t="n">
        <v>48788.63</v>
      </c>
      <c r="P3448" s="3" t="n">
        <v>30251.66</v>
      </c>
      <c r="Q3448" s="3" t="n">
        <v>18536.97</v>
      </c>
      <c r="R3448" s="3" t="n">
        <v>0.3799</v>
      </c>
      <c r="S3448" s="3" t="n">
        <v>0.0678</v>
      </c>
      <c r="T3448" s="3" t="n">
        <v>-0.0032</v>
      </c>
    </row>
    <row r="3449" customFormat="false" ht="15" hidden="false" customHeight="true" outlineLevel="0" collapsed="false">
      <c r="A3449" s="3" t="s">
        <v>4579</v>
      </c>
      <c r="B3449" s="3" t="s">
        <v>2760</v>
      </c>
      <c r="C3449" s="3" t="s">
        <v>53</v>
      </c>
      <c r="D3449" s="3" t="s">
        <v>97</v>
      </c>
      <c r="E3449" s="3" t="s">
        <v>48</v>
      </c>
      <c r="F3449" s="3" t="s">
        <v>40</v>
      </c>
      <c r="G3449" s="3" t="s">
        <v>41</v>
      </c>
      <c r="H3449" s="3" t="s">
        <v>27</v>
      </c>
      <c r="I3449" s="3" t="s">
        <v>28</v>
      </c>
      <c r="J3449" s="3" t="n">
        <v>37</v>
      </c>
      <c r="K3449" s="3" t="n">
        <v>21484.43</v>
      </c>
      <c r="L3449" s="3" t="n">
        <v>794923.91</v>
      </c>
      <c r="M3449" s="3" t="n">
        <v>0.1137</v>
      </c>
      <c r="N3449" s="3" t="n">
        <v>90382.85</v>
      </c>
      <c r="O3449" s="3" t="n">
        <v>704541.06</v>
      </c>
      <c r="P3449" s="3" t="n">
        <v>492852.82</v>
      </c>
      <c r="Q3449" s="3" t="n">
        <v>211688.24</v>
      </c>
      <c r="R3449" s="3" t="n">
        <v>0.3005</v>
      </c>
      <c r="S3449" s="3" t="n">
        <v>0.1052</v>
      </c>
      <c r="T3449" s="3" t="n">
        <v>0.0085</v>
      </c>
    </row>
    <row r="3450" customFormat="false" ht="15" hidden="false" customHeight="true" outlineLevel="0" collapsed="false">
      <c r="A3450" s="3" t="s">
        <v>4580</v>
      </c>
      <c r="B3450" s="3" t="s">
        <v>883</v>
      </c>
      <c r="C3450" s="3" t="s">
        <v>156</v>
      </c>
      <c r="D3450" s="3" t="s">
        <v>47</v>
      </c>
      <c r="E3450" s="3" t="s">
        <v>48</v>
      </c>
      <c r="F3450" s="3" t="s">
        <v>25</v>
      </c>
      <c r="G3450" s="3" t="s">
        <v>55</v>
      </c>
      <c r="H3450" s="3" t="s">
        <v>42</v>
      </c>
      <c r="I3450" s="3" t="s">
        <v>72</v>
      </c>
      <c r="J3450" s="3" t="n">
        <v>48</v>
      </c>
      <c r="K3450" s="3" t="n">
        <v>1634.15</v>
      </c>
      <c r="L3450" s="3" t="n">
        <v>78439.2</v>
      </c>
      <c r="M3450" s="3" t="n">
        <v>0.1533</v>
      </c>
      <c r="N3450" s="3" t="n">
        <v>12024.73</v>
      </c>
      <c r="O3450" s="3" t="n">
        <v>66414.47</v>
      </c>
      <c r="P3450" s="3" t="n">
        <v>43141.56</v>
      </c>
      <c r="Q3450" s="3" t="n">
        <v>23272.91</v>
      </c>
      <c r="R3450" s="3" t="n">
        <v>0.3504</v>
      </c>
      <c r="S3450" s="3" t="n">
        <v>0.1615</v>
      </c>
      <c r="T3450" s="3" t="n">
        <v>-0.0082</v>
      </c>
    </row>
    <row r="3451" customFormat="false" ht="15" hidden="false" customHeight="true" outlineLevel="0" collapsed="false">
      <c r="A3451" s="3" t="s">
        <v>4581</v>
      </c>
      <c r="B3451" s="3" t="s">
        <v>844</v>
      </c>
      <c r="C3451" s="3" t="s">
        <v>37</v>
      </c>
      <c r="D3451" s="3" t="s">
        <v>47</v>
      </c>
      <c r="E3451" s="3" t="s">
        <v>48</v>
      </c>
      <c r="F3451" s="3" t="s">
        <v>25</v>
      </c>
      <c r="G3451" s="3" t="s">
        <v>76</v>
      </c>
      <c r="H3451" s="3" t="s">
        <v>27</v>
      </c>
      <c r="I3451" s="3" t="s">
        <v>173</v>
      </c>
      <c r="J3451" s="3" t="n">
        <v>45</v>
      </c>
      <c r="K3451" s="3" t="n">
        <v>22078.74</v>
      </c>
      <c r="L3451" s="3" t="n">
        <v>993543.3</v>
      </c>
      <c r="M3451" s="3" t="n">
        <v>0.1747</v>
      </c>
      <c r="N3451" s="3" t="n">
        <v>173572.01</v>
      </c>
      <c r="O3451" s="3" t="n">
        <v>819971.29</v>
      </c>
      <c r="P3451" s="3" t="n">
        <v>615996.85</v>
      </c>
      <c r="Q3451" s="3" t="n">
        <v>203974.44</v>
      </c>
      <c r="R3451" s="3" t="n">
        <v>0.2488</v>
      </c>
      <c r="S3451" s="3" t="n">
        <v>0.1491</v>
      </c>
      <c r="T3451" s="3" t="n">
        <v>0.0256</v>
      </c>
    </row>
    <row r="3452" customFormat="false" ht="15" hidden="false" customHeight="true" outlineLevel="0" collapsed="false">
      <c r="A3452" s="3" t="s">
        <v>4582</v>
      </c>
      <c r="B3452" s="3" t="s">
        <v>2510</v>
      </c>
      <c r="C3452" s="3" t="s">
        <v>53</v>
      </c>
      <c r="D3452" s="3" t="s">
        <v>83</v>
      </c>
      <c r="E3452" s="3" t="s">
        <v>48</v>
      </c>
      <c r="F3452" s="3" t="s">
        <v>62</v>
      </c>
      <c r="G3452" s="3" t="s">
        <v>100</v>
      </c>
      <c r="H3452" s="3" t="s">
        <v>64</v>
      </c>
      <c r="I3452" s="3" t="s">
        <v>90</v>
      </c>
      <c r="J3452" s="3" t="n">
        <v>17</v>
      </c>
      <c r="K3452" s="3" t="n">
        <v>7191.99</v>
      </c>
      <c r="L3452" s="3" t="n">
        <v>122263.83</v>
      </c>
      <c r="M3452" s="3" t="n">
        <v>0.0535</v>
      </c>
      <c r="N3452" s="3" t="n">
        <v>6541.11</v>
      </c>
      <c r="O3452" s="3" t="n">
        <v>115722.72</v>
      </c>
      <c r="P3452" s="3" t="n">
        <v>70913.02</v>
      </c>
      <c r="Q3452" s="3" t="n">
        <v>44809.7</v>
      </c>
      <c r="R3452" s="3" t="n">
        <v>0.3872</v>
      </c>
      <c r="S3452" s="3" t="n">
        <v>0.043</v>
      </c>
      <c r="T3452" s="3" t="n">
        <v>0.0105</v>
      </c>
    </row>
    <row r="3453" customFormat="false" ht="15" hidden="false" customHeight="true" outlineLevel="0" collapsed="false">
      <c r="A3453" s="3" t="s">
        <v>4583</v>
      </c>
      <c r="B3453" s="3" t="s">
        <v>1840</v>
      </c>
      <c r="C3453" s="3" t="s">
        <v>31</v>
      </c>
      <c r="D3453" s="3" t="s">
        <v>32</v>
      </c>
      <c r="E3453" s="3" t="s">
        <v>33</v>
      </c>
      <c r="F3453" s="3" t="s">
        <v>25</v>
      </c>
      <c r="G3453" s="3" t="s">
        <v>63</v>
      </c>
      <c r="H3453" s="3" t="s">
        <v>56</v>
      </c>
      <c r="I3453" s="3" t="s">
        <v>57</v>
      </c>
      <c r="J3453" s="3" t="n">
        <v>30</v>
      </c>
      <c r="K3453" s="3" t="n">
        <v>7089.29</v>
      </c>
      <c r="L3453" s="3" t="n">
        <v>212678.7</v>
      </c>
      <c r="M3453" s="3" t="n">
        <v>0.1623</v>
      </c>
      <c r="N3453" s="3" t="n">
        <v>34517.75</v>
      </c>
      <c r="O3453" s="3" t="n">
        <v>178160.95</v>
      </c>
      <c r="P3453" s="3" t="n">
        <v>127607.22</v>
      </c>
      <c r="Q3453" s="3" t="n">
        <v>50553.73</v>
      </c>
      <c r="R3453" s="3" t="n">
        <v>0.2838</v>
      </c>
      <c r="S3453" s="3" t="n">
        <v>0.1341</v>
      </c>
      <c r="T3453" s="3" t="n">
        <v>0.0282</v>
      </c>
    </row>
    <row r="3454" customFormat="false" ht="15" hidden="false" customHeight="true" outlineLevel="0" collapsed="false">
      <c r="A3454" s="3" t="s">
        <v>4584</v>
      </c>
      <c r="B3454" s="3" t="s">
        <v>2655</v>
      </c>
      <c r="C3454" s="3" t="s">
        <v>60</v>
      </c>
      <c r="D3454" s="3" t="s">
        <v>38</v>
      </c>
      <c r="E3454" s="3" t="s">
        <v>39</v>
      </c>
      <c r="F3454" s="3" t="s">
        <v>40</v>
      </c>
      <c r="G3454" s="3" t="s">
        <v>55</v>
      </c>
      <c r="H3454" s="3" t="s">
        <v>56</v>
      </c>
      <c r="I3454" s="3" t="s">
        <v>121</v>
      </c>
      <c r="J3454" s="3" t="n">
        <v>10</v>
      </c>
      <c r="K3454" s="3" t="n">
        <v>9260.16</v>
      </c>
      <c r="L3454" s="3" t="n">
        <v>92601.6</v>
      </c>
      <c r="M3454" s="3" t="n">
        <v>0.0573</v>
      </c>
      <c r="N3454" s="3" t="n">
        <v>5306.07</v>
      </c>
      <c r="O3454" s="3" t="n">
        <v>87295.53</v>
      </c>
      <c r="P3454" s="3" t="n">
        <v>55560.96</v>
      </c>
      <c r="Q3454" s="3" t="n">
        <v>31734.57</v>
      </c>
      <c r="R3454" s="3" t="n">
        <v>0.3635</v>
      </c>
      <c r="S3454" s="3" t="n">
        <v>0.0527</v>
      </c>
      <c r="T3454" s="3" t="n">
        <v>0.0046</v>
      </c>
    </row>
    <row r="3455" customFormat="false" ht="15" hidden="false" customHeight="true" outlineLevel="0" collapsed="false">
      <c r="A3455" s="3" t="s">
        <v>4585</v>
      </c>
      <c r="B3455" s="3" t="s">
        <v>813</v>
      </c>
      <c r="C3455" s="3" t="s">
        <v>22</v>
      </c>
      <c r="D3455" s="3" t="s">
        <v>32</v>
      </c>
      <c r="E3455" s="3" t="s">
        <v>33</v>
      </c>
      <c r="F3455" s="3" t="s">
        <v>25</v>
      </c>
      <c r="G3455" s="3" t="s">
        <v>100</v>
      </c>
      <c r="H3455" s="3" t="s">
        <v>56</v>
      </c>
      <c r="I3455" s="3" t="s">
        <v>188</v>
      </c>
      <c r="J3455" s="3" t="n">
        <v>10</v>
      </c>
      <c r="K3455" s="3" t="n">
        <v>14746.38</v>
      </c>
      <c r="L3455" s="3" t="n">
        <v>147463.8</v>
      </c>
      <c r="M3455" s="3" t="n">
        <v>0.1696</v>
      </c>
      <c r="N3455" s="3" t="n">
        <v>25009.86</v>
      </c>
      <c r="O3455" s="3" t="n">
        <v>122453.94</v>
      </c>
      <c r="P3455" s="3" t="n">
        <v>88478.28</v>
      </c>
      <c r="Q3455" s="3" t="n">
        <v>33975.66</v>
      </c>
      <c r="R3455" s="3" t="n">
        <v>0.2775</v>
      </c>
      <c r="S3455" s="3" t="n">
        <v>0.1717</v>
      </c>
      <c r="T3455" s="3" t="n">
        <v>-0.0021</v>
      </c>
    </row>
    <row r="3456" customFormat="false" ht="15" hidden="false" customHeight="true" outlineLevel="0" collapsed="false">
      <c r="A3456" s="3" t="s">
        <v>4586</v>
      </c>
      <c r="B3456" s="3" t="s">
        <v>3648</v>
      </c>
      <c r="C3456" s="3" t="s">
        <v>68</v>
      </c>
      <c r="D3456" s="3" t="s">
        <v>47</v>
      </c>
      <c r="E3456" s="3" t="s">
        <v>48</v>
      </c>
      <c r="F3456" s="3" t="s">
        <v>25</v>
      </c>
      <c r="G3456" s="3" t="s">
        <v>84</v>
      </c>
      <c r="H3456" s="3" t="s">
        <v>42</v>
      </c>
      <c r="I3456" s="3" t="s">
        <v>43</v>
      </c>
      <c r="J3456" s="3" t="n">
        <v>22</v>
      </c>
      <c r="K3456" s="3" t="n">
        <v>593.96</v>
      </c>
      <c r="L3456" s="3" t="n">
        <v>13067.12</v>
      </c>
      <c r="M3456" s="3" t="n">
        <v>0.1192</v>
      </c>
      <c r="N3456" s="3" t="n">
        <v>1557.6</v>
      </c>
      <c r="O3456" s="3" t="n">
        <v>11509.52</v>
      </c>
      <c r="P3456" s="3" t="n">
        <v>7186.92</v>
      </c>
      <c r="Q3456" s="3" t="n">
        <v>4322.6</v>
      </c>
      <c r="R3456" s="3" t="n">
        <v>0.3756</v>
      </c>
      <c r="S3456" s="3" t="n">
        <v>0.129</v>
      </c>
      <c r="T3456" s="3" t="n">
        <v>-0.0098</v>
      </c>
    </row>
    <row r="3457" customFormat="false" ht="15" hidden="false" customHeight="true" outlineLevel="0" collapsed="false">
      <c r="A3457" s="3" t="s">
        <v>4587</v>
      </c>
      <c r="B3457" s="3" t="s">
        <v>710</v>
      </c>
      <c r="C3457" s="3" t="s">
        <v>22</v>
      </c>
      <c r="D3457" s="3" t="s">
        <v>32</v>
      </c>
      <c r="E3457" s="3" t="s">
        <v>33</v>
      </c>
      <c r="F3457" s="3" t="s">
        <v>25</v>
      </c>
      <c r="G3457" s="3" t="s">
        <v>26</v>
      </c>
      <c r="H3457" s="3" t="s">
        <v>42</v>
      </c>
      <c r="I3457" s="3" t="s">
        <v>134</v>
      </c>
      <c r="J3457" s="3" t="n">
        <v>35</v>
      </c>
      <c r="K3457" s="3" t="n">
        <v>3010.32</v>
      </c>
      <c r="L3457" s="3" t="n">
        <v>105361.2</v>
      </c>
      <c r="M3457" s="3" t="n">
        <v>0.1594</v>
      </c>
      <c r="N3457" s="3" t="n">
        <v>16794.58</v>
      </c>
      <c r="O3457" s="3" t="n">
        <v>88566.62</v>
      </c>
      <c r="P3457" s="3" t="n">
        <v>57948.66</v>
      </c>
      <c r="Q3457" s="3" t="n">
        <v>30617.96</v>
      </c>
      <c r="R3457" s="3" t="n">
        <v>0.3457</v>
      </c>
      <c r="S3457" s="3" t="n">
        <v>0.1605</v>
      </c>
      <c r="T3457" s="3" t="n">
        <v>-0.0011</v>
      </c>
    </row>
    <row r="3458" customFormat="false" ht="15" hidden="false" customHeight="true" outlineLevel="0" collapsed="false">
      <c r="A3458" s="3" t="s">
        <v>4588</v>
      </c>
      <c r="B3458" s="3" t="s">
        <v>3444</v>
      </c>
      <c r="C3458" s="3" t="s">
        <v>60</v>
      </c>
      <c r="D3458" s="3" t="s">
        <v>23</v>
      </c>
      <c r="E3458" s="3" t="s">
        <v>24</v>
      </c>
      <c r="F3458" s="3" t="s">
        <v>25</v>
      </c>
      <c r="G3458" s="3" t="s">
        <v>76</v>
      </c>
      <c r="H3458" s="3" t="s">
        <v>77</v>
      </c>
      <c r="I3458" s="3" t="s">
        <v>78</v>
      </c>
      <c r="J3458" s="3" t="n">
        <v>37</v>
      </c>
      <c r="K3458" s="3" t="n">
        <v>5997.39</v>
      </c>
      <c r="L3458" s="3" t="n">
        <v>221903.43</v>
      </c>
      <c r="M3458" s="3" t="n">
        <v>0.1628</v>
      </c>
      <c r="N3458" s="3" t="n">
        <v>36125.88</v>
      </c>
      <c r="O3458" s="3" t="n">
        <v>185777.55</v>
      </c>
      <c r="P3458" s="3" t="n">
        <v>150894.33</v>
      </c>
      <c r="Q3458" s="3" t="n">
        <v>34883.22</v>
      </c>
      <c r="R3458" s="3" t="n">
        <v>0.1878</v>
      </c>
      <c r="S3458" s="3" t="n">
        <v>0.153</v>
      </c>
      <c r="T3458" s="3" t="n">
        <v>0.0098</v>
      </c>
    </row>
    <row r="3459" customFormat="false" ht="15" hidden="false" customHeight="true" outlineLevel="0" collapsed="false">
      <c r="A3459" s="3" t="s">
        <v>4589</v>
      </c>
      <c r="B3459" s="3" t="s">
        <v>1221</v>
      </c>
      <c r="C3459" s="3" t="s">
        <v>53</v>
      </c>
      <c r="D3459" s="3" t="s">
        <v>107</v>
      </c>
      <c r="E3459" s="3" t="s">
        <v>33</v>
      </c>
      <c r="F3459" s="3" t="s">
        <v>70</v>
      </c>
      <c r="G3459" s="3" t="s">
        <v>41</v>
      </c>
      <c r="H3459" s="3" t="s">
        <v>64</v>
      </c>
      <c r="I3459" s="3" t="s">
        <v>65</v>
      </c>
      <c r="J3459" s="3" t="n">
        <v>17</v>
      </c>
      <c r="K3459" s="3" t="n">
        <v>9848.73</v>
      </c>
      <c r="L3459" s="3" t="n">
        <v>167428.41</v>
      </c>
      <c r="M3459" s="3" t="n">
        <v>0.0841</v>
      </c>
      <c r="N3459" s="3" t="n">
        <v>14080.73</v>
      </c>
      <c r="O3459" s="3" t="n">
        <v>153347.68</v>
      </c>
      <c r="P3459" s="3" t="n">
        <v>97108.48</v>
      </c>
      <c r="Q3459" s="3" t="n">
        <v>56239.2</v>
      </c>
      <c r="R3459" s="3" t="n">
        <v>0.3667</v>
      </c>
      <c r="S3459" s="3" t="n">
        <v>0.092</v>
      </c>
      <c r="T3459" s="3" t="n">
        <v>-0.0079</v>
      </c>
    </row>
    <row r="3460" customFormat="false" ht="15" hidden="false" customHeight="true" outlineLevel="0" collapsed="false">
      <c r="A3460" s="3" t="s">
        <v>4590</v>
      </c>
      <c r="B3460" s="3" t="s">
        <v>3996</v>
      </c>
      <c r="C3460" s="3" t="s">
        <v>53</v>
      </c>
      <c r="D3460" s="3" t="s">
        <v>23</v>
      </c>
      <c r="E3460" s="3" t="s">
        <v>24</v>
      </c>
      <c r="F3460" s="3" t="s">
        <v>25</v>
      </c>
      <c r="G3460" s="3" t="s">
        <v>63</v>
      </c>
      <c r="H3460" s="3" t="s">
        <v>42</v>
      </c>
      <c r="I3460" s="3" t="s">
        <v>43</v>
      </c>
      <c r="J3460" s="3" t="n">
        <v>6</v>
      </c>
      <c r="K3460" s="3" t="n">
        <v>3271.31</v>
      </c>
      <c r="L3460" s="3" t="n">
        <v>19627.86</v>
      </c>
      <c r="M3460" s="3" t="n">
        <v>0.1057</v>
      </c>
      <c r="N3460" s="3" t="n">
        <v>2074.66</v>
      </c>
      <c r="O3460" s="3" t="n">
        <v>17553.2</v>
      </c>
      <c r="P3460" s="3" t="n">
        <v>10795.32</v>
      </c>
      <c r="Q3460" s="3" t="n">
        <v>6757.88</v>
      </c>
      <c r="R3460" s="3" t="n">
        <v>0.385</v>
      </c>
      <c r="S3460" s="3" t="n">
        <v>0.1022</v>
      </c>
      <c r="T3460" s="3" t="n">
        <v>0.0035</v>
      </c>
    </row>
    <row r="3461" customFormat="false" ht="15" hidden="false" customHeight="true" outlineLevel="0" collapsed="false">
      <c r="A3461" s="3" t="s">
        <v>4591</v>
      </c>
      <c r="B3461" s="3" t="s">
        <v>3165</v>
      </c>
      <c r="C3461" s="3" t="s">
        <v>46</v>
      </c>
      <c r="D3461" s="3" t="s">
        <v>107</v>
      </c>
      <c r="E3461" s="3" t="s">
        <v>33</v>
      </c>
      <c r="F3461" s="3" t="s">
        <v>70</v>
      </c>
      <c r="G3461" s="3" t="s">
        <v>26</v>
      </c>
      <c r="H3461" s="3" t="s">
        <v>77</v>
      </c>
      <c r="I3461" s="3" t="s">
        <v>131</v>
      </c>
      <c r="J3461" s="3" t="n">
        <v>1</v>
      </c>
      <c r="K3461" s="3" t="n">
        <v>1768.8</v>
      </c>
      <c r="L3461" s="3" t="n">
        <v>1768.8</v>
      </c>
      <c r="M3461" s="3" t="n">
        <v>0.0646</v>
      </c>
      <c r="N3461" s="3" t="n">
        <v>114.26</v>
      </c>
      <c r="O3461" s="3" t="n">
        <v>1654.54</v>
      </c>
      <c r="P3461" s="3" t="n">
        <v>1202.78</v>
      </c>
      <c r="Q3461" s="3" t="n">
        <v>451.76</v>
      </c>
      <c r="R3461" s="3" t="n">
        <v>0.273</v>
      </c>
      <c r="S3461" s="3" t="n">
        <v>0.0611</v>
      </c>
      <c r="T3461" s="3" t="n">
        <v>0.0035</v>
      </c>
    </row>
    <row r="3462" customFormat="false" ht="15" hidden="false" customHeight="true" outlineLevel="0" collapsed="false">
      <c r="A3462" s="3" t="s">
        <v>4592</v>
      </c>
      <c r="B3462" s="3" t="s">
        <v>999</v>
      </c>
      <c r="C3462" s="3" t="s">
        <v>93</v>
      </c>
      <c r="D3462" s="3" t="s">
        <v>61</v>
      </c>
      <c r="E3462" s="3" t="s">
        <v>33</v>
      </c>
      <c r="F3462" s="3" t="s">
        <v>62</v>
      </c>
      <c r="G3462" s="3" t="s">
        <v>104</v>
      </c>
      <c r="H3462" s="3" t="s">
        <v>42</v>
      </c>
      <c r="I3462" s="3" t="s">
        <v>43</v>
      </c>
      <c r="J3462" s="3" t="n">
        <v>42</v>
      </c>
      <c r="K3462" s="3" t="n">
        <v>2178.38</v>
      </c>
      <c r="L3462" s="3" t="n">
        <v>91491.96</v>
      </c>
      <c r="M3462" s="3" t="n">
        <v>0.0931</v>
      </c>
      <c r="N3462" s="3" t="n">
        <v>8517.9</v>
      </c>
      <c r="O3462" s="3" t="n">
        <v>82974.06</v>
      </c>
      <c r="P3462" s="3" t="n">
        <v>50320.58</v>
      </c>
      <c r="Q3462" s="3" t="n">
        <v>32653.48</v>
      </c>
      <c r="R3462" s="3" t="n">
        <v>0.3935</v>
      </c>
      <c r="S3462" s="3" t="n">
        <v>0.0976</v>
      </c>
      <c r="T3462" s="3" t="n">
        <v>-0.0045</v>
      </c>
    </row>
    <row r="3463" customFormat="false" ht="15" hidden="false" customHeight="true" outlineLevel="0" collapsed="false">
      <c r="A3463" s="3" t="s">
        <v>4593</v>
      </c>
      <c r="B3463" s="3" t="s">
        <v>4594</v>
      </c>
      <c r="C3463" s="3" t="s">
        <v>93</v>
      </c>
      <c r="D3463" s="3" t="s">
        <v>32</v>
      </c>
      <c r="E3463" s="3" t="s">
        <v>33</v>
      </c>
      <c r="F3463" s="3" t="s">
        <v>25</v>
      </c>
      <c r="G3463" s="3" t="s">
        <v>34</v>
      </c>
      <c r="H3463" s="3" t="s">
        <v>42</v>
      </c>
      <c r="I3463" s="3" t="s">
        <v>43</v>
      </c>
      <c r="J3463" s="3" t="n">
        <v>36</v>
      </c>
      <c r="K3463" s="3" t="n">
        <v>1986.27</v>
      </c>
      <c r="L3463" s="3" t="n">
        <v>71505.72</v>
      </c>
      <c r="M3463" s="3" t="n">
        <v>0.2014</v>
      </c>
      <c r="N3463" s="3" t="n">
        <v>14401.25</v>
      </c>
      <c r="O3463" s="3" t="n">
        <v>57104.47</v>
      </c>
      <c r="P3463" s="3" t="n">
        <v>39328.15</v>
      </c>
      <c r="Q3463" s="3" t="n">
        <v>17776.32</v>
      </c>
      <c r="R3463" s="3" t="n">
        <v>0.3113</v>
      </c>
      <c r="S3463" s="3" t="n">
        <v>0.2034</v>
      </c>
      <c r="T3463" s="3" t="n">
        <v>-0.002</v>
      </c>
    </row>
    <row r="3464" customFormat="false" ht="15" hidden="false" customHeight="true" outlineLevel="0" collapsed="false">
      <c r="A3464" s="3" t="s">
        <v>4595</v>
      </c>
      <c r="B3464" s="3" t="s">
        <v>1996</v>
      </c>
      <c r="C3464" s="3" t="s">
        <v>156</v>
      </c>
      <c r="D3464" s="3" t="s">
        <v>23</v>
      </c>
      <c r="E3464" s="3" t="s">
        <v>24</v>
      </c>
      <c r="F3464" s="3" t="s">
        <v>25</v>
      </c>
      <c r="G3464" s="3" t="s">
        <v>116</v>
      </c>
      <c r="H3464" s="3" t="s">
        <v>42</v>
      </c>
      <c r="I3464" s="3" t="s">
        <v>134</v>
      </c>
      <c r="J3464" s="3" t="n">
        <v>21</v>
      </c>
      <c r="K3464" s="3" t="n">
        <v>2843.92</v>
      </c>
      <c r="L3464" s="3" t="n">
        <v>59722.32</v>
      </c>
      <c r="M3464" s="3" t="n">
        <v>0.1831</v>
      </c>
      <c r="N3464" s="3" t="n">
        <v>10935.16</v>
      </c>
      <c r="O3464" s="3" t="n">
        <v>48787.16</v>
      </c>
      <c r="P3464" s="3" t="n">
        <v>32847.28</v>
      </c>
      <c r="Q3464" s="3" t="n">
        <v>15939.88</v>
      </c>
      <c r="R3464" s="3" t="n">
        <v>0.3267</v>
      </c>
      <c r="S3464" s="3" t="n">
        <v>0.1493</v>
      </c>
      <c r="T3464" s="3" t="n">
        <v>0.0338</v>
      </c>
    </row>
    <row r="3465" customFormat="false" ht="15" hidden="false" customHeight="true" outlineLevel="0" collapsed="false">
      <c r="A3465" s="3" t="s">
        <v>4596</v>
      </c>
      <c r="B3465" s="3" t="s">
        <v>1274</v>
      </c>
      <c r="C3465" s="3" t="s">
        <v>60</v>
      </c>
      <c r="D3465" s="3" t="s">
        <v>83</v>
      </c>
      <c r="E3465" s="3" t="s">
        <v>48</v>
      </c>
      <c r="F3465" s="3" t="s">
        <v>62</v>
      </c>
      <c r="G3465" s="3" t="s">
        <v>84</v>
      </c>
      <c r="H3465" s="3" t="s">
        <v>27</v>
      </c>
      <c r="I3465" s="3" t="s">
        <v>28</v>
      </c>
      <c r="J3465" s="3" t="n">
        <v>24</v>
      </c>
      <c r="K3465" s="3" t="n">
        <v>25768.56</v>
      </c>
      <c r="L3465" s="3" t="n">
        <v>618445.44</v>
      </c>
      <c r="M3465" s="3" t="n">
        <v>0.0314</v>
      </c>
      <c r="N3465" s="3" t="n">
        <v>19419.19</v>
      </c>
      <c r="O3465" s="3" t="n">
        <v>599026.25</v>
      </c>
      <c r="P3465" s="3" t="n">
        <v>383436.17</v>
      </c>
      <c r="Q3465" s="3" t="n">
        <v>215590.08</v>
      </c>
      <c r="R3465" s="3" t="n">
        <v>0.3599</v>
      </c>
      <c r="S3465" s="3" t="n">
        <v>0.0252</v>
      </c>
      <c r="T3465" s="3" t="n">
        <v>0.0062</v>
      </c>
    </row>
    <row r="3466" customFormat="false" ht="15" hidden="false" customHeight="true" outlineLevel="0" collapsed="false">
      <c r="A3466" s="3" t="s">
        <v>4597</v>
      </c>
      <c r="B3466" s="3" t="s">
        <v>1285</v>
      </c>
      <c r="C3466" s="3" t="s">
        <v>53</v>
      </c>
      <c r="D3466" s="3" t="s">
        <v>32</v>
      </c>
      <c r="E3466" s="3" t="s">
        <v>33</v>
      </c>
      <c r="F3466" s="3" t="s">
        <v>25</v>
      </c>
      <c r="G3466" s="3" t="s">
        <v>71</v>
      </c>
      <c r="H3466" s="3" t="s">
        <v>64</v>
      </c>
      <c r="I3466" s="3" t="s">
        <v>145</v>
      </c>
      <c r="J3466" s="3" t="n">
        <v>31</v>
      </c>
      <c r="K3466" s="3" t="n">
        <v>5601.54</v>
      </c>
      <c r="L3466" s="3" t="n">
        <v>173647.74</v>
      </c>
      <c r="M3466" s="3" t="n">
        <v>0.1392</v>
      </c>
      <c r="N3466" s="3" t="n">
        <v>24171.77</v>
      </c>
      <c r="O3466" s="3" t="n">
        <v>149475.97</v>
      </c>
      <c r="P3466" s="3" t="n">
        <v>100715.69</v>
      </c>
      <c r="Q3466" s="3" t="n">
        <v>48760.28</v>
      </c>
      <c r="R3466" s="3" t="n">
        <v>0.3262</v>
      </c>
      <c r="S3466" s="3" t="n">
        <v>0.1407</v>
      </c>
      <c r="T3466" s="3" t="n">
        <v>-0.0015</v>
      </c>
    </row>
    <row r="3467" customFormat="false" ht="15" hidden="false" customHeight="true" outlineLevel="0" collapsed="false">
      <c r="A3467" s="3" t="s">
        <v>4598</v>
      </c>
      <c r="B3467" s="3" t="s">
        <v>471</v>
      </c>
      <c r="C3467" s="3" t="s">
        <v>93</v>
      </c>
      <c r="D3467" s="3" t="s">
        <v>38</v>
      </c>
      <c r="E3467" s="3" t="s">
        <v>39</v>
      </c>
      <c r="F3467" s="3" t="s">
        <v>40</v>
      </c>
      <c r="G3467" s="3" t="s">
        <v>116</v>
      </c>
      <c r="H3467" s="3" t="s">
        <v>64</v>
      </c>
      <c r="I3467" s="3" t="s">
        <v>65</v>
      </c>
      <c r="J3467" s="3" t="n">
        <v>44</v>
      </c>
      <c r="K3467" s="3" t="n">
        <v>3107.6</v>
      </c>
      <c r="L3467" s="3" t="n">
        <v>136734.4</v>
      </c>
      <c r="M3467" s="3" t="n">
        <v>0.0947</v>
      </c>
      <c r="N3467" s="3" t="n">
        <v>12948.75</v>
      </c>
      <c r="O3467" s="3" t="n">
        <v>123785.65</v>
      </c>
      <c r="P3467" s="3" t="n">
        <v>79305.95</v>
      </c>
      <c r="Q3467" s="3" t="n">
        <v>44479.7</v>
      </c>
      <c r="R3467" s="3" t="n">
        <v>0.3593</v>
      </c>
      <c r="S3467" s="3" t="n">
        <v>0.0861</v>
      </c>
      <c r="T3467" s="3" t="n">
        <v>0.0086</v>
      </c>
    </row>
    <row r="3468" customFormat="false" ht="15" hidden="false" customHeight="true" outlineLevel="0" collapsed="false">
      <c r="A3468" s="3" t="s">
        <v>4599</v>
      </c>
      <c r="B3468" s="3" t="s">
        <v>2875</v>
      </c>
      <c r="C3468" s="3" t="s">
        <v>37</v>
      </c>
      <c r="D3468" s="3" t="s">
        <v>38</v>
      </c>
      <c r="E3468" s="3" t="s">
        <v>39</v>
      </c>
      <c r="F3468" s="3" t="s">
        <v>40</v>
      </c>
      <c r="G3468" s="3" t="s">
        <v>76</v>
      </c>
      <c r="H3468" s="3" t="s">
        <v>56</v>
      </c>
      <c r="I3468" s="3" t="s">
        <v>57</v>
      </c>
      <c r="J3468" s="3" t="n">
        <v>44</v>
      </c>
      <c r="K3468" s="3" t="n">
        <v>12374.76</v>
      </c>
      <c r="L3468" s="3" t="n">
        <v>544489.44</v>
      </c>
      <c r="M3468" s="3" t="n">
        <v>0.0646</v>
      </c>
      <c r="N3468" s="3" t="n">
        <v>35174.02</v>
      </c>
      <c r="O3468" s="3" t="n">
        <v>509315.42</v>
      </c>
      <c r="P3468" s="3" t="n">
        <v>326693.66</v>
      </c>
      <c r="Q3468" s="3" t="n">
        <v>182621.76</v>
      </c>
      <c r="R3468" s="3" t="n">
        <v>0.3586</v>
      </c>
      <c r="S3468" s="3" t="n">
        <v>0.0641</v>
      </c>
      <c r="T3468" s="3" t="n">
        <v>0.0005</v>
      </c>
    </row>
    <row r="3469" customFormat="false" ht="15" hidden="false" customHeight="true" outlineLevel="0" collapsed="false">
      <c r="A3469" s="3" t="s">
        <v>4600</v>
      </c>
      <c r="B3469" s="3" t="s">
        <v>4601</v>
      </c>
      <c r="C3469" s="3" t="s">
        <v>53</v>
      </c>
      <c r="D3469" s="3" t="s">
        <v>38</v>
      </c>
      <c r="E3469" s="3" t="s">
        <v>39</v>
      </c>
      <c r="F3469" s="3" t="s">
        <v>40</v>
      </c>
      <c r="G3469" s="3" t="s">
        <v>55</v>
      </c>
      <c r="H3469" s="3" t="s">
        <v>77</v>
      </c>
      <c r="I3469" s="3" t="s">
        <v>78</v>
      </c>
      <c r="J3469" s="3" t="n">
        <v>29</v>
      </c>
      <c r="K3469" s="3" t="n">
        <v>5361.93</v>
      </c>
      <c r="L3469" s="3" t="n">
        <v>155495.97</v>
      </c>
      <c r="M3469" s="3" t="n">
        <v>0.0674</v>
      </c>
      <c r="N3469" s="3" t="n">
        <v>10480.43</v>
      </c>
      <c r="O3469" s="3" t="n">
        <v>145015.54</v>
      </c>
      <c r="P3469" s="3" t="n">
        <v>105737.26</v>
      </c>
      <c r="Q3469" s="3" t="n">
        <v>39278.28</v>
      </c>
      <c r="R3469" s="3" t="n">
        <v>0.2709</v>
      </c>
      <c r="S3469" s="3" t="n">
        <v>0.0707</v>
      </c>
      <c r="T3469" s="3" t="n">
        <v>-0.0033</v>
      </c>
    </row>
    <row r="3470" customFormat="false" ht="15" hidden="false" customHeight="true" outlineLevel="0" collapsed="false">
      <c r="A3470" s="3" t="s">
        <v>4602</v>
      </c>
      <c r="B3470" s="3" t="s">
        <v>396</v>
      </c>
      <c r="C3470" s="3" t="s">
        <v>60</v>
      </c>
      <c r="D3470" s="3" t="s">
        <v>75</v>
      </c>
      <c r="E3470" s="3" t="s">
        <v>39</v>
      </c>
      <c r="F3470" s="3" t="s">
        <v>25</v>
      </c>
      <c r="G3470" s="3" t="s">
        <v>63</v>
      </c>
      <c r="H3470" s="3" t="s">
        <v>42</v>
      </c>
      <c r="I3470" s="3" t="s">
        <v>43</v>
      </c>
      <c r="J3470" s="3" t="n">
        <v>44</v>
      </c>
      <c r="K3470" s="3" t="n">
        <v>2820.87</v>
      </c>
      <c r="L3470" s="3" t="n">
        <v>124118.28</v>
      </c>
      <c r="M3470" s="3" t="n">
        <v>0.1601</v>
      </c>
      <c r="N3470" s="3" t="n">
        <v>19871.34</v>
      </c>
      <c r="O3470" s="3" t="n">
        <v>104246.94</v>
      </c>
      <c r="P3470" s="3" t="n">
        <v>68265.05</v>
      </c>
      <c r="Q3470" s="3" t="n">
        <v>35981.89</v>
      </c>
      <c r="R3470" s="3" t="n">
        <v>0.3452</v>
      </c>
      <c r="S3470" s="3" t="n">
        <v>0.1308</v>
      </c>
      <c r="T3470" s="3" t="n">
        <v>0.0293</v>
      </c>
    </row>
    <row r="3471" customFormat="false" ht="15" hidden="false" customHeight="true" outlineLevel="0" collapsed="false">
      <c r="A3471" s="3" t="s">
        <v>4603</v>
      </c>
      <c r="B3471" s="3" t="s">
        <v>2934</v>
      </c>
      <c r="C3471" s="3" t="s">
        <v>46</v>
      </c>
      <c r="D3471" s="3" t="s">
        <v>61</v>
      </c>
      <c r="E3471" s="3" t="s">
        <v>33</v>
      </c>
      <c r="F3471" s="3" t="s">
        <v>62</v>
      </c>
      <c r="G3471" s="3" t="s">
        <v>116</v>
      </c>
      <c r="H3471" s="3" t="s">
        <v>77</v>
      </c>
      <c r="I3471" s="3" t="s">
        <v>78</v>
      </c>
      <c r="J3471" s="3" t="n">
        <v>47</v>
      </c>
      <c r="K3471" s="3" t="n">
        <v>2876.27</v>
      </c>
      <c r="L3471" s="3" t="n">
        <v>135184.69</v>
      </c>
      <c r="M3471" s="3" t="n">
        <v>0.0722</v>
      </c>
      <c r="N3471" s="3" t="n">
        <v>9760.33</v>
      </c>
      <c r="O3471" s="3" t="n">
        <v>125424.36</v>
      </c>
      <c r="P3471" s="3" t="n">
        <v>91925.59</v>
      </c>
      <c r="Q3471" s="3" t="n">
        <v>33498.77</v>
      </c>
      <c r="R3471" s="3" t="n">
        <v>0.2671</v>
      </c>
      <c r="S3471" s="3" t="n">
        <v>0.0598</v>
      </c>
      <c r="T3471" s="3" t="n">
        <v>0.0124</v>
      </c>
    </row>
    <row r="3472" customFormat="false" ht="15" hidden="false" customHeight="true" outlineLevel="0" collapsed="false">
      <c r="A3472" s="3" t="s">
        <v>4604</v>
      </c>
      <c r="B3472" s="3" t="s">
        <v>1674</v>
      </c>
      <c r="C3472" s="3" t="s">
        <v>46</v>
      </c>
      <c r="D3472" s="3" t="s">
        <v>69</v>
      </c>
      <c r="E3472" s="3" t="s">
        <v>39</v>
      </c>
      <c r="F3472" s="3" t="s">
        <v>70</v>
      </c>
      <c r="G3472" s="3" t="s">
        <v>55</v>
      </c>
      <c r="H3472" s="3" t="s">
        <v>64</v>
      </c>
      <c r="I3472" s="3" t="s">
        <v>90</v>
      </c>
      <c r="J3472" s="3" t="n">
        <v>29</v>
      </c>
      <c r="K3472" s="3" t="n">
        <v>9906.15</v>
      </c>
      <c r="L3472" s="3" t="n">
        <v>287278.35</v>
      </c>
      <c r="M3472" s="3" t="n">
        <v>0.0695</v>
      </c>
      <c r="N3472" s="3" t="n">
        <v>19965.85</v>
      </c>
      <c r="O3472" s="3" t="n">
        <v>267312.5</v>
      </c>
      <c r="P3472" s="3" t="n">
        <v>166621.44</v>
      </c>
      <c r="Q3472" s="3" t="n">
        <v>100691.06</v>
      </c>
      <c r="R3472" s="3" t="n">
        <v>0.3767</v>
      </c>
      <c r="S3472" s="3" t="n">
        <v>0.071</v>
      </c>
      <c r="T3472" s="3" t="n">
        <v>-0.0015</v>
      </c>
    </row>
    <row r="3473" customFormat="false" ht="15" hidden="false" customHeight="true" outlineLevel="0" collapsed="false">
      <c r="A3473" s="3" t="s">
        <v>4605</v>
      </c>
      <c r="B3473" s="3" t="s">
        <v>820</v>
      </c>
      <c r="C3473" s="3" t="s">
        <v>156</v>
      </c>
      <c r="D3473" s="3" t="s">
        <v>23</v>
      </c>
      <c r="E3473" s="3" t="s">
        <v>24</v>
      </c>
      <c r="F3473" s="3" t="s">
        <v>25</v>
      </c>
      <c r="G3473" s="3" t="s">
        <v>63</v>
      </c>
      <c r="H3473" s="3" t="s">
        <v>56</v>
      </c>
      <c r="I3473" s="3" t="s">
        <v>57</v>
      </c>
      <c r="J3473" s="3" t="n">
        <v>48</v>
      </c>
      <c r="K3473" s="3" t="n">
        <v>10537.17</v>
      </c>
      <c r="L3473" s="3" t="n">
        <v>505784.16</v>
      </c>
      <c r="M3473" s="3" t="n">
        <v>0.1339</v>
      </c>
      <c r="N3473" s="3" t="n">
        <v>67724.5</v>
      </c>
      <c r="O3473" s="3" t="n">
        <v>438059.66</v>
      </c>
      <c r="P3473" s="3" t="n">
        <v>303470.5</v>
      </c>
      <c r="Q3473" s="3" t="n">
        <v>134589.16</v>
      </c>
      <c r="R3473" s="3" t="n">
        <v>0.3072</v>
      </c>
      <c r="S3473" s="3" t="n">
        <v>0.1408</v>
      </c>
      <c r="T3473" s="3" t="n">
        <v>-0.0069</v>
      </c>
    </row>
    <row r="3474" customFormat="false" ht="15" hidden="false" customHeight="true" outlineLevel="0" collapsed="false">
      <c r="A3474" s="3" t="s">
        <v>4606</v>
      </c>
      <c r="B3474" s="3" t="s">
        <v>4607</v>
      </c>
      <c r="C3474" s="3" t="s">
        <v>46</v>
      </c>
      <c r="D3474" s="3" t="s">
        <v>103</v>
      </c>
      <c r="E3474" s="3" t="s">
        <v>24</v>
      </c>
      <c r="F3474" s="3" t="s">
        <v>62</v>
      </c>
      <c r="G3474" s="3" t="s">
        <v>116</v>
      </c>
      <c r="H3474" s="3" t="s">
        <v>42</v>
      </c>
      <c r="I3474" s="3" t="s">
        <v>134</v>
      </c>
      <c r="J3474" s="3" t="n">
        <v>30</v>
      </c>
      <c r="K3474" s="3" t="n">
        <v>3329.17</v>
      </c>
      <c r="L3474" s="3" t="n">
        <v>99875.1</v>
      </c>
      <c r="M3474" s="3" t="n">
        <v>0.0914</v>
      </c>
      <c r="N3474" s="3" t="n">
        <v>9128.58</v>
      </c>
      <c r="O3474" s="3" t="n">
        <v>90746.52</v>
      </c>
      <c r="P3474" s="3" t="n">
        <v>54931.31</v>
      </c>
      <c r="Q3474" s="3" t="n">
        <v>35815.21</v>
      </c>
      <c r="R3474" s="3" t="n">
        <v>0.3947</v>
      </c>
      <c r="S3474" s="3" t="n">
        <v>0.0874</v>
      </c>
      <c r="T3474" s="3" t="n">
        <v>0.004</v>
      </c>
    </row>
    <row r="3475" customFormat="false" ht="15" hidden="false" customHeight="true" outlineLevel="0" collapsed="false">
      <c r="A3475" s="3" t="s">
        <v>4608</v>
      </c>
      <c r="B3475" s="3" t="s">
        <v>771</v>
      </c>
      <c r="C3475" s="3" t="s">
        <v>156</v>
      </c>
      <c r="D3475" s="3" t="s">
        <v>38</v>
      </c>
      <c r="E3475" s="3" t="s">
        <v>39</v>
      </c>
      <c r="F3475" s="3" t="s">
        <v>40</v>
      </c>
      <c r="G3475" s="3" t="s">
        <v>100</v>
      </c>
      <c r="H3475" s="3" t="s">
        <v>77</v>
      </c>
      <c r="I3475" s="3" t="s">
        <v>85</v>
      </c>
      <c r="J3475" s="3" t="n">
        <v>18</v>
      </c>
      <c r="K3475" s="3" t="n">
        <v>1578.44</v>
      </c>
      <c r="L3475" s="3" t="n">
        <v>28411.92</v>
      </c>
      <c r="M3475" s="3" t="n">
        <v>0.0594</v>
      </c>
      <c r="N3475" s="3" t="n">
        <v>1687.67</v>
      </c>
      <c r="O3475" s="3" t="n">
        <v>26724.25</v>
      </c>
      <c r="P3475" s="3" t="n">
        <v>19320.11</v>
      </c>
      <c r="Q3475" s="3" t="n">
        <v>7404.14</v>
      </c>
      <c r="R3475" s="3" t="n">
        <v>0.2771</v>
      </c>
      <c r="S3475" s="3" t="n">
        <v>0.0567</v>
      </c>
      <c r="T3475" s="3" t="n">
        <v>0.0027</v>
      </c>
    </row>
    <row r="3476" customFormat="false" ht="15" hidden="false" customHeight="true" outlineLevel="0" collapsed="false">
      <c r="A3476" s="3" t="s">
        <v>4609</v>
      </c>
      <c r="B3476" s="3" t="s">
        <v>3314</v>
      </c>
      <c r="C3476" s="3" t="s">
        <v>37</v>
      </c>
      <c r="D3476" s="3" t="s">
        <v>69</v>
      </c>
      <c r="E3476" s="3" t="s">
        <v>39</v>
      </c>
      <c r="F3476" s="3" t="s">
        <v>70</v>
      </c>
      <c r="G3476" s="3" t="s">
        <v>63</v>
      </c>
      <c r="H3476" s="3" t="s">
        <v>42</v>
      </c>
      <c r="I3476" s="3" t="s">
        <v>72</v>
      </c>
      <c r="J3476" s="3" t="n">
        <v>48</v>
      </c>
      <c r="K3476" s="3" t="n">
        <v>1098.2</v>
      </c>
      <c r="L3476" s="3" t="n">
        <v>52713.6</v>
      </c>
      <c r="M3476" s="3" t="n">
        <v>0.0323</v>
      </c>
      <c r="N3476" s="3" t="n">
        <v>1702.65</v>
      </c>
      <c r="O3476" s="3" t="n">
        <v>51010.95</v>
      </c>
      <c r="P3476" s="3" t="n">
        <v>28992.48</v>
      </c>
      <c r="Q3476" s="3" t="n">
        <v>22018.47</v>
      </c>
      <c r="R3476" s="3" t="n">
        <v>0.4316</v>
      </c>
      <c r="S3476" s="3" t="n">
        <v>0.0301</v>
      </c>
      <c r="T3476" s="3" t="n">
        <v>0.0022</v>
      </c>
    </row>
    <row r="3477" customFormat="false" ht="15" hidden="false" customHeight="true" outlineLevel="0" collapsed="false">
      <c r="A3477" s="3" t="s">
        <v>4610</v>
      </c>
      <c r="B3477" s="3" t="s">
        <v>2398</v>
      </c>
      <c r="C3477" s="3" t="s">
        <v>113</v>
      </c>
      <c r="D3477" s="3" t="s">
        <v>54</v>
      </c>
      <c r="E3477" s="3" t="s">
        <v>24</v>
      </c>
      <c r="F3477" s="3" t="s">
        <v>40</v>
      </c>
      <c r="G3477" s="3" t="s">
        <v>55</v>
      </c>
      <c r="H3477" s="3" t="s">
        <v>42</v>
      </c>
      <c r="I3477" s="3" t="s">
        <v>43</v>
      </c>
      <c r="J3477" s="3" t="n">
        <v>36</v>
      </c>
      <c r="K3477" s="3" t="n">
        <v>2660.21</v>
      </c>
      <c r="L3477" s="3" t="n">
        <v>95767.56</v>
      </c>
      <c r="M3477" s="3" t="n">
        <v>0.0518</v>
      </c>
      <c r="N3477" s="3" t="n">
        <v>4960.76</v>
      </c>
      <c r="O3477" s="3" t="n">
        <v>90806.8</v>
      </c>
      <c r="P3477" s="3" t="n">
        <v>52672.16</v>
      </c>
      <c r="Q3477" s="3" t="n">
        <v>38134.64</v>
      </c>
      <c r="R3477" s="3" t="n">
        <v>0.42</v>
      </c>
      <c r="S3477" s="3" t="n">
        <v>0.0455</v>
      </c>
      <c r="T3477" s="3" t="n">
        <v>0.0063</v>
      </c>
    </row>
    <row r="3478" customFormat="false" ht="15" hidden="false" customHeight="true" outlineLevel="0" collapsed="false">
      <c r="A3478" s="3" t="s">
        <v>4611</v>
      </c>
      <c r="B3478" s="3" t="s">
        <v>2223</v>
      </c>
      <c r="C3478" s="3" t="s">
        <v>120</v>
      </c>
      <c r="D3478" s="3" t="s">
        <v>69</v>
      </c>
      <c r="E3478" s="3" t="s">
        <v>39</v>
      </c>
      <c r="F3478" s="3" t="s">
        <v>70</v>
      </c>
      <c r="G3478" s="3" t="s">
        <v>84</v>
      </c>
      <c r="H3478" s="3" t="s">
        <v>42</v>
      </c>
      <c r="I3478" s="3" t="s">
        <v>43</v>
      </c>
      <c r="J3478" s="3" t="n">
        <v>7</v>
      </c>
      <c r="K3478" s="3" t="n">
        <v>3078.23</v>
      </c>
      <c r="L3478" s="3" t="n">
        <v>21547.61</v>
      </c>
      <c r="M3478" s="3" t="n">
        <v>0.0349</v>
      </c>
      <c r="N3478" s="3" t="n">
        <v>752.01</v>
      </c>
      <c r="O3478" s="3" t="n">
        <v>20795.6</v>
      </c>
      <c r="P3478" s="3" t="n">
        <v>11851.19</v>
      </c>
      <c r="Q3478" s="3" t="n">
        <v>8944.41</v>
      </c>
      <c r="R3478" s="3" t="n">
        <v>0.4301</v>
      </c>
      <c r="S3478" s="3" t="n">
        <v>0.0288</v>
      </c>
      <c r="T3478" s="3" t="n">
        <v>0.0061</v>
      </c>
    </row>
    <row r="3479" customFormat="false" ht="15" hidden="false" customHeight="true" outlineLevel="0" collapsed="false">
      <c r="A3479" s="3" t="s">
        <v>4612</v>
      </c>
      <c r="B3479" s="3" t="s">
        <v>1074</v>
      </c>
      <c r="C3479" s="3" t="s">
        <v>68</v>
      </c>
      <c r="D3479" s="3" t="s">
        <v>32</v>
      </c>
      <c r="E3479" s="3" t="s">
        <v>33</v>
      </c>
      <c r="F3479" s="3" t="s">
        <v>25</v>
      </c>
      <c r="G3479" s="3" t="s">
        <v>26</v>
      </c>
      <c r="H3479" s="3" t="s">
        <v>56</v>
      </c>
      <c r="I3479" s="3" t="s">
        <v>57</v>
      </c>
      <c r="J3479" s="3" t="n">
        <v>35</v>
      </c>
      <c r="K3479" s="3" t="n">
        <v>15785.64</v>
      </c>
      <c r="L3479" s="3" t="n">
        <v>552497.4</v>
      </c>
      <c r="M3479" s="3" t="n">
        <v>0.1367</v>
      </c>
      <c r="N3479" s="3" t="n">
        <v>75526.39</v>
      </c>
      <c r="O3479" s="3" t="n">
        <v>476971.01</v>
      </c>
      <c r="P3479" s="3" t="n">
        <v>331498.44</v>
      </c>
      <c r="Q3479" s="3" t="n">
        <v>145472.57</v>
      </c>
      <c r="R3479" s="3" t="n">
        <v>0.305</v>
      </c>
      <c r="S3479" s="3" t="n">
        <v>0.1344</v>
      </c>
      <c r="T3479" s="3" t="n">
        <v>0.0023</v>
      </c>
    </row>
    <row r="3480" customFormat="false" ht="15" hidden="false" customHeight="true" outlineLevel="0" collapsed="false">
      <c r="A3480" s="3" t="s">
        <v>4613</v>
      </c>
      <c r="B3480" s="3" t="s">
        <v>4614</v>
      </c>
      <c r="C3480" s="3" t="s">
        <v>68</v>
      </c>
      <c r="D3480" s="3" t="s">
        <v>23</v>
      </c>
      <c r="E3480" s="3" t="s">
        <v>24</v>
      </c>
      <c r="F3480" s="3" t="s">
        <v>25</v>
      </c>
      <c r="G3480" s="3" t="s">
        <v>34</v>
      </c>
      <c r="H3480" s="3" t="s">
        <v>42</v>
      </c>
      <c r="I3480" s="3" t="s">
        <v>72</v>
      </c>
      <c r="J3480" s="3" t="n">
        <v>5</v>
      </c>
      <c r="K3480" s="3" t="n">
        <v>3364.77</v>
      </c>
      <c r="L3480" s="3" t="n">
        <v>16823.85</v>
      </c>
      <c r="M3480" s="3" t="n">
        <v>0.1848</v>
      </c>
      <c r="N3480" s="3" t="n">
        <v>3109.05</v>
      </c>
      <c r="O3480" s="3" t="n">
        <v>13714.8</v>
      </c>
      <c r="P3480" s="3" t="n">
        <v>9253.12</v>
      </c>
      <c r="Q3480" s="3" t="n">
        <v>4461.68</v>
      </c>
      <c r="R3480" s="3" t="n">
        <v>0.3253</v>
      </c>
      <c r="S3480" s="3" t="n">
        <v>0.1847</v>
      </c>
      <c r="T3480" s="3" t="n">
        <v>0.0001</v>
      </c>
    </row>
    <row r="3481" customFormat="false" ht="15" hidden="false" customHeight="true" outlineLevel="0" collapsed="false">
      <c r="A3481" s="3" t="s">
        <v>4615</v>
      </c>
      <c r="B3481" s="3" t="s">
        <v>2645</v>
      </c>
      <c r="C3481" s="3" t="s">
        <v>156</v>
      </c>
      <c r="D3481" s="3" t="s">
        <v>32</v>
      </c>
      <c r="E3481" s="3" t="s">
        <v>33</v>
      </c>
      <c r="F3481" s="3" t="s">
        <v>25</v>
      </c>
      <c r="G3481" s="3" t="s">
        <v>26</v>
      </c>
      <c r="H3481" s="3" t="s">
        <v>77</v>
      </c>
      <c r="I3481" s="3" t="s">
        <v>85</v>
      </c>
      <c r="J3481" s="3" t="n">
        <v>18</v>
      </c>
      <c r="K3481" s="3" t="n">
        <v>2153.09</v>
      </c>
      <c r="L3481" s="3" t="n">
        <v>38755.62</v>
      </c>
      <c r="M3481" s="3" t="n">
        <v>0.1728</v>
      </c>
      <c r="N3481" s="3" t="n">
        <v>6696.97</v>
      </c>
      <c r="O3481" s="3" t="n">
        <v>32058.65</v>
      </c>
      <c r="P3481" s="3" t="n">
        <v>26353.82</v>
      </c>
      <c r="Q3481" s="3" t="n">
        <v>5704.83</v>
      </c>
      <c r="R3481" s="3" t="n">
        <v>0.1779</v>
      </c>
      <c r="S3481" s="3" t="n">
        <v>0.1837</v>
      </c>
      <c r="T3481" s="3" t="n">
        <v>-0.0109</v>
      </c>
    </row>
    <row r="3482" customFormat="false" ht="15" hidden="false" customHeight="true" outlineLevel="0" collapsed="false">
      <c r="A3482" s="3" t="s">
        <v>4616</v>
      </c>
      <c r="B3482" s="3" t="s">
        <v>2662</v>
      </c>
      <c r="C3482" s="3" t="s">
        <v>68</v>
      </c>
      <c r="D3482" s="3" t="s">
        <v>32</v>
      </c>
      <c r="E3482" s="3" t="s">
        <v>33</v>
      </c>
      <c r="F3482" s="3" t="s">
        <v>25</v>
      </c>
      <c r="G3482" s="3" t="s">
        <v>71</v>
      </c>
      <c r="H3482" s="3" t="s">
        <v>64</v>
      </c>
      <c r="I3482" s="3" t="s">
        <v>108</v>
      </c>
      <c r="J3482" s="3" t="n">
        <v>17</v>
      </c>
      <c r="K3482" s="3" t="n">
        <v>10725.83</v>
      </c>
      <c r="L3482" s="3" t="n">
        <v>182339.11</v>
      </c>
      <c r="M3482" s="3" t="n">
        <v>0.127</v>
      </c>
      <c r="N3482" s="3" t="n">
        <v>23157.07</v>
      </c>
      <c r="O3482" s="3" t="n">
        <v>159182.04</v>
      </c>
      <c r="P3482" s="3" t="n">
        <v>105756.68</v>
      </c>
      <c r="Q3482" s="3" t="n">
        <v>53425.36</v>
      </c>
      <c r="R3482" s="3" t="n">
        <v>0.3356</v>
      </c>
      <c r="S3482" s="3" t="n">
        <v>0.1269</v>
      </c>
      <c r="T3482" s="3" t="n">
        <v>0.0001</v>
      </c>
    </row>
    <row r="3483" customFormat="false" ht="15" hidden="false" customHeight="true" outlineLevel="0" collapsed="false">
      <c r="A3483" s="3" t="s">
        <v>4617</v>
      </c>
      <c r="B3483" s="3" t="s">
        <v>1987</v>
      </c>
      <c r="C3483" s="3" t="s">
        <v>93</v>
      </c>
      <c r="D3483" s="3" t="s">
        <v>75</v>
      </c>
      <c r="E3483" s="3" t="s">
        <v>39</v>
      </c>
      <c r="F3483" s="3" t="s">
        <v>25</v>
      </c>
      <c r="G3483" s="3" t="s">
        <v>49</v>
      </c>
      <c r="H3483" s="3" t="s">
        <v>27</v>
      </c>
      <c r="I3483" s="3" t="s">
        <v>50</v>
      </c>
      <c r="J3483" s="3" t="n">
        <v>11</v>
      </c>
      <c r="K3483" s="3" t="n">
        <v>17488.21</v>
      </c>
      <c r="L3483" s="3" t="n">
        <v>192370.31</v>
      </c>
      <c r="M3483" s="3" t="n">
        <v>0.1525</v>
      </c>
      <c r="N3483" s="3" t="n">
        <v>29336.47</v>
      </c>
      <c r="O3483" s="3" t="n">
        <v>163033.84</v>
      </c>
      <c r="P3483" s="3" t="n">
        <v>119269.59</v>
      </c>
      <c r="Q3483" s="3" t="n">
        <v>43764.25</v>
      </c>
      <c r="R3483" s="3" t="n">
        <v>0.2684</v>
      </c>
      <c r="S3483" s="3" t="n">
        <v>0.1641</v>
      </c>
      <c r="T3483" s="3" t="n">
        <v>-0.0116</v>
      </c>
    </row>
    <row r="3484" customFormat="false" ht="15" hidden="false" customHeight="true" outlineLevel="0" collapsed="false">
      <c r="A3484" s="3" t="s">
        <v>4618</v>
      </c>
      <c r="B3484" s="3" t="s">
        <v>829</v>
      </c>
      <c r="C3484" s="3" t="s">
        <v>53</v>
      </c>
      <c r="D3484" s="3" t="s">
        <v>107</v>
      </c>
      <c r="E3484" s="3" t="s">
        <v>33</v>
      </c>
      <c r="F3484" s="3" t="s">
        <v>70</v>
      </c>
      <c r="G3484" s="3" t="s">
        <v>41</v>
      </c>
      <c r="H3484" s="3" t="s">
        <v>27</v>
      </c>
      <c r="I3484" s="3" t="s">
        <v>94</v>
      </c>
      <c r="J3484" s="3" t="n">
        <v>49</v>
      </c>
      <c r="K3484" s="3" t="n">
        <v>38988.34</v>
      </c>
      <c r="L3484" s="3" t="n">
        <v>1910428.66</v>
      </c>
      <c r="M3484" s="3" t="n">
        <v>0.109</v>
      </c>
      <c r="N3484" s="3" t="n">
        <v>208236.72</v>
      </c>
      <c r="O3484" s="3" t="n">
        <v>1702191.94</v>
      </c>
      <c r="P3484" s="3" t="n">
        <v>1184465.77</v>
      </c>
      <c r="Q3484" s="3" t="n">
        <v>517726.17</v>
      </c>
      <c r="R3484" s="3" t="n">
        <v>0.3042</v>
      </c>
      <c r="S3484" s="3" t="n">
        <v>0.1071</v>
      </c>
      <c r="T3484" s="3" t="n">
        <v>0.0019</v>
      </c>
    </row>
    <row r="3485" customFormat="false" ht="15" hidden="false" customHeight="true" outlineLevel="0" collapsed="false">
      <c r="A3485" s="3" t="s">
        <v>4619</v>
      </c>
      <c r="B3485" s="3" t="s">
        <v>465</v>
      </c>
      <c r="C3485" s="3" t="s">
        <v>53</v>
      </c>
      <c r="D3485" s="3" t="s">
        <v>107</v>
      </c>
      <c r="E3485" s="3" t="s">
        <v>33</v>
      </c>
      <c r="F3485" s="3" t="s">
        <v>70</v>
      </c>
      <c r="G3485" s="3" t="s">
        <v>76</v>
      </c>
      <c r="H3485" s="3" t="s">
        <v>42</v>
      </c>
      <c r="I3485" s="3" t="s">
        <v>134</v>
      </c>
      <c r="J3485" s="3" t="n">
        <v>19</v>
      </c>
      <c r="K3485" s="3" t="n">
        <v>1853.09</v>
      </c>
      <c r="L3485" s="3" t="n">
        <v>35208.71</v>
      </c>
      <c r="M3485" s="3" t="n">
        <v>0.0387</v>
      </c>
      <c r="N3485" s="3" t="n">
        <v>1362.58</v>
      </c>
      <c r="O3485" s="3" t="n">
        <v>33846.13</v>
      </c>
      <c r="P3485" s="3" t="n">
        <v>19364.79</v>
      </c>
      <c r="Q3485" s="3" t="n">
        <v>14481.34</v>
      </c>
      <c r="R3485" s="3" t="n">
        <v>0.4279</v>
      </c>
      <c r="S3485" s="3" t="n">
        <v>0.0418</v>
      </c>
      <c r="T3485" s="3" t="n">
        <v>-0.0031</v>
      </c>
    </row>
    <row r="3486" customFormat="false" ht="15" hidden="false" customHeight="true" outlineLevel="0" collapsed="false">
      <c r="A3486" s="3" t="s">
        <v>4620</v>
      </c>
      <c r="B3486" s="3" t="s">
        <v>430</v>
      </c>
      <c r="C3486" s="3" t="s">
        <v>113</v>
      </c>
      <c r="D3486" s="3" t="s">
        <v>61</v>
      </c>
      <c r="E3486" s="3" t="s">
        <v>33</v>
      </c>
      <c r="F3486" s="3" t="s">
        <v>62</v>
      </c>
      <c r="G3486" s="3" t="s">
        <v>100</v>
      </c>
      <c r="H3486" s="3" t="s">
        <v>77</v>
      </c>
      <c r="I3486" s="3" t="s">
        <v>85</v>
      </c>
      <c r="J3486" s="3" t="n">
        <v>44</v>
      </c>
      <c r="K3486" s="3" t="n">
        <v>5610.48</v>
      </c>
      <c r="L3486" s="3" t="n">
        <v>246861.12</v>
      </c>
      <c r="M3486" s="3" t="n">
        <v>0.0537</v>
      </c>
      <c r="N3486" s="3" t="n">
        <v>13256.44</v>
      </c>
      <c r="O3486" s="3" t="n">
        <v>233604.68</v>
      </c>
      <c r="P3486" s="3" t="n">
        <v>167865.56</v>
      </c>
      <c r="Q3486" s="3" t="n">
        <v>65739.12</v>
      </c>
      <c r="R3486" s="3" t="n">
        <v>0.2814</v>
      </c>
      <c r="S3486" s="3" t="n">
        <v>0.0443</v>
      </c>
      <c r="T3486" s="3" t="n">
        <v>0.0094</v>
      </c>
    </row>
    <row r="3487" customFormat="false" ht="15" hidden="false" customHeight="true" outlineLevel="0" collapsed="false">
      <c r="A3487" s="3" t="s">
        <v>4621</v>
      </c>
      <c r="B3487" s="3" t="s">
        <v>807</v>
      </c>
      <c r="C3487" s="3" t="s">
        <v>113</v>
      </c>
      <c r="D3487" s="3" t="s">
        <v>47</v>
      </c>
      <c r="E3487" s="3" t="s">
        <v>48</v>
      </c>
      <c r="F3487" s="3" t="s">
        <v>25</v>
      </c>
      <c r="G3487" s="3" t="s">
        <v>41</v>
      </c>
      <c r="H3487" s="3" t="s">
        <v>27</v>
      </c>
      <c r="I3487" s="3" t="s">
        <v>173</v>
      </c>
      <c r="J3487" s="3" t="n">
        <v>35</v>
      </c>
      <c r="K3487" s="3" t="n">
        <v>23969.17</v>
      </c>
      <c r="L3487" s="3" t="n">
        <v>838920.95</v>
      </c>
      <c r="M3487" s="3" t="n">
        <v>0.1461</v>
      </c>
      <c r="N3487" s="3" t="n">
        <v>122566.35</v>
      </c>
      <c r="O3487" s="3" t="n">
        <v>716354.6</v>
      </c>
      <c r="P3487" s="3" t="n">
        <v>520130.99</v>
      </c>
      <c r="Q3487" s="3" t="n">
        <v>196223.61</v>
      </c>
      <c r="R3487" s="3" t="n">
        <v>0.2739</v>
      </c>
      <c r="S3487" s="3" t="n">
        <v>0.1355</v>
      </c>
      <c r="T3487" s="3" t="n">
        <v>0.0106</v>
      </c>
    </row>
    <row r="3488" customFormat="false" ht="15" hidden="false" customHeight="true" outlineLevel="0" collapsed="false">
      <c r="A3488" s="3" t="s">
        <v>4622</v>
      </c>
      <c r="B3488" s="3" t="s">
        <v>1229</v>
      </c>
      <c r="C3488" s="3" t="s">
        <v>93</v>
      </c>
      <c r="D3488" s="3" t="s">
        <v>47</v>
      </c>
      <c r="E3488" s="3" t="s">
        <v>48</v>
      </c>
      <c r="F3488" s="3" t="s">
        <v>25</v>
      </c>
      <c r="G3488" s="3" t="s">
        <v>100</v>
      </c>
      <c r="H3488" s="3" t="s">
        <v>56</v>
      </c>
      <c r="I3488" s="3" t="s">
        <v>121</v>
      </c>
      <c r="J3488" s="3" t="n">
        <v>30</v>
      </c>
      <c r="K3488" s="3" t="n">
        <v>12384.85</v>
      </c>
      <c r="L3488" s="3" t="n">
        <v>371545.5</v>
      </c>
      <c r="M3488" s="3" t="n">
        <v>0.1428</v>
      </c>
      <c r="N3488" s="3" t="n">
        <v>53056.7</v>
      </c>
      <c r="O3488" s="3" t="n">
        <v>318488.8</v>
      </c>
      <c r="P3488" s="3" t="n">
        <v>222927.3</v>
      </c>
      <c r="Q3488" s="3" t="n">
        <v>95561.5</v>
      </c>
      <c r="R3488" s="3" t="n">
        <v>0.3</v>
      </c>
      <c r="S3488" s="3" t="n">
        <v>0.1546</v>
      </c>
      <c r="T3488" s="3" t="n">
        <v>-0.0118</v>
      </c>
    </row>
    <row r="3489" customFormat="false" ht="15" hidden="false" customHeight="true" outlineLevel="0" collapsed="false">
      <c r="A3489" s="3" t="s">
        <v>4623</v>
      </c>
      <c r="B3489" s="3" t="s">
        <v>699</v>
      </c>
      <c r="C3489" s="3" t="s">
        <v>22</v>
      </c>
      <c r="D3489" s="3" t="s">
        <v>103</v>
      </c>
      <c r="E3489" s="3" t="s">
        <v>24</v>
      </c>
      <c r="F3489" s="3" t="s">
        <v>62</v>
      </c>
      <c r="G3489" s="3" t="s">
        <v>49</v>
      </c>
      <c r="H3489" s="3" t="s">
        <v>42</v>
      </c>
      <c r="I3489" s="3" t="s">
        <v>134</v>
      </c>
      <c r="J3489" s="3" t="n">
        <v>29</v>
      </c>
      <c r="K3489" s="3" t="n">
        <v>2294.52</v>
      </c>
      <c r="L3489" s="3" t="n">
        <v>66541.08</v>
      </c>
      <c r="M3489" s="3" t="n">
        <v>0.0679</v>
      </c>
      <c r="N3489" s="3" t="n">
        <v>4518.14</v>
      </c>
      <c r="O3489" s="3" t="n">
        <v>62022.94</v>
      </c>
      <c r="P3489" s="3" t="n">
        <v>36597.59</v>
      </c>
      <c r="Q3489" s="3" t="n">
        <v>25425.35</v>
      </c>
      <c r="R3489" s="3" t="n">
        <v>0.4099</v>
      </c>
      <c r="S3489" s="3" t="n">
        <v>0.0591</v>
      </c>
      <c r="T3489" s="3" t="n">
        <v>0.0088</v>
      </c>
    </row>
    <row r="3490" customFormat="false" ht="15" hidden="false" customHeight="true" outlineLevel="0" collapsed="false">
      <c r="A3490" s="3" t="s">
        <v>4624</v>
      </c>
      <c r="B3490" s="3" t="s">
        <v>1723</v>
      </c>
      <c r="C3490" s="3" t="s">
        <v>156</v>
      </c>
      <c r="D3490" s="3" t="s">
        <v>32</v>
      </c>
      <c r="E3490" s="3" t="s">
        <v>33</v>
      </c>
      <c r="F3490" s="3" t="s">
        <v>25</v>
      </c>
      <c r="G3490" s="3" t="s">
        <v>41</v>
      </c>
      <c r="H3490" s="3" t="s">
        <v>27</v>
      </c>
      <c r="I3490" s="3" t="s">
        <v>94</v>
      </c>
      <c r="J3490" s="3" t="n">
        <v>38</v>
      </c>
      <c r="K3490" s="3" t="n">
        <v>31105.4</v>
      </c>
      <c r="L3490" s="3" t="n">
        <v>1182005.2</v>
      </c>
      <c r="M3490" s="3" t="n">
        <v>0.2349</v>
      </c>
      <c r="N3490" s="3" t="n">
        <v>277653.02</v>
      </c>
      <c r="O3490" s="3" t="n">
        <v>904352.18</v>
      </c>
      <c r="P3490" s="3" t="n">
        <v>732843.22</v>
      </c>
      <c r="Q3490" s="3" t="n">
        <v>171508.96</v>
      </c>
      <c r="R3490" s="3" t="n">
        <v>0.1896</v>
      </c>
      <c r="S3490" s="3" t="n">
        <v>0.2366</v>
      </c>
      <c r="T3490" s="3" t="n">
        <v>-0.0017</v>
      </c>
    </row>
    <row r="3491" customFormat="false" ht="15" hidden="false" customHeight="true" outlineLevel="0" collapsed="false">
      <c r="A3491" s="3" t="s">
        <v>4625</v>
      </c>
      <c r="B3491" s="3" t="s">
        <v>1060</v>
      </c>
      <c r="C3491" s="3" t="s">
        <v>113</v>
      </c>
      <c r="D3491" s="3" t="s">
        <v>38</v>
      </c>
      <c r="E3491" s="3" t="s">
        <v>39</v>
      </c>
      <c r="F3491" s="3" t="s">
        <v>40</v>
      </c>
      <c r="G3491" s="3" t="s">
        <v>26</v>
      </c>
      <c r="H3491" s="3" t="s">
        <v>77</v>
      </c>
      <c r="I3491" s="3" t="s">
        <v>131</v>
      </c>
      <c r="J3491" s="3" t="n">
        <v>43</v>
      </c>
      <c r="K3491" s="3" t="n">
        <v>3377.66</v>
      </c>
      <c r="L3491" s="3" t="n">
        <v>145239.38</v>
      </c>
      <c r="M3491" s="3" t="n">
        <v>0.0796</v>
      </c>
      <c r="N3491" s="3" t="n">
        <v>11561.05</v>
      </c>
      <c r="O3491" s="3" t="n">
        <v>133678.33</v>
      </c>
      <c r="P3491" s="3" t="n">
        <v>98762.78</v>
      </c>
      <c r="Q3491" s="3" t="n">
        <v>34915.55</v>
      </c>
      <c r="R3491" s="3" t="n">
        <v>0.2612</v>
      </c>
      <c r="S3491" s="3" t="n">
        <v>0.0696</v>
      </c>
      <c r="T3491" s="3" t="n">
        <v>0.01</v>
      </c>
    </row>
    <row r="3492" customFormat="false" ht="15" hidden="false" customHeight="true" outlineLevel="0" collapsed="false">
      <c r="A3492" s="3" t="s">
        <v>4626</v>
      </c>
      <c r="B3492" s="3" t="s">
        <v>1212</v>
      </c>
      <c r="C3492" s="3" t="s">
        <v>126</v>
      </c>
      <c r="D3492" s="3" t="s">
        <v>69</v>
      </c>
      <c r="E3492" s="3" t="s">
        <v>39</v>
      </c>
      <c r="F3492" s="3" t="s">
        <v>70</v>
      </c>
      <c r="G3492" s="3" t="s">
        <v>104</v>
      </c>
      <c r="H3492" s="3" t="s">
        <v>56</v>
      </c>
      <c r="I3492" s="3" t="s">
        <v>121</v>
      </c>
      <c r="J3492" s="3" t="n">
        <v>18</v>
      </c>
      <c r="K3492" s="3" t="n">
        <v>3774.08</v>
      </c>
      <c r="L3492" s="3" t="n">
        <v>67933.44</v>
      </c>
      <c r="M3492" s="3" t="n">
        <v>0.1132</v>
      </c>
      <c r="N3492" s="3" t="n">
        <v>7690.07</v>
      </c>
      <c r="O3492" s="3" t="n">
        <v>60243.37</v>
      </c>
      <c r="P3492" s="3" t="n">
        <v>40760.06</v>
      </c>
      <c r="Q3492" s="3" t="n">
        <v>19483.31</v>
      </c>
      <c r="R3492" s="3" t="n">
        <v>0.3234</v>
      </c>
      <c r="S3492" s="3" t="n">
        <v>0.1068</v>
      </c>
      <c r="T3492" s="3" t="n">
        <v>0.0064</v>
      </c>
    </row>
    <row r="3493" customFormat="false" ht="15" hidden="false" customHeight="true" outlineLevel="0" collapsed="false">
      <c r="A3493" s="3" t="s">
        <v>4627</v>
      </c>
      <c r="B3493" s="3" t="s">
        <v>1247</v>
      </c>
      <c r="C3493" s="3" t="s">
        <v>22</v>
      </c>
      <c r="D3493" s="3" t="s">
        <v>69</v>
      </c>
      <c r="E3493" s="3" t="s">
        <v>39</v>
      </c>
      <c r="F3493" s="3" t="s">
        <v>70</v>
      </c>
      <c r="G3493" s="3" t="s">
        <v>71</v>
      </c>
      <c r="H3493" s="3" t="s">
        <v>77</v>
      </c>
      <c r="I3493" s="3" t="s">
        <v>85</v>
      </c>
      <c r="J3493" s="3" t="n">
        <v>8</v>
      </c>
      <c r="K3493" s="3" t="n">
        <v>2877.47</v>
      </c>
      <c r="L3493" s="3" t="n">
        <v>23019.76</v>
      </c>
      <c r="M3493" s="3" t="n">
        <v>0.0761</v>
      </c>
      <c r="N3493" s="3" t="n">
        <v>1751.8</v>
      </c>
      <c r="O3493" s="3" t="n">
        <v>21267.96</v>
      </c>
      <c r="P3493" s="3" t="n">
        <v>15653.44</v>
      </c>
      <c r="Q3493" s="3" t="n">
        <v>5614.52</v>
      </c>
      <c r="R3493" s="3" t="n">
        <v>0.264</v>
      </c>
      <c r="S3493" s="3" t="n">
        <v>0.0832</v>
      </c>
      <c r="T3493" s="3" t="n">
        <v>-0.0071</v>
      </c>
    </row>
    <row r="3494" customFormat="false" ht="15" hidden="false" customHeight="true" outlineLevel="0" collapsed="false">
      <c r="A3494" s="3" t="s">
        <v>4628</v>
      </c>
      <c r="B3494" s="3" t="s">
        <v>1174</v>
      </c>
      <c r="C3494" s="3" t="s">
        <v>93</v>
      </c>
      <c r="D3494" s="3" t="s">
        <v>47</v>
      </c>
      <c r="E3494" s="3" t="s">
        <v>48</v>
      </c>
      <c r="F3494" s="3" t="s">
        <v>25</v>
      </c>
      <c r="G3494" s="3" t="s">
        <v>41</v>
      </c>
      <c r="H3494" s="3" t="s">
        <v>56</v>
      </c>
      <c r="I3494" s="3" t="s">
        <v>57</v>
      </c>
      <c r="J3494" s="3" t="n">
        <v>45</v>
      </c>
      <c r="K3494" s="3" t="n">
        <v>13284.02</v>
      </c>
      <c r="L3494" s="3" t="n">
        <v>597780.9</v>
      </c>
      <c r="M3494" s="3" t="n">
        <v>0.208</v>
      </c>
      <c r="N3494" s="3" t="n">
        <v>124338.43</v>
      </c>
      <c r="O3494" s="3" t="n">
        <v>473442.47</v>
      </c>
      <c r="P3494" s="3" t="n">
        <v>358668.54</v>
      </c>
      <c r="Q3494" s="3" t="n">
        <v>114773.93</v>
      </c>
      <c r="R3494" s="3" t="n">
        <v>0.2424</v>
      </c>
      <c r="S3494" s="3" t="n">
        <v>0.1682</v>
      </c>
      <c r="T3494" s="3" t="n">
        <v>0.0398</v>
      </c>
    </row>
    <row r="3495" customFormat="false" ht="15" hidden="false" customHeight="true" outlineLevel="0" collapsed="false">
      <c r="A3495" s="3" t="s">
        <v>4629</v>
      </c>
      <c r="B3495" s="3" t="s">
        <v>771</v>
      </c>
      <c r="C3495" s="3" t="s">
        <v>156</v>
      </c>
      <c r="D3495" s="3" t="s">
        <v>47</v>
      </c>
      <c r="E3495" s="3" t="s">
        <v>48</v>
      </c>
      <c r="F3495" s="3" t="s">
        <v>25</v>
      </c>
      <c r="G3495" s="3" t="s">
        <v>76</v>
      </c>
      <c r="H3495" s="3" t="s">
        <v>42</v>
      </c>
      <c r="I3495" s="3" t="s">
        <v>72</v>
      </c>
      <c r="J3495" s="3" t="n">
        <v>21</v>
      </c>
      <c r="K3495" s="3" t="n">
        <v>2314.61</v>
      </c>
      <c r="L3495" s="3" t="n">
        <v>48606.81</v>
      </c>
      <c r="M3495" s="3" t="n">
        <v>0.1266</v>
      </c>
      <c r="N3495" s="3" t="n">
        <v>6153.62</v>
      </c>
      <c r="O3495" s="3" t="n">
        <v>42453.19</v>
      </c>
      <c r="P3495" s="3" t="n">
        <v>26733.75</v>
      </c>
      <c r="Q3495" s="3" t="n">
        <v>15719.44</v>
      </c>
      <c r="R3495" s="3" t="n">
        <v>0.3703</v>
      </c>
      <c r="S3495" s="3" t="n">
        <v>0.1062</v>
      </c>
      <c r="T3495" s="3" t="n">
        <v>0.0204</v>
      </c>
    </row>
    <row r="3496" customFormat="false" ht="15" hidden="false" customHeight="true" outlineLevel="0" collapsed="false">
      <c r="A3496" s="3" t="s">
        <v>4630</v>
      </c>
      <c r="B3496" s="3" t="s">
        <v>1407</v>
      </c>
      <c r="C3496" s="3" t="s">
        <v>60</v>
      </c>
      <c r="D3496" s="3" t="s">
        <v>75</v>
      </c>
      <c r="E3496" s="3" t="s">
        <v>39</v>
      </c>
      <c r="F3496" s="3" t="s">
        <v>25</v>
      </c>
      <c r="G3496" s="3" t="s">
        <v>76</v>
      </c>
      <c r="H3496" s="3" t="s">
        <v>77</v>
      </c>
      <c r="I3496" s="3" t="s">
        <v>85</v>
      </c>
      <c r="J3496" s="3" t="n">
        <v>4</v>
      </c>
      <c r="K3496" s="3" t="n">
        <v>2358.11</v>
      </c>
      <c r="L3496" s="3" t="n">
        <v>9432.44</v>
      </c>
      <c r="M3496" s="3" t="n">
        <v>0.1159</v>
      </c>
      <c r="N3496" s="3" t="n">
        <v>1093.22</v>
      </c>
      <c r="O3496" s="3" t="n">
        <v>8339.22</v>
      </c>
      <c r="P3496" s="3" t="n">
        <v>6414.06</v>
      </c>
      <c r="Q3496" s="3" t="n">
        <v>1925.16</v>
      </c>
      <c r="R3496" s="3" t="n">
        <v>0.2309</v>
      </c>
      <c r="S3496" s="3" t="n">
        <v>0.1208</v>
      </c>
      <c r="T3496" s="3" t="n">
        <v>-0.0049</v>
      </c>
    </row>
    <row r="3497" customFormat="false" ht="15" hidden="false" customHeight="true" outlineLevel="0" collapsed="false">
      <c r="A3497" s="3" t="s">
        <v>4631</v>
      </c>
      <c r="B3497" s="3" t="s">
        <v>4632</v>
      </c>
      <c r="C3497" s="3" t="s">
        <v>37</v>
      </c>
      <c r="D3497" s="3" t="s">
        <v>23</v>
      </c>
      <c r="E3497" s="3" t="s">
        <v>24</v>
      </c>
      <c r="F3497" s="3" t="s">
        <v>25</v>
      </c>
      <c r="G3497" s="3" t="s">
        <v>100</v>
      </c>
      <c r="H3497" s="3" t="s">
        <v>77</v>
      </c>
      <c r="I3497" s="3" t="s">
        <v>131</v>
      </c>
      <c r="J3497" s="3" t="n">
        <v>42</v>
      </c>
      <c r="K3497" s="3" t="n">
        <v>3186.51</v>
      </c>
      <c r="L3497" s="3" t="n">
        <v>133833.42</v>
      </c>
      <c r="M3497" s="3" t="n">
        <v>0.102</v>
      </c>
      <c r="N3497" s="3" t="n">
        <v>13651.01</v>
      </c>
      <c r="O3497" s="3" t="n">
        <v>120182.41</v>
      </c>
      <c r="P3497" s="3" t="n">
        <v>91006.73</v>
      </c>
      <c r="Q3497" s="3" t="n">
        <v>29175.68</v>
      </c>
      <c r="R3497" s="3" t="n">
        <v>0.2428</v>
      </c>
      <c r="S3497" s="3" t="n">
        <v>0.0944</v>
      </c>
      <c r="T3497" s="3" t="n">
        <v>0.0076</v>
      </c>
    </row>
    <row r="3498" customFormat="false" ht="15" hidden="false" customHeight="true" outlineLevel="0" collapsed="false">
      <c r="A3498" s="3" t="s">
        <v>4633</v>
      </c>
      <c r="B3498" s="3" t="s">
        <v>1365</v>
      </c>
      <c r="C3498" s="3" t="s">
        <v>68</v>
      </c>
      <c r="D3498" s="3" t="s">
        <v>61</v>
      </c>
      <c r="E3498" s="3" t="s">
        <v>33</v>
      </c>
      <c r="F3498" s="3" t="s">
        <v>62</v>
      </c>
      <c r="G3498" s="3" t="s">
        <v>71</v>
      </c>
      <c r="H3498" s="3" t="s">
        <v>27</v>
      </c>
      <c r="I3498" s="3" t="s">
        <v>117</v>
      </c>
      <c r="J3498" s="3" t="n">
        <v>35</v>
      </c>
      <c r="K3498" s="3" t="n">
        <v>10447.93</v>
      </c>
      <c r="L3498" s="3" t="n">
        <v>365677.55</v>
      </c>
      <c r="M3498" s="3" t="n">
        <v>0.0649</v>
      </c>
      <c r="N3498" s="3" t="n">
        <v>23732.47</v>
      </c>
      <c r="O3498" s="3" t="n">
        <v>341945.08</v>
      </c>
      <c r="P3498" s="3" t="n">
        <v>226720.08</v>
      </c>
      <c r="Q3498" s="3" t="n">
        <v>115225</v>
      </c>
      <c r="R3498" s="3" t="n">
        <v>0.337</v>
      </c>
      <c r="S3498" s="3" t="n">
        <v>0.0625</v>
      </c>
      <c r="T3498" s="3" t="n">
        <v>0.0024</v>
      </c>
    </row>
    <row r="3499" customFormat="false" ht="15" hidden="false" customHeight="true" outlineLevel="0" collapsed="false">
      <c r="A3499" s="3" t="s">
        <v>4634</v>
      </c>
      <c r="B3499" s="3" t="s">
        <v>549</v>
      </c>
      <c r="C3499" s="3" t="s">
        <v>37</v>
      </c>
      <c r="D3499" s="3" t="s">
        <v>75</v>
      </c>
      <c r="E3499" s="3" t="s">
        <v>39</v>
      </c>
      <c r="F3499" s="3" t="s">
        <v>25</v>
      </c>
      <c r="G3499" s="3" t="s">
        <v>100</v>
      </c>
      <c r="H3499" s="3" t="s">
        <v>56</v>
      </c>
      <c r="I3499" s="3" t="s">
        <v>57</v>
      </c>
      <c r="J3499" s="3" t="n">
        <v>4</v>
      </c>
      <c r="K3499" s="3" t="n">
        <v>14132.74</v>
      </c>
      <c r="L3499" s="3" t="n">
        <v>56530.96</v>
      </c>
      <c r="M3499" s="3" t="n">
        <v>0.1486</v>
      </c>
      <c r="N3499" s="3" t="n">
        <v>8400.5</v>
      </c>
      <c r="O3499" s="3" t="n">
        <v>48130.46</v>
      </c>
      <c r="P3499" s="3" t="n">
        <v>33918.58</v>
      </c>
      <c r="Q3499" s="3" t="n">
        <v>14211.88</v>
      </c>
      <c r="R3499" s="3" t="n">
        <v>0.2953</v>
      </c>
      <c r="S3499" s="3" t="n">
        <v>0.15</v>
      </c>
      <c r="T3499" s="3" t="n">
        <v>-0.0014</v>
      </c>
    </row>
    <row r="3500" customFormat="false" ht="15" hidden="false" customHeight="true" outlineLevel="0" collapsed="false">
      <c r="A3500" s="3" t="s">
        <v>4635</v>
      </c>
      <c r="B3500" s="3" t="s">
        <v>1150</v>
      </c>
      <c r="C3500" s="3" t="s">
        <v>37</v>
      </c>
      <c r="D3500" s="3" t="s">
        <v>54</v>
      </c>
      <c r="E3500" s="3" t="s">
        <v>24</v>
      </c>
      <c r="F3500" s="3" t="s">
        <v>40</v>
      </c>
      <c r="G3500" s="3" t="s">
        <v>100</v>
      </c>
      <c r="H3500" s="3" t="s">
        <v>42</v>
      </c>
      <c r="I3500" s="3" t="s">
        <v>72</v>
      </c>
      <c r="J3500" s="3" t="n">
        <v>26</v>
      </c>
      <c r="K3500" s="3" t="n">
        <v>1659.65</v>
      </c>
      <c r="L3500" s="3" t="n">
        <v>43150.9</v>
      </c>
      <c r="M3500" s="3" t="n">
        <v>0.0488</v>
      </c>
      <c r="N3500" s="3" t="n">
        <v>2105.76</v>
      </c>
      <c r="O3500" s="3" t="n">
        <v>41045.14</v>
      </c>
      <c r="P3500" s="3" t="n">
        <v>23733</v>
      </c>
      <c r="Q3500" s="3" t="n">
        <v>17312.14</v>
      </c>
      <c r="R3500" s="3" t="n">
        <v>0.4218</v>
      </c>
      <c r="S3500" s="3" t="n">
        <v>0.0454</v>
      </c>
      <c r="T3500" s="3" t="n">
        <v>0.0034</v>
      </c>
    </row>
    <row r="3501" customFormat="false" ht="15" hidden="false" customHeight="true" outlineLevel="0" collapsed="false">
      <c r="A3501" s="3" t="s">
        <v>4636</v>
      </c>
      <c r="B3501" s="3" t="s">
        <v>3042</v>
      </c>
      <c r="C3501" s="3" t="s">
        <v>68</v>
      </c>
      <c r="D3501" s="3" t="s">
        <v>97</v>
      </c>
      <c r="E3501" s="3" t="s">
        <v>48</v>
      </c>
      <c r="F3501" s="3" t="s">
        <v>40</v>
      </c>
      <c r="G3501" s="3" t="s">
        <v>100</v>
      </c>
      <c r="H3501" s="3" t="s">
        <v>42</v>
      </c>
      <c r="I3501" s="3" t="s">
        <v>43</v>
      </c>
      <c r="J3501" s="3" t="n">
        <v>11</v>
      </c>
      <c r="K3501" s="3" t="n">
        <v>3755.32</v>
      </c>
      <c r="L3501" s="3" t="n">
        <v>41308.52</v>
      </c>
      <c r="M3501" s="3" t="n">
        <v>0.0614</v>
      </c>
      <c r="N3501" s="3" t="n">
        <v>2536.34</v>
      </c>
      <c r="O3501" s="3" t="n">
        <v>38772.18</v>
      </c>
      <c r="P3501" s="3" t="n">
        <v>22719.69</v>
      </c>
      <c r="Q3501" s="3" t="n">
        <v>16052.49</v>
      </c>
      <c r="R3501" s="3" t="n">
        <v>0.414</v>
      </c>
      <c r="S3501" s="3" t="n">
        <v>0.0524</v>
      </c>
      <c r="T3501" s="3" t="n">
        <v>0.009</v>
      </c>
    </row>
    <row r="3502" customFormat="false" ht="15" hidden="false" customHeight="true" outlineLevel="0" collapsed="false">
      <c r="A3502" s="3" t="s">
        <v>4637</v>
      </c>
      <c r="B3502" s="3" t="s">
        <v>907</v>
      </c>
      <c r="C3502" s="3" t="s">
        <v>37</v>
      </c>
      <c r="D3502" s="3" t="s">
        <v>75</v>
      </c>
      <c r="E3502" s="3" t="s">
        <v>39</v>
      </c>
      <c r="F3502" s="3" t="s">
        <v>25</v>
      </c>
      <c r="G3502" s="3" t="s">
        <v>71</v>
      </c>
      <c r="H3502" s="3" t="s">
        <v>27</v>
      </c>
      <c r="I3502" s="3" t="s">
        <v>117</v>
      </c>
      <c r="J3502" s="3" t="n">
        <v>35</v>
      </c>
      <c r="K3502" s="3" t="n">
        <v>24745.97</v>
      </c>
      <c r="L3502" s="3" t="n">
        <v>866108.95</v>
      </c>
      <c r="M3502" s="3" t="n">
        <v>0.1358</v>
      </c>
      <c r="N3502" s="3" t="n">
        <v>117617.6</v>
      </c>
      <c r="O3502" s="3" t="n">
        <v>748491.35</v>
      </c>
      <c r="P3502" s="3" t="n">
        <v>536987.55</v>
      </c>
      <c r="Q3502" s="3" t="n">
        <v>211503.8</v>
      </c>
      <c r="R3502" s="3" t="n">
        <v>0.2826</v>
      </c>
      <c r="S3502" s="3" t="n">
        <v>0.1426</v>
      </c>
      <c r="T3502" s="3" t="n">
        <v>-0.0068</v>
      </c>
    </row>
    <row r="3503" customFormat="false" ht="15" hidden="false" customHeight="true" outlineLevel="0" collapsed="false">
      <c r="A3503" s="3" t="s">
        <v>4638</v>
      </c>
      <c r="B3503" s="3" t="s">
        <v>368</v>
      </c>
      <c r="C3503" s="3" t="s">
        <v>126</v>
      </c>
      <c r="D3503" s="3" t="s">
        <v>38</v>
      </c>
      <c r="E3503" s="3" t="s">
        <v>39</v>
      </c>
      <c r="F3503" s="3" t="s">
        <v>40</v>
      </c>
      <c r="G3503" s="3" t="s">
        <v>55</v>
      </c>
      <c r="H3503" s="3" t="s">
        <v>42</v>
      </c>
      <c r="I3503" s="3" t="s">
        <v>134</v>
      </c>
      <c r="J3503" s="3" t="n">
        <v>39</v>
      </c>
      <c r="K3503" s="3" t="n">
        <v>3728.2</v>
      </c>
      <c r="L3503" s="3" t="n">
        <v>145399.8</v>
      </c>
      <c r="M3503" s="3" t="n">
        <v>0.0563</v>
      </c>
      <c r="N3503" s="3" t="n">
        <v>8186.01</v>
      </c>
      <c r="O3503" s="3" t="n">
        <v>137213.79</v>
      </c>
      <c r="P3503" s="3" t="n">
        <v>79969.89</v>
      </c>
      <c r="Q3503" s="3" t="n">
        <v>57243.9</v>
      </c>
      <c r="R3503" s="3" t="n">
        <v>0.4172</v>
      </c>
      <c r="S3503" s="3" t="n">
        <v>0.048</v>
      </c>
      <c r="T3503" s="3" t="n">
        <v>0.0083</v>
      </c>
    </row>
    <row r="3504" customFormat="false" ht="15" hidden="false" customHeight="true" outlineLevel="0" collapsed="false">
      <c r="A3504" s="3" t="s">
        <v>4639</v>
      </c>
      <c r="B3504" s="3" t="s">
        <v>1960</v>
      </c>
      <c r="C3504" s="3" t="s">
        <v>53</v>
      </c>
      <c r="D3504" s="3" t="s">
        <v>107</v>
      </c>
      <c r="E3504" s="3" t="s">
        <v>33</v>
      </c>
      <c r="F3504" s="3" t="s">
        <v>70</v>
      </c>
      <c r="G3504" s="3" t="s">
        <v>84</v>
      </c>
      <c r="H3504" s="3" t="s">
        <v>64</v>
      </c>
      <c r="I3504" s="3" t="s">
        <v>145</v>
      </c>
      <c r="J3504" s="3" t="n">
        <v>22</v>
      </c>
      <c r="K3504" s="3" t="n">
        <v>10950.85</v>
      </c>
      <c r="L3504" s="3" t="n">
        <v>240918.7</v>
      </c>
      <c r="M3504" s="3" t="n">
        <v>0.0377</v>
      </c>
      <c r="N3504" s="3" t="n">
        <v>9082.63</v>
      </c>
      <c r="O3504" s="3" t="n">
        <v>231836.07</v>
      </c>
      <c r="P3504" s="3" t="n">
        <v>139732.85</v>
      </c>
      <c r="Q3504" s="3" t="n">
        <v>92103.22</v>
      </c>
      <c r="R3504" s="3" t="n">
        <v>0.3973</v>
      </c>
      <c r="S3504" s="3" t="n">
        <v>0.0311</v>
      </c>
      <c r="T3504" s="3" t="n">
        <v>0.0066</v>
      </c>
    </row>
    <row r="3505" customFormat="false" ht="15" hidden="false" customHeight="true" outlineLevel="0" collapsed="false">
      <c r="A3505" s="3" t="s">
        <v>4640</v>
      </c>
      <c r="B3505" s="3" t="s">
        <v>2374</v>
      </c>
      <c r="C3505" s="3" t="s">
        <v>60</v>
      </c>
      <c r="D3505" s="3" t="s">
        <v>69</v>
      </c>
      <c r="E3505" s="3" t="s">
        <v>39</v>
      </c>
      <c r="F3505" s="3" t="s">
        <v>70</v>
      </c>
      <c r="G3505" s="3" t="s">
        <v>116</v>
      </c>
      <c r="H3505" s="3" t="s">
        <v>64</v>
      </c>
      <c r="I3505" s="3" t="s">
        <v>90</v>
      </c>
      <c r="J3505" s="3" t="n">
        <v>49</v>
      </c>
      <c r="K3505" s="3" t="n">
        <v>10134.02</v>
      </c>
      <c r="L3505" s="3" t="n">
        <v>496566.98</v>
      </c>
      <c r="M3505" s="3" t="n">
        <v>0.1016</v>
      </c>
      <c r="N3505" s="3" t="n">
        <v>50451.21</v>
      </c>
      <c r="O3505" s="3" t="n">
        <v>446115.77</v>
      </c>
      <c r="P3505" s="3" t="n">
        <v>288008.85</v>
      </c>
      <c r="Q3505" s="3" t="n">
        <v>158106.92</v>
      </c>
      <c r="R3505" s="3" t="n">
        <v>0.3544</v>
      </c>
      <c r="S3505" s="3" t="n">
        <v>0.1093</v>
      </c>
      <c r="T3505" s="3" t="n">
        <v>-0.0077</v>
      </c>
    </row>
    <row r="3506" customFormat="false" ht="15" hidden="false" customHeight="true" outlineLevel="0" collapsed="false">
      <c r="A3506" s="3" t="s">
        <v>4641</v>
      </c>
      <c r="B3506" s="3" t="s">
        <v>192</v>
      </c>
      <c r="C3506" s="3" t="s">
        <v>31</v>
      </c>
      <c r="D3506" s="3" t="s">
        <v>69</v>
      </c>
      <c r="E3506" s="3" t="s">
        <v>39</v>
      </c>
      <c r="F3506" s="3" t="s">
        <v>70</v>
      </c>
      <c r="G3506" s="3" t="s">
        <v>100</v>
      </c>
      <c r="H3506" s="3" t="s">
        <v>77</v>
      </c>
      <c r="I3506" s="3" t="s">
        <v>78</v>
      </c>
      <c r="J3506" s="3" t="n">
        <v>19</v>
      </c>
      <c r="K3506" s="3" t="n">
        <v>3295.1</v>
      </c>
      <c r="L3506" s="3" t="n">
        <v>62606.9</v>
      </c>
      <c r="M3506" s="3" t="n">
        <v>0.0363</v>
      </c>
      <c r="N3506" s="3" t="n">
        <v>2272.63</v>
      </c>
      <c r="O3506" s="3" t="n">
        <v>60334.27</v>
      </c>
      <c r="P3506" s="3" t="n">
        <v>42572.69</v>
      </c>
      <c r="Q3506" s="3" t="n">
        <v>17761.58</v>
      </c>
      <c r="R3506" s="3" t="n">
        <v>0.2944</v>
      </c>
      <c r="S3506" s="3" t="n">
        <v>0.0392</v>
      </c>
      <c r="T3506" s="3" t="n">
        <v>-0.0029</v>
      </c>
    </row>
    <row r="3507" customFormat="false" ht="15" hidden="false" customHeight="true" outlineLevel="0" collapsed="false">
      <c r="A3507" s="3" t="s">
        <v>4642</v>
      </c>
      <c r="B3507" s="3" t="s">
        <v>386</v>
      </c>
      <c r="C3507" s="3" t="s">
        <v>37</v>
      </c>
      <c r="D3507" s="3" t="s">
        <v>97</v>
      </c>
      <c r="E3507" s="3" t="s">
        <v>48</v>
      </c>
      <c r="F3507" s="3" t="s">
        <v>40</v>
      </c>
      <c r="G3507" s="3" t="s">
        <v>63</v>
      </c>
      <c r="H3507" s="3" t="s">
        <v>77</v>
      </c>
      <c r="I3507" s="3" t="s">
        <v>85</v>
      </c>
      <c r="J3507" s="3" t="n">
        <v>35</v>
      </c>
      <c r="K3507" s="3" t="n">
        <v>1853.68</v>
      </c>
      <c r="L3507" s="3" t="n">
        <v>64878.8</v>
      </c>
      <c r="M3507" s="3" t="n">
        <v>0.0651</v>
      </c>
      <c r="N3507" s="3" t="n">
        <v>4223.61</v>
      </c>
      <c r="O3507" s="3" t="n">
        <v>60655.19</v>
      </c>
      <c r="P3507" s="3" t="n">
        <v>44117.58</v>
      </c>
      <c r="Q3507" s="3" t="n">
        <v>16537.61</v>
      </c>
      <c r="R3507" s="3" t="n">
        <v>0.2726</v>
      </c>
      <c r="S3507" s="3" t="n">
        <v>0.0557</v>
      </c>
      <c r="T3507" s="3" t="n">
        <v>0.0094</v>
      </c>
    </row>
    <row r="3508" customFormat="false" ht="15" hidden="false" customHeight="true" outlineLevel="0" collapsed="false">
      <c r="A3508" s="3" t="s">
        <v>4643</v>
      </c>
      <c r="B3508" s="3" t="s">
        <v>2179</v>
      </c>
      <c r="C3508" s="3" t="s">
        <v>68</v>
      </c>
      <c r="D3508" s="3" t="s">
        <v>75</v>
      </c>
      <c r="E3508" s="3" t="s">
        <v>39</v>
      </c>
      <c r="F3508" s="3" t="s">
        <v>25</v>
      </c>
      <c r="G3508" s="3" t="s">
        <v>26</v>
      </c>
      <c r="H3508" s="3" t="s">
        <v>56</v>
      </c>
      <c r="I3508" s="3" t="s">
        <v>57</v>
      </c>
      <c r="J3508" s="3" t="n">
        <v>2</v>
      </c>
      <c r="K3508" s="3" t="n">
        <v>8059.5</v>
      </c>
      <c r="L3508" s="3" t="n">
        <v>16119</v>
      </c>
      <c r="M3508" s="3" t="n">
        <v>0.1181</v>
      </c>
      <c r="N3508" s="3" t="n">
        <v>1903.65</v>
      </c>
      <c r="O3508" s="3" t="n">
        <v>14215.35</v>
      </c>
      <c r="P3508" s="3" t="n">
        <v>9671.4</v>
      </c>
      <c r="Q3508" s="3" t="n">
        <v>4543.95</v>
      </c>
      <c r="R3508" s="3" t="n">
        <v>0.3197</v>
      </c>
      <c r="S3508" s="3" t="n">
        <v>0.1297</v>
      </c>
      <c r="T3508" s="3" t="n">
        <v>-0.0116</v>
      </c>
    </row>
    <row r="3509" customFormat="false" ht="15" hidden="false" customHeight="true" outlineLevel="0" collapsed="false">
      <c r="A3509" s="3" t="s">
        <v>4644</v>
      </c>
      <c r="B3509" s="3" t="s">
        <v>956</v>
      </c>
      <c r="C3509" s="3" t="s">
        <v>156</v>
      </c>
      <c r="D3509" s="3" t="s">
        <v>83</v>
      </c>
      <c r="E3509" s="3" t="s">
        <v>48</v>
      </c>
      <c r="F3509" s="3" t="s">
        <v>62</v>
      </c>
      <c r="G3509" s="3" t="s">
        <v>34</v>
      </c>
      <c r="H3509" s="3" t="s">
        <v>77</v>
      </c>
      <c r="I3509" s="3" t="s">
        <v>85</v>
      </c>
      <c r="J3509" s="3" t="n">
        <v>29</v>
      </c>
      <c r="K3509" s="3" t="n">
        <v>5189.58</v>
      </c>
      <c r="L3509" s="3" t="n">
        <v>150497.82</v>
      </c>
      <c r="M3509" s="3" t="n">
        <v>0.1368</v>
      </c>
      <c r="N3509" s="3" t="n">
        <v>20588.1</v>
      </c>
      <c r="O3509" s="3" t="n">
        <v>129909.72</v>
      </c>
      <c r="P3509" s="3" t="n">
        <v>102338.52</v>
      </c>
      <c r="Q3509" s="3" t="n">
        <v>27571.2</v>
      </c>
      <c r="R3509" s="3" t="n">
        <v>0.2122</v>
      </c>
      <c r="S3509" s="3" t="n">
        <v>0.1261</v>
      </c>
      <c r="T3509" s="3" t="n">
        <v>0.0107</v>
      </c>
    </row>
    <row r="3510" customFormat="false" ht="15" hidden="false" customHeight="true" outlineLevel="0" collapsed="false">
      <c r="A3510" s="3" t="s">
        <v>4645</v>
      </c>
      <c r="B3510" s="3" t="s">
        <v>2561</v>
      </c>
      <c r="C3510" s="3" t="s">
        <v>46</v>
      </c>
      <c r="D3510" s="3" t="s">
        <v>23</v>
      </c>
      <c r="E3510" s="3" t="s">
        <v>24</v>
      </c>
      <c r="F3510" s="3" t="s">
        <v>25</v>
      </c>
      <c r="G3510" s="3" t="s">
        <v>34</v>
      </c>
      <c r="H3510" s="3" t="s">
        <v>56</v>
      </c>
      <c r="I3510" s="3" t="s">
        <v>188</v>
      </c>
      <c r="J3510" s="3" t="n">
        <v>41</v>
      </c>
      <c r="K3510" s="3" t="n">
        <v>6255.36</v>
      </c>
      <c r="L3510" s="3" t="n">
        <v>256469.76</v>
      </c>
      <c r="M3510" s="3" t="n">
        <v>0.2072</v>
      </c>
      <c r="N3510" s="3" t="n">
        <v>53140.53</v>
      </c>
      <c r="O3510" s="3" t="n">
        <v>203329.23</v>
      </c>
      <c r="P3510" s="3" t="n">
        <v>153881.86</v>
      </c>
      <c r="Q3510" s="3" t="n">
        <v>49447.37</v>
      </c>
      <c r="R3510" s="3" t="n">
        <v>0.2432</v>
      </c>
      <c r="S3510" s="3" t="n">
        <v>0.1956</v>
      </c>
      <c r="T3510" s="3" t="n">
        <v>0.0116</v>
      </c>
    </row>
    <row r="3511" customFormat="false" ht="15" hidden="false" customHeight="true" outlineLevel="0" collapsed="false">
      <c r="A3511" s="3" t="s">
        <v>4646</v>
      </c>
      <c r="B3511" s="3" t="s">
        <v>4594</v>
      </c>
      <c r="C3511" s="3" t="s">
        <v>93</v>
      </c>
      <c r="D3511" s="3" t="s">
        <v>103</v>
      </c>
      <c r="E3511" s="3" t="s">
        <v>24</v>
      </c>
      <c r="F3511" s="3" t="s">
        <v>62</v>
      </c>
      <c r="G3511" s="3" t="s">
        <v>34</v>
      </c>
      <c r="H3511" s="3" t="s">
        <v>77</v>
      </c>
      <c r="I3511" s="3" t="s">
        <v>131</v>
      </c>
      <c r="J3511" s="3" t="n">
        <v>9</v>
      </c>
      <c r="K3511" s="3" t="n">
        <v>5779.39</v>
      </c>
      <c r="L3511" s="3" t="n">
        <v>52014.51</v>
      </c>
      <c r="M3511" s="3" t="n">
        <v>0.127</v>
      </c>
      <c r="N3511" s="3" t="n">
        <v>6605.84</v>
      </c>
      <c r="O3511" s="3" t="n">
        <v>45408.67</v>
      </c>
      <c r="P3511" s="3" t="n">
        <v>35369.87</v>
      </c>
      <c r="Q3511" s="3" t="n">
        <v>10038.8</v>
      </c>
      <c r="R3511" s="3" t="n">
        <v>0.2211</v>
      </c>
      <c r="S3511" s="3" t="n">
        <v>0.1206</v>
      </c>
      <c r="T3511" s="3" t="n">
        <v>0.0064</v>
      </c>
    </row>
    <row r="3512" customFormat="false" ht="15" hidden="false" customHeight="true" outlineLevel="0" collapsed="false">
      <c r="A3512" s="3" t="s">
        <v>4647</v>
      </c>
      <c r="B3512" s="3" t="s">
        <v>1381</v>
      </c>
      <c r="C3512" s="3" t="s">
        <v>93</v>
      </c>
      <c r="D3512" s="3" t="s">
        <v>97</v>
      </c>
      <c r="E3512" s="3" t="s">
        <v>48</v>
      </c>
      <c r="F3512" s="3" t="s">
        <v>40</v>
      </c>
      <c r="G3512" s="3" t="s">
        <v>76</v>
      </c>
      <c r="H3512" s="3" t="s">
        <v>27</v>
      </c>
      <c r="I3512" s="3" t="s">
        <v>28</v>
      </c>
      <c r="J3512" s="3" t="n">
        <v>22</v>
      </c>
      <c r="K3512" s="3" t="n">
        <v>18578.93</v>
      </c>
      <c r="L3512" s="3" t="n">
        <v>408736.46</v>
      </c>
      <c r="M3512" s="3" t="n">
        <v>0.0565</v>
      </c>
      <c r="N3512" s="3" t="n">
        <v>23093.61</v>
      </c>
      <c r="O3512" s="3" t="n">
        <v>385642.85</v>
      </c>
      <c r="P3512" s="3" t="n">
        <v>253416.61</v>
      </c>
      <c r="Q3512" s="3" t="n">
        <v>132226.24</v>
      </c>
      <c r="R3512" s="3" t="n">
        <v>0.3429</v>
      </c>
      <c r="S3512" s="3" t="n">
        <v>0.0489</v>
      </c>
      <c r="T3512" s="3" t="n">
        <v>0.0076</v>
      </c>
    </row>
    <row r="3513" customFormat="false" ht="15" hidden="false" customHeight="true" outlineLevel="0" collapsed="false">
      <c r="A3513" s="3" t="s">
        <v>4648</v>
      </c>
      <c r="B3513" s="3" t="s">
        <v>2408</v>
      </c>
      <c r="C3513" s="3" t="s">
        <v>93</v>
      </c>
      <c r="D3513" s="3" t="s">
        <v>75</v>
      </c>
      <c r="E3513" s="3" t="s">
        <v>39</v>
      </c>
      <c r="F3513" s="3" t="s">
        <v>25</v>
      </c>
      <c r="G3513" s="3" t="s">
        <v>26</v>
      </c>
      <c r="H3513" s="3" t="s">
        <v>77</v>
      </c>
      <c r="I3513" s="3" t="s">
        <v>131</v>
      </c>
      <c r="J3513" s="3" t="n">
        <v>9</v>
      </c>
      <c r="K3513" s="3" t="n">
        <v>4252.94</v>
      </c>
      <c r="L3513" s="3" t="n">
        <v>38276.46</v>
      </c>
      <c r="M3513" s="3" t="n">
        <v>0.1061</v>
      </c>
      <c r="N3513" s="3" t="n">
        <v>4061.13</v>
      </c>
      <c r="O3513" s="3" t="n">
        <v>34215.33</v>
      </c>
      <c r="P3513" s="3" t="n">
        <v>26027.99</v>
      </c>
      <c r="Q3513" s="3" t="n">
        <v>8187.34</v>
      </c>
      <c r="R3513" s="3" t="n">
        <v>0.2393</v>
      </c>
      <c r="S3513" s="3" t="n">
        <v>0.1142</v>
      </c>
      <c r="T3513" s="3" t="n">
        <v>-0.0081</v>
      </c>
    </row>
    <row r="3514" customFormat="false" ht="15" hidden="false" customHeight="true" outlineLevel="0" collapsed="false">
      <c r="A3514" s="3" t="s">
        <v>4649</v>
      </c>
      <c r="B3514" s="3" t="s">
        <v>456</v>
      </c>
      <c r="C3514" s="3" t="s">
        <v>37</v>
      </c>
      <c r="D3514" s="3" t="s">
        <v>32</v>
      </c>
      <c r="E3514" s="3" t="s">
        <v>33</v>
      </c>
      <c r="F3514" s="3" t="s">
        <v>25</v>
      </c>
      <c r="G3514" s="3" t="s">
        <v>41</v>
      </c>
      <c r="H3514" s="3" t="s">
        <v>42</v>
      </c>
      <c r="I3514" s="3" t="s">
        <v>72</v>
      </c>
      <c r="J3514" s="3" t="n">
        <v>3</v>
      </c>
      <c r="K3514" s="3" t="n">
        <v>3260.31</v>
      </c>
      <c r="L3514" s="3" t="n">
        <v>9780.93</v>
      </c>
      <c r="M3514" s="3" t="n">
        <v>0.2191</v>
      </c>
      <c r="N3514" s="3" t="n">
        <v>2143</v>
      </c>
      <c r="O3514" s="3" t="n">
        <v>7637.93</v>
      </c>
      <c r="P3514" s="3" t="n">
        <v>5379.51</v>
      </c>
      <c r="Q3514" s="3" t="n">
        <v>2258.42</v>
      </c>
      <c r="R3514" s="3" t="n">
        <v>0.2957</v>
      </c>
      <c r="S3514" s="3" t="n">
        <v>0.1944</v>
      </c>
      <c r="T3514" s="3" t="n">
        <v>0.0247</v>
      </c>
    </row>
    <row r="3515" customFormat="false" ht="15" hidden="false" customHeight="true" outlineLevel="0" collapsed="false">
      <c r="A3515" s="3" t="s">
        <v>4650</v>
      </c>
      <c r="B3515" s="3" t="s">
        <v>4651</v>
      </c>
      <c r="C3515" s="3" t="s">
        <v>93</v>
      </c>
      <c r="D3515" s="3" t="s">
        <v>47</v>
      </c>
      <c r="E3515" s="3" t="s">
        <v>48</v>
      </c>
      <c r="F3515" s="3" t="s">
        <v>25</v>
      </c>
      <c r="G3515" s="3" t="s">
        <v>26</v>
      </c>
      <c r="H3515" s="3" t="s">
        <v>56</v>
      </c>
      <c r="I3515" s="3" t="s">
        <v>121</v>
      </c>
      <c r="J3515" s="3" t="n">
        <v>44</v>
      </c>
      <c r="K3515" s="3" t="n">
        <v>14635.96</v>
      </c>
      <c r="L3515" s="3" t="n">
        <v>643982.24</v>
      </c>
      <c r="M3515" s="3" t="n">
        <v>0.1275</v>
      </c>
      <c r="N3515" s="3" t="n">
        <v>82107.74</v>
      </c>
      <c r="O3515" s="3" t="n">
        <v>561874.5</v>
      </c>
      <c r="P3515" s="3" t="n">
        <v>386389.34</v>
      </c>
      <c r="Q3515" s="3" t="n">
        <v>175485.16</v>
      </c>
      <c r="R3515" s="3" t="n">
        <v>0.3123</v>
      </c>
      <c r="S3515" s="3" t="n">
        <v>0.1361</v>
      </c>
      <c r="T3515" s="3" t="n">
        <v>-0.0086</v>
      </c>
    </row>
    <row r="3516" customFormat="false" ht="15" hidden="false" customHeight="true" outlineLevel="0" collapsed="false">
      <c r="A3516" s="3" t="s">
        <v>4652</v>
      </c>
      <c r="B3516" s="3" t="s">
        <v>699</v>
      </c>
      <c r="C3516" s="3" t="s">
        <v>22</v>
      </c>
      <c r="D3516" s="3" t="s">
        <v>83</v>
      </c>
      <c r="E3516" s="3" t="s">
        <v>48</v>
      </c>
      <c r="F3516" s="3" t="s">
        <v>62</v>
      </c>
      <c r="G3516" s="3" t="s">
        <v>116</v>
      </c>
      <c r="H3516" s="3" t="s">
        <v>27</v>
      </c>
      <c r="I3516" s="3" t="s">
        <v>50</v>
      </c>
      <c r="J3516" s="3" t="n">
        <v>31</v>
      </c>
      <c r="K3516" s="3" t="n">
        <v>11327.97</v>
      </c>
      <c r="L3516" s="3" t="n">
        <v>351167.07</v>
      </c>
      <c r="M3516" s="3" t="n">
        <v>0.1201</v>
      </c>
      <c r="N3516" s="3" t="n">
        <v>42175.17</v>
      </c>
      <c r="O3516" s="3" t="n">
        <v>308991.9</v>
      </c>
      <c r="P3516" s="3" t="n">
        <v>217723.58</v>
      </c>
      <c r="Q3516" s="3" t="n">
        <v>91268.32</v>
      </c>
      <c r="R3516" s="3" t="n">
        <v>0.2954</v>
      </c>
      <c r="S3516" s="3" t="n">
        <v>0.109</v>
      </c>
      <c r="T3516" s="3" t="n">
        <v>0.0111</v>
      </c>
    </row>
    <row r="3517" customFormat="false" ht="15" hidden="false" customHeight="true" outlineLevel="0" collapsed="false">
      <c r="A3517" s="3" t="s">
        <v>4653</v>
      </c>
      <c r="B3517" s="3" t="s">
        <v>106</v>
      </c>
      <c r="C3517" s="3" t="s">
        <v>68</v>
      </c>
      <c r="D3517" s="3" t="s">
        <v>38</v>
      </c>
      <c r="E3517" s="3" t="s">
        <v>39</v>
      </c>
      <c r="F3517" s="3" t="s">
        <v>40</v>
      </c>
      <c r="G3517" s="3" t="s">
        <v>76</v>
      </c>
      <c r="H3517" s="3" t="s">
        <v>77</v>
      </c>
      <c r="I3517" s="3" t="s">
        <v>85</v>
      </c>
      <c r="J3517" s="3" t="n">
        <v>42</v>
      </c>
      <c r="K3517" s="3" t="n">
        <v>3118.71</v>
      </c>
      <c r="L3517" s="3" t="n">
        <v>130985.82</v>
      </c>
      <c r="M3517" s="3" t="n">
        <v>0.053</v>
      </c>
      <c r="N3517" s="3" t="n">
        <v>6942.25</v>
      </c>
      <c r="O3517" s="3" t="n">
        <v>124043.57</v>
      </c>
      <c r="P3517" s="3" t="n">
        <v>89070.36</v>
      </c>
      <c r="Q3517" s="3" t="n">
        <v>34973.21</v>
      </c>
      <c r="R3517" s="3" t="n">
        <v>0.2819</v>
      </c>
      <c r="S3517" s="3" t="n">
        <v>0.0486</v>
      </c>
      <c r="T3517" s="3" t="n">
        <v>0.0044</v>
      </c>
    </row>
    <row r="3518" customFormat="false" ht="15" hidden="false" customHeight="true" outlineLevel="0" collapsed="false">
      <c r="A3518" s="3" t="s">
        <v>4654</v>
      </c>
      <c r="B3518" s="3" t="s">
        <v>494</v>
      </c>
      <c r="C3518" s="3" t="s">
        <v>53</v>
      </c>
      <c r="D3518" s="3" t="s">
        <v>103</v>
      </c>
      <c r="E3518" s="3" t="s">
        <v>24</v>
      </c>
      <c r="F3518" s="3" t="s">
        <v>62</v>
      </c>
      <c r="G3518" s="3" t="s">
        <v>104</v>
      </c>
      <c r="H3518" s="3" t="s">
        <v>77</v>
      </c>
      <c r="I3518" s="3" t="s">
        <v>85</v>
      </c>
      <c r="J3518" s="3" t="n">
        <v>18</v>
      </c>
      <c r="K3518" s="3" t="n">
        <v>2625.7</v>
      </c>
      <c r="L3518" s="3" t="n">
        <v>47262.6</v>
      </c>
      <c r="M3518" s="3" t="n">
        <v>0.1128</v>
      </c>
      <c r="N3518" s="3" t="n">
        <v>5331.22</v>
      </c>
      <c r="O3518" s="3" t="n">
        <v>41931.38</v>
      </c>
      <c r="P3518" s="3" t="n">
        <v>32138.57</v>
      </c>
      <c r="Q3518" s="3" t="n">
        <v>9792.81</v>
      </c>
      <c r="R3518" s="3" t="n">
        <v>0.2335</v>
      </c>
      <c r="S3518" s="3" t="n">
        <v>0.1155</v>
      </c>
      <c r="T3518" s="3" t="n">
        <v>-0.0027</v>
      </c>
    </row>
    <row r="3519" customFormat="false" ht="15" hidden="false" customHeight="true" outlineLevel="0" collapsed="false">
      <c r="A3519" s="3" t="s">
        <v>4655</v>
      </c>
      <c r="B3519" s="3" t="s">
        <v>59</v>
      </c>
      <c r="C3519" s="3" t="s">
        <v>60</v>
      </c>
      <c r="D3519" s="3" t="s">
        <v>47</v>
      </c>
      <c r="E3519" s="3" t="s">
        <v>48</v>
      </c>
      <c r="F3519" s="3" t="s">
        <v>25</v>
      </c>
      <c r="G3519" s="3" t="s">
        <v>34</v>
      </c>
      <c r="H3519" s="3" t="s">
        <v>77</v>
      </c>
      <c r="I3519" s="3" t="s">
        <v>85</v>
      </c>
      <c r="J3519" s="3" t="n">
        <v>46</v>
      </c>
      <c r="K3519" s="3" t="n">
        <v>2194.7</v>
      </c>
      <c r="L3519" s="3" t="n">
        <v>100956.2</v>
      </c>
      <c r="M3519" s="3" t="n">
        <v>0.2054</v>
      </c>
      <c r="N3519" s="3" t="n">
        <v>20736.4</v>
      </c>
      <c r="O3519" s="3" t="n">
        <v>80219.8</v>
      </c>
      <c r="P3519" s="3" t="n">
        <v>68650.22</v>
      </c>
      <c r="Q3519" s="3" t="n">
        <v>11569.58</v>
      </c>
      <c r="R3519" s="3" t="n">
        <v>0.1442</v>
      </c>
      <c r="S3519" s="3" t="n">
        <v>0.1817</v>
      </c>
      <c r="T3519" s="3" t="n">
        <v>0.0237</v>
      </c>
    </row>
    <row r="3520" customFormat="false" ht="15" hidden="false" customHeight="true" outlineLevel="0" collapsed="false">
      <c r="A3520" s="3" t="s">
        <v>4656</v>
      </c>
      <c r="B3520" s="3" t="s">
        <v>1025</v>
      </c>
      <c r="C3520" s="3" t="s">
        <v>156</v>
      </c>
      <c r="D3520" s="3" t="s">
        <v>38</v>
      </c>
      <c r="E3520" s="3" t="s">
        <v>39</v>
      </c>
      <c r="F3520" s="3" t="s">
        <v>40</v>
      </c>
      <c r="G3520" s="3" t="s">
        <v>100</v>
      </c>
      <c r="H3520" s="3" t="s">
        <v>42</v>
      </c>
      <c r="I3520" s="3" t="s">
        <v>134</v>
      </c>
      <c r="J3520" s="3" t="n">
        <v>45</v>
      </c>
      <c r="K3520" s="3" t="n">
        <v>2128.36</v>
      </c>
      <c r="L3520" s="3" t="n">
        <v>95776.2</v>
      </c>
      <c r="M3520" s="3" t="n">
        <v>0.0519</v>
      </c>
      <c r="N3520" s="3" t="n">
        <v>4970.78</v>
      </c>
      <c r="O3520" s="3" t="n">
        <v>90805.42</v>
      </c>
      <c r="P3520" s="3" t="n">
        <v>52676.91</v>
      </c>
      <c r="Q3520" s="3" t="n">
        <v>38128.51</v>
      </c>
      <c r="R3520" s="3" t="n">
        <v>0.4199</v>
      </c>
      <c r="S3520" s="3" t="n">
        <v>0.0518</v>
      </c>
      <c r="T3520" s="3" t="n">
        <v>0.0001</v>
      </c>
    </row>
    <row r="3521" customFormat="false" ht="15" hidden="false" customHeight="true" outlineLevel="0" collapsed="false">
      <c r="A3521" s="3" t="s">
        <v>4657</v>
      </c>
      <c r="B3521" s="3" t="s">
        <v>4658</v>
      </c>
      <c r="C3521" s="3" t="s">
        <v>126</v>
      </c>
      <c r="D3521" s="3" t="s">
        <v>47</v>
      </c>
      <c r="E3521" s="3" t="s">
        <v>48</v>
      </c>
      <c r="F3521" s="3" t="s">
        <v>25</v>
      </c>
      <c r="G3521" s="3" t="s">
        <v>71</v>
      </c>
      <c r="H3521" s="3" t="s">
        <v>64</v>
      </c>
      <c r="I3521" s="3" t="s">
        <v>108</v>
      </c>
      <c r="J3521" s="3" t="n">
        <v>21</v>
      </c>
      <c r="K3521" s="3" t="n">
        <v>8534.64</v>
      </c>
      <c r="L3521" s="3" t="n">
        <v>179227.44</v>
      </c>
      <c r="M3521" s="3" t="n">
        <v>0.1466</v>
      </c>
      <c r="N3521" s="3" t="n">
        <v>26274.74</v>
      </c>
      <c r="O3521" s="3" t="n">
        <v>152952.7</v>
      </c>
      <c r="P3521" s="3" t="n">
        <v>103951.92</v>
      </c>
      <c r="Q3521" s="3" t="n">
        <v>49000.78</v>
      </c>
      <c r="R3521" s="3" t="n">
        <v>0.3204</v>
      </c>
      <c r="S3521" s="3" t="n">
        <v>0.1594</v>
      </c>
      <c r="T3521" s="3" t="n">
        <v>-0.0128</v>
      </c>
    </row>
    <row r="3522" customFormat="false" ht="15" hidden="false" customHeight="true" outlineLevel="0" collapsed="false">
      <c r="A3522" s="3" t="s">
        <v>4659</v>
      </c>
      <c r="B3522" s="3" t="s">
        <v>2046</v>
      </c>
      <c r="C3522" s="3" t="s">
        <v>22</v>
      </c>
      <c r="D3522" s="3" t="s">
        <v>47</v>
      </c>
      <c r="E3522" s="3" t="s">
        <v>48</v>
      </c>
      <c r="F3522" s="3" t="s">
        <v>25</v>
      </c>
      <c r="G3522" s="3" t="s">
        <v>84</v>
      </c>
      <c r="H3522" s="3" t="s">
        <v>42</v>
      </c>
      <c r="I3522" s="3" t="s">
        <v>43</v>
      </c>
      <c r="J3522" s="3" t="n">
        <v>41</v>
      </c>
      <c r="K3522" s="3" t="n">
        <v>1944.03</v>
      </c>
      <c r="L3522" s="3" t="n">
        <v>79705.23</v>
      </c>
      <c r="M3522" s="3" t="n">
        <v>0.1236</v>
      </c>
      <c r="N3522" s="3" t="n">
        <v>9851.57</v>
      </c>
      <c r="O3522" s="3" t="n">
        <v>69853.66</v>
      </c>
      <c r="P3522" s="3" t="n">
        <v>43837.88</v>
      </c>
      <c r="Q3522" s="3" t="n">
        <v>26015.78</v>
      </c>
      <c r="R3522" s="3" t="n">
        <v>0.3724</v>
      </c>
      <c r="S3522" s="3" t="n">
        <v>0.102</v>
      </c>
      <c r="T3522" s="3" t="n">
        <v>0.0216</v>
      </c>
    </row>
    <row r="3523" customFormat="false" ht="15" hidden="false" customHeight="true" outlineLevel="0" collapsed="false">
      <c r="A3523" s="3" t="s">
        <v>4660</v>
      </c>
      <c r="B3523" s="3" t="s">
        <v>2869</v>
      </c>
      <c r="C3523" s="3" t="s">
        <v>68</v>
      </c>
      <c r="D3523" s="3" t="s">
        <v>97</v>
      </c>
      <c r="E3523" s="3" t="s">
        <v>48</v>
      </c>
      <c r="F3523" s="3" t="s">
        <v>40</v>
      </c>
      <c r="G3523" s="3" t="s">
        <v>34</v>
      </c>
      <c r="H3523" s="3" t="s">
        <v>27</v>
      </c>
      <c r="I3523" s="3" t="s">
        <v>117</v>
      </c>
      <c r="J3523" s="3" t="n">
        <v>2</v>
      </c>
      <c r="K3523" s="3" t="n">
        <v>26429.46</v>
      </c>
      <c r="L3523" s="3" t="n">
        <v>52858.92</v>
      </c>
      <c r="M3523" s="3" t="n">
        <v>0.0943</v>
      </c>
      <c r="N3523" s="3" t="n">
        <v>4984.6</v>
      </c>
      <c r="O3523" s="3" t="n">
        <v>47874.32</v>
      </c>
      <c r="P3523" s="3" t="n">
        <v>32772.53</v>
      </c>
      <c r="Q3523" s="3" t="n">
        <v>15101.79</v>
      </c>
      <c r="R3523" s="3" t="n">
        <v>0.3154</v>
      </c>
      <c r="S3523" s="3" t="n">
        <v>0.0896</v>
      </c>
      <c r="T3523" s="3" t="n">
        <v>0.0047</v>
      </c>
    </row>
    <row r="3524" customFormat="false" ht="15" hidden="false" customHeight="true" outlineLevel="0" collapsed="false">
      <c r="A3524" s="3" t="s">
        <v>4661</v>
      </c>
      <c r="B3524" s="3" t="s">
        <v>4198</v>
      </c>
      <c r="C3524" s="3" t="s">
        <v>22</v>
      </c>
      <c r="D3524" s="3" t="s">
        <v>47</v>
      </c>
      <c r="E3524" s="3" t="s">
        <v>48</v>
      </c>
      <c r="F3524" s="3" t="s">
        <v>25</v>
      </c>
      <c r="G3524" s="3" t="s">
        <v>34</v>
      </c>
      <c r="H3524" s="3" t="s">
        <v>64</v>
      </c>
      <c r="I3524" s="3" t="s">
        <v>108</v>
      </c>
      <c r="J3524" s="3" t="n">
        <v>36</v>
      </c>
      <c r="K3524" s="3" t="n">
        <v>6202.68</v>
      </c>
      <c r="L3524" s="3" t="n">
        <v>223296.48</v>
      </c>
      <c r="M3524" s="3" t="n">
        <v>0.1824</v>
      </c>
      <c r="N3524" s="3" t="n">
        <v>40729.28</v>
      </c>
      <c r="O3524" s="3" t="n">
        <v>182567.2</v>
      </c>
      <c r="P3524" s="3" t="n">
        <v>129511.96</v>
      </c>
      <c r="Q3524" s="3" t="n">
        <v>53055.24</v>
      </c>
      <c r="R3524" s="3" t="n">
        <v>0.2906</v>
      </c>
      <c r="S3524" s="3" t="n">
        <v>0.148</v>
      </c>
      <c r="T3524" s="3" t="n">
        <v>0.0344</v>
      </c>
    </row>
    <row r="3525" customFormat="false" ht="15" hidden="false" customHeight="true" outlineLevel="0" collapsed="false">
      <c r="A3525" s="3" t="s">
        <v>4662</v>
      </c>
      <c r="B3525" s="3" t="s">
        <v>1693</v>
      </c>
      <c r="C3525" s="3" t="s">
        <v>113</v>
      </c>
      <c r="D3525" s="3" t="s">
        <v>23</v>
      </c>
      <c r="E3525" s="3" t="s">
        <v>24</v>
      </c>
      <c r="F3525" s="3" t="s">
        <v>25</v>
      </c>
      <c r="G3525" s="3" t="s">
        <v>49</v>
      </c>
      <c r="H3525" s="3" t="s">
        <v>27</v>
      </c>
      <c r="I3525" s="3" t="s">
        <v>28</v>
      </c>
      <c r="J3525" s="3" t="n">
        <v>14</v>
      </c>
      <c r="K3525" s="3" t="n">
        <v>34195.5</v>
      </c>
      <c r="L3525" s="3" t="n">
        <v>478737</v>
      </c>
      <c r="M3525" s="3" t="n">
        <v>0.1599</v>
      </c>
      <c r="N3525" s="3" t="n">
        <v>76550.05</v>
      </c>
      <c r="O3525" s="3" t="n">
        <v>402186.95</v>
      </c>
      <c r="P3525" s="3" t="n">
        <v>296816.94</v>
      </c>
      <c r="Q3525" s="3" t="n">
        <v>105370.01</v>
      </c>
      <c r="R3525" s="3" t="n">
        <v>0.262</v>
      </c>
      <c r="S3525" s="3" t="n">
        <v>0.1435</v>
      </c>
      <c r="T3525" s="3" t="n">
        <v>0.0164</v>
      </c>
    </row>
    <row r="3526" customFormat="false" ht="15" hidden="false" customHeight="true" outlineLevel="0" collapsed="false">
      <c r="A3526" s="3" t="s">
        <v>4663</v>
      </c>
      <c r="B3526" s="3" t="s">
        <v>2470</v>
      </c>
      <c r="C3526" s="3" t="s">
        <v>93</v>
      </c>
      <c r="D3526" s="3" t="s">
        <v>83</v>
      </c>
      <c r="E3526" s="3" t="s">
        <v>48</v>
      </c>
      <c r="F3526" s="3" t="s">
        <v>62</v>
      </c>
      <c r="G3526" s="3" t="s">
        <v>71</v>
      </c>
      <c r="H3526" s="3" t="s">
        <v>27</v>
      </c>
      <c r="I3526" s="3" t="s">
        <v>117</v>
      </c>
      <c r="J3526" s="3" t="n">
        <v>32</v>
      </c>
      <c r="K3526" s="3" t="n">
        <v>28989.98</v>
      </c>
      <c r="L3526" s="3" t="n">
        <v>927679.36</v>
      </c>
      <c r="M3526" s="3" t="n">
        <v>0.0383</v>
      </c>
      <c r="N3526" s="3" t="n">
        <v>35530.12</v>
      </c>
      <c r="O3526" s="3" t="n">
        <v>892149.24</v>
      </c>
      <c r="P3526" s="3" t="n">
        <v>575161.2</v>
      </c>
      <c r="Q3526" s="3" t="n">
        <v>316988.04</v>
      </c>
      <c r="R3526" s="3" t="n">
        <v>0.3553</v>
      </c>
      <c r="S3526" s="3" t="n">
        <v>0.0314</v>
      </c>
      <c r="T3526" s="3" t="n">
        <v>0.0069</v>
      </c>
    </row>
    <row r="3527" customFormat="false" ht="15" hidden="false" customHeight="true" outlineLevel="0" collapsed="false">
      <c r="A3527" s="3" t="s">
        <v>4664</v>
      </c>
      <c r="B3527" s="3" t="s">
        <v>177</v>
      </c>
      <c r="C3527" s="3" t="s">
        <v>126</v>
      </c>
      <c r="D3527" s="3" t="s">
        <v>103</v>
      </c>
      <c r="E3527" s="3" t="s">
        <v>24</v>
      </c>
      <c r="F3527" s="3" t="s">
        <v>62</v>
      </c>
      <c r="G3527" s="3" t="s">
        <v>55</v>
      </c>
      <c r="H3527" s="3" t="s">
        <v>77</v>
      </c>
      <c r="I3527" s="3" t="s">
        <v>78</v>
      </c>
      <c r="J3527" s="3" t="n">
        <v>40</v>
      </c>
      <c r="K3527" s="3" t="n">
        <v>3271.17</v>
      </c>
      <c r="L3527" s="3" t="n">
        <v>130846.8</v>
      </c>
      <c r="M3527" s="3" t="n">
        <v>0.0484</v>
      </c>
      <c r="N3527" s="3" t="n">
        <v>6332.99</v>
      </c>
      <c r="O3527" s="3" t="n">
        <v>124513.81</v>
      </c>
      <c r="P3527" s="3" t="n">
        <v>88975.82</v>
      </c>
      <c r="Q3527" s="3" t="n">
        <v>35537.99</v>
      </c>
      <c r="R3527" s="3" t="n">
        <v>0.2854</v>
      </c>
      <c r="S3527" s="3" t="n">
        <v>0.0439</v>
      </c>
      <c r="T3527" s="3" t="n">
        <v>0.0045</v>
      </c>
    </row>
    <row r="3528" customFormat="false" ht="15" hidden="false" customHeight="true" outlineLevel="0" collapsed="false">
      <c r="A3528" s="3" t="s">
        <v>4665</v>
      </c>
      <c r="B3528" s="3" t="s">
        <v>803</v>
      </c>
      <c r="C3528" s="3" t="s">
        <v>156</v>
      </c>
      <c r="D3528" s="3" t="s">
        <v>83</v>
      </c>
      <c r="E3528" s="3" t="s">
        <v>48</v>
      </c>
      <c r="F3528" s="3" t="s">
        <v>62</v>
      </c>
      <c r="G3528" s="3" t="s">
        <v>49</v>
      </c>
      <c r="H3528" s="3" t="s">
        <v>42</v>
      </c>
      <c r="I3528" s="3" t="s">
        <v>72</v>
      </c>
      <c r="J3528" s="3" t="n">
        <v>24</v>
      </c>
      <c r="K3528" s="3" t="n">
        <v>2640.62</v>
      </c>
      <c r="L3528" s="3" t="n">
        <v>63374.88</v>
      </c>
      <c r="M3528" s="3" t="n">
        <v>0.0788</v>
      </c>
      <c r="N3528" s="3" t="n">
        <v>4993.94</v>
      </c>
      <c r="O3528" s="3" t="n">
        <v>58380.94</v>
      </c>
      <c r="P3528" s="3" t="n">
        <v>34856.18</v>
      </c>
      <c r="Q3528" s="3" t="n">
        <v>23524.76</v>
      </c>
      <c r="R3528" s="3" t="n">
        <v>0.403</v>
      </c>
      <c r="S3528" s="3" t="n">
        <v>0.0841</v>
      </c>
      <c r="T3528" s="3" t="n">
        <v>-0.0053</v>
      </c>
    </row>
    <row r="3529" customFormat="false" ht="15" hidden="false" customHeight="true" outlineLevel="0" collapsed="false">
      <c r="A3529" s="3" t="s">
        <v>4666</v>
      </c>
      <c r="B3529" s="3" t="s">
        <v>887</v>
      </c>
      <c r="C3529" s="3" t="s">
        <v>68</v>
      </c>
      <c r="D3529" s="3" t="s">
        <v>103</v>
      </c>
      <c r="E3529" s="3" t="s">
        <v>24</v>
      </c>
      <c r="F3529" s="3" t="s">
        <v>62</v>
      </c>
      <c r="G3529" s="3" t="s">
        <v>41</v>
      </c>
      <c r="H3529" s="3" t="s">
        <v>64</v>
      </c>
      <c r="I3529" s="3" t="s">
        <v>90</v>
      </c>
      <c r="J3529" s="3" t="n">
        <v>41</v>
      </c>
      <c r="K3529" s="3" t="n">
        <v>8068.31</v>
      </c>
      <c r="L3529" s="3" t="n">
        <v>330800.71</v>
      </c>
      <c r="M3529" s="3" t="n">
        <v>0.0587</v>
      </c>
      <c r="N3529" s="3" t="n">
        <v>19418</v>
      </c>
      <c r="O3529" s="3" t="n">
        <v>311382.71</v>
      </c>
      <c r="P3529" s="3" t="n">
        <v>191864.41</v>
      </c>
      <c r="Q3529" s="3" t="n">
        <v>119518.3</v>
      </c>
      <c r="R3529" s="3" t="n">
        <v>0.3838</v>
      </c>
      <c r="S3529" s="3" t="n">
        <v>0.0534</v>
      </c>
      <c r="T3529" s="3" t="n">
        <v>0.0053</v>
      </c>
    </row>
    <row r="3530" customFormat="false" ht="15" hidden="false" customHeight="true" outlineLevel="0" collapsed="false">
      <c r="A3530" s="3" t="s">
        <v>4667</v>
      </c>
      <c r="B3530" s="3" t="s">
        <v>1204</v>
      </c>
      <c r="C3530" s="3" t="s">
        <v>46</v>
      </c>
      <c r="D3530" s="3" t="s">
        <v>54</v>
      </c>
      <c r="E3530" s="3" t="s">
        <v>24</v>
      </c>
      <c r="F3530" s="3" t="s">
        <v>40</v>
      </c>
      <c r="G3530" s="3" t="s">
        <v>34</v>
      </c>
      <c r="H3530" s="3" t="s">
        <v>27</v>
      </c>
      <c r="I3530" s="3" t="s">
        <v>94</v>
      </c>
      <c r="J3530" s="3" t="n">
        <v>11</v>
      </c>
      <c r="K3530" s="3" t="n">
        <v>27976.5</v>
      </c>
      <c r="L3530" s="3" t="n">
        <v>307741.5</v>
      </c>
      <c r="M3530" s="3" t="n">
        <v>0.0897</v>
      </c>
      <c r="N3530" s="3" t="n">
        <v>27604.41</v>
      </c>
      <c r="O3530" s="3" t="n">
        <v>280137.09</v>
      </c>
      <c r="P3530" s="3" t="n">
        <v>190799.73</v>
      </c>
      <c r="Q3530" s="3" t="n">
        <v>89337.36</v>
      </c>
      <c r="R3530" s="3" t="n">
        <v>0.3189</v>
      </c>
      <c r="S3530" s="3" t="n">
        <v>0.0756</v>
      </c>
      <c r="T3530" s="3" t="n">
        <v>0.0141</v>
      </c>
    </row>
    <row r="3531" customFormat="false" ht="15" hidden="false" customHeight="true" outlineLevel="0" collapsed="false">
      <c r="A3531" s="3" t="s">
        <v>4668</v>
      </c>
      <c r="B3531" s="3" t="s">
        <v>3498</v>
      </c>
      <c r="C3531" s="3" t="s">
        <v>46</v>
      </c>
      <c r="D3531" s="3" t="s">
        <v>32</v>
      </c>
      <c r="E3531" s="3" t="s">
        <v>33</v>
      </c>
      <c r="F3531" s="3" t="s">
        <v>25</v>
      </c>
      <c r="G3531" s="3" t="s">
        <v>100</v>
      </c>
      <c r="H3531" s="3" t="s">
        <v>77</v>
      </c>
      <c r="I3531" s="3" t="s">
        <v>85</v>
      </c>
      <c r="J3531" s="3" t="n">
        <v>33</v>
      </c>
      <c r="K3531" s="3" t="n">
        <v>4297.14</v>
      </c>
      <c r="L3531" s="3" t="n">
        <v>141805.62</v>
      </c>
      <c r="M3531" s="3" t="n">
        <v>0.1389</v>
      </c>
      <c r="N3531" s="3" t="n">
        <v>19696.8</v>
      </c>
      <c r="O3531" s="3" t="n">
        <v>122108.82</v>
      </c>
      <c r="P3531" s="3" t="n">
        <v>96427.82</v>
      </c>
      <c r="Q3531" s="3" t="n">
        <v>25681</v>
      </c>
      <c r="R3531" s="3" t="n">
        <v>0.2103</v>
      </c>
      <c r="S3531" s="3" t="n">
        <v>0.1383</v>
      </c>
      <c r="T3531" s="3" t="n">
        <v>0.0006</v>
      </c>
    </row>
    <row r="3532" customFormat="false" ht="15" hidden="false" customHeight="true" outlineLevel="0" collapsed="false">
      <c r="A3532" s="3" t="s">
        <v>4669</v>
      </c>
      <c r="B3532" s="3" t="s">
        <v>1626</v>
      </c>
      <c r="C3532" s="3" t="s">
        <v>46</v>
      </c>
      <c r="D3532" s="3" t="s">
        <v>61</v>
      </c>
      <c r="E3532" s="3" t="s">
        <v>33</v>
      </c>
      <c r="F3532" s="3" t="s">
        <v>62</v>
      </c>
      <c r="G3532" s="3" t="s">
        <v>71</v>
      </c>
      <c r="H3532" s="3" t="s">
        <v>27</v>
      </c>
      <c r="I3532" s="3" t="s">
        <v>94</v>
      </c>
      <c r="J3532" s="3" t="n">
        <v>6</v>
      </c>
      <c r="K3532" s="3" t="n">
        <v>30712.5</v>
      </c>
      <c r="L3532" s="3" t="n">
        <v>184275</v>
      </c>
      <c r="M3532" s="3" t="n">
        <v>0.045</v>
      </c>
      <c r="N3532" s="3" t="n">
        <v>8292.38</v>
      </c>
      <c r="O3532" s="3" t="n">
        <v>175982.62</v>
      </c>
      <c r="P3532" s="3" t="n">
        <v>114250.5</v>
      </c>
      <c r="Q3532" s="3" t="n">
        <v>61732.12</v>
      </c>
      <c r="R3532" s="3" t="n">
        <v>0.3508</v>
      </c>
      <c r="S3532" s="3" t="n">
        <v>0.0426</v>
      </c>
      <c r="T3532" s="3" t="n">
        <v>0.0024</v>
      </c>
    </row>
    <row r="3533" customFormat="false" ht="15" hidden="false" customHeight="true" outlineLevel="0" collapsed="false">
      <c r="A3533" s="3" t="s">
        <v>4670</v>
      </c>
      <c r="B3533" s="3" t="s">
        <v>319</v>
      </c>
      <c r="C3533" s="3" t="s">
        <v>60</v>
      </c>
      <c r="D3533" s="3" t="s">
        <v>97</v>
      </c>
      <c r="E3533" s="3" t="s">
        <v>48</v>
      </c>
      <c r="F3533" s="3" t="s">
        <v>40</v>
      </c>
      <c r="G3533" s="3" t="s">
        <v>41</v>
      </c>
      <c r="H3533" s="3" t="s">
        <v>42</v>
      </c>
      <c r="I3533" s="3" t="s">
        <v>134</v>
      </c>
      <c r="J3533" s="3" t="n">
        <v>14</v>
      </c>
      <c r="K3533" s="3" t="n">
        <v>710.15</v>
      </c>
      <c r="L3533" s="3" t="n">
        <v>9942.1</v>
      </c>
      <c r="M3533" s="3" t="n">
        <v>0.0843</v>
      </c>
      <c r="N3533" s="3" t="n">
        <v>838.12</v>
      </c>
      <c r="O3533" s="3" t="n">
        <v>9103.98</v>
      </c>
      <c r="P3533" s="3" t="n">
        <v>5468.16</v>
      </c>
      <c r="Q3533" s="3" t="n">
        <v>3635.82</v>
      </c>
      <c r="R3533" s="3" t="n">
        <v>0.3994</v>
      </c>
      <c r="S3533" s="3" t="n">
        <v>0.0794</v>
      </c>
      <c r="T3533" s="3" t="n">
        <v>0.0049</v>
      </c>
    </row>
    <row r="3534" customFormat="false" ht="15" hidden="false" customHeight="true" outlineLevel="0" collapsed="false">
      <c r="A3534" s="3" t="s">
        <v>4671</v>
      </c>
      <c r="B3534" s="3" t="s">
        <v>1699</v>
      </c>
      <c r="C3534" s="3" t="s">
        <v>126</v>
      </c>
      <c r="D3534" s="3" t="s">
        <v>47</v>
      </c>
      <c r="E3534" s="3" t="s">
        <v>48</v>
      </c>
      <c r="F3534" s="3" t="s">
        <v>25</v>
      </c>
      <c r="G3534" s="3" t="s">
        <v>84</v>
      </c>
      <c r="H3534" s="3" t="s">
        <v>56</v>
      </c>
      <c r="I3534" s="3" t="s">
        <v>57</v>
      </c>
      <c r="J3534" s="3" t="n">
        <v>33</v>
      </c>
      <c r="K3534" s="3" t="n">
        <v>5239.7</v>
      </c>
      <c r="L3534" s="3" t="n">
        <v>172910.1</v>
      </c>
      <c r="M3534" s="3" t="n">
        <v>0.1503</v>
      </c>
      <c r="N3534" s="3" t="n">
        <v>25988.39</v>
      </c>
      <c r="O3534" s="3" t="n">
        <v>146921.71</v>
      </c>
      <c r="P3534" s="3" t="n">
        <v>103746.06</v>
      </c>
      <c r="Q3534" s="3" t="n">
        <v>43175.65</v>
      </c>
      <c r="R3534" s="3" t="n">
        <v>0.2939</v>
      </c>
      <c r="S3534" s="3" t="n">
        <v>0.1631</v>
      </c>
      <c r="T3534" s="3" t="n">
        <v>-0.0128</v>
      </c>
    </row>
    <row r="3535" customFormat="false" ht="15" hidden="false" customHeight="true" outlineLevel="0" collapsed="false">
      <c r="A3535" s="3" t="s">
        <v>4672</v>
      </c>
      <c r="B3535" s="3" t="s">
        <v>2651</v>
      </c>
      <c r="C3535" s="3" t="s">
        <v>126</v>
      </c>
      <c r="D3535" s="3" t="s">
        <v>69</v>
      </c>
      <c r="E3535" s="3" t="s">
        <v>39</v>
      </c>
      <c r="F3535" s="3" t="s">
        <v>70</v>
      </c>
      <c r="G3535" s="3" t="s">
        <v>34</v>
      </c>
      <c r="H3535" s="3" t="s">
        <v>42</v>
      </c>
      <c r="I3535" s="3" t="s">
        <v>72</v>
      </c>
      <c r="J3535" s="3" t="n">
        <v>6</v>
      </c>
      <c r="K3535" s="3" t="n">
        <v>1103.06</v>
      </c>
      <c r="L3535" s="3" t="n">
        <v>6618.36</v>
      </c>
      <c r="M3535" s="3" t="n">
        <v>0.1188</v>
      </c>
      <c r="N3535" s="3" t="n">
        <v>786.26</v>
      </c>
      <c r="O3535" s="3" t="n">
        <v>5832.1</v>
      </c>
      <c r="P3535" s="3" t="n">
        <v>3640.1</v>
      </c>
      <c r="Q3535" s="3" t="n">
        <v>2192</v>
      </c>
      <c r="R3535" s="3" t="n">
        <v>0.3759</v>
      </c>
      <c r="S3535" s="3" t="n">
        <v>0.1263</v>
      </c>
      <c r="T3535" s="3" t="n">
        <v>-0.0075</v>
      </c>
    </row>
    <row r="3536" customFormat="false" ht="15" hidden="false" customHeight="true" outlineLevel="0" collapsed="false">
      <c r="A3536" s="3" t="s">
        <v>4673</v>
      </c>
      <c r="B3536" s="3" t="s">
        <v>1031</v>
      </c>
      <c r="C3536" s="3" t="s">
        <v>126</v>
      </c>
      <c r="D3536" s="3" t="s">
        <v>54</v>
      </c>
      <c r="E3536" s="3" t="s">
        <v>24</v>
      </c>
      <c r="F3536" s="3" t="s">
        <v>40</v>
      </c>
      <c r="G3536" s="3" t="s">
        <v>55</v>
      </c>
      <c r="H3536" s="3" t="s">
        <v>27</v>
      </c>
      <c r="I3536" s="3" t="s">
        <v>117</v>
      </c>
      <c r="J3536" s="3" t="n">
        <v>50</v>
      </c>
      <c r="K3536" s="3" t="n">
        <v>14408.8</v>
      </c>
      <c r="L3536" s="3" t="n">
        <v>720440</v>
      </c>
      <c r="M3536" s="3" t="n">
        <v>0.0518</v>
      </c>
      <c r="N3536" s="3" t="n">
        <v>37318.79</v>
      </c>
      <c r="O3536" s="3" t="n">
        <v>683121.21</v>
      </c>
      <c r="P3536" s="3" t="n">
        <v>446672.8</v>
      </c>
      <c r="Q3536" s="3" t="n">
        <v>236448.41</v>
      </c>
      <c r="R3536" s="3" t="n">
        <v>0.3461</v>
      </c>
      <c r="S3536" s="3" t="n">
        <v>0.0515</v>
      </c>
      <c r="T3536" s="3" t="n">
        <v>0.0003</v>
      </c>
    </row>
    <row r="3537" customFormat="false" ht="15" hidden="false" customHeight="true" outlineLevel="0" collapsed="false">
      <c r="A3537" s="3" t="s">
        <v>4674</v>
      </c>
      <c r="B3537" s="3" t="s">
        <v>2643</v>
      </c>
      <c r="C3537" s="3" t="s">
        <v>60</v>
      </c>
      <c r="D3537" s="3" t="s">
        <v>32</v>
      </c>
      <c r="E3537" s="3" t="s">
        <v>33</v>
      </c>
      <c r="F3537" s="3" t="s">
        <v>25</v>
      </c>
      <c r="G3537" s="3" t="s">
        <v>116</v>
      </c>
      <c r="H3537" s="3" t="s">
        <v>56</v>
      </c>
      <c r="I3537" s="3" t="s">
        <v>57</v>
      </c>
      <c r="J3537" s="3" t="n">
        <v>46</v>
      </c>
      <c r="K3537" s="3" t="n">
        <v>4816.44</v>
      </c>
      <c r="L3537" s="3" t="n">
        <v>221556.24</v>
      </c>
      <c r="M3537" s="3" t="n">
        <v>0.1401</v>
      </c>
      <c r="N3537" s="3" t="n">
        <v>31040.03</v>
      </c>
      <c r="O3537" s="3" t="n">
        <v>190516.21</v>
      </c>
      <c r="P3537" s="3" t="n">
        <v>132933.74</v>
      </c>
      <c r="Q3537" s="3" t="n">
        <v>57582.47</v>
      </c>
      <c r="R3537" s="3" t="n">
        <v>0.3022</v>
      </c>
      <c r="S3537" s="3" t="n">
        <v>0.127</v>
      </c>
      <c r="T3537" s="3" t="n">
        <v>0.0131</v>
      </c>
    </row>
    <row r="3538" customFormat="false" ht="15" hidden="false" customHeight="true" outlineLevel="0" collapsed="false">
      <c r="A3538" s="3" t="s">
        <v>4675</v>
      </c>
      <c r="B3538" s="3" t="s">
        <v>1855</v>
      </c>
      <c r="C3538" s="3" t="s">
        <v>93</v>
      </c>
      <c r="D3538" s="3" t="s">
        <v>38</v>
      </c>
      <c r="E3538" s="3" t="s">
        <v>39</v>
      </c>
      <c r="F3538" s="3" t="s">
        <v>40</v>
      </c>
      <c r="G3538" s="3" t="s">
        <v>55</v>
      </c>
      <c r="H3538" s="3" t="s">
        <v>42</v>
      </c>
      <c r="I3538" s="3" t="s">
        <v>72</v>
      </c>
      <c r="J3538" s="3" t="n">
        <v>2</v>
      </c>
      <c r="K3538" s="3" t="n">
        <v>713.96</v>
      </c>
      <c r="L3538" s="3" t="n">
        <v>1427.92</v>
      </c>
      <c r="M3538" s="3" t="n">
        <v>0.0441</v>
      </c>
      <c r="N3538" s="3" t="n">
        <v>62.97</v>
      </c>
      <c r="O3538" s="3" t="n">
        <v>1364.95</v>
      </c>
      <c r="P3538" s="3" t="n">
        <v>785.36</v>
      </c>
      <c r="Q3538" s="3" t="n">
        <v>579.59</v>
      </c>
      <c r="R3538" s="3" t="n">
        <v>0.4246</v>
      </c>
      <c r="S3538" s="3" t="n">
        <v>0.0433</v>
      </c>
      <c r="T3538" s="3" t="n">
        <v>0.0008</v>
      </c>
    </row>
    <row r="3539" customFormat="false" ht="15" hidden="false" customHeight="true" outlineLevel="0" collapsed="false">
      <c r="A3539" s="3" t="s">
        <v>4676</v>
      </c>
      <c r="B3539" s="3" t="s">
        <v>160</v>
      </c>
      <c r="C3539" s="3" t="s">
        <v>31</v>
      </c>
      <c r="D3539" s="3" t="s">
        <v>54</v>
      </c>
      <c r="E3539" s="3" t="s">
        <v>24</v>
      </c>
      <c r="F3539" s="3" t="s">
        <v>40</v>
      </c>
      <c r="G3539" s="3" t="s">
        <v>71</v>
      </c>
      <c r="H3539" s="3" t="s">
        <v>27</v>
      </c>
      <c r="I3539" s="3" t="s">
        <v>117</v>
      </c>
      <c r="J3539" s="3" t="n">
        <v>10</v>
      </c>
      <c r="K3539" s="3" t="n">
        <v>15573.34</v>
      </c>
      <c r="L3539" s="3" t="n">
        <v>155733.4</v>
      </c>
      <c r="M3539" s="3" t="n">
        <v>0.0462</v>
      </c>
      <c r="N3539" s="3" t="n">
        <v>7194.88</v>
      </c>
      <c r="O3539" s="3" t="n">
        <v>148538.52</v>
      </c>
      <c r="P3539" s="3" t="n">
        <v>96554.71</v>
      </c>
      <c r="Q3539" s="3" t="n">
        <v>51983.81</v>
      </c>
      <c r="R3539" s="3" t="n">
        <v>0.35</v>
      </c>
      <c r="S3539" s="3" t="n">
        <v>0.0371</v>
      </c>
      <c r="T3539" s="3" t="n">
        <v>0.0091</v>
      </c>
    </row>
    <row r="3540" customFormat="false" ht="15" hidden="false" customHeight="true" outlineLevel="0" collapsed="false">
      <c r="A3540" s="3" t="s">
        <v>4677</v>
      </c>
      <c r="B3540" s="3" t="s">
        <v>3738</v>
      </c>
      <c r="C3540" s="3" t="s">
        <v>53</v>
      </c>
      <c r="D3540" s="3" t="s">
        <v>107</v>
      </c>
      <c r="E3540" s="3" t="s">
        <v>33</v>
      </c>
      <c r="F3540" s="3" t="s">
        <v>70</v>
      </c>
      <c r="G3540" s="3" t="s">
        <v>116</v>
      </c>
      <c r="H3540" s="3" t="s">
        <v>56</v>
      </c>
      <c r="I3540" s="3" t="s">
        <v>188</v>
      </c>
      <c r="J3540" s="3" t="n">
        <v>20</v>
      </c>
      <c r="K3540" s="3" t="n">
        <v>5263.14</v>
      </c>
      <c r="L3540" s="3" t="n">
        <v>105262.8</v>
      </c>
      <c r="M3540" s="3" t="n">
        <v>0.1162</v>
      </c>
      <c r="N3540" s="3" t="n">
        <v>12231.54</v>
      </c>
      <c r="O3540" s="3" t="n">
        <v>93031.26</v>
      </c>
      <c r="P3540" s="3" t="n">
        <v>63157.68</v>
      </c>
      <c r="Q3540" s="3" t="n">
        <v>29873.58</v>
      </c>
      <c r="R3540" s="3" t="n">
        <v>0.3211</v>
      </c>
      <c r="S3540" s="3" t="n">
        <v>0.1021</v>
      </c>
      <c r="T3540" s="3" t="n">
        <v>0.0141</v>
      </c>
    </row>
    <row r="3541" customFormat="false" ht="15" hidden="false" customHeight="true" outlineLevel="0" collapsed="false">
      <c r="A3541" s="3" t="s">
        <v>4678</v>
      </c>
      <c r="B3541" s="3" t="s">
        <v>1407</v>
      </c>
      <c r="C3541" s="3" t="s">
        <v>60</v>
      </c>
      <c r="D3541" s="3" t="s">
        <v>107</v>
      </c>
      <c r="E3541" s="3" t="s">
        <v>33</v>
      </c>
      <c r="F3541" s="3" t="s">
        <v>70</v>
      </c>
      <c r="G3541" s="3" t="s">
        <v>116</v>
      </c>
      <c r="H3541" s="3" t="s">
        <v>42</v>
      </c>
      <c r="I3541" s="3" t="s">
        <v>134</v>
      </c>
      <c r="J3541" s="3" t="n">
        <v>39</v>
      </c>
      <c r="K3541" s="3" t="n">
        <v>1207.45</v>
      </c>
      <c r="L3541" s="3" t="n">
        <v>47090.55</v>
      </c>
      <c r="M3541" s="3" t="n">
        <v>0.1133</v>
      </c>
      <c r="N3541" s="3" t="n">
        <v>5335.36</v>
      </c>
      <c r="O3541" s="3" t="n">
        <v>41755.19</v>
      </c>
      <c r="P3541" s="3" t="n">
        <v>25899.8</v>
      </c>
      <c r="Q3541" s="3" t="n">
        <v>15855.39</v>
      </c>
      <c r="R3541" s="3" t="n">
        <v>0.3797</v>
      </c>
      <c r="S3541" s="3" t="n">
        <v>0.121</v>
      </c>
      <c r="T3541" s="3" t="n">
        <v>-0.0077</v>
      </c>
    </row>
    <row r="3542" customFormat="false" ht="15" hidden="false" customHeight="true" outlineLevel="0" collapsed="false">
      <c r="A3542" s="3" t="s">
        <v>4679</v>
      </c>
      <c r="B3542" s="3" t="s">
        <v>815</v>
      </c>
      <c r="C3542" s="3" t="s">
        <v>60</v>
      </c>
      <c r="D3542" s="3" t="s">
        <v>47</v>
      </c>
      <c r="E3542" s="3" t="s">
        <v>48</v>
      </c>
      <c r="F3542" s="3" t="s">
        <v>25</v>
      </c>
      <c r="G3542" s="3" t="s">
        <v>116</v>
      </c>
      <c r="H3542" s="3" t="s">
        <v>56</v>
      </c>
      <c r="I3542" s="3" t="s">
        <v>57</v>
      </c>
      <c r="J3542" s="3" t="n">
        <v>16</v>
      </c>
      <c r="K3542" s="3" t="n">
        <v>4970.23</v>
      </c>
      <c r="L3542" s="3" t="n">
        <v>79523.68</v>
      </c>
      <c r="M3542" s="3" t="n">
        <v>0.1455</v>
      </c>
      <c r="N3542" s="3" t="n">
        <v>11570.7</v>
      </c>
      <c r="O3542" s="3" t="n">
        <v>67952.98</v>
      </c>
      <c r="P3542" s="3" t="n">
        <v>47714.21</v>
      </c>
      <c r="Q3542" s="3" t="n">
        <v>20238.77</v>
      </c>
      <c r="R3542" s="3" t="n">
        <v>0.2978</v>
      </c>
      <c r="S3542" s="3" t="n">
        <v>0.1175</v>
      </c>
      <c r="T3542" s="3" t="n">
        <v>0.028</v>
      </c>
    </row>
    <row r="3543" customFormat="false" ht="15" hidden="false" customHeight="true" outlineLevel="0" collapsed="false">
      <c r="A3543" s="3" t="s">
        <v>4680</v>
      </c>
      <c r="B3543" s="3" t="s">
        <v>2680</v>
      </c>
      <c r="C3543" s="3" t="s">
        <v>120</v>
      </c>
      <c r="D3543" s="3" t="s">
        <v>75</v>
      </c>
      <c r="E3543" s="3" t="s">
        <v>39</v>
      </c>
      <c r="F3543" s="3" t="s">
        <v>25</v>
      </c>
      <c r="G3543" s="3" t="s">
        <v>26</v>
      </c>
      <c r="H3543" s="3" t="s">
        <v>56</v>
      </c>
      <c r="I3543" s="3" t="s">
        <v>188</v>
      </c>
      <c r="J3543" s="3" t="n">
        <v>33</v>
      </c>
      <c r="K3543" s="3" t="n">
        <v>13323.99</v>
      </c>
      <c r="L3543" s="3" t="n">
        <v>439691.67</v>
      </c>
      <c r="M3543" s="3" t="n">
        <v>0.0921</v>
      </c>
      <c r="N3543" s="3" t="n">
        <v>40495.6</v>
      </c>
      <c r="O3543" s="3" t="n">
        <v>399196.07</v>
      </c>
      <c r="P3543" s="3" t="n">
        <v>263815</v>
      </c>
      <c r="Q3543" s="3" t="n">
        <v>135381.07</v>
      </c>
      <c r="R3543" s="3" t="n">
        <v>0.3391</v>
      </c>
      <c r="S3543" s="3" t="n">
        <v>0.0817</v>
      </c>
      <c r="T3543" s="3" t="n">
        <v>0.0104</v>
      </c>
    </row>
    <row r="3544" customFormat="false" ht="15" hidden="false" customHeight="true" outlineLevel="0" collapsed="false">
      <c r="A3544" s="3" t="s">
        <v>4681</v>
      </c>
      <c r="B3544" s="3" t="s">
        <v>3463</v>
      </c>
      <c r="C3544" s="3" t="s">
        <v>68</v>
      </c>
      <c r="D3544" s="3" t="s">
        <v>54</v>
      </c>
      <c r="E3544" s="3" t="s">
        <v>24</v>
      </c>
      <c r="F3544" s="3" t="s">
        <v>40</v>
      </c>
      <c r="G3544" s="3" t="s">
        <v>41</v>
      </c>
      <c r="H3544" s="3" t="s">
        <v>56</v>
      </c>
      <c r="I3544" s="3" t="s">
        <v>188</v>
      </c>
      <c r="J3544" s="3" t="n">
        <v>39</v>
      </c>
      <c r="K3544" s="3" t="n">
        <v>11889.11</v>
      </c>
      <c r="L3544" s="3" t="n">
        <v>463675.29</v>
      </c>
      <c r="M3544" s="3" t="n">
        <v>0.0743</v>
      </c>
      <c r="N3544" s="3" t="n">
        <v>34451.07</v>
      </c>
      <c r="O3544" s="3" t="n">
        <v>429224.22</v>
      </c>
      <c r="P3544" s="3" t="n">
        <v>278205.17</v>
      </c>
      <c r="Q3544" s="3" t="n">
        <v>151019.05</v>
      </c>
      <c r="R3544" s="3" t="n">
        <v>0.3518</v>
      </c>
      <c r="S3544" s="3" t="n">
        <v>0.0753</v>
      </c>
      <c r="T3544" s="3" t="n">
        <v>-0.001</v>
      </c>
    </row>
    <row r="3545" customFormat="false" ht="15" hidden="false" customHeight="true" outlineLevel="0" collapsed="false">
      <c r="A3545" s="3" t="s">
        <v>4682</v>
      </c>
      <c r="B3545" s="3" t="s">
        <v>4683</v>
      </c>
      <c r="C3545" s="3" t="s">
        <v>120</v>
      </c>
      <c r="D3545" s="3" t="s">
        <v>38</v>
      </c>
      <c r="E3545" s="3" t="s">
        <v>39</v>
      </c>
      <c r="F3545" s="3" t="s">
        <v>40</v>
      </c>
      <c r="G3545" s="3" t="s">
        <v>63</v>
      </c>
      <c r="H3545" s="3" t="s">
        <v>77</v>
      </c>
      <c r="I3545" s="3" t="s">
        <v>85</v>
      </c>
      <c r="J3545" s="3" t="n">
        <v>24</v>
      </c>
      <c r="K3545" s="3" t="n">
        <v>2649.69</v>
      </c>
      <c r="L3545" s="3" t="n">
        <v>63592.56</v>
      </c>
      <c r="M3545" s="3" t="n">
        <v>0.0379</v>
      </c>
      <c r="N3545" s="3" t="n">
        <v>2410.16</v>
      </c>
      <c r="O3545" s="3" t="n">
        <v>61182.4</v>
      </c>
      <c r="P3545" s="3" t="n">
        <v>43242.94</v>
      </c>
      <c r="Q3545" s="3" t="n">
        <v>17939.46</v>
      </c>
      <c r="R3545" s="3" t="n">
        <v>0.2932</v>
      </c>
      <c r="S3545" s="3" t="n">
        <v>0.0397</v>
      </c>
      <c r="T3545" s="3" t="n">
        <v>-0.0018</v>
      </c>
    </row>
    <row r="3546" customFormat="false" ht="15" hidden="false" customHeight="true" outlineLevel="0" collapsed="false">
      <c r="A3546" s="3" t="s">
        <v>4684</v>
      </c>
      <c r="B3546" s="3" t="s">
        <v>4404</v>
      </c>
      <c r="C3546" s="3" t="s">
        <v>46</v>
      </c>
      <c r="D3546" s="3" t="s">
        <v>61</v>
      </c>
      <c r="E3546" s="3" t="s">
        <v>33</v>
      </c>
      <c r="F3546" s="3" t="s">
        <v>62</v>
      </c>
      <c r="G3546" s="3" t="s">
        <v>104</v>
      </c>
      <c r="H3546" s="3" t="s">
        <v>56</v>
      </c>
      <c r="I3546" s="3" t="s">
        <v>121</v>
      </c>
      <c r="J3546" s="3" t="n">
        <v>5</v>
      </c>
      <c r="K3546" s="3" t="n">
        <v>10210.19</v>
      </c>
      <c r="L3546" s="3" t="n">
        <v>51050.95</v>
      </c>
      <c r="M3546" s="3" t="n">
        <v>0.0912</v>
      </c>
      <c r="N3546" s="3" t="n">
        <v>4655.85</v>
      </c>
      <c r="O3546" s="3" t="n">
        <v>46395.1</v>
      </c>
      <c r="P3546" s="3" t="n">
        <v>30630.57</v>
      </c>
      <c r="Q3546" s="3" t="n">
        <v>15764.53</v>
      </c>
      <c r="R3546" s="3" t="n">
        <v>0.3398</v>
      </c>
      <c r="S3546" s="3" t="n">
        <v>0.0994</v>
      </c>
      <c r="T3546" s="3" t="n">
        <v>-0.0082</v>
      </c>
    </row>
    <row r="3547" customFormat="false" ht="15" hidden="false" customHeight="true" outlineLevel="0" collapsed="false">
      <c r="A3547" s="3" t="s">
        <v>4685</v>
      </c>
      <c r="B3547" s="3" t="s">
        <v>1460</v>
      </c>
      <c r="C3547" s="3" t="s">
        <v>46</v>
      </c>
      <c r="D3547" s="3" t="s">
        <v>97</v>
      </c>
      <c r="E3547" s="3" t="s">
        <v>48</v>
      </c>
      <c r="F3547" s="3" t="s">
        <v>40</v>
      </c>
      <c r="G3547" s="3" t="s">
        <v>84</v>
      </c>
      <c r="H3547" s="3" t="s">
        <v>64</v>
      </c>
      <c r="I3547" s="3" t="s">
        <v>65</v>
      </c>
      <c r="J3547" s="3" t="n">
        <v>15</v>
      </c>
      <c r="K3547" s="3" t="n">
        <v>11631.91</v>
      </c>
      <c r="L3547" s="3" t="n">
        <v>174478.65</v>
      </c>
      <c r="M3547" s="3" t="n">
        <v>0.068</v>
      </c>
      <c r="N3547" s="3" t="n">
        <v>11864.55</v>
      </c>
      <c r="O3547" s="3" t="n">
        <v>162614.1</v>
      </c>
      <c r="P3547" s="3" t="n">
        <v>101197.62</v>
      </c>
      <c r="Q3547" s="3" t="n">
        <v>61416.48</v>
      </c>
      <c r="R3547" s="3" t="n">
        <v>0.3777</v>
      </c>
      <c r="S3547" s="3" t="n">
        <v>0.0644</v>
      </c>
      <c r="T3547" s="3" t="n">
        <v>0.0036</v>
      </c>
    </row>
    <row r="3548" customFormat="false" ht="15" hidden="false" customHeight="true" outlineLevel="0" collapsed="false">
      <c r="A3548" s="3" t="s">
        <v>4686</v>
      </c>
      <c r="B3548" s="3" t="s">
        <v>2680</v>
      </c>
      <c r="C3548" s="3" t="s">
        <v>120</v>
      </c>
      <c r="D3548" s="3" t="s">
        <v>54</v>
      </c>
      <c r="E3548" s="3" t="s">
        <v>24</v>
      </c>
      <c r="F3548" s="3" t="s">
        <v>40</v>
      </c>
      <c r="G3548" s="3" t="s">
        <v>116</v>
      </c>
      <c r="H3548" s="3" t="s">
        <v>27</v>
      </c>
      <c r="I3548" s="3" t="s">
        <v>173</v>
      </c>
      <c r="J3548" s="3" t="n">
        <v>42</v>
      </c>
      <c r="K3548" s="3" t="n">
        <v>8363.05</v>
      </c>
      <c r="L3548" s="3" t="n">
        <v>351248.1</v>
      </c>
      <c r="M3548" s="3" t="n">
        <v>0.0828</v>
      </c>
      <c r="N3548" s="3" t="n">
        <v>29083.34</v>
      </c>
      <c r="O3548" s="3" t="n">
        <v>322164.76</v>
      </c>
      <c r="P3548" s="3" t="n">
        <v>217773.82</v>
      </c>
      <c r="Q3548" s="3" t="n">
        <v>104390.94</v>
      </c>
      <c r="R3548" s="3" t="n">
        <v>0.324</v>
      </c>
      <c r="S3548" s="3" t="n">
        <v>0.0816</v>
      </c>
      <c r="T3548" s="3" t="n">
        <v>0.0012</v>
      </c>
    </row>
    <row r="3549" customFormat="false" ht="15" hidden="false" customHeight="true" outlineLevel="0" collapsed="false">
      <c r="A3549" s="3" t="s">
        <v>4687</v>
      </c>
      <c r="B3549" s="3" t="s">
        <v>2190</v>
      </c>
      <c r="C3549" s="3" t="s">
        <v>60</v>
      </c>
      <c r="D3549" s="3" t="s">
        <v>107</v>
      </c>
      <c r="E3549" s="3" t="s">
        <v>33</v>
      </c>
      <c r="F3549" s="3" t="s">
        <v>70</v>
      </c>
      <c r="G3549" s="3" t="s">
        <v>104</v>
      </c>
      <c r="H3549" s="3" t="s">
        <v>77</v>
      </c>
      <c r="I3549" s="3" t="s">
        <v>78</v>
      </c>
      <c r="J3549" s="3" t="n">
        <v>2</v>
      </c>
      <c r="K3549" s="3" t="n">
        <v>2741.09</v>
      </c>
      <c r="L3549" s="3" t="n">
        <v>5482.18</v>
      </c>
      <c r="M3549" s="3" t="n">
        <v>0.0845</v>
      </c>
      <c r="N3549" s="3" t="n">
        <v>463.24</v>
      </c>
      <c r="O3549" s="3" t="n">
        <v>5018.94</v>
      </c>
      <c r="P3549" s="3" t="n">
        <v>3727.88</v>
      </c>
      <c r="Q3549" s="3" t="n">
        <v>1291.06</v>
      </c>
      <c r="R3549" s="3" t="n">
        <v>0.2572</v>
      </c>
      <c r="S3549" s="3" t="n">
        <v>0.0682</v>
      </c>
      <c r="T3549" s="3" t="n">
        <v>0.0163</v>
      </c>
    </row>
    <row r="3550" customFormat="false" ht="15" hidden="false" customHeight="true" outlineLevel="0" collapsed="false">
      <c r="A3550" s="3" t="s">
        <v>4688</v>
      </c>
      <c r="B3550" s="3" t="s">
        <v>923</v>
      </c>
      <c r="C3550" s="3" t="s">
        <v>22</v>
      </c>
      <c r="D3550" s="3" t="s">
        <v>69</v>
      </c>
      <c r="E3550" s="3" t="s">
        <v>39</v>
      </c>
      <c r="F3550" s="3" t="s">
        <v>70</v>
      </c>
      <c r="G3550" s="3" t="s">
        <v>55</v>
      </c>
      <c r="H3550" s="3" t="s">
        <v>42</v>
      </c>
      <c r="I3550" s="3" t="s">
        <v>134</v>
      </c>
      <c r="J3550" s="3" t="n">
        <v>2</v>
      </c>
      <c r="K3550" s="3" t="n">
        <v>1787.58</v>
      </c>
      <c r="L3550" s="3" t="n">
        <v>3575.16</v>
      </c>
      <c r="M3550" s="3" t="n">
        <v>0.0779</v>
      </c>
      <c r="N3550" s="3" t="n">
        <v>278.5</v>
      </c>
      <c r="O3550" s="3" t="n">
        <v>3296.66</v>
      </c>
      <c r="P3550" s="3" t="n">
        <v>1966.34</v>
      </c>
      <c r="Q3550" s="3" t="n">
        <v>1330.32</v>
      </c>
      <c r="R3550" s="3" t="n">
        <v>0.4035</v>
      </c>
      <c r="S3550" s="3" t="n">
        <v>0.0683</v>
      </c>
      <c r="T3550" s="3" t="n">
        <v>0.0096</v>
      </c>
    </row>
    <row r="3551" customFormat="false" ht="15" hidden="false" customHeight="true" outlineLevel="0" collapsed="false">
      <c r="A3551" s="3" t="s">
        <v>4689</v>
      </c>
      <c r="B3551" s="3" t="s">
        <v>3095</v>
      </c>
      <c r="C3551" s="3" t="s">
        <v>37</v>
      </c>
      <c r="D3551" s="3" t="s">
        <v>107</v>
      </c>
      <c r="E3551" s="3" t="s">
        <v>33</v>
      </c>
      <c r="F3551" s="3" t="s">
        <v>70</v>
      </c>
      <c r="G3551" s="3" t="s">
        <v>49</v>
      </c>
      <c r="H3551" s="3" t="s">
        <v>77</v>
      </c>
      <c r="I3551" s="3" t="s">
        <v>78</v>
      </c>
      <c r="J3551" s="3" t="n">
        <v>46</v>
      </c>
      <c r="K3551" s="3" t="n">
        <v>1478.55</v>
      </c>
      <c r="L3551" s="3" t="n">
        <v>68013.3</v>
      </c>
      <c r="M3551" s="3" t="n">
        <v>0.0548</v>
      </c>
      <c r="N3551" s="3" t="n">
        <v>3727.13</v>
      </c>
      <c r="O3551" s="3" t="n">
        <v>64286.17</v>
      </c>
      <c r="P3551" s="3" t="n">
        <v>46249.04</v>
      </c>
      <c r="Q3551" s="3" t="n">
        <v>18037.13</v>
      </c>
      <c r="R3551" s="3" t="n">
        <v>0.2806</v>
      </c>
      <c r="S3551" s="3" t="n">
        <v>0.0562</v>
      </c>
      <c r="T3551" s="3" t="n">
        <v>-0.0014</v>
      </c>
    </row>
    <row r="3552" customFormat="false" ht="15" hidden="false" customHeight="true" outlineLevel="0" collapsed="false">
      <c r="A3552" s="3" t="s">
        <v>4690</v>
      </c>
      <c r="B3552" s="3" t="s">
        <v>1060</v>
      </c>
      <c r="C3552" s="3" t="s">
        <v>113</v>
      </c>
      <c r="D3552" s="3" t="s">
        <v>75</v>
      </c>
      <c r="E3552" s="3" t="s">
        <v>39</v>
      </c>
      <c r="F3552" s="3" t="s">
        <v>25</v>
      </c>
      <c r="G3552" s="3" t="s">
        <v>71</v>
      </c>
      <c r="H3552" s="3" t="s">
        <v>42</v>
      </c>
      <c r="I3552" s="3" t="s">
        <v>72</v>
      </c>
      <c r="J3552" s="3" t="n">
        <v>15</v>
      </c>
      <c r="K3552" s="3" t="n">
        <v>2107.31</v>
      </c>
      <c r="L3552" s="3" t="n">
        <v>31609.65</v>
      </c>
      <c r="M3552" s="3" t="n">
        <v>0.1039</v>
      </c>
      <c r="N3552" s="3" t="n">
        <v>3284.24</v>
      </c>
      <c r="O3552" s="3" t="n">
        <v>28325.41</v>
      </c>
      <c r="P3552" s="3" t="n">
        <v>17385.31</v>
      </c>
      <c r="Q3552" s="3" t="n">
        <v>10940.1</v>
      </c>
      <c r="R3552" s="3" t="n">
        <v>0.3862</v>
      </c>
      <c r="S3552" s="3" t="n">
        <v>0.0868</v>
      </c>
      <c r="T3552" s="3" t="n">
        <v>0.0171</v>
      </c>
    </row>
    <row r="3553" customFormat="false" ht="15" hidden="false" customHeight="true" outlineLevel="0" collapsed="false">
      <c r="A3553" s="3" t="s">
        <v>4691</v>
      </c>
      <c r="B3553" s="3" t="s">
        <v>1297</v>
      </c>
      <c r="C3553" s="3" t="s">
        <v>22</v>
      </c>
      <c r="D3553" s="3" t="s">
        <v>32</v>
      </c>
      <c r="E3553" s="3" t="s">
        <v>33</v>
      </c>
      <c r="F3553" s="3" t="s">
        <v>25</v>
      </c>
      <c r="G3553" s="3" t="s">
        <v>71</v>
      </c>
      <c r="H3553" s="3" t="s">
        <v>64</v>
      </c>
      <c r="I3553" s="3" t="s">
        <v>90</v>
      </c>
      <c r="J3553" s="3" t="n">
        <v>5</v>
      </c>
      <c r="K3553" s="3" t="n">
        <v>7534.46</v>
      </c>
      <c r="L3553" s="3" t="n">
        <v>37672.3</v>
      </c>
      <c r="M3553" s="3" t="n">
        <v>0.1524</v>
      </c>
      <c r="N3553" s="3" t="n">
        <v>5741.26</v>
      </c>
      <c r="O3553" s="3" t="n">
        <v>31931.04</v>
      </c>
      <c r="P3553" s="3" t="n">
        <v>21849.93</v>
      </c>
      <c r="Q3553" s="3" t="n">
        <v>10081.11</v>
      </c>
      <c r="R3553" s="3" t="n">
        <v>0.3157</v>
      </c>
      <c r="S3553" s="3" t="n">
        <v>0.1364</v>
      </c>
      <c r="T3553" s="3" t="n">
        <v>0.016</v>
      </c>
    </row>
    <row r="3554" customFormat="false" ht="15" hidden="false" customHeight="true" outlineLevel="0" collapsed="false">
      <c r="A3554" s="3" t="s">
        <v>4692</v>
      </c>
      <c r="B3554" s="3" t="s">
        <v>4693</v>
      </c>
      <c r="C3554" s="3" t="s">
        <v>113</v>
      </c>
      <c r="D3554" s="3" t="s">
        <v>97</v>
      </c>
      <c r="E3554" s="3" t="s">
        <v>48</v>
      </c>
      <c r="F3554" s="3" t="s">
        <v>40</v>
      </c>
      <c r="G3554" s="3" t="s">
        <v>34</v>
      </c>
      <c r="H3554" s="3" t="s">
        <v>77</v>
      </c>
      <c r="I3554" s="3" t="s">
        <v>131</v>
      </c>
      <c r="J3554" s="3" t="n">
        <v>37</v>
      </c>
      <c r="K3554" s="3" t="n">
        <v>4846.52</v>
      </c>
      <c r="L3554" s="3" t="n">
        <v>179321.24</v>
      </c>
      <c r="M3554" s="3" t="n">
        <v>0.115</v>
      </c>
      <c r="N3554" s="3" t="n">
        <v>20621.94</v>
      </c>
      <c r="O3554" s="3" t="n">
        <v>158699.3</v>
      </c>
      <c r="P3554" s="3" t="n">
        <v>121938.44</v>
      </c>
      <c r="Q3554" s="3" t="n">
        <v>36760.86</v>
      </c>
      <c r="R3554" s="3" t="n">
        <v>0.2316</v>
      </c>
      <c r="S3554" s="3" t="n">
        <v>0.0941</v>
      </c>
      <c r="T3554" s="3" t="n">
        <v>0.0209</v>
      </c>
    </row>
    <row r="3555" customFormat="false" ht="15" hidden="false" customHeight="true" outlineLevel="0" collapsed="false">
      <c r="A3555" s="3" t="s">
        <v>4694</v>
      </c>
      <c r="B3555" s="3" t="s">
        <v>3994</v>
      </c>
      <c r="C3555" s="3" t="s">
        <v>46</v>
      </c>
      <c r="D3555" s="3" t="s">
        <v>47</v>
      </c>
      <c r="E3555" s="3" t="s">
        <v>48</v>
      </c>
      <c r="F3555" s="3" t="s">
        <v>25</v>
      </c>
      <c r="G3555" s="3" t="s">
        <v>104</v>
      </c>
      <c r="H3555" s="3" t="s">
        <v>77</v>
      </c>
      <c r="I3555" s="3" t="s">
        <v>131</v>
      </c>
      <c r="J3555" s="3" t="n">
        <v>39</v>
      </c>
      <c r="K3555" s="3" t="n">
        <v>2857.78</v>
      </c>
      <c r="L3555" s="3" t="n">
        <v>111453.42</v>
      </c>
      <c r="M3555" s="3" t="n">
        <v>0.2117</v>
      </c>
      <c r="N3555" s="3" t="n">
        <v>23594.69</v>
      </c>
      <c r="O3555" s="3" t="n">
        <v>87858.73</v>
      </c>
      <c r="P3555" s="3" t="n">
        <v>75788.33</v>
      </c>
      <c r="Q3555" s="3" t="n">
        <v>12070.4</v>
      </c>
      <c r="R3555" s="3" t="n">
        <v>0.1374</v>
      </c>
      <c r="S3555" s="3" t="n">
        <v>0.1946</v>
      </c>
      <c r="T3555" s="3" t="n">
        <v>0.0171</v>
      </c>
    </row>
    <row r="3556" customFormat="false" ht="15" hidden="false" customHeight="true" outlineLevel="0" collapsed="false">
      <c r="A3556" s="3" t="s">
        <v>4695</v>
      </c>
      <c r="B3556" s="3" t="s">
        <v>1564</v>
      </c>
      <c r="C3556" s="3" t="s">
        <v>37</v>
      </c>
      <c r="D3556" s="3" t="s">
        <v>38</v>
      </c>
      <c r="E3556" s="3" t="s">
        <v>39</v>
      </c>
      <c r="F3556" s="3" t="s">
        <v>40</v>
      </c>
      <c r="G3556" s="3" t="s">
        <v>34</v>
      </c>
      <c r="H3556" s="3" t="s">
        <v>64</v>
      </c>
      <c r="I3556" s="3" t="s">
        <v>108</v>
      </c>
      <c r="J3556" s="3" t="n">
        <v>30</v>
      </c>
      <c r="K3556" s="3" t="n">
        <v>4963.8</v>
      </c>
      <c r="L3556" s="3" t="n">
        <v>148914</v>
      </c>
      <c r="M3556" s="3" t="n">
        <v>0.0727</v>
      </c>
      <c r="N3556" s="3" t="n">
        <v>10826.05</v>
      </c>
      <c r="O3556" s="3" t="n">
        <v>138087.95</v>
      </c>
      <c r="P3556" s="3" t="n">
        <v>86370.12</v>
      </c>
      <c r="Q3556" s="3" t="n">
        <v>51717.83</v>
      </c>
      <c r="R3556" s="3" t="n">
        <v>0.3745</v>
      </c>
      <c r="S3556" s="3" t="n">
        <v>0.0696</v>
      </c>
      <c r="T3556" s="3" t="n">
        <v>0.0031</v>
      </c>
    </row>
    <row r="3557" customFormat="false" ht="15" hidden="false" customHeight="true" outlineLevel="0" collapsed="false">
      <c r="A3557" s="3" t="s">
        <v>4696</v>
      </c>
      <c r="B3557" s="3" t="s">
        <v>2230</v>
      </c>
      <c r="C3557" s="3" t="s">
        <v>31</v>
      </c>
      <c r="D3557" s="3" t="s">
        <v>32</v>
      </c>
      <c r="E3557" s="3" t="s">
        <v>33</v>
      </c>
      <c r="F3557" s="3" t="s">
        <v>25</v>
      </c>
      <c r="G3557" s="3" t="s">
        <v>84</v>
      </c>
      <c r="H3557" s="3" t="s">
        <v>27</v>
      </c>
      <c r="I3557" s="3" t="s">
        <v>94</v>
      </c>
      <c r="J3557" s="3" t="n">
        <v>5</v>
      </c>
      <c r="K3557" s="3" t="n">
        <v>35732.73</v>
      </c>
      <c r="L3557" s="3" t="n">
        <v>178663.65</v>
      </c>
      <c r="M3557" s="3" t="n">
        <v>0.0876</v>
      </c>
      <c r="N3557" s="3" t="n">
        <v>15650.94</v>
      </c>
      <c r="O3557" s="3" t="n">
        <v>163012.71</v>
      </c>
      <c r="P3557" s="3" t="n">
        <v>110771.46</v>
      </c>
      <c r="Q3557" s="3" t="n">
        <v>52241.25</v>
      </c>
      <c r="R3557" s="3" t="n">
        <v>0.3205</v>
      </c>
      <c r="S3557" s="3" t="n">
        <v>0.0753</v>
      </c>
      <c r="T3557" s="3" t="n">
        <v>0.0123</v>
      </c>
    </row>
    <row r="3558" customFormat="false" ht="15" hidden="false" customHeight="true" outlineLevel="0" collapsed="false">
      <c r="A3558" s="3" t="s">
        <v>4697</v>
      </c>
      <c r="B3558" s="3" t="s">
        <v>2006</v>
      </c>
      <c r="C3558" s="3" t="s">
        <v>126</v>
      </c>
      <c r="D3558" s="3" t="s">
        <v>75</v>
      </c>
      <c r="E3558" s="3" t="s">
        <v>39</v>
      </c>
      <c r="F3558" s="3" t="s">
        <v>25</v>
      </c>
      <c r="G3558" s="3" t="s">
        <v>34</v>
      </c>
      <c r="H3558" s="3" t="s">
        <v>64</v>
      </c>
      <c r="I3558" s="3" t="s">
        <v>145</v>
      </c>
      <c r="J3558" s="3" t="n">
        <v>49</v>
      </c>
      <c r="K3558" s="3" t="n">
        <v>10599.42</v>
      </c>
      <c r="L3558" s="3" t="n">
        <v>519371.58</v>
      </c>
      <c r="M3558" s="3" t="n">
        <v>0.2126</v>
      </c>
      <c r="N3558" s="3" t="n">
        <v>110418.4</v>
      </c>
      <c r="O3558" s="3" t="n">
        <v>408953.18</v>
      </c>
      <c r="P3558" s="3" t="n">
        <v>301235.52</v>
      </c>
      <c r="Q3558" s="3" t="n">
        <v>107717.66</v>
      </c>
      <c r="R3558" s="3" t="n">
        <v>0.2634</v>
      </c>
      <c r="S3558" s="3" t="n">
        <v>0.1883</v>
      </c>
      <c r="T3558" s="3" t="n">
        <v>0.0243</v>
      </c>
    </row>
    <row r="3559" customFormat="false" ht="15" hidden="false" customHeight="true" outlineLevel="0" collapsed="false">
      <c r="A3559" s="3" t="s">
        <v>4698</v>
      </c>
      <c r="B3559" s="3" t="s">
        <v>1613</v>
      </c>
      <c r="C3559" s="3" t="s">
        <v>60</v>
      </c>
      <c r="D3559" s="3" t="s">
        <v>97</v>
      </c>
      <c r="E3559" s="3" t="s">
        <v>48</v>
      </c>
      <c r="F3559" s="3" t="s">
        <v>40</v>
      </c>
      <c r="G3559" s="3" t="s">
        <v>100</v>
      </c>
      <c r="H3559" s="3" t="s">
        <v>56</v>
      </c>
      <c r="I3559" s="3" t="s">
        <v>121</v>
      </c>
      <c r="J3559" s="3" t="n">
        <v>40</v>
      </c>
      <c r="K3559" s="3" t="n">
        <v>10832.95</v>
      </c>
      <c r="L3559" s="3" t="n">
        <v>433318</v>
      </c>
      <c r="M3559" s="3" t="n">
        <v>0.0738</v>
      </c>
      <c r="N3559" s="3" t="n">
        <v>31978.87</v>
      </c>
      <c r="O3559" s="3" t="n">
        <v>401339.13</v>
      </c>
      <c r="P3559" s="3" t="n">
        <v>259990.8</v>
      </c>
      <c r="Q3559" s="3" t="n">
        <v>141348.33</v>
      </c>
      <c r="R3559" s="3" t="n">
        <v>0.3522</v>
      </c>
      <c r="S3559" s="3" t="n">
        <v>0.0644</v>
      </c>
      <c r="T3559" s="3" t="n">
        <v>0.0094</v>
      </c>
    </row>
    <row r="3560" customFormat="false" ht="15" hidden="false" customHeight="true" outlineLevel="0" collapsed="false">
      <c r="A3560" s="3" t="s">
        <v>4699</v>
      </c>
      <c r="B3560" s="3" t="s">
        <v>227</v>
      </c>
      <c r="C3560" s="3" t="s">
        <v>37</v>
      </c>
      <c r="D3560" s="3" t="s">
        <v>103</v>
      </c>
      <c r="E3560" s="3" t="s">
        <v>24</v>
      </c>
      <c r="F3560" s="3" t="s">
        <v>62</v>
      </c>
      <c r="G3560" s="3" t="s">
        <v>104</v>
      </c>
      <c r="H3560" s="3" t="s">
        <v>56</v>
      </c>
      <c r="I3560" s="3" t="s">
        <v>121</v>
      </c>
      <c r="J3560" s="3" t="n">
        <v>32</v>
      </c>
      <c r="K3560" s="3" t="n">
        <v>15451.67</v>
      </c>
      <c r="L3560" s="3" t="n">
        <v>494453.44</v>
      </c>
      <c r="M3560" s="3" t="n">
        <v>0.0803</v>
      </c>
      <c r="N3560" s="3" t="n">
        <v>39704.61</v>
      </c>
      <c r="O3560" s="3" t="n">
        <v>454748.83</v>
      </c>
      <c r="P3560" s="3" t="n">
        <v>296672.06</v>
      </c>
      <c r="Q3560" s="3" t="n">
        <v>158076.77</v>
      </c>
      <c r="R3560" s="3" t="n">
        <v>0.3476</v>
      </c>
      <c r="S3560" s="3" t="n">
        <v>0.0863</v>
      </c>
      <c r="T3560" s="3" t="n">
        <v>-0.006</v>
      </c>
    </row>
    <row r="3561" customFormat="false" ht="15" hidden="false" customHeight="true" outlineLevel="0" collapsed="false">
      <c r="A3561" s="3" t="s">
        <v>4700</v>
      </c>
      <c r="B3561" s="3" t="s">
        <v>907</v>
      </c>
      <c r="C3561" s="3" t="s">
        <v>37</v>
      </c>
      <c r="D3561" s="3" t="s">
        <v>97</v>
      </c>
      <c r="E3561" s="3" t="s">
        <v>48</v>
      </c>
      <c r="F3561" s="3" t="s">
        <v>40</v>
      </c>
      <c r="G3561" s="3" t="s">
        <v>100</v>
      </c>
      <c r="H3561" s="3" t="s">
        <v>64</v>
      </c>
      <c r="I3561" s="3" t="s">
        <v>145</v>
      </c>
      <c r="J3561" s="3" t="n">
        <v>48</v>
      </c>
      <c r="K3561" s="3" t="n">
        <v>11509.96</v>
      </c>
      <c r="L3561" s="3" t="n">
        <v>552478.08</v>
      </c>
      <c r="M3561" s="3" t="n">
        <v>0.0437</v>
      </c>
      <c r="N3561" s="3" t="n">
        <v>24143.29</v>
      </c>
      <c r="O3561" s="3" t="n">
        <v>528334.79</v>
      </c>
      <c r="P3561" s="3" t="n">
        <v>320437.29</v>
      </c>
      <c r="Q3561" s="3" t="n">
        <v>207897.5</v>
      </c>
      <c r="R3561" s="3" t="n">
        <v>0.3935</v>
      </c>
      <c r="S3561" s="3" t="n">
        <v>0.0481</v>
      </c>
      <c r="T3561" s="3" t="n">
        <v>-0.0044</v>
      </c>
    </row>
    <row r="3562" customFormat="false" ht="15" hidden="false" customHeight="true" outlineLevel="0" collapsed="false">
      <c r="A3562" s="3" t="s">
        <v>4701</v>
      </c>
      <c r="B3562" s="3" t="s">
        <v>2011</v>
      </c>
      <c r="C3562" s="3" t="s">
        <v>126</v>
      </c>
      <c r="D3562" s="3" t="s">
        <v>61</v>
      </c>
      <c r="E3562" s="3" t="s">
        <v>33</v>
      </c>
      <c r="F3562" s="3" t="s">
        <v>62</v>
      </c>
      <c r="G3562" s="3" t="s">
        <v>55</v>
      </c>
      <c r="H3562" s="3" t="s">
        <v>64</v>
      </c>
      <c r="I3562" s="3" t="s">
        <v>65</v>
      </c>
      <c r="J3562" s="3" t="n">
        <v>2</v>
      </c>
      <c r="K3562" s="3" t="n">
        <v>11593.34</v>
      </c>
      <c r="L3562" s="3" t="n">
        <v>23186.68</v>
      </c>
      <c r="M3562" s="3" t="n">
        <v>0.0782</v>
      </c>
      <c r="N3562" s="3" t="n">
        <v>1813.2</v>
      </c>
      <c r="O3562" s="3" t="n">
        <v>21373.48</v>
      </c>
      <c r="P3562" s="3" t="n">
        <v>13448.27</v>
      </c>
      <c r="Q3562" s="3" t="n">
        <v>7925.21</v>
      </c>
      <c r="R3562" s="3" t="n">
        <v>0.3708</v>
      </c>
      <c r="S3562" s="3" t="n">
        <v>0.0747</v>
      </c>
      <c r="T3562" s="3" t="n">
        <v>0.0035</v>
      </c>
    </row>
    <row r="3563" customFormat="false" ht="15" hidden="false" customHeight="true" outlineLevel="0" collapsed="false">
      <c r="A3563" s="3" t="s">
        <v>4702</v>
      </c>
      <c r="B3563" s="3" t="s">
        <v>2621</v>
      </c>
      <c r="C3563" s="3" t="s">
        <v>46</v>
      </c>
      <c r="D3563" s="3" t="s">
        <v>75</v>
      </c>
      <c r="E3563" s="3" t="s">
        <v>39</v>
      </c>
      <c r="F3563" s="3" t="s">
        <v>25</v>
      </c>
      <c r="G3563" s="3" t="s">
        <v>84</v>
      </c>
      <c r="H3563" s="3" t="s">
        <v>64</v>
      </c>
      <c r="I3563" s="3" t="s">
        <v>90</v>
      </c>
      <c r="J3563" s="3" t="n">
        <v>14</v>
      </c>
      <c r="K3563" s="3" t="n">
        <v>7883.95</v>
      </c>
      <c r="L3563" s="3" t="n">
        <v>110375.3</v>
      </c>
      <c r="M3563" s="3" t="n">
        <v>0.1365</v>
      </c>
      <c r="N3563" s="3" t="n">
        <v>15066.23</v>
      </c>
      <c r="O3563" s="3" t="n">
        <v>95309.07</v>
      </c>
      <c r="P3563" s="3" t="n">
        <v>64017.67</v>
      </c>
      <c r="Q3563" s="3" t="n">
        <v>31291.4</v>
      </c>
      <c r="R3563" s="3" t="n">
        <v>0.3283</v>
      </c>
      <c r="S3563" s="3" t="n">
        <v>0.1452</v>
      </c>
      <c r="T3563" s="3" t="n">
        <v>-0.0087</v>
      </c>
    </row>
    <row r="3564" customFormat="false" ht="15" hidden="false" customHeight="true" outlineLevel="0" collapsed="false">
      <c r="A3564" s="3" t="s">
        <v>4703</v>
      </c>
      <c r="B3564" s="3" t="s">
        <v>2384</v>
      </c>
      <c r="C3564" s="3" t="s">
        <v>46</v>
      </c>
      <c r="D3564" s="3" t="s">
        <v>23</v>
      </c>
      <c r="E3564" s="3" t="s">
        <v>24</v>
      </c>
      <c r="F3564" s="3" t="s">
        <v>25</v>
      </c>
      <c r="G3564" s="3" t="s">
        <v>34</v>
      </c>
      <c r="H3564" s="3" t="s">
        <v>64</v>
      </c>
      <c r="I3564" s="3" t="s">
        <v>108</v>
      </c>
      <c r="J3564" s="3" t="n">
        <v>3</v>
      </c>
      <c r="K3564" s="3" t="n">
        <v>7787</v>
      </c>
      <c r="L3564" s="3" t="n">
        <v>23361</v>
      </c>
      <c r="M3564" s="3" t="n">
        <v>0.1319</v>
      </c>
      <c r="N3564" s="3" t="n">
        <v>3081.32</v>
      </c>
      <c r="O3564" s="3" t="n">
        <v>20279.68</v>
      </c>
      <c r="P3564" s="3" t="n">
        <v>13549.38</v>
      </c>
      <c r="Q3564" s="3" t="n">
        <v>6730.3</v>
      </c>
      <c r="R3564" s="3" t="n">
        <v>0.3319</v>
      </c>
      <c r="S3564" s="3" t="n">
        <v>0.1261</v>
      </c>
      <c r="T3564" s="3" t="n">
        <v>0.0058</v>
      </c>
    </row>
    <row r="3565" customFormat="false" ht="15" hidden="false" customHeight="true" outlineLevel="0" collapsed="false">
      <c r="A3565" s="3" t="s">
        <v>4704</v>
      </c>
      <c r="B3565" s="3" t="s">
        <v>3538</v>
      </c>
      <c r="C3565" s="3" t="s">
        <v>46</v>
      </c>
      <c r="D3565" s="3" t="s">
        <v>47</v>
      </c>
      <c r="E3565" s="3" t="s">
        <v>48</v>
      </c>
      <c r="F3565" s="3" t="s">
        <v>25</v>
      </c>
      <c r="G3565" s="3" t="s">
        <v>100</v>
      </c>
      <c r="H3565" s="3" t="s">
        <v>77</v>
      </c>
      <c r="I3565" s="3" t="s">
        <v>78</v>
      </c>
      <c r="J3565" s="3" t="n">
        <v>31</v>
      </c>
      <c r="K3565" s="3" t="n">
        <v>3267.49</v>
      </c>
      <c r="L3565" s="3" t="n">
        <v>101292.19</v>
      </c>
      <c r="M3565" s="3" t="n">
        <v>0.1384</v>
      </c>
      <c r="N3565" s="3" t="n">
        <v>14018.84</v>
      </c>
      <c r="O3565" s="3" t="n">
        <v>87273.35</v>
      </c>
      <c r="P3565" s="3" t="n">
        <v>68878.69</v>
      </c>
      <c r="Q3565" s="3" t="n">
        <v>18394.66</v>
      </c>
      <c r="R3565" s="3" t="n">
        <v>0.2108</v>
      </c>
      <c r="S3565" s="3" t="n">
        <v>0.1203</v>
      </c>
      <c r="T3565" s="3" t="n">
        <v>0.0181</v>
      </c>
    </row>
    <row r="3566" customFormat="false" ht="15" hidden="false" customHeight="true" outlineLevel="0" collapsed="false">
      <c r="A3566" s="3" t="s">
        <v>4705</v>
      </c>
      <c r="B3566" s="3" t="s">
        <v>818</v>
      </c>
      <c r="C3566" s="3" t="s">
        <v>60</v>
      </c>
      <c r="D3566" s="3" t="s">
        <v>61</v>
      </c>
      <c r="E3566" s="3" t="s">
        <v>33</v>
      </c>
      <c r="F3566" s="3" t="s">
        <v>62</v>
      </c>
      <c r="G3566" s="3" t="s">
        <v>63</v>
      </c>
      <c r="H3566" s="3" t="s">
        <v>64</v>
      </c>
      <c r="I3566" s="3" t="s">
        <v>65</v>
      </c>
      <c r="J3566" s="3" t="n">
        <v>30</v>
      </c>
      <c r="K3566" s="3" t="n">
        <v>5051.86</v>
      </c>
      <c r="L3566" s="3" t="n">
        <v>151555.8</v>
      </c>
      <c r="M3566" s="3" t="n">
        <v>0.0466</v>
      </c>
      <c r="N3566" s="3" t="n">
        <v>7062.5</v>
      </c>
      <c r="O3566" s="3" t="n">
        <v>144493.3</v>
      </c>
      <c r="P3566" s="3" t="n">
        <v>87902.36</v>
      </c>
      <c r="Q3566" s="3" t="n">
        <v>56590.94</v>
      </c>
      <c r="R3566" s="3" t="n">
        <v>0.3917</v>
      </c>
      <c r="S3566" s="3" t="n">
        <v>0.0454</v>
      </c>
      <c r="T3566" s="3" t="n">
        <v>0.0012</v>
      </c>
    </row>
    <row r="3567" customFormat="false" ht="15" hidden="false" customHeight="true" outlineLevel="0" collapsed="false">
      <c r="A3567" s="3" t="s">
        <v>4706</v>
      </c>
      <c r="B3567" s="3" t="s">
        <v>744</v>
      </c>
      <c r="C3567" s="3" t="s">
        <v>120</v>
      </c>
      <c r="D3567" s="3" t="s">
        <v>83</v>
      </c>
      <c r="E3567" s="3" t="s">
        <v>48</v>
      </c>
      <c r="F3567" s="3" t="s">
        <v>62</v>
      </c>
      <c r="G3567" s="3" t="s">
        <v>116</v>
      </c>
      <c r="H3567" s="3" t="s">
        <v>77</v>
      </c>
      <c r="I3567" s="3" t="s">
        <v>131</v>
      </c>
      <c r="J3567" s="3" t="n">
        <v>33</v>
      </c>
      <c r="K3567" s="3" t="n">
        <v>2448.71</v>
      </c>
      <c r="L3567" s="3" t="n">
        <v>80807.43</v>
      </c>
      <c r="M3567" s="3" t="n">
        <v>0.0856</v>
      </c>
      <c r="N3567" s="3" t="n">
        <v>6917.12</v>
      </c>
      <c r="O3567" s="3" t="n">
        <v>73890.31</v>
      </c>
      <c r="P3567" s="3" t="n">
        <v>54949.05</v>
      </c>
      <c r="Q3567" s="3" t="n">
        <v>18941.26</v>
      </c>
      <c r="R3567" s="3" t="n">
        <v>0.2563</v>
      </c>
      <c r="S3567" s="3" t="n">
        <v>0.0877</v>
      </c>
      <c r="T3567" s="3" t="n">
        <v>-0.0021</v>
      </c>
    </row>
    <row r="3568" customFormat="false" ht="15" hidden="false" customHeight="true" outlineLevel="0" collapsed="false">
      <c r="A3568" s="3" t="s">
        <v>4707</v>
      </c>
      <c r="B3568" s="3" t="s">
        <v>1935</v>
      </c>
      <c r="C3568" s="3" t="s">
        <v>126</v>
      </c>
      <c r="D3568" s="3" t="s">
        <v>54</v>
      </c>
      <c r="E3568" s="3" t="s">
        <v>24</v>
      </c>
      <c r="F3568" s="3" t="s">
        <v>40</v>
      </c>
      <c r="G3568" s="3" t="s">
        <v>49</v>
      </c>
      <c r="H3568" s="3" t="s">
        <v>42</v>
      </c>
      <c r="I3568" s="3" t="s">
        <v>43</v>
      </c>
      <c r="J3568" s="3" t="n">
        <v>35</v>
      </c>
      <c r="K3568" s="3" t="n">
        <v>2037.94</v>
      </c>
      <c r="L3568" s="3" t="n">
        <v>71327.9</v>
      </c>
      <c r="M3568" s="3" t="n">
        <v>0.0356</v>
      </c>
      <c r="N3568" s="3" t="n">
        <v>2539.27</v>
      </c>
      <c r="O3568" s="3" t="n">
        <v>68788.63</v>
      </c>
      <c r="P3568" s="3" t="n">
        <v>39230.35</v>
      </c>
      <c r="Q3568" s="3" t="n">
        <v>29558.28</v>
      </c>
      <c r="R3568" s="3" t="n">
        <v>0.4297</v>
      </c>
      <c r="S3568" s="3" t="n">
        <v>0.0361</v>
      </c>
      <c r="T3568" s="3" t="n">
        <v>-0.0005</v>
      </c>
    </row>
    <row r="3569" customFormat="false" ht="15" hidden="false" customHeight="true" outlineLevel="0" collapsed="false">
      <c r="A3569" s="3" t="s">
        <v>4708</v>
      </c>
      <c r="B3569" s="3" t="s">
        <v>4709</v>
      </c>
      <c r="C3569" s="3" t="s">
        <v>156</v>
      </c>
      <c r="D3569" s="3" t="s">
        <v>97</v>
      </c>
      <c r="E3569" s="3" t="s">
        <v>48</v>
      </c>
      <c r="F3569" s="3" t="s">
        <v>40</v>
      </c>
      <c r="G3569" s="3" t="s">
        <v>116</v>
      </c>
      <c r="H3569" s="3" t="s">
        <v>77</v>
      </c>
      <c r="I3569" s="3" t="s">
        <v>131</v>
      </c>
      <c r="J3569" s="3" t="n">
        <v>25</v>
      </c>
      <c r="K3569" s="3" t="n">
        <v>3187.54</v>
      </c>
      <c r="L3569" s="3" t="n">
        <v>79688.5</v>
      </c>
      <c r="M3569" s="3" t="n">
        <v>0.0682</v>
      </c>
      <c r="N3569" s="3" t="n">
        <v>5434.76</v>
      </c>
      <c r="O3569" s="3" t="n">
        <v>74253.74</v>
      </c>
      <c r="P3569" s="3" t="n">
        <v>54188.18</v>
      </c>
      <c r="Q3569" s="3" t="n">
        <v>20065.56</v>
      </c>
      <c r="R3569" s="3" t="n">
        <v>0.2702</v>
      </c>
      <c r="S3569" s="3" t="n">
        <v>0.0721</v>
      </c>
      <c r="T3569" s="3" t="n">
        <v>-0.0039</v>
      </c>
    </row>
    <row r="3570" customFormat="false" ht="15" hidden="false" customHeight="true" outlineLevel="0" collapsed="false">
      <c r="A3570" s="3" t="s">
        <v>4710</v>
      </c>
      <c r="B3570" s="3" t="s">
        <v>1240</v>
      </c>
      <c r="C3570" s="3" t="s">
        <v>37</v>
      </c>
      <c r="D3570" s="3" t="s">
        <v>47</v>
      </c>
      <c r="E3570" s="3" t="s">
        <v>48</v>
      </c>
      <c r="F3570" s="3" t="s">
        <v>25</v>
      </c>
      <c r="G3570" s="3" t="s">
        <v>100</v>
      </c>
      <c r="H3570" s="3" t="s">
        <v>27</v>
      </c>
      <c r="I3570" s="3" t="s">
        <v>28</v>
      </c>
      <c r="J3570" s="3" t="n">
        <v>26</v>
      </c>
      <c r="K3570" s="3" t="n">
        <v>27442.3</v>
      </c>
      <c r="L3570" s="3" t="n">
        <v>713499.8</v>
      </c>
      <c r="M3570" s="3" t="n">
        <v>0.1092</v>
      </c>
      <c r="N3570" s="3" t="n">
        <v>77914.18</v>
      </c>
      <c r="O3570" s="3" t="n">
        <v>635585.62</v>
      </c>
      <c r="P3570" s="3" t="n">
        <v>442369.88</v>
      </c>
      <c r="Q3570" s="3" t="n">
        <v>193215.74</v>
      </c>
      <c r="R3570" s="3" t="n">
        <v>0.304</v>
      </c>
      <c r="S3570" s="3" t="n">
        <v>0.0986</v>
      </c>
      <c r="T3570" s="3" t="n">
        <v>0.0106</v>
      </c>
    </row>
    <row r="3571" customFormat="false" ht="15" hidden="false" customHeight="true" outlineLevel="0" collapsed="false">
      <c r="A3571" s="3" t="s">
        <v>4711</v>
      </c>
      <c r="B3571" s="3" t="s">
        <v>4712</v>
      </c>
      <c r="C3571" s="3" t="s">
        <v>68</v>
      </c>
      <c r="D3571" s="3" t="s">
        <v>97</v>
      </c>
      <c r="E3571" s="3" t="s">
        <v>48</v>
      </c>
      <c r="F3571" s="3" t="s">
        <v>40</v>
      </c>
      <c r="G3571" s="3" t="s">
        <v>49</v>
      </c>
      <c r="H3571" s="3" t="s">
        <v>42</v>
      </c>
      <c r="I3571" s="3" t="s">
        <v>134</v>
      </c>
      <c r="J3571" s="3" t="n">
        <v>12</v>
      </c>
      <c r="K3571" s="3" t="n">
        <v>3684.18</v>
      </c>
      <c r="L3571" s="3" t="n">
        <v>44210.16</v>
      </c>
      <c r="M3571" s="3" t="n">
        <v>0.0671</v>
      </c>
      <c r="N3571" s="3" t="n">
        <v>2966.5</v>
      </c>
      <c r="O3571" s="3" t="n">
        <v>41243.66</v>
      </c>
      <c r="P3571" s="3" t="n">
        <v>24315.59</v>
      </c>
      <c r="Q3571" s="3" t="n">
        <v>16928.07</v>
      </c>
      <c r="R3571" s="3" t="n">
        <v>0.4104</v>
      </c>
      <c r="S3571" s="3" t="n">
        <v>0.0732</v>
      </c>
      <c r="T3571" s="3" t="n">
        <v>-0.0061</v>
      </c>
    </row>
    <row r="3572" customFormat="false" ht="15" hidden="false" customHeight="true" outlineLevel="0" collapsed="false">
      <c r="A3572" s="3" t="s">
        <v>4713</v>
      </c>
      <c r="B3572" s="3" t="s">
        <v>1971</v>
      </c>
      <c r="C3572" s="3" t="s">
        <v>126</v>
      </c>
      <c r="D3572" s="3" t="s">
        <v>47</v>
      </c>
      <c r="E3572" s="3" t="s">
        <v>48</v>
      </c>
      <c r="F3572" s="3" t="s">
        <v>25</v>
      </c>
      <c r="G3572" s="3" t="s">
        <v>34</v>
      </c>
      <c r="H3572" s="3" t="s">
        <v>56</v>
      </c>
      <c r="I3572" s="3" t="s">
        <v>57</v>
      </c>
      <c r="J3572" s="3" t="n">
        <v>6</v>
      </c>
      <c r="K3572" s="3" t="n">
        <v>9997.31</v>
      </c>
      <c r="L3572" s="3" t="n">
        <v>59983.86</v>
      </c>
      <c r="M3572" s="3" t="n">
        <v>0.2119</v>
      </c>
      <c r="N3572" s="3" t="n">
        <v>12710.58</v>
      </c>
      <c r="O3572" s="3" t="n">
        <v>47273.28</v>
      </c>
      <c r="P3572" s="3" t="n">
        <v>35990.32</v>
      </c>
      <c r="Q3572" s="3" t="n">
        <v>11282.96</v>
      </c>
      <c r="R3572" s="3" t="n">
        <v>0.2387</v>
      </c>
      <c r="S3572" s="3" t="n">
        <v>0.2097</v>
      </c>
      <c r="T3572" s="3" t="n">
        <v>0.0022</v>
      </c>
    </row>
    <row r="3573" customFormat="false" ht="15" hidden="false" customHeight="true" outlineLevel="0" collapsed="false">
      <c r="A3573" s="3" t="s">
        <v>4714</v>
      </c>
      <c r="B3573" s="3" t="s">
        <v>2196</v>
      </c>
      <c r="C3573" s="3" t="s">
        <v>156</v>
      </c>
      <c r="D3573" s="3" t="s">
        <v>103</v>
      </c>
      <c r="E3573" s="3" t="s">
        <v>24</v>
      </c>
      <c r="F3573" s="3" t="s">
        <v>62</v>
      </c>
      <c r="G3573" s="3" t="s">
        <v>55</v>
      </c>
      <c r="H3573" s="3" t="s">
        <v>42</v>
      </c>
      <c r="I3573" s="3" t="s">
        <v>134</v>
      </c>
      <c r="J3573" s="3" t="n">
        <v>27</v>
      </c>
      <c r="K3573" s="3" t="n">
        <v>1739.6</v>
      </c>
      <c r="L3573" s="3" t="n">
        <v>46969.2</v>
      </c>
      <c r="M3573" s="3" t="n">
        <v>0.0694</v>
      </c>
      <c r="N3573" s="3" t="n">
        <v>3259.66</v>
      </c>
      <c r="O3573" s="3" t="n">
        <v>43709.54</v>
      </c>
      <c r="P3573" s="3" t="n">
        <v>25833.06</v>
      </c>
      <c r="Q3573" s="3" t="n">
        <v>17876.48</v>
      </c>
      <c r="R3573" s="3" t="n">
        <v>0.409</v>
      </c>
      <c r="S3573" s="3" t="n">
        <v>0.0557</v>
      </c>
      <c r="T3573" s="3" t="n">
        <v>0.0137</v>
      </c>
    </row>
    <row r="3574" customFormat="false" ht="15" hidden="false" customHeight="true" outlineLevel="0" collapsed="false">
      <c r="A3574" s="3" t="s">
        <v>4715</v>
      </c>
      <c r="B3574" s="3" t="s">
        <v>2486</v>
      </c>
      <c r="C3574" s="3" t="s">
        <v>60</v>
      </c>
      <c r="D3574" s="3" t="s">
        <v>32</v>
      </c>
      <c r="E3574" s="3" t="s">
        <v>33</v>
      </c>
      <c r="F3574" s="3" t="s">
        <v>25</v>
      </c>
      <c r="G3574" s="3" t="s">
        <v>55</v>
      </c>
      <c r="H3574" s="3" t="s">
        <v>27</v>
      </c>
      <c r="I3574" s="3" t="s">
        <v>28</v>
      </c>
      <c r="J3574" s="3" t="n">
        <v>42</v>
      </c>
      <c r="K3574" s="3" t="n">
        <v>38568.99</v>
      </c>
      <c r="L3574" s="3" t="n">
        <v>1619897.58</v>
      </c>
      <c r="M3574" s="3" t="n">
        <v>0.1311</v>
      </c>
      <c r="N3574" s="3" t="n">
        <v>212368.57</v>
      </c>
      <c r="O3574" s="3" t="n">
        <v>1407529.01</v>
      </c>
      <c r="P3574" s="3" t="n">
        <v>1004336.5</v>
      </c>
      <c r="Q3574" s="3" t="n">
        <v>403192.51</v>
      </c>
      <c r="R3574" s="3" t="n">
        <v>0.2865</v>
      </c>
      <c r="S3574" s="3" t="n">
        <v>0.1425</v>
      </c>
      <c r="T3574" s="3" t="n">
        <v>-0.0114</v>
      </c>
    </row>
    <row r="3575" customFormat="false" ht="15" hidden="false" customHeight="true" outlineLevel="0" collapsed="false">
      <c r="A3575" s="3" t="s">
        <v>4716</v>
      </c>
      <c r="B3575" s="3" t="s">
        <v>321</v>
      </c>
      <c r="C3575" s="3" t="s">
        <v>120</v>
      </c>
      <c r="D3575" s="3" t="s">
        <v>107</v>
      </c>
      <c r="E3575" s="3" t="s">
        <v>33</v>
      </c>
      <c r="F3575" s="3" t="s">
        <v>70</v>
      </c>
      <c r="G3575" s="3" t="s">
        <v>84</v>
      </c>
      <c r="H3575" s="3" t="s">
        <v>77</v>
      </c>
      <c r="I3575" s="3" t="s">
        <v>85</v>
      </c>
      <c r="J3575" s="3" t="n">
        <v>44</v>
      </c>
      <c r="K3575" s="3" t="n">
        <v>5554.07</v>
      </c>
      <c r="L3575" s="3" t="n">
        <v>244379.08</v>
      </c>
      <c r="M3575" s="3" t="n">
        <v>0.0363</v>
      </c>
      <c r="N3575" s="3" t="n">
        <v>8870.96</v>
      </c>
      <c r="O3575" s="3" t="n">
        <v>235508.12</v>
      </c>
      <c r="P3575" s="3" t="n">
        <v>166177.77</v>
      </c>
      <c r="Q3575" s="3" t="n">
        <v>69330.35</v>
      </c>
      <c r="R3575" s="3" t="n">
        <v>0.2944</v>
      </c>
      <c r="S3575" s="3" t="n">
        <v>0.0361</v>
      </c>
      <c r="T3575" s="3" t="n">
        <v>0.0002</v>
      </c>
    </row>
    <row r="3576" customFormat="false" ht="15" hidden="false" customHeight="true" outlineLevel="0" collapsed="false">
      <c r="A3576" s="3" t="s">
        <v>4717</v>
      </c>
      <c r="B3576" s="3" t="s">
        <v>2014</v>
      </c>
      <c r="C3576" s="3" t="s">
        <v>22</v>
      </c>
      <c r="D3576" s="3" t="s">
        <v>97</v>
      </c>
      <c r="E3576" s="3" t="s">
        <v>48</v>
      </c>
      <c r="F3576" s="3" t="s">
        <v>40</v>
      </c>
      <c r="G3576" s="3" t="s">
        <v>34</v>
      </c>
      <c r="H3576" s="3" t="s">
        <v>77</v>
      </c>
      <c r="I3576" s="3" t="s">
        <v>85</v>
      </c>
      <c r="J3576" s="3" t="n">
        <v>34</v>
      </c>
      <c r="K3576" s="3" t="n">
        <v>3074.78</v>
      </c>
      <c r="L3576" s="3" t="n">
        <v>104542.52</v>
      </c>
      <c r="M3576" s="3" t="n">
        <v>0.0763</v>
      </c>
      <c r="N3576" s="3" t="n">
        <v>7976.59</v>
      </c>
      <c r="O3576" s="3" t="n">
        <v>96565.93</v>
      </c>
      <c r="P3576" s="3" t="n">
        <v>71088.91</v>
      </c>
      <c r="Q3576" s="3" t="n">
        <v>25477.02</v>
      </c>
      <c r="R3576" s="3" t="n">
        <v>0.2638</v>
      </c>
      <c r="S3576" s="3" t="n">
        <v>0.0826</v>
      </c>
      <c r="T3576" s="3" t="n">
        <v>-0.0063</v>
      </c>
    </row>
    <row r="3577" customFormat="false" ht="15" hidden="false" customHeight="true" outlineLevel="0" collapsed="false">
      <c r="A3577" s="3" t="s">
        <v>4718</v>
      </c>
      <c r="B3577" s="3" t="s">
        <v>3346</v>
      </c>
      <c r="C3577" s="3" t="s">
        <v>22</v>
      </c>
      <c r="D3577" s="3" t="s">
        <v>103</v>
      </c>
      <c r="E3577" s="3" t="s">
        <v>24</v>
      </c>
      <c r="F3577" s="3" t="s">
        <v>62</v>
      </c>
      <c r="G3577" s="3" t="s">
        <v>55</v>
      </c>
      <c r="H3577" s="3" t="s">
        <v>77</v>
      </c>
      <c r="I3577" s="3" t="s">
        <v>131</v>
      </c>
      <c r="J3577" s="3" t="n">
        <v>2</v>
      </c>
      <c r="K3577" s="3" t="n">
        <v>2129.66</v>
      </c>
      <c r="L3577" s="3" t="n">
        <v>4259.32</v>
      </c>
      <c r="M3577" s="3" t="n">
        <v>0.069</v>
      </c>
      <c r="N3577" s="3" t="n">
        <v>293.89</v>
      </c>
      <c r="O3577" s="3" t="n">
        <v>3965.43</v>
      </c>
      <c r="P3577" s="3" t="n">
        <v>2896.34</v>
      </c>
      <c r="Q3577" s="3" t="n">
        <v>1069.09</v>
      </c>
      <c r="R3577" s="3" t="n">
        <v>0.2696</v>
      </c>
      <c r="S3577" s="3" t="n">
        <v>0.0637</v>
      </c>
      <c r="T3577" s="3" t="n">
        <v>0.0053</v>
      </c>
    </row>
    <row r="3578" customFormat="false" ht="15" hidden="false" customHeight="true" outlineLevel="0" collapsed="false">
      <c r="A3578" s="3" t="s">
        <v>4719</v>
      </c>
      <c r="B3578" s="3" t="s">
        <v>728</v>
      </c>
      <c r="C3578" s="3" t="s">
        <v>156</v>
      </c>
      <c r="D3578" s="3" t="s">
        <v>103</v>
      </c>
      <c r="E3578" s="3" t="s">
        <v>24</v>
      </c>
      <c r="F3578" s="3" t="s">
        <v>62</v>
      </c>
      <c r="G3578" s="3" t="s">
        <v>116</v>
      </c>
      <c r="H3578" s="3" t="s">
        <v>27</v>
      </c>
      <c r="I3578" s="3" t="s">
        <v>94</v>
      </c>
      <c r="J3578" s="3" t="n">
        <v>27</v>
      </c>
      <c r="K3578" s="3" t="n">
        <v>10228.26</v>
      </c>
      <c r="L3578" s="3" t="n">
        <v>276163.02</v>
      </c>
      <c r="M3578" s="3" t="n">
        <v>0.1218</v>
      </c>
      <c r="N3578" s="3" t="n">
        <v>33636.66</v>
      </c>
      <c r="O3578" s="3" t="n">
        <v>242526.36</v>
      </c>
      <c r="P3578" s="3" t="n">
        <v>171221.07</v>
      </c>
      <c r="Q3578" s="3" t="n">
        <v>71305.29</v>
      </c>
      <c r="R3578" s="3" t="n">
        <v>0.294</v>
      </c>
      <c r="S3578" s="3" t="n">
        <v>0.1062</v>
      </c>
      <c r="T3578" s="3" t="n">
        <v>0.0156</v>
      </c>
    </row>
    <row r="3579" customFormat="false" ht="15" hidden="false" customHeight="true" outlineLevel="0" collapsed="false">
      <c r="A3579" s="3" t="s">
        <v>4720</v>
      </c>
      <c r="B3579" s="3" t="s">
        <v>1335</v>
      </c>
      <c r="C3579" s="3" t="s">
        <v>93</v>
      </c>
      <c r="D3579" s="3" t="s">
        <v>107</v>
      </c>
      <c r="E3579" s="3" t="s">
        <v>33</v>
      </c>
      <c r="F3579" s="3" t="s">
        <v>70</v>
      </c>
      <c r="G3579" s="3" t="s">
        <v>76</v>
      </c>
      <c r="H3579" s="3" t="s">
        <v>42</v>
      </c>
      <c r="I3579" s="3" t="s">
        <v>72</v>
      </c>
      <c r="J3579" s="3" t="n">
        <v>48</v>
      </c>
      <c r="K3579" s="3" t="n">
        <v>1160.87</v>
      </c>
      <c r="L3579" s="3" t="n">
        <v>55721.76</v>
      </c>
      <c r="M3579" s="3" t="n">
        <v>0.0781</v>
      </c>
      <c r="N3579" s="3" t="n">
        <v>4351.87</v>
      </c>
      <c r="O3579" s="3" t="n">
        <v>51369.89</v>
      </c>
      <c r="P3579" s="3" t="n">
        <v>30646.97</v>
      </c>
      <c r="Q3579" s="3" t="n">
        <v>20722.92</v>
      </c>
      <c r="R3579" s="3" t="n">
        <v>0.4034</v>
      </c>
      <c r="S3579" s="3" t="n">
        <v>0.0632</v>
      </c>
      <c r="T3579" s="3" t="n">
        <v>0.0149</v>
      </c>
    </row>
    <row r="3580" customFormat="false" ht="15" hidden="false" customHeight="true" outlineLevel="0" collapsed="false">
      <c r="A3580" s="3" t="s">
        <v>4721</v>
      </c>
      <c r="B3580" s="3" t="s">
        <v>1135</v>
      </c>
      <c r="C3580" s="3" t="s">
        <v>37</v>
      </c>
      <c r="D3580" s="3" t="s">
        <v>97</v>
      </c>
      <c r="E3580" s="3" t="s">
        <v>48</v>
      </c>
      <c r="F3580" s="3" t="s">
        <v>40</v>
      </c>
      <c r="G3580" s="3" t="s">
        <v>84</v>
      </c>
      <c r="H3580" s="3" t="s">
        <v>77</v>
      </c>
      <c r="I3580" s="3" t="s">
        <v>131</v>
      </c>
      <c r="J3580" s="3" t="n">
        <v>22</v>
      </c>
      <c r="K3580" s="3" t="n">
        <v>5654.17</v>
      </c>
      <c r="L3580" s="3" t="n">
        <v>124391.74</v>
      </c>
      <c r="M3580" s="3" t="n">
        <v>0.0656</v>
      </c>
      <c r="N3580" s="3" t="n">
        <v>8160.1</v>
      </c>
      <c r="O3580" s="3" t="n">
        <v>116231.64</v>
      </c>
      <c r="P3580" s="3" t="n">
        <v>84586.38</v>
      </c>
      <c r="Q3580" s="3" t="n">
        <v>31645.26</v>
      </c>
      <c r="R3580" s="3" t="n">
        <v>0.2723</v>
      </c>
      <c r="S3580" s="3" t="n">
        <v>0.0698</v>
      </c>
      <c r="T3580" s="3" t="n">
        <v>-0.0042</v>
      </c>
    </row>
    <row r="3581" customFormat="false" ht="15" hidden="false" customHeight="true" outlineLevel="0" collapsed="false">
      <c r="A3581" s="3" t="s">
        <v>4722</v>
      </c>
      <c r="B3581" s="3" t="s">
        <v>2441</v>
      </c>
      <c r="C3581" s="3" t="s">
        <v>46</v>
      </c>
      <c r="D3581" s="3" t="s">
        <v>61</v>
      </c>
      <c r="E3581" s="3" t="s">
        <v>33</v>
      </c>
      <c r="F3581" s="3" t="s">
        <v>62</v>
      </c>
      <c r="G3581" s="3" t="s">
        <v>55</v>
      </c>
      <c r="H3581" s="3" t="s">
        <v>42</v>
      </c>
      <c r="I3581" s="3" t="s">
        <v>43</v>
      </c>
      <c r="J3581" s="3" t="n">
        <v>17</v>
      </c>
      <c r="K3581" s="3" t="n">
        <v>3841.29</v>
      </c>
      <c r="L3581" s="3" t="n">
        <v>65301.93</v>
      </c>
      <c r="M3581" s="3" t="n">
        <v>0.0443</v>
      </c>
      <c r="N3581" s="3" t="n">
        <v>2892.88</v>
      </c>
      <c r="O3581" s="3" t="n">
        <v>62409.05</v>
      </c>
      <c r="P3581" s="3" t="n">
        <v>35916.06</v>
      </c>
      <c r="Q3581" s="3" t="n">
        <v>26492.99</v>
      </c>
      <c r="R3581" s="3" t="n">
        <v>0.4245</v>
      </c>
      <c r="S3581" s="3" t="n">
        <v>0.0411</v>
      </c>
      <c r="T3581" s="3" t="n">
        <v>0.0032</v>
      </c>
    </row>
    <row r="3582" customFormat="false" ht="15" hidden="false" customHeight="true" outlineLevel="0" collapsed="false">
      <c r="A3582" s="3" t="s">
        <v>4723</v>
      </c>
      <c r="B3582" s="3" t="s">
        <v>1150</v>
      </c>
      <c r="C3582" s="3" t="s">
        <v>37</v>
      </c>
      <c r="D3582" s="3" t="s">
        <v>103</v>
      </c>
      <c r="E3582" s="3" t="s">
        <v>24</v>
      </c>
      <c r="F3582" s="3" t="s">
        <v>62</v>
      </c>
      <c r="G3582" s="3" t="s">
        <v>116</v>
      </c>
      <c r="H3582" s="3" t="s">
        <v>42</v>
      </c>
      <c r="I3582" s="3" t="s">
        <v>43</v>
      </c>
      <c r="J3582" s="3" t="n">
        <v>49</v>
      </c>
      <c r="K3582" s="3" t="n">
        <v>3933.4</v>
      </c>
      <c r="L3582" s="3" t="n">
        <v>192736.6</v>
      </c>
      <c r="M3582" s="3" t="n">
        <v>0.1185</v>
      </c>
      <c r="N3582" s="3" t="n">
        <v>22839.29</v>
      </c>
      <c r="O3582" s="3" t="n">
        <v>169897.31</v>
      </c>
      <c r="P3582" s="3" t="n">
        <v>106005.13</v>
      </c>
      <c r="Q3582" s="3" t="n">
        <v>63892.18</v>
      </c>
      <c r="R3582" s="3" t="n">
        <v>0.3761</v>
      </c>
      <c r="S3582" s="3" t="n">
        <v>0.1249</v>
      </c>
      <c r="T3582" s="3" t="n">
        <v>-0.0064</v>
      </c>
    </row>
    <row r="3583" customFormat="false" ht="15" hidden="false" customHeight="true" outlineLevel="0" collapsed="false">
      <c r="A3583" s="3" t="s">
        <v>4724</v>
      </c>
      <c r="B3583" s="3" t="s">
        <v>1057</v>
      </c>
      <c r="C3583" s="3" t="s">
        <v>22</v>
      </c>
      <c r="D3583" s="3" t="s">
        <v>75</v>
      </c>
      <c r="E3583" s="3" t="s">
        <v>39</v>
      </c>
      <c r="F3583" s="3" t="s">
        <v>25</v>
      </c>
      <c r="G3583" s="3" t="s">
        <v>41</v>
      </c>
      <c r="H3583" s="3" t="s">
        <v>77</v>
      </c>
      <c r="I3583" s="3" t="s">
        <v>78</v>
      </c>
      <c r="J3583" s="3" t="n">
        <v>1</v>
      </c>
      <c r="K3583" s="3" t="n">
        <v>3602.35</v>
      </c>
      <c r="L3583" s="3" t="n">
        <v>3602.35</v>
      </c>
      <c r="M3583" s="3" t="n">
        <v>0.2027</v>
      </c>
      <c r="N3583" s="3" t="n">
        <v>730.2</v>
      </c>
      <c r="O3583" s="3" t="n">
        <v>2872.15</v>
      </c>
      <c r="P3583" s="3" t="n">
        <v>2449.6</v>
      </c>
      <c r="Q3583" s="3" t="n">
        <v>422.55</v>
      </c>
      <c r="R3583" s="3" t="n">
        <v>0.1471</v>
      </c>
      <c r="S3583" s="3" t="n">
        <v>0.2015</v>
      </c>
      <c r="T3583" s="3" t="n">
        <v>0.0012</v>
      </c>
    </row>
    <row r="3584" customFormat="false" ht="15" hidden="false" customHeight="true" outlineLevel="0" collapsed="false">
      <c r="A3584" s="3" t="s">
        <v>4725</v>
      </c>
      <c r="B3584" s="3" t="s">
        <v>549</v>
      </c>
      <c r="C3584" s="3" t="s">
        <v>37</v>
      </c>
      <c r="D3584" s="3" t="s">
        <v>83</v>
      </c>
      <c r="E3584" s="3" t="s">
        <v>48</v>
      </c>
      <c r="F3584" s="3" t="s">
        <v>62</v>
      </c>
      <c r="G3584" s="3" t="s">
        <v>76</v>
      </c>
      <c r="H3584" s="3" t="s">
        <v>64</v>
      </c>
      <c r="I3584" s="3" t="s">
        <v>145</v>
      </c>
      <c r="J3584" s="3" t="n">
        <v>43</v>
      </c>
      <c r="K3584" s="3" t="n">
        <v>7148.62</v>
      </c>
      <c r="L3584" s="3" t="n">
        <v>307390.66</v>
      </c>
      <c r="M3584" s="3" t="n">
        <v>0.0692</v>
      </c>
      <c r="N3584" s="3" t="n">
        <v>21271.43</v>
      </c>
      <c r="O3584" s="3" t="n">
        <v>286119.23</v>
      </c>
      <c r="P3584" s="3" t="n">
        <v>178286.58</v>
      </c>
      <c r="Q3584" s="3" t="n">
        <v>107832.65</v>
      </c>
      <c r="R3584" s="3" t="n">
        <v>0.3769</v>
      </c>
      <c r="S3584" s="3" t="n">
        <v>0.0675</v>
      </c>
      <c r="T3584" s="3" t="n">
        <v>0.0017</v>
      </c>
    </row>
    <row r="3585" customFormat="false" ht="15" hidden="false" customHeight="true" outlineLevel="0" collapsed="false">
      <c r="A3585" s="3" t="s">
        <v>4726</v>
      </c>
      <c r="B3585" s="3" t="s">
        <v>3124</v>
      </c>
      <c r="C3585" s="3" t="s">
        <v>60</v>
      </c>
      <c r="D3585" s="3" t="s">
        <v>69</v>
      </c>
      <c r="E3585" s="3" t="s">
        <v>39</v>
      </c>
      <c r="F3585" s="3" t="s">
        <v>70</v>
      </c>
      <c r="G3585" s="3" t="s">
        <v>116</v>
      </c>
      <c r="H3585" s="3" t="s">
        <v>42</v>
      </c>
      <c r="I3585" s="3" t="s">
        <v>72</v>
      </c>
      <c r="J3585" s="3" t="n">
        <v>46</v>
      </c>
      <c r="K3585" s="3" t="n">
        <v>3356.4</v>
      </c>
      <c r="L3585" s="3" t="n">
        <v>154394.4</v>
      </c>
      <c r="M3585" s="3" t="n">
        <v>0.0698</v>
      </c>
      <c r="N3585" s="3" t="n">
        <v>10776.73</v>
      </c>
      <c r="O3585" s="3" t="n">
        <v>143617.67</v>
      </c>
      <c r="P3585" s="3" t="n">
        <v>84916.92</v>
      </c>
      <c r="Q3585" s="3" t="n">
        <v>58700.75</v>
      </c>
      <c r="R3585" s="3" t="n">
        <v>0.4087</v>
      </c>
      <c r="S3585" s="3" t="n">
        <v>0.0647</v>
      </c>
      <c r="T3585" s="3" t="n">
        <v>0.0051</v>
      </c>
    </row>
    <row r="3586" customFormat="false" ht="15" hidden="false" customHeight="true" outlineLevel="0" collapsed="false">
      <c r="A3586" s="3" t="s">
        <v>4727</v>
      </c>
      <c r="B3586" s="3" t="s">
        <v>2299</v>
      </c>
      <c r="C3586" s="3" t="s">
        <v>22</v>
      </c>
      <c r="D3586" s="3" t="s">
        <v>97</v>
      </c>
      <c r="E3586" s="3" t="s">
        <v>48</v>
      </c>
      <c r="F3586" s="3" t="s">
        <v>40</v>
      </c>
      <c r="G3586" s="3" t="s">
        <v>84</v>
      </c>
      <c r="H3586" s="3" t="s">
        <v>56</v>
      </c>
      <c r="I3586" s="3" t="s">
        <v>121</v>
      </c>
      <c r="J3586" s="3" t="n">
        <v>44</v>
      </c>
      <c r="K3586" s="3" t="n">
        <v>13494.91</v>
      </c>
      <c r="L3586" s="3" t="n">
        <v>593776.04</v>
      </c>
      <c r="M3586" s="3" t="n">
        <v>0.0778</v>
      </c>
      <c r="N3586" s="3" t="n">
        <v>46195.78</v>
      </c>
      <c r="O3586" s="3" t="n">
        <v>547580.26</v>
      </c>
      <c r="P3586" s="3" t="n">
        <v>356265.62</v>
      </c>
      <c r="Q3586" s="3" t="n">
        <v>191314.64</v>
      </c>
      <c r="R3586" s="3" t="n">
        <v>0.3494</v>
      </c>
      <c r="S3586" s="3" t="n">
        <v>0.0635</v>
      </c>
      <c r="T3586" s="3" t="n">
        <v>0.0143</v>
      </c>
    </row>
    <row r="3587" customFormat="false" ht="15" hidden="false" customHeight="true" outlineLevel="0" collapsed="false">
      <c r="A3587" s="3" t="s">
        <v>4728</v>
      </c>
      <c r="B3587" s="3" t="s">
        <v>2979</v>
      </c>
      <c r="C3587" s="3" t="s">
        <v>126</v>
      </c>
      <c r="D3587" s="3" t="s">
        <v>83</v>
      </c>
      <c r="E3587" s="3" t="s">
        <v>48</v>
      </c>
      <c r="F3587" s="3" t="s">
        <v>62</v>
      </c>
      <c r="G3587" s="3" t="s">
        <v>100</v>
      </c>
      <c r="H3587" s="3" t="s">
        <v>27</v>
      </c>
      <c r="I3587" s="3" t="s">
        <v>173</v>
      </c>
      <c r="J3587" s="3" t="n">
        <v>7</v>
      </c>
      <c r="K3587" s="3" t="n">
        <v>38910.58</v>
      </c>
      <c r="L3587" s="3" t="n">
        <v>272374.06</v>
      </c>
      <c r="M3587" s="3" t="n">
        <v>0.0363</v>
      </c>
      <c r="N3587" s="3" t="n">
        <v>9887.18</v>
      </c>
      <c r="O3587" s="3" t="n">
        <v>262486.88</v>
      </c>
      <c r="P3587" s="3" t="n">
        <v>168871.92</v>
      </c>
      <c r="Q3587" s="3" t="n">
        <v>93614.96</v>
      </c>
      <c r="R3587" s="3" t="n">
        <v>0.3566</v>
      </c>
      <c r="S3587" s="3" t="n">
        <v>0.0359</v>
      </c>
      <c r="T3587" s="3" t="n">
        <v>0.0004</v>
      </c>
    </row>
    <row r="3588" customFormat="false" ht="15" hidden="false" customHeight="true" outlineLevel="0" collapsed="false">
      <c r="A3588" s="3" t="s">
        <v>4729</v>
      </c>
      <c r="B3588" s="3" t="s">
        <v>217</v>
      </c>
      <c r="C3588" s="3" t="s">
        <v>126</v>
      </c>
      <c r="D3588" s="3" t="s">
        <v>103</v>
      </c>
      <c r="E3588" s="3" t="s">
        <v>24</v>
      </c>
      <c r="F3588" s="3" t="s">
        <v>62</v>
      </c>
      <c r="G3588" s="3" t="s">
        <v>116</v>
      </c>
      <c r="H3588" s="3" t="s">
        <v>77</v>
      </c>
      <c r="I3588" s="3" t="s">
        <v>78</v>
      </c>
      <c r="J3588" s="3" t="n">
        <v>16</v>
      </c>
      <c r="K3588" s="3" t="n">
        <v>4740.8</v>
      </c>
      <c r="L3588" s="3" t="n">
        <v>75852.8</v>
      </c>
      <c r="M3588" s="3" t="n">
        <v>0.0629</v>
      </c>
      <c r="N3588" s="3" t="n">
        <v>4771.14</v>
      </c>
      <c r="O3588" s="3" t="n">
        <v>71081.66</v>
      </c>
      <c r="P3588" s="3" t="n">
        <v>51579.9</v>
      </c>
      <c r="Q3588" s="3" t="n">
        <v>19501.76</v>
      </c>
      <c r="R3588" s="3" t="n">
        <v>0.2744</v>
      </c>
      <c r="S3588" s="3" t="n">
        <v>0.0608</v>
      </c>
      <c r="T3588" s="3" t="n">
        <v>0.0021</v>
      </c>
    </row>
    <row r="3589" customFormat="false" ht="15" hidden="false" customHeight="true" outlineLevel="0" collapsed="false">
      <c r="A3589" s="3" t="s">
        <v>4730</v>
      </c>
      <c r="B3589" s="3" t="s">
        <v>702</v>
      </c>
      <c r="C3589" s="3" t="s">
        <v>53</v>
      </c>
      <c r="D3589" s="3" t="s">
        <v>61</v>
      </c>
      <c r="E3589" s="3" t="s">
        <v>33</v>
      </c>
      <c r="F3589" s="3" t="s">
        <v>62</v>
      </c>
      <c r="G3589" s="3" t="s">
        <v>71</v>
      </c>
      <c r="H3589" s="3" t="s">
        <v>42</v>
      </c>
      <c r="I3589" s="3" t="s">
        <v>43</v>
      </c>
      <c r="J3589" s="3" t="n">
        <v>41</v>
      </c>
      <c r="K3589" s="3" t="n">
        <v>2969.65</v>
      </c>
      <c r="L3589" s="3" t="n">
        <v>121755.65</v>
      </c>
      <c r="M3589" s="3" t="n">
        <v>0.0724</v>
      </c>
      <c r="N3589" s="3" t="n">
        <v>8815.11</v>
      </c>
      <c r="O3589" s="3" t="n">
        <v>112940.54</v>
      </c>
      <c r="P3589" s="3" t="n">
        <v>66965.61</v>
      </c>
      <c r="Q3589" s="3" t="n">
        <v>45974.93</v>
      </c>
      <c r="R3589" s="3" t="n">
        <v>0.4071</v>
      </c>
      <c r="S3589" s="3" t="n">
        <v>0.0647</v>
      </c>
      <c r="T3589" s="3" t="n">
        <v>0.0077</v>
      </c>
    </row>
    <row r="3590" customFormat="false" ht="15" hidden="false" customHeight="true" outlineLevel="0" collapsed="false">
      <c r="A3590" s="3" t="s">
        <v>4731</v>
      </c>
      <c r="B3590" s="3" t="s">
        <v>3980</v>
      </c>
      <c r="C3590" s="3" t="s">
        <v>93</v>
      </c>
      <c r="D3590" s="3" t="s">
        <v>103</v>
      </c>
      <c r="E3590" s="3" t="s">
        <v>24</v>
      </c>
      <c r="F3590" s="3" t="s">
        <v>62</v>
      </c>
      <c r="G3590" s="3" t="s">
        <v>71</v>
      </c>
      <c r="H3590" s="3" t="s">
        <v>64</v>
      </c>
      <c r="I3590" s="3" t="s">
        <v>108</v>
      </c>
      <c r="J3590" s="3" t="n">
        <v>11</v>
      </c>
      <c r="K3590" s="3" t="n">
        <v>4919.41</v>
      </c>
      <c r="L3590" s="3" t="n">
        <v>54113.51</v>
      </c>
      <c r="M3590" s="3" t="n">
        <v>0.0637</v>
      </c>
      <c r="N3590" s="3" t="n">
        <v>3447.03</v>
      </c>
      <c r="O3590" s="3" t="n">
        <v>50666.48</v>
      </c>
      <c r="P3590" s="3" t="n">
        <v>31385.84</v>
      </c>
      <c r="Q3590" s="3" t="n">
        <v>19280.64</v>
      </c>
      <c r="R3590" s="3" t="n">
        <v>0.3805</v>
      </c>
      <c r="S3590" s="3" t="n">
        <v>0.0646</v>
      </c>
      <c r="T3590" s="3" t="n">
        <v>-0.0009</v>
      </c>
    </row>
    <row r="3591" customFormat="false" ht="15" hidden="false" customHeight="true" outlineLevel="0" collapsed="false">
      <c r="A3591" s="3" t="s">
        <v>4732</v>
      </c>
      <c r="B3591" s="3" t="s">
        <v>1180</v>
      </c>
      <c r="C3591" s="3" t="s">
        <v>37</v>
      </c>
      <c r="D3591" s="3" t="s">
        <v>47</v>
      </c>
      <c r="E3591" s="3" t="s">
        <v>48</v>
      </c>
      <c r="F3591" s="3" t="s">
        <v>25</v>
      </c>
      <c r="G3591" s="3" t="s">
        <v>100</v>
      </c>
      <c r="H3591" s="3" t="s">
        <v>77</v>
      </c>
      <c r="I3591" s="3" t="s">
        <v>85</v>
      </c>
      <c r="J3591" s="3" t="n">
        <v>14</v>
      </c>
      <c r="K3591" s="3" t="n">
        <v>1798.53</v>
      </c>
      <c r="L3591" s="3" t="n">
        <v>25179.42</v>
      </c>
      <c r="M3591" s="3" t="n">
        <v>0.0835</v>
      </c>
      <c r="N3591" s="3" t="n">
        <v>2102.48</v>
      </c>
      <c r="O3591" s="3" t="n">
        <v>23076.94</v>
      </c>
      <c r="P3591" s="3" t="n">
        <v>17122.01</v>
      </c>
      <c r="Q3591" s="3" t="n">
        <v>5954.93</v>
      </c>
      <c r="R3591" s="3" t="n">
        <v>0.258</v>
      </c>
      <c r="S3591" s="3" t="n">
        <v>0.0763</v>
      </c>
      <c r="T3591" s="3" t="n">
        <v>0.0072</v>
      </c>
    </row>
    <row r="3592" customFormat="false" ht="15" hidden="false" customHeight="true" outlineLevel="0" collapsed="false">
      <c r="A3592" s="3" t="s">
        <v>4733</v>
      </c>
      <c r="B3592" s="3" t="s">
        <v>1690</v>
      </c>
      <c r="C3592" s="3" t="s">
        <v>22</v>
      </c>
      <c r="D3592" s="3" t="s">
        <v>23</v>
      </c>
      <c r="E3592" s="3" t="s">
        <v>24</v>
      </c>
      <c r="F3592" s="3" t="s">
        <v>25</v>
      </c>
      <c r="G3592" s="3" t="s">
        <v>84</v>
      </c>
      <c r="H3592" s="3" t="s">
        <v>77</v>
      </c>
      <c r="I3592" s="3" t="s">
        <v>85</v>
      </c>
      <c r="J3592" s="3" t="n">
        <v>6</v>
      </c>
      <c r="K3592" s="3" t="n">
        <v>1660.11</v>
      </c>
      <c r="L3592" s="3" t="n">
        <v>9960.66</v>
      </c>
      <c r="M3592" s="3" t="n">
        <v>0.1319</v>
      </c>
      <c r="N3592" s="3" t="n">
        <v>1313.81</v>
      </c>
      <c r="O3592" s="3" t="n">
        <v>8646.85</v>
      </c>
      <c r="P3592" s="3" t="n">
        <v>6773.25</v>
      </c>
      <c r="Q3592" s="3" t="n">
        <v>1873.6</v>
      </c>
      <c r="R3592" s="3" t="n">
        <v>0.2167</v>
      </c>
      <c r="S3592" s="3" t="n">
        <v>0.1386</v>
      </c>
      <c r="T3592" s="3" t="n">
        <v>-0.0067</v>
      </c>
    </row>
    <row r="3593" customFormat="false" ht="15" hidden="false" customHeight="true" outlineLevel="0" collapsed="false">
      <c r="A3593" s="3" t="s">
        <v>4734</v>
      </c>
      <c r="B3593" s="3" t="s">
        <v>1801</v>
      </c>
      <c r="C3593" s="3" t="s">
        <v>93</v>
      </c>
      <c r="D3593" s="3" t="s">
        <v>83</v>
      </c>
      <c r="E3593" s="3" t="s">
        <v>48</v>
      </c>
      <c r="F3593" s="3" t="s">
        <v>62</v>
      </c>
      <c r="G3593" s="3" t="s">
        <v>55</v>
      </c>
      <c r="H3593" s="3" t="s">
        <v>27</v>
      </c>
      <c r="I3593" s="3" t="s">
        <v>94</v>
      </c>
      <c r="J3593" s="3" t="n">
        <v>47</v>
      </c>
      <c r="K3593" s="3" t="n">
        <v>16883.05</v>
      </c>
      <c r="L3593" s="3" t="n">
        <v>793503.35</v>
      </c>
      <c r="M3593" s="3" t="n">
        <v>0.0768</v>
      </c>
      <c r="N3593" s="3" t="n">
        <v>60941.06</v>
      </c>
      <c r="O3593" s="3" t="n">
        <v>732562.29</v>
      </c>
      <c r="P3593" s="3" t="n">
        <v>491972.08</v>
      </c>
      <c r="Q3593" s="3" t="n">
        <v>240590.21</v>
      </c>
      <c r="R3593" s="3" t="n">
        <v>0.3284</v>
      </c>
      <c r="S3593" s="3" t="n">
        <v>0.0782</v>
      </c>
      <c r="T3593" s="3" t="n">
        <v>-0.0014</v>
      </c>
    </row>
    <row r="3594" customFormat="false" ht="15" hidden="false" customHeight="true" outlineLevel="0" collapsed="false">
      <c r="A3594" s="3" t="s">
        <v>4735</v>
      </c>
      <c r="B3594" s="3" t="s">
        <v>140</v>
      </c>
      <c r="C3594" s="3" t="s">
        <v>22</v>
      </c>
      <c r="D3594" s="3" t="s">
        <v>61</v>
      </c>
      <c r="E3594" s="3" t="s">
        <v>33</v>
      </c>
      <c r="F3594" s="3" t="s">
        <v>62</v>
      </c>
      <c r="G3594" s="3" t="s">
        <v>116</v>
      </c>
      <c r="H3594" s="3" t="s">
        <v>27</v>
      </c>
      <c r="I3594" s="3" t="s">
        <v>173</v>
      </c>
      <c r="J3594" s="3" t="n">
        <v>26</v>
      </c>
      <c r="K3594" s="3" t="n">
        <v>10434.13</v>
      </c>
      <c r="L3594" s="3" t="n">
        <v>271287.38</v>
      </c>
      <c r="M3594" s="3" t="n">
        <v>0.0782</v>
      </c>
      <c r="N3594" s="3" t="n">
        <v>21214.67</v>
      </c>
      <c r="O3594" s="3" t="n">
        <v>250072.71</v>
      </c>
      <c r="P3594" s="3" t="n">
        <v>168198.18</v>
      </c>
      <c r="Q3594" s="3" t="n">
        <v>81874.53</v>
      </c>
      <c r="R3594" s="3" t="n">
        <v>0.3274</v>
      </c>
      <c r="S3594" s="3" t="n">
        <v>0.0852</v>
      </c>
      <c r="T3594" s="3" t="n">
        <v>-0.007</v>
      </c>
    </row>
    <row r="3595" customFormat="false" ht="15" hidden="false" customHeight="true" outlineLevel="0" collapsed="false">
      <c r="A3595" s="3" t="s">
        <v>4736</v>
      </c>
      <c r="B3595" s="3" t="s">
        <v>300</v>
      </c>
      <c r="C3595" s="3" t="s">
        <v>126</v>
      </c>
      <c r="D3595" s="3" t="s">
        <v>38</v>
      </c>
      <c r="E3595" s="3" t="s">
        <v>39</v>
      </c>
      <c r="F3595" s="3" t="s">
        <v>40</v>
      </c>
      <c r="G3595" s="3" t="s">
        <v>104</v>
      </c>
      <c r="H3595" s="3" t="s">
        <v>56</v>
      </c>
      <c r="I3595" s="3" t="s">
        <v>188</v>
      </c>
      <c r="J3595" s="3" t="n">
        <v>30</v>
      </c>
      <c r="K3595" s="3" t="n">
        <v>14131.98</v>
      </c>
      <c r="L3595" s="3" t="n">
        <v>423959.4</v>
      </c>
      <c r="M3595" s="3" t="n">
        <v>0.0803</v>
      </c>
      <c r="N3595" s="3" t="n">
        <v>34043.94</v>
      </c>
      <c r="O3595" s="3" t="n">
        <v>389915.46</v>
      </c>
      <c r="P3595" s="3" t="n">
        <v>254375.64</v>
      </c>
      <c r="Q3595" s="3" t="n">
        <v>135539.82</v>
      </c>
      <c r="R3595" s="3" t="n">
        <v>0.3476</v>
      </c>
      <c r="S3595" s="3" t="n">
        <v>0.0853</v>
      </c>
      <c r="T3595" s="3" t="n">
        <v>-0.005</v>
      </c>
    </row>
    <row r="3596" customFormat="false" ht="15" hidden="false" customHeight="true" outlineLevel="0" collapsed="false">
      <c r="A3596" s="3" t="s">
        <v>4737</v>
      </c>
      <c r="B3596" s="3" t="s">
        <v>278</v>
      </c>
      <c r="C3596" s="3" t="s">
        <v>93</v>
      </c>
      <c r="D3596" s="3" t="s">
        <v>83</v>
      </c>
      <c r="E3596" s="3" t="s">
        <v>48</v>
      </c>
      <c r="F3596" s="3" t="s">
        <v>62</v>
      </c>
      <c r="G3596" s="3" t="s">
        <v>26</v>
      </c>
      <c r="H3596" s="3" t="s">
        <v>64</v>
      </c>
      <c r="I3596" s="3" t="s">
        <v>145</v>
      </c>
      <c r="J3596" s="3" t="n">
        <v>32</v>
      </c>
      <c r="K3596" s="3" t="n">
        <v>4662.52</v>
      </c>
      <c r="L3596" s="3" t="n">
        <v>149200.64</v>
      </c>
      <c r="M3596" s="3" t="n">
        <v>0.08</v>
      </c>
      <c r="N3596" s="3" t="n">
        <v>11936.05</v>
      </c>
      <c r="O3596" s="3" t="n">
        <v>137264.59</v>
      </c>
      <c r="P3596" s="3" t="n">
        <v>86536.37</v>
      </c>
      <c r="Q3596" s="3" t="n">
        <v>50728.22</v>
      </c>
      <c r="R3596" s="3" t="n">
        <v>0.3696</v>
      </c>
      <c r="S3596" s="3" t="n">
        <v>0.0873</v>
      </c>
      <c r="T3596" s="3" t="n">
        <v>-0.0073</v>
      </c>
    </row>
    <row r="3597" customFormat="false" ht="15" hidden="false" customHeight="true" outlineLevel="0" collapsed="false">
      <c r="A3597" s="3" t="s">
        <v>4738</v>
      </c>
      <c r="B3597" s="3" t="s">
        <v>1319</v>
      </c>
      <c r="C3597" s="3" t="s">
        <v>60</v>
      </c>
      <c r="D3597" s="3" t="s">
        <v>107</v>
      </c>
      <c r="E3597" s="3" t="s">
        <v>33</v>
      </c>
      <c r="F3597" s="3" t="s">
        <v>70</v>
      </c>
      <c r="G3597" s="3" t="s">
        <v>104</v>
      </c>
      <c r="H3597" s="3" t="s">
        <v>77</v>
      </c>
      <c r="I3597" s="3" t="s">
        <v>78</v>
      </c>
      <c r="J3597" s="3" t="n">
        <v>36</v>
      </c>
      <c r="K3597" s="3" t="n">
        <v>1471.23</v>
      </c>
      <c r="L3597" s="3" t="n">
        <v>52964.28</v>
      </c>
      <c r="M3597" s="3" t="n">
        <v>0.0829</v>
      </c>
      <c r="N3597" s="3" t="n">
        <v>4390.74</v>
      </c>
      <c r="O3597" s="3" t="n">
        <v>48573.54</v>
      </c>
      <c r="P3597" s="3" t="n">
        <v>36015.71</v>
      </c>
      <c r="Q3597" s="3" t="n">
        <v>12557.83</v>
      </c>
      <c r="R3597" s="3" t="n">
        <v>0.2585</v>
      </c>
      <c r="S3597" s="3" t="n">
        <v>0.0748</v>
      </c>
      <c r="T3597" s="3" t="n">
        <v>0.0081</v>
      </c>
    </row>
    <row r="3598" customFormat="false" ht="15" hidden="false" customHeight="true" outlineLevel="0" collapsed="false">
      <c r="A3598" s="3" t="s">
        <v>4739</v>
      </c>
      <c r="B3598" s="3" t="s">
        <v>2988</v>
      </c>
      <c r="C3598" s="3" t="s">
        <v>60</v>
      </c>
      <c r="D3598" s="3" t="s">
        <v>75</v>
      </c>
      <c r="E3598" s="3" t="s">
        <v>39</v>
      </c>
      <c r="F3598" s="3" t="s">
        <v>25</v>
      </c>
      <c r="G3598" s="3" t="s">
        <v>41</v>
      </c>
      <c r="H3598" s="3" t="s">
        <v>42</v>
      </c>
      <c r="I3598" s="3" t="s">
        <v>43</v>
      </c>
      <c r="J3598" s="3" t="n">
        <v>42</v>
      </c>
      <c r="K3598" s="3" t="n">
        <v>802.91</v>
      </c>
      <c r="L3598" s="3" t="n">
        <v>33722.22</v>
      </c>
      <c r="M3598" s="3" t="n">
        <v>0.172</v>
      </c>
      <c r="N3598" s="3" t="n">
        <v>5800.22</v>
      </c>
      <c r="O3598" s="3" t="n">
        <v>27922</v>
      </c>
      <c r="P3598" s="3" t="n">
        <v>18547.22</v>
      </c>
      <c r="Q3598" s="3" t="n">
        <v>9374.78</v>
      </c>
      <c r="R3598" s="3" t="n">
        <v>0.3357</v>
      </c>
      <c r="S3598" s="3" t="n">
        <v>0.1765</v>
      </c>
      <c r="T3598" s="3" t="n">
        <v>-0.0045</v>
      </c>
    </row>
    <row r="3599" customFormat="false" ht="15" hidden="false" customHeight="true" outlineLevel="0" collapsed="false">
      <c r="A3599" s="3" t="s">
        <v>4740</v>
      </c>
      <c r="B3599" s="3" t="s">
        <v>728</v>
      </c>
      <c r="C3599" s="3" t="s">
        <v>156</v>
      </c>
      <c r="D3599" s="3" t="s">
        <v>47</v>
      </c>
      <c r="E3599" s="3" t="s">
        <v>48</v>
      </c>
      <c r="F3599" s="3" t="s">
        <v>25</v>
      </c>
      <c r="G3599" s="3" t="s">
        <v>55</v>
      </c>
      <c r="H3599" s="3" t="s">
        <v>77</v>
      </c>
      <c r="I3599" s="3" t="s">
        <v>85</v>
      </c>
      <c r="J3599" s="3" t="n">
        <v>27</v>
      </c>
      <c r="K3599" s="3" t="n">
        <v>1489.93</v>
      </c>
      <c r="L3599" s="3" t="n">
        <v>40228.11</v>
      </c>
      <c r="M3599" s="3" t="n">
        <v>0.1362</v>
      </c>
      <c r="N3599" s="3" t="n">
        <v>5479.07</v>
      </c>
      <c r="O3599" s="3" t="n">
        <v>34749.04</v>
      </c>
      <c r="P3599" s="3" t="n">
        <v>27355.11</v>
      </c>
      <c r="Q3599" s="3" t="n">
        <v>7393.93</v>
      </c>
      <c r="R3599" s="3" t="n">
        <v>0.2128</v>
      </c>
      <c r="S3599" s="3" t="n">
        <v>0.1151</v>
      </c>
      <c r="T3599" s="3" t="n">
        <v>0.0211</v>
      </c>
    </row>
    <row r="3600" customFormat="false" ht="15" hidden="false" customHeight="true" outlineLevel="0" collapsed="false">
      <c r="A3600" s="3" t="s">
        <v>4741</v>
      </c>
      <c r="B3600" s="3" t="s">
        <v>1302</v>
      </c>
      <c r="C3600" s="3" t="s">
        <v>22</v>
      </c>
      <c r="D3600" s="3" t="s">
        <v>47</v>
      </c>
      <c r="E3600" s="3" t="s">
        <v>48</v>
      </c>
      <c r="F3600" s="3" t="s">
        <v>25</v>
      </c>
      <c r="G3600" s="3" t="s">
        <v>34</v>
      </c>
      <c r="H3600" s="3" t="s">
        <v>42</v>
      </c>
      <c r="I3600" s="3" t="s">
        <v>72</v>
      </c>
      <c r="J3600" s="3" t="n">
        <v>14</v>
      </c>
      <c r="K3600" s="3" t="n">
        <v>2422.6</v>
      </c>
      <c r="L3600" s="3" t="n">
        <v>33916.4</v>
      </c>
      <c r="M3600" s="3" t="n">
        <v>0.1976</v>
      </c>
      <c r="N3600" s="3" t="n">
        <v>6701.88</v>
      </c>
      <c r="O3600" s="3" t="n">
        <v>27214.52</v>
      </c>
      <c r="P3600" s="3" t="n">
        <v>18654.02</v>
      </c>
      <c r="Q3600" s="3" t="n">
        <v>8560.5</v>
      </c>
      <c r="R3600" s="3" t="n">
        <v>0.3146</v>
      </c>
      <c r="S3600" s="3" t="n">
        <v>0.1824</v>
      </c>
      <c r="T3600" s="3" t="n">
        <v>0.0152</v>
      </c>
    </row>
    <row r="3601" customFormat="false" ht="15" hidden="false" customHeight="true" outlineLevel="0" collapsed="false">
      <c r="A3601" s="3" t="s">
        <v>4742</v>
      </c>
      <c r="B3601" s="3" t="s">
        <v>1208</v>
      </c>
      <c r="C3601" s="3" t="s">
        <v>93</v>
      </c>
      <c r="D3601" s="3" t="s">
        <v>47</v>
      </c>
      <c r="E3601" s="3" t="s">
        <v>48</v>
      </c>
      <c r="F3601" s="3" t="s">
        <v>25</v>
      </c>
      <c r="G3601" s="3" t="s">
        <v>116</v>
      </c>
      <c r="H3601" s="3" t="s">
        <v>56</v>
      </c>
      <c r="I3601" s="3" t="s">
        <v>188</v>
      </c>
      <c r="J3601" s="3" t="n">
        <v>1</v>
      </c>
      <c r="K3601" s="3" t="n">
        <v>14296.58</v>
      </c>
      <c r="L3601" s="3" t="n">
        <v>14296.58</v>
      </c>
      <c r="M3601" s="3" t="n">
        <v>0.1863</v>
      </c>
      <c r="N3601" s="3" t="n">
        <v>2663.45</v>
      </c>
      <c r="O3601" s="3" t="n">
        <v>11633.13</v>
      </c>
      <c r="P3601" s="3" t="n">
        <v>8577.95</v>
      </c>
      <c r="Q3601" s="3" t="n">
        <v>3055.18</v>
      </c>
      <c r="R3601" s="3" t="n">
        <v>0.2626</v>
      </c>
      <c r="S3601" s="3" t="n">
        <v>0.1496</v>
      </c>
      <c r="T3601" s="3" t="n">
        <v>0.0367</v>
      </c>
    </row>
    <row r="3602" customFormat="false" ht="15" hidden="false" customHeight="true" outlineLevel="0" collapsed="false">
      <c r="A3602" s="3" t="s">
        <v>4743</v>
      </c>
      <c r="B3602" s="3" t="s">
        <v>2402</v>
      </c>
      <c r="C3602" s="3" t="s">
        <v>22</v>
      </c>
      <c r="D3602" s="3" t="s">
        <v>97</v>
      </c>
      <c r="E3602" s="3" t="s">
        <v>48</v>
      </c>
      <c r="F3602" s="3" t="s">
        <v>40</v>
      </c>
      <c r="G3602" s="3" t="s">
        <v>84</v>
      </c>
      <c r="H3602" s="3" t="s">
        <v>56</v>
      </c>
      <c r="I3602" s="3" t="s">
        <v>188</v>
      </c>
      <c r="J3602" s="3" t="n">
        <v>16</v>
      </c>
      <c r="K3602" s="3" t="n">
        <v>2746.29</v>
      </c>
      <c r="L3602" s="3" t="n">
        <v>43940.64</v>
      </c>
      <c r="M3602" s="3" t="n">
        <v>0.0544</v>
      </c>
      <c r="N3602" s="3" t="n">
        <v>2390.37</v>
      </c>
      <c r="O3602" s="3" t="n">
        <v>41550.27</v>
      </c>
      <c r="P3602" s="3" t="n">
        <v>26364.38</v>
      </c>
      <c r="Q3602" s="3" t="n">
        <v>15185.89</v>
      </c>
      <c r="R3602" s="3" t="n">
        <v>0.3655</v>
      </c>
      <c r="S3602" s="3" t="n">
        <v>0.0521</v>
      </c>
      <c r="T3602" s="3" t="n">
        <v>0.0023</v>
      </c>
    </row>
    <row r="3603" customFormat="false" ht="15" hidden="false" customHeight="true" outlineLevel="0" collapsed="false">
      <c r="A3603" s="3" t="s">
        <v>4744</v>
      </c>
      <c r="B3603" s="3" t="s">
        <v>256</v>
      </c>
      <c r="C3603" s="3" t="s">
        <v>53</v>
      </c>
      <c r="D3603" s="3" t="s">
        <v>107</v>
      </c>
      <c r="E3603" s="3" t="s">
        <v>33</v>
      </c>
      <c r="F3603" s="3" t="s">
        <v>70</v>
      </c>
      <c r="G3603" s="3" t="s">
        <v>26</v>
      </c>
      <c r="H3603" s="3" t="s">
        <v>77</v>
      </c>
      <c r="I3603" s="3" t="s">
        <v>85</v>
      </c>
      <c r="J3603" s="3" t="n">
        <v>49</v>
      </c>
      <c r="K3603" s="3" t="n">
        <v>4865.82</v>
      </c>
      <c r="L3603" s="3" t="n">
        <v>238425.18</v>
      </c>
      <c r="M3603" s="3" t="n">
        <v>0.0704</v>
      </c>
      <c r="N3603" s="3" t="n">
        <v>16785.13</v>
      </c>
      <c r="O3603" s="3" t="n">
        <v>221640.05</v>
      </c>
      <c r="P3603" s="3" t="n">
        <v>162129.12</v>
      </c>
      <c r="Q3603" s="3" t="n">
        <v>59510.93</v>
      </c>
      <c r="R3603" s="3" t="n">
        <v>0.2685</v>
      </c>
      <c r="S3603" s="3" t="n">
        <v>0.0598</v>
      </c>
      <c r="T3603" s="3" t="n">
        <v>0.0106</v>
      </c>
    </row>
    <row r="3604" customFormat="false" ht="15" hidden="false" customHeight="true" outlineLevel="0" collapsed="false">
      <c r="A3604" s="3" t="s">
        <v>4745</v>
      </c>
      <c r="B3604" s="3" t="s">
        <v>345</v>
      </c>
      <c r="C3604" s="3" t="s">
        <v>60</v>
      </c>
      <c r="D3604" s="3" t="s">
        <v>83</v>
      </c>
      <c r="E3604" s="3" t="s">
        <v>48</v>
      </c>
      <c r="F3604" s="3" t="s">
        <v>62</v>
      </c>
      <c r="G3604" s="3" t="s">
        <v>100</v>
      </c>
      <c r="H3604" s="3" t="s">
        <v>27</v>
      </c>
      <c r="I3604" s="3" t="s">
        <v>94</v>
      </c>
      <c r="J3604" s="3" t="n">
        <v>33</v>
      </c>
      <c r="K3604" s="3" t="n">
        <v>15506.51</v>
      </c>
      <c r="L3604" s="3" t="n">
        <v>511714.83</v>
      </c>
      <c r="M3604" s="3" t="n">
        <v>0.0436</v>
      </c>
      <c r="N3604" s="3" t="n">
        <v>22310.77</v>
      </c>
      <c r="O3604" s="3" t="n">
        <v>489404.06</v>
      </c>
      <c r="P3604" s="3" t="n">
        <v>317263.19</v>
      </c>
      <c r="Q3604" s="3" t="n">
        <v>172140.87</v>
      </c>
      <c r="R3604" s="3" t="n">
        <v>0.3517</v>
      </c>
      <c r="S3604" s="3" t="n">
        <v>0.0436</v>
      </c>
      <c r="T3604" s="3" t="n">
        <v>0</v>
      </c>
    </row>
    <row r="3605" customFormat="false" ht="15" hidden="false" customHeight="true" outlineLevel="0" collapsed="false">
      <c r="A3605" s="3" t="s">
        <v>4746</v>
      </c>
      <c r="B3605" s="3" t="s">
        <v>1407</v>
      </c>
      <c r="C3605" s="3" t="s">
        <v>60</v>
      </c>
      <c r="D3605" s="3" t="s">
        <v>97</v>
      </c>
      <c r="E3605" s="3" t="s">
        <v>48</v>
      </c>
      <c r="F3605" s="3" t="s">
        <v>40</v>
      </c>
      <c r="G3605" s="3" t="s">
        <v>26</v>
      </c>
      <c r="H3605" s="3" t="s">
        <v>77</v>
      </c>
      <c r="I3605" s="3" t="s">
        <v>78</v>
      </c>
      <c r="J3605" s="3" t="n">
        <v>29</v>
      </c>
      <c r="K3605" s="3" t="n">
        <v>2661.45</v>
      </c>
      <c r="L3605" s="3" t="n">
        <v>77182.05</v>
      </c>
      <c r="M3605" s="3" t="n">
        <v>0.0733</v>
      </c>
      <c r="N3605" s="3" t="n">
        <v>5657.44</v>
      </c>
      <c r="O3605" s="3" t="n">
        <v>71524.61</v>
      </c>
      <c r="P3605" s="3" t="n">
        <v>52483.79</v>
      </c>
      <c r="Q3605" s="3" t="n">
        <v>19040.82</v>
      </c>
      <c r="R3605" s="3" t="n">
        <v>0.2662</v>
      </c>
      <c r="S3605" s="3" t="n">
        <v>0.0721</v>
      </c>
      <c r="T3605" s="3" t="n">
        <v>0.0012</v>
      </c>
    </row>
    <row r="3606" customFormat="false" ht="15" hidden="false" customHeight="true" outlineLevel="0" collapsed="false">
      <c r="A3606" s="3" t="s">
        <v>4747</v>
      </c>
      <c r="B3606" s="3" t="s">
        <v>722</v>
      </c>
      <c r="C3606" s="3" t="s">
        <v>46</v>
      </c>
      <c r="D3606" s="3" t="s">
        <v>103</v>
      </c>
      <c r="E3606" s="3" t="s">
        <v>24</v>
      </c>
      <c r="F3606" s="3" t="s">
        <v>62</v>
      </c>
      <c r="G3606" s="3" t="s">
        <v>76</v>
      </c>
      <c r="H3606" s="3" t="s">
        <v>27</v>
      </c>
      <c r="I3606" s="3" t="s">
        <v>173</v>
      </c>
      <c r="J3606" s="3" t="n">
        <v>18</v>
      </c>
      <c r="K3606" s="3" t="n">
        <v>29542.32</v>
      </c>
      <c r="L3606" s="3" t="n">
        <v>531761.76</v>
      </c>
      <c r="M3606" s="3" t="n">
        <v>0.0706</v>
      </c>
      <c r="N3606" s="3" t="n">
        <v>37542.38</v>
      </c>
      <c r="O3606" s="3" t="n">
        <v>494219.38</v>
      </c>
      <c r="P3606" s="3" t="n">
        <v>329692.29</v>
      </c>
      <c r="Q3606" s="3" t="n">
        <v>164527.09</v>
      </c>
      <c r="R3606" s="3" t="n">
        <v>0.3329</v>
      </c>
      <c r="S3606" s="3" t="n">
        <v>0.0632</v>
      </c>
      <c r="T3606" s="3" t="n">
        <v>0.0074</v>
      </c>
    </row>
    <row r="3607" customFormat="false" ht="15" hidden="false" customHeight="true" outlineLevel="0" collapsed="false">
      <c r="A3607" s="3" t="s">
        <v>4748</v>
      </c>
      <c r="B3607" s="3" t="s">
        <v>1052</v>
      </c>
      <c r="C3607" s="3" t="s">
        <v>60</v>
      </c>
      <c r="D3607" s="3" t="s">
        <v>75</v>
      </c>
      <c r="E3607" s="3" t="s">
        <v>39</v>
      </c>
      <c r="F3607" s="3" t="s">
        <v>25</v>
      </c>
      <c r="G3607" s="3" t="s">
        <v>63</v>
      </c>
      <c r="H3607" s="3" t="s">
        <v>77</v>
      </c>
      <c r="I3607" s="3" t="s">
        <v>78</v>
      </c>
      <c r="J3607" s="3" t="n">
        <v>18</v>
      </c>
      <c r="K3607" s="3" t="n">
        <v>2930.16</v>
      </c>
      <c r="L3607" s="3" t="n">
        <v>52742.88</v>
      </c>
      <c r="M3607" s="3" t="n">
        <v>0.1223</v>
      </c>
      <c r="N3607" s="3" t="n">
        <v>6450.45</v>
      </c>
      <c r="O3607" s="3" t="n">
        <v>46292.43</v>
      </c>
      <c r="P3607" s="3" t="n">
        <v>35865.16</v>
      </c>
      <c r="Q3607" s="3" t="n">
        <v>10427.27</v>
      </c>
      <c r="R3607" s="3" t="n">
        <v>0.2252</v>
      </c>
      <c r="S3607" s="3" t="n">
        <v>0.1163</v>
      </c>
      <c r="T3607" s="3" t="n">
        <v>0.006</v>
      </c>
    </row>
    <row r="3608" customFormat="false" ht="15" hidden="false" customHeight="true" outlineLevel="0" collapsed="false">
      <c r="A3608" s="3" t="s">
        <v>4749</v>
      </c>
      <c r="B3608" s="3" t="s">
        <v>714</v>
      </c>
      <c r="C3608" s="3" t="s">
        <v>156</v>
      </c>
      <c r="D3608" s="3" t="s">
        <v>83</v>
      </c>
      <c r="E3608" s="3" t="s">
        <v>48</v>
      </c>
      <c r="F3608" s="3" t="s">
        <v>62</v>
      </c>
      <c r="G3608" s="3" t="s">
        <v>84</v>
      </c>
      <c r="H3608" s="3" t="s">
        <v>56</v>
      </c>
      <c r="I3608" s="3" t="s">
        <v>57</v>
      </c>
      <c r="J3608" s="3" t="n">
        <v>23</v>
      </c>
      <c r="K3608" s="3" t="n">
        <v>9626.06</v>
      </c>
      <c r="L3608" s="3" t="n">
        <v>221399.38</v>
      </c>
      <c r="M3608" s="3" t="n">
        <v>0.0302</v>
      </c>
      <c r="N3608" s="3" t="n">
        <v>6686.26</v>
      </c>
      <c r="O3608" s="3" t="n">
        <v>214713.12</v>
      </c>
      <c r="P3608" s="3" t="n">
        <v>132839.63</v>
      </c>
      <c r="Q3608" s="3" t="n">
        <v>81873.49</v>
      </c>
      <c r="R3608" s="3" t="n">
        <v>0.3813</v>
      </c>
      <c r="S3608" s="3" t="n">
        <v>0.0259</v>
      </c>
      <c r="T3608" s="3" t="n">
        <v>0.0043</v>
      </c>
    </row>
    <row r="3609" customFormat="false" ht="15" hidden="false" customHeight="true" outlineLevel="0" collapsed="false">
      <c r="A3609" s="3" t="s">
        <v>4750</v>
      </c>
      <c r="B3609" s="3" t="s">
        <v>580</v>
      </c>
      <c r="C3609" s="3" t="s">
        <v>53</v>
      </c>
      <c r="D3609" s="3" t="s">
        <v>103</v>
      </c>
      <c r="E3609" s="3" t="s">
        <v>24</v>
      </c>
      <c r="F3609" s="3" t="s">
        <v>62</v>
      </c>
      <c r="G3609" s="3" t="s">
        <v>104</v>
      </c>
      <c r="H3609" s="3" t="s">
        <v>64</v>
      </c>
      <c r="I3609" s="3" t="s">
        <v>108</v>
      </c>
      <c r="J3609" s="3" t="n">
        <v>12</v>
      </c>
      <c r="K3609" s="3" t="n">
        <v>4673.12</v>
      </c>
      <c r="L3609" s="3" t="n">
        <v>56077.44</v>
      </c>
      <c r="M3609" s="3" t="n">
        <v>0.1095</v>
      </c>
      <c r="N3609" s="3" t="n">
        <v>6140.48</v>
      </c>
      <c r="O3609" s="3" t="n">
        <v>49936.96</v>
      </c>
      <c r="P3609" s="3" t="n">
        <v>32524.92</v>
      </c>
      <c r="Q3609" s="3" t="n">
        <v>17412.04</v>
      </c>
      <c r="R3609" s="3" t="n">
        <v>0.3487</v>
      </c>
      <c r="S3609" s="3" t="n">
        <v>0.0895</v>
      </c>
      <c r="T3609" s="3" t="n">
        <v>0.02</v>
      </c>
    </row>
    <row r="3610" customFormat="false" ht="15" hidden="false" customHeight="true" outlineLevel="0" collapsed="false">
      <c r="A3610" s="3" t="s">
        <v>4751</v>
      </c>
      <c r="B3610" s="3" t="s">
        <v>2054</v>
      </c>
      <c r="C3610" s="3" t="s">
        <v>156</v>
      </c>
      <c r="D3610" s="3" t="s">
        <v>75</v>
      </c>
      <c r="E3610" s="3" t="s">
        <v>39</v>
      </c>
      <c r="F3610" s="3" t="s">
        <v>25</v>
      </c>
      <c r="G3610" s="3" t="s">
        <v>76</v>
      </c>
      <c r="H3610" s="3" t="s">
        <v>77</v>
      </c>
      <c r="I3610" s="3" t="s">
        <v>85</v>
      </c>
      <c r="J3610" s="3" t="n">
        <v>24</v>
      </c>
      <c r="K3610" s="3" t="n">
        <v>2857.5</v>
      </c>
      <c r="L3610" s="3" t="n">
        <v>68580</v>
      </c>
      <c r="M3610" s="3" t="n">
        <v>0.1354</v>
      </c>
      <c r="N3610" s="3" t="n">
        <v>9285.73</v>
      </c>
      <c r="O3610" s="3" t="n">
        <v>59294.27</v>
      </c>
      <c r="P3610" s="3" t="n">
        <v>46634.4</v>
      </c>
      <c r="Q3610" s="3" t="n">
        <v>12659.87</v>
      </c>
      <c r="R3610" s="3" t="n">
        <v>0.2135</v>
      </c>
      <c r="S3610" s="3" t="n">
        <v>0.1332</v>
      </c>
      <c r="T3610" s="3" t="n">
        <v>0.0022</v>
      </c>
    </row>
    <row r="3611" customFormat="false" ht="15" hidden="false" customHeight="true" outlineLevel="0" collapsed="false">
      <c r="A3611" s="3" t="s">
        <v>4752</v>
      </c>
      <c r="B3611" s="3" t="s">
        <v>3434</v>
      </c>
      <c r="C3611" s="3" t="s">
        <v>53</v>
      </c>
      <c r="D3611" s="3" t="s">
        <v>97</v>
      </c>
      <c r="E3611" s="3" t="s">
        <v>48</v>
      </c>
      <c r="F3611" s="3" t="s">
        <v>40</v>
      </c>
      <c r="G3611" s="3" t="s">
        <v>76</v>
      </c>
      <c r="H3611" s="3" t="s">
        <v>27</v>
      </c>
      <c r="I3611" s="3" t="s">
        <v>173</v>
      </c>
      <c r="J3611" s="3" t="n">
        <v>3</v>
      </c>
      <c r="K3611" s="3" t="n">
        <v>32817.9</v>
      </c>
      <c r="L3611" s="3" t="n">
        <v>98453.7</v>
      </c>
      <c r="M3611" s="3" t="n">
        <v>0.0666</v>
      </c>
      <c r="N3611" s="3" t="n">
        <v>6557.02</v>
      </c>
      <c r="O3611" s="3" t="n">
        <v>91896.68</v>
      </c>
      <c r="P3611" s="3" t="n">
        <v>61041.29</v>
      </c>
      <c r="Q3611" s="3" t="n">
        <v>30855.39</v>
      </c>
      <c r="R3611" s="3" t="n">
        <v>0.3358</v>
      </c>
      <c r="S3611" s="3" t="n">
        <v>0.06</v>
      </c>
      <c r="T3611" s="3" t="n">
        <v>0.0066</v>
      </c>
    </row>
    <row r="3612" customFormat="false" ht="15" hidden="false" customHeight="true" outlineLevel="0" collapsed="false">
      <c r="A3612" s="3" t="s">
        <v>4753</v>
      </c>
      <c r="B3612" s="3" t="s">
        <v>1352</v>
      </c>
      <c r="C3612" s="3" t="s">
        <v>120</v>
      </c>
      <c r="D3612" s="3" t="s">
        <v>47</v>
      </c>
      <c r="E3612" s="3" t="s">
        <v>48</v>
      </c>
      <c r="F3612" s="3" t="s">
        <v>25</v>
      </c>
      <c r="G3612" s="3" t="s">
        <v>41</v>
      </c>
      <c r="H3612" s="3" t="s">
        <v>56</v>
      </c>
      <c r="I3612" s="3" t="s">
        <v>57</v>
      </c>
      <c r="J3612" s="3" t="n">
        <v>18</v>
      </c>
      <c r="K3612" s="3" t="n">
        <v>12356.74</v>
      </c>
      <c r="L3612" s="3" t="n">
        <v>222421.32</v>
      </c>
      <c r="M3612" s="3" t="n">
        <v>0.1875</v>
      </c>
      <c r="N3612" s="3" t="n">
        <v>41704</v>
      </c>
      <c r="O3612" s="3" t="n">
        <v>180717.32</v>
      </c>
      <c r="P3612" s="3" t="n">
        <v>133452.79</v>
      </c>
      <c r="Q3612" s="3" t="n">
        <v>47264.53</v>
      </c>
      <c r="R3612" s="3" t="n">
        <v>0.2615</v>
      </c>
      <c r="S3612" s="3" t="n">
        <v>0.1693</v>
      </c>
      <c r="T3612" s="3" t="n">
        <v>0.0182</v>
      </c>
    </row>
    <row r="3613" customFormat="false" ht="15" hidden="false" customHeight="true" outlineLevel="0" collapsed="false">
      <c r="A3613" s="3" t="s">
        <v>4754</v>
      </c>
      <c r="B3613" s="3" t="s">
        <v>2318</v>
      </c>
      <c r="C3613" s="3" t="s">
        <v>46</v>
      </c>
      <c r="D3613" s="3" t="s">
        <v>107</v>
      </c>
      <c r="E3613" s="3" t="s">
        <v>33</v>
      </c>
      <c r="F3613" s="3" t="s">
        <v>70</v>
      </c>
      <c r="G3613" s="3" t="s">
        <v>71</v>
      </c>
      <c r="H3613" s="3" t="s">
        <v>64</v>
      </c>
      <c r="I3613" s="3" t="s">
        <v>90</v>
      </c>
      <c r="J3613" s="3" t="n">
        <v>2</v>
      </c>
      <c r="K3613" s="3" t="n">
        <v>8172.8</v>
      </c>
      <c r="L3613" s="3" t="n">
        <v>16345.6</v>
      </c>
      <c r="M3613" s="3" t="n">
        <v>0.0331</v>
      </c>
      <c r="N3613" s="3" t="n">
        <v>541.04</v>
      </c>
      <c r="O3613" s="3" t="n">
        <v>15804.56</v>
      </c>
      <c r="P3613" s="3" t="n">
        <v>9480.45</v>
      </c>
      <c r="Q3613" s="3" t="n">
        <v>6324.11</v>
      </c>
      <c r="R3613" s="3" t="n">
        <v>0.4001</v>
      </c>
      <c r="S3613" s="3" t="n">
        <v>0.0348</v>
      </c>
      <c r="T3613" s="3" t="n">
        <v>-0.0017</v>
      </c>
    </row>
    <row r="3614" customFormat="false" ht="15" hidden="false" customHeight="true" outlineLevel="0" collapsed="false">
      <c r="A3614" s="3" t="s">
        <v>4755</v>
      </c>
      <c r="B3614" s="3" t="s">
        <v>4110</v>
      </c>
      <c r="C3614" s="3" t="s">
        <v>68</v>
      </c>
      <c r="D3614" s="3" t="s">
        <v>69</v>
      </c>
      <c r="E3614" s="3" t="s">
        <v>39</v>
      </c>
      <c r="F3614" s="3" t="s">
        <v>70</v>
      </c>
      <c r="G3614" s="3" t="s">
        <v>63</v>
      </c>
      <c r="H3614" s="3" t="s">
        <v>77</v>
      </c>
      <c r="I3614" s="3" t="s">
        <v>85</v>
      </c>
      <c r="J3614" s="3" t="n">
        <v>14</v>
      </c>
      <c r="K3614" s="3" t="n">
        <v>4082.3</v>
      </c>
      <c r="L3614" s="3" t="n">
        <v>57152.2</v>
      </c>
      <c r="M3614" s="3" t="n">
        <v>0.0397</v>
      </c>
      <c r="N3614" s="3" t="n">
        <v>2268.94</v>
      </c>
      <c r="O3614" s="3" t="n">
        <v>54883.26</v>
      </c>
      <c r="P3614" s="3" t="n">
        <v>38863.5</v>
      </c>
      <c r="Q3614" s="3" t="n">
        <v>16019.76</v>
      </c>
      <c r="R3614" s="3" t="n">
        <v>0.2919</v>
      </c>
      <c r="S3614" s="3" t="n">
        <v>0.0369</v>
      </c>
      <c r="T3614" s="3" t="n">
        <v>0.0028</v>
      </c>
    </row>
    <row r="3615" customFormat="false" ht="15" hidden="false" customHeight="true" outlineLevel="0" collapsed="false">
      <c r="A3615" s="3" t="s">
        <v>4756</v>
      </c>
      <c r="B3615" s="3" t="s">
        <v>1375</v>
      </c>
      <c r="C3615" s="3" t="s">
        <v>68</v>
      </c>
      <c r="D3615" s="3" t="s">
        <v>69</v>
      </c>
      <c r="E3615" s="3" t="s">
        <v>39</v>
      </c>
      <c r="F3615" s="3" t="s">
        <v>70</v>
      </c>
      <c r="G3615" s="3" t="s">
        <v>41</v>
      </c>
      <c r="H3615" s="3" t="s">
        <v>42</v>
      </c>
      <c r="I3615" s="3" t="s">
        <v>43</v>
      </c>
      <c r="J3615" s="3" t="n">
        <v>23</v>
      </c>
      <c r="K3615" s="3" t="n">
        <v>2364.77</v>
      </c>
      <c r="L3615" s="3" t="n">
        <v>54389.71</v>
      </c>
      <c r="M3615" s="3" t="n">
        <v>0.0912</v>
      </c>
      <c r="N3615" s="3" t="n">
        <v>4960.34</v>
      </c>
      <c r="O3615" s="3" t="n">
        <v>49429.37</v>
      </c>
      <c r="P3615" s="3" t="n">
        <v>29914.34</v>
      </c>
      <c r="Q3615" s="3" t="n">
        <v>19515.03</v>
      </c>
      <c r="R3615" s="3" t="n">
        <v>0.3948</v>
      </c>
      <c r="S3615" s="3" t="n">
        <v>0.0793</v>
      </c>
      <c r="T3615" s="3" t="n">
        <v>0.0119</v>
      </c>
    </row>
    <row r="3616" customFormat="false" ht="15" hidden="false" customHeight="true" outlineLevel="0" collapsed="false">
      <c r="A3616" s="3" t="s">
        <v>4757</v>
      </c>
      <c r="B3616" s="3" t="s">
        <v>695</v>
      </c>
      <c r="C3616" s="3" t="s">
        <v>156</v>
      </c>
      <c r="D3616" s="3" t="s">
        <v>75</v>
      </c>
      <c r="E3616" s="3" t="s">
        <v>39</v>
      </c>
      <c r="F3616" s="3" t="s">
        <v>25</v>
      </c>
      <c r="G3616" s="3" t="s">
        <v>71</v>
      </c>
      <c r="H3616" s="3" t="s">
        <v>64</v>
      </c>
      <c r="I3616" s="3" t="s">
        <v>90</v>
      </c>
      <c r="J3616" s="3" t="n">
        <v>22</v>
      </c>
      <c r="K3616" s="3" t="n">
        <v>4590.42</v>
      </c>
      <c r="L3616" s="3" t="n">
        <v>100989.24</v>
      </c>
      <c r="M3616" s="3" t="n">
        <v>0.1242</v>
      </c>
      <c r="N3616" s="3" t="n">
        <v>12542.86</v>
      </c>
      <c r="O3616" s="3" t="n">
        <v>88446.38</v>
      </c>
      <c r="P3616" s="3" t="n">
        <v>58573.76</v>
      </c>
      <c r="Q3616" s="3" t="n">
        <v>29872.62</v>
      </c>
      <c r="R3616" s="3" t="n">
        <v>0.3377</v>
      </c>
      <c r="S3616" s="3" t="n">
        <v>0.108</v>
      </c>
      <c r="T3616" s="3" t="n">
        <v>0.0162</v>
      </c>
    </row>
    <row r="3617" customFormat="false" ht="15" hidden="false" customHeight="true" outlineLevel="0" collapsed="false">
      <c r="A3617" s="3" t="s">
        <v>4758</v>
      </c>
      <c r="B3617" s="3" t="s">
        <v>1112</v>
      </c>
      <c r="C3617" s="3" t="s">
        <v>37</v>
      </c>
      <c r="D3617" s="3" t="s">
        <v>69</v>
      </c>
      <c r="E3617" s="3" t="s">
        <v>39</v>
      </c>
      <c r="F3617" s="3" t="s">
        <v>70</v>
      </c>
      <c r="G3617" s="3" t="s">
        <v>26</v>
      </c>
      <c r="H3617" s="3" t="s">
        <v>77</v>
      </c>
      <c r="I3617" s="3" t="s">
        <v>85</v>
      </c>
      <c r="J3617" s="3" t="n">
        <v>4</v>
      </c>
      <c r="K3617" s="3" t="n">
        <v>4629.03</v>
      </c>
      <c r="L3617" s="3" t="n">
        <v>18516.12</v>
      </c>
      <c r="M3617" s="3" t="n">
        <v>0.0303</v>
      </c>
      <c r="N3617" s="3" t="n">
        <v>561.04</v>
      </c>
      <c r="O3617" s="3" t="n">
        <v>17955.08</v>
      </c>
      <c r="P3617" s="3" t="n">
        <v>12590.96</v>
      </c>
      <c r="Q3617" s="3" t="n">
        <v>5364.12</v>
      </c>
      <c r="R3617" s="3" t="n">
        <v>0.2988</v>
      </c>
      <c r="S3617" s="3" t="n">
        <v>0.0256</v>
      </c>
      <c r="T3617" s="3" t="n">
        <v>0.0047</v>
      </c>
    </row>
    <row r="3618" customFormat="false" ht="15" hidden="false" customHeight="true" outlineLevel="0" collapsed="false">
      <c r="A3618" s="3" t="s">
        <v>4759</v>
      </c>
      <c r="B3618" s="3" t="s">
        <v>885</v>
      </c>
      <c r="C3618" s="3" t="s">
        <v>113</v>
      </c>
      <c r="D3618" s="3" t="s">
        <v>69</v>
      </c>
      <c r="E3618" s="3" t="s">
        <v>39</v>
      </c>
      <c r="F3618" s="3" t="s">
        <v>70</v>
      </c>
      <c r="G3618" s="3" t="s">
        <v>34</v>
      </c>
      <c r="H3618" s="3" t="s">
        <v>42</v>
      </c>
      <c r="I3618" s="3" t="s">
        <v>43</v>
      </c>
      <c r="J3618" s="3" t="n">
        <v>1</v>
      </c>
      <c r="K3618" s="3" t="n">
        <v>3100.72</v>
      </c>
      <c r="L3618" s="3" t="n">
        <v>3100.72</v>
      </c>
      <c r="M3618" s="3" t="n">
        <v>0.071</v>
      </c>
      <c r="N3618" s="3" t="n">
        <v>220.15</v>
      </c>
      <c r="O3618" s="3" t="n">
        <v>2880.57</v>
      </c>
      <c r="P3618" s="3" t="n">
        <v>1705.4</v>
      </c>
      <c r="Q3618" s="3" t="n">
        <v>1175.17</v>
      </c>
      <c r="R3618" s="3" t="n">
        <v>0.408</v>
      </c>
      <c r="S3618" s="3" t="n">
        <v>0.0713</v>
      </c>
      <c r="T3618" s="3" t="n">
        <v>-0.0003</v>
      </c>
    </row>
    <row r="3619" customFormat="false" ht="15" hidden="false" customHeight="true" outlineLevel="0" collapsed="false">
      <c r="A3619" s="3" t="s">
        <v>4760</v>
      </c>
      <c r="B3619" s="3" t="s">
        <v>840</v>
      </c>
      <c r="C3619" s="3" t="s">
        <v>46</v>
      </c>
      <c r="D3619" s="3" t="s">
        <v>23</v>
      </c>
      <c r="E3619" s="3" t="s">
        <v>24</v>
      </c>
      <c r="F3619" s="3" t="s">
        <v>25</v>
      </c>
      <c r="G3619" s="3" t="s">
        <v>34</v>
      </c>
      <c r="H3619" s="3" t="s">
        <v>56</v>
      </c>
      <c r="I3619" s="3" t="s">
        <v>121</v>
      </c>
      <c r="J3619" s="3" t="n">
        <v>24</v>
      </c>
      <c r="K3619" s="3" t="n">
        <v>10534</v>
      </c>
      <c r="L3619" s="3" t="n">
        <v>252816</v>
      </c>
      <c r="M3619" s="3" t="n">
        <v>0.1745</v>
      </c>
      <c r="N3619" s="3" t="n">
        <v>44116.39</v>
      </c>
      <c r="O3619" s="3" t="n">
        <v>208699.61</v>
      </c>
      <c r="P3619" s="3" t="n">
        <v>151689.6</v>
      </c>
      <c r="Q3619" s="3" t="n">
        <v>57010.01</v>
      </c>
      <c r="R3619" s="3" t="n">
        <v>0.2732</v>
      </c>
      <c r="S3619" s="3" t="n">
        <v>0.1734</v>
      </c>
      <c r="T3619" s="3" t="n">
        <v>0.0011</v>
      </c>
    </row>
    <row r="3620" customFormat="false" ht="15" hidden="false" customHeight="true" outlineLevel="0" collapsed="false">
      <c r="A3620" s="3" t="s">
        <v>4761</v>
      </c>
      <c r="B3620" s="3" t="s">
        <v>1941</v>
      </c>
      <c r="C3620" s="3" t="s">
        <v>46</v>
      </c>
      <c r="D3620" s="3" t="s">
        <v>107</v>
      </c>
      <c r="E3620" s="3" t="s">
        <v>33</v>
      </c>
      <c r="F3620" s="3" t="s">
        <v>70</v>
      </c>
      <c r="G3620" s="3" t="s">
        <v>84</v>
      </c>
      <c r="H3620" s="3" t="s">
        <v>27</v>
      </c>
      <c r="I3620" s="3" t="s">
        <v>50</v>
      </c>
      <c r="J3620" s="3" t="n">
        <v>7</v>
      </c>
      <c r="K3620" s="3" t="n">
        <v>15011.86</v>
      </c>
      <c r="L3620" s="3" t="n">
        <v>105083.02</v>
      </c>
      <c r="M3620" s="3" t="n">
        <v>0.0596</v>
      </c>
      <c r="N3620" s="3" t="n">
        <v>6262.95</v>
      </c>
      <c r="O3620" s="3" t="n">
        <v>98820.07</v>
      </c>
      <c r="P3620" s="3" t="n">
        <v>65151.47</v>
      </c>
      <c r="Q3620" s="3" t="n">
        <v>33668.6</v>
      </c>
      <c r="R3620" s="3" t="n">
        <v>0.3407</v>
      </c>
      <c r="S3620" s="3" t="n">
        <v>0.0612</v>
      </c>
      <c r="T3620" s="3" t="n">
        <v>-0.0016</v>
      </c>
    </row>
    <row r="3621" customFormat="false" ht="15" hidden="false" customHeight="true" outlineLevel="0" collapsed="false">
      <c r="A3621" s="3" t="s">
        <v>4762</v>
      </c>
      <c r="B3621" s="3" t="s">
        <v>4468</v>
      </c>
      <c r="C3621" s="3" t="s">
        <v>46</v>
      </c>
      <c r="D3621" s="3" t="s">
        <v>23</v>
      </c>
      <c r="E3621" s="3" t="s">
        <v>24</v>
      </c>
      <c r="F3621" s="3" t="s">
        <v>25</v>
      </c>
      <c r="G3621" s="3" t="s">
        <v>63</v>
      </c>
      <c r="H3621" s="3" t="s">
        <v>27</v>
      </c>
      <c r="I3621" s="3" t="s">
        <v>173</v>
      </c>
      <c r="J3621" s="3" t="n">
        <v>25</v>
      </c>
      <c r="K3621" s="3" t="n">
        <v>26283.74</v>
      </c>
      <c r="L3621" s="3" t="n">
        <v>657093.5</v>
      </c>
      <c r="M3621" s="3" t="n">
        <v>0.1685</v>
      </c>
      <c r="N3621" s="3" t="n">
        <v>110720.25</v>
      </c>
      <c r="O3621" s="3" t="n">
        <v>546373.25</v>
      </c>
      <c r="P3621" s="3" t="n">
        <v>407397.97</v>
      </c>
      <c r="Q3621" s="3" t="n">
        <v>138975.28</v>
      </c>
      <c r="R3621" s="3" t="n">
        <v>0.2544</v>
      </c>
      <c r="S3621" s="3" t="n">
        <v>0.1498</v>
      </c>
      <c r="T3621" s="3" t="n">
        <v>0.0187</v>
      </c>
    </row>
    <row r="3622" customFormat="false" ht="15" hidden="false" customHeight="true" outlineLevel="0" collapsed="false">
      <c r="A3622" s="3" t="s">
        <v>4763</v>
      </c>
      <c r="B3622" s="3" t="s">
        <v>4764</v>
      </c>
      <c r="C3622" s="3" t="s">
        <v>46</v>
      </c>
      <c r="D3622" s="3" t="s">
        <v>97</v>
      </c>
      <c r="E3622" s="3" t="s">
        <v>48</v>
      </c>
      <c r="F3622" s="3" t="s">
        <v>40</v>
      </c>
      <c r="G3622" s="3" t="s">
        <v>76</v>
      </c>
      <c r="H3622" s="3" t="s">
        <v>42</v>
      </c>
      <c r="I3622" s="3" t="s">
        <v>134</v>
      </c>
      <c r="J3622" s="3" t="n">
        <v>45</v>
      </c>
      <c r="K3622" s="3" t="n">
        <v>3047.67</v>
      </c>
      <c r="L3622" s="3" t="n">
        <v>137145.15</v>
      </c>
      <c r="M3622" s="3" t="n">
        <v>0.0372</v>
      </c>
      <c r="N3622" s="3" t="n">
        <v>5101.8</v>
      </c>
      <c r="O3622" s="3" t="n">
        <v>132043.35</v>
      </c>
      <c r="P3622" s="3" t="n">
        <v>75429.83</v>
      </c>
      <c r="Q3622" s="3" t="n">
        <v>56613.52</v>
      </c>
      <c r="R3622" s="3" t="n">
        <v>0.4287</v>
      </c>
      <c r="S3622" s="3" t="n">
        <v>0.0352</v>
      </c>
      <c r="T3622" s="3" t="n">
        <v>0.002</v>
      </c>
    </row>
    <row r="3623" customFormat="false" ht="15" hidden="false" customHeight="true" outlineLevel="0" collapsed="false">
      <c r="A3623" s="3" t="s">
        <v>4765</v>
      </c>
      <c r="B3623" s="3" t="s">
        <v>4766</v>
      </c>
      <c r="C3623" s="3" t="s">
        <v>156</v>
      </c>
      <c r="D3623" s="3" t="s">
        <v>97</v>
      </c>
      <c r="E3623" s="3" t="s">
        <v>48</v>
      </c>
      <c r="F3623" s="3" t="s">
        <v>40</v>
      </c>
      <c r="G3623" s="3" t="s">
        <v>84</v>
      </c>
      <c r="H3623" s="3" t="s">
        <v>56</v>
      </c>
      <c r="I3623" s="3" t="s">
        <v>188</v>
      </c>
      <c r="J3623" s="3" t="n">
        <v>11</v>
      </c>
      <c r="K3623" s="3" t="n">
        <v>11931.58</v>
      </c>
      <c r="L3623" s="3" t="n">
        <v>131247.38</v>
      </c>
      <c r="M3623" s="3" t="n">
        <v>0.0518</v>
      </c>
      <c r="N3623" s="3" t="n">
        <v>6798.61</v>
      </c>
      <c r="O3623" s="3" t="n">
        <v>124448.77</v>
      </c>
      <c r="P3623" s="3" t="n">
        <v>78748.43</v>
      </c>
      <c r="Q3623" s="3" t="n">
        <v>45700.34</v>
      </c>
      <c r="R3623" s="3" t="n">
        <v>0.3672</v>
      </c>
      <c r="S3623" s="3" t="n">
        <v>0.0464</v>
      </c>
      <c r="T3623" s="3" t="n">
        <v>0.0054</v>
      </c>
    </row>
    <row r="3624" customFormat="false" ht="15" hidden="false" customHeight="true" outlineLevel="0" collapsed="false">
      <c r="A3624" s="3" t="s">
        <v>4767</v>
      </c>
      <c r="B3624" s="3" t="s">
        <v>1307</v>
      </c>
      <c r="C3624" s="3" t="s">
        <v>113</v>
      </c>
      <c r="D3624" s="3" t="s">
        <v>97</v>
      </c>
      <c r="E3624" s="3" t="s">
        <v>48</v>
      </c>
      <c r="F3624" s="3" t="s">
        <v>40</v>
      </c>
      <c r="G3624" s="3" t="s">
        <v>34</v>
      </c>
      <c r="H3624" s="3" t="s">
        <v>64</v>
      </c>
      <c r="I3624" s="3" t="s">
        <v>90</v>
      </c>
      <c r="J3624" s="3" t="n">
        <v>39</v>
      </c>
      <c r="K3624" s="3" t="n">
        <v>8829.24</v>
      </c>
      <c r="L3624" s="3" t="n">
        <v>344340.36</v>
      </c>
      <c r="M3624" s="3" t="n">
        <v>0.0926</v>
      </c>
      <c r="N3624" s="3" t="n">
        <v>31885.92</v>
      </c>
      <c r="O3624" s="3" t="n">
        <v>312454.44</v>
      </c>
      <c r="P3624" s="3" t="n">
        <v>199717.41</v>
      </c>
      <c r="Q3624" s="3" t="n">
        <v>112737.03</v>
      </c>
      <c r="R3624" s="3" t="n">
        <v>0.3608</v>
      </c>
      <c r="S3624" s="3" t="n">
        <v>0.0814</v>
      </c>
      <c r="T3624" s="3" t="n">
        <v>0.0112</v>
      </c>
    </row>
    <row r="3625" customFormat="false" ht="15" hidden="false" customHeight="true" outlineLevel="0" collapsed="false">
      <c r="A3625" s="3" t="s">
        <v>4768</v>
      </c>
      <c r="B3625" s="3" t="s">
        <v>2003</v>
      </c>
      <c r="C3625" s="3" t="s">
        <v>93</v>
      </c>
      <c r="D3625" s="3" t="s">
        <v>75</v>
      </c>
      <c r="E3625" s="3" t="s">
        <v>39</v>
      </c>
      <c r="F3625" s="3" t="s">
        <v>25</v>
      </c>
      <c r="G3625" s="3" t="s">
        <v>34</v>
      </c>
      <c r="H3625" s="3" t="s">
        <v>56</v>
      </c>
      <c r="I3625" s="3" t="s">
        <v>121</v>
      </c>
      <c r="J3625" s="3" t="n">
        <v>37</v>
      </c>
      <c r="K3625" s="3" t="n">
        <v>12170.55</v>
      </c>
      <c r="L3625" s="3" t="n">
        <v>450310.35</v>
      </c>
      <c r="M3625" s="3" t="n">
        <v>0.1647</v>
      </c>
      <c r="N3625" s="3" t="n">
        <v>74166.11</v>
      </c>
      <c r="O3625" s="3" t="n">
        <v>376144.24</v>
      </c>
      <c r="P3625" s="3" t="n">
        <v>270186.21</v>
      </c>
      <c r="Q3625" s="3" t="n">
        <v>105958.03</v>
      </c>
      <c r="R3625" s="3" t="n">
        <v>0.2817</v>
      </c>
      <c r="S3625" s="3" t="n">
        <v>0.1769</v>
      </c>
      <c r="T3625" s="3" t="n">
        <v>-0.0122</v>
      </c>
    </row>
    <row r="3626" customFormat="false" ht="15" hidden="false" customHeight="true" outlineLevel="0" collapsed="false">
      <c r="A3626" s="3" t="s">
        <v>4769</v>
      </c>
      <c r="B3626" s="3" t="s">
        <v>2833</v>
      </c>
      <c r="C3626" s="3" t="s">
        <v>120</v>
      </c>
      <c r="D3626" s="3" t="s">
        <v>23</v>
      </c>
      <c r="E3626" s="3" t="s">
        <v>24</v>
      </c>
      <c r="F3626" s="3" t="s">
        <v>25</v>
      </c>
      <c r="G3626" s="3" t="s">
        <v>71</v>
      </c>
      <c r="H3626" s="3" t="s">
        <v>56</v>
      </c>
      <c r="I3626" s="3" t="s">
        <v>188</v>
      </c>
      <c r="J3626" s="3" t="n">
        <v>45</v>
      </c>
      <c r="K3626" s="3" t="n">
        <v>5379.63</v>
      </c>
      <c r="L3626" s="3" t="n">
        <v>242083.35</v>
      </c>
      <c r="M3626" s="3" t="n">
        <v>0.1077</v>
      </c>
      <c r="N3626" s="3" t="n">
        <v>26072.38</v>
      </c>
      <c r="O3626" s="3" t="n">
        <v>216010.97</v>
      </c>
      <c r="P3626" s="3" t="n">
        <v>145250.01</v>
      </c>
      <c r="Q3626" s="3" t="n">
        <v>70760.96</v>
      </c>
      <c r="R3626" s="3" t="n">
        <v>0.3276</v>
      </c>
      <c r="S3626" s="3" t="n">
        <v>0.1053</v>
      </c>
      <c r="T3626" s="3" t="n">
        <v>0.0024</v>
      </c>
    </row>
    <row r="3627" customFormat="false" ht="15" hidden="false" customHeight="true" outlineLevel="0" collapsed="false">
      <c r="A3627" s="3" t="s">
        <v>4770</v>
      </c>
      <c r="B3627" s="3" t="s">
        <v>4766</v>
      </c>
      <c r="C3627" s="3" t="s">
        <v>156</v>
      </c>
      <c r="D3627" s="3" t="s">
        <v>103</v>
      </c>
      <c r="E3627" s="3" t="s">
        <v>24</v>
      </c>
      <c r="F3627" s="3" t="s">
        <v>62</v>
      </c>
      <c r="G3627" s="3" t="s">
        <v>63</v>
      </c>
      <c r="H3627" s="3" t="s">
        <v>56</v>
      </c>
      <c r="I3627" s="3" t="s">
        <v>121</v>
      </c>
      <c r="J3627" s="3" t="n">
        <v>24</v>
      </c>
      <c r="K3627" s="3" t="n">
        <v>17423.23</v>
      </c>
      <c r="L3627" s="3" t="n">
        <v>418157.52</v>
      </c>
      <c r="M3627" s="3" t="n">
        <v>0.069</v>
      </c>
      <c r="N3627" s="3" t="n">
        <v>28852.87</v>
      </c>
      <c r="O3627" s="3" t="n">
        <v>389304.65</v>
      </c>
      <c r="P3627" s="3" t="n">
        <v>250894.51</v>
      </c>
      <c r="Q3627" s="3" t="n">
        <v>138410.14</v>
      </c>
      <c r="R3627" s="3" t="n">
        <v>0.3555</v>
      </c>
      <c r="S3627" s="3" t="n">
        <v>0.0578</v>
      </c>
      <c r="T3627" s="3" t="n">
        <v>0.0112</v>
      </c>
    </row>
    <row r="3628" customFormat="false" ht="15" hidden="false" customHeight="true" outlineLevel="0" collapsed="false">
      <c r="A3628" s="3" t="s">
        <v>4771</v>
      </c>
      <c r="B3628" s="3" t="s">
        <v>1405</v>
      </c>
      <c r="C3628" s="3" t="s">
        <v>156</v>
      </c>
      <c r="D3628" s="3" t="s">
        <v>32</v>
      </c>
      <c r="E3628" s="3" t="s">
        <v>33</v>
      </c>
      <c r="F3628" s="3" t="s">
        <v>25</v>
      </c>
      <c r="G3628" s="3" t="s">
        <v>63</v>
      </c>
      <c r="H3628" s="3" t="s">
        <v>77</v>
      </c>
      <c r="I3628" s="3" t="s">
        <v>78</v>
      </c>
      <c r="J3628" s="3" t="n">
        <v>48</v>
      </c>
      <c r="K3628" s="3" t="n">
        <v>5409.36</v>
      </c>
      <c r="L3628" s="3" t="n">
        <v>259649.28</v>
      </c>
      <c r="M3628" s="3" t="n">
        <v>0.1349</v>
      </c>
      <c r="N3628" s="3" t="n">
        <v>35026.69</v>
      </c>
      <c r="O3628" s="3" t="n">
        <v>224622.59</v>
      </c>
      <c r="P3628" s="3" t="n">
        <v>176561.51</v>
      </c>
      <c r="Q3628" s="3" t="n">
        <v>48061.08</v>
      </c>
      <c r="R3628" s="3" t="n">
        <v>0.214</v>
      </c>
      <c r="S3628" s="3" t="n">
        <v>0.1242</v>
      </c>
      <c r="T3628" s="3" t="n">
        <v>0.0107</v>
      </c>
    </row>
    <row r="3629" customFormat="false" ht="15" hidden="false" customHeight="true" outlineLevel="0" collapsed="false">
      <c r="A3629" s="3" t="s">
        <v>4772</v>
      </c>
      <c r="B3629" s="3" t="s">
        <v>1545</v>
      </c>
      <c r="C3629" s="3" t="s">
        <v>68</v>
      </c>
      <c r="D3629" s="3" t="s">
        <v>83</v>
      </c>
      <c r="E3629" s="3" t="s">
        <v>48</v>
      </c>
      <c r="F3629" s="3" t="s">
        <v>62</v>
      </c>
      <c r="G3629" s="3" t="s">
        <v>84</v>
      </c>
      <c r="H3629" s="3" t="s">
        <v>64</v>
      </c>
      <c r="I3629" s="3" t="s">
        <v>145</v>
      </c>
      <c r="J3629" s="3" t="n">
        <v>6</v>
      </c>
      <c r="K3629" s="3" t="n">
        <v>6757.96</v>
      </c>
      <c r="L3629" s="3" t="n">
        <v>40547.76</v>
      </c>
      <c r="M3629" s="3" t="n">
        <v>0.0735</v>
      </c>
      <c r="N3629" s="3" t="n">
        <v>2980.26</v>
      </c>
      <c r="O3629" s="3" t="n">
        <v>37567.5</v>
      </c>
      <c r="P3629" s="3" t="n">
        <v>23517.7</v>
      </c>
      <c r="Q3629" s="3" t="n">
        <v>14049.8</v>
      </c>
      <c r="R3629" s="3" t="n">
        <v>0.374</v>
      </c>
      <c r="S3629" s="3" t="n">
        <v>0.0683</v>
      </c>
      <c r="T3629" s="3" t="n">
        <v>0.0052</v>
      </c>
    </row>
    <row r="3630" customFormat="false" ht="15" hidden="false" customHeight="true" outlineLevel="0" collapsed="false">
      <c r="A3630" s="3" t="s">
        <v>4773</v>
      </c>
      <c r="B3630" s="3" t="s">
        <v>106</v>
      </c>
      <c r="C3630" s="3" t="s">
        <v>68</v>
      </c>
      <c r="D3630" s="3" t="s">
        <v>75</v>
      </c>
      <c r="E3630" s="3" t="s">
        <v>39</v>
      </c>
      <c r="F3630" s="3" t="s">
        <v>25</v>
      </c>
      <c r="G3630" s="3" t="s">
        <v>49</v>
      </c>
      <c r="H3630" s="3" t="s">
        <v>56</v>
      </c>
      <c r="I3630" s="3" t="s">
        <v>121</v>
      </c>
      <c r="J3630" s="3" t="n">
        <v>6</v>
      </c>
      <c r="K3630" s="3" t="n">
        <v>13586.54</v>
      </c>
      <c r="L3630" s="3" t="n">
        <v>81519.24</v>
      </c>
      <c r="M3630" s="3" t="n">
        <v>0.1146</v>
      </c>
      <c r="N3630" s="3" t="n">
        <v>9342.1</v>
      </c>
      <c r="O3630" s="3" t="n">
        <v>72177.14</v>
      </c>
      <c r="P3630" s="3" t="n">
        <v>48911.54</v>
      </c>
      <c r="Q3630" s="3" t="n">
        <v>23265.6</v>
      </c>
      <c r="R3630" s="3" t="n">
        <v>0.3223</v>
      </c>
      <c r="S3630" s="3" t="n">
        <v>0.1032</v>
      </c>
      <c r="T3630" s="3" t="n">
        <v>0.0114</v>
      </c>
    </row>
    <row r="3631" customFormat="false" ht="15" hidden="false" customHeight="true" outlineLevel="0" collapsed="false">
      <c r="A3631" s="3" t="s">
        <v>4774</v>
      </c>
      <c r="B3631" s="3" t="s">
        <v>351</v>
      </c>
      <c r="C3631" s="3" t="s">
        <v>46</v>
      </c>
      <c r="D3631" s="3" t="s">
        <v>54</v>
      </c>
      <c r="E3631" s="3" t="s">
        <v>24</v>
      </c>
      <c r="F3631" s="3" t="s">
        <v>40</v>
      </c>
      <c r="G3631" s="3" t="s">
        <v>63</v>
      </c>
      <c r="H3631" s="3" t="s">
        <v>64</v>
      </c>
      <c r="I3631" s="3" t="s">
        <v>90</v>
      </c>
      <c r="J3631" s="3" t="n">
        <v>7</v>
      </c>
      <c r="K3631" s="3" t="n">
        <v>4520.07</v>
      </c>
      <c r="L3631" s="3" t="n">
        <v>31640.49</v>
      </c>
      <c r="M3631" s="3" t="n">
        <v>0.0463</v>
      </c>
      <c r="N3631" s="3" t="n">
        <v>1464.95</v>
      </c>
      <c r="O3631" s="3" t="n">
        <v>30175.54</v>
      </c>
      <c r="P3631" s="3" t="n">
        <v>18351.48</v>
      </c>
      <c r="Q3631" s="3" t="n">
        <v>11824.06</v>
      </c>
      <c r="R3631" s="3" t="n">
        <v>0.3918</v>
      </c>
      <c r="S3631" s="3" t="n">
        <v>0.0404</v>
      </c>
      <c r="T3631" s="3" t="n">
        <v>0.0059</v>
      </c>
    </row>
    <row r="3632" customFormat="false" ht="15" hidden="false" customHeight="true" outlineLevel="0" collapsed="false">
      <c r="A3632" s="3" t="s">
        <v>4775</v>
      </c>
      <c r="B3632" s="3" t="s">
        <v>258</v>
      </c>
      <c r="C3632" s="3" t="s">
        <v>126</v>
      </c>
      <c r="D3632" s="3" t="s">
        <v>23</v>
      </c>
      <c r="E3632" s="3" t="s">
        <v>24</v>
      </c>
      <c r="F3632" s="3" t="s">
        <v>25</v>
      </c>
      <c r="G3632" s="3" t="s">
        <v>34</v>
      </c>
      <c r="H3632" s="3" t="s">
        <v>77</v>
      </c>
      <c r="I3632" s="3" t="s">
        <v>78</v>
      </c>
      <c r="J3632" s="3" t="n">
        <v>27</v>
      </c>
      <c r="K3632" s="3" t="n">
        <v>3949.25</v>
      </c>
      <c r="L3632" s="3" t="n">
        <v>106629.75</v>
      </c>
      <c r="M3632" s="3" t="n">
        <v>0.1743</v>
      </c>
      <c r="N3632" s="3" t="n">
        <v>18585.57</v>
      </c>
      <c r="O3632" s="3" t="n">
        <v>88044.18</v>
      </c>
      <c r="P3632" s="3" t="n">
        <v>72508.23</v>
      </c>
      <c r="Q3632" s="3" t="n">
        <v>15535.95</v>
      </c>
      <c r="R3632" s="3" t="n">
        <v>0.1765</v>
      </c>
      <c r="S3632" s="3" t="n">
        <v>0.1398</v>
      </c>
      <c r="T3632" s="3" t="n">
        <v>0.0345</v>
      </c>
    </row>
    <row r="3633" customFormat="false" ht="15" hidden="false" customHeight="true" outlineLevel="0" collapsed="false">
      <c r="A3633" s="3" t="s">
        <v>4776</v>
      </c>
      <c r="B3633" s="3" t="s">
        <v>1183</v>
      </c>
      <c r="C3633" s="3" t="s">
        <v>31</v>
      </c>
      <c r="D3633" s="3" t="s">
        <v>107</v>
      </c>
      <c r="E3633" s="3" t="s">
        <v>33</v>
      </c>
      <c r="F3633" s="3" t="s">
        <v>70</v>
      </c>
      <c r="G3633" s="3" t="s">
        <v>49</v>
      </c>
      <c r="H3633" s="3" t="s">
        <v>56</v>
      </c>
      <c r="I3633" s="3" t="s">
        <v>57</v>
      </c>
      <c r="J3633" s="3" t="n">
        <v>19</v>
      </c>
      <c r="K3633" s="3" t="n">
        <v>14606</v>
      </c>
      <c r="L3633" s="3" t="n">
        <v>277514</v>
      </c>
      <c r="M3633" s="3" t="n">
        <v>0.0507</v>
      </c>
      <c r="N3633" s="3" t="n">
        <v>14069.96</v>
      </c>
      <c r="O3633" s="3" t="n">
        <v>263444.04</v>
      </c>
      <c r="P3633" s="3" t="n">
        <v>166508.4</v>
      </c>
      <c r="Q3633" s="3" t="n">
        <v>96935.64</v>
      </c>
      <c r="R3633" s="3" t="n">
        <v>0.368</v>
      </c>
      <c r="S3633" s="3" t="n">
        <v>0.0524</v>
      </c>
      <c r="T3633" s="3" t="n">
        <v>-0.0017</v>
      </c>
    </row>
    <row r="3634" customFormat="false" ht="15" hidden="false" customHeight="true" outlineLevel="0" collapsed="false">
      <c r="A3634" s="3" t="s">
        <v>4777</v>
      </c>
      <c r="B3634" s="3" t="s">
        <v>532</v>
      </c>
      <c r="C3634" s="3" t="s">
        <v>120</v>
      </c>
      <c r="D3634" s="3" t="s">
        <v>23</v>
      </c>
      <c r="E3634" s="3" t="s">
        <v>24</v>
      </c>
      <c r="F3634" s="3" t="s">
        <v>25</v>
      </c>
      <c r="G3634" s="3" t="s">
        <v>116</v>
      </c>
      <c r="H3634" s="3" t="s">
        <v>42</v>
      </c>
      <c r="I3634" s="3" t="s">
        <v>43</v>
      </c>
      <c r="J3634" s="3" t="n">
        <v>33</v>
      </c>
      <c r="K3634" s="3" t="n">
        <v>2144.76</v>
      </c>
      <c r="L3634" s="3" t="n">
        <v>70777.08</v>
      </c>
      <c r="M3634" s="3" t="n">
        <v>0.123</v>
      </c>
      <c r="N3634" s="3" t="n">
        <v>8705.58</v>
      </c>
      <c r="O3634" s="3" t="n">
        <v>62071.5</v>
      </c>
      <c r="P3634" s="3" t="n">
        <v>38927.39</v>
      </c>
      <c r="Q3634" s="3" t="n">
        <v>23144.11</v>
      </c>
      <c r="R3634" s="3" t="n">
        <v>0.3729</v>
      </c>
      <c r="S3634" s="3" t="n">
        <v>0.099</v>
      </c>
      <c r="T3634" s="3" t="n">
        <v>0.024</v>
      </c>
    </row>
    <row r="3635" customFormat="false" ht="15" hidden="false" customHeight="true" outlineLevel="0" collapsed="false">
      <c r="A3635" s="3" t="s">
        <v>4778</v>
      </c>
      <c r="B3635" s="3" t="s">
        <v>4779</v>
      </c>
      <c r="C3635" s="3" t="s">
        <v>37</v>
      </c>
      <c r="D3635" s="3" t="s">
        <v>75</v>
      </c>
      <c r="E3635" s="3" t="s">
        <v>39</v>
      </c>
      <c r="F3635" s="3" t="s">
        <v>25</v>
      </c>
      <c r="G3635" s="3" t="s">
        <v>63</v>
      </c>
      <c r="H3635" s="3" t="s">
        <v>77</v>
      </c>
      <c r="I3635" s="3" t="s">
        <v>131</v>
      </c>
      <c r="J3635" s="3" t="n">
        <v>15</v>
      </c>
      <c r="K3635" s="3" t="n">
        <v>4423.11</v>
      </c>
      <c r="L3635" s="3" t="n">
        <v>66346.65</v>
      </c>
      <c r="M3635" s="3" t="n">
        <v>0.182</v>
      </c>
      <c r="N3635" s="3" t="n">
        <v>12075.09</v>
      </c>
      <c r="O3635" s="3" t="n">
        <v>54271.56</v>
      </c>
      <c r="P3635" s="3" t="n">
        <v>45115.72</v>
      </c>
      <c r="Q3635" s="3" t="n">
        <v>9155.84</v>
      </c>
      <c r="R3635" s="3" t="n">
        <v>0.1687</v>
      </c>
      <c r="S3635" s="3" t="n">
        <v>0.1858</v>
      </c>
      <c r="T3635" s="3" t="n">
        <v>-0.0038</v>
      </c>
    </row>
    <row r="3636" customFormat="false" ht="15" hidden="false" customHeight="true" outlineLevel="0" collapsed="false">
      <c r="A3636" s="3" t="s">
        <v>4780</v>
      </c>
      <c r="B3636" s="3" t="s">
        <v>674</v>
      </c>
      <c r="C3636" s="3" t="s">
        <v>126</v>
      </c>
      <c r="D3636" s="3" t="s">
        <v>23</v>
      </c>
      <c r="E3636" s="3" t="s">
        <v>24</v>
      </c>
      <c r="F3636" s="3" t="s">
        <v>25</v>
      </c>
      <c r="G3636" s="3" t="s">
        <v>26</v>
      </c>
      <c r="H3636" s="3" t="s">
        <v>77</v>
      </c>
      <c r="I3636" s="3" t="s">
        <v>131</v>
      </c>
      <c r="J3636" s="3" t="n">
        <v>12</v>
      </c>
      <c r="K3636" s="3" t="n">
        <v>4581.49</v>
      </c>
      <c r="L3636" s="3" t="n">
        <v>54977.88</v>
      </c>
      <c r="M3636" s="3" t="n">
        <v>0.1369</v>
      </c>
      <c r="N3636" s="3" t="n">
        <v>7526.47</v>
      </c>
      <c r="O3636" s="3" t="n">
        <v>47451.41</v>
      </c>
      <c r="P3636" s="3" t="n">
        <v>37384.96</v>
      </c>
      <c r="Q3636" s="3" t="n">
        <v>10066.45</v>
      </c>
      <c r="R3636" s="3" t="n">
        <v>0.2121</v>
      </c>
      <c r="S3636" s="3" t="n">
        <v>0.1472</v>
      </c>
      <c r="T3636" s="3" t="n">
        <v>-0.0103</v>
      </c>
    </row>
    <row r="3637" customFormat="false" ht="15" hidden="false" customHeight="true" outlineLevel="0" collapsed="false">
      <c r="A3637" s="3" t="s">
        <v>4781</v>
      </c>
      <c r="B3637" s="3" t="s">
        <v>1463</v>
      </c>
      <c r="C3637" s="3" t="s">
        <v>120</v>
      </c>
      <c r="D3637" s="3" t="s">
        <v>83</v>
      </c>
      <c r="E3637" s="3" t="s">
        <v>48</v>
      </c>
      <c r="F3637" s="3" t="s">
        <v>62</v>
      </c>
      <c r="G3637" s="3" t="s">
        <v>34</v>
      </c>
      <c r="H3637" s="3" t="s">
        <v>42</v>
      </c>
      <c r="I3637" s="3" t="s">
        <v>72</v>
      </c>
      <c r="J3637" s="3" t="n">
        <v>5</v>
      </c>
      <c r="K3637" s="3" t="n">
        <v>2594.36</v>
      </c>
      <c r="L3637" s="3" t="n">
        <v>12971.8</v>
      </c>
      <c r="M3637" s="3" t="n">
        <v>0.087</v>
      </c>
      <c r="N3637" s="3" t="n">
        <v>1128.55</v>
      </c>
      <c r="O3637" s="3" t="n">
        <v>11843.25</v>
      </c>
      <c r="P3637" s="3" t="n">
        <v>7134.49</v>
      </c>
      <c r="Q3637" s="3" t="n">
        <v>4708.76</v>
      </c>
      <c r="R3637" s="3" t="n">
        <v>0.3976</v>
      </c>
      <c r="S3637" s="3" t="n">
        <v>0.0847</v>
      </c>
      <c r="T3637" s="3" t="n">
        <v>0.0023</v>
      </c>
    </row>
    <row r="3638" customFormat="false" ht="15" hidden="false" customHeight="true" outlineLevel="0" collapsed="false">
      <c r="A3638" s="3" t="s">
        <v>4782</v>
      </c>
      <c r="B3638" s="3" t="s">
        <v>2919</v>
      </c>
      <c r="C3638" s="3" t="s">
        <v>156</v>
      </c>
      <c r="D3638" s="3" t="s">
        <v>32</v>
      </c>
      <c r="E3638" s="3" t="s">
        <v>33</v>
      </c>
      <c r="F3638" s="3" t="s">
        <v>25</v>
      </c>
      <c r="G3638" s="3" t="s">
        <v>76</v>
      </c>
      <c r="H3638" s="3" t="s">
        <v>56</v>
      </c>
      <c r="I3638" s="3" t="s">
        <v>188</v>
      </c>
      <c r="J3638" s="3" t="n">
        <v>28</v>
      </c>
      <c r="K3638" s="3" t="n">
        <v>10779.45</v>
      </c>
      <c r="L3638" s="3" t="n">
        <v>301824.6</v>
      </c>
      <c r="M3638" s="3" t="n">
        <v>0.1674</v>
      </c>
      <c r="N3638" s="3" t="n">
        <v>50525.44</v>
      </c>
      <c r="O3638" s="3" t="n">
        <v>251299.16</v>
      </c>
      <c r="P3638" s="3" t="n">
        <v>181094.76</v>
      </c>
      <c r="Q3638" s="3" t="n">
        <v>70204.4</v>
      </c>
      <c r="R3638" s="3" t="n">
        <v>0.2794</v>
      </c>
      <c r="S3638" s="3" t="n">
        <v>0.1715</v>
      </c>
      <c r="T3638" s="3" t="n">
        <v>-0.0041</v>
      </c>
    </row>
    <row r="3639" customFormat="false" ht="15" hidden="false" customHeight="true" outlineLevel="0" collapsed="false">
      <c r="A3639" s="3" t="s">
        <v>4783</v>
      </c>
      <c r="B3639" s="3" t="s">
        <v>1693</v>
      </c>
      <c r="C3639" s="3" t="s">
        <v>113</v>
      </c>
      <c r="D3639" s="3" t="s">
        <v>69</v>
      </c>
      <c r="E3639" s="3" t="s">
        <v>39</v>
      </c>
      <c r="F3639" s="3" t="s">
        <v>70</v>
      </c>
      <c r="G3639" s="3" t="s">
        <v>76</v>
      </c>
      <c r="H3639" s="3" t="s">
        <v>64</v>
      </c>
      <c r="I3639" s="3" t="s">
        <v>90</v>
      </c>
      <c r="J3639" s="3" t="n">
        <v>49</v>
      </c>
      <c r="K3639" s="3" t="n">
        <v>5737.86</v>
      </c>
      <c r="L3639" s="3" t="n">
        <v>281155.14</v>
      </c>
      <c r="M3639" s="3" t="n">
        <v>0.0524</v>
      </c>
      <c r="N3639" s="3" t="n">
        <v>14732.53</v>
      </c>
      <c r="O3639" s="3" t="n">
        <v>266422.61</v>
      </c>
      <c r="P3639" s="3" t="n">
        <v>163069.98</v>
      </c>
      <c r="Q3639" s="3" t="n">
        <v>103352.63</v>
      </c>
      <c r="R3639" s="3" t="n">
        <v>0.3879</v>
      </c>
      <c r="S3639" s="3" t="n">
        <v>0.0523</v>
      </c>
      <c r="T3639" s="3" t="n">
        <v>0.0001</v>
      </c>
    </row>
    <row r="3640" customFormat="false" ht="15" hidden="false" customHeight="true" outlineLevel="0" collapsed="false">
      <c r="A3640" s="3" t="s">
        <v>4784</v>
      </c>
      <c r="B3640" s="3" t="s">
        <v>2964</v>
      </c>
      <c r="C3640" s="3" t="s">
        <v>31</v>
      </c>
      <c r="D3640" s="3" t="s">
        <v>107</v>
      </c>
      <c r="E3640" s="3" t="s">
        <v>33</v>
      </c>
      <c r="F3640" s="3" t="s">
        <v>70</v>
      </c>
      <c r="G3640" s="3" t="s">
        <v>49</v>
      </c>
      <c r="H3640" s="3" t="s">
        <v>42</v>
      </c>
      <c r="I3640" s="3" t="s">
        <v>72</v>
      </c>
      <c r="J3640" s="3" t="n">
        <v>18</v>
      </c>
      <c r="K3640" s="3" t="n">
        <v>2705.35</v>
      </c>
      <c r="L3640" s="3" t="n">
        <v>48696.3</v>
      </c>
      <c r="M3640" s="3" t="n">
        <v>0.0346</v>
      </c>
      <c r="N3640" s="3" t="n">
        <v>1684.89</v>
      </c>
      <c r="O3640" s="3" t="n">
        <v>47011.41</v>
      </c>
      <c r="P3640" s="3" t="n">
        <v>26782.97</v>
      </c>
      <c r="Q3640" s="3" t="n">
        <v>20228.44</v>
      </c>
      <c r="R3640" s="3" t="n">
        <v>0.4303</v>
      </c>
      <c r="S3640" s="3" t="n">
        <v>0.0359</v>
      </c>
      <c r="T3640" s="3" t="n">
        <v>-0.0013</v>
      </c>
    </row>
    <row r="3641" customFormat="false" ht="15" hidden="false" customHeight="true" outlineLevel="0" collapsed="false">
      <c r="A3641" s="3" t="s">
        <v>4785</v>
      </c>
      <c r="B3641" s="3" t="s">
        <v>3118</v>
      </c>
      <c r="C3641" s="3" t="s">
        <v>46</v>
      </c>
      <c r="D3641" s="3" t="s">
        <v>38</v>
      </c>
      <c r="E3641" s="3" t="s">
        <v>39</v>
      </c>
      <c r="F3641" s="3" t="s">
        <v>40</v>
      </c>
      <c r="G3641" s="3" t="s">
        <v>34</v>
      </c>
      <c r="H3641" s="3" t="s">
        <v>27</v>
      </c>
      <c r="I3641" s="3" t="s">
        <v>94</v>
      </c>
      <c r="J3641" s="3" t="n">
        <v>27</v>
      </c>
      <c r="K3641" s="3" t="n">
        <v>23860.76</v>
      </c>
      <c r="L3641" s="3" t="n">
        <v>644240.52</v>
      </c>
      <c r="M3641" s="3" t="n">
        <v>0.1021</v>
      </c>
      <c r="N3641" s="3" t="n">
        <v>65776.96</v>
      </c>
      <c r="O3641" s="3" t="n">
        <v>578463.56</v>
      </c>
      <c r="P3641" s="3" t="n">
        <v>399429.12</v>
      </c>
      <c r="Q3641" s="3" t="n">
        <v>179034.44</v>
      </c>
      <c r="R3641" s="3" t="n">
        <v>0.3095</v>
      </c>
      <c r="S3641" s="3" t="n">
        <v>0.1013</v>
      </c>
      <c r="T3641" s="3" t="n">
        <v>0.0008</v>
      </c>
    </row>
    <row r="3642" customFormat="false" ht="15" hidden="false" customHeight="true" outlineLevel="0" collapsed="false">
      <c r="A3642" s="3" t="s">
        <v>4786</v>
      </c>
      <c r="B3642" s="3" t="s">
        <v>1029</v>
      </c>
      <c r="C3642" s="3" t="s">
        <v>126</v>
      </c>
      <c r="D3642" s="3" t="s">
        <v>107</v>
      </c>
      <c r="E3642" s="3" t="s">
        <v>33</v>
      </c>
      <c r="F3642" s="3" t="s">
        <v>70</v>
      </c>
      <c r="G3642" s="3" t="s">
        <v>76</v>
      </c>
      <c r="H3642" s="3" t="s">
        <v>27</v>
      </c>
      <c r="I3642" s="3" t="s">
        <v>28</v>
      </c>
      <c r="J3642" s="3" t="n">
        <v>32</v>
      </c>
      <c r="K3642" s="3" t="n">
        <v>19202.22</v>
      </c>
      <c r="L3642" s="3" t="n">
        <v>614471.04</v>
      </c>
      <c r="M3642" s="3" t="n">
        <v>0.0707</v>
      </c>
      <c r="N3642" s="3" t="n">
        <v>43443.1</v>
      </c>
      <c r="O3642" s="3" t="n">
        <v>571027.94</v>
      </c>
      <c r="P3642" s="3" t="n">
        <v>380972.04</v>
      </c>
      <c r="Q3642" s="3" t="n">
        <v>190055.9</v>
      </c>
      <c r="R3642" s="3" t="n">
        <v>0.3328</v>
      </c>
      <c r="S3642" s="3" t="n">
        <v>0.0655</v>
      </c>
      <c r="T3642" s="3" t="n">
        <v>0.0052</v>
      </c>
    </row>
    <row r="3643" customFormat="false" ht="15" hidden="false" customHeight="true" outlineLevel="0" collapsed="false">
      <c r="A3643" s="3" t="s">
        <v>4787</v>
      </c>
      <c r="B3643" s="3" t="s">
        <v>1092</v>
      </c>
      <c r="C3643" s="3" t="s">
        <v>53</v>
      </c>
      <c r="D3643" s="3" t="s">
        <v>38</v>
      </c>
      <c r="E3643" s="3" t="s">
        <v>39</v>
      </c>
      <c r="F3643" s="3" t="s">
        <v>40</v>
      </c>
      <c r="G3643" s="3" t="s">
        <v>84</v>
      </c>
      <c r="H3643" s="3" t="s">
        <v>42</v>
      </c>
      <c r="I3643" s="3" t="s">
        <v>134</v>
      </c>
      <c r="J3643" s="3" t="n">
        <v>45</v>
      </c>
      <c r="K3643" s="3" t="n">
        <v>3274.71</v>
      </c>
      <c r="L3643" s="3" t="n">
        <v>147361.95</v>
      </c>
      <c r="M3643" s="3" t="n">
        <v>0.078</v>
      </c>
      <c r="N3643" s="3" t="n">
        <v>11494.23</v>
      </c>
      <c r="O3643" s="3" t="n">
        <v>135867.72</v>
      </c>
      <c r="P3643" s="3" t="n">
        <v>81049.07</v>
      </c>
      <c r="Q3643" s="3" t="n">
        <v>54818.65</v>
      </c>
      <c r="R3643" s="3" t="n">
        <v>0.4035</v>
      </c>
      <c r="S3643" s="3" t="n">
        <v>0.075</v>
      </c>
      <c r="T3643" s="3" t="n">
        <v>0.003</v>
      </c>
    </row>
    <row r="3644" customFormat="false" ht="15" hidden="false" customHeight="true" outlineLevel="0" collapsed="false">
      <c r="A3644" s="3" t="s">
        <v>4788</v>
      </c>
      <c r="B3644" s="3" t="s">
        <v>1198</v>
      </c>
      <c r="C3644" s="3" t="s">
        <v>31</v>
      </c>
      <c r="D3644" s="3" t="s">
        <v>107</v>
      </c>
      <c r="E3644" s="3" t="s">
        <v>33</v>
      </c>
      <c r="F3644" s="3" t="s">
        <v>70</v>
      </c>
      <c r="G3644" s="3" t="s">
        <v>41</v>
      </c>
      <c r="H3644" s="3" t="s">
        <v>27</v>
      </c>
      <c r="I3644" s="3" t="s">
        <v>50</v>
      </c>
      <c r="J3644" s="3" t="n">
        <v>37</v>
      </c>
      <c r="K3644" s="3" t="n">
        <v>24037.55</v>
      </c>
      <c r="L3644" s="3" t="n">
        <v>889389.35</v>
      </c>
      <c r="M3644" s="3" t="n">
        <v>0.0648</v>
      </c>
      <c r="N3644" s="3" t="n">
        <v>57632.43</v>
      </c>
      <c r="O3644" s="3" t="n">
        <v>831756.92</v>
      </c>
      <c r="P3644" s="3" t="n">
        <v>551421.4</v>
      </c>
      <c r="Q3644" s="3" t="n">
        <v>280335.52</v>
      </c>
      <c r="R3644" s="3" t="n">
        <v>0.337</v>
      </c>
      <c r="S3644" s="3" t="n">
        <v>0.0585</v>
      </c>
      <c r="T3644" s="3" t="n">
        <v>0.0063</v>
      </c>
    </row>
    <row r="3645" customFormat="false" ht="15" hidden="false" customHeight="true" outlineLevel="0" collapsed="false">
      <c r="A3645" s="3" t="s">
        <v>4789</v>
      </c>
      <c r="B3645" s="3" t="s">
        <v>192</v>
      </c>
      <c r="C3645" s="3" t="s">
        <v>31</v>
      </c>
      <c r="D3645" s="3" t="s">
        <v>61</v>
      </c>
      <c r="E3645" s="3" t="s">
        <v>33</v>
      </c>
      <c r="F3645" s="3" t="s">
        <v>62</v>
      </c>
      <c r="G3645" s="3" t="s">
        <v>84</v>
      </c>
      <c r="H3645" s="3" t="s">
        <v>56</v>
      </c>
      <c r="I3645" s="3" t="s">
        <v>188</v>
      </c>
      <c r="J3645" s="3" t="n">
        <v>20</v>
      </c>
      <c r="K3645" s="3" t="n">
        <v>10677.13</v>
      </c>
      <c r="L3645" s="3" t="n">
        <v>213542.6</v>
      </c>
      <c r="M3645" s="3" t="n">
        <v>0.067</v>
      </c>
      <c r="N3645" s="3" t="n">
        <v>14307.35</v>
      </c>
      <c r="O3645" s="3" t="n">
        <v>199235.25</v>
      </c>
      <c r="P3645" s="3" t="n">
        <v>128125.56</v>
      </c>
      <c r="Q3645" s="3" t="n">
        <v>71109.69</v>
      </c>
      <c r="R3645" s="3" t="n">
        <v>0.3569</v>
      </c>
      <c r="S3645" s="3" t="n">
        <v>0.0554</v>
      </c>
      <c r="T3645" s="3" t="n">
        <v>0.0116</v>
      </c>
    </row>
    <row r="3646" customFormat="false" ht="15" hidden="false" customHeight="true" outlineLevel="0" collapsed="false">
      <c r="A3646" s="3" t="s">
        <v>4790</v>
      </c>
      <c r="B3646" s="3" t="s">
        <v>4373</v>
      </c>
      <c r="C3646" s="3" t="s">
        <v>156</v>
      </c>
      <c r="D3646" s="3" t="s">
        <v>107</v>
      </c>
      <c r="E3646" s="3" t="s">
        <v>33</v>
      </c>
      <c r="F3646" s="3" t="s">
        <v>70</v>
      </c>
      <c r="G3646" s="3" t="s">
        <v>34</v>
      </c>
      <c r="H3646" s="3" t="s">
        <v>56</v>
      </c>
      <c r="I3646" s="3" t="s">
        <v>121</v>
      </c>
      <c r="J3646" s="3" t="n">
        <v>18</v>
      </c>
      <c r="K3646" s="3" t="n">
        <v>17626.63</v>
      </c>
      <c r="L3646" s="3" t="n">
        <v>317279.34</v>
      </c>
      <c r="M3646" s="3" t="n">
        <v>0.0728</v>
      </c>
      <c r="N3646" s="3" t="n">
        <v>23097.94</v>
      </c>
      <c r="O3646" s="3" t="n">
        <v>294181.4</v>
      </c>
      <c r="P3646" s="3" t="n">
        <v>190367.6</v>
      </c>
      <c r="Q3646" s="3" t="n">
        <v>103813.8</v>
      </c>
      <c r="R3646" s="3" t="n">
        <v>0.3529</v>
      </c>
      <c r="S3646" s="3" t="n">
        <v>0.0715</v>
      </c>
      <c r="T3646" s="3" t="n">
        <v>0.0013</v>
      </c>
    </row>
    <row r="3647" customFormat="false" ht="15" hidden="false" customHeight="true" outlineLevel="0" collapsed="false">
      <c r="A3647" s="3" t="s">
        <v>4791</v>
      </c>
      <c r="B3647" s="3" t="s">
        <v>3764</v>
      </c>
      <c r="C3647" s="3" t="s">
        <v>22</v>
      </c>
      <c r="D3647" s="3" t="s">
        <v>47</v>
      </c>
      <c r="E3647" s="3" t="s">
        <v>48</v>
      </c>
      <c r="F3647" s="3" t="s">
        <v>25</v>
      </c>
      <c r="G3647" s="3" t="s">
        <v>55</v>
      </c>
      <c r="H3647" s="3" t="s">
        <v>56</v>
      </c>
      <c r="I3647" s="3" t="s">
        <v>57</v>
      </c>
      <c r="J3647" s="3" t="n">
        <v>3</v>
      </c>
      <c r="K3647" s="3" t="n">
        <v>5429.15</v>
      </c>
      <c r="L3647" s="3" t="n">
        <v>16287.45</v>
      </c>
      <c r="M3647" s="3" t="n">
        <v>0.1495</v>
      </c>
      <c r="N3647" s="3" t="n">
        <v>2434.97</v>
      </c>
      <c r="O3647" s="3" t="n">
        <v>13852.48</v>
      </c>
      <c r="P3647" s="3" t="n">
        <v>9772.47</v>
      </c>
      <c r="Q3647" s="3" t="n">
        <v>4080.01</v>
      </c>
      <c r="R3647" s="3" t="n">
        <v>0.2945</v>
      </c>
      <c r="S3647" s="3" t="n">
        <v>0.1263</v>
      </c>
      <c r="T3647" s="3" t="n">
        <v>0.0232</v>
      </c>
    </row>
    <row r="3648" customFormat="false" ht="15" hidden="false" customHeight="true" outlineLevel="0" collapsed="false">
      <c r="A3648" s="3" t="s">
        <v>4792</v>
      </c>
      <c r="B3648" s="3" t="s">
        <v>4793</v>
      </c>
      <c r="C3648" s="3" t="s">
        <v>60</v>
      </c>
      <c r="D3648" s="3" t="s">
        <v>32</v>
      </c>
      <c r="E3648" s="3" t="s">
        <v>33</v>
      </c>
      <c r="F3648" s="3" t="s">
        <v>25</v>
      </c>
      <c r="G3648" s="3" t="s">
        <v>71</v>
      </c>
      <c r="H3648" s="3" t="s">
        <v>56</v>
      </c>
      <c r="I3648" s="3" t="s">
        <v>121</v>
      </c>
      <c r="J3648" s="3" t="n">
        <v>44</v>
      </c>
      <c r="K3648" s="3" t="n">
        <v>11467.08</v>
      </c>
      <c r="L3648" s="3" t="n">
        <v>504551.52</v>
      </c>
      <c r="M3648" s="3" t="n">
        <v>0.121</v>
      </c>
      <c r="N3648" s="3" t="n">
        <v>61050.73</v>
      </c>
      <c r="O3648" s="3" t="n">
        <v>443500.79</v>
      </c>
      <c r="P3648" s="3" t="n">
        <v>302730.91</v>
      </c>
      <c r="Q3648" s="3" t="n">
        <v>140769.88</v>
      </c>
      <c r="R3648" s="3" t="n">
        <v>0.3174</v>
      </c>
      <c r="S3648" s="3" t="n">
        <v>0.1064</v>
      </c>
      <c r="T3648" s="3" t="n">
        <v>0.0146</v>
      </c>
    </row>
    <row r="3649" customFormat="false" ht="15" hidden="false" customHeight="true" outlineLevel="0" collapsed="false">
      <c r="A3649" s="3" t="s">
        <v>4794</v>
      </c>
      <c r="B3649" s="3" t="s">
        <v>1021</v>
      </c>
      <c r="C3649" s="3" t="s">
        <v>60</v>
      </c>
      <c r="D3649" s="3" t="s">
        <v>69</v>
      </c>
      <c r="E3649" s="3" t="s">
        <v>39</v>
      </c>
      <c r="F3649" s="3" t="s">
        <v>70</v>
      </c>
      <c r="G3649" s="3" t="s">
        <v>49</v>
      </c>
      <c r="H3649" s="3" t="s">
        <v>42</v>
      </c>
      <c r="I3649" s="3" t="s">
        <v>43</v>
      </c>
      <c r="J3649" s="3" t="n">
        <v>26</v>
      </c>
      <c r="K3649" s="3" t="n">
        <v>1378.97</v>
      </c>
      <c r="L3649" s="3" t="n">
        <v>35853.22</v>
      </c>
      <c r="M3649" s="3" t="n">
        <v>0.0597</v>
      </c>
      <c r="N3649" s="3" t="n">
        <v>2140.44</v>
      </c>
      <c r="O3649" s="3" t="n">
        <v>33712.78</v>
      </c>
      <c r="P3649" s="3" t="n">
        <v>19719.27</v>
      </c>
      <c r="Q3649" s="3" t="n">
        <v>13993.51</v>
      </c>
      <c r="R3649" s="3" t="n">
        <v>0.4151</v>
      </c>
      <c r="S3649" s="3" t="n">
        <v>0.0657</v>
      </c>
      <c r="T3649" s="3" t="n">
        <v>-0.006</v>
      </c>
    </row>
    <row r="3650" customFormat="false" ht="15" hidden="false" customHeight="true" outlineLevel="0" collapsed="false">
      <c r="A3650" s="3" t="s">
        <v>4795</v>
      </c>
      <c r="B3650" s="3" t="s">
        <v>333</v>
      </c>
      <c r="C3650" s="3" t="s">
        <v>68</v>
      </c>
      <c r="D3650" s="3" t="s">
        <v>75</v>
      </c>
      <c r="E3650" s="3" t="s">
        <v>39</v>
      </c>
      <c r="F3650" s="3" t="s">
        <v>25</v>
      </c>
      <c r="G3650" s="3" t="s">
        <v>63</v>
      </c>
      <c r="H3650" s="3" t="s">
        <v>27</v>
      </c>
      <c r="I3650" s="3" t="s">
        <v>50</v>
      </c>
      <c r="J3650" s="3" t="n">
        <v>16</v>
      </c>
      <c r="K3650" s="3" t="n">
        <v>9030.2</v>
      </c>
      <c r="L3650" s="3" t="n">
        <v>144483.2</v>
      </c>
      <c r="M3650" s="3" t="n">
        <v>0.1003</v>
      </c>
      <c r="N3650" s="3" t="n">
        <v>14491.66</v>
      </c>
      <c r="O3650" s="3" t="n">
        <v>129991.54</v>
      </c>
      <c r="P3650" s="3" t="n">
        <v>89579.58</v>
      </c>
      <c r="Q3650" s="3" t="n">
        <v>40411.96</v>
      </c>
      <c r="R3650" s="3" t="n">
        <v>0.3109</v>
      </c>
      <c r="S3650" s="3" t="n">
        <v>0.0967</v>
      </c>
      <c r="T3650" s="3" t="n">
        <v>0.0036</v>
      </c>
    </row>
    <row r="3651" customFormat="false" ht="15" hidden="false" customHeight="true" outlineLevel="0" collapsed="false">
      <c r="A3651" s="3" t="s">
        <v>4796</v>
      </c>
      <c r="B3651" s="3" t="s">
        <v>149</v>
      </c>
      <c r="C3651" s="3" t="s">
        <v>126</v>
      </c>
      <c r="D3651" s="3" t="s">
        <v>69</v>
      </c>
      <c r="E3651" s="3" t="s">
        <v>39</v>
      </c>
      <c r="F3651" s="3" t="s">
        <v>70</v>
      </c>
      <c r="G3651" s="3" t="s">
        <v>63</v>
      </c>
      <c r="H3651" s="3" t="s">
        <v>42</v>
      </c>
      <c r="I3651" s="3" t="s">
        <v>134</v>
      </c>
      <c r="J3651" s="3" t="n">
        <v>25</v>
      </c>
      <c r="K3651" s="3" t="n">
        <v>2676.64</v>
      </c>
      <c r="L3651" s="3" t="n">
        <v>66916</v>
      </c>
      <c r="M3651" s="3" t="n">
        <v>0.0514</v>
      </c>
      <c r="N3651" s="3" t="n">
        <v>3439.48</v>
      </c>
      <c r="O3651" s="3" t="n">
        <v>63476.52</v>
      </c>
      <c r="P3651" s="3" t="n">
        <v>36803.8</v>
      </c>
      <c r="Q3651" s="3" t="n">
        <v>26672.72</v>
      </c>
      <c r="R3651" s="3" t="n">
        <v>0.4202</v>
      </c>
      <c r="S3651" s="3" t="n">
        <v>0.0501</v>
      </c>
      <c r="T3651" s="3" t="n">
        <v>0.0013</v>
      </c>
    </row>
    <row r="3652" customFormat="false" ht="15" hidden="false" customHeight="true" outlineLevel="0" collapsed="false">
      <c r="A3652" s="3" t="s">
        <v>4797</v>
      </c>
      <c r="B3652" s="3" t="s">
        <v>343</v>
      </c>
      <c r="C3652" s="3" t="s">
        <v>120</v>
      </c>
      <c r="D3652" s="3" t="s">
        <v>32</v>
      </c>
      <c r="E3652" s="3" t="s">
        <v>33</v>
      </c>
      <c r="F3652" s="3" t="s">
        <v>25</v>
      </c>
      <c r="G3652" s="3" t="s">
        <v>63</v>
      </c>
      <c r="H3652" s="3" t="s">
        <v>64</v>
      </c>
      <c r="I3652" s="3" t="s">
        <v>90</v>
      </c>
      <c r="J3652" s="3" t="n">
        <v>18</v>
      </c>
      <c r="K3652" s="3" t="n">
        <v>5336.01</v>
      </c>
      <c r="L3652" s="3" t="n">
        <v>96048.18</v>
      </c>
      <c r="M3652" s="3" t="n">
        <v>0.1518</v>
      </c>
      <c r="N3652" s="3" t="n">
        <v>14580.11</v>
      </c>
      <c r="O3652" s="3" t="n">
        <v>81468.07</v>
      </c>
      <c r="P3652" s="3" t="n">
        <v>55707.94</v>
      </c>
      <c r="Q3652" s="3" t="n">
        <v>25760.13</v>
      </c>
      <c r="R3652" s="3" t="n">
        <v>0.3162</v>
      </c>
      <c r="S3652" s="3" t="n">
        <v>0.1513</v>
      </c>
      <c r="T3652" s="3" t="n">
        <v>0.0005</v>
      </c>
    </row>
    <row r="3653" customFormat="false" ht="15" hidden="false" customHeight="true" outlineLevel="0" collapsed="false">
      <c r="A3653" s="3" t="s">
        <v>4798</v>
      </c>
      <c r="B3653" s="3" t="s">
        <v>627</v>
      </c>
      <c r="C3653" s="3" t="s">
        <v>31</v>
      </c>
      <c r="D3653" s="3" t="s">
        <v>61</v>
      </c>
      <c r="E3653" s="3" t="s">
        <v>33</v>
      </c>
      <c r="F3653" s="3" t="s">
        <v>62</v>
      </c>
      <c r="G3653" s="3" t="s">
        <v>41</v>
      </c>
      <c r="H3653" s="3" t="s">
        <v>77</v>
      </c>
      <c r="I3653" s="3" t="s">
        <v>131</v>
      </c>
      <c r="J3653" s="3" t="n">
        <v>22</v>
      </c>
      <c r="K3653" s="3" t="n">
        <v>2051.61</v>
      </c>
      <c r="L3653" s="3" t="n">
        <v>45135.42</v>
      </c>
      <c r="M3653" s="3" t="n">
        <v>0.0824</v>
      </c>
      <c r="N3653" s="3" t="n">
        <v>3719.16</v>
      </c>
      <c r="O3653" s="3" t="n">
        <v>41416.26</v>
      </c>
      <c r="P3653" s="3" t="n">
        <v>30692.09</v>
      </c>
      <c r="Q3653" s="3" t="n">
        <v>10724.17</v>
      </c>
      <c r="R3653" s="3" t="n">
        <v>0.2589</v>
      </c>
      <c r="S3653" s="3" t="n">
        <v>0.0832</v>
      </c>
      <c r="T3653" s="3" t="n">
        <v>-0.0008</v>
      </c>
    </row>
    <row r="3654" customFormat="false" ht="15" hidden="false" customHeight="true" outlineLevel="0" collapsed="false">
      <c r="A3654" s="3" t="s">
        <v>4799</v>
      </c>
      <c r="B3654" s="3" t="s">
        <v>547</v>
      </c>
      <c r="C3654" s="3" t="s">
        <v>22</v>
      </c>
      <c r="D3654" s="3" t="s">
        <v>103</v>
      </c>
      <c r="E3654" s="3" t="s">
        <v>24</v>
      </c>
      <c r="F3654" s="3" t="s">
        <v>62</v>
      </c>
      <c r="G3654" s="3" t="s">
        <v>26</v>
      </c>
      <c r="H3654" s="3" t="s">
        <v>56</v>
      </c>
      <c r="I3654" s="3" t="s">
        <v>57</v>
      </c>
      <c r="J3654" s="3" t="n">
        <v>45</v>
      </c>
      <c r="K3654" s="3" t="n">
        <v>10043.34</v>
      </c>
      <c r="L3654" s="3" t="n">
        <v>451950.3</v>
      </c>
      <c r="M3654" s="3" t="n">
        <v>0.0335</v>
      </c>
      <c r="N3654" s="3" t="n">
        <v>15140.34</v>
      </c>
      <c r="O3654" s="3" t="n">
        <v>436809.96</v>
      </c>
      <c r="P3654" s="3" t="n">
        <v>271170.18</v>
      </c>
      <c r="Q3654" s="3" t="n">
        <v>165639.78</v>
      </c>
      <c r="R3654" s="3" t="n">
        <v>0.3792</v>
      </c>
      <c r="S3654" s="3" t="n">
        <v>0.0272</v>
      </c>
      <c r="T3654" s="3" t="n">
        <v>0.0063</v>
      </c>
    </row>
    <row r="3655" customFormat="false" ht="15" hidden="false" customHeight="true" outlineLevel="0" collapsed="false">
      <c r="A3655" s="3" t="s">
        <v>4800</v>
      </c>
      <c r="B3655" s="3" t="s">
        <v>827</v>
      </c>
      <c r="C3655" s="3" t="s">
        <v>120</v>
      </c>
      <c r="D3655" s="3" t="s">
        <v>54</v>
      </c>
      <c r="E3655" s="3" t="s">
        <v>24</v>
      </c>
      <c r="F3655" s="3" t="s">
        <v>40</v>
      </c>
      <c r="G3655" s="3" t="s">
        <v>100</v>
      </c>
      <c r="H3655" s="3" t="s">
        <v>27</v>
      </c>
      <c r="I3655" s="3" t="s">
        <v>50</v>
      </c>
      <c r="J3655" s="3" t="n">
        <v>14</v>
      </c>
      <c r="K3655" s="3" t="n">
        <v>27269.69</v>
      </c>
      <c r="L3655" s="3" t="n">
        <v>381775.66</v>
      </c>
      <c r="M3655" s="3" t="n">
        <v>0.0408</v>
      </c>
      <c r="N3655" s="3" t="n">
        <v>15576.45</v>
      </c>
      <c r="O3655" s="3" t="n">
        <v>366199.21</v>
      </c>
      <c r="P3655" s="3" t="n">
        <v>236700.91</v>
      </c>
      <c r="Q3655" s="3" t="n">
        <v>129498.3</v>
      </c>
      <c r="R3655" s="3" t="n">
        <v>0.3536</v>
      </c>
      <c r="S3655" s="3" t="n">
        <v>0.043</v>
      </c>
      <c r="T3655" s="3" t="n">
        <v>-0.0022</v>
      </c>
    </row>
    <row r="3656" customFormat="false" ht="15" hidden="false" customHeight="true" outlineLevel="0" collapsed="false">
      <c r="A3656" s="3" t="s">
        <v>4801</v>
      </c>
      <c r="B3656" s="3" t="s">
        <v>1596</v>
      </c>
      <c r="C3656" s="3" t="s">
        <v>156</v>
      </c>
      <c r="D3656" s="3" t="s">
        <v>47</v>
      </c>
      <c r="E3656" s="3" t="s">
        <v>48</v>
      </c>
      <c r="F3656" s="3" t="s">
        <v>25</v>
      </c>
      <c r="G3656" s="3" t="s">
        <v>116</v>
      </c>
      <c r="H3656" s="3" t="s">
        <v>77</v>
      </c>
      <c r="I3656" s="3" t="s">
        <v>131</v>
      </c>
      <c r="J3656" s="3" t="n">
        <v>33</v>
      </c>
      <c r="K3656" s="3" t="n">
        <v>5111.63</v>
      </c>
      <c r="L3656" s="3" t="n">
        <v>168683.79</v>
      </c>
      <c r="M3656" s="3" t="n">
        <v>0.1963</v>
      </c>
      <c r="N3656" s="3" t="n">
        <v>33112.63</v>
      </c>
      <c r="O3656" s="3" t="n">
        <v>135571.16</v>
      </c>
      <c r="P3656" s="3" t="n">
        <v>114704.98</v>
      </c>
      <c r="Q3656" s="3" t="n">
        <v>20866.18</v>
      </c>
      <c r="R3656" s="3" t="n">
        <v>0.1539</v>
      </c>
      <c r="S3656" s="3" t="n">
        <v>0.1669</v>
      </c>
      <c r="T3656" s="3" t="n">
        <v>0.0294</v>
      </c>
    </row>
    <row r="3657" customFormat="false" ht="15" hidden="false" customHeight="true" outlineLevel="0" collapsed="false">
      <c r="A3657" s="3" t="s">
        <v>4802</v>
      </c>
      <c r="B3657" s="3" t="s">
        <v>1193</v>
      </c>
      <c r="C3657" s="3" t="s">
        <v>126</v>
      </c>
      <c r="D3657" s="3" t="s">
        <v>103</v>
      </c>
      <c r="E3657" s="3" t="s">
        <v>24</v>
      </c>
      <c r="F3657" s="3" t="s">
        <v>62</v>
      </c>
      <c r="G3657" s="3" t="s">
        <v>100</v>
      </c>
      <c r="H3657" s="3" t="s">
        <v>77</v>
      </c>
      <c r="I3657" s="3" t="s">
        <v>131</v>
      </c>
      <c r="J3657" s="3" t="n">
        <v>2</v>
      </c>
      <c r="K3657" s="3" t="n">
        <v>1255.5</v>
      </c>
      <c r="L3657" s="3" t="n">
        <v>2511</v>
      </c>
      <c r="M3657" s="3" t="n">
        <v>0.0334</v>
      </c>
      <c r="N3657" s="3" t="n">
        <v>83.87</v>
      </c>
      <c r="O3657" s="3" t="n">
        <v>2427.13</v>
      </c>
      <c r="P3657" s="3" t="n">
        <v>1707.48</v>
      </c>
      <c r="Q3657" s="3" t="n">
        <v>719.65</v>
      </c>
      <c r="R3657" s="3" t="n">
        <v>0.2965</v>
      </c>
      <c r="S3657" s="3" t="n">
        <v>0.0349</v>
      </c>
      <c r="T3657" s="3" t="n">
        <v>-0.0015</v>
      </c>
    </row>
    <row r="3658" customFormat="false" ht="15" hidden="false" customHeight="true" outlineLevel="0" collapsed="false">
      <c r="A3658" s="3" t="s">
        <v>4803</v>
      </c>
      <c r="B3658" s="3" t="s">
        <v>3486</v>
      </c>
      <c r="C3658" s="3" t="s">
        <v>120</v>
      </c>
      <c r="D3658" s="3" t="s">
        <v>83</v>
      </c>
      <c r="E3658" s="3" t="s">
        <v>48</v>
      </c>
      <c r="F3658" s="3" t="s">
        <v>62</v>
      </c>
      <c r="G3658" s="3" t="s">
        <v>116</v>
      </c>
      <c r="H3658" s="3" t="s">
        <v>27</v>
      </c>
      <c r="I3658" s="3" t="s">
        <v>94</v>
      </c>
      <c r="J3658" s="3" t="n">
        <v>36</v>
      </c>
      <c r="K3658" s="3" t="n">
        <v>37159.06</v>
      </c>
      <c r="L3658" s="3" t="n">
        <v>1337726.16</v>
      </c>
      <c r="M3658" s="3" t="n">
        <v>0.0826</v>
      </c>
      <c r="N3658" s="3" t="n">
        <v>110496.18</v>
      </c>
      <c r="O3658" s="3" t="n">
        <v>1227229.98</v>
      </c>
      <c r="P3658" s="3" t="n">
        <v>829390.22</v>
      </c>
      <c r="Q3658" s="3" t="n">
        <v>397839.76</v>
      </c>
      <c r="R3658" s="3" t="n">
        <v>0.3242</v>
      </c>
      <c r="S3658" s="3" t="n">
        <v>0.0809</v>
      </c>
      <c r="T3658" s="3" t="n">
        <v>0.0017</v>
      </c>
    </row>
    <row r="3659" customFormat="false" ht="15" hidden="false" customHeight="true" outlineLevel="0" collapsed="false">
      <c r="A3659" s="3" t="s">
        <v>4804</v>
      </c>
      <c r="B3659" s="3" t="s">
        <v>511</v>
      </c>
      <c r="C3659" s="3" t="s">
        <v>156</v>
      </c>
      <c r="D3659" s="3" t="s">
        <v>38</v>
      </c>
      <c r="E3659" s="3" t="s">
        <v>39</v>
      </c>
      <c r="F3659" s="3" t="s">
        <v>40</v>
      </c>
      <c r="G3659" s="3" t="s">
        <v>116</v>
      </c>
      <c r="H3659" s="3" t="s">
        <v>56</v>
      </c>
      <c r="I3659" s="3" t="s">
        <v>121</v>
      </c>
      <c r="J3659" s="3" t="n">
        <v>26</v>
      </c>
      <c r="K3659" s="3" t="n">
        <v>5035.08</v>
      </c>
      <c r="L3659" s="3" t="n">
        <v>130912.08</v>
      </c>
      <c r="M3659" s="3" t="n">
        <v>0.1102</v>
      </c>
      <c r="N3659" s="3" t="n">
        <v>14426.51</v>
      </c>
      <c r="O3659" s="3" t="n">
        <v>116485.57</v>
      </c>
      <c r="P3659" s="3" t="n">
        <v>78547.25</v>
      </c>
      <c r="Q3659" s="3" t="n">
        <v>37938.32</v>
      </c>
      <c r="R3659" s="3" t="n">
        <v>0.3257</v>
      </c>
      <c r="S3659" s="3" t="n">
        <v>0.1172</v>
      </c>
      <c r="T3659" s="3" t="n">
        <v>-0.007</v>
      </c>
    </row>
    <row r="3660" customFormat="false" ht="15" hidden="false" customHeight="true" outlineLevel="0" collapsed="false">
      <c r="A3660" s="3" t="s">
        <v>4805</v>
      </c>
      <c r="B3660" s="3" t="s">
        <v>4806</v>
      </c>
      <c r="C3660" s="3" t="s">
        <v>31</v>
      </c>
      <c r="D3660" s="3" t="s">
        <v>103</v>
      </c>
      <c r="E3660" s="3" t="s">
        <v>24</v>
      </c>
      <c r="F3660" s="3" t="s">
        <v>62</v>
      </c>
      <c r="G3660" s="3" t="s">
        <v>116</v>
      </c>
      <c r="H3660" s="3" t="s">
        <v>27</v>
      </c>
      <c r="I3660" s="3" t="s">
        <v>94</v>
      </c>
      <c r="J3660" s="3" t="n">
        <v>48</v>
      </c>
      <c r="K3660" s="3" t="n">
        <v>29498.97</v>
      </c>
      <c r="L3660" s="3" t="n">
        <v>1415950.56</v>
      </c>
      <c r="M3660" s="3" t="n">
        <v>0.0994</v>
      </c>
      <c r="N3660" s="3" t="n">
        <v>140745.49</v>
      </c>
      <c r="O3660" s="3" t="n">
        <v>1275205.07</v>
      </c>
      <c r="P3660" s="3" t="n">
        <v>877889.35</v>
      </c>
      <c r="Q3660" s="3" t="n">
        <v>397315.72</v>
      </c>
      <c r="R3660" s="3" t="n">
        <v>0.3116</v>
      </c>
      <c r="S3660" s="3" t="n">
        <v>0.0954</v>
      </c>
      <c r="T3660" s="3" t="n">
        <v>0.004</v>
      </c>
    </row>
    <row r="3661" customFormat="false" ht="15" hidden="false" customHeight="true" outlineLevel="0" collapsed="false">
      <c r="A3661" s="3" t="s">
        <v>4807</v>
      </c>
      <c r="B3661" s="3" t="s">
        <v>1080</v>
      </c>
      <c r="C3661" s="3" t="s">
        <v>156</v>
      </c>
      <c r="D3661" s="3" t="s">
        <v>61</v>
      </c>
      <c r="E3661" s="3" t="s">
        <v>33</v>
      </c>
      <c r="F3661" s="3" t="s">
        <v>62</v>
      </c>
      <c r="G3661" s="3" t="s">
        <v>71</v>
      </c>
      <c r="H3661" s="3" t="s">
        <v>56</v>
      </c>
      <c r="I3661" s="3" t="s">
        <v>57</v>
      </c>
      <c r="J3661" s="3" t="n">
        <v>31</v>
      </c>
      <c r="K3661" s="3" t="n">
        <v>9879.28</v>
      </c>
      <c r="L3661" s="3" t="n">
        <v>306257.68</v>
      </c>
      <c r="M3661" s="3" t="n">
        <v>0.0304</v>
      </c>
      <c r="N3661" s="3" t="n">
        <v>9310.23</v>
      </c>
      <c r="O3661" s="3" t="n">
        <v>296947.45</v>
      </c>
      <c r="P3661" s="3" t="n">
        <v>183754.61</v>
      </c>
      <c r="Q3661" s="3" t="n">
        <v>113192.84</v>
      </c>
      <c r="R3661" s="3" t="n">
        <v>0.3812</v>
      </c>
      <c r="S3661" s="3" t="n">
        <v>0.0302</v>
      </c>
      <c r="T3661" s="3" t="n">
        <v>0.0002</v>
      </c>
    </row>
    <row r="3662" customFormat="false" ht="15" hidden="false" customHeight="true" outlineLevel="0" collapsed="false">
      <c r="A3662" s="3" t="s">
        <v>4808</v>
      </c>
      <c r="B3662" s="3" t="s">
        <v>477</v>
      </c>
      <c r="C3662" s="3" t="s">
        <v>46</v>
      </c>
      <c r="D3662" s="3" t="s">
        <v>38</v>
      </c>
      <c r="E3662" s="3" t="s">
        <v>39</v>
      </c>
      <c r="F3662" s="3" t="s">
        <v>40</v>
      </c>
      <c r="G3662" s="3" t="s">
        <v>26</v>
      </c>
      <c r="H3662" s="3" t="s">
        <v>64</v>
      </c>
      <c r="I3662" s="3" t="s">
        <v>108</v>
      </c>
      <c r="J3662" s="3" t="n">
        <v>36</v>
      </c>
      <c r="K3662" s="3" t="n">
        <v>4466.43</v>
      </c>
      <c r="L3662" s="3" t="n">
        <v>160791.48</v>
      </c>
      <c r="M3662" s="3" t="n">
        <v>0.0754</v>
      </c>
      <c r="N3662" s="3" t="n">
        <v>12123.68</v>
      </c>
      <c r="O3662" s="3" t="n">
        <v>148667.8</v>
      </c>
      <c r="P3662" s="3" t="n">
        <v>93259.06</v>
      </c>
      <c r="Q3662" s="3" t="n">
        <v>55408.74</v>
      </c>
      <c r="R3662" s="3" t="n">
        <v>0.3727</v>
      </c>
      <c r="S3662" s="3" t="n">
        <v>0.0607</v>
      </c>
      <c r="T3662" s="3" t="n">
        <v>0.0147</v>
      </c>
    </row>
    <row r="3663" customFormat="false" ht="15" hidden="false" customHeight="true" outlineLevel="0" collapsed="false">
      <c r="A3663" s="3" t="s">
        <v>4809</v>
      </c>
      <c r="B3663" s="3" t="s">
        <v>4810</v>
      </c>
      <c r="C3663" s="3" t="s">
        <v>60</v>
      </c>
      <c r="D3663" s="3" t="s">
        <v>97</v>
      </c>
      <c r="E3663" s="3" t="s">
        <v>48</v>
      </c>
      <c r="F3663" s="3" t="s">
        <v>40</v>
      </c>
      <c r="G3663" s="3" t="s">
        <v>63</v>
      </c>
      <c r="H3663" s="3" t="s">
        <v>27</v>
      </c>
      <c r="I3663" s="3" t="s">
        <v>94</v>
      </c>
      <c r="J3663" s="3" t="n">
        <v>38</v>
      </c>
      <c r="K3663" s="3" t="n">
        <v>10679.34</v>
      </c>
      <c r="L3663" s="3" t="n">
        <v>405814.92</v>
      </c>
      <c r="M3663" s="3" t="n">
        <v>0.041</v>
      </c>
      <c r="N3663" s="3" t="n">
        <v>16638.41</v>
      </c>
      <c r="O3663" s="3" t="n">
        <v>389176.51</v>
      </c>
      <c r="P3663" s="3" t="n">
        <v>251605.25</v>
      </c>
      <c r="Q3663" s="3" t="n">
        <v>137571.26</v>
      </c>
      <c r="R3663" s="3" t="n">
        <v>0.3535</v>
      </c>
      <c r="S3663" s="3" t="n">
        <v>0.0337</v>
      </c>
      <c r="T3663" s="3" t="n">
        <v>0.0073</v>
      </c>
    </row>
    <row r="3664" customFormat="false" ht="15" hidden="false" customHeight="true" outlineLevel="0" collapsed="false">
      <c r="A3664" s="3" t="s">
        <v>4811</v>
      </c>
      <c r="B3664" s="3" t="s">
        <v>761</v>
      </c>
      <c r="C3664" s="3" t="s">
        <v>53</v>
      </c>
      <c r="D3664" s="3" t="s">
        <v>69</v>
      </c>
      <c r="E3664" s="3" t="s">
        <v>39</v>
      </c>
      <c r="F3664" s="3" t="s">
        <v>70</v>
      </c>
      <c r="G3664" s="3" t="s">
        <v>49</v>
      </c>
      <c r="H3664" s="3" t="s">
        <v>42</v>
      </c>
      <c r="I3664" s="3" t="s">
        <v>72</v>
      </c>
      <c r="J3664" s="3" t="n">
        <v>9</v>
      </c>
      <c r="K3664" s="3" t="n">
        <v>1071.18</v>
      </c>
      <c r="L3664" s="3" t="n">
        <v>9640.62</v>
      </c>
      <c r="M3664" s="3" t="n">
        <v>0.0321</v>
      </c>
      <c r="N3664" s="3" t="n">
        <v>309.46</v>
      </c>
      <c r="O3664" s="3" t="n">
        <v>9331.16</v>
      </c>
      <c r="P3664" s="3" t="n">
        <v>5302.34</v>
      </c>
      <c r="Q3664" s="3" t="n">
        <v>4028.82</v>
      </c>
      <c r="R3664" s="3" t="n">
        <v>0.4318</v>
      </c>
      <c r="S3664" s="3" t="n">
        <v>0.0261</v>
      </c>
      <c r="T3664" s="3" t="n">
        <v>0.006</v>
      </c>
    </row>
    <row r="3665" customFormat="false" ht="15" hidden="false" customHeight="true" outlineLevel="0" collapsed="false">
      <c r="A3665" s="3" t="s">
        <v>4812</v>
      </c>
      <c r="B3665" s="3" t="s">
        <v>1141</v>
      </c>
      <c r="C3665" s="3" t="s">
        <v>37</v>
      </c>
      <c r="D3665" s="3" t="s">
        <v>32</v>
      </c>
      <c r="E3665" s="3" t="s">
        <v>33</v>
      </c>
      <c r="F3665" s="3" t="s">
        <v>25</v>
      </c>
      <c r="G3665" s="3" t="s">
        <v>71</v>
      </c>
      <c r="H3665" s="3" t="s">
        <v>64</v>
      </c>
      <c r="I3665" s="3" t="s">
        <v>90</v>
      </c>
      <c r="J3665" s="3" t="n">
        <v>31</v>
      </c>
      <c r="K3665" s="3" t="n">
        <v>3657.38</v>
      </c>
      <c r="L3665" s="3" t="n">
        <v>113378.78</v>
      </c>
      <c r="M3665" s="3" t="n">
        <v>0.1366</v>
      </c>
      <c r="N3665" s="3" t="n">
        <v>15487.54</v>
      </c>
      <c r="O3665" s="3" t="n">
        <v>97891.24</v>
      </c>
      <c r="P3665" s="3" t="n">
        <v>65759.69</v>
      </c>
      <c r="Q3665" s="3" t="n">
        <v>32131.55</v>
      </c>
      <c r="R3665" s="3" t="n">
        <v>0.3282</v>
      </c>
      <c r="S3665" s="3" t="n">
        <v>0.125</v>
      </c>
      <c r="T3665" s="3" t="n">
        <v>0.0116</v>
      </c>
    </row>
    <row r="3666" customFormat="false" ht="15" hidden="false" customHeight="true" outlineLevel="0" collapsed="false">
      <c r="A3666" s="3" t="s">
        <v>4813</v>
      </c>
      <c r="B3666" s="3" t="s">
        <v>264</v>
      </c>
      <c r="C3666" s="3" t="s">
        <v>113</v>
      </c>
      <c r="D3666" s="3" t="s">
        <v>97</v>
      </c>
      <c r="E3666" s="3" t="s">
        <v>48</v>
      </c>
      <c r="F3666" s="3" t="s">
        <v>40</v>
      </c>
      <c r="G3666" s="3" t="s">
        <v>100</v>
      </c>
      <c r="H3666" s="3" t="s">
        <v>77</v>
      </c>
      <c r="I3666" s="3" t="s">
        <v>78</v>
      </c>
      <c r="J3666" s="3" t="n">
        <v>26</v>
      </c>
      <c r="K3666" s="3" t="n">
        <v>1233.14</v>
      </c>
      <c r="L3666" s="3" t="n">
        <v>32061.64</v>
      </c>
      <c r="M3666" s="3" t="n">
        <v>0.0353</v>
      </c>
      <c r="N3666" s="3" t="n">
        <v>1131.78</v>
      </c>
      <c r="O3666" s="3" t="n">
        <v>30929.86</v>
      </c>
      <c r="P3666" s="3" t="n">
        <v>21801.92</v>
      </c>
      <c r="Q3666" s="3" t="n">
        <v>9127.94</v>
      </c>
      <c r="R3666" s="3" t="n">
        <v>0.2951</v>
      </c>
      <c r="S3666" s="3" t="n">
        <v>0.0378</v>
      </c>
      <c r="T3666" s="3" t="n">
        <v>-0.0025</v>
      </c>
    </row>
    <row r="3667" customFormat="false" ht="15" hidden="false" customHeight="true" outlineLevel="0" collapsed="false">
      <c r="A3667" s="3" t="s">
        <v>4814</v>
      </c>
      <c r="B3667" s="3" t="s">
        <v>2799</v>
      </c>
      <c r="C3667" s="3" t="s">
        <v>46</v>
      </c>
      <c r="D3667" s="3" t="s">
        <v>97</v>
      </c>
      <c r="E3667" s="3" t="s">
        <v>48</v>
      </c>
      <c r="F3667" s="3" t="s">
        <v>40</v>
      </c>
      <c r="G3667" s="3" t="s">
        <v>71</v>
      </c>
      <c r="H3667" s="3" t="s">
        <v>64</v>
      </c>
      <c r="I3667" s="3" t="s">
        <v>65</v>
      </c>
      <c r="J3667" s="3" t="n">
        <v>4</v>
      </c>
      <c r="K3667" s="3" t="n">
        <v>5065.97</v>
      </c>
      <c r="L3667" s="3" t="n">
        <v>20263.88</v>
      </c>
      <c r="M3667" s="3" t="n">
        <v>0.0797</v>
      </c>
      <c r="N3667" s="3" t="n">
        <v>1615.03</v>
      </c>
      <c r="O3667" s="3" t="n">
        <v>18648.85</v>
      </c>
      <c r="P3667" s="3" t="n">
        <v>11753.05</v>
      </c>
      <c r="Q3667" s="3" t="n">
        <v>6895.8</v>
      </c>
      <c r="R3667" s="3" t="n">
        <v>0.3698</v>
      </c>
      <c r="S3667" s="3" t="n">
        <v>0.0863</v>
      </c>
      <c r="T3667" s="3" t="n">
        <v>-0.0066</v>
      </c>
    </row>
    <row r="3668" customFormat="false" ht="15" hidden="false" customHeight="true" outlineLevel="0" collapsed="false">
      <c r="A3668" s="3" t="s">
        <v>4815</v>
      </c>
      <c r="B3668" s="3" t="s">
        <v>1302</v>
      </c>
      <c r="C3668" s="3" t="s">
        <v>22</v>
      </c>
      <c r="D3668" s="3" t="s">
        <v>47</v>
      </c>
      <c r="E3668" s="3" t="s">
        <v>48</v>
      </c>
      <c r="F3668" s="3" t="s">
        <v>25</v>
      </c>
      <c r="G3668" s="3" t="s">
        <v>71</v>
      </c>
      <c r="H3668" s="3" t="s">
        <v>42</v>
      </c>
      <c r="I3668" s="3" t="s">
        <v>134</v>
      </c>
      <c r="J3668" s="3" t="n">
        <v>8</v>
      </c>
      <c r="K3668" s="3" t="n">
        <v>826.56</v>
      </c>
      <c r="L3668" s="3" t="n">
        <v>6612.48</v>
      </c>
      <c r="M3668" s="3" t="n">
        <v>0.1104</v>
      </c>
      <c r="N3668" s="3" t="n">
        <v>730.02</v>
      </c>
      <c r="O3668" s="3" t="n">
        <v>5882.46</v>
      </c>
      <c r="P3668" s="3" t="n">
        <v>3636.86</v>
      </c>
      <c r="Q3668" s="3" t="n">
        <v>2245.6</v>
      </c>
      <c r="R3668" s="3" t="n">
        <v>0.3817</v>
      </c>
      <c r="S3668" s="3" t="n">
        <v>0.1063</v>
      </c>
      <c r="T3668" s="3" t="n">
        <v>0.0041</v>
      </c>
    </row>
    <row r="3669" customFormat="false" ht="15" hidden="false" customHeight="true" outlineLevel="0" collapsed="false">
      <c r="A3669" s="3" t="s">
        <v>4816</v>
      </c>
      <c r="B3669" s="3" t="s">
        <v>2035</v>
      </c>
      <c r="C3669" s="3" t="s">
        <v>113</v>
      </c>
      <c r="D3669" s="3" t="s">
        <v>61</v>
      </c>
      <c r="E3669" s="3" t="s">
        <v>33</v>
      </c>
      <c r="F3669" s="3" t="s">
        <v>62</v>
      </c>
      <c r="G3669" s="3" t="s">
        <v>71</v>
      </c>
      <c r="H3669" s="3" t="s">
        <v>64</v>
      </c>
      <c r="I3669" s="3" t="s">
        <v>108</v>
      </c>
      <c r="J3669" s="3" t="n">
        <v>39</v>
      </c>
      <c r="K3669" s="3" t="n">
        <v>8531.23</v>
      </c>
      <c r="L3669" s="3" t="n">
        <v>332717.97</v>
      </c>
      <c r="M3669" s="3" t="n">
        <v>0.0763</v>
      </c>
      <c r="N3669" s="3" t="n">
        <v>25386.38</v>
      </c>
      <c r="O3669" s="3" t="n">
        <v>307331.59</v>
      </c>
      <c r="P3669" s="3" t="n">
        <v>192976.42</v>
      </c>
      <c r="Q3669" s="3" t="n">
        <v>114355.17</v>
      </c>
      <c r="R3669" s="3" t="n">
        <v>0.3721</v>
      </c>
      <c r="S3669" s="3" t="n">
        <v>0.0624</v>
      </c>
      <c r="T3669" s="3" t="n">
        <v>0.0139</v>
      </c>
    </row>
    <row r="3670" customFormat="false" ht="15" hidden="false" customHeight="true" outlineLevel="0" collapsed="false">
      <c r="A3670" s="3" t="s">
        <v>4817</v>
      </c>
      <c r="B3670" s="3" t="s">
        <v>319</v>
      </c>
      <c r="C3670" s="3" t="s">
        <v>60</v>
      </c>
      <c r="D3670" s="3" t="s">
        <v>103</v>
      </c>
      <c r="E3670" s="3" t="s">
        <v>24</v>
      </c>
      <c r="F3670" s="3" t="s">
        <v>62</v>
      </c>
      <c r="G3670" s="3" t="s">
        <v>26</v>
      </c>
      <c r="H3670" s="3" t="s">
        <v>42</v>
      </c>
      <c r="I3670" s="3" t="s">
        <v>72</v>
      </c>
      <c r="J3670" s="3" t="n">
        <v>32</v>
      </c>
      <c r="K3670" s="3" t="n">
        <v>2277.89</v>
      </c>
      <c r="L3670" s="3" t="n">
        <v>72892.48</v>
      </c>
      <c r="M3670" s="3" t="n">
        <v>0.059</v>
      </c>
      <c r="N3670" s="3" t="n">
        <v>4300.66</v>
      </c>
      <c r="O3670" s="3" t="n">
        <v>68591.82</v>
      </c>
      <c r="P3670" s="3" t="n">
        <v>40090.86</v>
      </c>
      <c r="Q3670" s="3" t="n">
        <v>28500.96</v>
      </c>
      <c r="R3670" s="3" t="n">
        <v>0.4155</v>
      </c>
      <c r="S3670" s="3" t="n">
        <v>0.0483</v>
      </c>
      <c r="T3670" s="3" t="n">
        <v>0.0107</v>
      </c>
    </row>
    <row r="3671" customFormat="false" ht="15" hidden="false" customHeight="true" outlineLevel="0" collapsed="false">
      <c r="A3671" s="3" t="s">
        <v>4818</v>
      </c>
      <c r="B3671" s="3" t="s">
        <v>2665</v>
      </c>
      <c r="C3671" s="3" t="s">
        <v>68</v>
      </c>
      <c r="D3671" s="3" t="s">
        <v>75</v>
      </c>
      <c r="E3671" s="3" t="s">
        <v>39</v>
      </c>
      <c r="F3671" s="3" t="s">
        <v>25</v>
      </c>
      <c r="G3671" s="3" t="s">
        <v>76</v>
      </c>
      <c r="H3671" s="3" t="s">
        <v>64</v>
      </c>
      <c r="I3671" s="3" t="s">
        <v>65</v>
      </c>
      <c r="J3671" s="3" t="n">
        <v>22</v>
      </c>
      <c r="K3671" s="3" t="n">
        <v>10343.95</v>
      </c>
      <c r="L3671" s="3" t="n">
        <v>227566.9</v>
      </c>
      <c r="M3671" s="3" t="n">
        <v>0.1444</v>
      </c>
      <c r="N3671" s="3" t="n">
        <v>32860.66</v>
      </c>
      <c r="O3671" s="3" t="n">
        <v>194706.24</v>
      </c>
      <c r="P3671" s="3" t="n">
        <v>131988.8</v>
      </c>
      <c r="Q3671" s="3" t="n">
        <v>62717.44</v>
      </c>
      <c r="R3671" s="3" t="n">
        <v>0.3221</v>
      </c>
      <c r="S3671" s="3" t="n">
        <v>0.1459</v>
      </c>
      <c r="T3671" s="3" t="n">
        <v>-0.0015</v>
      </c>
    </row>
    <row r="3672" customFormat="false" ht="15" hidden="false" customHeight="true" outlineLevel="0" collapsed="false">
      <c r="A3672" s="3" t="s">
        <v>4819</v>
      </c>
      <c r="B3672" s="3" t="s">
        <v>364</v>
      </c>
      <c r="C3672" s="3" t="s">
        <v>31</v>
      </c>
      <c r="D3672" s="3" t="s">
        <v>61</v>
      </c>
      <c r="E3672" s="3" t="s">
        <v>33</v>
      </c>
      <c r="F3672" s="3" t="s">
        <v>62</v>
      </c>
      <c r="G3672" s="3" t="s">
        <v>26</v>
      </c>
      <c r="H3672" s="3" t="s">
        <v>27</v>
      </c>
      <c r="I3672" s="3" t="s">
        <v>94</v>
      </c>
      <c r="J3672" s="3" t="n">
        <v>7</v>
      </c>
      <c r="K3672" s="3" t="n">
        <v>20380.9</v>
      </c>
      <c r="L3672" s="3" t="n">
        <v>142666.3</v>
      </c>
      <c r="M3672" s="3" t="n">
        <v>0.0585</v>
      </c>
      <c r="N3672" s="3" t="n">
        <v>8345.98</v>
      </c>
      <c r="O3672" s="3" t="n">
        <v>134320.32</v>
      </c>
      <c r="P3672" s="3" t="n">
        <v>88453.11</v>
      </c>
      <c r="Q3672" s="3" t="n">
        <v>45867.21</v>
      </c>
      <c r="R3672" s="3" t="n">
        <v>0.3415</v>
      </c>
      <c r="S3672" s="3" t="n">
        <v>0.0619</v>
      </c>
      <c r="T3672" s="3" t="n">
        <v>-0.0034</v>
      </c>
    </row>
    <row r="3673" customFormat="false" ht="15" hidden="false" customHeight="true" outlineLevel="0" collapsed="false">
      <c r="A3673" s="3" t="s">
        <v>4820</v>
      </c>
      <c r="B3673" s="3" t="s">
        <v>3972</v>
      </c>
      <c r="C3673" s="3" t="s">
        <v>31</v>
      </c>
      <c r="D3673" s="3" t="s">
        <v>32</v>
      </c>
      <c r="E3673" s="3" t="s">
        <v>33</v>
      </c>
      <c r="F3673" s="3" t="s">
        <v>25</v>
      </c>
      <c r="G3673" s="3" t="s">
        <v>104</v>
      </c>
      <c r="H3673" s="3" t="s">
        <v>42</v>
      </c>
      <c r="I3673" s="3" t="s">
        <v>134</v>
      </c>
      <c r="J3673" s="3" t="n">
        <v>6</v>
      </c>
      <c r="K3673" s="3" t="n">
        <v>1703.23</v>
      </c>
      <c r="L3673" s="3" t="n">
        <v>10219.38</v>
      </c>
      <c r="M3673" s="3" t="n">
        <v>0.1873</v>
      </c>
      <c r="N3673" s="3" t="n">
        <v>1914.09</v>
      </c>
      <c r="O3673" s="3" t="n">
        <v>8305.29</v>
      </c>
      <c r="P3673" s="3" t="n">
        <v>5620.66</v>
      </c>
      <c r="Q3673" s="3" t="n">
        <v>2684.63</v>
      </c>
      <c r="R3673" s="3" t="n">
        <v>0.3232</v>
      </c>
      <c r="S3673" s="3" t="n">
        <v>0.1502</v>
      </c>
      <c r="T3673" s="3" t="n">
        <v>0.0371</v>
      </c>
    </row>
    <row r="3674" customFormat="false" ht="15" hidden="false" customHeight="true" outlineLevel="0" collapsed="false">
      <c r="A3674" s="3" t="s">
        <v>4821</v>
      </c>
      <c r="B3674" s="3" t="s">
        <v>1409</v>
      </c>
      <c r="C3674" s="3" t="s">
        <v>31</v>
      </c>
      <c r="D3674" s="3" t="s">
        <v>61</v>
      </c>
      <c r="E3674" s="3" t="s">
        <v>33</v>
      </c>
      <c r="F3674" s="3" t="s">
        <v>62</v>
      </c>
      <c r="G3674" s="3" t="s">
        <v>116</v>
      </c>
      <c r="H3674" s="3" t="s">
        <v>77</v>
      </c>
      <c r="I3674" s="3" t="s">
        <v>78</v>
      </c>
      <c r="J3674" s="3" t="n">
        <v>36</v>
      </c>
      <c r="K3674" s="3" t="n">
        <v>5718.84</v>
      </c>
      <c r="L3674" s="3" t="n">
        <v>205878.24</v>
      </c>
      <c r="M3674" s="3" t="n">
        <v>0.0986</v>
      </c>
      <c r="N3674" s="3" t="n">
        <v>20299.59</v>
      </c>
      <c r="O3674" s="3" t="n">
        <v>185578.65</v>
      </c>
      <c r="P3674" s="3" t="n">
        <v>139997.2</v>
      </c>
      <c r="Q3674" s="3" t="n">
        <v>45581.45</v>
      </c>
      <c r="R3674" s="3" t="n">
        <v>0.2456</v>
      </c>
      <c r="S3674" s="3" t="n">
        <v>0.1037</v>
      </c>
      <c r="T3674" s="3" t="n">
        <v>-0.0051</v>
      </c>
    </row>
    <row r="3675" customFormat="false" ht="15" hidden="false" customHeight="true" outlineLevel="0" collapsed="false">
      <c r="A3675" s="3" t="s">
        <v>4822</v>
      </c>
      <c r="B3675" s="3" t="s">
        <v>1106</v>
      </c>
      <c r="C3675" s="3" t="s">
        <v>53</v>
      </c>
      <c r="D3675" s="3" t="s">
        <v>107</v>
      </c>
      <c r="E3675" s="3" t="s">
        <v>33</v>
      </c>
      <c r="F3675" s="3" t="s">
        <v>70</v>
      </c>
      <c r="G3675" s="3" t="s">
        <v>84</v>
      </c>
      <c r="H3675" s="3" t="s">
        <v>27</v>
      </c>
      <c r="I3675" s="3" t="s">
        <v>94</v>
      </c>
      <c r="J3675" s="3" t="n">
        <v>17</v>
      </c>
      <c r="K3675" s="3" t="n">
        <v>37025.17</v>
      </c>
      <c r="L3675" s="3" t="n">
        <v>629427.89</v>
      </c>
      <c r="M3675" s="3" t="n">
        <v>0.0319</v>
      </c>
      <c r="N3675" s="3" t="n">
        <v>20078.75</v>
      </c>
      <c r="O3675" s="3" t="n">
        <v>609349.14</v>
      </c>
      <c r="P3675" s="3" t="n">
        <v>390245.29</v>
      </c>
      <c r="Q3675" s="3" t="n">
        <v>219103.85</v>
      </c>
      <c r="R3675" s="3" t="n">
        <v>0.3596</v>
      </c>
      <c r="S3675" s="3" t="n">
        <v>0.0281</v>
      </c>
      <c r="T3675" s="3" t="n">
        <v>0.0038</v>
      </c>
    </row>
    <row r="3676" customFormat="false" ht="15" hidden="false" customHeight="true" outlineLevel="0" collapsed="false">
      <c r="A3676" s="3" t="s">
        <v>4823</v>
      </c>
      <c r="B3676" s="3" t="s">
        <v>1635</v>
      </c>
      <c r="C3676" s="3" t="s">
        <v>31</v>
      </c>
      <c r="D3676" s="3" t="s">
        <v>38</v>
      </c>
      <c r="E3676" s="3" t="s">
        <v>39</v>
      </c>
      <c r="F3676" s="3" t="s">
        <v>40</v>
      </c>
      <c r="G3676" s="3" t="s">
        <v>76</v>
      </c>
      <c r="H3676" s="3" t="s">
        <v>42</v>
      </c>
      <c r="I3676" s="3" t="s">
        <v>134</v>
      </c>
      <c r="J3676" s="3" t="n">
        <v>23</v>
      </c>
      <c r="K3676" s="3" t="n">
        <v>2481.14</v>
      </c>
      <c r="L3676" s="3" t="n">
        <v>57066.22</v>
      </c>
      <c r="M3676" s="3" t="n">
        <v>0.0315</v>
      </c>
      <c r="N3676" s="3" t="n">
        <v>1797.59</v>
      </c>
      <c r="O3676" s="3" t="n">
        <v>55268.63</v>
      </c>
      <c r="P3676" s="3" t="n">
        <v>31386.42</v>
      </c>
      <c r="Q3676" s="3" t="n">
        <v>23882.21</v>
      </c>
      <c r="R3676" s="3" t="n">
        <v>0.4321</v>
      </c>
      <c r="S3676" s="3" t="n">
        <v>0.0253</v>
      </c>
      <c r="T3676" s="3" t="n">
        <v>0.0062</v>
      </c>
    </row>
    <row r="3677" customFormat="false" ht="15" hidden="false" customHeight="true" outlineLevel="0" collapsed="false">
      <c r="A3677" s="3" t="s">
        <v>4824</v>
      </c>
      <c r="B3677" s="3" t="s">
        <v>4282</v>
      </c>
      <c r="C3677" s="3" t="s">
        <v>31</v>
      </c>
      <c r="D3677" s="3" t="s">
        <v>23</v>
      </c>
      <c r="E3677" s="3" t="s">
        <v>24</v>
      </c>
      <c r="F3677" s="3" t="s">
        <v>25</v>
      </c>
      <c r="G3677" s="3" t="s">
        <v>104</v>
      </c>
      <c r="H3677" s="3" t="s">
        <v>42</v>
      </c>
      <c r="I3677" s="3" t="s">
        <v>72</v>
      </c>
      <c r="J3677" s="3" t="n">
        <v>9</v>
      </c>
      <c r="K3677" s="3" t="n">
        <v>1948.9</v>
      </c>
      <c r="L3677" s="3" t="n">
        <v>17540.1</v>
      </c>
      <c r="M3677" s="3" t="n">
        <v>0.1748</v>
      </c>
      <c r="N3677" s="3" t="n">
        <v>3066.01</v>
      </c>
      <c r="O3677" s="3" t="n">
        <v>14474.09</v>
      </c>
      <c r="P3677" s="3" t="n">
        <v>9647.06</v>
      </c>
      <c r="Q3677" s="3" t="n">
        <v>4827.03</v>
      </c>
      <c r="R3677" s="3" t="n">
        <v>0.3335</v>
      </c>
      <c r="S3677" s="3" t="n">
        <v>0.171</v>
      </c>
      <c r="T3677" s="3" t="n">
        <v>0.0038</v>
      </c>
    </row>
    <row r="3678" customFormat="false" ht="15" hidden="false" customHeight="true" outlineLevel="0" collapsed="false">
      <c r="A3678" s="3" t="s">
        <v>4825</v>
      </c>
      <c r="B3678" s="3" t="s">
        <v>3890</v>
      </c>
      <c r="C3678" s="3" t="s">
        <v>156</v>
      </c>
      <c r="D3678" s="3" t="s">
        <v>69</v>
      </c>
      <c r="E3678" s="3" t="s">
        <v>39</v>
      </c>
      <c r="F3678" s="3" t="s">
        <v>70</v>
      </c>
      <c r="G3678" s="3" t="s">
        <v>100</v>
      </c>
      <c r="H3678" s="3" t="s">
        <v>56</v>
      </c>
      <c r="I3678" s="3" t="s">
        <v>121</v>
      </c>
      <c r="J3678" s="3" t="n">
        <v>23</v>
      </c>
      <c r="K3678" s="3" t="n">
        <v>16632.84</v>
      </c>
      <c r="L3678" s="3" t="n">
        <v>382555.32</v>
      </c>
      <c r="M3678" s="3" t="n">
        <v>0.0586</v>
      </c>
      <c r="N3678" s="3" t="n">
        <v>22417.74</v>
      </c>
      <c r="O3678" s="3" t="n">
        <v>360137.58</v>
      </c>
      <c r="P3678" s="3" t="n">
        <v>229533.19</v>
      </c>
      <c r="Q3678" s="3" t="n">
        <v>130604.39</v>
      </c>
      <c r="R3678" s="3" t="n">
        <v>0.3627</v>
      </c>
      <c r="S3678" s="3" t="n">
        <v>0.0554</v>
      </c>
      <c r="T3678" s="3" t="n">
        <v>0.0032</v>
      </c>
    </row>
    <row r="3679" customFormat="false" ht="15" hidden="false" customHeight="true" outlineLevel="0" collapsed="false">
      <c r="A3679" s="3" t="s">
        <v>4826</v>
      </c>
      <c r="B3679" s="3" t="s">
        <v>862</v>
      </c>
      <c r="C3679" s="3" t="s">
        <v>93</v>
      </c>
      <c r="D3679" s="3" t="s">
        <v>75</v>
      </c>
      <c r="E3679" s="3" t="s">
        <v>39</v>
      </c>
      <c r="F3679" s="3" t="s">
        <v>25</v>
      </c>
      <c r="G3679" s="3" t="s">
        <v>116</v>
      </c>
      <c r="H3679" s="3" t="s">
        <v>56</v>
      </c>
      <c r="I3679" s="3" t="s">
        <v>57</v>
      </c>
      <c r="J3679" s="3" t="n">
        <v>43</v>
      </c>
      <c r="K3679" s="3" t="n">
        <v>6880.79</v>
      </c>
      <c r="L3679" s="3" t="n">
        <v>295873.97</v>
      </c>
      <c r="M3679" s="3" t="n">
        <v>0.147</v>
      </c>
      <c r="N3679" s="3" t="n">
        <v>43493.47</v>
      </c>
      <c r="O3679" s="3" t="n">
        <v>252380.5</v>
      </c>
      <c r="P3679" s="3" t="n">
        <v>177524.38</v>
      </c>
      <c r="Q3679" s="3" t="n">
        <v>74856.12</v>
      </c>
      <c r="R3679" s="3" t="n">
        <v>0.2966</v>
      </c>
      <c r="S3679" s="3" t="n">
        <v>0.1586</v>
      </c>
      <c r="T3679" s="3" t="n">
        <v>-0.0116</v>
      </c>
    </row>
    <row r="3680" customFormat="false" ht="15" hidden="false" customHeight="true" outlineLevel="0" collapsed="false">
      <c r="A3680" s="3" t="s">
        <v>4827</v>
      </c>
      <c r="B3680" s="3" t="s">
        <v>1186</v>
      </c>
      <c r="C3680" s="3" t="s">
        <v>31</v>
      </c>
      <c r="D3680" s="3" t="s">
        <v>23</v>
      </c>
      <c r="E3680" s="3" t="s">
        <v>24</v>
      </c>
      <c r="F3680" s="3" t="s">
        <v>25</v>
      </c>
      <c r="G3680" s="3" t="s">
        <v>41</v>
      </c>
      <c r="H3680" s="3" t="s">
        <v>77</v>
      </c>
      <c r="I3680" s="3" t="s">
        <v>78</v>
      </c>
      <c r="J3680" s="3" t="n">
        <v>13</v>
      </c>
      <c r="K3680" s="3" t="n">
        <v>2717.74</v>
      </c>
      <c r="L3680" s="3" t="n">
        <v>35330.62</v>
      </c>
      <c r="M3680" s="3" t="n">
        <v>0.1854</v>
      </c>
      <c r="N3680" s="3" t="n">
        <v>6550.3</v>
      </c>
      <c r="O3680" s="3" t="n">
        <v>28780.32</v>
      </c>
      <c r="P3680" s="3" t="n">
        <v>24024.82</v>
      </c>
      <c r="Q3680" s="3" t="n">
        <v>4755.5</v>
      </c>
      <c r="R3680" s="3" t="n">
        <v>0.1652</v>
      </c>
      <c r="S3680" s="3" t="n">
        <v>0.1902</v>
      </c>
      <c r="T3680" s="3" t="n">
        <v>-0.0048</v>
      </c>
    </row>
    <row r="3681" customFormat="false" ht="15" hidden="false" customHeight="true" outlineLevel="0" collapsed="false">
      <c r="A3681" s="3" t="s">
        <v>4828</v>
      </c>
      <c r="B3681" s="3" t="s">
        <v>196</v>
      </c>
      <c r="C3681" s="3" t="s">
        <v>126</v>
      </c>
      <c r="D3681" s="3" t="s">
        <v>38</v>
      </c>
      <c r="E3681" s="3" t="s">
        <v>39</v>
      </c>
      <c r="F3681" s="3" t="s">
        <v>40</v>
      </c>
      <c r="G3681" s="3" t="s">
        <v>49</v>
      </c>
      <c r="H3681" s="3" t="s">
        <v>27</v>
      </c>
      <c r="I3681" s="3" t="s">
        <v>94</v>
      </c>
      <c r="J3681" s="3" t="n">
        <v>7</v>
      </c>
      <c r="K3681" s="3" t="n">
        <v>14248.03</v>
      </c>
      <c r="L3681" s="3" t="n">
        <v>99736.21</v>
      </c>
      <c r="M3681" s="3" t="n">
        <v>0.0495</v>
      </c>
      <c r="N3681" s="3" t="n">
        <v>4936.94</v>
      </c>
      <c r="O3681" s="3" t="n">
        <v>94799.27</v>
      </c>
      <c r="P3681" s="3" t="n">
        <v>61836.45</v>
      </c>
      <c r="Q3681" s="3" t="n">
        <v>32962.82</v>
      </c>
      <c r="R3681" s="3" t="n">
        <v>0.3477</v>
      </c>
      <c r="S3681" s="3" t="n">
        <v>0.047</v>
      </c>
      <c r="T3681" s="3" t="n">
        <v>0.0025</v>
      </c>
    </row>
    <row r="3682" customFormat="false" ht="15" hidden="false" customHeight="true" outlineLevel="0" collapsed="false">
      <c r="A3682" s="3" t="s">
        <v>4829</v>
      </c>
      <c r="B3682" s="3" t="s">
        <v>452</v>
      </c>
      <c r="C3682" s="3" t="s">
        <v>68</v>
      </c>
      <c r="D3682" s="3" t="s">
        <v>107</v>
      </c>
      <c r="E3682" s="3" t="s">
        <v>33</v>
      </c>
      <c r="F3682" s="3" t="s">
        <v>70</v>
      </c>
      <c r="G3682" s="3" t="s">
        <v>84</v>
      </c>
      <c r="H3682" s="3" t="s">
        <v>77</v>
      </c>
      <c r="I3682" s="3" t="s">
        <v>131</v>
      </c>
      <c r="J3682" s="3" t="n">
        <v>44</v>
      </c>
      <c r="K3682" s="3" t="n">
        <v>5948.3</v>
      </c>
      <c r="L3682" s="3" t="n">
        <v>261725.2</v>
      </c>
      <c r="M3682" s="3" t="n">
        <v>0.0656</v>
      </c>
      <c r="N3682" s="3" t="n">
        <v>17169.17</v>
      </c>
      <c r="O3682" s="3" t="n">
        <v>244556.03</v>
      </c>
      <c r="P3682" s="3" t="n">
        <v>177973.14</v>
      </c>
      <c r="Q3682" s="3" t="n">
        <v>66582.89</v>
      </c>
      <c r="R3682" s="3" t="n">
        <v>0.2723</v>
      </c>
      <c r="S3682" s="3" t="n">
        <v>0.0588</v>
      </c>
      <c r="T3682" s="3" t="n">
        <v>0.0068</v>
      </c>
    </row>
    <row r="3683" customFormat="false" ht="15" hidden="false" customHeight="true" outlineLevel="0" collapsed="false">
      <c r="A3683" s="3" t="s">
        <v>4830</v>
      </c>
      <c r="B3683" s="3" t="s">
        <v>2441</v>
      </c>
      <c r="C3683" s="3" t="s">
        <v>46</v>
      </c>
      <c r="D3683" s="3" t="s">
        <v>32</v>
      </c>
      <c r="E3683" s="3" t="s">
        <v>33</v>
      </c>
      <c r="F3683" s="3" t="s">
        <v>25</v>
      </c>
      <c r="G3683" s="3" t="s">
        <v>41</v>
      </c>
      <c r="H3683" s="3" t="s">
        <v>64</v>
      </c>
      <c r="I3683" s="3" t="s">
        <v>90</v>
      </c>
      <c r="J3683" s="3" t="n">
        <v>29</v>
      </c>
      <c r="K3683" s="3" t="n">
        <v>8478.75</v>
      </c>
      <c r="L3683" s="3" t="n">
        <v>245883.75</v>
      </c>
      <c r="M3683" s="3" t="n">
        <v>0.175</v>
      </c>
      <c r="N3683" s="3" t="n">
        <v>43029.66</v>
      </c>
      <c r="O3683" s="3" t="n">
        <v>202854.09</v>
      </c>
      <c r="P3683" s="3" t="n">
        <v>142612.57</v>
      </c>
      <c r="Q3683" s="3" t="n">
        <v>60241.52</v>
      </c>
      <c r="R3683" s="3" t="n">
        <v>0.297</v>
      </c>
      <c r="S3683" s="3" t="n">
        <v>0.1472</v>
      </c>
      <c r="T3683" s="3" t="n">
        <v>0.0278</v>
      </c>
    </row>
    <row r="3684" customFormat="false" ht="15" hidden="false" customHeight="true" outlineLevel="0" collapsed="false">
      <c r="A3684" s="3" t="s">
        <v>4831</v>
      </c>
      <c r="B3684" s="3" t="s">
        <v>3042</v>
      </c>
      <c r="C3684" s="3" t="s">
        <v>68</v>
      </c>
      <c r="D3684" s="3" t="s">
        <v>97</v>
      </c>
      <c r="E3684" s="3" t="s">
        <v>48</v>
      </c>
      <c r="F3684" s="3" t="s">
        <v>40</v>
      </c>
      <c r="G3684" s="3" t="s">
        <v>63</v>
      </c>
      <c r="H3684" s="3" t="s">
        <v>56</v>
      </c>
      <c r="I3684" s="3" t="s">
        <v>57</v>
      </c>
      <c r="J3684" s="3" t="n">
        <v>13</v>
      </c>
      <c r="K3684" s="3" t="n">
        <v>2126.05</v>
      </c>
      <c r="L3684" s="3" t="n">
        <v>27638.65</v>
      </c>
      <c r="M3684" s="3" t="n">
        <v>0.0454</v>
      </c>
      <c r="N3684" s="3" t="n">
        <v>1254.79</v>
      </c>
      <c r="O3684" s="3" t="n">
        <v>26383.86</v>
      </c>
      <c r="P3684" s="3" t="n">
        <v>16583.19</v>
      </c>
      <c r="Q3684" s="3" t="n">
        <v>9800.67</v>
      </c>
      <c r="R3684" s="3" t="n">
        <v>0.3715</v>
      </c>
      <c r="S3684" s="3" t="n">
        <v>0.0381</v>
      </c>
      <c r="T3684" s="3" t="n">
        <v>0.0073</v>
      </c>
    </row>
    <row r="3685" customFormat="false" ht="15" hidden="false" customHeight="true" outlineLevel="0" collapsed="false">
      <c r="A3685" s="3" t="s">
        <v>4832</v>
      </c>
      <c r="B3685" s="3" t="s">
        <v>1520</v>
      </c>
      <c r="C3685" s="3" t="s">
        <v>120</v>
      </c>
      <c r="D3685" s="3" t="s">
        <v>47</v>
      </c>
      <c r="E3685" s="3" t="s">
        <v>48</v>
      </c>
      <c r="F3685" s="3" t="s">
        <v>25</v>
      </c>
      <c r="G3685" s="3" t="s">
        <v>71</v>
      </c>
      <c r="H3685" s="3" t="s">
        <v>56</v>
      </c>
      <c r="I3685" s="3" t="s">
        <v>121</v>
      </c>
      <c r="J3685" s="3" t="n">
        <v>44</v>
      </c>
      <c r="K3685" s="3" t="n">
        <v>17966.75</v>
      </c>
      <c r="L3685" s="3" t="n">
        <v>790537</v>
      </c>
      <c r="M3685" s="3" t="n">
        <v>0.1427</v>
      </c>
      <c r="N3685" s="3" t="n">
        <v>112809.63</v>
      </c>
      <c r="O3685" s="3" t="n">
        <v>677727.37</v>
      </c>
      <c r="P3685" s="3" t="n">
        <v>474322.2</v>
      </c>
      <c r="Q3685" s="3" t="n">
        <v>203405.17</v>
      </c>
      <c r="R3685" s="3" t="n">
        <v>0.3001</v>
      </c>
      <c r="S3685" s="3" t="n">
        <v>0.1311</v>
      </c>
      <c r="T3685" s="3" t="n">
        <v>0.0116</v>
      </c>
    </row>
    <row r="3686" customFormat="false" ht="15" hidden="false" customHeight="true" outlineLevel="0" collapsed="false">
      <c r="A3686" s="3" t="s">
        <v>4833</v>
      </c>
      <c r="B3686" s="3" t="s">
        <v>2384</v>
      </c>
      <c r="C3686" s="3" t="s">
        <v>46</v>
      </c>
      <c r="D3686" s="3" t="s">
        <v>47</v>
      </c>
      <c r="E3686" s="3" t="s">
        <v>48</v>
      </c>
      <c r="F3686" s="3" t="s">
        <v>25</v>
      </c>
      <c r="G3686" s="3" t="s">
        <v>26</v>
      </c>
      <c r="H3686" s="3" t="s">
        <v>64</v>
      </c>
      <c r="I3686" s="3" t="s">
        <v>90</v>
      </c>
      <c r="J3686" s="3" t="n">
        <v>44</v>
      </c>
      <c r="K3686" s="3" t="n">
        <v>7419.64</v>
      </c>
      <c r="L3686" s="3" t="n">
        <v>326464.16</v>
      </c>
      <c r="M3686" s="3" t="n">
        <v>0.0974</v>
      </c>
      <c r="N3686" s="3" t="n">
        <v>31797.61</v>
      </c>
      <c r="O3686" s="3" t="n">
        <v>294666.55</v>
      </c>
      <c r="P3686" s="3" t="n">
        <v>189349.21</v>
      </c>
      <c r="Q3686" s="3" t="n">
        <v>105317.34</v>
      </c>
      <c r="R3686" s="3" t="n">
        <v>0.3574</v>
      </c>
      <c r="S3686" s="3" t="n">
        <v>0.102</v>
      </c>
      <c r="T3686" s="3" t="n">
        <v>-0.0046</v>
      </c>
    </row>
    <row r="3687" customFormat="false" ht="15" hidden="false" customHeight="true" outlineLevel="0" collapsed="false">
      <c r="A3687" s="3" t="s">
        <v>4834</v>
      </c>
      <c r="B3687" s="3" t="s">
        <v>1262</v>
      </c>
      <c r="C3687" s="3" t="s">
        <v>113</v>
      </c>
      <c r="D3687" s="3" t="s">
        <v>83</v>
      </c>
      <c r="E3687" s="3" t="s">
        <v>48</v>
      </c>
      <c r="F3687" s="3" t="s">
        <v>62</v>
      </c>
      <c r="G3687" s="3" t="s">
        <v>116</v>
      </c>
      <c r="H3687" s="3" t="s">
        <v>64</v>
      </c>
      <c r="I3687" s="3" t="s">
        <v>108</v>
      </c>
      <c r="J3687" s="3" t="n">
        <v>10</v>
      </c>
      <c r="K3687" s="3" t="n">
        <v>9451.19</v>
      </c>
      <c r="L3687" s="3" t="n">
        <v>94511.9</v>
      </c>
      <c r="M3687" s="3" t="n">
        <v>0.0771</v>
      </c>
      <c r="N3687" s="3" t="n">
        <v>7286.87</v>
      </c>
      <c r="O3687" s="3" t="n">
        <v>87225.03</v>
      </c>
      <c r="P3687" s="3" t="n">
        <v>54816.9</v>
      </c>
      <c r="Q3687" s="3" t="n">
        <v>32408.13</v>
      </c>
      <c r="R3687" s="3" t="n">
        <v>0.3715</v>
      </c>
      <c r="S3687" s="3" t="n">
        <v>0.0695</v>
      </c>
      <c r="T3687" s="3" t="n">
        <v>0.0076</v>
      </c>
    </row>
    <row r="3688" customFormat="false" ht="15" hidden="false" customHeight="true" outlineLevel="0" collapsed="false">
      <c r="A3688" s="3" t="s">
        <v>4835</v>
      </c>
      <c r="B3688" s="3" t="s">
        <v>3205</v>
      </c>
      <c r="C3688" s="3" t="s">
        <v>126</v>
      </c>
      <c r="D3688" s="3" t="s">
        <v>103</v>
      </c>
      <c r="E3688" s="3" t="s">
        <v>24</v>
      </c>
      <c r="F3688" s="3" t="s">
        <v>62</v>
      </c>
      <c r="G3688" s="3" t="s">
        <v>104</v>
      </c>
      <c r="H3688" s="3" t="s">
        <v>77</v>
      </c>
      <c r="I3688" s="3" t="s">
        <v>131</v>
      </c>
      <c r="J3688" s="3" t="n">
        <v>48</v>
      </c>
      <c r="K3688" s="3" t="n">
        <v>3700.79</v>
      </c>
      <c r="L3688" s="3" t="n">
        <v>177637.92</v>
      </c>
      <c r="M3688" s="3" t="n">
        <v>0.1254</v>
      </c>
      <c r="N3688" s="3" t="n">
        <v>22275.8</v>
      </c>
      <c r="O3688" s="3" t="n">
        <v>155362.12</v>
      </c>
      <c r="P3688" s="3" t="n">
        <v>120793.79</v>
      </c>
      <c r="Q3688" s="3" t="n">
        <v>34568.33</v>
      </c>
      <c r="R3688" s="3" t="n">
        <v>0.2225</v>
      </c>
      <c r="S3688" s="3" t="n">
        <v>0.1229</v>
      </c>
      <c r="T3688" s="3" t="n">
        <v>0.0025</v>
      </c>
    </row>
    <row r="3689" customFormat="false" ht="15" hidden="false" customHeight="true" outlineLevel="0" collapsed="false">
      <c r="A3689" s="3" t="s">
        <v>4836</v>
      </c>
      <c r="B3689" s="3" t="s">
        <v>840</v>
      </c>
      <c r="C3689" s="3" t="s">
        <v>46</v>
      </c>
      <c r="D3689" s="3" t="s">
        <v>61</v>
      </c>
      <c r="E3689" s="3" t="s">
        <v>33</v>
      </c>
      <c r="F3689" s="3" t="s">
        <v>62</v>
      </c>
      <c r="G3689" s="3" t="s">
        <v>116</v>
      </c>
      <c r="H3689" s="3" t="s">
        <v>77</v>
      </c>
      <c r="I3689" s="3" t="s">
        <v>131</v>
      </c>
      <c r="J3689" s="3" t="n">
        <v>4</v>
      </c>
      <c r="K3689" s="3" t="n">
        <v>2937.43</v>
      </c>
      <c r="L3689" s="3" t="n">
        <v>11749.72</v>
      </c>
      <c r="M3689" s="3" t="n">
        <v>0.073</v>
      </c>
      <c r="N3689" s="3" t="n">
        <v>857.73</v>
      </c>
      <c r="O3689" s="3" t="n">
        <v>10891.99</v>
      </c>
      <c r="P3689" s="3" t="n">
        <v>7989.81</v>
      </c>
      <c r="Q3689" s="3" t="n">
        <v>2902.18</v>
      </c>
      <c r="R3689" s="3" t="n">
        <v>0.2665</v>
      </c>
      <c r="S3689" s="3" t="n">
        <v>0.0783</v>
      </c>
      <c r="T3689" s="3" t="n">
        <v>-0.0053</v>
      </c>
    </row>
    <row r="3690" customFormat="false" ht="15" hidden="false" customHeight="true" outlineLevel="0" collapsed="false">
      <c r="A3690" s="3" t="s">
        <v>4837</v>
      </c>
      <c r="B3690" s="3" t="s">
        <v>1116</v>
      </c>
      <c r="C3690" s="3" t="s">
        <v>31</v>
      </c>
      <c r="D3690" s="3" t="s">
        <v>69</v>
      </c>
      <c r="E3690" s="3" t="s">
        <v>39</v>
      </c>
      <c r="F3690" s="3" t="s">
        <v>70</v>
      </c>
      <c r="G3690" s="3" t="s">
        <v>116</v>
      </c>
      <c r="H3690" s="3" t="s">
        <v>42</v>
      </c>
      <c r="I3690" s="3" t="s">
        <v>43</v>
      </c>
      <c r="J3690" s="3" t="n">
        <v>8</v>
      </c>
      <c r="K3690" s="3" t="n">
        <v>1159.46</v>
      </c>
      <c r="L3690" s="3" t="n">
        <v>9275.68</v>
      </c>
      <c r="M3690" s="3" t="n">
        <v>0.0906</v>
      </c>
      <c r="N3690" s="3" t="n">
        <v>840.38</v>
      </c>
      <c r="O3690" s="3" t="n">
        <v>8435.3</v>
      </c>
      <c r="P3690" s="3" t="n">
        <v>5101.62</v>
      </c>
      <c r="Q3690" s="3" t="n">
        <v>3333.68</v>
      </c>
      <c r="R3690" s="3" t="n">
        <v>0.3952</v>
      </c>
      <c r="S3690" s="3" t="n">
        <v>0.0729</v>
      </c>
      <c r="T3690" s="3" t="n">
        <v>0.0177</v>
      </c>
    </row>
    <row r="3691" customFormat="false" ht="15" hidden="false" customHeight="true" outlineLevel="0" collapsed="false">
      <c r="A3691" s="3" t="s">
        <v>4838</v>
      </c>
      <c r="B3691" s="3" t="s">
        <v>314</v>
      </c>
      <c r="C3691" s="3" t="s">
        <v>120</v>
      </c>
      <c r="D3691" s="3" t="s">
        <v>38</v>
      </c>
      <c r="E3691" s="3" t="s">
        <v>39</v>
      </c>
      <c r="F3691" s="3" t="s">
        <v>40</v>
      </c>
      <c r="G3691" s="3" t="s">
        <v>76</v>
      </c>
      <c r="H3691" s="3" t="s">
        <v>56</v>
      </c>
      <c r="I3691" s="3" t="s">
        <v>188</v>
      </c>
      <c r="J3691" s="3" t="n">
        <v>16</v>
      </c>
      <c r="K3691" s="3" t="n">
        <v>12622.11</v>
      </c>
      <c r="L3691" s="3" t="n">
        <v>201953.76</v>
      </c>
      <c r="M3691" s="3" t="n">
        <v>0.0375</v>
      </c>
      <c r="N3691" s="3" t="n">
        <v>7573.27</v>
      </c>
      <c r="O3691" s="3" t="n">
        <v>194380.49</v>
      </c>
      <c r="P3691" s="3" t="n">
        <v>121172.26</v>
      </c>
      <c r="Q3691" s="3" t="n">
        <v>73208.23</v>
      </c>
      <c r="R3691" s="3" t="n">
        <v>0.3766</v>
      </c>
      <c r="S3691" s="3" t="n">
        <v>0.0301</v>
      </c>
      <c r="T3691" s="3" t="n">
        <v>0.0074</v>
      </c>
    </row>
    <row r="3692" customFormat="false" ht="15" hidden="false" customHeight="true" outlineLevel="0" collapsed="false">
      <c r="A3692" s="3" t="s">
        <v>4839</v>
      </c>
      <c r="B3692" s="3" t="s">
        <v>328</v>
      </c>
      <c r="C3692" s="3" t="s">
        <v>126</v>
      </c>
      <c r="D3692" s="3" t="s">
        <v>61</v>
      </c>
      <c r="E3692" s="3" t="s">
        <v>33</v>
      </c>
      <c r="F3692" s="3" t="s">
        <v>62</v>
      </c>
      <c r="G3692" s="3" t="s">
        <v>76</v>
      </c>
      <c r="H3692" s="3" t="s">
        <v>64</v>
      </c>
      <c r="I3692" s="3" t="s">
        <v>145</v>
      </c>
      <c r="J3692" s="3" t="n">
        <v>15</v>
      </c>
      <c r="K3692" s="3" t="n">
        <v>11001.95</v>
      </c>
      <c r="L3692" s="3" t="n">
        <v>165029.25</v>
      </c>
      <c r="M3692" s="3" t="n">
        <v>0.0663</v>
      </c>
      <c r="N3692" s="3" t="n">
        <v>10941.44</v>
      </c>
      <c r="O3692" s="3" t="n">
        <v>154087.81</v>
      </c>
      <c r="P3692" s="3" t="n">
        <v>95716.96</v>
      </c>
      <c r="Q3692" s="3" t="n">
        <v>58370.85</v>
      </c>
      <c r="R3692" s="3" t="n">
        <v>0.3788</v>
      </c>
      <c r="S3692" s="3" t="n">
        <v>0.0711</v>
      </c>
      <c r="T3692" s="3" t="n">
        <v>-0.0048</v>
      </c>
    </row>
    <row r="3693" customFormat="false" ht="15" hidden="false" customHeight="true" outlineLevel="0" collapsed="false">
      <c r="A3693" s="3" t="s">
        <v>4840</v>
      </c>
      <c r="B3693" s="3" t="s">
        <v>3951</v>
      </c>
      <c r="C3693" s="3" t="s">
        <v>113</v>
      </c>
      <c r="D3693" s="3" t="s">
        <v>23</v>
      </c>
      <c r="E3693" s="3" t="s">
        <v>24</v>
      </c>
      <c r="F3693" s="3" t="s">
        <v>25</v>
      </c>
      <c r="G3693" s="3" t="s">
        <v>104</v>
      </c>
      <c r="H3693" s="3" t="s">
        <v>27</v>
      </c>
      <c r="I3693" s="3" t="s">
        <v>50</v>
      </c>
      <c r="J3693" s="3" t="n">
        <v>35</v>
      </c>
      <c r="K3693" s="3" t="n">
        <v>33838.26</v>
      </c>
      <c r="L3693" s="3" t="n">
        <v>1184339.1</v>
      </c>
      <c r="M3693" s="3" t="n">
        <v>0.184</v>
      </c>
      <c r="N3693" s="3" t="n">
        <v>217918.39</v>
      </c>
      <c r="O3693" s="3" t="n">
        <v>966420.71</v>
      </c>
      <c r="P3693" s="3" t="n">
        <v>734290.24</v>
      </c>
      <c r="Q3693" s="3" t="n">
        <v>232130.47</v>
      </c>
      <c r="R3693" s="3" t="n">
        <v>0.2402</v>
      </c>
      <c r="S3693" s="3" t="n">
        <v>0.1848</v>
      </c>
      <c r="T3693" s="3" t="n">
        <v>-0.0008</v>
      </c>
    </row>
    <row r="3694" customFormat="false" ht="15" hidden="false" customHeight="true" outlineLevel="0" collapsed="false">
      <c r="A3694" s="3" t="s">
        <v>4841</v>
      </c>
      <c r="B3694" s="3" t="s">
        <v>724</v>
      </c>
      <c r="C3694" s="3" t="s">
        <v>60</v>
      </c>
      <c r="D3694" s="3" t="s">
        <v>23</v>
      </c>
      <c r="E3694" s="3" t="s">
        <v>24</v>
      </c>
      <c r="F3694" s="3" t="s">
        <v>25</v>
      </c>
      <c r="G3694" s="3" t="s">
        <v>55</v>
      </c>
      <c r="H3694" s="3" t="s">
        <v>77</v>
      </c>
      <c r="I3694" s="3" t="s">
        <v>78</v>
      </c>
      <c r="J3694" s="3" t="n">
        <v>10</v>
      </c>
      <c r="K3694" s="3" t="n">
        <v>4857.88</v>
      </c>
      <c r="L3694" s="3" t="n">
        <v>48578.8</v>
      </c>
      <c r="M3694" s="3" t="n">
        <v>0.1288</v>
      </c>
      <c r="N3694" s="3" t="n">
        <v>6256.95</v>
      </c>
      <c r="O3694" s="3" t="n">
        <v>42321.85</v>
      </c>
      <c r="P3694" s="3" t="n">
        <v>33033.58</v>
      </c>
      <c r="Q3694" s="3" t="n">
        <v>9288.27</v>
      </c>
      <c r="R3694" s="3" t="n">
        <v>0.2195</v>
      </c>
      <c r="S3694" s="3" t="n">
        <v>0.1067</v>
      </c>
      <c r="T3694" s="3" t="n">
        <v>0.0221</v>
      </c>
    </row>
    <row r="3695" customFormat="false" ht="15" hidden="false" customHeight="true" outlineLevel="0" collapsed="false">
      <c r="A3695" s="3" t="s">
        <v>4842</v>
      </c>
      <c r="B3695" s="3" t="s">
        <v>898</v>
      </c>
      <c r="C3695" s="3" t="s">
        <v>68</v>
      </c>
      <c r="D3695" s="3" t="s">
        <v>61</v>
      </c>
      <c r="E3695" s="3" t="s">
        <v>33</v>
      </c>
      <c r="F3695" s="3" t="s">
        <v>62</v>
      </c>
      <c r="G3695" s="3" t="s">
        <v>41</v>
      </c>
      <c r="H3695" s="3" t="s">
        <v>77</v>
      </c>
      <c r="I3695" s="3" t="s">
        <v>85</v>
      </c>
      <c r="J3695" s="3" t="n">
        <v>14</v>
      </c>
      <c r="K3695" s="3" t="n">
        <v>2294.81</v>
      </c>
      <c r="L3695" s="3" t="n">
        <v>32127.34</v>
      </c>
      <c r="M3695" s="3" t="n">
        <v>0.1122</v>
      </c>
      <c r="N3695" s="3" t="n">
        <v>3604.69</v>
      </c>
      <c r="O3695" s="3" t="n">
        <v>28522.65</v>
      </c>
      <c r="P3695" s="3" t="n">
        <v>21846.59</v>
      </c>
      <c r="Q3695" s="3" t="n">
        <v>6676.06</v>
      </c>
      <c r="R3695" s="3" t="n">
        <v>0.2341</v>
      </c>
      <c r="S3695" s="3" t="n">
        <v>0.0925</v>
      </c>
      <c r="T3695" s="3" t="n">
        <v>0.0197</v>
      </c>
    </row>
    <row r="3696" customFormat="false" ht="15" hidden="false" customHeight="true" outlineLevel="0" collapsed="false">
      <c r="A3696" s="3" t="s">
        <v>4843</v>
      </c>
      <c r="B3696" s="3" t="s">
        <v>59</v>
      </c>
      <c r="C3696" s="3" t="s">
        <v>60</v>
      </c>
      <c r="D3696" s="3" t="s">
        <v>61</v>
      </c>
      <c r="E3696" s="3" t="s">
        <v>33</v>
      </c>
      <c r="F3696" s="3" t="s">
        <v>62</v>
      </c>
      <c r="G3696" s="3" t="s">
        <v>71</v>
      </c>
      <c r="H3696" s="3" t="s">
        <v>27</v>
      </c>
      <c r="I3696" s="3" t="s">
        <v>28</v>
      </c>
      <c r="J3696" s="3" t="n">
        <v>10</v>
      </c>
      <c r="K3696" s="3" t="n">
        <v>26139.59</v>
      </c>
      <c r="L3696" s="3" t="n">
        <v>261395.9</v>
      </c>
      <c r="M3696" s="3" t="n">
        <v>0.0731</v>
      </c>
      <c r="N3696" s="3" t="n">
        <v>19108.04</v>
      </c>
      <c r="O3696" s="3" t="n">
        <v>242287.86</v>
      </c>
      <c r="P3696" s="3" t="n">
        <v>162065.46</v>
      </c>
      <c r="Q3696" s="3" t="n">
        <v>80222.4</v>
      </c>
      <c r="R3696" s="3" t="n">
        <v>0.3311</v>
      </c>
      <c r="S3696" s="3" t="n">
        <v>0.0798</v>
      </c>
      <c r="T3696" s="3" t="n">
        <v>-0.0067</v>
      </c>
    </row>
    <row r="3697" customFormat="false" ht="15" hidden="false" customHeight="true" outlineLevel="0" collapsed="false">
      <c r="A3697" s="3" t="s">
        <v>4844</v>
      </c>
      <c r="B3697" s="3" t="s">
        <v>162</v>
      </c>
      <c r="C3697" s="3" t="s">
        <v>37</v>
      </c>
      <c r="D3697" s="3" t="s">
        <v>103</v>
      </c>
      <c r="E3697" s="3" t="s">
        <v>24</v>
      </c>
      <c r="F3697" s="3" t="s">
        <v>62</v>
      </c>
      <c r="G3697" s="3" t="s">
        <v>55</v>
      </c>
      <c r="H3697" s="3" t="s">
        <v>77</v>
      </c>
      <c r="I3697" s="3" t="s">
        <v>85</v>
      </c>
      <c r="J3697" s="3" t="n">
        <v>28</v>
      </c>
      <c r="K3697" s="3" t="n">
        <v>4823.14</v>
      </c>
      <c r="L3697" s="3" t="n">
        <v>135047.92</v>
      </c>
      <c r="M3697" s="3" t="n">
        <v>0.0705</v>
      </c>
      <c r="N3697" s="3" t="n">
        <v>9520.88</v>
      </c>
      <c r="O3697" s="3" t="n">
        <v>125527.04</v>
      </c>
      <c r="P3697" s="3" t="n">
        <v>91832.59</v>
      </c>
      <c r="Q3697" s="3" t="n">
        <v>33694.45</v>
      </c>
      <c r="R3697" s="3" t="n">
        <v>0.2684</v>
      </c>
      <c r="S3697" s="3" t="n">
        <v>0.0641</v>
      </c>
      <c r="T3697" s="3" t="n">
        <v>0.0064</v>
      </c>
    </row>
    <row r="3698" customFormat="false" ht="15" hidden="false" customHeight="true" outlineLevel="0" collapsed="false">
      <c r="A3698" s="3" t="s">
        <v>4845</v>
      </c>
      <c r="B3698" s="3" t="s">
        <v>4846</v>
      </c>
      <c r="C3698" s="3" t="s">
        <v>126</v>
      </c>
      <c r="D3698" s="3" t="s">
        <v>83</v>
      </c>
      <c r="E3698" s="3" t="s">
        <v>48</v>
      </c>
      <c r="F3698" s="3" t="s">
        <v>62</v>
      </c>
      <c r="G3698" s="3" t="s">
        <v>49</v>
      </c>
      <c r="H3698" s="3" t="s">
        <v>77</v>
      </c>
      <c r="I3698" s="3" t="s">
        <v>78</v>
      </c>
      <c r="J3698" s="3" t="n">
        <v>27</v>
      </c>
      <c r="K3698" s="3" t="n">
        <v>5360.84</v>
      </c>
      <c r="L3698" s="3" t="n">
        <v>144742.68</v>
      </c>
      <c r="M3698" s="3" t="n">
        <v>0.0407</v>
      </c>
      <c r="N3698" s="3" t="n">
        <v>5891.03</v>
      </c>
      <c r="O3698" s="3" t="n">
        <v>138851.65</v>
      </c>
      <c r="P3698" s="3" t="n">
        <v>98425.02</v>
      </c>
      <c r="Q3698" s="3" t="n">
        <v>40426.63</v>
      </c>
      <c r="R3698" s="3" t="n">
        <v>0.2911</v>
      </c>
      <c r="S3698" s="3" t="n">
        <v>0.0387</v>
      </c>
      <c r="T3698" s="3" t="n">
        <v>0.002</v>
      </c>
    </row>
    <row r="3699" customFormat="false" ht="15" hidden="false" customHeight="true" outlineLevel="0" collapsed="false">
      <c r="A3699" s="3" t="s">
        <v>4847</v>
      </c>
      <c r="B3699" s="3" t="s">
        <v>1257</v>
      </c>
      <c r="C3699" s="3" t="s">
        <v>60</v>
      </c>
      <c r="D3699" s="3" t="s">
        <v>107</v>
      </c>
      <c r="E3699" s="3" t="s">
        <v>33</v>
      </c>
      <c r="F3699" s="3" t="s">
        <v>70</v>
      </c>
      <c r="G3699" s="3" t="s">
        <v>26</v>
      </c>
      <c r="H3699" s="3" t="s">
        <v>64</v>
      </c>
      <c r="I3699" s="3" t="s">
        <v>108</v>
      </c>
      <c r="J3699" s="3" t="n">
        <v>32</v>
      </c>
      <c r="K3699" s="3" t="n">
        <v>9814.76</v>
      </c>
      <c r="L3699" s="3" t="n">
        <v>314072.32</v>
      </c>
      <c r="M3699" s="3" t="n">
        <v>0.0712</v>
      </c>
      <c r="N3699" s="3" t="n">
        <v>22361.95</v>
      </c>
      <c r="O3699" s="3" t="n">
        <v>291710.37</v>
      </c>
      <c r="P3699" s="3" t="n">
        <v>182161.95</v>
      </c>
      <c r="Q3699" s="3" t="n">
        <v>109548.42</v>
      </c>
      <c r="R3699" s="3" t="n">
        <v>0.3755</v>
      </c>
      <c r="S3699" s="3" t="n">
        <v>0.0637</v>
      </c>
      <c r="T3699" s="3" t="n">
        <v>0.0075</v>
      </c>
    </row>
    <row r="3700" customFormat="false" ht="15" hidden="false" customHeight="true" outlineLevel="0" collapsed="false">
      <c r="A3700" s="3" t="s">
        <v>4848</v>
      </c>
      <c r="B3700" s="3" t="s">
        <v>4849</v>
      </c>
      <c r="C3700" s="3" t="s">
        <v>93</v>
      </c>
      <c r="D3700" s="3" t="s">
        <v>54</v>
      </c>
      <c r="E3700" s="3" t="s">
        <v>24</v>
      </c>
      <c r="F3700" s="3" t="s">
        <v>40</v>
      </c>
      <c r="G3700" s="3" t="s">
        <v>71</v>
      </c>
      <c r="H3700" s="3" t="s">
        <v>64</v>
      </c>
      <c r="I3700" s="3" t="s">
        <v>108</v>
      </c>
      <c r="J3700" s="3" t="n">
        <v>21</v>
      </c>
      <c r="K3700" s="3" t="n">
        <v>5897.37</v>
      </c>
      <c r="L3700" s="3" t="n">
        <v>123844.77</v>
      </c>
      <c r="M3700" s="3" t="n">
        <v>0.0358</v>
      </c>
      <c r="N3700" s="3" t="n">
        <v>4433.64</v>
      </c>
      <c r="O3700" s="3" t="n">
        <v>119411.13</v>
      </c>
      <c r="P3700" s="3" t="n">
        <v>71829.97</v>
      </c>
      <c r="Q3700" s="3" t="n">
        <v>47581.16</v>
      </c>
      <c r="R3700" s="3" t="n">
        <v>0.3985</v>
      </c>
      <c r="S3700" s="3" t="n">
        <v>0.0391</v>
      </c>
      <c r="T3700" s="3" t="n">
        <v>-0.0033</v>
      </c>
    </row>
    <row r="3701" customFormat="false" ht="15" hidden="false" customHeight="true" outlineLevel="0" collapsed="false">
      <c r="A3701" s="3" t="s">
        <v>4850</v>
      </c>
      <c r="B3701" s="3" t="s">
        <v>477</v>
      </c>
      <c r="C3701" s="3" t="s">
        <v>46</v>
      </c>
      <c r="D3701" s="3" t="s">
        <v>23</v>
      </c>
      <c r="E3701" s="3" t="s">
        <v>24</v>
      </c>
      <c r="F3701" s="3" t="s">
        <v>25</v>
      </c>
      <c r="G3701" s="3" t="s">
        <v>100</v>
      </c>
      <c r="H3701" s="3" t="s">
        <v>56</v>
      </c>
      <c r="I3701" s="3" t="s">
        <v>188</v>
      </c>
      <c r="J3701" s="3" t="n">
        <v>3</v>
      </c>
      <c r="K3701" s="3" t="n">
        <v>2403.88</v>
      </c>
      <c r="L3701" s="3" t="n">
        <v>7211.64</v>
      </c>
      <c r="M3701" s="3" t="n">
        <v>0.1394</v>
      </c>
      <c r="N3701" s="3" t="n">
        <v>1005.3</v>
      </c>
      <c r="O3701" s="3" t="n">
        <v>6206.34</v>
      </c>
      <c r="P3701" s="3" t="n">
        <v>4326.98</v>
      </c>
      <c r="Q3701" s="3" t="n">
        <v>1879.36</v>
      </c>
      <c r="R3701" s="3" t="n">
        <v>0.3028</v>
      </c>
      <c r="S3701" s="3" t="n">
        <v>0.1211</v>
      </c>
      <c r="T3701" s="3" t="n">
        <v>0.0183</v>
      </c>
    </row>
    <row r="3702" customFormat="false" ht="15" hidden="false" customHeight="true" outlineLevel="0" collapsed="false">
      <c r="A3702" s="3" t="s">
        <v>4851</v>
      </c>
      <c r="B3702" s="3" t="s">
        <v>1610</v>
      </c>
      <c r="C3702" s="3" t="s">
        <v>53</v>
      </c>
      <c r="D3702" s="3" t="s">
        <v>97</v>
      </c>
      <c r="E3702" s="3" t="s">
        <v>48</v>
      </c>
      <c r="F3702" s="3" t="s">
        <v>40</v>
      </c>
      <c r="G3702" s="3" t="s">
        <v>100</v>
      </c>
      <c r="H3702" s="3" t="s">
        <v>56</v>
      </c>
      <c r="I3702" s="3" t="s">
        <v>188</v>
      </c>
      <c r="J3702" s="3" t="n">
        <v>11</v>
      </c>
      <c r="K3702" s="3" t="n">
        <v>17394.93</v>
      </c>
      <c r="L3702" s="3" t="n">
        <v>191344.23</v>
      </c>
      <c r="M3702" s="3" t="n">
        <v>0.0304</v>
      </c>
      <c r="N3702" s="3" t="n">
        <v>5816.86</v>
      </c>
      <c r="O3702" s="3" t="n">
        <v>185527.37</v>
      </c>
      <c r="P3702" s="3" t="n">
        <v>114806.54</v>
      </c>
      <c r="Q3702" s="3" t="n">
        <v>70720.83</v>
      </c>
      <c r="R3702" s="3" t="n">
        <v>0.3812</v>
      </c>
      <c r="S3702" s="3" t="n">
        <v>0.0283</v>
      </c>
      <c r="T3702" s="3" t="n">
        <v>0.0021</v>
      </c>
    </row>
    <row r="3703" customFormat="false" ht="15" hidden="false" customHeight="true" outlineLevel="0" collapsed="false">
      <c r="A3703" s="3" t="s">
        <v>4852</v>
      </c>
      <c r="B3703" s="3" t="s">
        <v>2662</v>
      </c>
      <c r="C3703" s="3" t="s">
        <v>68</v>
      </c>
      <c r="D3703" s="3" t="s">
        <v>83</v>
      </c>
      <c r="E3703" s="3" t="s">
        <v>48</v>
      </c>
      <c r="F3703" s="3" t="s">
        <v>62</v>
      </c>
      <c r="G3703" s="3" t="s">
        <v>63</v>
      </c>
      <c r="H3703" s="3" t="s">
        <v>77</v>
      </c>
      <c r="I3703" s="3" t="s">
        <v>78</v>
      </c>
      <c r="J3703" s="3" t="n">
        <v>35</v>
      </c>
      <c r="K3703" s="3" t="n">
        <v>4601.24</v>
      </c>
      <c r="L3703" s="3" t="n">
        <v>161043.4</v>
      </c>
      <c r="M3703" s="3" t="n">
        <v>0.0364</v>
      </c>
      <c r="N3703" s="3" t="n">
        <v>5861.98</v>
      </c>
      <c r="O3703" s="3" t="n">
        <v>155181.42</v>
      </c>
      <c r="P3703" s="3" t="n">
        <v>109509.51</v>
      </c>
      <c r="Q3703" s="3" t="n">
        <v>45671.91</v>
      </c>
      <c r="R3703" s="3" t="n">
        <v>0.2943</v>
      </c>
      <c r="S3703" s="3" t="n">
        <v>0.0324</v>
      </c>
      <c r="T3703" s="3" t="n">
        <v>0.004</v>
      </c>
    </row>
    <row r="3704" customFormat="false" ht="15" hidden="false" customHeight="true" outlineLevel="0" collapsed="false">
      <c r="A3704" s="3" t="s">
        <v>4853</v>
      </c>
      <c r="B3704" s="3" t="s">
        <v>712</v>
      </c>
      <c r="C3704" s="3" t="s">
        <v>113</v>
      </c>
      <c r="D3704" s="3" t="s">
        <v>97</v>
      </c>
      <c r="E3704" s="3" t="s">
        <v>48</v>
      </c>
      <c r="F3704" s="3" t="s">
        <v>40</v>
      </c>
      <c r="G3704" s="3" t="s">
        <v>116</v>
      </c>
      <c r="H3704" s="3" t="s">
        <v>56</v>
      </c>
      <c r="I3704" s="3" t="s">
        <v>57</v>
      </c>
      <c r="J3704" s="3" t="n">
        <v>9</v>
      </c>
      <c r="K3704" s="3" t="n">
        <v>13567.34</v>
      </c>
      <c r="L3704" s="3" t="n">
        <v>122106.06</v>
      </c>
      <c r="M3704" s="3" t="n">
        <v>0.0717</v>
      </c>
      <c r="N3704" s="3" t="n">
        <v>8755</v>
      </c>
      <c r="O3704" s="3" t="n">
        <v>113351.06</v>
      </c>
      <c r="P3704" s="3" t="n">
        <v>73263.64</v>
      </c>
      <c r="Q3704" s="3" t="n">
        <v>40087.42</v>
      </c>
      <c r="R3704" s="3" t="n">
        <v>0.3537</v>
      </c>
      <c r="S3704" s="3" t="n">
        <v>0.0589</v>
      </c>
      <c r="T3704" s="3" t="n">
        <v>0.0128</v>
      </c>
    </row>
    <row r="3705" customFormat="false" ht="15" hidden="false" customHeight="true" outlineLevel="0" collapsed="false">
      <c r="A3705" s="3" t="s">
        <v>4854</v>
      </c>
      <c r="B3705" s="3" t="s">
        <v>1664</v>
      </c>
      <c r="C3705" s="3" t="s">
        <v>60</v>
      </c>
      <c r="D3705" s="3" t="s">
        <v>69</v>
      </c>
      <c r="E3705" s="3" t="s">
        <v>39</v>
      </c>
      <c r="F3705" s="3" t="s">
        <v>70</v>
      </c>
      <c r="G3705" s="3" t="s">
        <v>49</v>
      </c>
      <c r="H3705" s="3" t="s">
        <v>77</v>
      </c>
      <c r="I3705" s="3" t="s">
        <v>85</v>
      </c>
      <c r="J3705" s="3" t="n">
        <v>7</v>
      </c>
      <c r="K3705" s="3" t="n">
        <v>4100.05</v>
      </c>
      <c r="L3705" s="3" t="n">
        <v>28700.35</v>
      </c>
      <c r="M3705" s="3" t="n">
        <v>0.0486</v>
      </c>
      <c r="N3705" s="3" t="n">
        <v>1394.84</v>
      </c>
      <c r="O3705" s="3" t="n">
        <v>27305.51</v>
      </c>
      <c r="P3705" s="3" t="n">
        <v>19516.24</v>
      </c>
      <c r="Q3705" s="3" t="n">
        <v>7789.27</v>
      </c>
      <c r="R3705" s="3" t="n">
        <v>0.2853</v>
      </c>
      <c r="S3705" s="3" t="n">
        <v>0.0446</v>
      </c>
      <c r="T3705" s="3" t="n">
        <v>0.004</v>
      </c>
    </row>
    <row r="3706" customFormat="false" ht="15" hidden="false" customHeight="true" outlineLevel="0" collapsed="false">
      <c r="A3706" s="3" t="s">
        <v>4855</v>
      </c>
      <c r="B3706" s="3" t="s">
        <v>984</v>
      </c>
      <c r="C3706" s="3" t="s">
        <v>53</v>
      </c>
      <c r="D3706" s="3" t="s">
        <v>61</v>
      </c>
      <c r="E3706" s="3" t="s">
        <v>33</v>
      </c>
      <c r="F3706" s="3" t="s">
        <v>62</v>
      </c>
      <c r="G3706" s="3" t="s">
        <v>76</v>
      </c>
      <c r="H3706" s="3" t="s">
        <v>27</v>
      </c>
      <c r="I3706" s="3" t="s">
        <v>173</v>
      </c>
      <c r="J3706" s="3" t="n">
        <v>6</v>
      </c>
      <c r="K3706" s="3" t="n">
        <v>30779.92</v>
      </c>
      <c r="L3706" s="3" t="n">
        <v>184679.52</v>
      </c>
      <c r="M3706" s="3" t="n">
        <v>0.0428</v>
      </c>
      <c r="N3706" s="3" t="n">
        <v>7904.28</v>
      </c>
      <c r="O3706" s="3" t="n">
        <v>176775.24</v>
      </c>
      <c r="P3706" s="3" t="n">
        <v>114501.3</v>
      </c>
      <c r="Q3706" s="3" t="n">
        <v>62273.94</v>
      </c>
      <c r="R3706" s="3" t="n">
        <v>0.3523</v>
      </c>
      <c r="S3706" s="3" t="n">
        <v>0.0371</v>
      </c>
      <c r="T3706" s="3" t="n">
        <v>0.0057</v>
      </c>
    </row>
    <row r="3707" customFormat="false" ht="15" hidden="false" customHeight="true" outlineLevel="0" collapsed="false">
      <c r="A3707" s="3" t="s">
        <v>4856</v>
      </c>
      <c r="B3707" s="3" t="s">
        <v>1110</v>
      </c>
      <c r="C3707" s="3" t="s">
        <v>46</v>
      </c>
      <c r="D3707" s="3" t="s">
        <v>23</v>
      </c>
      <c r="E3707" s="3" t="s">
        <v>24</v>
      </c>
      <c r="F3707" s="3" t="s">
        <v>25</v>
      </c>
      <c r="G3707" s="3" t="s">
        <v>63</v>
      </c>
      <c r="H3707" s="3" t="s">
        <v>27</v>
      </c>
      <c r="I3707" s="3" t="s">
        <v>28</v>
      </c>
      <c r="J3707" s="3" t="n">
        <v>19</v>
      </c>
      <c r="K3707" s="3" t="n">
        <v>10611.83</v>
      </c>
      <c r="L3707" s="3" t="n">
        <v>201624.77</v>
      </c>
      <c r="M3707" s="3" t="n">
        <v>0.135</v>
      </c>
      <c r="N3707" s="3" t="n">
        <v>27219.34</v>
      </c>
      <c r="O3707" s="3" t="n">
        <v>174405.43</v>
      </c>
      <c r="P3707" s="3" t="n">
        <v>125007.36</v>
      </c>
      <c r="Q3707" s="3" t="n">
        <v>49398.07</v>
      </c>
      <c r="R3707" s="3" t="n">
        <v>0.2832</v>
      </c>
      <c r="S3707" s="3" t="n">
        <v>0.1458</v>
      </c>
      <c r="T3707" s="3" t="n">
        <v>-0.0108</v>
      </c>
    </row>
    <row r="3708" customFormat="false" ht="15" hidden="false" customHeight="true" outlineLevel="0" collapsed="false">
      <c r="A3708" s="3" t="s">
        <v>4857</v>
      </c>
      <c r="B3708" s="3" t="s">
        <v>561</v>
      </c>
      <c r="C3708" s="3" t="s">
        <v>93</v>
      </c>
      <c r="D3708" s="3" t="s">
        <v>103</v>
      </c>
      <c r="E3708" s="3" t="s">
        <v>24</v>
      </c>
      <c r="F3708" s="3" t="s">
        <v>62</v>
      </c>
      <c r="G3708" s="3" t="s">
        <v>76</v>
      </c>
      <c r="H3708" s="3" t="s">
        <v>77</v>
      </c>
      <c r="I3708" s="3" t="s">
        <v>78</v>
      </c>
      <c r="J3708" s="3" t="n">
        <v>14</v>
      </c>
      <c r="K3708" s="3" t="n">
        <v>5671.55</v>
      </c>
      <c r="L3708" s="3" t="n">
        <v>79401.7</v>
      </c>
      <c r="M3708" s="3" t="n">
        <v>0.0335</v>
      </c>
      <c r="N3708" s="3" t="n">
        <v>2659.96</v>
      </c>
      <c r="O3708" s="3" t="n">
        <v>76741.74</v>
      </c>
      <c r="P3708" s="3" t="n">
        <v>53993.16</v>
      </c>
      <c r="Q3708" s="3" t="n">
        <v>22748.58</v>
      </c>
      <c r="R3708" s="3" t="n">
        <v>0.2964</v>
      </c>
      <c r="S3708" s="3" t="n">
        <v>0.0277</v>
      </c>
      <c r="T3708" s="3" t="n">
        <v>0.0058</v>
      </c>
    </row>
    <row r="3709" customFormat="false" ht="15" hidden="false" customHeight="true" outlineLevel="0" collapsed="false">
      <c r="A3709" s="3" t="s">
        <v>4858</v>
      </c>
      <c r="B3709" s="3" t="s">
        <v>2643</v>
      </c>
      <c r="C3709" s="3" t="s">
        <v>60</v>
      </c>
      <c r="D3709" s="3" t="s">
        <v>61</v>
      </c>
      <c r="E3709" s="3" t="s">
        <v>33</v>
      </c>
      <c r="F3709" s="3" t="s">
        <v>62</v>
      </c>
      <c r="G3709" s="3" t="s">
        <v>34</v>
      </c>
      <c r="H3709" s="3" t="s">
        <v>42</v>
      </c>
      <c r="I3709" s="3" t="s">
        <v>43</v>
      </c>
      <c r="J3709" s="3" t="n">
        <v>18</v>
      </c>
      <c r="K3709" s="3" t="n">
        <v>3365.41</v>
      </c>
      <c r="L3709" s="3" t="n">
        <v>60577.38</v>
      </c>
      <c r="M3709" s="3" t="n">
        <v>0.1266</v>
      </c>
      <c r="N3709" s="3" t="n">
        <v>7669.1</v>
      </c>
      <c r="O3709" s="3" t="n">
        <v>52908.28</v>
      </c>
      <c r="P3709" s="3" t="n">
        <v>33317.56</v>
      </c>
      <c r="Q3709" s="3" t="n">
        <v>19590.72</v>
      </c>
      <c r="R3709" s="3" t="n">
        <v>0.3703</v>
      </c>
      <c r="S3709" s="3" t="n">
        <v>0.1249</v>
      </c>
      <c r="T3709" s="3" t="n">
        <v>0.0017</v>
      </c>
    </row>
    <row r="3710" customFormat="false" ht="15" hidden="false" customHeight="true" outlineLevel="0" collapsed="false">
      <c r="A3710" s="3" t="s">
        <v>4859</v>
      </c>
      <c r="B3710" s="3" t="s">
        <v>1163</v>
      </c>
      <c r="C3710" s="3" t="s">
        <v>126</v>
      </c>
      <c r="D3710" s="3" t="s">
        <v>38</v>
      </c>
      <c r="E3710" s="3" t="s">
        <v>39</v>
      </c>
      <c r="F3710" s="3" t="s">
        <v>40</v>
      </c>
      <c r="G3710" s="3" t="s">
        <v>116</v>
      </c>
      <c r="H3710" s="3" t="s">
        <v>77</v>
      </c>
      <c r="I3710" s="3" t="s">
        <v>131</v>
      </c>
      <c r="J3710" s="3" t="n">
        <v>3</v>
      </c>
      <c r="K3710" s="3" t="n">
        <v>1320.72</v>
      </c>
      <c r="L3710" s="3" t="n">
        <v>3962.16</v>
      </c>
      <c r="M3710" s="3" t="n">
        <v>0.119</v>
      </c>
      <c r="N3710" s="3" t="n">
        <v>471.5</v>
      </c>
      <c r="O3710" s="3" t="n">
        <v>3490.66</v>
      </c>
      <c r="P3710" s="3" t="n">
        <v>2694.27</v>
      </c>
      <c r="Q3710" s="3" t="n">
        <v>796.39</v>
      </c>
      <c r="R3710" s="3" t="n">
        <v>0.2281</v>
      </c>
      <c r="S3710" s="3" t="n">
        <v>0.1033</v>
      </c>
      <c r="T3710" s="3" t="n">
        <v>0.0157</v>
      </c>
    </row>
    <row r="3711" customFormat="false" ht="15" hidden="false" customHeight="true" outlineLevel="0" collapsed="false">
      <c r="A3711" s="3" t="s">
        <v>4860</v>
      </c>
      <c r="B3711" s="3" t="s">
        <v>3314</v>
      </c>
      <c r="C3711" s="3" t="s">
        <v>37</v>
      </c>
      <c r="D3711" s="3" t="s">
        <v>54</v>
      </c>
      <c r="E3711" s="3" t="s">
        <v>24</v>
      </c>
      <c r="F3711" s="3" t="s">
        <v>40</v>
      </c>
      <c r="G3711" s="3" t="s">
        <v>84</v>
      </c>
      <c r="H3711" s="3" t="s">
        <v>56</v>
      </c>
      <c r="I3711" s="3" t="s">
        <v>121</v>
      </c>
      <c r="J3711" s="3" t="n">
        <v>46</v>
      </c>
      <c r="K3711" s="3" t="n">
        <v>7828.75</v>
      </c>
      <c r="L3711" s="3" t="n">
        <v>360122.5</v>
      </c>
      <c r="M3711" s="3" t="n">
        <v>0.0571</v>
      </c>
      <c r="N3711" s="3" t="n">
        <v>20562.99</v>
      </c>
      <c r="O3711" s="3" t="n">
        <v>339559.51</v>
      </c>
      <c r="P3711" s="3" t="n">
        <v>216073.5</v>
      </c>
      <c r="Q3711" s="3" t="n">
        <v>123486.01</v>
      </c>
      <c r="R3711" s="3" t="n">
        <v>0.3637</v>
      </c>
      <c r="S3711" s="3" t="n">
        <v>0.0597</v>
      </c>
      <c r="T3711" s="3" t="n">
        <v>-0.0026</v>
      </c>
    </row>
    <row r="3712" customFormat="false" ht="15" hidden="false" customHeight="true" outlineLevel="0" collapsed="false">
      <c r="A3712" s="3" t="s">
        <v>4861</v>
      </c>
      <c r="B3712" s="3" t="s">
        <v>231</v>
      </c>
      <c r="C3712" s="3" t="s">
        <v>93</v>
      </c>
      <c r="D3712" s="3" t="s">
        <v>97</v>
      </c>
      <c r="E3712" s="3" t="s">
        <v>48</v>
      </c>
      <c r="F3712" s="3" t="s">
        <v>40</v>
      </c>
      <c r="G3712" s="3" t="s">
        <v>116</v>
      </c>
      <c r="H3712" s="3" t="s">
        <v>77</v>
      </c>
      <c r="I3712" s="3" t="s">
        <v>85</v>
      </c>
      <c r="J3712" s="3" t="n">
        <v>34</v>
      </c>
      <c r="K3712" s="3" t="n">
        <v>4721.58</v>
      </c>
      <c r="L3712" s="3" t="n">
        <v>160533.72</v>
      </c>
      <c r="M3712" s="3" t="n">
        <v>0.1088</v>
      </c>
      <c r="N3712" s="3" t="n">
        <v>17466.07</v>
      </c>
      <c r="O3712" s="3" t="n">
        <v>143067.65</v>
      </c>
      <c r="P3712" s="3" t="n">
        <v>109162.93</v>
      </c>
      <c r="Q3712" s="3" t="n">
        <v>33904.72</v>
      </c>
      <c r="R3712" s="3" t="n">
        <v>0.237</v>
      </c>
      <c r="S3712" s="3" t="n">
        <v>0.1038</v>
      </c>
      <c r="T3712" s="3" t="n">
        <v>0.005</v>
      </c>
    </row>
    <row r="3713" customFormat="false" ht="15" hidden="false" customHeight="true" outlineLevel="0" collapsed="false">
      <c r="A3713" s="3" t="s">
        <v>4862</v>
      </c>
      <c r="B3713" s="3" t="s">
        <v>661</v>
      </c>
      <c r="C3713" s="3" t="s">
        <v>93</v>
      </c>
      <c r="D3713" s="3" t="s">
        <v>32</v>
      </c>
      <c r="E3713" s="3" t="s">
        <v>33</v>
      </c>
      <c r="F3713" s="3" t="s">
        <v>25</v>
      </c>
      <c r="G3713" s="3" t="s">
        <v>49</v>
      </c>
      <c r="H3713" s="3" t="s">
        <v>64</v>
      </c>
      <c r="I3713" s="3" t="s">
        <v>65</v>
      </c>
      <c r="J3713" s="3" t="n">
        <v>10</v>
      </c>
      <c r="K3713" s="3" t="n">
        <v>8154.19</v>
      </c>
      <c r="L3713" s="3" t="n">
        <v>81541.9</v>
      </c>
      <c r="M3713" s="3" t="n">
        <v>0.1154</v>
      </c>
      <c r="N3713" s="3" t="n">
        <v>9409.94</v>
      </c>
      <c r="O3713" s="3" t="n">
        <v>72131.96</v>
      </c>
      <c r="P3713" s="3" t="n">
        <v>47294.3</v>
      </c>
      <c r="Q3713" s="3" t="n">
        <v>24837.66</v>
      </c>
      <c r="R3713" s="3" t="n">
        <v>0.3443</v>
      </c>
      <c r="S3713" s="3" t="n">
        <v>0.1074</v>
      </c>
      <c r="T3713" s="3" t="n">
        <v>0.008</v>
      </c>
    </row>
    <row r="3714" customFormat="false" ht="15" hidden="false" customHeight="true" outlineLevel="0" collapsed="false">
      <c r="A3714" s="3" t="s">
        <v>4863</v>
      </c>
      <c r="B3714" s="3" t="s">
        <v>151</v>
      </c>
      <c r="C3714" s="3" t="s">
        <v>113</v>
      </c>
      <c r="D3714" s="3" t="s">
        <v>69</v>
      </c>
      <c r="E3714" s="3" t="s">
        <v>39</v>
      </c>
      <c r="F3714" s="3" t="s">
        <v>70</v>
      </c>
      <c r="G3714" s="3" t="s">
        <v>84</v>
      </c>
      <c r="H3714" s="3" t="s">
        <v>56</v>
      </c>
      <c r="I3714" s="3" t="s">
        <v>188</v>
      </c>
      <c r="J3714" s="3" t="n">
        <v>38</v>
      </c>
      <c r="K3714" s="3" t="n">
        <v>16448.36</v>
      </c>
      <c r="L3714" s="3" t="n">
        <v>625037.68</v>
      </c>
      <c r="M3714" s="3" t="n">
        <v>0.0734</v>
      </c>
      <c r="N3714" s="3" t="n">
        <v>45877.77</v>
      </c>
      <c r="O3714" s="3" t="n">
        <v>579159.91</v>
      </c>
      <c r="P3714" s="3" t="n">
        <v>375022.61</v>
      </c>
      <c r="Q3714" s="3" t="n">
        <v>204137.3</v>
      </c>
      <c r="R3714" s="3" t="n">
        <v>0.3525</v>
      </c>
      <c r="S3714" s="3" t="n">
        <v>0.0634</v>
      </c>
      <c r="T3714" s="3" t="n">
        <v>0.01</v>
      </c>
    </row>
    <row r="3715" customFormat="false" ht="15" hidden="false" customHeight="true" outlineLevel="0" collapsed="false">
      <c r="A3715" s="3" t="s">
        <v>4864</v>
      </c>
      <c r="B3715" s="3" t="s">
        <v>2708</v>
      </c>
      <c r="C3715" s="3" t="s">
        <v>156</v>
      </c>
      <c r="D3715" s="3" t="s">
        <v>75</v>
      </c>
      <c r="E3715" s="3" t="s">
        <v>39</v>
      </c>
      <c r="F3715" s="3" t="s">
        <v>25</v>
      </c>
      <c r="G3715" s="3" t="s">
        <v>34</v>
      </c>
      <c r="H3715" s="3" t="s">
        <v>64</v>
      </c>
      <c r="I3715" s="3" t="s">
        <v>108</v>
      </c>
      <c r="J3715" s="3" t="n">
        <v>21</v>
      </c>
      <c r="K3715" s="3" t="n">
        <v>10838.49</v>
      </c>
      <c r="L3715" s="3" t="n">
        <v>227608.29</v>
      </c>
      <c r="M3715" s="3" t="n">
        <v>0.1417</v>
      </c>
      <c r="N3715" s="3" t="n">
        <v>32252.09</v>
      </c>
      <c r="O3715" s="3" t="n">
        <v>195356.2</v>
      </c>
      <c r="P3715" s="3" t="n">
        <v>132012.81</v>
      </c>
      <c r="Q3715" s="3" t="n">
        <v>63343.39</v>
      </c>
      <c r="R3715" s="3" t="n">
        <v>0.3242</v>
      </c>
      <c r="S3715" s="3" t="n">
        <v>0.1257</v>
      </c>
      <c r="T3715" s="3" t="n">
        <v>0.016</v>
      </c>
    </row>
    <row r="3716" customFormat="false" ht="15" hidden="false" customHeight="true" outlineLevel="0" collapsed="false">
      <c r="A3716" s="3" t="s">
        <v>4865</v>
      </c>
      <c r="B3716" s="3" t="s">
        <v>1126</v>
      </c>
      <c r="C3716" s="3" t="s">
        <v>68</v>
      </c>
      <c r="D3716" s="3" t="s">
        <v>69</v>
      </c>
      <c r="E3716" s="3" t="s">
        <v>39</v>
      </c>
      <c r="F3716" s="3" t="s">
        <v>70</v>
      </c>
      <c r="G3716" s="3" t="s">
        <v>26</v>
      </c>
      <c r="H3716" s="3" t="s">
        <v>27</v>
      </c>
      <c r="I3716" s="3" t="s">
        <v>50</v>
      </c>
      <c r="J3716" s="3" t="n">
        <v>48</v>
      </c>
      <c r="K3716" s="3" t="n">
        <v>38137.63</v>
      </c>
      <c r="L3716" s="3" t="n">
        <v>1830606.24</v>
      </c>
      <c r="M3716" s="3" t="n">
        <v>0.0739</v>
      </c>
      <c r="N3716" s="3" t="n">
        <v>135281.8</v>
      </c>
      <c r="O3716" s="3" t="n">
        <v>1695324.44</v>
      </c>
      <c r="P3716" s="3" t="n">
        <v>1134975.87</v>
      </c>
      <c r="Q3716" s="3" t="n">
        <v>560348.57</v>
      </c>
      <c r="R3716" s="3" t="n">
        <v>0.3305</v>
      </c>
      <c r="S3716" s="3" t="n">
        <v>0.064</v>
      </c>
      <c r="T3716" s="3" t="n">
        <v>0.0099</v>
      </c>
    </row>
    <row r="3717" customFormat="false" ht="15" hidden="false" customHeight="true" outlineLevel="0" collapsed="false">
      <c r="A3717" s="3" t="s">
        <v>4866</v>
      </c>
      <c r="B3717" s="3" t="s">
        <v>2584</v>
      </c>
      <c r="C3717" s="3" t="s">
        <v>93</v>
      </c>
      <c r="D3717" s="3" t="s">
        <v>47</v>
      </c>
      <c r="E3717" s="3" t="s">
        <v>48</v>
      </c>
      <c r="F3717" s="3" t="s">
        <v>25</v>
      </c>
      <c r="G3717" s="3" t="s">
        <v>76</v>
      </c>
      <c r="H3717" s="3" t="s">
        <v>56</v>
      </c>
      <c r="I3717" s="3" t="s">
        <v>57</v>
      </c>
      <c r="J3717" s="3" t="n">
        <v>47</v>
      </c>
      <c r="K3717" s="3" t="n">
        <v>9357.31</v>
      </c>
      <c r="L3717" s="3" t="n">
        <v>439793.57</v>
      </c>
      <c r="M3717" s="3" t="n">
        <v>0.1334</v>
      </c>
      <c r="N3717" s="3" t="n">
        <v>58668.46</v>
      </c>
      <c r="O3717" s="3" t="n">
        <v>381125.11</v>
      </c>
      <c r="P3717" s="3" t="n">
        <v>263876.14</v>
      </c>
      <c r="Q3717" s="3" t="n">
        <v>117248.97</v>
      </c>
      <c r="R3717" s="3" t="n">
        <v>0.3076</v>
      </c>
      <c r="S3717" s="3" t="n">
        <v>0.1074</v>
      </c>
      <c r="T3717" s="3" t="n">
        <v>0.026</v>
      </c>
    </row>
    <row r="3718" customFormat="false" ht="15" hidden="false" customHeight="true" outlineLevel="0" collapsed="false">
      <c r="A3718" s="3" t="s">
        <v>4867</v>
      </c>
      <c r="B3718" s="3" t="s">
        <v>647</v>
      </c>
      <c r="C3718" s="3" t="s">
        <v>60</v>
      </c>
      <c r="D3718" s="3" t="s">
        <v>47</v>
      </c>
      <c r="E3718" s="3" t="s">
        <v>48</v>
      </c>
      <c r="F3718" s="3" t="s">
        <v>25</v>
      </c>
      <c r="G3718" s="3" t="s">
        <v>49</v>
      </c>
      <c r="H3718" s="3" t="s">
        <v>77</v>
      </c>
      <c r="I3718" s="3" t="s">
        <v>78</v>
      </c>
      <c r="J3718" s="3" t="n">
        <v>1</v>
      </c>
      <c r="K3718" s="3" t="n">
        <v>3130.64</v>
      </c>
      <c r="L3718" s="3" t="n">
        <v>3130.64</v>
      </c>
      <c r="M3718" s="3" t="n">
        <v>0.1396</v>
      </c>
      <c r="N3718" s="3" t="n">
        <v>437.04</v>
      </c>
      <c r="O3718" s="3" t="n">
        <v>2693.6</v>
      </c>
      <c r="P3718" s="3" t="n">
        <v>2128.84</v>
      </c>
      <c r="Q3718" s="3" t="n">
        <v>564.76</v>
      </c>
      <c r="R3718" s="3" t="n">
        <v>0.2097</v>
      </c>
      <c r="S3718" s="3" t="n">
        <v>0.1184</v>
      </c>
      <c r="T3718" s="3" t="n">
        <v>0.0212</v>
      </c>
    </row>
    <row r="3719" customFormat="false" ht="15" hidden="false" customHeight="true" outlineLevel="0" collapsed="false">
      <c r="A3719" s="3" t="s">
        <v>4868</v>
      </c>
      <c r="B3719" s="3" t="s">
        <v>1560</v>
      </c>
      <c r="C3719" s="3" t="s">
        <v>113</v>
      </c>
      <c r="D3719" s="3" t="s">
        <v>107</v>
      </c>
      <c r="E3719" s="3" t="s">
        <v>33</v>
      </c>
      <c r="F3719" s="3" t="s">
        <v>70</v>
      </c>
      <c r="G3719" s="3" t="s">
        <v>41</v>
      </c>
      <c r="H3719" s="3" t="s">
        <v>64</v>
      </c>
      <c r="I3719" s="3" t="s">
        <v>65</v>
      </c>
      <c r="J3719" s="3" t="n">
        <v>42</v>
      </c>
      <c r="K3719" s="3" t="n">
        <v>10086.99</v>
      </c>
      <c r="L3719" s="3" t="n">
        <v>423653.58</v>
      </c>
      <c r="M3719" s="3" t="n">
        <v>0.0818</v>
      </c>
      <c r="N3719" s="3" t="n">
        <v>34654.86</v>
      </c>
      <c r="O3719" s="3" t="n">
        <v>388998.72</v>
      </c>
      <c r="P3719" s="3" t="n">
        <v>245719.08</v>
      </c>
      <c r="Q3719" s="3" t="n">
        <v>143279.64</v>
      </c>
      <c r="R3719" s="3" t="n">
        <v>0.3683</v>
      </c>
      <c r="S3719" s="3" t="n">
        <v>0.0865</v>
      </c>
      <c r="T3719" s="3" t="n">
        <v>-0.0047</v>
      </c>
    </row>
    <row r="3720" customFormat="false" ht="15" hidden="false" customHeight="true" outlineLevel="0" collapsed="false">
      <c r="A3720" s="3" t="s">
        <v>4869</v>
      </c>
      <c r="B3720" s="3" t="s">
        <v>3996</v>
      </c>
      <c r="C3720" s="3" t="s">
        <v>53</v>
      </c>
      <c r="D3720" s="3" t="s">
        <v>107</v>
      </c>
      <c r="E3720" s="3" t="s">
        <v>33</v>
      </c>
      <c r="F3720" s="3" t="s">
        <v>70</v>
      </c>
      <c r="G3720" s="3" t="s">
        <v>41</v>
      </c>
      <c r="H3720" s="3" t="s">
        <v>77</v>
      </c>
      <c r="I3720" s="3" t="s">
        <v>85</v>
      </c>
      <c r="J3720" s="3" t="n">
        <v>17</v>
      </c>
      <c r="K3720" s="3" t="n">
        <v>3507.65</v>
      </c>
      <c r="L3720" s="3" t="n">
        <v>59630.05</v>
      </c>
      <c r="M3720" s="3" t="n">
        <v>0.0935</v>
      </c>
      <c r="N3720" s="3" t="n">
        <v>5575.41</v>
      </c>
      <c r="O3720" s="3" t="n">
        <v>54054.64</v>
      </c>
      <c r="P3720" s="3" t="n">
        <v>40548.43</v>
      </c>
      <c r="Q3720" s="3" t="n">
        <v>13506.21</v>
      </c>
      <c r="R3720" s="3" t="n">
        <v>0.2499</v>
      </c>
      <c r="S3720" s="3" t="n">
        <v>0.0946</v>
      </c>
      <c r="T3720" s="3" t="n">
        <v>-0.0011</v>
      </c>
    </row>
    <row r="3721" customFormat="false" ht="15" hidden="false" customHeight="true" outlineLevel="0" collapsed="false">
      <c r="A3721" s="3" t="s">
        <v>4870</v>
      </c>
      <c r="B3721" s="3" t="s">
        <v>2964</v>
      </c>
      <c r="C3721" s="3" t="s">
        <v>31</v>
      </c>
      <c r="D3721" s="3" t="s">
        <v>69</v>
      </c>
      <c r="E3721" s="3" t="s">
        <v>39</v>
      </c>
      <c r="F3721" s="3" t="s">
        <v>70</v>
      </c>
      <c r="G3721" s="3" t="s">
        <v>34</v>
      </c>
      <c r="H3721" s="3" t="s">
        <v>56</v>
      </c>
      <c r="I3721" s="3" t="s">
        <v>188</v>
      </c>
      <c r="J3721" s="3" t="n">
        <v>20</v>
      </c>
      <c r="K3721" s="3" t="n">
        <v>15607.8</v>
      </c>
      <c r="L3721" s="3" t="n">
        <v>312156</v>
      </c>
      <c r="M3721" s="3" t="n">
        <v>0.1005</v>
      </c>
      <c r="N3721" s="3" t="n">
        <v>31371.68</v>
      </c>
      <c r="O3721" s="3" t="n">
        <v>280784.32</v>
      </c>
      <c r="P3721" s="3" t="n">
        <v>187293.6</v>
      </c>
      <c r="Q3721" s="3" t="n">
        <v>93490.72</v>
      </c>
      <c r="R3721" s="3" t="n">
        <v>0.333</v>
      </c>
      <c r="S3721" s="3" t="n">
        <v>0.0976</v>
      </c>
      <c r="T3721" s="3" t="n">
        <v>0.0029</v>
      </c>
    </row>
    <row r="3722" customFormat="false" ht="15" hidden="false" customHeight="true" outlineLevel="0" collapsed="false">
      <c r="A3722" s="3" t="s">
        <v>4871</v>
      </c>
      <c r="B3722" s="3" t="s">
        <v>4632</v>
      </c>
      <c r="C3722" s="3" t="s">
        <v>37</v>
      </c>
      <c r="D3722" s="3" t="s">
        <v>23</v>
      </c>
      <c r="E3722" s="3" t="s">
        <v>24</v>
      </c>
      <c r="F3722" s="3" t="s">
        <v>25</v>
      </c>
      <c r="G3722" s="3" t="s">
        <v>63</v>
      </c>
      <c r="H3722" s="3" t="s">
        <v>27</v>
      </c>
      <c r="I3722" s="3" t="s">
        <v>173</v>
      </c>
      <c r="J3722" s="3" t="n">
        <v>26</v>
      </c>
      <c r="K3722" s="3" t="n">
        <v>29124.25</v>
      </c>
      <c r="L3722" s="3" t="n">
        <v>757230.5</v>
      </c>
      <c r="M3722" s="3" t="n">
        <v>0.0935</v>
      </c>
      <c r="N3722" s="3" t="n">
        <v>70801.05</v>
      </c>
      <c r="O3722" s="3" t="n">
        <v>686429.45</v>
      </c>
      <c r="P3722" s="3" t="n">
        <v>469482.91</v>
      </c>
      <c r="Q3722" s="3" t="n">
        <v>216946.54</v>
      </c>
      <c r="R3722" s="3" t="n">
        <v>0.3161</v>
      </c>
      <c r="S3722" s="3" t="n">
        <v>0.1025</v>
      </c>
      <c r="T3722" s="3" t="n">
        <v>-0.009</v>
      </c>
    </row>
    <row r="3723" customFormat="false" ht="15" hidden="false" customHeight="true" outlineLevel="0" collapsed="false">
      <c r="A3723" s="3" t="s">
        <v>4872</v>
      </c>
      <c r="B3723" s="3" t="s">
        <v>3344</v>
      </c>
      <c r="C3723" s="3" t="s">
        <v>37</v>
      </c>
      <c r="D3723" s="3" t="s">
        <v>61</v>
      </c>
      <c r="E3723" s="3" t="s">
        <v>33</v>
      </c>
      <c r="F3723" s="3" t="s">
        <v>62</v>
      </c>
      <c r="G3723" s="3" t="s">
        <v>76</v>
      </c>
      <c r="H3723" s="3" t="s">
        <v>64</v>
      </c>
      <c r="I3723" s="3" t="s">
        <v>108</v>
      </c>
      <c r="J3723" s="3" t="n">
        <v>17</v>
      </c>
      <c r="K3723" s="3" t="n">
        <v>8880.89</v>
      </c>
      <c r="L3723" s="3" t="n">
        <v>150975.13</v>
      </c>
      <c r="M3723" s="3" t="n">
        <v>0.0403</v>
      </c>
      <c r="N3723" s="3" t="n">
        <v>6084.3</v>
      </c>
      <c r="O3723" s="3" t="n">
        <v>144890.83</v>
      </c>
      <c r="P3723" s="3" t="n">
        <v>87565.58</v>
      </c>
      <c r="Q3723" s="3" t="n">
        <v>57325.25</v>
      </c>
      <c r="R3723" s="3" t="n">
        <v>0.3956</v>
      </c>
      <c r="S3723" s="3" t="n">
        <v>0.0385</v>
      </c>
      <c r="T3723" s="3" t="n">
        <v>0.0018</v>
      </c>
    </row>
    <row r="3724" customFormat="false" ht="15" hidden="false" customHeight="true" outlineLevel="0" collapsed="false">
      <c r="A3724" s="3" t="s">
        <v>4873</v>
      </c>
      <c r="B3724" s="3" t="s">
        <v>1395</v>
      </c>
      <c r="C3724" s="3" t="s">
        <v>31</v>
      </c>
      <c r="D3724" s="3" t="s">
        <v>97</v>
      </c>
      <c r="E3724" s="3" t="s">
        <v>48</v>
      </c>
      <c r="F3724" s="3" t="s">
        <v>40</v>
      </c>
      <c r="G3724" s="3" t="s">
        <v>100</v>
      </c>
      <c r="H3724" s="3" t="s">
        <v>42</v>
      </c>
      <c r="I3724" s="3" t="s">
        <v>72</v>
      </c>
      <c r="J3724" s="3" t="n">
        <v>34</v>
      </c>
      <c r="K3724" s="3" t="n">
        <v>820.5</v>
      </c>
      <c r="L3724" s="3" t="n">
        <v>27897</v>
      </c>
      <c r="M3724" s="3" t="n">
        <v>0.0629</v>
      </c>
      <c r="N3724" s="3" t="n">
        <v>1754.72</v>
      </c>
      <c r="O3724" s="3" t="n">
        <v>26142.28</v>
      </c>
      <c r="P3724" s="3" t="n">
        <v>15343.35</v>
      </c>
      <c r="Q3724" s="3" t="n">
        <v>10798.93</v>
      </c>
      <c r="R3724" s="3" t="n">
        <v>0.4131</v>
      </c>
      <c r="S3724" s="3" t="n">
        <v>0.0569</v>
      </c>
      <c r="T3724" s="3" t="n">
        <v>0.006</v>
      </c>
    </row>
    <row r="3725" customFormat="false" ht="15" hidden="false" customHeight="true" outlineLevel="0" collapsed="false">
      <c r="A3725" s="3" t="s">
        <v>4874</v>
      </c>
      <c r="B3725" s="3" t="s">
        <v>1982</v>
      </c>
      <c r="C3725" s="3" t="s">
        <v>93</v>
      </c>
      <c r="D3725" s="3" t="s">
        <v>75</v>
      </c>
      <c r="E3725" s="3" t="s">
        <v>39</v>
      </c>
      <c r="F3725" s="3" t="s">
        <v>25</v>
      </c>
      <c r="G3725" s="3" t="s">
        <v>116</v>
      </c>
      <c r="H3725" s="3" t="s">
        <v>42</v>
      </c>
      <c r="I3725" s="3" t="s">
        <v>43</v>
      </c>
      <c r="J3725" s="3" t="n">
        <v>25</v>
      </c>
      <c r="K3725" s="3" t="n">
        <v>601.81</v>
      </c>
      <c r="L3725" s="3" t="n">
        <v>15045.25</v>
      </c>
      <c r="M3725" s="3" t="n">
        <v>0.1922</v>
      </c>
      <c r="N3725" s="3" t="n">
        <v>2891.7</v>
      </c>
      <c r="O3725" s="3" t="n">
        <v>12153.55</v>
      </c>
      <c r="P3725" s="3" t="n">
        <v>8274.89</v>
      </c>
      <c r="Q3725" s="3" t="n">
        <v>3878.66</v>
      </c>
      <c r="R3725" s="3" t="n">
        <v>0.3191</v>
      </c>
      <c r="S3725" s="3" t="n">
        <v>0.1974</v>
      </c>
      <c r="T3725" s="3" t="n">
        <v>-0.0052</v>
      </c>
    </row>
    <row r="3726" customFormat="false" ht="15" hidden="false" customHeight="true" outlineLevel="0" collapsed="false">
      <c r="A3726" s="3" t="s">
        <v>4875</v>
      </c>
      <c r="B3726" s="3" t="s">
        <v>1148</v>
      </c>
      <c r="C3726" s="3" t="s">
        <v>68</v>
      </c>
      <c r="D3726" s="3" t="s">
        <v>32</v>
      </c>
      <c r="E3726" s="3" t="s">
        <v>33</v>
      </c>
      <c r="F3726" s="3" t="s">
        <v>25</v>
      </c>
      <c r="G3726" s="3" t="s">
        <v>26</v>
      </c>
      <c r="H3726" s="3" t="s">
        <v>42</v>
      </c>
      <c r="I3726" s="3" t="s">
        <v>72</v>
      </c>
      <c r="J3726" s="3" t="n">
        <v>15</v>
      </c>
      <c r="K3726" s="3" t="n">
        <v>3040.43</v>
      </c>
      <c r="L3726" s="3" t="n">
        <v>45606.45</v>
      </c>
      <c r="M3726" s="3" t="n">
        <v>0.1297</v>
      </c>
      <c r="N3726" s="3" t="n">
        <v>5915.16</v>
      </c>
      <c r="O3726" s="3" t="n">
        <v>39691.29</v>
      </c>
      <c r="P3726" s="3" t="n">
        <v>25083.55</v>
      </c>
      <c r="Q3726" s="3" t="n">
        <v>14607.74</v>
      </c>
      <c r="R3726" s="3" t="n">
        <v>0.368</v>
      </c>
      <c r="S3726" s="3" t="n">
        <v>0.1074</v>
      </c>
      <c r="T3726" s="3" t="n">
        <v>0.0223</v>
      </c>
    </row>
    <row r="3727" customFormat="false" ht="15" hidden="false" customHeight="true" outlineLevel="0" collapsed="false">
      <c r="A3727" s="3" t="s">
        <v>4876</v>
      </c>
      <c r="B3727" s="3" t="s">
        <v>1001</v>
      </c>
      <c r="C3727" s="3" t="s">
        <v>46</v>
      </c>
      <c r="D3727" s="3" t="s">
        <v>97</v>
      </c>
      <c r="E3727" s="3" t="s">
        <v>48</v>
      </c>
      <c r="F3727" s="3" t="s">
        <v>40</v>
      </c>
      <c r="G3727" s="3" t="s">
        <v>49</v>
      </c>
      <c r="H3727" s="3" t="s">
        <v>77</v>
      </c>
      <c r="I3727" s="3" t="s">
        <v>85</v>
      </c>
      <c r="J3727" s="3" t="n">
        <v>24</v>
      </c>
      <c r="K3727" s="3" t="n">
        <v>3981.04</v>
      </c>
      <c r="L3727" s="3" t="n">
        <v>95544.96</v>
      </c>
      <c r="M3727" s="3" t="n">
        <v>0.0669</v>
      </c>
      <c r="N3727" s="3" t="n">
        <v>6391.96</v>
      </c>
      <c r="O3727" s="3" t="n">
        <v>89153</v>
      </c>
      <c r="P3727" s="3" t="n">
        <v>64970.57</v>
      </c>
      <c r="Q3727" s="3" t="n">
        <v>24182.43</v>
      </c>
      <c r="R3727" s="3" t="n">
        <v>0.2712</v>
      </c>
      <c r="S3727" s="3" t="n">
        <v>0.065</v>
      </c>
      <c r="T3727" s="3" t="n">
        <v>0.0019</v>
      </c>
    </row>
    <row r="3728" customFormat="false" ht="15" hidden="false" customHeight="true" outlineLevel="0" collapsed="false">
      <c r="A3728" s="3" t="s">
        <v>4877</v>
      </c>
      <c r="B3728" s="3" t="s">
        <v>3925</v>
      </c>
      <c r="C3728" s="3" t="s">
        <v>120</v>
      </c>
      <c r="D3728" s="3" t="s">
        <v>54</v>
      </c>
      <c r="E3728" s="3" t="s">
        <v>24</v>
      </c>
      <c r="F3728" s="3" t="s">
        <v>40</v>
      </c>
      <c r="G3728" s="3" t="s">
        <v>55</v>
      </c>
      <c r="H3728" s="3" t="s">
        <v>64</v>
      </c>
      <c r="I3728" s="3" t="s">
        <v>65</v>
      </c>
      <c r="J3728" s="3" t="n">
        <v>37</v>
      </c>
      <c r="K3728" s="3" t="n">
        <v>5220.7</v>
      </c>
      <c r="L3728" s="3" t="n">
        <v>193165.9</v>
      </c>
      <c r="M3728" s="3" t="n">
        <v>0.0677</v>
      </c>
      <c r="N3728" s="3" t="n">
        <v>13077.33</v>
      </c>
      <c r="O3728" s="3" t="n">
        <v>180088.57</v>
      </c>
      <c r="P3728" s="3" t="n">
        <v>112036.22</v>
      </c>
      <c r="Q3728" s="3" t="n">
        <v>68052.35</v>
      </c>
      <c r="R3728" s="3" t="n">
        <v>0.3779</v>
      </c>
      <c r="S3728" s="3" t="n">
        <v>0.0584</v>
      </c>
      <c r="T3728" s="3" t="n">
        <v>0.0093</v>
      </c>
    </row>
    <row r="3729" customFormat="false" ht="15" hidden="false" customHeight="true" outlineLevel="0" collapsed="false">
      <c r="A3729" s="3" t="s">
        <v>4878</v>
      </c>
      <c r="B3729" s="3" t="s">
        <v>1375</v>
      </c>
      <c r="C3729" s="3" t="s">
        <v>68</v>
      </c>
      <c r="D3729" s="3" t="s">
        <v>47</v>
      </c>
      <c r="E3729" s="3" t="s">
        <v>48</v>
      </c>
      <c r="F3729" s="3" t="s">
        <v>25</v>
      </c>
      <c r="G3729" s="3" t="s">
        <v>49</v>
      </c>
      <c r="H3729" s="3" t="s">
        <v>64</v>
      </c>
      <c r="I3729" s="3" t="s">
        <v>90</v>
      </c>
      <c r="J3729" s="3" t="n">
        <v>12</v>
      </c>
      <c r="K3729" s="3" t="n">
        <v>8185.81</v>
      </c>
      <c r="L3729" s="3" t="n">
        <v>98229.72</v>
      </c>
      <c r="M3729" s="3" t="n">
        <v>0.1313</v>
      </c>
      <c r="N3729" s="3" t="n">
        <v>12897.56</v>
      </c>
      <c r="O3729" s="3" t="n">
        <v>85332.16</v>
      </c>
      <c r="P3729" s="3" t="n">
        <v>56973.24</v>
      </c>
      <c r="Q3729" s="3" t="n">
        <v>28358.92</v>
      </c>
      <c r="R3729" s="3" t="n">
        <v>0.3323</v>
      </c>
      <c r="S3729" s="3" t="n">
        <v>0.1245</v>
      </c>
      <c r="T3729" s="3" t="n">
        <v>0.0068</v>
      </c>
    </row>
    <row r="3730" customFormat="false" ht="15" hidden="false" customHeight="true" outlineLevel="0" collapsed="false">
      <c r="A3730" s="3" t="s">
        <v>4879</v>
      </c>
      <c r="B3730" s="3" t="s">
        <v>3205</v>
      </c>
      <c r="C3730" s="3" t="s">
        <v>126</v>
      </c>
      <c r="D3730" s="3" t="s">
        <v>83</v>
      </c>
      <c r="E3730" s="3" t="s">
        <v>48</v>
      </c>
      <c r="F3730" s="3" t="s">
        <v>62</v>
      </c>
      <c r="G3730" s="3" t="s">
        <v>34</v>
      </c>
      <c r="H3730" s="3" t="s">
        <v>42</v>
      </c>
      <c r="I3730" s="3" t="s">
        <v>72</v>
      </c>
      <c r="J3730" s="3" t="n">
        <v>36</v>
      </c>
      <c r="K3730" s="3" t="n">
        <v>1763.08</v>
      </c>
      <c r="L3730" s="3" t="n">
        <v>63470.88</v>
      </c>
      <c r="M3730" s="3" t="n">
        <v>0.0796</v>
      </c>
      <c r="N3730" s="3" t="n">
        <v>5052.28</v>
      </c>
      <c r="O3730" s="3" t="n">
        <v>58418.6</v>
      </c>
      <c r="P3730" s="3" t="n">
        <v>34908.98</v>
      </c>
      <c r="Q3730" s="3" t="n">
        <v>23509.62</v>
      </c>
      <c r="R3730" s="3" t="n">
        <v>0.4024</v>
      </c>
      <c r="S3730" s="3" t="n">
        <v>0.0658</v>
      </c>
      <c r="T3730" s="3" t="n">
        <v>0.0138</v>
      </c>
    </row>
    <row r="3731" customFormat="false" ht="15" hidden="false" customHeight="true" outlineLevel="0" collapsed="false">
      <c r="A3731" s="3" t="s">
        <v>4880</v>
      </c>
      <c r="B3731" s="3" t="s">
        <v>2255</v>
      </c>
      <c r="C3731" s="3" t="s">
        <v>156</v>
      </c>
      <c r="D3731" s="3" t="s">
        <v>54</v>
      </c>
      <c r="E3731" s="3" t="s">
        <v>24</v>
      </c>
      <c r="F3731" s="3" t="s">
        <v>40</v>
      </c>
      <c r="G3731" s="3" t="s">
        <v>55</v>
      </c>
      <c r="H3731" s="3" t="s">
        <v>56</v>
      </c>
      <c r="I3731" s="3" t="s">
        <v>188</v>
      </c>
      <c r="J3731" s="3" t="n">
        <v>50</v>
      </c>
      <c r="K3731" s="3" t="n">
        <v>7536.74</v>
      </c>
      <c r="L3731" s="3" t="n">
        <v>376837</v>
      </c>
      <c r="M3731" s="3" t="n">
        <v>0.0707</v>
      </c>
      <c r="N3731" s="3" t="n">
        <v>26642.38</v>
      </c>
      <c r="O3731" s="3" t="n">
        <v>350194.62</v>
      </c>
      <c r="P3731" s="3" t="n">
        <v>226102.2</v>
      </c>
      <c r="Q3731" s="3" t="n">
        <v>124092.42</v>
      </c>
      <c r="R3731" s="3" t="n">
        <v>0.3544</v>
      </c>
      <c r="S3731" s="3" t="n">
        <v>0.0769</v>
      </c>
      <c r="T3731" s="3" t="n">
        <v>-0.0062</v>
      </c>
    </row>
    <row r="3732" customFormat="false" ht="15" hidden="false" customHeight="true" outlineLevel="0" collapsed="false">
      <c r="A3732" s="3" t="s">
        <v>4881</v>
      </c>
      <c r="B3732" s="3" t="s">
        <v>883</v>
      </c>
      <c r="C3732" s="3" t="s">
        <v>156</v>
      </c>
      <c r="D3732" s="3" t="s">
        <v>23</v>
      </c>
      <c r="E3732" s="3" t="s">
        <v>24</v>
      </c>
      <c r="F3732" s="3" t="s">
        <v>25</v>
      </c>
      <c r="G3732" s="3" t="s">
        <v>41</v>
      </c>
      <c r="H3732" s="3" t="s">
        <v>56</v>
      </c>
      <c r="I3732" s="3" t="s">
        <v>57</v>
      </c>
      <c r="J3732" s="3" t="n">
        <v>32</v>
      </c>
      <c r="K3732" s="3" t="n">
        <v>8917.65</v>
      </c>
      <c r="L3732" s="3" t="n">
        <v>285364.8</v>
      </c>
      <c r="M3732" s="3" t="n">
        <v>0.1724</v>
      </c>
      <c r="N3732" s="3" t="n">
        <v>49196.89</v>
      </c>
      <c r="O3732" s="3" t="n">
        <v>236167.91</v>
      </c>
      <c r="P3732" s="3" t="n">
        <v>171218.88</v>
      </c>
      <c r="Q3732" s="3" t="n">
        <v>64949.03</v>
      </c>
      <c r="R3732" s="3" t="n">
        <v>0.275</v>
      </c>
      <c r="S3732" s="3" t="n">
        <v>0.1731</v>
      </c>
      <c r="T3732" s="3" t="n">
        <v>-0.0007</v>
      </c>
    </row>
    <row r="3733" customFormat="false" ht="15" hidden="false" customHeight="true" outlineLevel="0" collapsed="false">
      <c r="A3733" s="3" t="s">
        <v>4882</v>
      </c>
      <c r="B3733" s="3" t="s">
        <v>140</v>
      </c>
      <c r="C3733" s="3" t="s">
        <v>22</v>
      </c>
      <c r="D3733" s="3" t="s">
        <v>83</v>
      </c>
      <c r="E3733" s="3" t="s">
        <v>48</v>
      </c>
      <c r="F3733" s="3" t="s">
        <v>62</v>
      </c>
      <c r="G3733" s="3" t="s">
        <v>49</v>
      </c>
      <c r="H3733" s="3" t="s">
        <v>77</v>
      </c>
      <c r="I3733" s="3" t="s">
        <v>131</v>
      </c>
      <c r="J3733" s="3" t="n">
        <v>3</v>
      </c>
      <c r="K3733" s="3" t="n">
        <v>5356.26</v>
      </c>
      <c r="L3733" s="3" t="n">
        <v>16068.78</v>
      </c>
      <c r="M3733" s="3" t="n">
        <v>0.0347</v>
      </c>
      <c r="N3733" s="3" t="n">
        <v>557.59</v>
      </c>
      <c r="O3733" s="3" t="n">
        <v>15511.19</v>
      </c>
      <c r="P3733" s="3" t="n">
        <v>10926.77</v>
      </c>
      <c r="Q3733" s="3" t="n">
        <v>4584.42</v>
      </c>
      <c r="R3733" s="3" t="n">
        <v>0.2956</v>
      </c>
      <c r="S3733" s="3" t="n">
        <v>0.0301</v>
      </c>
      <c r="T3733" s="3" t="n">
        <v>0.0046</v>
      </c>
    </row>
    <row r="3734" customFormat="false" ht="15" hidden="false" customHeight="true" outlineLevel="0" collapsed="false">
      <c r="A3734" s="3" t="s">
        <v>4883</v>
      </c>
      <c r="B3734" s="3" t="s">
        <v>1008</v>
      </c>
      <c r="C3734" s="3" t="s">
        <v>113</v>
      </c>
      <c r="D3734" s="3" t="s">
        <v>61</v>
      </c>
      <c r="E3734" s="3" t="s">
        <v>33</v>
      </c>
      <c r="F3734" s="3" t="s">
        <v>62</v>
      </c>
      <c r="G3734" s="3" t="s">
        <v>100</v>
      </c>
      <c r="H3734" s="3" t="s">
        <v>42</v>
      </c>
      <c r="I3734" s="3" t="s">
        <v>134</v>
      </c>
      <c r="J3734" s="3" t="n">
        <v>20</v>
      </c>
      <c r="K3734" s="3" t="n">
        <v>3884.56</v>
      </c>
      <c r="L3734" s="3" t="n">
        <v>77691.2</v>
      </c>
      <c r="M3734" s="3" t="n">
        <v>0.0442</v>
      </c>
      <c r="N3734" s="3" t="n">
        <v>3433.95</v>
      </c>
      <c r="O3734" s="3" t="n">
        <v>74257.25</v>
      </c>
      <c r="P3734" s="3" t="n">
        <v>42730.16</v>
      </c>
      <c r="Q3734" s="3" t="n">
        <v>31527.09</v>
      </c>
      <c r="R3734" s="3" t="n">
        <v>0.4246</v>
      </c>
      <c r="S3734" s="3" t="n">
        <v>0.0408</v>
      </c>
      <c r="T3734" s="3" t="n">
        <v>0.0034</v>
      </c>
    </row>
    <row r="3735" customFormat="false" ht="15" hidden="false" customHeight="true" outlineLevel="0" collapsed="false">
      <c r="A3735" s="3" t="s">
        <v>4884</v>
      </c>
      <c r="B3735" s="3" t="s">
        <v>21</v>
      </c>
      <c r="C3735" s="3" t="s">
        <v>22</v>
      </c>
      <c r="D3735" s="3" t="s">
        <v>54</v>
      </c>
      <c r="E3735" s="3" t="s">
        <v>24</v>
      </c>
      <c r="F3735" s="3" t="s">
        <v>40</v>
      </c>
      <c r="G3735" s="3" t="s">
        <v>41</v>
      </c>
      <c r="H3735" s="3" t="s">
        <v>77</v>
      </c>
      <c r="I3735" s="3" t="s">
        <v>85</v>
      </c>
      <c r="J3735" s="3" t="n">
        <v>17</v>
      </c>
      <c r="K3735" s="3" t="n">
        <v>4839.08</v>
      </c>
      <c r="L3735" s="3" t="n">
        <v>82264.36</v>
      </c>
      <c r="M3735" s="3" t="n">
        <v>0.1238</v>
      </c>
      <c r="N3735" s="3" t="n">
        <v>10184.33</v>
      </c>
      <c r="O3735" s="3" t="n">
        <v>72080.03</v>
      </c>
      <c r="P3735" s="3" t="n">
        <v>55939.76</v>
      </c>
      <c r="Q3735" s="3" t="n">
        <v>16140.27</v>
      </c>
      <c r="R3735" s="3" t="n">
        <v>0.2239</v>
      </c>
      <c r="S3735" s="3" t="n">
        <v>0.0991</v>
      </c>
      <c r="T3735" s="3" t="n">
        <v>0.0247</v>
      </c>
    </row>
    <row r="3736" customFormat="false" ht="15" hidden="false" customHeight="true" outlineLevel="0" collapsed="false">
      <c r="A3736" s="3" t="s">
        <v>4885</v>
      </c>
      <c r="B3736" s="3" t="s">
        <v>1038</v>
      </c>
      <c r="C3736" s="3" t="s">
        <v>53</v>
      </c>
      <c r="D3736" s="3" t="s">
        <v>97</v>
      </c>
      <c r="E3736" s="3" t="s">
        <v>48</v>
      </c>
      <c r="F3736" s="3" t="s">
        <v>40</v>
      </c>
      <c r="G3736" s="3" t="s">
        <v>116</v>
      </c>
      <c r="H3736" s="3" t="s">
        <v>56</v>
      </c>
      <c r="I3736" s="3" t="s">
        <v>57</v>
      </c>
      <c r="J3736" s="3" t="n">
        <v>25</v>
      </c>
      <c r="K3736" s="3" t="n">
        <v>14803.65</v>
      </c>
      <c r="L3736" s="3" t="n">
        <v>370091.25</v>
      </c>
      <c r="M3736" s="3" t="n">
        <v>0.1252</v>
      </c>
      <c r="N3736" s="3" t="n">
        <v>46335.42</v>
      </c>
      <c r="O3736" s="3" t="n">
        <v>323755.83</v>
      </c>
      <c r="P3736" s="3" t="n">
        <v>222054.75</v>
      </c>
      <c r="Q3736" s="3" t="n">
        <v>101701.08</v>
      </c>
      <c r="R3736" s="3" t="n">
        <v>0.3141</v>
      </c>
      <c r="S3736" s="3" t="n">
        <v>0.1311</v>
      </c>
      <c r="T3736" s="3" t="n">
        <v>-0.0059</v>
      </c>
    </row>
    <row r="3737" customFormat="false" ht="15" hidden="false" customHeight="true" outlineLevel="0" collapsed="false">
      <c r="A3737" s="3" t="s">
        <v>4886</v>
      </c>
      <c r="B3737" s="3" t="s">
        <v>1088</v>
      </c>
      <c r="C3737" s="3" t="s">
        <v>120</v>
      </c>
      <c r="D3737" s="3" t="s">
        <v>97</v>
      </c>
      <c r="E3737" s="3" t="s">
        <v>48</v>
      </c>
      <c r="F3737" s="3" t="s">
        <v>40</v>
      </c>
      <c r="G3737" s="3" t="s">
        <v>76</v>
      </c>
      <c r="H3737" s="3" t="s">
        <v>56</v>
      </c>
      <c r="I3737" s="3" t="s">
        <v>188</v>
      </c>
      <c r="J3737" s="3" t="n">
        <v>43</v>
      </c>
      <c r="K3737" s="3" t="n">
        <v>15427.93</v>
      </c>
      <c r="L3737" s="3" t="n">
        <v>663400.99</v>
      </c>
      <c r="M3737" s="3" t="n">
        <v>0.0601</v>
      </c>
      <c r="N3737" s="3" t="n">
        <v>39870.4</v>
      </c>
      <c r="O3737" s="3" t="n">
        <v>623530.59</v>
      </c>
      <c r="P3737" s="3" t="n">
        <v>398040.59</v>
      </c>
      <c r="Q3737" s="3" t="n">
        <v>225490</v>
      </c>
      <c r="R3737" s="3" t="n">
        <v>0.3616</v>
      </c>
      <c r="S3737" s="3" t="n">
        <v>0.0543</v>
      </c>
      <c r="T3737" s="3" t="n">
        <v>0.0058</v>
      </c>
    </row>
    <row r="3738" customFormat="false" ht="15" hidden="false" customHeight="true" outlineLevel="0" collapsed="false">
      <c r="A3738" s="3" t="s">
        <v>4887</v>
      </c>
      <c r="B3738" s="3" t="s">
        <v>4389</v>
      </c>
      <c r="C3738" s="3" t="s">
        <v>53</v>
      </c>
      <c r="D3738" s="3" t="s">
        <v>83</v>
      </c>
      <c r="E3738" s="3" t="s">
        <v>48</v>
      </c>
      <c r="F3738" s="3" t="s">
        <v>62</v>
      </c>
      <c r="G3738" s="3" t="s">
        <v>63</v>
      </c>
      <c r="H3738" s="3" t="s">
        <v>64</v>
      </c>
      <c r="I3738" s="3" t="s">
        <v>65</v>
      </c>
      <c r="J3738" s="3" t="n">
        <v>37</v>
      </c>
      <c r="K3738" s="3" t="n">
        <v>7087.7</v>
      </c>
      <c r="L3738" s="3" t="n">
        <v>262244.9</v>
      </c>
      <c r="M3738" s="3" t="n">
        <v>0.049</v>
      </c>
      <c r="N3738" s="3" t="n">
        <v>12850</v>
      </c>
      <c r="O3738" s="3" t="n">
        <v>249394.9</v>
      </c>
      <c r="P3738" s="3" t="n">
        <v>152102.04</v>
      </c>
      <c r="Q3738" s="3" t="n">
        <v>97292.86</v>
      </c>
      <c r="R3738" s="3" t="n">
        <v>0.3901</v>
      </c>
      <c r="S3738" s="3" t="n">
        <v>0.0449</v>
      </c>
      <c r="T3738" s="3" t="n">
        <v>0.0041</v>
      </c>
    </row>
    <row r="3739" customFormat="false" ht="15" hidden="false" customHeight="true" outlineLevel="0" collapsed="false">
      <c r="A3739" s="3" t="s">
        <v>4888</v>
      </c>
      <c r="B3739" s="3" t="s">
        <v>2218</v>
      </c>
      <c r="C3739" s="3" t="s">
        <v>93</v>
      </c>
      <c r="D3739" s="3" t="s">
        <v>75</v>
      </c>
      <c r="E3739" s="3" t="s">
        <v>39</v>
      </c>
      <c r="F3739" s="3" t="s">
        <v>25</v>
      </c>
      <c r="G3739" s="3" t="s">
        <v>71</v>
      </c>
      <c r="H3739" s="3" t="s">
        <v>27</v>
      </c>
      <c r="I3739" s="3" t="s">
        <v>94</v>
      </c>
      <c r="J3739" s="3" t="n">
        <v>3</v>
      </c>
      <c r="K3739" s="3" t="n">
        <v>20620.91</v>
      </c>
      <c r="L3739" s="3" t="n">
        <v>61862.73</v>
      </c>
      <c r="M3739" s="3" t="n">
        <v>0.171</v>
      </c>
      <c r="N3739" s="3" t="n">
        <v>10578.53</v>
      </c>
      <c r="O3739" s="3" t="n">
        <v>51284.2</v>
      </c>
      <c r="P3739" s="3" t="n">
        <v>38354.89</v>
      </c>
      <c r="Q3739" s="3" t="n">
        <v>12929.31</v>
      </c>
      <c r="R3739" s="3" t="n">
        <v>0.2521</v>
      </c>
      <c r="S3739" s="3" t="n">
        <v>0.1461</v>
      </c>
      <c r="T3739" s="3" t="n">
        <v>0.0249</v>
      </c>
    </row>
    <row r="3740" customFormat="false" ht="15" hidden="false" customHeight="true" outlineLevel="0" collapsed="false">
      <c r="A3740" s="3" t="s">
        <v>4889</v>
      </c>
      <c r="B3740" s="3" t="s">
        <v>1041</v>
      </c>
      <c r="C3740" s="3" t="s">
        <v>60</v>
      </c>
      <c r="D3740" s="3" t="s">
        <v>54</v>
      </c>
      <c r="E3740" s="3" t="s">
        <v>24</v>
      </c>
      <c r="F3740" s="3" t="s">
        <v>40</v>
      </c>
      <c r="G3740" s="3" t="s">
        <v>104</v>
      </c>
      <c r="H3740" s="3" t="s">
        <v>64</v>
      </c>
      <c r="I3740" s="3" t="s">
        <v>108</v>
      </c>
      <c r="J3740" s="3" t="n">
        <v>25</v>
      </c>
      <c r="K3740" s="3" t="n">
        <v>6274.5</v>
      </c>
      <c r="L3740" s="3" t="n">
        <v>156862.5</v>
      </c>
      <c r="M3740" s="3" t="n">
        <v>0.0959</v>
      </c>
      <c r="N3740" s="3" t="n">
        <v>15043.11</v>
      </c>
      <c r="O3740" s="3" t="n">
        <v>141819.39</v>
      </c>
      <c r="P3740" s="3" t="n">
        <v>90980.25</v>
      </c>
      <c r="Q3740" s="3" t="n">
        <v>50839.14</v>
      </c>
      <c r="R3740" s="3" t="n">
        <v>0.3585</v>
      </c>
      <c r="S3740" s="3" t="n">
        <v>0.1025</v>
      </c>
      <c r="T3740" s="3" t="n">
        <v>-0.0066</v>
      </c>
    </row>
    <row r="3741" customFormat="false" ht="15" hidden="false" customHeight="true" outlineLevel="0" collapsed="false">
      <c r="A3741" s="3" t="s">
        <v>4890</v>
      </c>
      <c r="B3741" s="3" t="s">
        <v>856</v>
      </c>
      <c r="C3741" s="3" t="s">
        <v>31</v>
      </c>
      <c r="D3741" s="3" t="s">
        <v>103</v>
      </c>
      <c r="E3741" s="3" t="s">
        <v>24</v>
      </c>
      <c r="F3741" s="3" t="s">
        <v>62</v>
      </c>
      <c r="G3741" s="3" t="s">
        <v>116</v>
      </c>
      <c r="H3741" s="3" t="s">
        <v>56</v>
      </c>
      <c r="I3741" s="3" t="s">
        <v>57</v>
      </c>
      <c r="J3741" s="3" t="n">
        <v>49</v>
      </c>
      <c r="K3741" s="3" t="n">
        <v>12633.17</v>
      </c>
      <c r="L3741" s="3" t="n">
        <v>619025.33</v>
      </c>
      <c r="M3741" s="3" t="n">
        <v>0.0968</v>
      </c>
      <c r="N3741" s="3" t="n">
        <v>59921.65</v>
      </c>
      <c r="O3741" s="3" t="n">
        <v>559103.68</v>
      </c>
      <c r="P3741" s="3" t="n">
        <v>371415.2</v>
      </c>
      <c r="Q3741" s="3" t="n">
        <v>187688.48</v>
      </c>
      <c r="R3741" s="3" t="n">
        <v>0.3357</v>
      </c>
      <c r="S3741" s="3" t="n">
        <v>0.0953</v>
      </c>
      <c r="T3741" s="3" t="n">
        <v>0.0015</v>
      </c>
    </row>
    <row r="3742" customFormat="false" ht="15" hidden="false" customHeight="true" outlineLevel="0" collapsed="false">
      <c r="A3742" s="3" t="s">
        <v>4891</v>
      </c>
      <c r="B3742" s="3" t="s">
        <v>1582</v>
      </c>
      <c r="C3742" s="3" t="s">
        <v>93</v>
      </c>
      <c r="D3742" s="3" t="s">
        <v>75</v>
      </c>
      <c r="E3742" s="3" t="s">
        <v>39</v>
      </c>
      <c r="F3742" s="3" t="s">
        <v>25</v>
      </c>
      <c r="G3742" s="3" t="s">
        <v>104</v>
      </c>
      <c r="H3742" s="3" t="s">
        <v>77</v>
      </c>
      <c r="I3742" s="3" t="s">
        <v>78</v>
      </c>
      <c r="J3742" s="3" t="n">
        <v>44</v>
      </c>
      <c r="K3742" s="3" t="n">
        <v>1769.02</v>
      </c>
      <c r="L3742" s="3" t="n">
        <v>77836.88</v>
      </c>
      <c r="M3742" s="3" t="n">
        <v>0.1648</v>
      </c>
      <c r="N3742" s="3" t="n">
        <v>12827.52</v>
      </c>
      <c r="O3742" s="3" t="n">
        <v>65009.36</v>
      </c>
      <c r="P3742" s="3" t="n">
        <v>52929.08</v>
      </c>
      <c r="Q3742" s="3" t="n">
        <v>12080.28</v>
      </c>
      <c r="R3742" s="3" t="n">
        <v>0.1858</v>
      </c>
      <c r="S3742" s="3" t="n">
        <v>0.1653</v>
      </c>
      <c r="T3742" s="3" t="n">
        <v>-0.0005</v>
      </c>
    </row>
    <row r="3743" customFormat="false" ht="15" hidden="false" customHeight="true" outlineLevel="0" collapsed="false">
      <c r="A3743" s="3" t="s">
        <v>4892</v>
      </c>
      <c r="B3743" s="3" t="s">
        <v>2104</v>
      </c>
      <c r="C3743" s="3" t="s">
        <v>68</v>
      </c>
      <c r="D3743" s="3" t="s">
        <v>69</v>
      </c>
      <c r="E3743" s="3" t="s">
        <v>39</v>
      </c>
      <c r="F3743" s="3" t="s">
        <v>70</v>
      </c>
      <c r="G3743" s="3" t="s">
        <v>104</v>
      </c>
      <c r="H3743" s="3" t="s">
        <v>64</v>
      </c>
      <c r="I3743" s="3" t="s">
        <v>90</v>
      </c>
      <c r="J3743" s="3" t="n">
        <v>38</v>
      </c>
      <c r="K3743" s="3" t="n">
        <v>10354.41</v>
      </c>
      <c r="L3743" s="3" t="n">
        <v>393467.58</v>
      </c>
      <c r="M3743" s="3" t="n">
        <v>0.0848</v>
      </c>
      <c r="N3743" s="3" t="n">
        <v>33366.05</v>
      </c>
      <c r="O3743" s="3" t="n">
        <v>360101.53</v>
      </c>
      <c r="P3743" s="3" t="n">
        <v>228211.2</v>
      </c>
      <c r="Q3743" s="3" t="n">
        <v>131890.33</v>
      </c>
      <c r="R3743" s="3" t="n">
        <v>0.3663</v>
      </c>
      <c r="S3743" s="3" t="n">
        <v>0.0819</v>
      </c>
      <c r="T3743" s="3" t="n">
        <v>0.0029</v>
      </c>
    </row>
    <row r="3744" customFormat="false" ht="15" hidden="false" customHeight="true" outlineLevel="0" collapsed="false">
      <c r="A3744" s="3" t="s">
        <v>4893</v>
      </c>
      <c r="B3744" s="3" t="s">
        <v>3361</v>
      </c>
      <c r="C3744" s="3" t="s">
        <v>93</v>
      </c>
      <c r="D3744" s="3" t="s">
        <v>107</v>
      </c>
      <c r="E3744" s="3" t="s">
        <v>33</v>
      </c>
      <c r="F3744" s="3" t="s">
        <v>70</v>
      </c>
      <c r="G3744" s="3" t="s">
        <v>116</v>
      </c>
      <c r="H3744" s="3" t="s">
        <v>56</v>
      </c>
      <c r="I3744" s="3" t="s">
        <v>57</v>
      </c>
      <c r="J3744" s="3" t="n">
        <v>49</v>
      </c>
      <c r="K3744" s="3" t="n">
        <v>2558.93</v>
      </c>
      <c r="L3744" s="3" t="n">
        <v>125387.57</v>
      </c>
      <c r="M3744" s="3" t="n">
        <v>0.1031</v>
      </c>
      <c r="N3744" s="3" t="n">
        <v>12927.46</v>
      </c>
      <c r="O3744" s="3" t="n">
        <v>112460.11</v>
      </c>
      <c r="P3744" s="3" t="n">
        <v>75232.54</v>
      </c>
      <c r="Q3744" s="3" t="n">
        <v>37227.57</v>
      </c>
      <c r="R3744" s="3" t="n">
        <v>0.331</v>
      </c>
      <c r="S3744" s="3" t="n">
        <v>0.0887</v>
      </c>
      <c r="T3744" s="3" t="n">
        <v>0.0144</v>
      </c>
    </row>
    <row r="3745" customFormat="false" ht="15" hidden="false" customHeight="true" outlineLevel="0" collapsed="false">
      <c r="A3745" s="3" t="s">
        <v>4894</v>
      </c>
      <c r="B3745" s="3" t="s">
        <v>1560</v>
      </c>
      <c r="C3745" s="3" t="s">
        <v>113</v>
      </c>
      <c r="D3745" s="3" t="s">
        <v>103</v>
      </c>
      <c r="E3745" s="3" t="s">
        <v>24</v>
      </c>
      <c r="F3745" s="3" t="s">
        <v>62</v>
      </c>
      <c r="G3745" s="3" t="s">
        <v>84</v>
      </c>
      <c r="H3745" s="3" t="s">
        <v>56</v>
      </c>
      <c r="I3745" s="3" t="s">
        <v>57</v>
      </c>
      <c r="J3745" s="3" t="n">
        <v>38</v>
      </c>
      <c r="K3745" s="3" t="n">
        <v>15791.88</v>
      </c>
      <c r="L3745" s="3" t="n">
        <v>600091.44</v>
      </c>
      <c r="M3745" s="3" t="n">
        <v>0.0447</v>
      </c>
      <c r="N3745" s="3" t="n">
        <v>26824.09</v>
      </c>
      <c r="O3745" s="3" t="n">
        <v>573267.35</v>
      </c>
      <c r="P3745" s="3" t="n">
        <v>360054.86</v>
      </c>
      <c r="Q3745" s="3" t="n">
        <v>213212.49</v>
      </c>
      <c r="R3745" s="3" t="n">
        <v>0.3719</v>
      </c>
      <c r="S3745" s="3" t="n">
        <v>0.0484</v>
      </c>
      <c r="T3745" s="3" t="n">
        <v>-0.0037</v>
      </c>
    </row>
    <row r="3746" customFormat="false" ht="15" hidden="false" customHeight="true" outlineLevel="0" collapsed="false">
      <c r="A3746" s="3" t="s">
        <v>4895</v>
      </c>
      <c r="B3746" s="3" t="s">
        <v>2412</v>
      </c>
      <c r="C3746" s="3" t="s">
        <v>113</v>
      </c>
      <c r="D3746" s="3" t="s">
        <v>69</v>
      </c>
      <c r="E3746" s="3" t="s">
        <v>39</v>
      </c>
      <c r="F3746" s="3" t="s">
        <v>70</v>
      </c>
      <c r="G3746" s="3" t="s">
        <v>76</v>
      </c>
      <c r="H3746" s="3" t="s">
        <v>77</v>
      </c>
      <c r="I3746" s="3" t="s">
        <v>78</v>
      </c>
      <c r="J3746" s="3" t="n">
        <v>4</v>
      </c>
      <c r="K3746" s="3" t="n">
        <v>5441.8</v>
      </c>
      <c r="L3746" s="3" t="n">
        <v>21767.2</v>
      </c>
      <c r="M3746" s="3" t="n">
        <v>0.0384</v>
      </c>
      <c r="N3746" s="3" t="n">
        <v>835.86</v>
      </c>
      <c r="O3746" s="3" t="n">
        <v>20931.34</v>
      </c>
      <c r="P3746" s="3" t="n">
        <v>14801.7</v>
      </c>
      <c r="Q3746" s="3" t="n">
        <v>6129.64</v>
      </c>
      <c r="R3746" s="3" t="n">
        <v>0.2928</v>
      </c>
      <c r="S3746" s="3" t="n">
        <v>0.0325</v>
      </c>
      <c r="T3746" s="3" t="n">
        <v>0.0059</v>
      </c>
    </row>
    <row r="3747" customFormat="false" ht="15" hidden="false" customHeight="true" outlineLevel="0" collapsed="false">
      <c r="A3747" s="3" t="s">
        <v>4896</v>
      </c>
      <c r="B3747" s="3" t="s">
        <v>4897</v>
      </c>
      <c r="C3747" s="3" t="s">
        <v>53</v>
      </c>
      <c r="D3747" s="3" t="s">
        <v>47</v>
      </c>
      <c r="E3747" s="3" t="s">
        <v>48</v>
      </c>
      <c r="F3747" s="3" t="s">
        <v>25</v>
      </c>
      <c r="G3747" s="3" t="s">
        <v>63</v>
      </c>
      <c r="H3747" s="3" t="s">
        <v>77</v>
      </c>
      <c r="I3747" s="3" t="s">
        <v>85</v>
      </c>
      <c r="J3747" s="3" t="n">
        <v>49</v>
      </c>
      <c r="K3747" s="3" t="n">
        <v>5448.1</v>
      </c>
      <c r="L3747" s="3" t="n">
        <v>266956.9</v>
      </c>
      <c r="M3747" s="3" t="n">
        <v>0.1613</v>
      </c>
      <c r="N3747" s="3" t="n">
        <v>43060.15</v>
      </c>
      <c r="O3747" s="3" t="n">
        <v>223896.75</v>
      </c>
      <c r="P3747" s="3" t="n">
        <v>181530.69</v>
      </c>
      <c r="Q3747" s="3" t="n">
        <v>42366.06</v>
      </c>
      <c r="R3747" s="3" t="n">
        <v>0.1892</v>
      </c>
      <c r="S3747" s="3" t="n">
        <v>0.1646</v>
      </c>
      <c r="T3747" s="3" t="n">
        <v>-0.0033</v>
      </c>
    </row>
    <row r="3748" customFormat="false" ht="15" hidden="false" customHeight="true" outlineLevel="0" collapsed="false">
      <c r="A3748" s="3" t="s">
        <v>4898</v>
      </c>
      <c r="B3748" s="3" t="s">
        <v>288</v>
      </c>
      <c r="C3748" s="3" t="s">
        <v>53</v>
      </c>
      <c r="D3748" s="3" t="s">
        <v>107</v>
      </c>
      <c r="E3748" s="3" t="s">
        <v>33</v>
      </c>
      <c r="F3748" s="3" t="s">
        <v>70</v>
      </c>
      <c r="G3748" s="3" t="s">
        <v>26</v>
      </c>
      <c r="H3748" s="3" t="s">
        <v>77</v>
      </c>
      <c r="I3748" s="3" t="s">
        <v>85</v>
      </c>
      <c r="J3748" s="3" t="n">
        <v>40</v>
      </c>
      <c r="K3748" s="3" t="n">
        <v>3058.78</v>
      </c>
      <c r="L3748" s="3" t="n">
        <v>122351.2</v>
      </c>
      <c r="M3748" s="3" t="n">
        <v>0.043</v>
      </c>
      <c r="N3748" s="3" t="n">
        <v>5261.1</v>
      </c>
      <c r="O3748" s="3" t="n">
        <v>117090.1</v>
      </c>
      <c r="P3748" s="3" t="n">
        <v>83198.82</v>
      </c>
      <c r="Q3748" s="3" t="n">
        <v>33891.28</v>
      </c>
      <c r="R3748" s="3" t="n">
        <v>0.2894</v>
      </c>
      <c r="S3748" s="3" t="n">
        <v>0.0469</v>
      </c>
      <c r="T3748" s="3" t="n">
        <v>-0.0039</v>
      </c>
    </row>
    <row r="3749" customFormat="false" ht="15" hidden="false" customHeight="true" outlineLevel="0" collapsed="false">
      <c r="A3749" s="3" t="s">
        <v>4899</v>
      </c>
      <c r="B3749" s="3" t="s">
        <v>1069</v>
      </c>
      <c r="C3749" s="3" t="s">
        <v>31</v>
      </c>
      <c r="D3749" s="3" t="s">
        <v>97</v>
      </c>
      <c r="E3749" s="3" t="s">
        <v>48</v>
      </c>
      <c r="F3749" s="3" t="s">
        <v>40</v>
      </c>
      <c r="G3749" s="3" t="s">
        <v>49</v>
      </c>
      <c r="H3749" s="3" t="s">
        <v>27</v>
      </c>
      <c r="I3749" s="3" t="s">
        <v>50</v>
      </c>
      <c r="J3749" s="3" t="n">
        <v>48</v>
      </c>
      <c r="K3749" s="3" t="n">
        <v>34942.7</v>
      </c>
      <c r="L3749" s="3" t="n">
        <v>1677249.6</v>
      </c>
      <c r="M3749" s="3" t="n">
        <v>0.0419</v>
      </c>
      <c r="N3749" s="3" t="n">
        <v>70276.76</v>
      </c>
      <c r="O3749" s="3" t="n">
        <v>1606972.84</v>
      </c>
      <c r="P3749" s="3" t="n">
        <v>1039894.75</v>
      </c>
      <c r="Q3749" s="3" t="n">
        <v>567078.09</v>
      </c>
      <c r="R3749" s="3" t="n">
        <v>0.3529</v>
      </c>
      <c r="S3749" s="3" t="n">
        <v>0.045</v>
      </c>
      <c r="T3749" s="3" t="n">
        <v>-0.0031</v>
      </c>
    </row>
    <row r="3750" customFormat="false" ht="15" hidden="false" customHeight="true" outlineLevel="0" collapsed="false">
      <c r="A3750" s="3" t="s">
        <v>4900</v>
      </c>
      <c r="B3750" s="3" t="s">
        <v>2662</v>
      </c>
      <c r="C3750" s="3" t="s">
        <v>68</v>
      </c>
      <c r="D3750" s="3" t="s">
        <v>103</v>
      </c>
      <c r="E3750" s="3" t="s">
        <v>24</v>
      </c>
      <c r="F3750" s="3" t="s">
        <v>62</v>
      </c>
      <c r="G3750" s="3" t="s">
        <v>76</v>
      </c>
      <c r="H3750" s="3" t="s">
        <v>27</v>
      </c>
      <c r="I3750" s="3" t="s">
        <v>117</v>
      </c>
      <c r="J3750" s="3" t="n">
        <v>24</v>
      </c>
      <c r="K3750" s="3" t="n">
        <v>8752.57</v>
      </c>
      <c r="L3750" s="3" t="n">
        <v>210061.68</v>
      </c>
      <c r="M3750" s="3" t="n">
        <v>0.0421</v>
      </c>
      <c r="N3750" s="3" t="n">
        <v>8843.6</v>
      </c>
      <c r="O3750" s="3" t="n">
        <v>201218.08</v>
      </c>
      <c r="P3750" s="3" t="n">
        <v>130238.24</v>
      </c>
      <c r="Q3750" s="3" t="n">
        <v>70979.84</v>
      </c>
      <c r="R3750" s="3" t="n">
        <v>0.3528</v>
      </c>
      <c r="S3750" s="3" t="n">
        <v>0.0358</v>
      </c>
      <c r="T3750" s="3" t="n">
        <v>0.0063</v>
      </c>
    </row>
    <row r="3751" customFormat="false" ht="15" hidden="false" customHeight="true" outlineLevel="0" collapsed="false">
      <c r="A3751" s="3" t="s">
        <v>4901</v>
      </c>
      <c r="B3751" s="3" t="s">
        <v>2446</v>
      </c>
      <c r="C3751" s="3" t="s">
        <v>53</v>
      </c>
      <c r="D3751" s="3" t="s">
        <v>23</v>
      </c>
      <c r="E3751" s="3" t="s">
        <v>24</v>
      </c>
      <c r="F3751" s="3" t="s">
        <v>25</v>
      </c>
      <c r="G3751" s="3" t="s">
        <v>26</v>
      </c>
      <c r="H3751" s="3" t="s">
        <v>27</v>
      </c>
      <c r="I3751" s="3" t="s">
        <v>94</v>
      </c>
      <c r="J3751" s="3" t="n">
        <v>48</v>
      </c>
      <c r="K3751" s="3" t="n">
        <v>16732.6</v>
      </c>
      <c r="L3751" s="3" t="n">
        <v>803164.8</v>
      </c>
      <c r="M3751" s="3" t="n">
        <v>0.1281</v>
      </c>
      <c r="N3751" s="3" t="n">
        <v>102885.41</v>
      </c>
      <c r="O3751" s="3" t="n">
        <v>700279.39</v>
      </c>
      <c r="P3751" s="3" t="n">
        <v>497962.18</v>
      </c>
      <c r="Q3751" s="3" t="n">
        <v>202317.21</v>
      </c>
      <c r="R3751" s="3" t="n">
        <v>0.2889</v>
      </c>
      <c r="S3751" s="3" t="n">
        <v>0.1271</v>
      </c>
      <c r="T3751" s="3" t="n">
        <v>0.001</v>
      </c>
    </row>
    <row r="3752" customFormat="false" ht="15" hidden="false" customHeight="true" outlineLevel="0" collapsed="false">
      <c r="A3752" s="3" t="s">
        <v>4902</v>
      </c>
      <c r="B3752" s="3" t="s">
        <v>995</v>
      </c>
      <c r="C3752" s="3" t="s">
        <v>156</v>
      </c>
      <c r="D3752" s="3" t="s">
        <v>54</v>
      </c>
      <c r="E3752" s="3" t="s">
        <v>24</v>
      </c>
      <c r="F3752" s="3" t="s">
        <v>40</v>
      </c>
      <c r="G3752" s="3" t="s">
        <v>34</v>
      </c>
      <c r="H3752" s="3" t="s">
        <v>42</v>
      </c>
      <c r="I3752" s="3" t="s">
        <v>43</v>
      </c>
      <c r="J3752" s="3" t="n">
        <v>23</v>
      </c>
      <c r="K3752" s="3" t="n">
        <v>2043.24</v>
      </c>
      <c r="L3752" s="3" t="n">
        <v>46994.52</v>
      </c>
      <c r="M3752" s="3" t="n">
        <v>0.0987</v>
      </c>
      <c r="N3752" s="3" t="n">
        <v>4638.36</v>
      </c>
      <c r="O3752" s="3" t="n">
        <v>42356.16</v>
      </c>
      <c r="P3752" s="3" t="n">
        <v>25846.99</v>
      </c>
      <c r="Q3752" s="3" t="n">
        <v>16509.17</v>
      </c>
      <c r="R3752" s="3" t="n">
        <v>0.3898</v>
      </c>
      <c r="S3752" s="3" t="n">
        <v>0.1018</v>
      </c>
      <c r="T3752" s="3" t="n">
        <v>-0.0031</v>
      </c>
    </row>
    <row r="3753" customFormat="false" ht="15" hidden="false" customHeight="true" outlineLevel="0" collapsed="false">
      <c r="A3753" s="3" t="s">
        <v>4903</v>
      </c>
      <c r="B3753" s="3" t="s">
        <v>1522</v>
      </c>
      <c r="C3753" s="3" t="s">
        <v>68</v>
      </c>
      <c r="D3753" s="3" t="s">
        <v>83</v>
      </c>
      <c r="E3753" s="3" t="s">
        <v>48</v>
      </c>
      <c r="F3753" s="3" t="s">
        <v>62</v>
      </c>
      <c r="G3753" s="3" t="s">
        <v>49</v>
      </c>
      <c r="H3753" s="3" t="s">
        <v>56</v>
      </c>
      <c r="I3753" s="3" t="s">
        <v>188</v>
      </c>
      <c r="J3753" s="3" t="n">
        <v>14</v>
      </c>
      <c r="K3753" s="3" t="n">
        <v>5673.15</v>
      </c>
      <c r="L3753" s="3" t="n">
        <v>79424.1</v>
      </c>
      <c r="M3753" s="3" t="n">
        <v>0.0399</v>
      </c>
      <c r="N3753" s="3" t="n">
        <v>3169.02</v>
      </c>
      <c r="O3753" s="3" t="n">
        <v>76255.08</v>
      </c>
      <c r="P3753" s="3" t="n">
        <v>47654.46</v>
      </c>
      <c r="Q3753" s="3" t="n">
        <v>28600.62</v>
      </c>
      <c r="R3753" s="3" t="n">
        <v>0.3751</v>
      </c>
      <c r="S3753" s="3" t="n">
        <v>0.0364</v>
      </c>
      <c r="T3753" s="3" t="n">
        <v>0.0035</v>
      </c>
    </row>
    <row r="3754" customFormat="false" ht="15" hidden="false" customHeight="true" outlineLevel="0" collapsed="false">
      <c r="A3754" s="3" t="s">
        <v>4904</v>
      </c>
      <c r="B3754" s="3" t="s">
        <v>850</v>
      </c>
      <c r="C3754" s="3" t="s">
        <v>68</v>
      </c>
      <c r="D3754" s="3" t="s">
        <v>47</v>
      </c>
      <c r="E3754" s="3" t="s">
        <v>48</v>
      </c>
      <c r="F3754" s="3" t="s">
        <v>25</v>
      </c>
      <c r="G3754" s="3" t="s">
        <v>41</v>
      </c>
      <c r="H3754" s="3" t="s">
        <v>56</v>
      </c>
      <c r="I3754" s="3" t="s">
        <v>188</v>
      </c>
      <c r="J3754" s="3" t="n">
        <v>8</v>
      </c>
      <c r="K3754" s="3" t="n">
        <v>13545.85</v>
      </c>
      <c r="L3754" s="3" t="n">
        <v>108366.8</v>
      </c>
      <c r="M3754" s="3" t="n">
        <v>0.1626</v>
      </c>
      <c r="N3754" s="3" t="n">
        <v>17620.44</v>
      </c>
      <c r="O3754" s="3" t="n">
        <v>90746.36</v>
      </c>
      <c r="P3754" s="3" t="n">
        <v>65020.08</v>
      </c>
      <c r="Q3754" s="3" t="n">
        <v>25726.28</v>
      </c>
      <c r="R3754" s="3" t="n">
        <v>0.2835</v>
      </c>
      <c r="S3754" s="3" t="n">
        <v>0.1321</v>
      </c>
      <c r="T3754" s="3" t="n">
        <v>0.0305</v>
      </c>
    </row>
    <row r="3755" customFormat="false" ht="15" hidden="false" customHeight="true" outlineLevel="0" collapsed="false">
      <c r="A3755" s="3" t="s">
        <v>4905</v>
      </c>
      <c r="B3755" s="3" t="s">
        <v>21</v>
      </c>
      <c r="C3755" s="3" t="s">
        <v>22</v>
      </c>
      <c r="D3755" s="3" t="s">
        <v>54</v>
      </c>
      <c r="E3755" s="3" t="s">
        <v>24</v>
      </c>
      <c r="F3755" s="3" t="s">
        <v>40</v>
      </c>
      <c r="G3755" s="3" t="s">
        <v>34</v>
      </c>
      <c r="H3755" s="3" t="s">
        <v>27</v>
      </c>
      <c r="I3755" s="3" t="s">
        <v>173</v>
      </c>
      <c r="J3755" s="3" t="n">
        <v>4</v>
      </c>
      <c r="K3755" s="3" t="n">
        <v>22675.14</v>
      </c>
      <c r="L3755" s="3" t="n">
        <v>90700.56</v>
      </c>
      <c r="M3755" s="3" t="n">
        <v>0.1334</v>
      </c>
      <c r="N3755" s="3" t="n">
        <v>12099.45</v>
      </c>
      <c r="O3755" s="3" t="n">
        <v>78601.11</v>
      </c>
      <c r="P3755" s="3" t="n">
        <v>56234.35</v>
      </c>
      <c r="Q3755" s="3" t="n">
        <v>22366.76</v>
      </c>
      <c r="R3755" s="3" t="n">
        <v>0.2846</v>
      </c>
      <c r="S3755" s="3" t="n">
        <v>0.1208</v>
      </c>
      <c r="T3755" s="3" t="n">
        <v>0.0126</v>
      </c>
    </row>
    <row r="3756" customFormat="false" ht="15" hidden="false" customHeight="true" outlineLevel="0" collapsed="false">
      <c r="A3756" s="3" t="s">
        <v>4906</v>
      </c>
      <c r="B3756" s="3" t="s">
        <v>1243</v>
      </c>
      <c r="C3756" s="3" t="s">
        <v>120</v>
      </c>
      <c r="D3756" s="3" t="s">
        <v>97</v>
      </c>
      <c r="E3756" s="3" t="s">
        <v>48</v>
      </c>
      <c r="F3756" s="3" t="s">
        <v>40</v>
      </c>
      <c r="G3756" s="3" t="s">
        <v>41</v>
      </c>
      <c r="H3756" s="3" t="s">
        <v>77</v>
      </c>
      <c r="I3756" s="3" t="s">
        <v>131</v>
      </c>
      <c r="J3756" s="3" t="n">
        <v>46</v>
      </c>
      <c r="K3756" s="3" t="n">
        <v>5091.83</v>
      </c>
      <c r="L3756" s="3" t="n">
        <v>234224.18</v>
      </c>
      <c r="M3756" s="3" t="n">
        <v>0.0641</v>
      </c>
      <c r="N3756" s="3" t="n">
        <v>15013.77</v>
      </c>
      <c r="O3756" s="3" t="n">
        <v>219210.41</v>
      </c>
      <c r="P3756" s="3" t="n">
        <v>159272.44</v>
      </c>
      <c r="Q3756" s="3" t="n">
        <v>59937.97</v>
      </c>
      <c r="R3756" s="3" t="n">
        <v>0.2734</v>
      </c>
      <c r="S3756" s="3" t="n">
        <v>0.0521</v>
      </c>
      <c r="T3756" s="3" t="n">
        <v>0.012</v>
      </c>
    </row>
    <row r="3757" customFormat="false" ht="15" hidden="false" customHeight="true" outlineLevel="0" collapsed="false">
      <c r="A3757" s="3" t="s">
        <v>4907</v>
      </c>
      <c r="B3757" s="3" t="s">
        <v>1227</v>
      </c>
      <c r="C3757" s="3" t="s">
        <v>31</v>
      </c>
      <c r="D3757" s="3" t="s">
        <v>97</v>
      </c>
      <c r="E3757" s="3" t="s">
        <v>48</v>
      </c>
      <c r="F3757" s="3" t="s">
        <v>40</v>
      </c>
      <c r="G3757" s="3" t="s">
        <v>49</v>
      </c>
      <c r="H3757" s="3" t="s">
        <v>64</v>
      </c>
      <c r="I3757" s="3" t="s">
        <v>90</v>
      </c>
      <c r="J3757" s="3" t="n">
        <v>35</v>
      </c>
      <c r="K3757" s="3" t="n">
        <v>7648.73</v>
      </c>
      <c r="L3757" s="3" t="n">
        <v>267705.55</v>
      </c>
      <c r="M3757" s="3" t="n">
        <v>0.0526</v>
      </c>
      <c r="N3757" s="3" t="n">
        <v>14081.31</v>
      </c>
      <c r="O3757" s="3" t="n">
        <v>253624.24</v>
      </c>
      <c r="P3757" s="3" t="n">
        <v>155269.22</v>
      </c>
      <c r="Q3757" s="3" t="n">
        <v>98355.02</v>
      </c>
      <c r="R3757" s="3" t="n">
        <v>0.3878</v>
      </c>
      <c r="S3757" s="3" t="n">
        <v>0.0453</v>
      </c>
      <c r="T3757" s="3" t="n">
        <v>0.0073</v>
      </c>
    </row>
    <row r="3758" customFormat="false" ht="15" hidden="false" customHeight="true" outlineLevel="0" collapsed="false">
      <c r="A3758" s="3" t="s">
        <v>4908</v>
      </c>
      <c r="B3758" s="3" t="s">
        <v>3498</v>
      </c>
      <c r="C3758" s="3" t="s">
        <v>46</v>
      </c>
      <c r="D3758" s="3" t="s">
        <v>54</v>
      </c>
      <c r="E3758" s="3" t="s">
        <v>24</v>
      </c>
      <c r="F3758" s="3" t="s">
        <v>40</v>
      </c>
      <c r="G3758" s="3" t="s">
        <v>76</v>
      </c>
      <c r="H3758" s="3" t="s">
        <v>77</v>
      </c>
      <c r="I3758" s="3" t="s">
        <v>78</v>
      </c>
      <c r="J3758" s="3" t="n">
        <v>18</v>
      </c>
      <c r="K3758" s="3" t="n">
        <v>4309.05</v>
      </c>
      <c r="L3758" s="3" t="n">
        <v>77562.9</v>
      </c>
      <c r="M3758" s="3" t="n">
        <v>0.0646</v>
      </c>
      <c r="N3758" s="3" t="n">
        <v>5010.56</v>
      </c>
      <c r="O3758" s="3" t="n">
        <v>72552.34</v>
      </c>
      <c r="P3758" s="3" t="n">
        <v>52742.77</v>
      </c>
      <c r="Q3758" s="3" t="n">
        <v>19809.57</v>
      </c>
      <c r="R3758" s="3" t="n">
        <v>0.273</v>
      </c>
      <c r="S3758" s="3" t="n">
        <v>0.0684</v>
      </c>
      <c r="T3758" s="3" t="n">
        <v>-0.0038</v>
      </c>
    </row>
    <row r="3759" customFormat="false" ht="15" hidden="false" customHeight="true" outlineLevel="0" collapsed="false">
      <c r="A3759" s="3" t="s">
        <v>4909</v>
      </c>
      <c r="B3759" s="3" t="s">
        <v>3361</v>
      </c>
      <c r="C3759" s="3" t="s">
        <v>93</v>
      </c>
      <c r="D3759" s="3" t="s">
        <v>97</v>
      </c>
      <c r="E3759" s="3" t="s">
        <v>48</v>
      </c>
      <c r="F3759" s="3" t="s">
        <v>40</v>
      </c>
      <c r="G3759" s="3" t="s">
        <v>34</v>
      </c>
      <c r="H3759" s="3" t="s">
        <v>27</v>
      </c>
      <c r="I3759" s="3" t="s">
        <v>117</v>
      </c>
      <c r="J3759" s="3" t="n">
        <v>9</v>
      </c>
      <c r="K3759" s="3" t="n">
        <v>35224.47</v>
      </c>
      <c r="L3759" s="3" t="n">
        <v>317020.23</v>
      </c>
      <c r="M3759" s="3" t="n">
        <v>0.103</v>
      </c>
      <c r="N3759" s="3" t="n">
        <v>32653.08</v>
      </c>
      <c r="O3759" s="3" t="n">
        <v>284367.15</v>
      </c>
      <c r="P3759" s="3" t="n">
        <v>196552.54</v>
      </c>
      <c r="Q3759" s="3" t="n">
        <v>87814.61</v>
      </c>
      <c r="R3759" s="3" t="n">
        <v>0.3088</v>
      </c>
      <c r="S3759" s="3" t="n">
        <v>0.0906</v>
      </c>
      <c r="T3759" s="3" t="n">
        <v>0.0124</v>
      </c>
    </row>
    <row r="3760" customFormat="false" ht="15" hidden="false" customHeight="true" outlineLevel="0" collapsed="false">
      <c r="A3760" s="3" t="s">
        <v>4910</v>
      </c>
      <c r="B3760" s="3" t="s">
        <v>166</v>
      </c>
      <c r="C3760" s="3" t="s">
        <v>22</v>
      </c>
      <c r="D3760" s="3" t="s">
        <v>103</v>
      </c>
      <c r="E3760" s="3" t="s">
        <v>24</v>
      </c>
      <c r="F3760" s="3" t="s">
        <v>62</v>
      </c>
      <c r="G3760" s="3" t="s">
        <v>104</v>
      </c>
      <c r="H3760" s="3" t="s">
        <v>56</v>
      </c>
      <c r="I3760" s="3" t="s">
        <v>188</v>
      </c>
      <c r="J3760" s="3" t="n">
        <v>49</v>
      </c>
      <c r="K3760" s="3" t="n">
        <v>13339.4</v>
      </c>
      <c r="L3760" s="3" t="n">
        <v>653630.6</v>
      </c>
      <c r="M3760" s="3" t="n">
        <v>0.1115</v>
      </c>
      <c r="N3760" s="3" t="n">
        <v>72879.81</v>
      </c>
      <c r="O3760" s="3" t="n">
        <v>580750.79</v>
      </c>
      <c r="P3760" s="3" t="n">
        <v>392178.36</v>
      </c>
      <c r="Q3760" s="3" t="n">
        <v>188572.43</v>
      </c>
      <c r="R3760" s="3" t="n">
        <v>0.3247</v>
      </c>
      <c r="S3760" s="3" t="n">
        <v>0.091</v>
      </c>
      <c r="T3760" s="3" t="n">
        <v>0.0205</v>
      </c>
    </row>
    <row r="3761" customFormat="false" ht="15" hidden="false" customHeight="true" outlineLevel="0" collapsed="false">
      <c r="A3761" s="3" t="s">
        <v>4911</v>
      </c>
      <c r="B3761" s="3" t="s">
        <v>1522</v>
      </c>
      <c r="C3761" s="3" t="s">
        <v>68</v>
      </c>
      <c r="D3761" s="3" t="s">
        <v>61</v>
      </c>
      <c r="E3761" s="3" t="s">
        <v>33</v>
      </c>
      <c r="F3761" s="3" t="s">
        <v>62</v>
      </c>
      <c r="G3761" s="3" t="s">
        <v>71</v>
      </c>
      <c r="H3761" s="3" t="s">
        <v>27</v>
      </c>
      <c r="I3761" s="3" t="s">
        <v>117</v>
      </c>
      <c r="J3761" s="3" t="n">
        <v>3</v>
      </c>
      <c r="K3761" s="3" t="n">
        <v>23655.46</v>
      </c>
      <c r="L3761" s="3" t="n">
        <v>70966.38</v>
      </c>
      <c r="M3761" s="3" t="n">
        <v>0.0541</v>
      </c>
      <c r="N3761" s="3" t="n">
        <v>3839.28</v>
      </c>
      <c r="O3761" s="3" t="n">
        <v>67127.1</v>
      </c>
      <c r="P3761" s="3" t="n">
        <v>43999.16</v>
      </c>
      <c r="Q3761" s="3" t="n">
        <v>23127.94</v>
      </c>
      <c r="R3761" s="3" t="n">
        <v>0.3445</v>
      </c>
      <c r="S3761" s="3" t="n">
        <v>0.0451</v>
      </c>
      <c r="T3761" s="3" t="n">
        <v>0.009</v>
      </c>
    </row>
    <row r="3762" customFormat="false" ht="15" hidden="false" customHeight="true" outlineLevel="0" collapsed="false">
      <c r="A3762" s="3" t="s">
        <v>4912</v>
      </c>
      <c r="B3762" s="3" t="s">
        <v>1662</v>
      </c>
      <c r="C3762" s="3" t="s">
        <v>93</v>
      </c>
      <c r="D3762" s="3" t="s">
        <v>38</v>
      </c>
      <c r="E3762" s="3" t="s">
        <v>39</v>
      </c>
      <c r="F3762" s="3" t="s">
        <v>40</v>
      </c>
      <c r="G3762" s="3" t="s">
        <v>63</v>
      </c>
      <c r="H3762" s="3" t="s">
        <v>42</v>
      </c>
      <c r="I3762" s="3" t="s">
        <v>43</v>
      </c>
      <c r="J3762" s="3" t="n">
        <v>34</v>
      </c>
      <c r="K3762" s="3" t="n">
        <v>1546.6</v>
      </c>
      <c r="L3762" s="3" t="n">
        <v>52584.4</v>
      </c>
      <c r="M3762" s="3" t="n">
        <v>0.0431</v>
      </c>
      <c r="N3762" s="3" t="n">
        <v>2266.39</v>
      </c>
      <c r="O3762" s="3" t="n">
        <v>50318.01</v>
      </c>
      <c r="P3762" s="3" t="n">
        <v>28921.42</v>
      </c>
      <c r="Q3762" s="3" t="n">
        <v>21396.59</v>
      </c>
      <c r="R3762" s="3" t="n">
        <v>0.4252</v>
      </c>
      <c r="S3762" s="3" t="n">
        <v>0.0406</v>
      </c>
      <c r="T3762" s="3" t="n">
        <v>0.0025</v>
      </c>
    </row>
    <row r="3763" customFormat="false" ht="15" hidden="false" customHeight="true" outlineLevel="0" collapsed="false">
      <c r="A3763" s="3" t="s">
        <v>4913</v>
      </c>
      <c r="B3763" s="3" t="s">
        <v>21</v>
      </c>
      <c r="C3763" s="3" t="s">
        <v>22</v>
      </c>
      <c r="D3763" s="3" t="s">
        <v>23</v>
      </c>
      <c r="E3763" s="3" t="s">
        <v>24</v>
      </c>
      <c r="F3763" s="3" t="s">
        <v>25</v>
      </c>
      <c r="G3763" s="3" t="s">
        <v>100</v>
      </c>
      <c r="H3763" s="3" t="s">
        <v>77</v>
      </c>
      <c r="I3763" s="3" t="s">
        <v>131</v>
      </c>
      <c r="J3763" s="3" t="n">
        <v>16</v>
      </c>
      <c r="K3763" s="3" t="n">
        <v>2142.3</v>
      </c>
      <c r="L3763" s="3" t="n">
        <v>34276.8</v>
      </c>
      <c r="M3763" s="3" t="n">
        <v>0.1149</v>
      </c>
      <c r="N3763" s="3" t="n">
        <v>3938.4</v>
      </c>
      <c r="O3763" s="3" t="n">
        <v>30338.4</v>
      </c>
      <c r="P3763" s="3" t="n">
        <v>23308.22</v>
      </c>
      <c r="Q3763" s="3" t="n">
        <v>7030.18</v>
      </c>
      <c r="R3763" s="3" t="n">
        <v>0.2317</v>
      </c>
      <c r="S3763" s="3" t="n">
        <v>0.101</v>
      </c>
      <c r="T3763" s="3" t="n">
        <v>0.0139</v>
      </c>
    </row>
    <row r="3764" customFormat="false" ht="15" hidden="false" customHeight="true" outlineLevel="0" collapsed="false">
      <c r="A3764" s="3" t="s">
        <v>4914</v>
      </c>
      <c r="B3764" s="3" t="s">
        <v>3463</v>
      </c>
      <c r="C3764" s="3" t="s">
        <v>68</v>
      </c>
      <c r="D3764" s="3" t="s">
        <v>69</v>
      </c>
      <c r="E3764" s="3" t="s">
        <v>39</v>
      </c>
      <c r="F3764" s="3" t="s">
        <v>70</v>
      </c>
      <c r="G3764" s="3" t="s">
        <v>71</v>
      </c>
      <c r="H3764" s="3" t="s">
        <v>42</v>
      </c>
      <c r="I3764" s="3" t="s">
        <v>134</v>
      </c>
      <c r="J3764" s="3" t="n">
        <v>46</v>
      </c>
      <c r="K3764" s="3" t="n">
        <v>1799.22</v>
      </c>
      <c r="L3764" s="3" t="n">
        <v>82764.12</v>
      </c>
      <c r="M3764" s="3" t="n">
        <v>0.0773</v>
      </c>
      <c r="N3764" s="3" t="n">
        <v>6397.67</v>
      </c>
      <c r="O3764" s="3" t="n">
        <v>76366.45</v>
      </c>
      <c r="P3764" s="3" t="n">
        <v>45520.27</v>
      </c>
      <c r="Q3764" s="3" t="n">
        <v>30846.18</v>
      </c>
      <c r="R3764" s="3" t="n">
        <v>0.4039</v>
      </c>
      <c r="S3764" s="3" t="n">
        <v>0.0755</v>
      </c>
      <c r="T3764" s="3" t="n">
        <v>0.0018</v>
      </c>
    </row>
    <row r="3765" customFormat="false" ht="15" hidden="false" customHeight="true" outlineLevel="0" collapsed="false">
      <c r="A3765" s="3" t="s">
        <v>4915</v>
      </c>
      <c r="B3765" s="3" t="s">
        <v>1660</v>
      </c>
      <c r="C3765" s="3" t="s">
        <v>31</v>
      </c>
      <c r="D3765" s="3" t="s">
        <v>103</v>
      </c>
      <c r="E3765" s="3" t="s">
        <v>24</v>
      </c>
      <c r="F3765" s="3" t="s">
        <v>62</v>
      </c>
      <c r="G3765" s="3" t="s">
        <v>71</v>
      </c>
      <c r="H3765" s="3" t="s">
        <v>27</v>
      </c>
      <c r="I3765" s="3" t="s">
        <v>50</v>
      </c>
      <c r="J3765" s="3" t="n">
        <v>42</v>
      </c>
      <c r="K3765" s="3" t="n">
        <v>32236.84</v>
      </c>
      <c r="L3765" s="3" t="n">
        <v>1353947.28</v>
      </c>
      <c r="M3765" s="3" t="n">
        <v>0.0643</v>
      </c>
      <c r="N3765" s="3" t="n">
        <v>87058.81</v>
      </c>
      <c r="O3765" s="3" t="n">
        <v>1266888.47</v>
      </c>
      <c r="P3765" s="3" t="n">
        <v>839447.31</v>
      </c>
      <c r="Q3765" s="3" t="n">
        <v>427441.16</v>
      </c>
      <c r="R3765" s="3" t="n">
        <v>0.3374</v>
      </c>
      <c r="S3765" s="3" t="n">
        <v>0.0521</v>
      </c>
      <c r="T3765" s="3" t="n">
        <v>0.0122</v>
      </c>
    </row>
    <row r="3766" customFormat="false" ht="15" hidden="false" customHeight="true" outlineLevel="0" collapsed="false">
      <c r="A3766" s="3" t="s">
        <v>4916</v>
      </c>
      <c r="B3766" s="3" t="s">
        <v>3194</v>
      </c>
      <c r="C3766" s="3" t="s">
        <v>22</v>
      </c>
      <c r="D3766" s="3" t="s">
        <v>83</v>
      </c>
      <c r="E3766" s="3" t="s">
        <v>48</v>
      </c>
      <c r="F3766" s="3" t="s">
        <v>62</v>
      </c>
      <c r="G3766" s="3" t="s">
        <v>100</v>
      </c>
      <c r="H3766" s="3" t="s">
        <v>27</v>
      </c>
      <c r="I3766" s="3" t="s">
        <v>173</v>
      </c>
      <c r="J3766" s="3" t="n">
        <v>28</v>
      </c>
      <c r="K3766" s="3" t="n">
        <v>23051.88</v>
      </c>
      <c r="L3766" s="3" t="n">
        <v>645452.64</v>
      </c>
      <c r="M3766" s="3" t="n">
        <v>0.0678</v>
      </c>
      <c r="N3766" s="3" t="n">
        <v>43761.69</v>
      </c>
      <c r="O3766" s="3" t="n">
        <v>601690.95</v>
      </c>
      <c r="P3766" s="3" t="n">
        <v>400180.64</v>
      </c>
      <c r="Q3766" s="3" t="n">
        <v>201510.31</v>
      </c>
      <c r="R3766" s="3" t="n">
        <v>0.3349</v>
      </c>
      <c r="S3766" s="3" t="n">
        <v>0.064</v>
      </c>
      <c r="T3766" s="3" t="n">
        <v>0.0038</v>
      </c>
    </row>
    <row r="3767" customFormat="false" ht="15" hidden="false" customHeight="true" outlineLevel="0" collapsed="false">
      <c r="A3767" s="3" t="s">
        <v>4917</v>
      </c>
      <c r="B3767" s="3" t="s">
        <v>339</v>
      </c>
      <c r="C3767" s="3" t="s">
        <v>120</v>
      </c>
      <c r="D3767" s="3" t="s">
        <v>23</v>
      </c>
      <c r="E3767" s="3" t="s">
        <v>24</v>
      </c>
      <c r="F3767" s="3" t="s">
        <v>25</v>
      </c>
      <c r="G3767" s="3" t="s">
        <v>116</v>
      </c>
      <c r="H3767" s="3" t="s">
        <v>56</v>
      </c>
      <c r="I3767" s="3" t="s">
        <v>121</v>
      </c>
      <c r="J3767" s="3" t="n">
        <v>39</v>
      </c>
      <c r="K3767" s="3" t="n">
        <v>17063.03</v>
      </c>
      <c r="L3767" s="3" t="n">
        <v>665458.17</v>
      </c>
      <c r="M3767" s="3" t="n">
        <v>0.1857</v>
      </c>
      <c r="N3767" s="3" t="n">
        <v>123575.58</v>
      </c>
      <c r="O3767" s="3" t="n">
        <v>541882.59</v>
      </c>
      <c r="P3767" s="3" t="n">
        <v>399274.9</v>
      </c>
      <c r="Q3767" s="3" t="n">
        <v>142607.69</v>
      </c>
      <c r="R3767" s="3" t="n">
        <v>0.2632</v>
      </c>
      <c r="S3767" s="3" t="n">
        <v>0.1966</v>
      </c>
      <c r="T3767" s="3" t="n">
        <v>-0.0109</v>
      </c>
    </row>
    <row r="3768" customFormat="false" ht="15" hidden="false" customHeight="true" outlineLevel="0" collapsed="false">
      <c r="A3768" s="3" t="s">
        <v>4918</v>
      </c>
      <c r="B3768" s="3" t="s">
        <v>892</v>
      </c>
      <c r="C3768" s="3" t="s">
        <v>68</v>
      </c>
      <c r="D3768" s="3" t="s">
        <v>38</v>
      </c>
      <c r="E3768" s="3" t="s">
        <v>39</v>
      </c>
      <c r="F3768" s="3" t="s">
        <v>40</v>
      </c>
      <c r="G3768" s="3" t="s">
        <v>34</v>
      </c>
      <c r="H3768" s="3" t="s">
        <v>27</v>
      </c>
      <c r="I3768" s="3" t="s">
        <v>117</v>
      </c>
      <c r="J3768" s="3" t="n">
        <v>17</v>
      </c>
      <c r="K3768" s="3" t="n">
        <v>23743.5</v>
      </c>
      <c r="L3768" s="3" t="n">
        <v>403639.5</v>
      </c>
      <c r="M3768" s="3" t="n">
        <v>0.094</v>
      </c>
      <c r="N3768" s="3" t="n">
        <v>37942.11</v>
      </c>
      <c r="O3768" s="3" t="n">
        <v>365697.39</v>
      </c>
      <c r="P3768" s="3" t="n">
        <v>250256.49</v>
      </c>
      <c r="Q3768" s="3" t="n">
        <v>115440.9</v>
      </c>
      <c r="R3768" s="3" t="n">
        <v>0.3157</v>
      </c>
      <c r="S3768" s="3" t="n">
        <v>0.1024</v>
      </c>
      <c r="T3768" s="3" t="n">
        <v>-0.0084</v>
      </c>
    </row>
    <row r="3769" customFormat="false" ht="15" hidden="false" customHeight="true" outlineLevel="0" collapsed="false">
      <c r="A3769" s="3" t="s">
        <v>4919</v>
      </c>
      <c r="B3769" s="3" t="s">
        <v>1080</v>
      </c>
      <c r="C3769" s="3" t="s">
        <v>156</v>
      </c>
      <c r="D3769" s="3" t="s">
        <v>23</v>
      </c>
      <c r="E3769" s="3" t="s">
        <v>24</v>
      </c>
      <c r="F3769" s="3" t="s">
        <v>25</v>
      </c>
      <c r="G3769" s="3" t="s">
        <v>34</v>
      </c>
      <c r="H3769" s="3" t="s">
        <v>27</v>
      </c>
      <c r="I3769" s="3" t="s">
        <v>117</v>
      </c>
      <c r="J3769" s="3" t="n">
        <v>33</v>
      </c>
      <c r="K3769" s="3" t="n">
        <v>23943.34</v>
      </c>
      <c r="L3769" s="3" t="n">
        <v>790130.22</v>
      </c>
      <c r="M3769" s="3" t="n">
        <v>0.1668</v>
      </c>
      <c r="N3769" s="3" t="n">
        <v>131793.72</v>
      </c>
      <c r="O3769" s="3" t="n">
        <v>658336.5</v>
      </c>
      <c r="P3769" s="3" t="n">
        <v>489880.74</v>
      </c>
      <c r="Q3769" s="3" t="n">
        <v>168455.76</v>
      </c>
      <c r="R3769" s="3" t="n">
        <v>0.2559</v>
      </c>
      <c r="S3769" s="3" t="n">
        <v>0.1579</v>
      </c>
      <c r="T3769" s="3" t="n">
        <v>0.0089</v>
      </c>
    </row>
    <row r="3770" customFormat="false" ht="15" hidden="false" customHeight="true" outlineLevel="0" collapsed="false">
      <c r="A3770" s="3" t="s">
        <v>4920</v>
      </c>
      <c r="B3770" s="3" t="s">
        <v>349</v>
      </c>
      <c r="C3770" s="3" t="s">
        <v>126</v>
      </c>
      <c r="D3770" s="3" t="s">
        <v>61</v>
      </c>
      <c r="E3770" s="3" t="s">
        <v>33</v>
      </c>
      <c r="F3770" s="3" t="s">
        <v>62</v>
      </c>
      <c r="G3770" s="3" t="s">
        <v>71</v>
      </c>
      <c r="H3770" s="3" t="s">
        <v>27</v>
      </c>
      <c r="I3770" s="3" t="s">
        <v>173</v>
      </c>
      <c r="J3770" s="3" t="n">
        <v>2</v>
      </c>
      <c r="K3770" s="3" t="n">
        <v>19627.69</v>
      </c>
      <c r="L3770" s="3" t="n">
        <v>39255.38</v>
      </c>
      <c r="M3770" s="3" t="n">
        <v>0.0709</v>
      </c>
      <c r="N3770" s="3" t="n">
        <v>2783.21</v>
      </c>
      <c r="O3770" s="3" t="n">
        <v>36472.17</v>
      </c>
      <c r="P3770" s="3" t="n">
        <v>24338.34</v>
      </c>
      <c r="Q3770" s="3" t="n">
        <v>12133.83</v>
      </c>
      <c r="R3770" s="3" t="n">
        <v>0.3327</v>
      </c>
      <c r="S3770" s="3" t="n">
        <v>0.0576</v>
      </c>
      <c r="T3770" s="3" t="n">
        <v>0.0133</v>
      </c>
    </row>
    <row r="3771" customFormat="false" ht="15" hidden="false" customHeight="true" outlineLevel="0" collapsed="false">
      <c r="A3771" s="3" t="s">
        <v>4921</v>
      </c>
      <c r="B3771" s="3" t="s">
        <v>2873</v>
      </c>
      <c r="C3771" s="3" t="s">
        <v>68</v>
      </c>
      <c r="D3771" s="3" t="s">
        <v>32</v>
      </c>
      <c r="E3771" s="3" t="s">
        <v>33</v>
      </c>
      <c r="F3771" s="3" t="s">
        <v>25</v>
      </c>
      <c r="G3771" s="3" t="s">
        <v>34</v>
      </c>
      <c r="H3771" s="3" t="s">
        <v>77</v>
      </c>
      <c r="I3771" s="3" t="s">
        <v>85</v>
      </c>
      <c r="J3771" s="3" t="n">
        <v>44</v>
      </c>
      <c r="K3771" s="3" t="n">
        <v>4854.49</v>
      </c>
      <c r="L3771" s="3" t="n">
        <v>213597.56</v>
      </c>
      <c r="M3771" s="3" t="n">
        <v>0.1868</v>
      </c>
      <c r="N3771" s="3" t="n">
        <v>39900.02</v>
      </c>
      <c r="O3771" s="3" t="n">
        <v>173697.54</v>
      </c>
      <c r="P3771" s="3" t="n">
        <v>145246.34</v>
      </c>
      <c r="Q3771" s="3" t="n">
        <v>28451.2</v>
      </c>
      <c r="R3771" s="3" t="n">
        <v>0.1638</v>
      </c>
      <c r="S3771" s="3" t="n">
        <v>0.2038</v>
      </c>
      <c r="T3771" s="3" t="n">
        <v>-0.017</v>
      </c>
    </row>
    <row r="3772" customFormat="false" ht="15" hidden="false" customHeight="true" outlineLevel="0" collapsed="false">
      <c r="A3772" s="3" t="s">
        <v>4922</v>
      </c>
      <c r="B3772" s="3" t="s">
        <v>3352</v>
      </c>
      <c r="C3772" s="3" t="s">
        <v>37</v>
      </c>
      <c r="D3772" s="3" t="s">
        <v>32</v>
      </c>
      <c r="E3772" s="3" t="s">
        <v>33</v>
      </c>
      <c r="F3772" s="3" t="s">
        <v>25</v>
      </c>
      <c r="G3772" s="3" t="s">
        <v>100</v>
      </c>
      <c r="H3772" s="3" t="s">
        <v>64</v>
      </c>
      <c r="I3772" s="3" t="s">
        <v>145</v>
      </c>
      <c r="J3772" s="3" t="n">
        <v>23</v>
      </c>
      <c r="K3772" s="3" t="n">
        <v>10572.83</v>
      </c>
      <c r="L3772" s="3" t="n">
        <v>243175.09</v>
      </c>
      <c r="M3772" s="3" t="n">
        <v>0.1278</v>
      </c>
      <c r="N3772" s="3" t="n">
        <v>31077.78</v>
      </c>
      <c r="O3772" s="3" t="n">
        <v>212097.31</v>
      </c>
      <c r="P3772" s="3" t="n">
        <v>141041.55</v>
      </c>
      <c r="Q3772" s="3" t="n">
        <v>71055.76</v>
      </c>
      <c r="R3772" s="3" t="n">
        <v>0.335</v>
      </c>
      <c r="S3772" s="3" t="n">
        <v>0.1275</v>
      </c>
      <c r="T3772" s="3" t="n">
        <v>0.0003</v>
      </c>
    </row>
    <row r="3773" customFormat="false" ht="15" hidden="false" customHeight="true" outlineLevel="0" collapsed="false">
      <c r="A3773" s="3" t="s">
        <v>4923</v>
      </c>
      <c r="B3773" s="3" t="s">
        <v>3764</v>
      </c>
      <c r="C3773" s="3" t="s">
        <v>22</v>
      </c>
      <c r="D3773" s="3" t="s">
        <v>97</v>
      </c>
      <c r="E3773" s="3" t="s">
        <v>48</v>
      </c>
      <c r="F3773" s="3" t="s">
        <v>40</v>
      </c>
      <c r="G3773" s="3" t="s">
        <v>76</v>
      </c>
      <c r="H3773" s="3" t="s">
        <v>27</v>
      </c>
      <c r="I3773" s="3" t="s">
        <v>50</v>
      </c>
      <c r="J3773" s="3" t="n">
        <v>31</v>
      </c>
      <c r="K3773" s="3" t="n">
        <v>27846.11</v>
      </c>
      <c r="L3773" s="3" t="n">
        <v>863229.41</v>
      </c>
      <c r="M3773" s="3" t="n">
        <v>0.0392</v>
      </c>
      <c r="N3773" s="3" t="n">
        <v>33838.59</v>
      </c>
      <c r="O3773" s="3" t="n">
        <v>829390.82</v>
      </c>
      <c r="P3773" s="3" t="n">
        <v>535202.23</v>
      </c>
      <c r="Q3773" s="3" t="n">
        <v>294188.59</v>
      </c>
      <c r="R3773" s="3" t="n">
        <v>0.3547</v>
      </c>
      <c r="S3773" s="3" t="n">
        <v>0.0386</v>
      </c>
      <c r="T3773" s="3" t="n">
        <v>0.0006</v>
      </c>
    </row>
    <row r="3774" customFormat="false" ht="15" hidden="false" customHeight="true" outlineLevel="0" collapsed="false">
      <c r="A3774" s="3" t="s">
        <v>4924</v>
      </c>
      <c r="B3774" s="3" t="s">
        <v>1551</v>
      </c>
      <c r="C3774" s="3" t="s">
        <v>46</v>
      </c>
      <c r="D3774" s="3" t="s">
        <v>69</v>
      </c>
      <c r="E3774" s="3" t="s">
        <v>39</v>
      </c>
      <c r="F3774" s="3" t="s">
        <v>70</v>
      </c>
      <c r="G3774" s="3" t="s">
        <v>100</v>
      </c>
      <c r="H3774" s="3" t="s">
        <v>27</v>
      </c>
      <c r="I3774" s="3" t="s">
        <v>173</v>
      </c>
      <c r="J3774" s="3" t="n">
        <v>33</v>
      </c>
      <c r="K3774" s="3" t="n">
        <v>35812.32</v>
      </c>
      <c r="L3774" s="3" t="n">
        <v>1181806.56</v>
      </c>
      <c r="M3774" s="3" t="n">
        <v>0.0422</v>
      </c>
      <c r="N3774" s="3" t="n">
        <v>49872.24</v>
      </c>
      <c r="O3774" s="3" t="n">
        <v>1131934.32</v>
      </c>
      <c r="P3774" s="3" t="n">
        <v>732720.07</v>
      </c>
      <c r="Q3774" s="3" t="n">
        <v>399214.25</v>
      </c>
      <c r="R3774" s="3" t="n">
        <v>0.3527</v>
      </c>
      <c r="S3774" s="3" t="n">
        <v>0.044</v>
      </c>
      <c r="T3774" s="3" t="n">
        <v>-0.0018</v>
      </c>
    </row>
    <row r="3775" customFormat="false" ht="15" hidden="false" customHeight="true" outlineLevel="0" collapsed="false">
      <c r="A3775" s="3" t="s">
        <v>4925</v>
      </c>
      <c r="B3775" s="3" t="s">
        <v>3151</v>
      </c>
      <c r="C3775" s="3" t="s">
        <v>68</v>
      </c>
      <c r="D3775" s="3" t="s">
        <v>54</v>
      </c>
      <c r="E3775" s="3" t="s">
        <v>24</v>
      </c>
      <c r="F3775" s="3" t="s">
        <v>40</v>
      </c>
      <c r="G3775" s="3" t="s">
        <v>63</v>
      </c>
      <c r="H3775" s="3" t="s">
        <v>64</v>
      </c>
      <c r="I3775" s="3" t="s">
        <v>65</v>
      </c>
      <c r="J3775" s="3" t="n">
        <v>34</v>
      </c>
      <c r="K3775" s="3" t="n">
        <v>7432.03</v>
      </c>
      <c r="L3775" s="3" t="n">
        <v>252689.02</v>
      </c>
      <c r="M3775" s="3" t="n">
        <v>0.0463</v>
      </c>
      <c r="N3775" s="3" t="n">
        <v>11699.5</v>
      </c>
      <c r="O3775" s="3" t="n">
        <v>240989.52</v>
      </c>
      <c r="P3775" s="3" t="n">
        <v>146559.63</v>
      </c>
      <c r="Q3775" s="3" t="n">
        <v>94429.89</v>
      </c>
      <c r="R3775" s="3" t="n">
        <v>0.3918</v>
      </c>
      <c r="S3775" s="3" t="n">
        <v>0.0485</v>
      </c>
      <c r="T3775" s="3" t="n">
        <v>-0.0022</v>
      </c>
    </row>
    <row r="3776" customFormat="false" ht="15" hidden="false" customHeight="true" outlineLevel="0" collapsed="false">
      <c r="A3776" s="3" t="s">
        <v>4926</v>
      </c>
      <c r="B3776" s="3" t="s">
        <v>356</v>
      </c>
      <c r="C3776" s="3" t="s">
        <v>113</v>
      </c>
      <c r="D3776" s="3" t="s">
        <v>54</v>
      </c>
      <c r="E3776" s="3" t="s">
        <v>24</v>
      </c>
      <c r="F3776" s="3" t="s">
        <v>40</v>
      </c>
      <c r="G3776" s="3" t="s">
        <v>100</v>
      </c>
      <c r="H3776" s="3" t="s">
        <v>42</v>
      </c>
      <c r="I3776" s="3" t="s">
        <v>43</v>
      </c>
      <c r="J3776" s="3" t="n">
        <v>37</v>
      </c>
      <c r="K3776" s="3" t="n">
        <v>2466.89</v>
      </c>
      <c r="L3776" s="3" t="n">
        <v>91274.93</v>
      </c>
      <c r="M3776" s="3" t="n">
        <v>0.0751</v>
      </c>
      <c r="N3776" s="3" t="n">
        <v>6854.75</v>
      </c>
      <c r="O3776" s="3" t="n">
        <v>84420.18</v>
      </c>
      <c r="P3776" s="3" t="n">
        <v>50201.21</v>
      </c>
      <c r="Q3776" s="3" t="n">
        <v>34218.97</v>
      </c>
      <c r="R3776" s="3" t="n">
        <v>0.4053</v>
      </c>
      <c r="S3776" s="3" t="n">
        <v>0.0606</v>
      </c>
      <c r="T3776" s="3" t="n">
        <v>0.0145</v>
      </c>
    </row>
    <row r="3777" customFormat="false" ht="15" hidden="false" customHeight="true" outlineLevel="0" collapsed="false">
      <c r="A3777" s="3" t="s">
        <v>4927</v>
      </c>
      <c r="B3777" s="3" t="s">
        <v>1350</v>
      </c>
      <c r="C3777" s="3" t="s">
        <v>37</v>
      </c>
      <c r="D3777" s="3" t="s">
        <v>75</v>
      </c>
      <c r="E3777" s="3" t="s">
        <v>39</v>
      </c>
      <c r="F3777" s="3" t="s">
        <v>25</v>
      </c>
      <c r="G3777" s="3" t="s">
        <v>71</v>
      </c>
      <c r="H3777" s="3" t="s">
        <v>27</v>
      </c>
      <c r="I3777" s="3" t="s">
        <v>173</v>
      </c>
      <c r="J3777" s="3" t="n">
        <v>28</v>
      </c>
      <c r="K3777" s="3" t="n">
        <v>36398.87</v>
      </c>
      <c r="L3777" s="3" t="n">
        <v>1019168.36</v>
      </c>
      <c r="M3777" s="3" t="n">
        <v>0.1273</v>
      </c>
      <c r="N3777" s="3" t="n">
        <v>129740.13</v>
      </c>
      <c r="O3777" s="3" t="n">
        <v>889428.23</v>
      </c>
      <c r="P3777" s="3" t="n">
        <v>631884.38</v>
      </c>
      <c r="Q3777" s="3" t="n">
        <v>257543.85</v>
      </c>
      <c r="R3777" s="3" t="n">
        <v>0.2896</v>
      </c>
      <c r="S3777" s="3" t="n">
        <v>0.1078</v>
      </c>
      <c r="T3777" s="3" t="n">
        <v>0.0195</v>
      </c>
    </row>
    <row r="3778" customFormat="false" ht="15" hidden="false" customHeight="true" outlineLevel="0" collapsed="false">
      <c r="A3778" s="3" t="s">
        <v>4928</v>
      </c>
      <c r="B3778" s="3" t="s">
        <v>1686</v>
      </c>
      <c r="C3778" s="3" t="s">
        <v>156</v>
      </c>
      <c r="D3778" s="3" t="s">
        <v>38</v>
      </c>
      <c r="E3778" s="3" t="s">
        <v>39</v>
      </c>
      <c r="F3778" s="3" t="s">
        <v>40</v>
      </c>
      <c r="G3778" s="3" t="s">
        <v>116</v>
      </c>
      <c r="H3778" s="3" t="s">
        <v>56</v>
      </c>
      <c r="I3778" s="3" t="s">
        <v>188</v>
      </c>
      <c r="J3778" s="3" t="n">
        <v>11</v>
      </c>
      <c r="K3778" s="3" t="n">
        <v>13891.47</v>
      </c>
      <c r="L3778" s="3" t="n">
        <v>152806.17</v>
      </c>
      <c r="M3778" s="3" t="n">
        <v>0.0968</v>
      </c>
      <c r="N3778" s="3" t="n">
        <v>14791.64</v>
      </c>
      <c r="O3778" s="3" t="n">
        <v>138014.53</v>
      </c>
      <c r="P3778" s="3" t="n">
        <v>91683.7</v>
      </c>
      <c r="Q3778" s="3" t="n">
        <v>46330.83</v>
      </c>
      <c r="R3778" s="3" t="n">
        <v>0.3357</v>
      </c>
      <c r="S3778" s="3" t="n">
        <v>0.1036</v>
      </c>
      <c r="T3778" s="3" t="n">
        <v>-0.0068</v>
      </c>
    </row>
    <row r="3779" customFormat="false" ht="15" hidden="false" customHeight="true" outlineLevel="0" collapsed="false">
      <c r="A3779" s="3" t="s">
        <v>4929</v>
      </c>
      <c r="B3779" s="3" t="s">
        <v>4793</v>
      </c>
      <c r="C3779" s="3" t="s">
        <v>60</v>
      </c>
      <c r="D3779" s="3" t="s">
        <v>38</v>
      </c>
      <c r="E3779" s="3" t="s">
        <v>39</v>
      </c>
      <c r="F3779" s="3" t="s">
        <v>40</v>
      </c>
      <c r="G3779" s="3" t="s">
        <v>55</v>
      </c>
      <c r="H3779" s="3" t="s">
        <v>56</v>
      </c>
      <c r="I3779" s="3" t="s">
        <v>121</v>
      </c>
      <c r="J3779" s="3" t="n">
        <v>13</v>
      </c>
      <c r="K3779" s="3" t="n">
        <v>8435.29</v>
      </c>
      <c r="L3779" s="3" t="n">
        <v>109658.77</v>
      </c>
      <c r="M3779" s="3" t="n">
        <v>0.0409</v>
      </c>
      <c r="N3779" s="3" t="n">
        <v>4485.04</v>
      </c>
      <c r="O3779" s="3" t="n">
        <v>105173.73</v>
      </c>
      <c r="P3779" s="3" t="n">
        <v>65795.26</v>
      </c>
      <c r="Q3779" s="3" t="n">
        <v>39378.47</v>
      </c>
      <c r="R3779" s="3" t="n">
        <v>0.3744</v>
      </c>
      <c r="S3779" s="3" t="n">
        <v>0.0439</v>
      </c>
      <c r="T3779" s="3" t="n">
        <v>-0.003</v>
      </c>
    </row>
    <row r="3780" customFormat="false" ht="15" hidden="false" customHeight="true" outlineLevel="0" collapsed="false">
      <c r="A3780" s="3" t="s">
        <v>4930</v>
      </c>
      <c r="B3780" s="3" t="s">
        <v>645</v>
      </c>
      <c r="C3780" s="3" t="s">
        <v>120</v>
      </c>
      <c r="D3780" s="3" t="s">
        <v>103</v>
      </c>
      <c r="E3780" s="3" t="s">
        <v>24</v>
      </c>
      <c r="F3780" s="3" t="s">
        <v>62</v>
      </c>
      <c r="G3780" s="3" t="s">
        <v>76</v>
      </c>
      <c r="H3780" s="3" t="s">
        <v>77</v>
      </c>
      <c r="I3780" s="3" t="s">
        <v>78</v>
      </c>
      <c r="J3780" s="3" t="n">
        <v>16</v>
      </c>
      <c r="K3780" s="3" t="n">
        <v>5851.46</v>
      </c>
      <c r="L3780" s="3" t="n">
        <v>93623.36</v>
      </c>
      <c r="M3780" s="3" t="n">
        <v>0.0315</v>
      </c>
      <c r="N3780" s="3" t="n">
        <v>2949.14</v>
      </c>
      <c r="O3780" s="3" t="n">
        <v>90674.22</v>
      </c>
      <c r="P3780" s="3" t="n">
        <v>63663.88</v>
      </c>
      <c r="Q3780" s="3" t="n">
        <v>27010.34</v>
      </c>
      <c r="R3780" s="3" t="n">
        <v>0.2979</v>
      </c>
      <c r="S3780" s="3" t="n">
        <v>0.0328</v>
      </c>
      <c r="T3780" s="3" t="n">
        <v>-0.0013</v>
      </c>
    </row>
    <row r="3781" customFormat="false" ht="15" hidden="false" customHeight="true" outlineLevel="0" collapsed="false">
      <c r="A3781" s="3" t="s">
        <v>4931</v>
      </c>
      <c r="B3781" s="3" t="s">
        <v>567</v>
      </c>
      <c r="C3781" s="3" t="s">
        <v>60</v>
      </c>
      <c r="D3781" s="3" t="s">
        <v>54</v>
      </c>
      <c r="E3781" s="3" t="s">
        <v>24</v>
      </c>
      <c r="F3781" s="3" t="s">
        <v>40</v>
      </c>
      <c r="G3781" s="3" t="s">
        <v>71</v>
      </c>
      <c r="H3781" s="3" t="s">
        <v>27</v>
      </c>
      <c r="I3781" s="3" t="s">
        <v>117</v>
      </c>
      <c r="J3781" s="3" t="n">
        <v>11</v>
      </c>
      <c r="K3781" s="3" t="n">
        <v>22813.16</v>
      </c>
      <c r="L3781" s="3" t="n">
        <v>250944.76</v>
      </c>
      <c r="M3781" s="3" t="n">
        <v>0.0313</v>
      </c>
      <c r="N3781" s="3" t="n">
        <v>7854.57</v>
      </c>
      <c r="O3781" s="3" t="n">
        <v>243090.19</v>
      </c>
      <c r="P3781" s="3" t="n">
        <v>155585.75</v>
      </c>
      <c r="Q3781" s="3" t="n">
        <v>87504.44</v>
      </c>
      <c r="R3781" s="3" t="n">
        <v>0.36</v>
      </c>
      <c r="S3781" s="3" t="n">
        <v>0.0332</v>
      </c>
      <c r="T3781" s="3" t="n">
        <v>-0.0019</v>
      </c>
    </row>
    <row r="3782" customFormat="false" ht="15" hidden="false" customHeight="true" outlineLevel="0" collapsed="false">
      <c r="A3782" s="3" t="s">
        <v>4932</v>
      </c>
      <c r="B3782" s="3" t="s">
        <v>1102</v>
      </c>
      <c r="C3782" s="3" t="s">
        <v>68</v>
      </c>
      <c r="D3782" s="3" t="s">
        <v>23</v>
      </c>
      <c r="E3782" s="3" t="s">
        <v>24</v>
      </c>
      <c r="F3782" s="3" t="s">
        <v>25</v>
      </c>
      <c r="G3782" s="3" t="s">
        <v>34</v>
      </c>
      <c r="H3782" s="3" t="s">
        <v>56</v>
      </c>
      <c r="I3782" s="3" t="s">
        <v>57</v>
      </c>
      <c r="J3782" s="3" t="n">
        <v>21</v>
      </c>
      <c r="K3782" s="3" t="n">
        <v>3494.69</v>
      </c>
      <c r="L3782" s="3" t="n">
        <v>73388.49</v>
      </c>
      <c r="M3782" s="3" t="n">
        <v>0.1216</v>
      </c>
      <c r="N3782" s="3" t="n">
        <v>8924.04</v>
      </c>
      <c r="O3782" s="3" t="n">
        <v>64464.45</v>
      </c>
      <c r="P3782" s="3" t="n">
        <v>44033.09</v>
      </c>
      <c r="Q3782" s="3" t="n">
        <v>20431.36</v>
      </c>
      <c r="R3782" s="3" t="n">
        <v>0.3169</v>
      </c>
      <c r="S3782" s="3" t="n">
        <v>0.1024</v>
      </c>
      <c r="T3782" s="3" t="n">
        <v>0.0192</v>
      </c>
    </row>
    <row r="3783" customFormat="false" ht="15" hidden="false" customHeight="true" outlineLevel="0" collapsed="false">
      <c r="A3783" s="3" t="s">
        <v>4933</v>
      </c>
      <c r="B3783" s="3" t="s">
        <v>995</v>
      </c>
      <c r="C3783" s="3" t="s">
        <v>156</v>
      </c>
      <c r="D3783" s="3" t="s">
        <v>32</v>
      </c>
      <c r="E3783" s="3" t="s">
        <v>33</v>
      </c>
      <c r="F3783" s="3" t="s">
        <v>25</v>
      </c>
      <c r="G3783" s="3" t="s">
        <v>41</v>
      </c>
      <c r="H3783" s="3" t="s">
        <v>77</v>
      </c>
      <c r="I3783" s="3" t="s">
        <v>85</v>
      </c>
      <c r="J3783" s="3" t="n">
        <v>4</v>
      </c>
      <c r="K3783" s="3" t="n">
        <v>5077.19</v>
      </c>
      <c r="L3783" s="3" t="n">
        <v>20308.76</v>
      </c>
      <c r="M3783" s="3" t="n">
        <v>0.2063</v>
      </c>
      <c r="N3783" s="3" t="n">
        <v>4189.7</v>
      </c>
      <c r="O3783" s="3" t="n">
        <v>16119.06</v>
      </c>
      <c r="P3783" s="3" t="n">
        <v>13809.96</v>
      </c>
      <c r="Q3783" s="3" t="n">
        <v>2309.1</v>
      </c>
      <c r="R3783" s="3" t="n">
        <v>0.1433</v>
      </c>
      <c r="S3783" s="3" t="n">
        <v>0.2001</v>
      </c>
      <c r="T3783" s="3" t="n">
        <v>0.0062</v>
      </c>
    </row>
    <row r="3784" customFormat="false" ht="15" hidden="false" customHeight="true" outlineLevel="0" collapsed="false">
      <c r="A3784" s="3" t="s">
        <v>4934</v>
      </c>
      <c r="B3784" s="3" t="s">
        <v>335</v>
      </c>
      <c r="C3784" s="3" t="s">
        <v>31</v>
      </c>
      <c r="D3784" s="3" t="s">
        <v>32</v>
      </c>
      <c r="E3784" s="3" t="s">
        <v>33</v>
      </c>
      <c r="F3784" s="3" t="s">
        <v>25</v>
      </c>
      <c r="G3784" s="3" t="s">
        <v>100</v>
      </c>
      <c r="H3784" s="3" t="s">
        <v>42</v>
      </c>
      <c r="I3784" s="3" t="s">
        <v>134</v>
      </c>
      <c r="J3784" s="3" t="n">
        <v>29</v>
      </c>
      <c r="K3784" s="3" t="n">
        <v>1507.6</v>
      </c>
      <c r="L3784" s="3" t="n">
        <v>43720.4</v>
      </c>
      <c r="M3784" s="3" t="n">
        <v>0.1222</v>
      </c>
      <c r="N3784" s="3" t="n">
        <v>5342.63</v>
      </c>
      <c r="O3784" s="3" t="n">
        <v>38377.77</v>
      </c>
      <c r="P3784" s="3" t="n">
        <v>24046.22</v>
      </c>
      <c r="Q3784" s="3" t="n">
        <v>14331.55</v>
      </c>
      <c r="R3784" s="3" t="n">
        <v>0.3734</v>
      </c>
      <c r="S3784" s="3" t="n">
        <v>0.1255</v>
      </c>
      <c r="T3784" s="3" t="n">
        <v>-0.0033</v>
      </c>
    </row>
    <row r="3785" customFormat="false" ht="15" hidden="false" customHeight="true" outlineLevel="0" collapsed="false">
      <c r="A3785" s="3" t="s">
        <v>4935</v>
      </c>
      <c r="B3785" s="3" t="s">
        <v>1146</v>
      </c>
      <c r="C3785" s="3" t="s">
        <v>37</v>
      </c>
      <c r="D3785" s="3" t="s">
        <v>83</v>
      </c>
      <c r="E3785" s="3" t="s">
        <v>48</v>
      </c>
      <c r="F3785" s="3" t="s">
        <v>62</v>
      </c>
      <c r="G3785" s="3" t="s">
        <v>34</v>
      </c>
      <c r="H3785" s="3" t="s">
        <v>56</v>
      </c>
      <c r="I3785" s="3" t="s">
        <v>57</v>
      </c>
      <c r="J3785" s="3" t="n">
        <v>34</v>
      </c>
      <c r="K3785" s="3" t="n">
        <v>11390.6</v>
      </c>
      <c r="L3785" s="3" t="n">
        <v>387280.4</v>
      </c>
      <c r="M3785" s="3" t="n">
        <v>0.1031</v>
      </c>
      <c r="N3785" s="3" t="n">
        <v>39928.61</v>
      </c>
      <c r="O3785" s="3" t="n">
        <v>347351.79</v>
      </c>
      <c r="P3785" s="3" t="n">
        <v>232368.24</v>
      </c>
      <c r="Q3785" s="3" t="n">
        <v>114983.55</v>
      </c>
      <c r="R3785" s="3" t="n">
        <v>0.331</v>
      </c>
      <c r="S3785" s="3" t="n">
        <v>0.1022</v>
      </c>
      <c r="T3785" s="3" t="n">
        <v>0.0009</v>
      </c>
    </row>
    <row r="3786" customFormat="false" ht="15" hidden="false" customHeight="true" outlineLevel="0" collapsed="false">
      <c r="A3786" s="3" t="s">
        <v>4936</v>
      </c>
      <c r="B3786" s="3" t="s">
        <v>1480</v>
      </c>
      <c r="C3786" s="3" t="s">
        <v>60</v>
      </c>
      <c r="D3786" s="3" t="s">
        <v>103</v>
      </c>
      <c r="E3786" s="3" t="s">
        <v>24</v>
      </c>
      <c r="F3786" s="3" t="s">
        <v>62</v>
      </c>
      <c r="G3786" s="3" t="s">
        <v>49</v>
      </c>
      <c r="H3786" s="3" t="s">
        <v>64</v>
      </c>
      <c r="I3786" s="3" t="s">
        <v>65</v>
      </c>
      <c r="J3786" s="3" t="n">
        <v>35</v>
      </c>
      <c r="K3786" s="3" t="n">
        <v>10722.19</v>
      </c>
      <c r="L3786" s="3" t="n">
        <v>375276.65</v>
      </c>
      <c r="M3786" s="3" t="n">
        <v>0.0378</v>
      </c>
      <c r="N3786" s="3" t="n">
        <v>14185.46</v>
      </c>
      <c r="O3786" s="3" t="n">
        <v>361091.19</v>
      </c>
      <c r="P3786" s="3" t="n">
        <v>217660.46</v>
      </c>
      <c r="Q3786" s="3" t="n">
        <v>143430.73</v>
      </c>
      <c r="R3786" s="3" t="n">
        <v>0.3972</v>
      </c>
      <c r="S3786" s="3" t="n">
        <v>0.04</v>
      </c>
      <c r="T3786" s="3" t="n">
        <v>-0.0022</v>
      </c>
    </row>
    <row r="3787" customFormat="false" ht="15" hidden="false" customHeight="true" outlineLevel="0" collapsed="false">
      <c r="A3787" s="3" t="s">
        <v>4937</v>
      </c>
      <c r="B3787" s="3" t="s">
        <v>123</v>
      </c>
      <c r="C3787" s="3" t="s">
        <v>120</v>
      </c>
      <c r="D3787" s="3" t="s">
        <v>69</v>
      </c>
      <c r="E3787" s="3" t="s">
        <v>39</v>
      </c>
      <c r="F3787" s="3" t="s">
        <v>70</v>
      </c>
      <c r="G3787" s="3" t="s">
        <v>63</v>
      </c>
      <c r="H3787" s="3" t="s">
        <v>56</v>
      </c>
      <c r="I3787" s="3" t="s">
        <v>188</v>
      </c>
      <c r="J3787" s="3" t="n">
        <v>9</v>
      </c>
      <c r="K3787" s="3" t="n">
        <v>16908.76</v>
      </c>
      <c r="L3787" s="3" t="n">
        <v>152178.84</v>
      </c>
      <c r="M3787" s="3" t="n">
        <v>0.0593</v>
      </c>
      <c r="N3787" s="3" t="n">
        <v>9024.21</v>
      </c>
      <c r="O3787" s="3" t="n">
        <v>143154.63</v>
      </c>
      <c r="P3787" s="3" t="n">
        <v>91307.3</v>
      </c>
      <c r="Q3787" s="3" t="n">
        <v>51847.33</v>
      </c>
      <c r="R3787" s="3" t="n">
        <v>0.3622</v>
      </c>
      <c r="S3787" s="3" t="n">
        <v>0.0565</v>
      </c>
      <c r="T3787" s="3" t="n">
        <v>0.0028</v>
      </c>
    </row>
    <row r="3788" customFormat="false" ht="15" hidden="false" customHeight="true" outlineLevel="0" collapsed="false">
      <c r="A3788" s="3" t="s">
        <v>4938</v>
      </c>
      <c r="B3788" s="3" t="s">
        <v>410</v>
      </c>
      <c r="C3788" s="3" t="s">
        <v>22</v>
      </c>
      <c r="D3788" s="3" t="s">
        <v>75</v>
      </c>
      <c r="E3788" s="3" t="s">
        <v>39</v>
      </c>
      <c r="F3788" s="3" t="s">
        <v>25</v>
      </c>
      <c r="G3788" s="3" t="s">
        <v>71</v>
      </c>
      <c r="H3788" s="3" t="s">
        <v>42</v>
      </c>
      <c r="I3788" s="3" t="s">
        <v>134</v>
      </c>
      <c r="J3788" s="3" t="n">
        <v>27</v>
      </c>
      <c r="K3788" s="3" t="n">
        <v>2134.63</v>
      </c>
      <c r="L3788" s="3" t="n">
        <v>57635.01</v>
      </c>
      <c r="M3788" s="3" t="n">
        <v>0.1714</v>
      </c>
      <c r="N3788" s="3" t="n">
        <v>9878.64</v>
      </c>
      <c r="O3788" s="3" t="n">
        <v>47756.37</v>
      </c>
      <c r="P3788" s="3" t="n">
        <v>31699.26</v>
      </c>
      <c r="Q3788" s="3" t="n">
        <v>16057.11</v>
      </c>
      <c r="R3788" s="3" t="n">
        <v>0.3362</v>
      </c>
      <c r="S3788" s="3" t="n">
        <v>0.1544</v>
      </c>
      <c r="T3788" s="3" t="n">
        <v>0.017</v>
      </c>
    </row>
    <row r="3789" customFormat="false" ht="15" hidden="false" customHeight="true" outlineLevel="0" collapsed="false">
      <c r="A3789" s="3" t="s">
        <v>4939</v>
      </c>
      <c r="B3789" s="3" t="s">
        <v>3352</v>
      </c>
      <c r="C3789" s="3" t="s">
        <v>37</v>
      </c>
      <c r="D3789" s="3" t="s">
        <v>103</v>
      </c>
      <c r="E3789" s="3" t="s">
        <v>24</v>
      </c>
      <c r="F3789" s="3" t="s">
        <v>62</v>
      </c>
      <c r="G3789" s="3" t="s">
        <v>34</v>
      </c>
      <c r="H3789" s="3" t="s">
        <v>56</v>
      </c>
      <c r="I3789" s="3" t="s">
        <v>188</v>
      </c>
      <c r="J3789" s="3" t="n">
        <v>33</v>
      </c>
      <c r="K3789" s="3" t="n">
        <v>2858.2</v>
      </c>
      <c r="L3789" s="3" t="n">
        <v>94320.6</v>
      </c>
      <c r="M3789" s="3" t="n">
        <v>0.0731</v>
      </c>
      <c r="N3789" s="3" t="n">
        <v>6894.84</v>
      </c>
      <c r="O3789" s="3" t="n">
        <v>87425.76</v>
      </c>
      <c r="P3789" s="3" t="n">
        <v>56592.36</v>
      </c>
      <c r="Q3789" s="3" t="n">
        <v>30833.4</v>
      </c>
      <c r="R3789" s="3" t="n">
        <v>0.3527</v>
      </c>
      <c r="S3789" s="3" t="n">
        <v>0.077</v>
      </c>
      <c r="T3789" s="3" t="n">
        <v>-0.0039</v>
      </c>
    </row>
    <row r="3790" customFormat="false" ht="15" hidden="false" customHeight="true" outlineLevel="0" collapsed="false">
      <c r="A3790" s="3" t="s">
        <v>4940</v>
      </c>
      <c r="B3790" s="3" t="s">
        <v>1193</v>
      </c>
      <c r="C3790" s="3" t="s">
        <v>126</v>
      </c>
      <c r="D3790" s="3" t="s">
        <v>54</v>
      </c>
      <c r="E3790" s="3" t="s">
        <v>24</v>
      </c>
      <c r="F3790" s="3" t="s">
        <v>40</v>
      </c>
      <c r="G3790" s="3" t="s">
        <v>63</v>
      </c>
      <c r="H3790" s="3" t="s">
        <v>56</v>
      </c>
      <c r="I3790" s="3" t="s">
        <v>57</v>
      </c>
      <c r="J3790" s="3" t="n">
        <v>22</v>
      </c>
      <c r="K3790" s="3" t="n">
        <v>3653.03</v>
      </c>
      <c r="L3790" s="3" t="n">
        <v>80366.66</v>
      </c>
      <c r="M3790" s="3" t="n">
        <v>0.0307</v>
      </c>
      <c r="N3790" s="3" t="n">
        <v>2467.26</v>
      </c>
      <c r="O3790" s="3" t="n">
        <v>77899.4</v>
      </c>
      <c r="P3790" s="3" t="n">
        <v>48220</v>
      </c>
      <c r="Q3790" s="3" t="n">
        <v>29679.4</v>
      </c>
      <c r="R3790" s="3" t="n">
        <v>0.381</v>
      </c>
      <c r="S3790" s="3" t="n">
        <v>0.0293</v>
      </c>
      <c r="T3790" s="3" t="n">
        <v>0.0014</v>
      </c>
    </row>
    <row r="3791" customFormat="false" ht="15" hidden="false" customHeight="true" outlineLevel="0" collapsed="false">
      <c r="A3791" s="3" t="s">
        <v>4941</v>
      </c>
      <c r="B3791" s="3" t="s">
        <v>605</v>
      </c>
      <c r="C3791" s="3" t="s">
        <v>60</v>
      </c>
      <c r="D3791" s="3" t="s">
        <v>54</v>
      </c>
      <c r="E3791" s="3" t="s">
        <v>24</v>
      </c>
      <c r="F3791" s="3" t="s">
        <v>40</v>
      </c>
      <c r="G3791" s="3" t="s">
        <v>116</v>
      </c>
      <c r="H3791" s="3" t="s">
        <v>56</v>
      </c>
      <c r="I3791" s="3" t="s">
        <v>121</v>
      </c>
      <c r="J3791" s="3" t="n">
        <v>21</v>
      </c>
      <c r="K3791" s="3" t="n">
        <v>16156.4</v>
      </c>
      <c r="L3791" s="3" t="n">
        <v>339284.4</v>
      </c>
      <c r="M3791" s="3" t="n">
        <v>0.1073</v>
      </c>
      <c r="N3791" s="3" t="n">
        <v>36405.22</v>
      </c>
      <c r="O3791" s="3" t="n">
        <v>302879.18</v>
      </c>
      <c r="P3791" s="3" t="n">
        <v>203570.64</v>
      </c>
      <c r="Q3791" s="3" t="n">
        <v>99308.54</v>
      </c>
      <c r="R3791" s="3" t="n">
        <v>0.3279</v>
      </c>
      <c r="S3791" s="3" t="n">
        <v>0.1069</v>
      </c>
      <c r="T3791" s="3" t="n">
        <v>0.0004</v>
      </c>
    </row>
    <row r="3792" customFormat="false" ht="15" hidden="false" customHeight="true" outlineLevel="0" collapsed="false">
      <c r="A3792" s="3" t="s">
        <v>4942</v>
      </c>
      <c r="B3792" s="3" t="s">
        <v>3158</v>
      </c>
      <c r="C3792" s="3" t="s">
        <v>31</v>
      </c>
      <c r="D3792" s="3" t="s">
        <v>54</v>
      </c>
      <c r="E3792" s="3" t="s">
        <v>24</v>
      </c>
      <c r="F3792" s="3" t="s">
        <v>40</v>
      </c>
      <c r="G3792" s="3" t="s">
        <v>76</v>
      </c>
      <c r="H3792" s="3" t="s">
        <v>77</v>
      </c>
      <c r="I3792" s="3" t="s">
        <v>85</v>
      </c>
      <c r="J3792" s="3" t="n">
        <v>22</v>
      </c>
      <c r="K3792" s="3" t="n">
        <v>1397.14</v>
      </c>
      <c r="L3792" s="3" t="n">
        <v>30737.08</v>
      </c>
      <c r="M3792" s="3" t="n">
        <v>0.0313</v>
      </c>
      <c r="N3792" s="3" t="n">
        <v>962.07</v>
      </c>
      <c r="O3792" s="3" t="n">
        <v>29775.01</v>
      </c>
      <c r="P3792" s="3" t="n">
        <v>20901.21</v>
      </c>
      <c r="Q3792" s="3" t="n">
        <v>8873.8</v>
      </c>
      <c r="R3792" s="3" t="n">
        <v>0.298</v>
      </c>
      <c r="S3792" s="3" t="n">
        <v>0.0307</v>
      </c>
      <c r="T3792" s="3" t="n">
        <v>0.0006</v>
      </c>
    </row>
    <row r="3793" customFormat="false" ht="15" hidden="false" customHeight="true" outlineLevel="0" collapsed="false">
      <c r="A3793" s="3" t="s">
        <v>4943</v>
      </c>
      <c r="B3793" s="3" t="s">
        <v>2561</v>
      </c>
      <c r="C3793" s="3" t="s">
        <v>46</v>
      </c>
      <c r="D3793" s="3" t="s">
        <v>103</v>
      </c>
      <c r="E3793" s="3" t="s">
        <v>24</v>
      </c>
      <c r="F3793" s="3" t="s">
        <v>62</v>
      </c>
      <c r="G3793" s="3" t="s">
        <v>55</v>
      </c>
      <c r="H3793" s="3" t="s">
        <v>42</v>
      </c>
      <c r="I3793" s="3" t="s">
        <v>134</v>
      </c>
      <c r="J3793" s="3" t="n">
        <v>50</v>
      </c>
      <c r="K3793" s="3" t="n">
        <v>2942.19</v>
      </c>
      <c r="L3793" s="3" t="n">
        <v>147109.5</v>
      </c>
      <c r="M3793" s="3" t="n">
        <v>0.0767</v>
      </c>
      <c r="N3793" s="3" t="n">
        <v>11283.3</v>
      </c>
      <c r="O3793" s="3" t="n">
        <v>135826.2</v>
      </c>
      <c r="P3793" s="3" t="n">
        <v>80910.23</v>
      </c>
      <c r="Q3793" s="3" t="n">
        <v>54915.97</v>
      </c>
      <c r="R3793" s="3" t="n">
        <v>0.4043</v>
      </c>
      <c r="S3793" s="3" t="n">
        <v>0.0812</v>
      </c>
      <c r="T3793" s="3" t="n">
        <v>-0.0045</v>
      </c>
    </row>
    <row r="3794" customFormat="false" ht="15" hidden="false" customHeight="true" outlineLevel="0" collapsed="false">
      <c r="A3794" s="3" t="s">
        <v>4944</v>
      </c>
      <c r="B3794" s="3" t="s">
        <v>1640</v>
      </c>
      <c r="C3794" s="3" t="s">
        <v>31</v>
      </c>
      <c r="D3794" s="3" t="s">
        <v>107</v>
      </c>
      <c r="E3794" s="3" t="s">
        <v>33</v>
      </c>
      <c r="F3794" s="3" t="s">
        <v>70</v>
      </c>
      <c r="G3794" s="3" t="s">
        <v>104</v>
      </c>
      <c r="H3794" s="3" t="s">
        <v>56</v>
      </c>
      <c r="I3794" s="3" t="s">
        <v>188</v>
      </c>
      <c r="J3794" s="3" t="n">
        <v>46</v>
      </c>
      <c r="K3794" s="3" t="n">
        <v>10124.63</v>
      </c>
      <c r="L3794" s="3" t="n">
        <v>465732.98</v>
      </c>
      <c r="M3794" s="3" t="n">
        <v>0.0628</v>
      </c>
      <c r="N3794" s="3" t="n">
        <v>29248.03</v>
      </c>
      <c r="O3794" s="3" t="n">
        <v>436484.95</v>
      </c>
      <c r="P3794" s="3" t="n">
        <v>279439.79</v>
      </c>
      <c r="Q3794" s="3" t="n">
        <v>157045.16</v>
      </c>
      <c r="R3794" s="3" t="n">
        <v>0.3598</v>
      </c>
      <c r="S3794" s="3" t="n">
        <v>0.0649</v>
      </c>
      <c r="T3794" s="3" t="n">
        <v>-0.0021</v>
      </c>
    </row>
    <row r="3795" customFormat="false" ht="15" hidden="false" customHeight="true" outlineLevel="0" collapsed="false">
      <c r="A3795" s="3" t="s">
        <v>4945</v>
      </c>
      <c r="B3795" s="3" t="s">
        <v>295</v>
      </c>
      <c r="C3795" s="3" t="s">
        <v>113</v>
      </c>
      <c r="D3795" s="3" t="s">
        <v>54</v>
      </c>
      <c r="E3795" s="3" t="s">
        <v>24</v>
      </c>
      <c r="F3795" s="3" t="s">
        <v>40</v>
      </c>
      <c r="G3795" s="3" t="s">
        <v>71</v>
      </c>
      <c r="H3795" s="3" t="s">
        <v>77</v>
      </c>
      <c r="I3795" s="3" t="s">
        <v>78</v>
      </c>
      <c r="J3795" s="3" t="n">
        <v>32</v>
      </c>
      <c r="K3795" s="3" t="n">
        <v>3583.93</v>
      </c>
      <c r="L3795" s="3" t="n">
        <v>114685.76</v>
      </c>
      <c r="M3795" s="3" t="n">
        <v>0.0436</v>
      </c>
      <c r="N3795" s="3" t="n">
        <v>5000.3</v>
      </c>
      <c r="O3795" s="3" t="n">
        <v>109685.46</v>
      </c>
      <c r="P3795" s="3" t="n">
        <v>77986.32</v>
      </c>
      <c r="Q3795" s="3" t="n">
        <v>31699.14</v>
      </c>
      <c r="R3795" s="3" t="n">
        <v>0.289</v>
      </c>
      <c r="S3795" s="3" t="n">
        <v>0.0397</v>
      </c>
      <c r="T3795" s="3" t="n">
        <v>0.0039</v>
      </c>
    </row>
    <row r="3796" customFormat="false" ht="15" hidden="false" customHeight="true" outlineLevel="0" collapsed="false">
      <c r="A3796" s="3" t="s">
        <v>4946</v>
      </c>
      <c r="B3796" s="3" t="s">
        <v>871</v>
      </c>
      <c r="C3796" s="3" t="s">
        <v>53</v>
      </c>
      <c r="D3796" s="3" t="s">
        <v>97</v>
      </c>
      <c r="E3796" s="3" t="s">
        <v>48</v>
      </c>
      <c r="F3796" s="3" t="s">
        <v>40</v>
      </c>
      <c r="G3796" s="3" t="s">
        <v>34</v>
      </c>
      <c r="H3796" s="3" t="s">
        <v>27</v>
      </c>
      <c r="I3796" s="3" t="s">
        <v>117</v>
      </c>
      <c r="J3796" s="3" t="n">
        <v>10</v>
      </c>
      <c r="K3796" s="3" t="n">
        <v>24458.06</v>
      </c>
      <c r="L3796" s="3" t="n">
        <v>244580.6</v>
      </c>
      <c r="M3796" s="3" t="n">
        <v>0.122</v>
      </c>
      <c r="N3796" s="3" t="n">
        <v>29838.83</v>
      </c>
      <c r="O3796" s="3" t="n">
        <v>214741.77</v>
      </c>
      <c r="P3796" s="3" t="n">
        <v>151639.97</v>
      </c>
      <c r="Q3796" s="3" t="n">
        <v>63101.8</v>
      </c>
      <c r="R3796" s="3" t="n">
        <v>0.2938</v>
      </c>
      <c r="S3796" s="3" t="n">
        <v>0.1153</v>
      </c>
      <c r="T3796" s="3" t="n">
        <v>0.0067</v>
      </c>
    </row>
    <row r="3797" customFormat="false" ht="15" hidden="false" customHeight="true" outlineLevel="0" collapsed="false">
      <c r="A3797" s="3" t="s">
        <v>4947</v>
      </c>
      <c r="B3797" s="3" t="s">
        <v>2384</v>
      </c>
      <c r="C3797" s="3" t="s">
        <v>46</v>
      </c>
      <c r="D3797" s="3" t="s">
        <v>83</v>
      </c>
      <c r="E3797" s="3" t="s">
        <v>48</v>
      </c>
      <c r="F3797" s="3" t="s">
        <v>62</v>
      </c>
      <c r="G3797" s="3" t="s">
        <v>104</v>
      </c>
      <c r="H3797" s="3" t="s">
        <v>56</v>
      </c>
      <c r="I3797" s="3" t="s">
        <v>188</v>
      </c>
      <c r="J3797" s="3" t="n">
        <v>46</v>
      </c>
      <c r="K3797" s="3" t="n">
        <v>9895.36</v>
      </c>
      <c r="L3797" s="3" t="n">
        <v>455186.56</v>
      </c>
      <c r="M3797" s="3" t="n">
        <v>0.0775</v>
      </c>
      <c r="N3797" s="3" t="n">
        <v>35276.96</v>
      </c>
      <c r="O3797" s="3" t="n">
        <v>419909.6</v>
      </c>
      <c r="P3797" s="3" t="n">
        <v>273111.94</v>
      </c>
      <c r="Q3797" s="3" t="n">
        <v>146797.66</v>
      </c>
      <c r="R3797" s="3" t="n">
        <v>0.3496</v>
      </c>
      <c r="S3797" s="3" t="n">
        <v>0.0759</v>
      </c>
      <c r="T3797" s="3" t="n">
        <v>0.0016</v>
      </c>
    </row>
    <row r="3798" customFormat="false" ht="15" hidden="false" customHeight="true" outlineLevel="0" collapsed="false">
      <c r="A3798" s="3" t="s">
        <v>4948</v>
      </c>
      <c r="B3798" s="3" t="s">
        <v>761</v>
      </c>
      <c r="C3798" s="3" t="s">
        <v>53</v>
      </c>
      <c r="D3798" s="3" t="s">
        <v>54</v>
      </c>
      <c r="E3798" s="3" t="s">
        <v>24</v>
      </c>
      <c r="F3798" s="3" t="s">
        <v>40</v>
      </c>
      <c r="G3798" s="3" t="s">
        <v>55</v>
      </c>
      <c r="H3798" s="3" t="s">
        <v>56</v>
      </c>
      <c r="I3798" s="3" t="s">
        <v>57</v>
      </c>
      <c r="J3798" s="3" t="n">
        <v>27</v>
      </c>
      <c r="K3798" s="3" t="n">
        <v>13007.82</v>
      </c>
      <c r="L3798" s="3" t="n">
        <v>351211.14</v>
      </c>
      <c r="M3798" s="3" t="n">
        <v>0.0531</v>
      </c>
      <c r="N3798" s="3" t="n">
        <v>18649.31</v>
      </c>
      <c r="O3798" s="3" t="n">
        <v>332561.83</v>
      </c>
      <c r="P3798" s="3" t="n">
        <v>210726.68</v>
      </c>
      <c r="Q3798" s="3" t="n">
        <v>121835.15</v>
      </c>
      <c r="R3798" s="3" t="n">
        <v>0.3664</v>
      </c>
      <c r="S3798" s="3" t="n">
        <v>0.0572</v>
      </c>
      <c r="T3798" s="3" t="n">
        <v>-0.0041</v>
      </c>
    </row>
    <row r="3799" customFormat="false" ht="15" hidden="false" customHeight="true" outlineLevel="0" collapsed="false">
      <c r="A3799" s="3" t="s">
        <v>4949</v>
      </c>
      <c r="B3799" s="3" t="s">
        <v>99</v>
      </c>
      <c r="C3799" s="3" t="s">
        <v>93</v>
      </c>
      <c r="D3799" s="3" t="s">
        <v>61</v>
      </c>
      <c r="E3799" s="3" t="s">
        <v>33</v>
      </c>
      <c r="F3799" s="3" t="s">
        <v>62</v>
      </c>
      <c r="G3799" s="3" t="s">
        <v>41</v>
      </c>
      <c r="H3799" s="3" t="s">
        <v>77</v>
      </c>
      <c r="I3799" s="3" t="s">
        <v>78</v>
      </c>
      <c r="J3799" s="3" t="n">
        <v>37</v>
      </c>
      <c r="K3799" s="3" t="n">
        <v>2147.89</v>
      </c>
      <c r="L3799" s="3" t="n">
        <v>79471.93</v>
      </c>
      <c r="M3799" s="3" t="n">
        <v>0.0839</v>
      </c>
      <c r="N3799" s="3" t="n">
        <v>6667.69</v>
      </c>
      <c r="O3799" s="3" t="n">
        <v>72804.24</v>
      </c>
      <c r="P3799" s="3" t="n">
        <v>54040.91</v>
      </c>
      <c r="Q3799" s="3" t="n">
        <v>18763.33</v>
      </c>
      <c r="R3799" s="3" t="n">
        <v>0.2577</v>
      </c>
      <c r="S3799" s="3" t="n">
        <v>0.0701</v>
      </c>
      <c r="T3799" s="3" t="n">
        <v>0.0138</v>
      </c>
    </row>
    <row r="3800" customFormat="false" ht="15" hidden="false" customHeight="true" outlineLevel="0" collapsed="false">
      <c r="A3800" s="3" t="s">
        <v>4950</v>
      </c>
      <c r="B3800" s="3" t="s">
        <v>2964</v>
      </c>
      <c r="C3800" s="3" t="s">
        <v>31</v>
      </c>
      <c r="D3800" s="3" t="s">
        <v>103</v>
      </c>
      <c r="E3800" s="3" t="s">
        <v>24</v>
      </c>
      <c r="F3800" s="3" t="s">
        <v>62</v>
      </c>
      <c r="G3800" s="3" t="s">
        <v>34</v>
      </c>
      <c r="H3800" s="3" t="s">
        <v>42</v>
      </c>
      <c r="I3800" s="3" t="s">
        <v>72</v>
      </c>
      <c r="J3800" s="3" t="n">
        <v>2</v>
      </c>
      <c r="K3800" s="3" t="n">
        <v>1702.27</v>
      </c>
      <c r="L3800" s="3" t="n">
        <v>3404.54</v>
      </c>
      <c r="M3800" s="3" t="n">
        <v>0.1276</v>
      </c>
      <c r="N3800" s="3" t="n">
        <v>434.42</v>
      </c>
      <c r="O3800" s="3" t="n">
        <v>2970.12</v>
      </c>
      <c r="P3800" s="3" t="n">
        <v>1872.5</v>
      </c>
      <c r="Q3800" s="3" t="n">
        <v>1097.62</v>
      </c>
      <c r="R3800" s="3" t="n">
        <v>0.3696</v>
      </c>
      <c r="S3800" s="3" t="n">
        <v>0.1192</v>
      </c>
      <c r="T3800" s="3" t="n">
        <v>0.0084</v>
      </c>
    </row>
    <row r="3801" customFormat="false" ht="15" hidden="false" customHeight="true" outlineLevel="0" collapsed="false">
      <c r="A3801" s="3" t="s">
        <v>4951</v>
      </c>
      <c r="B3801" s="3" t="s">
        <v>221</v>
      </c>
      <c r="C3801" s="3" t="s">
        <v>60</v>
      </c>
      <c r="D3801" s="3" t="s">
        <v>38</v>
      </c>
      <c r="E3801" s="3" t="s">
        <v>39</v>
      </c>
      <c r="F3801" s="3" t="s">
        <v>40</v>
      </c>
      <c r="G3801" s="3" t="s">
        <v>76</v>
      </c>
      <c r="H3801" s="3" t="s">
        <v>27</v>
      </c>
      <c r="I3801" s="3" t="s">
        <v>173</v>
      </c>
      <c r="J3801" s="3" t="n">
        <v>10</v>
      </c>
      <c r="K3801" s="3" t="n">
        <v>11965.6</v>
      </c>
      <c r="L3801" s="3" t="n">
        <v>119656</v>
      </c>
      <c r="M3801" s="3" t="n">
        <v>0.0756</v>
      </c>
      <c r="N3801" s="3" t="n">
        <v>9045.99</v>
      </c>
      <c r="O3801" s="3" t="n">
        <v>110610.01</v>
      </c>
      <c r="P3801" s="3" t="n">
        <v>74186.72</v>
      </c>
      <c r="Q3801" s="3" t="n">
        <v>36423.29</v>
      </c>
      <c r="R3801" s="3" t="n">
        <v>0.3293</v>
      </c>
      <c r="S3801" s="3" t="n">
        <v>0.0716</v>
      </c>
      <c r="T3801" s="3" t="n">
        <v>0.004</v>
      </c>
    </row>
    <row r="3802" customFormat="false" ht="15" hidden="false" customHeight="true" outlineLevel="0" collapsed="false">
      <c r="A3802" s="3" t="s">
        <v>4952</v>
      </c>
      <c r="B3802" s="3" t="s">
        <v>848</v>
      </c>
      <c r="C3802" s="3" t="s">
        <v>120</v>
      </c>
      <c r="D3802" s="3" t="s">
        <v>23</v>
      </c>
      <c r="E3802" s="3" t="s">
        <v>24</v>
      </c>
      <c r="F3802" s="3" t="s">
        <v>25</v>
      </c>
      <c r="G3802" s="3" t="s">
        <v>49</v>
      </c>
      <c r="H3802" s="3" t="s">
        <v>77</v>
      </c>
      <c r="I3802" s="3" t="s">
        <v>78</v>
      </c>
      <c r="J3802" s="3" t="n">
        <v>5</v>
      </c>
      <c r="K3802" s="3" t="n">
        <v>2147.25</v>
      </c>
      <c r="L3802" s="3" t="n">
        <v>10736.25</v>
      </c>
      <c r="M3802" s="3" t="n">
        <v>0.1825</v>
      </c>
      <c r="N3802" s="3" t="n">
        <v>1959.37</v>
      </c>
      <c r="O3802" s="3" t="n">
        <v>8776.88</v>
      </c>
      <c r="P3802" s="3" t="n">
        <v>7300.65</v>
      </c>
      <c r="Q3802" s="3" t="n">
        <v>1476.23</v>
      </c>
      <c r="R3802" s="3" t="n">
        <v>0.1682</v>
      </c>
      <c r="S3802" s="3" t="n">
        <v>0.1839</v>
      </c>
      <c r="T3802" s="3" t="n">
        <v>-0.0014</v>
      </c>
    </row>
    <row r="3803" customFormat="false" ht="15" hidden="false" customHeight="true" outlineLevel="0" collapsed="false">
      <c r="A3803" s="3" t="s">
        <v>4953</v>
      </c>
      <c r="B3803" s="3" t="s">
        <v>1158</v>
      </c>
      <c r="C3803" s="3" t="s">
        <v>22</v>
      </c>
      <c r="D3803" s="3" t="s">
        <v>69</v>
      </c>
      <c r="E3803" s="3" t="s">
        <v>39</v>
      </c>
      <c r="F3803" s="3" t="s">
        <v>70</v>
      </c>
      <c r="G3803" s="3" t="s">
        <v>84</v>
      </c>
      <c r="H3803" s="3" t="s">
        <v>42</v>
      </c>
      <c r="I3803" s="3" t="s">
        <v>43</v>
      </c>
      <c r="J3803" s="3" t="n">
        <v>41</v>
      </c>
      <c r="K3803" s="3" t="n">
        <v>3672.41</v>
      </c>
      <c r="L3803" s="3" t="n">
        <v>150568.81</v>
      </c>
      <c r="M3803" s="3" t="n">
        <v>0.071</v>
      </c>
      <c r="N3803" s="3" t="n">
        <v>10690.39</v>
      </c>
      <c r="O3803" s="3" t="n">
        <v>139878.42</v>
      </c>
      <c r="P3803" s="3" t="n">
        <v>82812.85</v>
      </c>
      <c r="Q3803" s="3" t="n">
        <v>57065.57</v>
      </c>
      <c r="R3803" s="3" t="n">
        <v>0.408</v>
      </c>
      <c r="S3803" s="3" t="n">
        <v>0.064</v>
      </c>
      <c r="T3803" s="3" t="n">
        <v>0.007</v>
      </c>
    </row>
    <row r="3804" customFormat="false" ht="15" hidden="false" customHeight="true" outlineLevel="0" collapsed="false">
      <c r="A3804" s="3" t="s">
        <v>4954</v>
      </c>
      <c r="B3804" s="3" t="s">
        <v>1964</v>
      </c>
      <c r="C3804" s="3" t="s">
        <v>46</v>
      </c>
      <c r="D3804" s="3" t="s">
        <v>103</v>
      </c>
      <c r="E3804" s="3" t="s">
        <v>24</v>
      </c>
      <c r="F3804" s="3" t="s">
        <v>62</v>
      </c>
      <c r="G3804" s="3" t="s">
        <v>34</v>
      </c>
      <c r="H3804" s="3" t="s">
        <v>42</v>
      </c>
      <c r="I3804" s="3" t="s">
        <v>72</v>
      </c>
      <c r="J3804" s="3" t="n">
        <v>23</v>
      </c>
      <c r="K3804" s="3" t="n">
        <v>3266.07</v>
      </c>
      <c r="L3804" s="3" t="n">
        <v>75119.61</v>
      </c>
      <c r="M3804" s="3" t="n">
        <v>0.1063</v>
      </c>
      <c r="N3804" s="3" t="n">
        <v>7985.21</v>
      </c>
      <c r="O3804" s="3" t="n">
        <v>67134.4</v>
      </c>
      <c r="P3804" s="3" t="n">
        <v>41315.79</v>
      </c>
      <c r="Q3804" s="3" t="n">
        <v>25818.61</v>
      </c>
      <c r="R3804" s="3" t="n">
        <v>0.3846</v>
      </c>
      <c r="S3804" s="3" t="n">
        <v>0.1145</v>
      </c>
      <c r="T3804" s="3" t="n">
        <v>-0.0082</v>
      </c>
    </row>
    <row r="3805" customFormat="false" ht="15" hidden="false" customHeight="true" outlineLevel="0" collapsed="false">
      <c r="A3805" s="3" t="s">
        <v>4955</v>
      </c>
      <c r="B3805" s="3" t="s">
        <v>929</v>
      </c>
      <c r="C3805" s="3" t="s">
        <v>93</v>
      </c>
      <c r="D3805" s="3" t="s">
        <v>75</v>
      </c>
      <c r="E3805" s="3" t="s">
        <v>39</v>
      </c>
      <c r="F3805" s="3" t="s">
        <v>25</v>
      </c>
      <c r="G3805" s="3" t="s">
        <v>100</v>
      </c>
      <c r="H3805" s="3" t="s">
        <v>27</v>
      </c>
      <c r="I3805" s="3" t="s">
        <v>173</v>
      </c>
      <c r="J3805" s="3" t="n">
        <v>43</v>
      </c>
      <c r="K3805" s="3" t="n">
        <v>38601.97</v>
      </c>
      <c r="L3805" s="3" t="n">
        <v>1659884.71</v>
      </c>
      <c r="M3805" s="3" t="n">
        <v>0.1106</v>
      </c>
      <c r="N3805" s="3" t="n">
        <v>183583.25</v>
      </c>
      <c r="O3805" s="3" t="n">
        <v>1476301.46</v>
      </c>
      <c r="P3805" s="3" t="n">
        <v>1029128.52</v>
      </c>
      <c r="Q3805" s="3" t="n">
        <v>447172.94</v>
      </c>
      <c r="R3805" s="3" t="n">
        <v>0.3029</v>
      </c>
      <c r="S3805" s="3" t="n">
        <v>0.1117</v>
      </c>
      <c r="T3805" s="3" t="n">
        <v>-0.0011</v>
      </c>
    </row>
    <row r="3806" customFormat="false" ht="15" hidden="false" customHeight="true" outlineLevel="0" collapsed="false">
      <c r="A3806" s="3" t="s">
        <v>4956</v>
      </c>
      <c r="B3806" s="3" t="s">
        <v>3074</v>
      </c>
      <c r="C3806" s="3" t="s">
        <v>120</v>
      </c>
      <c r="D3806" s="3" t="s">
        <v>47</v>
      </c>
      <c r="E3806" s="3" t="s">
        <v>48</v>
      </c>
      <c r="F3806" s="3" t="s">
        <v>25</v>
      </c>
      <c r="G3806" s="3" t="s">
        <v>104</v>
      </c>
      <c r="H3806" s="3" t="s">
        <v>77</v>
      </c>
      <c r="I3806" s="3" t="s">
        <v>85</v>
      </c>
      <c r="J3806" s="3" t="n">
        <v>40</v>
      </c>
      <c r="K3806" s="3" t="n">
        <v>3890.36</v>
      </c>
      <c r="L3806" s="3" t="n">
        <v>155614.4</v>
      </c>
      <c r="M3806" s="3" t="n">
        <v>0.148</v>
      </c>
      <c r="N3806" s="3" t="n">
        <v>23030.93</v>
      </c>
      <c r="O3806" s="3" t="n">
        <v>132583.47</v>
      </c>
      <c r="P3806" s="3" t="n">
        <v>105817.79</v>
      </c>
      <c r="Q3806" s="3" t="n">
        <v>26765.68</v>
      </c>
      <c r="R3806" s="3" t="n">
        <v>0.2019</v>
      </c>
      <c r="S3806" s="3" t="n">
        <v>0.1197</v>
      </c>
      <c r="T3806" s="3" t="n">
        <v>0.0283</v>
      </c>
    </row>
    <row r="3807" customFormat="false" ht="15" hidden="false" customHeight="true" outlineLevel="0" collapsed="false">
      <c r="A3807" s="3" t="s">
        <v>4957</v>
      </c>
      <c r="B3807" s="3" t="s">
        <v>2330</v>
      </c>
      <c r="C3807" s="3" t="s">
        <v>37</v>
      </c>
      <c r="D3807" s="3" t="s">
        <v>47</v>
      </c>
      <c r="E3807" s="3" t="s">
        <v>48</v>
      </c>
      <c r="F3807" s="3" t="s">
        <v>25</v>
      </c>
      <c r="G3807" s="3" t="s">
        <v>34</v>
      </c>
      <c r="H3807" s="3" t="s">
        <v>27</v>
      </c>
      <c r="I3807" s="3" t="s">
        <v>50</v>
      </c>
      <c r="J3807" s="3" t="n">
        <v>6</v>
      </c>
      <c r="K3807" s="3" t="n">
        <v>10542.65</v>
      </c>
      <c r="L3807" s="3" t="n">
        <v>63255.9</v>
      </c>
      <c r="M3807" s="3" t="n">
        <v>0.1538</v>
      </c>
      <c r="N3807" s="3" t="n">
        <v>9728.76</v>
      </c>
      <c r="O3807" s="3" t="n">
        <v>53527.14</v>
      </c>
      <c r="P3807" s="3" t="n">
        <v>39218.66</v>
      </c>
      <c r="Q3807" s="3" t="n">
        <v>14308.48</v>
      </c>
      <c r="R3807" s="3" t="n">
        <v>0.2673</v>
      </c>
      <c r="S3807" s="3" t="n">
        <v>0.1583</v>
      </c>
      <c r="T3807" s="3" t="n">
        <v>-0.0045</v>
      </c>
    </row>
    <row r="3808" customFormat="false" ht="15" hidden="false" customHeight="true" outlineLevel="0" collapsed="false">
      <c r="A3808" s="3" t="s">
        <v>4958</v>
      </c>
      <c r="B3808" s="3" t="s">
        <v>2299</v>
      </c>
      <c r="C3808" s="3" t="s">
        <v>22</v>
      </c>
      <c r="D3808" s="3" t="s">
        <v>61</v>
      </c>
      <c r="E3808" s="3" t="s">
        <v>33</v>
      </c>
      <c r="F3808" s="3" t="s">
        <v>62</v>
      </c>
      <c r="G3808" s="3" t="s">
        <v>55</v>
      </c>
      <c r="H3808" s="3" t="s">
        <v>56</v>
      </c>
      <c r="I3808" s="3" t="s">
        <v>57</v>
      </c>
      <c r="J3808" s="3" t="n">
        <v>26</v>
      </c>
      <c r="K3808" s="3" t="n">
        <v>5704.22</v>
      </c>
      <c r="L3808" s="3" t="n">
        <v>148309.72</v>
      </c>
      <c r="M3808" s="3" t="n">
        <v>0.0578</v>
      </c>
      <c r="N3808" s="3" t="n">
        <v>8572.3</v>
      </c>
      <c r="O3808" s="3" t="n">
        <v>139737.42</v>
      </c>
      <c r="P3808" s="3" t="n">
        <v>88985.83</v>
      </c>
      <c r="Q3808" s="3" t="n">
        <v>50751.59</v>
      </c>
      <c r="R3808" s="3" t="n">
        <v>0.3632</v>
      </c>
      <c r="S3808" s="3" t="n">
        <v>0.0597</v>
      </c>
      <c r="T3808" s="3" t="n">
        <v>-0.0019</v>
      </c>
    </row>
    <row r="3809" customFormat="false" ht="15" hidden="false" customHeight="true" outlineLevel="0" collapsed="false">
      <c r="A3809" s="3" t="s">
        <v>4959</v>
      </c>
      <c r="B3809" s="3" t="s">
        <v>4960</v>
      </c>
      <c r="C3809" s="3" t="s">
        <v>68</v>
      </c>
      <c r="D3809" s="3" t="s">
        <v>38</v>
      </c>
      <c r="E3809" s="3" t="s">
        <v>39</v>
      </c>
      <c r="F3809" s="3" t="s">
        <v>40</v>
      </c>
      <c r="G3809" s="3" t="s">
        <v>71</v>
      </c>
      <c r="H3809" s="3" t="s">
        <v>64</v>
      </c>
      <c r="I3809" s="3" t="s">
        <v>65</v>
      </c>
      <c r="J3809" s="3" t="n">
        <v>3</v>
      </c>
      <c r="K3809" s="3" t="n">
        <v>9119.73</v>
      </c>
      <c r="L3809" s="3" t="n">
        <v>27359.19</v>
      </c>
      <c r="M3809" s="3" t="n">
        <v>0.0562</v>
      </c>
      <c r="N3809" s="3" t="n">
        <v>1537.59</v>
      </c>
      <c r="O3809" s="3" t="n">
        <v>25821.6</v>
      </c>
      <c r="P3809" s="3" t="n">
        <v>15868.33</v>
      </c>
      <c r="Q3809" s="3" t="n">
        <v>9953.27</v>
      </c>
      <c r="R3809" s="3" t="n">
        <v>0.3855</v>
      </c>
      <c r="S3809" s="3" t="n">
        <v>0.0615</v>
      </c>
      <c r="T3809" s="3" t="n">
        <v>-0.0053</v>
      </c>
    </row>
    <row r="3810" customFormat="false" ht="15" hidden="false" customHeight="true" outlineLevel="0" collapsed="false">
      <c r="A3810" s="3" t="s">
        <v>4961</v>
      </c>
      <c r="B3810" s="3" t="s">
        <v>1941</v>
      </c>
      <c r="C3810" s="3" t="s">
        <v>46</v>
      </c>
      <c r="D3810" s="3" t="s">
        <v>107</v>
      </c>
      <c r="E3810" s="3" t="s">
        <v>33</v>
      </c>
      <c r="F3810" s="3" t="s">
        <v>70</v>
      </c>
      <c r="G3810" s="3" t="s">
        <v>71</v>
      </c>
      <c r="H3810" s="3" t="s">
        <v>42</v>
      </c>
      <c r="I3810" s="3" t="s">
        <v>72</v>
      </c>
      <c r="J3810" s="3" t="n">
        <v>6</v>
      </c>
      <c r="K3810" s="3" t="n">
        <v>585.55</v>
      </c>
      <c r="L3810" s="3" t="n">
        <v>3513.3</v>
      </c>
      <c r="M3810" s="3" t="n">
        <v>0.0317</v>
      </c>
      <c r="N3810" s="3" t="n">
        <v>111.37</v>
      </c>
      <c r="O3810" s="3" t="n">
        <v>3401.93</v>
      </c>
      <c r="P3810" s="3" t="n">
        <v>1932.32</v>
      </c>
      <c r="Q3810" s="3" t="n">
        <v>1469.61</v>
      </c>
      <c r="R3810" s="3" t="n">
        <v>0.432</v>
      </c>
      <c r="S3810" s="3" t="n">
        <v>0.0328</v>
      </c>
      <c r="T3810" s="3" t="n">
        <v>-0.0011</v>
      </c>
    </row>
    <row r="3811" customFormat="false" ht="15" hidden="false" customHeight="true" outlineLevel="0" collapsed="false">
      <c r="A3811" s="3" t="s">
        <v>4962</v>
      </c>
      <c r="B3811" s="3" t="s">
        <v>674</v>
      </c>
      <c r="C3811" s="3" t="s">
        <v>126</v>
      </c>
      <c r="D3811" s="3" t="s">
        <v>107</v>
      </c>
      <c r="E3811" s="3" t="s">
        <v>33</v>
      </c>
      <c r="F3811" s="3" t="s">
        <v>70</v>
      </c>
      <c r="G3811" s="3" t="s">
        <v>116</v>
      </c>
      <c r="H3811" s="3" t="s">
        <v>64</v>
      </c>
      <c r="I3811" s="3" t="s">
        <v>65</v>
      </c>
      <c r="J3811" s="3" t="n">
        <v>14</v>
      </c>
      <c r="K3811" s="3" t="n">
        <v>3972.24</v>
      </c>
      <c r="L3811" s="3" t="n">
        <v>55611.36</v>
      </c>
      <c r="M3811" s="3" t="n">
        <v>0.0651</v>
      </c>
      <c r="N3811" s="3" t="n">
        <v>3620.3</v>
      </c>
      <c r="O3811" s="3" t="n">
        <v>51991.06</v>
      </c>
      <c r="P3811" s="3" t="n">
        <v>32254.59</v>
      </c>
      <c r="Q3811" s="3" t="n">
        <v>19736.47</v>
      </c>
      <c r="R3811" s="3" t="n">
        <v>0.3796</v>
      </c>
      <c r="S3811" s="3" t="n">
        <v>0.0531</v>
      </c>
      <c r="T3811" s="3" t="n">
        <v>0.012</v>
      </c>
    </row>
    <row r="3812" customFormat="false" ht="15" hidden="false" customHeight="true" outlineLevel="0" collapsed="false">
      <c r="A3812" s="3" t="s">
        <v>4963</v>
      </c>
      <c r="B3812" s="3" t="s">
        <v>1642</v>
      </c>
      <c r="C3812" s="3" t="s">
        <v>68</v>
      </c>
      <c r="D3812" s="3" t="s">
        <v>38</v>
      </c>
      <c r="E3812" s="3" t="s">
        <v>39</v>
      </c>
      <c r="F3812" s="3" t="s">
        <v>40</v>
      </c>
      <c r="G3812" s="3" t="s">
        <v>26</v>
      </c>
      <c r="H3812" s="3" t="s">
        <v>64</v>
      </c>
      <c r="I3812" s="3" t="s">
        <v>108</v>
      </c>
      <c r="J3812" s="3" t="n">
        <v>37</v>
      </c>
      <c r="K3812" s="3" t="n">
        <v>4954.2</v>
      </c>
      <c r="L3812" s="3" t="n">
        <v>183305.4</v>
      </c>
      <c r="M3812" s="3" t="n">
        <v>0.0517</v>
      </c>
      <c r="N3812" s="3" t="n">
        <v>9476.89</v>
      </c>
      <c r="O3812" s="3" t="n">
        <v>173828.51</v>
      </c>
      <c r="P3812" s="3" t="n">
        <v>106317.13</v>
      </c>
      <c r="Q3812" s="3" t="n">
        <v>67511.38</v>
      </c>
      <c r="R3812" s="3" t="n">
        <v>0.3884</v>
      </c>
      <c r="S3812" s="3" t="n">
        <v>0.0504</v>
      </c>
      <c r="T3812" s="3" t="n">
        <v>0.0013</v>
      </c>
    </row>
    <row r="3813" customFormat="false" ht="15" hidden="false" customHeight="true" outlineLevel="0" collapsed="false">
      <c r="A3813" s="3" t="s">
        <v>4964</v>
      </c>
      <c r="B3813" s="3" t="s">
        <v>4965</v>
      </c>
      <c r="C3813" s="3" t="s">
        <v>22</v>
      </c>
      <c r="D3813" s="3" t="s">
        <v>75</v>
      </c>
      <c r="E3813" s="3" t="s">
        <v>39</v>
      </c>
      <c r="F3813" s="3" t="s">
        <v>25</v>
      </c>
      <c r="G3813" s="3" t="s">
        <v>100</v>
      </c>
      <c r="H3813" s="3" t="s">
        <v>27</v>
      </c>
      <c r="I3813" s="3" t="s">
        <v>117</v>
      </c>
      <c r="J3813" s="3" t="n">
        <v>29</v>
      </c>
      <c r="K3813" s="3" t="n">
        <v>25936.52</v>
      </c>
      <c r="L3813" s="3" t="n">
        <v>752159.08</v>
      </c>
      <c r="M3813" s="3" t="n">
        <v>0.1714</v>
      </c>
      <c r="N3813" s="3" t="n">
        <v>128920.07</v>
      </c>
      <c r="O3813" s="3" t="n">
        <v>623239.01</v>
      </c>
      <c r="P3813" s="3" t="n">
        <v>466338.63</v>
      </c>
      <c r="Q3813" s="3" t="n">
        <v>156900.38</v>
      </c>
      <c r="R3813" s="3" t="n">
        <v>0.2517</v>
      </c>
      <c r="S3813" s="3" t="n">
        <v>0.1659</v>
      </c>
      <c r="T3813" s="3" t="n">
        <v>0.0055</v>
      </c>
    </row>
    <row r="3814" customFormat="false" ht="15" hidden="false" customHeight="true" outlineLevel="0" collapsed="false">
      <c r="A3814" s="3" t="s">
        <v>4966</v>
      </c>
      <c r="B3814" s="3" t="s">
        <v>1402</v>
      </c>
      <c r="C3814" s="3" t="s">
        <v>31</v>
      </c>
      <c r="D3814" s="3" t="s">
        <v>38</v>
      </c>
      <c r="E3814" s="3" t="s">
        <v>39</v>
      </c>
      <c r="F3814" s="3" t="s">
        <v>40</v>
      </c>
      <c r="G3814" s="3" t="s">
        <v>76</v>
      </c>
      <c r="H3814" s="3" t="s">
        <v>64</v>
      </c>
      <c r="I3814" s="3" t="s">
        <v>145</v>
      </c>
      <c r="J3814" s="3" t="n">
        <v>29</v>
      </c>
      <c r="K3814" s="3" t="n">
        <v>11573.32</v>
      </c>
      <c r="L3814" s="3" t="n">
        <v>335626.28</v>
      </c>
      <c r="M3814" s="3" t="n">
        <v>0.056</v>
      </c>
      <c r="N3814" s="3" t="n">
        <v>18795.07</v>
      </c>
      <c r="O3814" s="3" t="n">
        <v>316831.21</v>
      </c>
      <c r="P3814" s="3" t="n">
        <v>194663.24</v>
      </c>
      <c r="Q3814" s="3" t="n">
        <v>122167.97</v>
      </c>
      <c r="R3814" s="3" t="n">
        <v>0.3856</v>
      </c>
      <c r="S3814" s="3" t="n">
        <v>0.0578</v>
      </c>
      <c r="T3814" s="3" t="n">
        <v>-0.0018</v>
      </c>
    </row>
    <row r="3815" customFormat="false" ht="15" hidden="false" customHeight="true" outlineLevel="0" collapsed="false">
      <c r="A3815" s="3" t="s">
        <v>4967</v>
      </c>
      <c r="B3815" s="3" t="s">
        <v>668</v>
      </c>
      <c r="C3815" s="3" t="s">
        <v>126</v>
      </c>
      <c r="D3815" s="3" t="s">
        <v>47</v>
      </c>
      <c r="E3815" s="3" t="s">
        <v>48</v>
      </c>
      <c r="F3815" s="3" t="s">
        <v>25</v>
      </c>
      <c r="G3815" s="3" t="s">
        <v>26</v>
      </c>
      <c r="H3815" s="3" t="s">
        <v>77</v>
      </c>
      <c r="I3815" s="3" t="s">
        <v>131</v>
      </c>
      <c r="J3815" s="3" t="n">
        <v>9</v>
      </c>
      <c r="K3815" s="3" t="n">
        <v>5433.46</v>
      </c>
      <c r="L3815" s="3" t="n">
        <v>48901.14</v>
      </c>
      <c r="M3815" s="3" t="n">
        <v>0.1505</v>
      </c>
      <c r="N3815" s="3" t="n">
        <v>7359.62</v>
      </c>
      <c r="O3815" s="3" t="n">
        <v>41541.52</v>
      </c>
      <c r="P3815" s="3" t="n">
        <v>33252.78</v>
      </c>
      <c r="Q3815" s="3" t="n">
        <v>8288.74</v>
      </c>
      <c r="R3815" s="3" t="n">
        <v>0.1995</v>
      </c>
      <c r="S3815" s="3" t="n">
        <v>0.1435</v>
      </c>
      <c r="T3815" s="3" t="n">
        <v>0.007</v>
      </c>
    </row>
    <row r="3816" customFormat="false" ht="15" hidden="false" customHeight="true" outlineLevel="0" collapsed="false">
      <c r="A3816" s="3" t="s">
        <v>4968</v>
      </c>
      <c r="B3816" s="3" t="s">
        <v>724</v>
      </c>
      <c r="C3816" s="3" t="s">
        <v>60</v>
      </c>
      <c r="D3816" s="3" t="s">
        <v>61</v>
      </c>
      <c r="E3816" s="3" t="s">
        <v>33</v>
      </c>
      <c r="F3816" s="3" t="s">
        <v>62</v>
      </c>
      <c r="G3816" s="3" t="s">
        <v>41</v>
      </c>
      <c r="H3816" s="3" t="s">
        <v>64</v>
      </c>
      <c r="I3816" s="3" t="s">
        <v>145</v>
      </c>
      <c r="J3816" s="3" t="n">
        <v>26</v>
      </c>
      <c r="K3816" s="3" t="n">
        <v>9685.72</v>
      </c>
      <c r="L3816" s="3" t="n">
        <v>251828.72</v>
      </c>
      <c r="M3816" s="3" t="n">
        <v>0.091</v>
      </c>
      <c r="N3816" s="3" t="n">
        <v>22916.41</v>
      </c>
      <c r="O3816" s="3" t="n">
        <v>228912.31</v>
      </c>
      <c r="P3816" s="3" t="n">
        <v>146060.66</v>
      </c>
      <c r="Q3816" s="3" t="n">
        <v>82851.65</v>
      </c>
      <c r="R3816" s="3" t="n">
        <v>0.3619</v>
      </c>
      <c r="S3816" s="3" t="n">
        <v>0.0926</v>
      </c>
      <c r="T3816" s="3" t="n">
        <v>-0.0016</v>
      </c>
    </row>
    <row r="3817" customFormat="false" ht="15" hidden="false" customHeight="true" outlineLevel="0" collapsed="false">
      <c r="A3817" s="3" t="s">
        <v>4969</v>
      </c>
      <c r="B3817" s="3" t="s">
        <v>1623</v>
      </c>
      <c r="C3817" s="3" t="s">
        <v>68</v>
      </c>
      <c r="D3817" s="3" t="s">
        <v>47</v>
      </c>
      <c r="E3817" s="3" t="s">
        <v>48</v>
      </c>
      <c r="F3817" s="3" t="s">
        <v>25</v>
      </c>
      <c r="G3817" s="3" t="s">
        <v>104</v>
      </c>
      <c r="H3817" s="3" t="s">
        <v>42</v>
      </c>
      <c r="I3817" s="3" t="s">
        <v>134</v>
      </c>
      <c r="J3817" s="3" t="n">
        <v>42</v>
      </c>
      <c r="K3817" s="3" t="n">
        <v>1401.8</v>
      </c>
      <c r="L3817" s="3" t="n">
        <v>58875.6</v>
      </c>
      <c r="M3817" s="3" t="n">
        <v>0.2099</v>
      </c>
      <c r="N3817" s="3" t="n">
        <v>12357.99</v>
      </c>
      <c r="O3817" s="3" t="n">
        <v>46517.61</v>
      </c>
      <c r="P3817" s="3" t="n">
        <v>32381.58</v>
      </c>
      <c r="Q3817" s="3" t="n">
        <v>14136.03</v>
      </c>
      <c r="R3817" s="3" t="n">
        <v>0.3039</v>
      </c>
      <c r="S3817" s="3" t="n">
        <v>0.2056</v>
      </c>
      <c r="T3817" s="3" t="n">
        <v>0.0043</v>
      </c>
    </row>
    <row r="3818" customFormat="false" ht="15" hidden="false" customHeight="true" outlineLevel="0" collapsed="false">
      <c r="A3818" s="3" t="s">
        <v>4970</v>
      </c>
      <c r="B3818" s="3" t="s">
        <v>3361</v>
      </c>
      <c r="C3818" s="3" t="s">
        <v>93</v>
      </c>
      <c r="D3818" s="3" t="s">
        <v>47</v>
      </c>
      <c r="E3818" s="3" t="s">
        <v>48</v>
      </c>
      <c r="F3818" s="3" t="s">
        <v>25</v>
      </c>
      <c r="G3818" s="3" t="s">
        <v>84</v>
      </c>
      <c r="H3818" s="3" t="s">
        <v>77</v>
      </c>
      <c r="I3818" s="3" t="s">
        <v>131</v>
      </c>
      <c r="J3818" s="3" t="n">
        <v>42</v>
      </c>
      <c r="K3818" s="3" t="n">
        <v>4050.64</v>
      </c>
      <c r="L3818" s="3" t="n">
        <v>170126.88</v>
      </c>
      <c r="M3818" s="3" t="n">
        <v>0.0938</v>
      </c>
      <c r="N3818" s="3" t="n">
        <v>15957.9</v>
      </c>
      <c r="O3818" s="3" t="n">
        <v>154168.98</v>
      </c>
      <c r="P3818" s="3" t="n">
        <v>115686.28</v>
      </c>
      <c r="Q3818" s="3" t="n">
        <v>38482.7</v>
      </c>
      <c r="R3818" s="3" t="n">
        <v>0.2496</v>
      </c>
      <c r="S3818" s="3" t="n">
        <v>0.0875</v>
      </c>
      <c r="T3818" s="3" t="n">
        <v>0.0063</v>
      </c>
    </row>
    <row r="3819" customFormat="false" ht="15" hidden="false" customHeight="true" outlineLevel="0" collapsed="false">
      <c r="A3819" s="3" t="s">
        <v>4971</v>
      </c>
      <c r="B3819" s="3" t="s">
        <v>3457</v>
      </c>
      <c r="C3819" s="3" t="s">
        <v>22</v>
      </c>
      <c r="D3819" s="3" t="s">
        <v>54</v>
      </c>
      <c r="E3819" s="3" t="s">
        <v>24</v>
      </c>
      <c r="F3819" s="3" t="s">
        <v>40</v>
      </c>
      <c r="G3819" s="3" t="s">
        <v>55</v>
      </c>
      <c r="H3819" s="3" t="s">
        <v>42</v>
      </c>
      <c r="I3819" s="3" t="s">
        <v>72</v>
      </c>
      <c r="J3819" s="3" t="n">
        <v>25</v>
      </c>
      <c r="K3819" s="3" t="n">
        <v>1090.68</v>
      </c>
      <c r="L3819" s="3" t="n">
        <v>27267</v>
      </c>
      <c r="M3819" s="3" t="n">
        <v>0.0563</v>
      </c>
      <c r="N3819" s="3" t="n">
        <v>1535.13</v>
      </c>
      <c r="O3819" s="3" t="n">
        <v>25731.87</v>
      </c>
      <c r="P3819" s="3" t="n">
        <v>14996.85</v>
      </c>
      <c r="Q3819" s="3" t="n">
        <v>10735.02</v>
      </c>
      <c r="R3819" s="3" t="n">
        <v>0.4172</v>
      </c>
      <c r="S3819" s="3" t="n">
        <v>0.0502</v>
      </c>
      <c r="T3819" s="3" t="n">
        <v>0.0061</v>
      </c>
    </row>
    <row r="3820" customFormat="false" ht="15" hidden="false" customHeight="true" outlineLevel="0" collapsed="false">
      <c r="A3820" s="3" t="s">
        <v>4972</v>
      </c>
      <c r="B3820" s="3" t="s">
        <v>2680</v>
      </c>
      <c r="C3820" s="3" t="s">
        <v>120</v>
      </c>
      <c r="D3820" s="3" t="s">
        <v>54</v>
      </c>
      <c r="E3820" s="3" t="s">
        <v>24</v>
      </c>
      <c r="F3820" s="3" t="s">
        <v>40</v>
      </c>
      <c r="G3820" s="3" t="s">
        <v>34</v>
      </c>
      <c r="H3820" s="3" t="s">
        <v>77</v>
      </c>
      <c r="I3820" s="3" t="s">
        <v>85</v>
      </c>
      <c r="J3820" s="3" t="n">
        <v>37</v>
      </c>
      <c r="K3820" s="3" t="n">
        <v>5917.24</v>
      </c>
      <c r="L3820" s="3" t="n">
        <v>218937.88</v>
      </c>
      <c r="M3820" s="3" t="n">
        <v>0.0942</v>
      </c>
      <c r="N3820" s="3" t="n">
        <v>20623.95</v>
      </c>
      <c r="O3820" s="3" t="n">
        <v>198313.93</v>
      </c>
      <c r="P3820" s="3" t="n">
        <v>148877.76</v>
      </c>
      <c r="Q3820" s="3" t="n">
        <v>49436.17</v>
      </c>
      <c r="R3820" s="3" t="n">
        <v>0.2493</v>
      </c>
      <c r="S3820" s="3" t="n">
        <v>0.0983</v>
      </c>
      <c r="T3820" s="3" t="n">
        <v>-0.0041</v>
      </c>
    </row>
    <row r="3821" customFormat="false" ht="15" hidden="false" customHeight="true" outlineLevel="0" collapsed="false">
      <c r="A3821" s="3" t="s">
        <v>4973</v>
      </c>
      <c r="B3821" s="3" t="s">
        <v>2054</v>
      </c>
      <c r="C3821" s="3" t="s">
        <v>156</v>
      </c>
      <c r="D3821" s="3" t="s">
        <v>103</v>
      </c>
      <c r="E3821" s="3" t="s">
        <v>24</v>
      </c>
      <c r="F3821" s="3" t="s">
        <v>62</v>
      </c>
      <c r="G3821" s="3" t="s">
        <v>76</v>
      </c>
      <c r="H3821" s="3" t="s">
        <v>77</v>
      </c>
      <c r="I3821" s="3" t="s">
        <v>78</v>
      </c>
      <c r="J3821" s="3" t="n">
        <v>13</v>
      </c>
      <c r="K3821" s="3" t="n">
        <v>4337.25</v>
      </c>
      <c r="L3821" s="3" t="n">
        <v>56384.25</v>
      </c>
      <c r="M3821" s="3" t="n">
        <v>0.0608</v>
      </c>
      <c r="N3821" s="3" t="n">
        <v>3428.16</v>
      </c>
      <c r="O3821" s="3" t="n">
        <v>52956.09</v>
      </c>
      <c r="P3821" s="3" t="n">
        <v>38341.29</v>
      </c>
      <c r="Q3821" s="3" t="n">
        <v>14614.8</v>
      </c>
      <c r="R3821" s="3" t="n">
        <v>0.276</v>
      </c>
      <c r="S3821" s="3" t="n">
        <v>0.0658</v>
      </c>
      <c r="T3821" s="3" t="n">
        <v>-0.005</v>
      </c>
    </row>
    <row r="3822" customFormat="false" ht="15" hidden="false" customHeight="true" outlineLevel="0" collapsed="false">
      <c r="A3822" s="3" t="s">
        <v>4974</v>
      </c>
      <c r="B3822" s="3" t="s">
        <v>2444</v>
      </c>
      <c r="C3822" s="3" t="s">
        <v>46</v>
      </c>
      <c r="D3822" s="3" t="s">
        <v>23</v>
      </c>
      <c r="E3822" s="3" t="s">
        <v>24</v>
      </c>
      <c r="F3822" s="3" t="s">
        <v>25</v>
      </c>
      <c r="G3822" s="3" t="s">
        <v>104</v>
      </c>
      <c r="H3822" s="3" t="s">
        <v>77</v>
      </c>
      <c r="I3822" s="3" t="s">
        <v>85</v>
      </c>
      <c r="J3822" s="3" t="n">
        <v>37</v>
      </c>
      <c r="K3822" s="3" t="n">
        <v>5265.07</v>
      </c>
      <c r="L3822" s="3" t="n">
        <v>194807.59</v>
      </c>
      <c r="M3822" s="3" t="n">
        <v>0.1899</v>
      </c>
      <c r="N3822" s="3" t="n">
        <v>36993.96</v>
      </c>
      <c r="O3822" s="3" t="n">
        <v>157813.63</v>
      </c>
      <c r="P3822" s="3" t="n">
        <v>132469.16</v>
      </c>
      <c r="Q3822" s="3" t="n">
        <v>25344.47</v>
      </c>
      <c r="R3822" s="3" t="n">
        <v>0.1606</v>
      </c>
      <c r="S3822" s="3" t="n">
        <v>0.1742</v>
      </c>
      <c r="T3822" s="3" t="n">
        <v>0.0157</v>
      </c>
    </row>
    <row r="3823" customFormat="false" ht="15" hidden="false" customHeight="true" outlineLevel="0" collapsed="false">
      <c r="A3823" s="3" t="s">
        <v>4975</v>
      </c>
      <c r="B3823" s="3" t="s">
        <v>567</v>
      </c>
      <c r="C3823" s="3" t="s">
        <v>60</v>
      </c>
      <c r="D3823" s="3" t="s">
        <v>23</v>
      </c>
      <c r="E3823" s="3" t="s">
        <v>24</v>
      </c>
      <c r="F3823" s="3" t="s">
        <v>25</v>
      </c>
      <c r="G3823" s="3" t="s">
        <v>116</v>
      </c>
      <c r="H3823" s="3" t="s">
        <v>56</v>
      </c>
      <c r="I3823" s="3" t="s">
        <v>188</v>
      </c>
      <c r="J3823" s="3" t="n">
        <v>35</v>
      </c>
      <c r="K3823" s="3" t="n">
        <v>12580.61</v>
      </c>
      <c r="L3823" s="3" t="n">
        <v>440321.35</v>
      </c>
      <c r="M3823" s="3" t="n">
        <v>0.1415</v>
      </c>
      <c r="N3823" s="3" t="n">
        <v>62305.47</v>
      </c>
      <c r="O3823" s="3" t="n">
        <v>378015.88</v>
      </c>
      <c r="P3823" s="3" t="n">
        <v>264192.81</v>
      </c>
      <c r="Q3823" s="3" t="n">
        <v>113823.07</v>
      </c>
      <c r="R3823" s="3" t="n">
        <v>0.3011</v>
      </c>
      <c r="S3823" s="3" t="n">
        <v>0.1235</v>
      </c>
      <c r="T3823" s="3" t="n">
        <v>0.018</v>
      </c>
    </row>
    <row r="3824" customFormat="false" ht="15" hidden="false" customHeight="true" outlineLevel="0" collapsed="false">
      <c r="A3824" s="3" t="s">
        <v>4976</v>
      </c>
      <c r="B3824" s="3" t="s">
        <v>1398</v>
      </c>
      <c r="C3824" s="3" t="s">
        <v>93</v>
      </c>
      <c r="D3824" s="3" t="s">
        <v>23</v>
      </c>
      <c r="E3824" s="3" t="s">
        <v>24</v>
      </c>
      <c r="F3824" s="3" t="s">
        <v>25</v>
      </c>
      <c r="G3824" s="3" t="s">
        <v>63</v>
      </c>
      <c r="H3824" s="3" t="s">
        <v>64</v>
      </c>
      <c r="I3824" s="3" t="s">
        <v>145</v>
      </c>
      <c r="J3824" s="3" t="n">
        <v>9</v>
      </c>
      <c r="K3824" s="3" t="n">
        <v>8041.66</v>
      </c>
      <c r="L3824" s="3" t="n">
        <v>72374.94</v>
      </c>
      <c r="M3824" s="3" t="n">
        <v>0.0835</v>
      </c>
      <c r="N3824" s="3" t="n">
        <v>6043.31</v>
      </c>
      <c r="O3824" s="3" t="n">
        <v>66331.63</v>
      </c>
      <c r="P3824" s="3" t="n">
        <v>41977.47</v>
      </c>
      <c r="Q3824" s="3" t="n">
        <v>24354.16</v>
      </c>
      <c r="R3824" s="3" t="n">
        <v>0.3672</v>
      </c>
      <c r="S3824" s="3" t="n">
        <v>0.072</v>
      </c>
      <c r="T3824" s="3" t="n">
        <v>0.0115</v>
      </c>
    </row>
    <row r="3825" customFormat="false" ht="15" hidden="false" customHeight="true" outlineLevel="0" collapsed="false">
      <c r="A3825" s="3" t="s">
        <v>4977</v>
      </c>
      <c r="B3825" s="3" t="s">
        <v>1116</v>
      </c>
      <c r="C3825" s="3" t="s">
        <v>31</v>
      </c>
      <c r="D3825" s="3" t="s">
        <v>83</v>
      </c>
      <c r="E3825" s="3" t="s">
        <v>48</v>
      </c>
      <c r="F3825" s="3" t="s">
        <v>62</v>
      </c>
      <c r="G3825" s="3" t="s">
        <v>104</v>
      </c>
      <c r="H3825" s="3" t="s">
        <v>56</v>
      </c>
      <c r="I3825" s="3" t="s">
        <v>57</v>
      </c>
      <c r="J3825" s="3" t="n">
        <v>44</v>
      </c>
      <c r="K3825" s="3" t="n">
        <v>17699.98</v>
      </c>
      <c r="L3825" s="3" t="n">
        <v>778799.12</v>
      </c>
      <c r="M3825" s="3" t="n">
        <v>0.0938</v>
      </c>
      <c r="N3825" s="3" t="n">
        <v>73051.36</v>
      </c>
      <c r="O3825" s="3" t="n">
        <v>705747.76</v>
      </c>
      <c r="P3825" s="3" t="n">
        <v>467279.47</v>
      </c>
      <c r="Q3825" s="3" t="n">
        <v>238468.29</v>
      </c>
      <c r="R3825" s="3" t="n">
        <v>0.3379</v>
      </c>
      <c r="S3825" s="3" t="n">
        <v>0.0889</v>
      </c>
      <c r="T3825" s="3" t="n">
        <v>0.0049</v>
      </c>
    </row>
    <row r="3826" customFormat="false" ht="15" hidden="false" customHeight="true" outlineLevel="0" collapsed="false">
      <c r="A3826" s="3" t="s">
        <v>4978</v>
      </c>
      <c r="B3826" s="3" t="s">
        <v>523</v>
      </c>
      <c r="C3826" s="3" t="s">
        <v>37</v>
      </c>
      <c r="D3826" s="3" t="s">
        <v>54</v>
      </c>
      <c r="E3826" s="3" t="s">
        <v>24</v>
      </c>
      <c r="F3826" s="3" t="s">
        <v>40</v>
      </c>
      <c r="G3826" s="3" t="s">
        <v>84</v>
      </c>
      <c r="H3826" s="3" t="s">
        <v>56</v>
      </c>
      <c r="I3826" s="3" t="s">
        <v>57</v>
      </c>
      <c r="J3826" s="3" t="n">
        <v>4</v>
      </c>
      <c r="K3826" s="3" t="n">
        <v>10023.09</v>
      </c>
      <c r="L3826" s="3" t="n">
        <v>40092.36</v>
      </c>
      <c r="M3826" s="3" t="n">
        <v>0.0764</v>
      </c>
      <c r="N3826" s="3" t="n">
        <v>3063.06</v>
      </c>
      <c r="O3826" s="3" t="n">
        <v>37029.3</v>
      </c>
      <c r="P3826" s="3" t="n">
        <v>24055.42</v>
      </c>
      <c r="Q3826" s="3" t="n">
        <v>12973.88</v>
      </c>
      <c r="R3826" s="3" t="n">
        <v>0.3504</v>
      </c>
      <c r="S3826" s="3" t="n">
        <v>0.0686</v>
      </c>
      <c r="T3826" s="3" t="n">
        <v>0.0078</v>
      </c>
    </row>
    <row r="3827" customFormat="false" ht="15" hidden="false" customHeight="true" outlineLevel="0" collapsed="false">
      <c r="A3827" s="3" t="s">
        <v>4979</v>
      </c>
      <c r="B3827" s="3" t="s">
        <v>1941</v>
      </c>
      <c r="C3827" s="3" t="s">
        <v>46</v>
      </c>
      <c r="D3827" s="3" t="s">
        <v>47</v>
      </c>
      <c r="E3827" s="3" t="s">
        <v>48</v>
      </c>
      <c r="F3827" s="3" t="s">
        <v>25</v>
      </c>
      <c r="G3827" s="3" t="s">
        <v>84</v>
      </c>
      <c r="H3827" s="3" t="s">
        <v>42</v>
      </c>
      <c r="I3827" s="3" t="s">
        <v>72</v>
      </c>
      <c r="J3827" s="3" t="n">
        <v>42</v>
      </c>
      <c r="K3827" s="3" t="n">
        <v>2819.07</v>
      </c>
      <c r="L3827" s="3" t="n">
        <v>118400.94</v>
      </c>
      <c r="M3827" s="3" t="n">
        <v>0.1843</v>
      </c>
      <c r="N3827" s="3" t="n">
        <v>21821.29</v>
      </c>
      <c r="O3827" s="3" t="n">
        <v>96579.65</v>
      </c>
      <c r="P3827" s="3" t="n">
        <v>65120.52</v>
      </c>
      <c r="Q3827" s="3" t="n">
        <v>31459.13</v>
      </c>
      <c r="R3827" s="3" t="n">
        <v>0.3257</v>
      </c>
      <c r="S3827" s="3" t="n">
        <v>0.193</v>
      </c>
      <c r="T3827" s="3" t="n">
        <v>-0.0087</v>
      </c>
    </row>
    <row r="3828" customFormat="false" ht="15" hidden="false" customHeight="true" outlineLevel="0" collapsed="false">
      <c r="A3828" s="3" t="s">
        <v>4980</v>
      </c>
      <c r="B3828" s="3" t="s">
        <v>1012</v>
      </c>
      <c r="C3828" s="3" t="s">
        <v>37</v>
      </c>
      <c r="D3828" s="3" t="s">
        <v>83</v>
      </c>
      <c r="E3828" s="3" t="s">
        <v>48</v>
      </c>
      <c r="F3828" s="3" t="s">
        <v>62</v>
      </c>
      <c r="G3828" s="3" t="s">
        <v>100</v>
      </c>
      <c r="H3828" s="3" t="s">
        <v>56</v>
      </c>
      <c r="I3828" s="3" t="s">
        <v>57</v>
      </c>
      <c r="J3828" s="3" t="n">
        <v>4</v>
      </c>
      <c r="K3828" s="3" t="n">
        <v>12832.02</v>
      </c>
      <c r="L3828" s="3" t="n">
        <v>51328.08</v>
      </c>
      <c r="M3828" s="3" t="n">
        <v>0.0743</v>
      </c>
      <c r="N3828" s="3" t="n">
        <v>3813.68</v>
      </c>
      <c r="O3828" s="3" t="n">
        <v>47514.4</v>
      </c>
      <c r="P3828" s="3" t="n">
        <v>30796.85</v>
      </c>
      <c r="Q3828" s="3" t="n">
        <v>16717.55</v>
      </c>
      <c r="R3828" s="3" t="n">
        <v>0.3518</v>
      </c>
      <c r="S3828" s="3" t="n">
        <v>0.061</v>
      </c>
      <c r="T3828" s="3" t="n">
        <v>0.0133</v>
      </c>
    </row>
    <row r="3829" customFormat="false" ht="15" hidden="false" customHeight="true" outlineLevel="0" collapsed="false">
      <c r="A3829" s="3" t="s">
        <v>4981</v>
      </c>
      <c r="B3829" s="3" t="s">
        <v>829</v>
      </c>
      <c r="C3829" s="3" t="s">
        <v>53</v>
      </c>
      <c r="D3829" s="3" t="s">
        <v>97</v>
      </c>
      <c r="E3829" s="3" t="s">
        <v>48</v>
      </c>
      <c r="F3829" s="3" t="s">
        <v>40</v>
      </c>
      <c r="G3829" s="3" t="s">
        <v>71</v>
      </c>
      <c r="H3829" s="3" t="s">
        <v>64</v>
      </c>
      <c r="I3829" s="3" t="s">
        <v>90</v>
      </c>
      <c r="J3829" s="3" t="n">
        <v>42</v>
      </c>
      <c r="K3829" s="3" t="n">
        <v>9737.5</v>
      </c>
      <c r="L3829" s="3" t="n">
        <v>408975</v>
      </c>
      <c r="M3829" s="3" t="n">
        <v>0.0512</v>
      </c>
      <c r="N3829" s="3" t="n">
        <v>20939.52</v>
      </c>
      <c r="O3829" s="3" t="n">
        <v>388035.48</v>
      </c>
      <c r="P3829" s="3" t="n">
        <v>237205.5</v>
      </c>
      <c r="Q3829" s="3" t="n">
        <v>150829.98</v>
      </c>
      <c r="R3829" s="3" t="n">
        <v>0.3887</v>
      </c>
      <c r="S3829" s="3" t="n">
        <v>0.0554</v>
      </c>
      <c r="T3829" s="3" t="n">
        <v>-0.0042</v>
      </c>
    </row>
    <row r="3830" customFormat="false" ht="15" hidden="false" customHeight="true" outlineLevel="0" collapsed="false">
      <c r="A3830" s="3" t="s">
        <v>4982</v>
      </c>
      <c r="B3830" s="3" t="s">
        <v>2484</v>
      </c>
      <c r="C3830" s="3" t="s">
        <v>31</v>
      </c>
      <c r="D3830" s="3" t="s">
        <v>54</v>
      </c>
      <c r="E3830" s="3" t="s">
        <v>24</v>
      </c>
      <c r="F3830" s="3" t="s">
        <v>40</v>
      </c>
      <c r="G3830" s="3" t="s">
        <v>34</v>
      </c>
      <c r="H3830" s="3" t="s">
        <v>64</v>
      </c>
      <c r="I3830" s="3" t="s">
        <v>90</v>
      </c>
      <c r="J3830" s="3" t="n">
        <v>3</v>
      </c>
      <c r="K3830" s="3" t="n">
        <v>4490.48</v>
      </c>
      <c r="L3830" s="3" t="n">
        <v>13471.44</v>
      </c>
      <c r="M3830" s="3" t="n">
        <v>0.0727</v>
      </c>
      <c r="N3830" s="3" t="n">
        <v>979.37</v>
      </c>
      <c r="O3830" s="3" t="n">
        <v>12492.07</v>
      </c>
      <c r="P3830" s="3" t="n">
        <v>7813.44</v>
      </c>
      <c r="Q3830" s="3" t="n">
        <v>4678.63</v>
      </c>
      <c r="R3830" s="3" t="n">
        <v>0.3745</v>
      </c>
      <c r="S3830" s="3" t="n">
        <v>0.0659</v>
      </c>
      <c r="T3830" s="3" t="n">
        <v>0.0068</v>
      </c>
    </row>
    <row r="3831" customFormat="false" ht="15" hidden="false" customHeight="true" outlineLevel="0" collapsed="false">
      <c r="A3831" s="3" t="s">
        <v>4983</v>
      </c>
      <c r="B3831" s="3" t="s">
        <v>3503</v>
      </c>
      <c r="C3831" s="3" t="s">
        <v>31</v>
      </c>
      <c r="D3831" s="3" t="s">
        <v>54</v>
      </c>
      <c r="E3831" s="3" t="s">
        <v>24</v>
      </c>
      <c r="F3831" s="3" t="s">
        <v>40</v>
      </c>
      <c r="G3831" s="3" t="s">
        <v>104</v>
      </c>
      <c r="H3831" s="3" t="s">
        <v>42</v>
      </c>
      <c r="I3831" s="3" t="s">
        <v>43</v>
      </c>
      <c r="J3831" s="3" t="n">
        <v>10</v>
      </c>
      <c r="K3831" s="3" t="n">
        <v>715.08</v>
      </c>
      <c r="L3831" s="3" t="n">
        <v>7150.8</v>
      </c>
      <c r="M3831" s="3" t="n">
        <v>0.0818</v>
      </c>
      <c r="N3831" s="3" t="n">
        <v>584.94</v>
      </c>
      <c r="O3831" s="3" t="n">
        <v>6565.86</v>
      </c>
      <c r="P3831" s="3" t="n">
        <v>3932.94</v>
      </c>
      <c r="Q3831" s="3" t="n">
        <v>2632.92</v>
      </c>
      <c r="R3831" s="3" t="n">
        <v>0.401</v>
      </c>
      <c r="S3831" s="3" t="n">
        <v>0.0763</v>
      </c>
      <c r="T3831" s="3" t="n">
        <v>0.0055</v>
      </c>
    </row>
    <row r="3832" customFormat="false" ht="15" hidden="false" customHeight="true" outlineLevel="0" collapsed="false">
      <c r="A3832" s="3" t="s">
        <v>4984</v>
      </c>
      <c r="B3832" s="3" t="s">
        <v>106</v>
      </c>
      <c r="C3832" s="3" t="s">
        <v>68</v>
      </c>
      <c r="D3832" s="3" t="s">
        <v>83</v>
      </c>
      <c r="E3832" s="3" t="s">
        <v>48</v>
      </c>
      <c r="F3832" s="3" t="s">
        <v>62</v>
      </c>
      <c r="G3832" s="3" t="s">
        <v>41</v>
      </c>
      <c r="H3832" s="3" t="s">
        <v>27</v>
      </c>
      <c r="I3832" s="3" t="s">
        <v>50</v>
      </c>
      <c r="J3832" s="3" t="n">
        <v>21</v>
      </c>
      <c r="K3832" s="3" t="n">
        <v>9622.69</v>
      </c>
      <c r="L3832" s="3" t="n">
        <v>202076.49</v>
      </c>
      <c r="M3832" s="3" t="n">
        <v>0.0771</v>
      </c>
      <c r="N3832" s="3" t="n">
        <v>15580.1</v>
      </c>
      <c r="O3832" s="3" t="n">
        <v>186496.39</v>
      </c>
      <c r="P3832" s="3" t="n">
        <v>125287.42</v>
      </c>
      <c r="Q3832" s="3" t="n">
        <v>61208.97</v>
      </c>
      <c r="R3832" s="3" t="n">
        <v>0.3282</v>
      </c>
      <c r="S3832" s="3" t="n">
        <v>0.0697</v>
      </c>
      <c r="T3832" s="3" t="n">
        <v>0.0074</v>
      </c>
    </row>
    <row r="3833" customFormat="false" ht="15" hidden="false" customHeight="true" outlineLevel="0" collapsed="false">
      <c r="A3833" s="3" t="s">
        <v>4985</v>
      </c>
      <c r="B3833" s="3" t="s">
        <v>751</v>
      </c>
      <c r="C3833" s="3" t="s">
        <v>37</v>
      </c>
      <c r="D3833" s="3" t="s">
        <v>23</v>
      </c>
      <c r="E3833" s="3" t="s">
        <v>24</v>
      </c>
      <c r="F3833" s="3" t="s">
        <v>25</v>
      </c>
      <c r="G3833" s="3" t="s">
        <v>63</v>
      </c>
      <c r="H3833" s="3" t="s">
        <v>27</v>
      </c>
      <c r="I3833" s="3" t="s">
        <v>50</v>
      </c>
      <c r="J3833" s="3" t="n">
        <v>7</v>
      </c>
      <c r="K3833" s="3" t="n">
        <v>19970.12</v>
      </c>
      <c r="L3833" s="3" t="n">
        <v>139790.84</v>
      </c>
      <c r="M3833" s="3" t="n">
        <v>0.1071</v>
      </c>
      <c r="N3833" s="3" t="n">
        <v>14971.6</v>
      </c>
      <c r="O3833" s="3" t="n">
        <v>124819.24</v>
      </c>
      <c r="P3833" s="3" t="n">
        <v>86670.32</v>
      </c>
      <c r="Q3833" s="3" t="n">
        <v>38148.92</v>
      </c>
      <c r="R3833" s="3" t="n">
        <v>0.3056</v>
      </c>
      <c r="S3833" s="3" t="n">
        <v>0.0873</v>
      </c>
      <c r="T3833" s="3" t="n">
        <v>0.0198</v>
      </c>
    </row>
    <row r="3834" customFormat="false" ht="15" hidden="false" customHeight="true" outlineLevel="0" collapsed="false">
      <c r="A3834" s="3" t="s">
        <v>4986</v>
      </c>
      <c r="B3834" s="3" t="s">
        <v>4987</v>
      </c>
      <c r="C3834" s="3" t="s">
        <v>93</v>
      </c>
      <c r="D3834" s="3" t="s">
        <v>61</v>
      </c>
      <c r="E3834" s="3" t="s">
        <v>33</v>
      </c>
      <c r="F3834" s="3" t="s">
        <v>62</v>
      </c>
      <c r="G3834" s="3" t="s">
        <v>41</v>
      </c>
      <c r="H3834" s="3" t="s">
        <v>42</v>
      </c>
      <c r="I3834" s="3" t="s">
        <v>43</v>
      </c>
      <c r="J3834" s="3" t="n">
        <v>46</v>
      </c>
      <c r="K3834" s="3" t="n">
        <v>3415.34</v>
      </c>
      <c r="L3834" s="3" t="n">
        <v>157105.64</v>
      </c>
      <c r="M3834" s="3" t="n">
        <v>0.1129</v>
      </c>
      <c r="N3834" s="3" t="n">
        <v>17737.23</v>
      </c>
      <c r="O3834" s="3" t="n">
        <v>139368.41</v>
      </c>
      <c r="P3834" s="3" t="n">
        <v>86408.1</v>
      </c>
      <c r="Q3834" s="3" t="n">
        <v>52960.31</v>
      </c>
      <c r="R3834" s="3" t="n">
        <v>0.38</v>
      </c>
      <c r="S3834" s="3" t="n">
        <v>0.1207</v>
      </c>
      <c r="T3834" s="3" t="n">
        <v>-0.0078</v>
      </c>
    </row>
    <row r="3835" customFormat="false" ht="15" hidden="false" customHeight="true" outlineLevel="0" collapsed="false">
      <c r="A3835" s="3" t="s">
        <v>4988</v>
      </c>
      <c r="B3835" s="3" t="s">
        <v>2265</v>
      </c>
      <c r="C3835" s="3" t="s">
        <v>120</v>
      </c>
      <c r="D3835" s="3" t="s">
        <v>47</v>
      </c>
      <c r="E3835" s="3" t="s">
        <v>48</v>
      </c>
      <c r="F3835" s="3" t="s">
        <v>25</v>
      </c>
      <c r="G3835" s="3" t="s">
        <v>84</v>
      </c>
      <c r="H3835" s="3" t="s">
        <v>64</v>
      </c>
      <c r="I3835" s="3" t="s">
        <v>108</v>
      </c>
      <c r="J3835" s="3" t="n">
        <v>45</v>
      </c>
      <c r="K3835" s="3" t="n">
        <v>9044.56</v>
      </c>
      <c r="L3835" s="3" t="n">
        <v>407005.2</v>
      </c>
      <c r="M3835" s="3" t="n">
        <v>0.1682</v>
      </c>
      <c r="N3835" s="3" t="n">
        <v>68458.27</v>
      </c>
      <c r="O3835" s="3" t="n">
        <v>338546.93</v>
      </c>
      <c r="P3835" s="3" t="n">
        <v>236063.02</v>
      </c>
      <c r="Q3835" s="3" t="n">
        <v>102483.91</v>
      </c>
      <c r="R3835" s="3" t="n">
        <v>0.3027</v>
      </c>
      <c r="S3835" s="3" t="n">
        <v>0.145</v>
      </c>
      <c r="T3835" s="3" t="n">
        <v>0.0232</v>
      </c>
    </row>
    <row r="3836" customFormat="false" ht="15" hidden="false" customHeight="true" outlineLevel="0" collapsed="false">
      <c r="A3836" s="3" t="s">
        <v>4989</v>
      </c>
      <c r="B3836" s="3" t="s">
        <v>1872</v>
      </c>
      <c r="C3836" s="3" t="s">
        <v>22</v>
      </c>
      <c r="D3836" s="3" t="s">
        <v>107</v>
      </c>
      <c r="E3836" s="3" t="s">
        <v>33</v>
      </c>
      <c r="F3836" s="3" t="s">
        <v>70</v>
      </c>
      <c r="G3836" s="3" t="s">
        <v>63</v>
      </c>
      <c r="H3836" s="3" t="s">
        <v>27</v>
      </c>
      <c r="I3836" s="3" t="s">
        <v>28</v>
      </c>
      <c r="J3836" s="3" t="n">
        <v>48</v>
      </c>
      <c r="K3836" s="3" t="n">
        <v>9297.83</v>
      </c>
      <c r="L3836" s="3" t="n">
        <v>446295.84</v>
      </c>
      <c r="M3836" s="3" t="n">
        <v>0.07</v>
      </c>
      <c r="N3836" s="3" t="n">
        <v>31240.71</v>
      </c>
      <c r="O3836" s="3" t="n">
        <v>415055.13</v>
      </c>
      <c r="P3836" s="3" t="n">
        <v>276703.42</v>
      </c>
      <c r="Q3836" s="3" t="n">
        <v>138351.71</v>
      </c>
      <c r="R3836" s="3" t="n">
        <v>0.3333</v>
      </c>
      <c r="S3836" s="3" t="n">
        <v>0.0715</v>
      </c>
      <c r="T3836" s="3" t="n">
        <v>-0.0015</v>
      </c>
    </row>
    <row r="3837" customFormat="false" ht="15" hidden="false" customHeight="true" outlineLevel="0" collapsed="false">
      <c r="A3837" s="3" t="s">
        <v>4990</v>
      </c>
      <c r="B3837" s="3" t="s">
        <v>349</v>
      </c>
      <c r="C3837" s="3" t="s">
        <v>126</v>
      </c>
      <c r="D3837" s="3" t="s">
        <v>83</v>
      </c>
      <c r="E3837" s="3" t="s">
        <v>48</v>
      </c>
      <c r="F3837" s="3" t="s">
        <v>62</v>
      </c>
      <c r="G3837" s="3" t="s">
        <v>49</v>
      </c>
      <c r="H3837" s="3" t="s">
        <v>27</v>
      </c>
      <c r="I3837" s="3" t="s">
        <v>28</v>
      </c>
      <c r="J3837" s="3" t="n">
        <v>39</v>
      </c>
      <c r="K3837" s="3" t="n">
        <v>12835.24</v>
      </c>
      <c r="L3837" s="3" t="n">
        <v>500574.36</v>
      </c>
      <c r="M3837" s="3" t="n">
        <v>0.0341</v>
      </c>
      <c r="N3837" s="3" t="n">
        <v>17069.59</v>
      </c>
      <c r="O3837" s="3" t="n">
        <v>483504.77</v>
      </c>
      <c r="P3837" s="3" t="n">
        <v>310356.1</v>
      </c>
      <c r="Q3837" s="3" t="n">
        <v>173148.67</v>
      </c>
      <c r="R3837" s="3" t="n">
        <v>0.3581</v>
      </c>
      <c r="S3837" s="3" t="n">
        <v>0.0308</v>
      </c>
      <c r="T3837" s="3" t="n">
        <v>0.0033</v>
      </c>
    </row>
    <row r="3838" customFormat="false" ht="15" hidden="false" customHeight="true" outlineLevel="0" collapsed="false">
      <c r="A3838" s="3" t="s">
        <v>4991</v>
      </c>
      <c r="B3838" s="3" t="s">
        <v>4992</v>
      </c>
      <c r="C3838" s="3" t="s">
        <v>93</v>
      </c>
      <c r="D3838" s="3" t="s">
        <v>23</v>
      </c>
      <c r="E3838" s="3" t="s">
        <v>24</v>
      </c>
      <c r="F3838" s="3" t="s">
        <v>25</v>
      </c>
      <c r="G3838" s="3" t="s">
        <v>63</v>
      </c>
      <c r="H3838" s="3" t="s">
        <v>42</v>
      </c>
      <c r="I3838" s="3" t="s">
        <v>72</v>
      </c>
      <c r="J3838" s="3" t="n">
        <v>39</v>
      </c>
      <c r="K3838" s="3" t="n">
        <v>1766.47</v>
      </c>
      <c r="L3838" s="3" t="n">
        <v>68892.33</v>
      </c>
      <c r="M3838" s="3" t="n">
        <v>0.1388</v>
      </c>
      <c r="N3838" s="3" t="n">
        <v>9562.26</v>
      </c>
      <c r="O3838" s="3" t="n">
        <v>59330.07</v>
      </c>
      <c r="P3838" s="3" t="n">
        <v>37890.78</v>
      </c>
      <c r="Q3838" s="3" t="n">
        <v>21439.29</v>
      </c>
      <c r="R3838" s="3" t="n">
        <v>0.3614</v>
      </c>
      <c r="S3838" s="3" t="n">
        <v>0.1118</v>
      </c>
      <c r="T3838" s="3" t="n">
        <v>0.027</v>
      </c>
    </row>
    <row r="3839" customFormat="false" ht="15" hidden="false" customHeight="true" outlineLevel="0" collapsed="false">
      <c r="A3839" s="3" t="s">
        <v>4993</v>
      </c>
      <c r="B3839" s="3" t="s">
        <v>3592</v>
      </c>
      <c r="C3839" s="3" t="s">
        <v>68</v>
      </c>
      <c r="D3839" s="3" t="s">
        <v>75</v>
      </c>
      <c r="E3839" s="3" t="s">
        <v>39</v>
      </c>
      <c r="F3839" s="3" t="s">
        <v>25</v>
      </c>
      <c r="G3839" s="3" t="s">
        <v>55</v>
      </c>
      <c r="H3839" s="3" t="s">
        <v>42</v>
      </c>
      <c r="I3839" s="3" t="s">
        <v>72</v>
      </c>
      <c r="J3839" s="3" t="n">
        <v>8</v>
      </c>
      <c r="K3839" s="3" t="n">
        <v>2002.25</v>
      </c>
      <c r="L3839" s="3" t="n">
        <v>16018</v>
      </c>
      <c r="M3839" s="3" t="n">
        <v>0.1273</v>
      </c>
      <c r="N3839" s="3" t="n">
        <v>2039.09</v>
      </c>
      <c r="O3839" s="3" t="n">
        <v>13978.91</v>
      </c>
      <c r="P3839" s="3" t="n">
        <v>8809.9</v>
      </c>
      <c r="Q3839" s="3" t="n">
        <v>5169.01</v>
      </c>
      <c r="R3839" s="3" t="n">
        <v>0.3698</v>
      </c>
      <c r="S3839" s="3" t="n">
        <v>0.1333</v>
      </c>
      <c r="T3839" s="3" t="n">
        <v>-0.006</v>
      </c>
    </row>
    <row r="3840" customFormat="false" ht="15" hidden="false" customHeight="true" outlineLevel="0" collapsed="false">
      <c r="A3840" s="3" t="s">
        <v>4994</v>
      </c>
      <c r="B3840" s="3" t="s">
        <v>672</v>
      </c>
      <c r="C3840" s="3" t="s">
        <v>120</v>
      </c>
      <c r="D3840" s="3" t="s">
        <v>32</v>
      </c>
      <c r="E3840" s="3" t="s">
        <v>33</v>
      </c>
      <c r="F3840" s="3" t="s">
        <v>25</v>
      </c>
      <c r="G3840" s="3" t="s">
        <v>71</v>
      </c>
      <c r="H3840" s="3" t="s">
        <v>42</v>
      </c>
      <c r="I3840" s="3" t="s">
        <v>43</v>
      </c>
      <c r="J3840" s="3" t="n">
        <v>47</v>
      </c>
      <c r="K3840" s="3" t="n">
        <v>2193.93</v>
      </c>
      <c r="L3840" s="3" t="n">
        <v>103114.71</v>
      </c>
      <c r="M3840" s="3" t="n">
        <v>0.1724</v>
      </c>
      <c r="N3840" s="3" t="n">
        <v>17776.98</v>
      </c>
      <c r="O3840" s="3" t="n">
        <v>85337.73</v>
      </c>
      <c r="P3840" s="3" t="n">
        <v>56713.09</v>
      </c>
      <c r="Q3840" s="3" t="n">
        <v>28624.64</v>
      </c>
      <c r="R3840" s="3" t="n">
        <v>0.3354</v>
      </c>
      <c r="S3840" s="3" t="n">
        <v>0.1493</v>
      </c>
      <c r="T3840" s="3" t="n">
        <v>0.0231</v>
      </c>
    </row>
    <row r="3841" customFormat="false" ht="15" hidden="false" customHeight="true" outlineLevel="0" collapsed="false">
      <c r="A3841" s="3" t="s">
        <v>4995</v>
      </c>
      <c r="B3841" s="3" t="s">
        <v>1908</v>
      </c>
      <c r="C3841" s="3" t="s">
        <v>93</v>
      </c>
      <c r="D3841" s="3" t="s">
        <v>47</v>
      </c>
      <c r="E3841" s="3" t="s">
        <v>48</v>
      </c>
      <c r="F3841" s="3" t="s">
        <v>25</v>
      </c>
      <c r="G3841" s="3" t="s">
        <v>55</v>
      </c>
      <c r="H3841" s="3" t="s">
        <v>27</v>
      </c>
      <c r="I3841" s="3" t="s">
        <v>28</v>
      </c>
      <c r="J3841" s="3" t="n">
        <v>9</v>
      </c>
      <c r="K3841" s="3" t="n">
        <v>32037.46</v>
      </c>
      <c r="L3841" s="3" t="n">
        <v>288337.14</v>
      </c>
      <c r="M3841" s="3" t="n">
        <v>0.1194</v>
      </c>
      <c r="N3841" s="3" t="n">
        <v>34427.45</v>
      </c>
      <c r="O3841" s="3" t="n">
        <v>253909.69</v>
      </c>
      <c r="P3841" s="3" t="n">
        <v>178769.03</v>
      </c>
      <c r="Q3841" s="3" t="n">
        <v>75140.66</v>
      </c>
      <c r="R3841" s="3" t="n">
        <v>0.2959</v>
      </c>
      <c r="S3841" s="3" t="n">
        <v>0.1058</v>
      </c>
      <c r="T3841" s="3" t="n">
        <v>0.0136</v>
      </c>
    </row>
    <row r="3842" customFormat="false" ht="15" hidden="false" customHeight="true" outlineLevel="0" collapsed="false">
      <c r="A3842" s="3" t="s">
        <v>4996</v>
      </c>
      <c r="B3842" s="3" t="s">
        <v>2655</v>
      </c>
      <c r="C3842" s="3" t="s">
        <v>60</v>
      </c>
      <c r="D3842" s="3" t="s">
        <v>69</v>
      </c>
      <c r="E3842" s="3" t="s">
        <v>39</v>
      </c>
      <c r="F3842" s="3" t="s">
        <v>70</v>
      </c>
      <c r="G3842" s="3" t="s">
        <v>76</v>
      </c>
      <c r="H3842" s="3" t="s">
        <v>77</v>
      </c>
      <c r="I3842" s="3" t="s">
        <v>131</v>
      </c>
      <c r="J3842" s="3" t="n">
        <v>16</v>
      </c>
      <c r="K3842" s="3" t="n">
        <v>5992.04</v>
      </c>
      <c r="L3842" s="3" t="n">
        <v>95872.64</v>
      </c>
      <c r="M3842" s="3" t="n">
        <v>0.0783</v>
      </c>
      <c r="N3842" s="3" t="n">
        <v>7506.83</v>
      </c>
      <c r="O3842" s="3" t="n">
        <v>88365.81</v>
      </c>
      <c r="P3842" s="3" t="n">
        <v>65193.4</v>
      </c>
      <c r="Q3842" s="3" t="n">
        <v>23172.41</v>
      </c>
      <c r="R3842" s="3" t="n">
        <v>0.2622</v>
      </c>
      <c r="S3842" s="3" t="n">
        <v>0.0637</v>
      </c>
      <c r="T3842" s="3" t="n">
        <v>0.0146</v>
      </c>
    </row>
    <row r="3843" customFormat="false" ht="15" hidden="false" customHeight="true" outlineLevel="0" collapsed="false">
      <c r="A3843" s="3" t="s">
        <v>4997</v>
      </c>
      <c r="B3843" s="3" t="s">
        <v>1852</v>
      </c>
      <c r="C3843" s="3" t="s">
        <v>31</v>
      </c>
      <c r="D3843" s="3" t="s">
        <v>69</v>
      </c>
      <c r="E3843" s="3" t="s">
        <v>39</v>
      </c>
      <c r="F3843" s="3" t="s">
        <v>70</v>
      </c>
      <c r="G3843" s="3" t="s">
        <v>41</v>
      </c>
      <c r="H3843" s="3" t="s">
        <v>27</v>
      </c>
      <c r="I3843" s="3" t="s">
        <v>94</v>
      </c>
      <c r="J3843" s="3" t="n">
        <v>16</v>
      </c>
      <c r="K3843" s="3" t="n">
        <v>22191.03</v>
      </c>
      <c r="L3843" s="3" t="n">
        <v>355056.48</v>
      </c>
      <c r="M3843" s="3" t="n">
        <v>0.0972</v>
      </c>
      <c r="N3843" s="3" t="n">
        <v>34511.49</v>
      </c>
      <c r="O3843" s="3" t="n">
        <v>320544.99</v>
      </c>
      <c r="P3843" s="3" t="n">
        <v>220135.02</v>
      </c>
      <c r="Q3843" s="3" t="n">
        <v>100409.97</v>
      </c>
      <c r="R3843" s="3" t="n">
        <v>0.3132</v>
      </c>
      <c r="S3843" s="3" t="n">
        <v>0.0897</v>
      </c>
      <c r="T3843" s="3" t="n">
        <v>0.0075</v>
      </c>
    </row>
    <row r="3844" customFormat="false" ht="15" hidden="false" customHeight="true" outlineLevel="0" collapsed="false">
      <c r="A3844" s="3" t="s">
        <v>4998</v>
      </c>
      <c r="B3844" s="3" t="s">
        <v>1389</v>
      </c>
      <c r="C3844" s="3" t="s">
        <v>156</v>
      </c>
      <c r="D3844" s="3" t="s">
        <v>47</v>
      </c>
      <c r="E3844" s="3" t="s">
        <v>48</v>
      </c>
      <c r="F3844" s="3" t="s">
        <v>25</v>
      </c>
      <c r="G3844" s="3" t="s">
        <v>34</v>
      </c>
      <c r="H3844" s="3" t="s">
        <v>27</v>
      </c>
      <c r="I3844" s="3" t="s">
        <v>117</v>
      </c>
      <c r="J3844" s="3" t="n">
        <v>6</v>
      </c>
      <c r="K3844" s="3" t="n">
        <v>14439.88</v>
      </c>
      <c r="L3844" s="3" t="n">
        <v>86639.28</v>
      </c>
      <c r="M3844" s="3" t="n">
        <v>0.2262</v>
      </c>
      <c r="N3844" s="3" t="n">
        <v>19597.81</v>
      </c>
      <c r="O3844" s="3" t="n">
        <v>67041.47</v>
      </c>
      <c r="P3844" s="3" t="n">
        <v>53716.35</v>
      </c>
      <c r="Q3844" s="3" t="n">
        <v>13325.12</v>
      </c>
      <c r="R3844" s="3" t="n">
        <v>0.1988</v>
      </c>
      <c r="S3844" s="3" t="n">
        <v>0.2094</v>
      </c>
      <c r="T3844" s="3" t="n">
        <v>0.0168</v>
      </c>
    </row>
    <row r="3845" customFormat="false" ht="15" hidden="false" customHeight="true" outlineLevel="0" collapsed="false">
      <c r="A3845" s="3" t="s">
        <v>4999</v>
      </c>
      <c r="B3845" s="3" t="s">
        <v>1751</v>
      </c>
      <c r="C3845" s="3" t="s">
        <v>22</v>
      </c>
      <c r="D3845" s="3" t="s">
        <v>75</v>
      </c>
      <c r="E3845" s="3" t="s">
        <v>39</v>
      </c>
      <c r="F3845" s="3" t="s">
        <v>25</v>
      </c>
      <c r="G3845" s="3" t="s">
        <v>49</v>
      </c>
      <c r="H3845" s="3" t="s">
        <v>42</v>
      </c>
      <c r="I3845" s="3" t="s">
        <v>134</v>
      </c>
      <c r="J3845" s="3" t="n">
        <v>10</v>
      </c>
      <c r="K3845" s="3" t="n">
        <v>1661.15</v>
      </c>
      <c r="L3845" s="3" t="n">
        <v>16611.5</v>
      </c>
      <c r="M3845" s="3" t="n">
        <v>0.1663</v>
      </c>
      <c r="N3845" s="3" t="n">
        <v>2762.49</v>
      </c>
      <c r="O3845" s="3" t="n">
        <v>13849.01</v>
      </c>
      <c r="P3845" s="3" t="n">
        <v>9136.33</v>
      </c>
      <c r="Q3845" s="3" t="n">
        <v>4712.68</v>
      </c>
      <c r="R3845" s="3" t="n">
        <v>0.3403</v>
      </c>
      <c r="S3845" s="3" t="n">
        <v>0.1667</v>
      </c>
      <c r="T3845" s="3" t="n">
        <v>-0.0004</v>
      </c>
    </row>
    <row r="3846" customFormat="false" ht="15" hidden="false" customHeight="true" outlineLevel="0" collapsed="false">
      <c r="A3846" s="3" t="s">
        <v>5000</v>
      </c>
      <c r="B3846" s="3" t="s">
        <v>1371</v>
      </c>
      <c r="C3846" s="3" t="s">
        <v>37</v>
      </c>
      <c r="D3846" s="3" t="s">
        <v>47</v>
      </c>
      <c r="E3846" s="3" t="s">
        <v>48</v>
      </c>
      <c r="F3846" s="3" t="s">
        <v>25</v>
      </c>
      <c r="G3846" s="3" t="s">
        <v>104</v>
      </c>
      <c r="H3846" s="3" t="s">
        <v>77</v>
      </c>
      <c r="I3846" s="3" t="s">
        <v>85</v>
      </c>
      <c r="J3846" s="3" t="n">
        <v>47</v>
      </c>
      <c r="K3846" s="3" t="n">
        <v>1891.07</v>
      </c>
      <c r="L3846" s="3" t="n">
        <v>88880.29</v>
      </c>
      <c r="M3846" s="3" t="n">
        <v>0.1419</v>
      </c>
      <c r="N3846" s="3" t="n">
        <v>12612.11</v>
      </c>
      <c r="O3846" s="3" t="n">
        <v>76268.18</v>
      </c>
      <c r="P3846" s="3" t="n">
        <v>60438.6</v>
      </c>
      <c r="Q3846" s="3" t="n">
        <v>15829.58</v>
      </c>
      <c r="R3846" s="3" t="n">
        <v>0.2076</v>
      </c>
      <c r="S3846" s="3" t="n">
        <v>0.152</v>
      </c>
      <c r="T3846" s="3" t="n">
        <v>-0.0101</v>
      </c>
    </row>
    <row r="3847" customFormat="false" ht="15" hidden="false" customHeight="true" outlineLevel="0" collapsed="false">
      <c r="A3847" s="3" t="s">
        <v>5001</v>
      </c>
      <c r="B3847" s="3" t="s">
        <v>4198</v>
      </c>
      <c r="C3847" s="3" t="s">
        <v>22</v>
      </c>
      <c r="D3847" s="3" t="s">
        <v>23</v>
      </c>
      <c r="E3847" s="3" t="s">
        <v>24</v>
      </c>
      <c r="F3847" s="3" t="s">
        <v>25</v>
      </c>
      <c r="G3847" s="3" t="s">
        <v>84</v>
      </c>
      <c r="H3847" s="3" t="s">
        <v>77</v>
      </c>
      <c r="I3847" s="3" t="s">
        <v>85</v>
      </c>
      <c r="J3847" s="3" t="n">
        <v>38</v>
      </c>
      <c r="K3847" s="3" t="n">
        <v>1400.01</v>
      </c>
      <c r="L3847" s="3" t="n">
        <v>53200.38</v>
      </c>
      <c r="M3847" s="3" t="n">
        <v>0.1071</v>
      </c>
      <c r="N3847" s="3" t="n">
        <v>5697.76</v>
      </c>
      <c r="O3847" s="3" t="n">
        <v>47502.62</v>
      </c>
      <c r="P3847" s="3" t="n">
        <v>36176.26</v>
      </c>
      <c r="Q3847" s="3" t="n">
        <v>11326.36</v>
      </c>
      <c r="R3847" s="3" t="n">
        <v>0.2384</v>
      </c>
      <c r="S3847" s="3" t="n">
        <v>0.1105</v>
      </c>
      <c r="T3847" s="3" t="n">
        <v>-0.0034</v>
      </c>
    </row>
    <row r="3848" customFormat="false" ht="15" hidden="false" customHeight="true" outlineLevel="0" collapsed="false">
      <c r="A3848" s="3" t="s">
        <v>5002</v>
      </c>
      <c r="B3848" s="3" t="s">
        <v>734</v>
      </c>
      <c r="C3848" s="3" t="s">
        <v>53</v>
      </c>
      <c r="D3848" s="3" t="s">
        <v>75</v>
      </c>
      <c r="E3848" s="3" t="s">
        <v>39</v>
      </c>
      <c r="F3848" s="3" t="s">
        <v>25</v>
      </c>
      <c r="G3848" s="3" t="s">
        <v>116</v>
      </c>
      <c r="H3848" s="3" t="s">
        <v>27</v>
      </c>
      <c r="I3848" s="3" t="s">
        <v>94</v>
      </c>
      <c r="J3848" s="3" t="n">
        <v>30</v>
      </c>
      <c r="K3848" s="3" t="n">
        <v>35180.55</v>
      </c>
      <c r="L3848" s="3" t="n">
        <v>1055416.5</v>
      </c>
      <c r="M3848" s="3" t="n">
        <v>0.2138</v>
      </c>
      <c r="N3848" s="3" t="n">
        <v>225648.05</v>
      </c>
      <c r="O3848" s="3" t="n">
        <v>829768.45</v>
      </c>
      <c r="P3848" s="3" t="n">
        <v>654358.23</v>
      </c>
      <c r="Q3848" s="3" t="n">
        <v>175410.22</v>
      </c>
      <c r="R3848" s="3" t="n">
        <v>0.2114</v>
      </c>
      <c r="S3848" s="3" t="n">
        <v>0.1944</v>
      </c>
      <c r="T3848" s="3" t="n">
        <v>0.0194</v>
      </c>
    </row>
    <row r="3849" customFormat="false" ht="15" hidden="false" customHeight="true" outlineLevel="0" collapsed="false">
      <c r="A3849" s="3" t="s">
        <v>5003</v>
      </c>
      <c r="B3849" s="3" t="s">
        <v>2799</v>
      </c>
      <c r="C3849" s="3" t="s">
        <v>46</v>
      </c>
      <c r="D3849" s="3" t="s">
        <v>69</v>
      </c>
      <c r="E3849" s="3" t="s">
        <v>39</v>
      </c>
      <c r="F3849" s="3" t="s">
        <v>70</v>
      </c>
      <c r="G3849" s="3" t="s">
        <v>26</v>
      </c>
      <c r="H3849" s="3" t="s">
        <v>56</v>
      </c>
      <c r="I3849" s="3" t="s">
        <v>188</v>
      </c>
      <c r="J3849" s="3" t="n">
        <v>2</v>
      </c>
      <c r="K3849" s="3" t="n">
        <v>16704.69</v>
      </c>
      <c r="L3849" s="3" t="n">
        <v>33409.38</v>
      </c>
      <c r="M3849" s="3" t="n">
        <v>0.0615</v>
      </c>
      <c r="N3849" s="3" t="n">
        <v>2054.68</v>
      </c>
      <c r="O3849" s="3" t="n">
        <v>31354.7</v>
      </c>
      <c r="P3849" s="3" t="n">
        <v>20045.63</v>
      </c>
      <c r="Q3849" s="3" t="n">
        <v>11309.07</v>
      </c>
      <c r="R3849" s="3" t="n">
        <v>0.3607</v>
      </c>
      <c r="S3849" s="3" t="n">
        <v>0.0542</v>
      </c>
      <c r="T3849" s="3" t="n">
        <v>0.0073</v>
      </c>
    </row>
    <row r="3850" customFormat="false" ht="15" hidden="false" customHeight="true" outlineLevel="0" collapsed="false">
      <c r="A3850" s="3" t="s">
        <v>5004</v>
      </c>
      <c r="B3850" s="3" t="s">
        <v>1158</v>
      </c>
      <c r="C3850" s="3" t="s">
        <v>22</v>
      </c>
      <c r="D3850" s="3" t="s">
        <v>54</v>
      </c>
      <c r="E3850" s="3" t="s">
        <v>24</v>
      </c>
      <c r="F3850" s="3" t="s">
        <v>40</v>
      </c>
      <c r="G3850" s="3" t="s">
        <v>49</v>
      </c>
      <c r="H3850" s="3" t="s">
        <v>56</v>
      </c>
      <c r="I3850" s="3" t="s">
        <v>121</v>
      </c>
      <c r="J3850" s="3" t="n">
        <v>27</v>
      </c>
      <c r="K3850" s="3" t="n">
        <v>17493.08</v>
      </c>
      <c r="L3850" s="3" t="n">
        <v>472313.16</v>
      </c>
      <c r="M3850" s="3" t="n">
        <v>0.0465</v>
      </c>
      <c r="N3850" s="3" t="n">
        <v>21962.56</v>
      </c>
      <c r="O3850" s="3" t="n">
        <v>450350.6</v>
      </c>
      <c r="P3850" s="3" t="n">
        <v>283387.9</v>
      </c>
      <c r="Q3850" s="3" t="n">
        <v>166962.7</v>
      </c>
      <c r="R3850" s="3" t="n">
        <v>0.3707</v>
      </c>
      <c r="S3850" s="3" t="n">
        <v>0.0497</v>
      </c>
      <c r="T3850" s="3" t="n">
        <v>-0.0032</v>
      </c>
    </row>
    <row r="3851" customFormat="false" ht="15" hidden="false" customHeight="true" outlineLevel="0" collapsed="false">
      <c r="A3851" s="3" t="s">
        <v>5005</v>
      </c>
      <c r="B3851" s="3" t="s">
        <v>502</v>
      </c>
      <c r="C3851" s="3" t="s">
        <v>126</v>
      </c>
      <c r="D3851" s="3" t="s">
        <v>38</v>
      </c>
      <c r="E3851" s="3" t="s">
        <v>39</v>
      </c>
      <c r="F3851" s="3" t="s">
        <v>40</v>
      </c>
      <c r="G3851" s="3" t="s">
        <v>41</v>
      </c>
      <c r="H3851" s="3" t="s">
        <v>42</v>
      </c>
      <c r="I3851" s="3" t="s">
        <v>43</v>
      </c>
      <c r="J3851" s="3" t="n">
        <v>46</v>
      </c>
      <c r="K3851" s="3" t="n">
        <v>3512.4</v>
      </c>
      <c r="L3851" s="3" t="n">
        <v>161570.4</v>
      </c>
      <c r="M3851" s="3" t="n">
        <v>0.0777</v>
      </c>
      <c r="N3851" s="3" t="n">
        <v>12554.02</v>
      </c>
      <c r="O3851" s="3" t="n">
        <v>149016.38</v>
      </c>
      <c r="P3851" s="3" t="n">
        <v>88863.72</v>
      </c>
      <c r="Q3851" s="3" t="n">
        <v>60152.66</v>
      </c>
      <c r="R3851" s="3" t="n">
        <v>0.4037</v>
      </c>
      <c r="S3851" s="3" t="n">
        <v>0.0663</v>
      </c>
      <c r="T3851" s="3" t="n">
        <v>0.0114</v>
      </c>
    </row>
    <row r="3852" customFormat="false" ht="15" hidden="false" customHeight="true" outlineLevel="0" collapsed="false">
      <c r="A3852" s="3" t="s">
        <v>5006</v>
      </c>
      <c r="B3852" s="3" t="s">
        <v>1518</v>
      </c>
      <c r="C3852" s="3" t="s">
        <v>120</v>
      </c>
      <c r="D3852" s="3" t="s">
        <v>23</v>
      </c>
      <c r="E3852" s="3" t="s">
        <v>24</v>
      </c>
      <c r="F3852" s="3" t="s">
        <v>25</v>
      </c>
      <c r="G3852" s="3" t="s">
        <v>26</v>
      </c>
      <c r="H3852" s="3" t="s">
        <v>42</v>
      </c>
      <c r="I3852" s="3" t="s">
        <v>134</v>
      </c>
      <c r="J3852" s="3" t="n">
        <v>22</v>
      </c>
      <c r="K3852" s="3" t="n">
        <v>2349.12</v>
      </c>
      <c r="L3852" s="3" t="n">
        <v>51680.64</v>
      </c>
      <c r="M3852" s="3" t="n">
        <v>0.1561</v>
      </c>
      <c r="N3852" s="3" t="n">
        <v>8067.35</v>
      </c>
      <c r="O3852" s="3" t="n">
        <v>43613.29</v>
      </c>
      <c r="P3852" s="3" t="n">
        <v>28424.35</v>
      </c>
      <c r="Q3852" s="3" t="n">
        <v>15188.94</v>
      </c>
      <c r="R3852" s="3" t="n">
        <v>0.3483</v>
      </c>
      <c r="S3852" s="3" t="n">
        <v>0.1518</v>
      </c>
      <c r="T3852" s="3" t="n">
        <v>0.0043</v>
      </c>
    </row>
    <row r="3853" customFormat="false" ht="15" hidden="false" customHeight="true" outlineLevel="0" collapsed="false">
      <c r="A3853" s="3" t="s">
        <v>5007</v>
      </c>
      <c r="B3853" s="3" t="s">
        <v>2869</v>
      </c>
      <c r="C3853" s="3" t="s">
        <v>68</v>
      </c>
      <c r="D3853" s="3" t="s">
        <v>75</v>
      </c>
      <c r="E3853" s="3" t="s">
        <v>39</v>
      </c>
      <c r="F3853" s="3" t="s">
        <v>25</v>
      </c>
      <c r="G3853" s="3" t="s">
        <v>116</v>
      </c>
      <c r="H3853" s="3" t="s">
        <v>27</v>
      </c>
      <c r="I3853" s="3" t="s">
        <v>50</v>
      </c>
      <c r="J3853" s="3" t="n">
        <v>42</v>
      </c>
      <c r="K3853" s="3" t="n">
        <v>35398.21</v>
      </c>
      <c r="L3853" s="3" t="n">
        <v>1486724.82</v>
      </c>
      <c r="M3853" s="3" t="n">
        <v>0.1733</v>
      </c>
      <c r="N3853" s="3" t="n">
        <v>257649.41</v>
      </c>
      <c r="O3853" s="3" t="n">
        <v>1229075.41</v>
      </c>
      <c r="P3853" s="3" t="n">
        <v>921769.39</v>
      </c>
      <c r="Q3853" s="3" t="n">
        <v>307306.02</v>
      </c>
      <c r="R3853" s="3" t="n">
        <v>0.25</v>
      </c>
      <c r="S3853" s="3" t="n">
        <v>0.1404</v>
      </c>
      <c r="T3853" s="3" t="n">
        <v>0.0329</v>
      </c>
    </row>
    <row r="3854" customFormat="false" ht="15" hidden="false" customHeight="true" outlineLevel="0" collapsed="false">
      <c r="A3854" s="3" t="s">
        <v>5008</v>
      </c>
      <c r="B3854" s="3" t="s">
        <v>4284</v>
      </c>
      <c r="C3854" s="3" t="s">
        <v>46</v>
      </c>
      <c r="D3854" s="3" t="s">
        <v>103</v>
      </c>
      <c r="E3854" s="3" t="s">
        <v>24</v>
      </c>
      <c r="F3854" s="3" t="s">
        <v>62</v>
      </c>
      <c r="G3854" s="3" t="s">
        <v>55</v>
      </c>
      <c r="H3854" s="3" t="s">
        <v>27</v>
      </c>
      <c r="I3854" s="3" t="s">
        <v>28</v>
      </c>
      <c r="J3854" s="3" t="n">
        <v>19</v>
      </c>
      <c r="K3854" s="3" t="n">
        <v>15083.44</v>
      </c>
      <c r="L3854" s="3" t="n">
        <v>286585.36</v>
      </c>
      <c r="M3854" s="3" t="n">
        <v>0.0496</v>
      </c>
      <c r="N3854" s="3" t="n">
        <v>14214.63</v>
      </c>
      <c r="O3854" s="3" t="n">
        <v>272370.73</v>
      </c>
      <c r="P3854" s="3" t="n">
        <v>177682.92</v>
      </c>
      <c r="Q3854" s="3" t="n">
        <v>94687.81</v>
      </c>
      <c r="R3854" s="3" t="n">
        <v>0.3476</v>
      </c>
      <c r="S3854" s="3" t="n">
        <v>0.0504</v>
      </c>
      <c r="T3854" s="3" t="n">
        <v>-0.0008</v>
      </c>
    </row>
    <row r="3855" customFormat="false" ht="15" hidden="false" customHeight="true" outlineLevel="0" collapsed="false">
      <c r="A3855" s="3" t="s">
        <v>5009</v>
      </c>
      <c r="B3855" s="3" t="s">
        <v>1163</v>
      </c>
      <c r="C3855" s="3" t="s">
        <v>126</v>
      </c>
      <c r="D3855" s="3" t="s">
        <v>69</v>
      </c>
      <c r="E3855" s="3" t="s">
        <v>39</v>
      </c>
      <c r="F3855" s="3" t="s">
        <v>70</v>
      </c>
      <c r="G3855" s="3" t="s">
        <v>34</v>
      </c>
      <c r="H3855" s="3" t="s">
        <v>77</v>
      </c>
      <c r="I3855" s="3" t="s">
        <v>131</v>
      </c>
      <c r="J3855" s="3" t="n">
        <v>31</v>
      </c>
      <c r="K3855" s="3" t="n">
        <v>1231.26</v>
      </c>
      <c r="L3855" s="3" t="n">
        <v>38169.06</v>
      </c>
      <c r="M3855" s="3" t="n">
        <v>0.1002</v>
      </c>
      <c r="N3855" s="3" t="n">
        <v>3824.54</v>
      </c>
      <c r="O3855" s="3" t="n">
        <v>34344.52</v>
      </c>
      <c r="P3855" s="3" t="n">
        <v>25954.96</v>
      </c>
      <c r="Q3855" s="3" t="n">
        <v>8389.56</v>
      </c>
      <c r="R3855" s="3" t="n">
        <v>0.2443</v>
      </c>
      <c r="S3855" s="3" t="n">
        <v>0.0859</v>
      </c>
      <c r="T3855" s="3" t="n">
        <v>0.0143</v>
      </c>
    </row>
    <row r="3856" customFormat="false" ht="15" hidden="false" customHeight="true" outlineLevel="0" collapsed="false">
      <c r="A3856" s="3" t="s">
        <v>5010</v>
      </c>
      <c r="B3856" s="3" t="s">
        <v>984</v>
      </c>
      <c r="C3856" s="3" t="s">
        <v>53</v>
      </c>
      <c r="D3856" s="3" t="s">
        <v>97</v>
      </c>
      <c r="E3856" s="3" t="s">
        <v>48</v>
      </c>
      <c r="F3856" s="3" t="s">
        <v>40</v>
      </c>
      <c r="G3856" s="3" t="s">
        <v>55</v>
      </c>
      <c r="H3856" s="3" t="s">
        <v>27</v>
      </c>
      <c r="I3856" s="3" t="s">
        <v>28</v>
      </c>
      <c r="J3856" s="3" t="n">
        <v>19</v>
      </c>
      <c r="K3856" s="3" t="n">
        <v>34228.22</v>
      </c>
      <c r="L3856" s="3" t="n">
        <v>650336.18</v>
      </c>
      <c r="M3856" s="3" t="n">
        <v>0.036</v>
      </c>
      <c r="N3856" s="3" t="n">
        <v>23412.1</v>
      </c>
      <c r="O3856" s="3" t="n">
        <v>626924.08</v>
      </c>
      <c r="P3856" s="3" t="n">
        <v>403208.43</v>
      </c>
      <c r="Q3856" s="3" t="n">
        <v>223715.65</v>
      </c>
      <c r="R3856" s="3" t="n">
        <v>0.3568</v>
      </c>
      <c r="S3856" s="3" t="n">
        <v>0.0313</v>
      </c>
      <c r="T3856" s="3" t="n">
        <v>0.0047</v>
      </c>
    </row>
    <row r="3857" customFormat="false" ht="15" hidden="false" customHeight="true" outlineLevel="0" collapsed="false">
      <c r="A3857" s="3" t="s">
        <v>5011</v>
      </c>
      <c r="B3857" s="3" t="s">
        <v>2435</v>
      </c>
      <c r="C3857" s="3" t="s">
        <v>31</v>
      </c>
      <c r="D3857" s="3" t="s">
        <v>83</v>
      </c>
      <c r="E3857" s="3" t="s">
        <v>48</v>
      </c>
      <c r="F3857" s="3" t="s">
        <v>62</v>
      </c>
      <c r="G3857" s="3" t="s">
        <v>116</v>
      </c>
      <c r="H3857" s="3" t="s">
        <v>27</v>
      </c>
      <c r="I3857" s="3" t="s">
        <v>117</v>
      </c>
      <c r="J3857" s="3" t="n">
        <v>1</v>
      </c>
      <c r="K3857" s="3" t="n">
        <v>33161.27</v>
      </c>
      <c r="L3857" s="3" t="n">
        <v>33161.27</v>
      </c>
      <c r="M3857" s="3" t="n">
        <v>0.1213</v>
      </c>
      <c r="N3857" s="3" t="n">
        <v>4022.46</v>
      </c>
      <c r="O3857" s="3" t="n">
        <v>29138.81</v>
      </c>
      <c r="P3857" s="3" t="n">
        <v>20559.99</v>
      </c>
      <c r="Q3857" s="3" t="n">
        <v>8578.82</v>
      </c>
      <c r="R3857" s="3" t="n">
        <v>0.2944</v>
      </c>
      <c r="S3857" s="3" t="n">
        <v>0.0993</v>
      </c>
      <c r="T3857" s="3" t="n">
        <v>0.022</v>
      </c>
    </row>
    <row r="3858" customFormat="false" ht="15" hidden="false" customHeight="true" outlineLevel="0" collapsed="false">
      <c r="A3858" s="3" t="s">
        <v>5012</v>
      </c>
      <c r="B3858" s="3" t="s">
        <v>1735</v>
      </c>
      <c r="C3858" s="3" t="s">
        <v>53</v>
      </c>
      <c r="D3858" s="3" t="s">
        <v>75</v>
      </c>
      <c r="E3858" s="3" t="s">
        <v>39</v>
      </c>
      <c r="F3858" s="3" t="s">
        <v>25</v>
      </c>
      <c r="G3858" s="3" t="s">
        <v>26</v>
      </c>
      <c r="H3858" s="3" t="s">
        <v>42</v>
      </c>
      <c r="I3858" s="3" t="s">
        <v>72</v>
      </c>
      <c r="J3858" s="3" t="n">
        <v>11</v>
      </c>
      <c r="K3858" s="3" t="n">
        <v>3558.38</v>
      </c>
      <c r="L3858" s="3" t="n">
        <v>39142.18</v>
      </c>
      <c r="M3858" s="3" t="n">
        <v>0.152</v>
      </c>
      <c r="N3858" s="3" t="n">
        <v>5949.61</v>
      </c>
      <c r="O3858" s="3" t="n">
        <v>33192.57</v>
      </c>
      <c r="P3858" s="3" t="n">
        <v>21528.2</v>
      </c>
      <c r="Q3858" s="3" t="n">
        <v>11664.37</v>
      </c>
      <c r="R3858" s="3" t="n">
        <v>0.3514</v>
      </c>
      <c r="S3858" s="3" t="n">
        <v>0.1609</v>
      </c>
      <c r="T3858" s="3" t="n">
        <v>-0.0089</v>
      </c>
    </row>
    <row r="3859" customFormat="false" ht="15" hidden="false" customHeight="true" outlineLevel="0" collapsed="false">
      <c r="A3859" s="3" t="s">
        <v>5013</v>
      </c>
      <c r="B3859" s="3" t="s">
        <v>563</v>
      </c>
      <c r="C3859" s="3" t="s">
        <v>46</v>
      </c>
      <c r="D3859" s="3" t="s">
        <v>23</v>
      </c>
      <c r="E3859" s="3" t="s">
        <v>24</v>
      </c>
      <c r="F3859" s="3" t="s">
        <v>25</v>
      </c>
      <c r="G3859" s="3" t="s">
        <v>84</v>
      </c>
      <c r="H3859" s="3" t="s">
        <v>56</v>
      </c>
      <c r="I3859" s="3" t="s">
        <v>121</v>
      </c>
      <c r="J3859" s="3" t="n">
        <v>42</v>
      </c>
      <c r="K3859" s="3" t="n">
        <v>3480.55</v>
      </c>
      <c r="L3859" s="3" t="n">
        <v>146183.1</v>
      </c>
      <c r="M3859" s="3" t="n">
        <v>0.1552</v>
      </c>
      <c r="N3859" s="3" t="n">
        <v>22687.62</v>
      </c>
      <c r="O3859" s="3" t="n">
        <v>123495.48</v>
      </c>
      <c r="P3859" s="3" t="n">
        <v>87709.86</v>
      </c>
      <c r="Q3859" s="3" t="n">
        <v>35785.62</v>
      </c>
      <c r="R3859" s="3" t="n">
        <v>0.2898</v>
      </c>
      <c r="S3859" s="3" t="n">
        <v>0.1488</v>
      </c>
      <c r="T3859" s="3" t="n">
        <v>0.0064</v>
      </c>
    </row>
    <row r="3860" customFormat="false" ht="15" hidden="false" customHeight="true" outlineLevel="0" collapsed="false">
      <c r="A3860" s="3" t="s">
        <v>5014</v>
      </c>
      <c r="B3860" s="3" t="s">
        <v>5015</v>
      </c>
      <c r="C3860" s="3" t="s">
        <v>68</v>
      </c>
      <c r="D3860" s="3" t="s">
        <v>83</v>
      </c>
      <c r="E3860" s="3" t="s">
        <v>48</v>
      </c>
      <c r="F3860" s="3" t="s">
        <v>62</v>
      </c>
      <c r="G3860" s="3" t="s">
        <v>84</v>
      </c>
      <c r="H3860" s="3" t="s">
        <v>77</v>
      </c>
      <c r="I3860" s="3" t="s">
        <v>85</v>
      </c>
      <c r="J3860" s="3" t="n">
        <v>23</v>
      </c>
      <c r="K3860" s="3" t="n">
        <v>2999.88</v>
      </c>
      <c r="L3860" s="3" t="n">
        <v>68997.24</v>
      </c>
      <c r="M3860" s="3" t="n">
        <v>0.0602</v>
      </c>
      <c r="N3860" s="3" t="n">
        <v>4153.63</v>
      </c>
      <c r="O3860" s="3" t="n">
        <v>64843.61</v>
      </c>
      <c r="P3860" s="3" t="n">
        <v>46918.12</v>
      </c>
      <c r="Q3860" s="3" t="n">
        <v>17925.49</v>
      </c>
      <c r="R3860" s="3" t="n">
        <v>0.2764</v>
      </c>
      <c r="S3860" s="3" t="n">
        <v>0.0654</v>
      </c>
      <c r="T3860" s="3" t="n">
        <v>-0.0052</v>
      </c>
    </row>
    <row r="3861" customFormat="false" ht="15" hidden="false" customHeight="true" outlineLevel="0" collapsed="false">
      <c r="A3861" s="3" t="s">
        <v>5016</v>
      </c>
      <c r="B3861" s="3" t="s">
        <v>4607</v>
      </c>
      <c r="C3861" s="3" t="s">
        <v>46</v>
      </c>
      <c r="D3861" s="3" t="s">
        <v>69</v>
      </c>
      <c r="E3861" s="3" t="s">
        <v>39</v>
      </c>
      <c r="F3861" s="3" t="s">
        <v>70</v>
      </c>
      <c r="G3861" s="3" t="s">
        <v>104</v>
      </c>
      <c r="H3861" s="3" t="s">
        <v>56</v>
      </c>
      <c r="I3861" s="3" t="s">
        <v>188</v>
      </c>
      <c r="J3861" s="3" t="n">
        <v>5</v>
      </c>
      <c r="K3861" s="3" t="n">
        <v>14215.58</v>
      </c>
      <c r="L3861" s="3" t="n">
        <v>71077.9</v>
      </c>
      <c r="M3861" s="3" t="n">
        <v>0.1265</v>
      </c>
      <c r="N3861" s="3" t="n">
        <v>8991.35</v>
      </c>
      <c r="O3861" s="3" t="n">
        <v>62086.55</v>
      </c>
      <c r="P3861" s="3" t="n">
        <v>42646.74</v>
      </c>
      <c r="Q3861" s="3" t="n">
        <v>19439.81</v>
      </c>
      <c r="R3861" s="3" t="n">
        <v>0.3131</v>
      </c>
      <c r="S3861" s="3" t="n">
        <v>0.135</v>
      </c>
      <c r="T3861" s="3" t="n">
        <v>-0.0085</v>
      </c>
    </row>
    <row r="3862" customFormat="false" ht="15" hidden="false" customHeight="true" outlineLevel="0" collapsed="false">
      <c r="A3862" s="3" t="s">
        <v>5017</v>
      </c>
      <c r="B3862" s="3" t="s">
        <v>2784</v>
      </c>
      <c r="C3862" s="3" t="s">
        <v>22</v>
      </c>
      <c r="D3862" s="3" t="s">
        <v>38</v>
      </c>
      <c r="E3862" s="3" t="s">
        <v>39</v>
      </c>
      <c r="F3862" s="3" t="s">
        <v>40</v>
      </c>
      <c r="G3862" s="3" t="s">
        <v>55</v>
      </c>
      <c r="H3862" s="3" t="s">
        <v>27</v>
      </c>
      <c r="I3862" s="3" t="s">
        <v>173</v>
      </c>
      <c r="J3862" s="3" t="n">
        <v>13</v>
      </c>
      <c r="K3862" s="3" t="n">
        <v>32610.5</v>
      </c>
      <c r="L3862" s="3" t="n">
        <v>423936.5</v>
      </c>
      <c r="M3862" s="3" t="n">
        <v>0.0424</v>
      </c>
      <c r="N3862" s="3" t="n">
        <v>17974.91</v>
      </c>
      <c r="O3862" s="3" t="n">
        <v>405961.59</v>
      </c>
      <c r="P3862" s="3" t="n">
        <v>262840.63</v>
      </c>
      <c r="Q3862" s="3" t="n">
        <v>143120.96</v>
      </c>
      <c r="R3862" s="3" t="n">
        <v>0.3525</v>
      </c>
      <c r="S3862" s="3" t="n">
        <v>0.0401</v>
      </c>
      <c r="T3862" s="3" t="n">
        <v>0.0023</v>
      </c>
    </row>
    <row r="3863" customFormat="false" ht="15" hidden="false" customHeight="true" outlineLevel="0" collapsed="false">
      <c r="A3863" s="3" t="s">
        <v>5018</v>
      </c>
      <c r="B3863" s="3" t="s">
        <v>979</v>
      </c>
      <c r="C3863" s="3" t="s">
        <v>53</v>
      </c>
      <c r="D3863" s="3" t="s">
        <v>69</v>
      </c>
      <c r="E3863" s="3" t="s">
        <v>39</v>
      </c>
      <c r="F3863" s="3" t="s">
        <v>70</v>
      </c>
      <c r="G3863" s="3" t="s">
        <v>71</v>
      </c>
      <c r="H3863" s="3" t="s">
        <v>77</v>
      </c>
      <c r="I3863" s="3" t="s">
        <v>78</v>
      </c>
      <c r="J3863" s="3" t="n">
        <v>34</v>
      </c>
      <c r="K3863" s="3" t="n">
        <v>3597.92</v>
      </c>
      <c r="L3863" s="3" t="n">
        <v>122329.28</v>
      </c>
      <c r="M3863" s="3" t="n">
        <v>0.0601</v>
      </c>
      <c r="N3863" s="3" t="n">
        <v>7351.99</v>
      </c>
      <c r="O3863" s="3" t="n">
        <v>114977.29</v>
      </c>
      <c r="P3863" s="3" t="n">
        <v>83183.91</v>
      </c>
      <c r="Q3863" s="3" t="n">
        <v>31793.38</v>
      </c>
      <c r="R3863" s="3" t="n">
        <v>0.2765</v>
      </c>
      <c r="S3863" s="3" t="n">
        <v>0.0611</v>
      </c>
      <c r="T3863" s="3" t="n">
        <v>-0.001</v>
      </c>
    </row>
    <row r="3864" customFormat="false" ht="15" hidden="false" customHeight="true" outlineLevel="0" collapsed="false">
      <c r="A3864" s="3" t="s">
        <v>5019</v>
      </c>
      <c r="B3864" s="3" t="s">
        <v>2100</v>
      </c>
      <c r="C3864" s="3" t="s">
        <v>37</v>
      </c>
      <c r="D3864" s="3" t="s">
        <v>32</v>
      </c>
      <c r="E3864" s="3" t="s">
        <v>33</v>
      </c>
      <c r="F3864" s="3" t="s">
        <v>25</v>
      </c>
      <c r="G3864" s="3" t="s">
        <v>26</v>
      </c>
      <c r="H3864" s="3" t="s">
        <v>77</v>
      </c>
      <c r="I3864" s="3" t="s">
        <v>78</v>
      </c>
      <c r="J3864" s="3" t="n">
        <v>41</v>
      </c>
      <c r="K3864" s="3" t="n">
        <v>4643.4</v>
      </c>
      <c r="L3864" s="3" t="n">
        <v>190379.4</v>
      </c>
      <c r="M3864" s="3" t="n">
        <v>0.1642</v>
      </c>
      <c r="N3864" s="3" t="n">
        <v>31260.3</v>
      </c>
      <c r="O3864" s="3" t="n">
        <v>159119.1</v>
      </c>
      <c r="P3864" s="3" t="n">
        <v>129457.99</v>
      </c>
      <c r="Q3864" s="3" t="n">
        <v>29661.11</v>
      </c>
      <c r="R3864" s="3" t="n">
        <v>0.1864</v>
      </c>
      <c r="S3864" s="3" t="n">
        <v>0.1722</v>
      </c>
      <c r="T3864" s="3" t="n">
        <v>-0.008</v>
      </c>
    </row>
    <row r="3865" customFormat="false" ht="15" hidden="false" customHeight="true" outlineLevel="0" collapsed="false">
      <c r="A3865" s="3" t="s">
        <v>5020</v>
      </c>
      <c r="B3865" s="3" t="s">
        <v>1110</v>
      </c>
      <c r="C3865" s="3" t="s">
        <v>46</v>
      </c>
      <c r="D3865" s="3" t="s">
        <v>97</v>
      </c>
      <c r="E3865" s="3" t="s">
        <v>48</v>
      </c>
      <c r="F3865" s="3" t="s">
        <v>40</v>
      </c>
      <c r="G3865" s="3" t="s">
        <v>34</v>
      </c>
      <c r="H3865" s="3" t="s">
        <v>42</v>
      </c>
      <c r="I3865" s="3" t="s">
        <v>72</v>
      </c>
      <c r="J3865" s="3" t="n">
        <v>24</v>
      </c>
      <c r="K3865" s="3" t="n">
        <v>3759.89</v>
      </c>
      <c r="L3865" s="3" t="n">
        <v>90237.36</v>
      </c>
      <c r="M3865" s="3" t="n">
        <v>0.0999</v>
      </c>
      <c r="N3865" s="3" t="n">
        <v>9014.71</v>
      </c>
      <c r="O3865" s="3" t="n">
        <v>81222.65</v>
      </c>
      <c r="P3865" s="3" t="n">
        <v>49630.55</v>
      </c>
      <c r="Q3865" s="3" t="n">
        <v>31592.1</v>
      </c>
      <c r="R3865" s="3" t="n">
        <v>0.389</v>
      </c>
      <c r="S3865" s="3" t="n">
        <v>0.1059</v>
      </c>
      <c r="T3865" s="3" t="n">
        <v>-0.006</v>
      </c>
    </row>
    <row r="3866" customFormat="false" ht="15" hidden="false" customHeight="true" outlineLevel="0" collapsed="false">
      <c r="A3866" s="3" t="s">
        <v>5021</v>
      </c>
      <c r="B3866" s="3" t="s">
        <v>2535</v>
      </c>
      <c r="C3866" s="3" t="s">
        <v>37</v>
      </c>
      <c r="D3866" s="3" t="s">
        <v>32</v>
      </c>
      <c r="E3866" s="3" t="s">
        <v>33</v>
      </c>
      <c r="F3866" s="3" t="s">
        <v>25</v>
      </c>
      <c r="G3866" s="3" t="s">
        <v>63</v>
      </c>
      <c r="H3866" s="3" t="s">
        <v>56</v>
      </c>
      <c r="I3866" s="3" t="s">
        <v>57</v>
      </c>
      <c r="J3866" s="3" t="n">
        <v>1</v>
      </c>
      <c r="K3866" s="3" t="n">
        <v>4878.83</v>
      </c>
      <c r="L3866" s="3" t="n">
        <v>4878.83</v>
      </c>
      <c r="M3866" s="3" t="n">
        <v>0.1639</v>
      </c>
      <c r="N3866" s="3" t="n">
        <v>799.64</v>
      </c>
      <c r="O3866" s="3" t="n">
        <v>4079.19</v>
      </c>
      <c r="P3866" s="3" t="n">
        <v>2927.3</v>
      </c>
      <c r="Q3866" s="3" t="n">
        <v>1151.89</v>
      </c>
      <c r="R3866" s="3" t="n">
        <v>0.2824</v>
      </c>
      <c r="S3866" s="3" t="n">
        <v>0.152</v>
      </c>
      <c r="T3866" s="3" t="n">
        <v>0.0119</v>
      </c>
    </row>
    <row r="3867" customFormat="false" ht="15" hidden="false" customHeight="true" outlineLevel="0" collapsed="false">
      <c r="A3867" s="3" t="s">
        <v>5022</v>
      </c>
      <c r="B3867" s="3" t="s">
        <v>2593</v>
      </c>
      <c r="C3867" s="3" t="s">
        <v>46</v>
      </c>
      <c r="D3867" s="3" t="s">
        <v>23</v>
      </c>
      <c r="E3867" s="3" t="s">
        <v>24</v>
      </c>
      <c r="F3867" s="3" t="s">
        <v>25</v>
      </c>
      <c r="G3867" s="3" t="s">
        <v>116</v>
      </c>
      <c r="H3867" s="3" t="s">
        <v>64</v>
      </c>
      <c r="I3867" s="3" t="s">
        <v>90</v>
      </c>
      <c r="J3867" s="3" t="n">
        <v>11</v>
      </c>
      <c r="K3867" s="3" t="n">
        <v>8228.7</v>
      </c>
      <c r="L3867" s="3" t="n">
        <v>90515.7</v>
      </c>
      <c r="M3867" s="3" t="n">
        <v>0.2105</v>
      </c>
      <c r="N3867" s="3" t="n">
        <v>19053.55</v>
      </c>
      <c r="O3867" s="3" t="n">
        <v>71462.15</v>
      </c>
      <c r="P3867" s="3" t="n">
        <v>52499.11</v>
      </c>
      <c r="Q3867" s="3" t="n">
        <v>18963.04</v>
      </c>
      <c r="R3867" s="3" t="n">
        <v>0.2654</v>
      </c>
      <c r="S3867" s="3" t="n">
        <v>0.2181</v>
      </c>
      <c r="T3867" s="3" t="n">
        <v>-0.0076</v>
      </c>
    </row>
    <row r="3868" customFormat="false" ht="15" hidden="false" customHeight="true" outlineLevel="0" collapsed="false">
      <c r="A3868" s="3" t="s">
        <v>5023</v>
      </c>
      <c r="B3868" s="3" t="s">
        <v>484</v>
      </c>
      <c r="C3868" s="3" t="s">
        <v>156</v>
      </c>
      <c r="D3868" s="3" t="s">
        <v>61</v>
      </c>
      <c r="E3868" s="3" t="s">
        <v>33</v>
      </c>
      <c r="F3868" s="3" t="s">
        <v>62</v>
      </c>
      <c r="G3868" s="3" t="s">
        <v>63</v>
      </c>
      <c r="H3868" s="3" t="s">
        <v>27</v>
      </c>
      <c r="I3868" s="3" t="s">
        <v>94</v>
      </c>
      <c r="J3868" s="3" t="n">
        <v>2</v>
      </c>
      <c r="K3868" s="3" t="n">
        <v>24401.05</v>
      </c>
      <c r="L3868" s="3" t="n">
        <v>48802.1</v>
      </c>
      <c r="M3868" s="3" t="n">
        <v>0.067</v>
      </c>
      <c r="N3868" s="3" t="n">
        <v>3269.74</v>
      </c>
      <c r="O3868" s="3" t="n">
        <v>45532.36</v>
      </c>
      <c r="P3868" s="3" t="n">
        <v>30257.3</v>
      </c>
      <c r="Q3868" s="3" t="n">
        <v>15275.06</v>
      </c>
      <c r="R3868" s="3" t="n">
        <v>0.3355</v>
      </c>
      <c r="S3868" s="3" t="n">
        <v>0.0735</v>
      </c>
      <c r="T3868" s="3" t="n">
        <v>-0.0065</v>
      </c>
    </row>
    <row r="3869" customFormat="false" ht="15" hidden="false" customHeight="true" outlineLevel="0" collapsed="false">
      <c r="A3869" s="3" t="s">
        <v>5024</v>
      </c>
      <c r="B3869" s="3" t="s">
        <v>4216</v>
      </c>
      <c r="C3869" s="3" t="s">
        <v>156</v>
      </c>
      <c r="D3869" s="3" t="s">
        <v>69</v>
      </c>
      <c r="E3869" s="3" t="s">
        <v>39</v>
      </c>
      <c r="F3869" s="3" t="s">
        <v>70</v>
      </c>
      <c r="G3869" s="3" t="s">
        <v>55</v>
      </c>
      <c r="H3869" s="3" t="s">
        <v>77</v>
      </c>
      <c r="I3869" s="3" t="s">
        <v>131</v>
      </c>
      <c r="J3869" s="3" t="n">
        <v>38</v>
      </c>
      <c r="K3869" s="3" t="n">
        <v>4316.89</v>
      </c>
      <c r="L3869" s="3" t="n">
        <v>164041.82</v>
      </c>
      <c r="M3869" s="3" t="n">
        <v>0.0439</v>
      </c>
      <c r="N3869" s="3" t="n">
        <v>7201.44</v>
      </c>
      <c r="O3869" s="3" t="n">
        <v>156840.38</v>
      </c>
      <c r="P3869" s="3" t="n">
        <v>111548.44</v>
      </c>
      <c r="Q3869" s="3" t="n">
        <v>45291.94</v>
      </c>
      <c r="R3869" s="3" t="n">
        <v>0.2888</v>
      </c>
      <c r="S3869" s="3" t="n">
        <v>0.0459</v>
      </c>
      <c r="T3869" s="3" t="n">
        <v>-0.002</v>
      </c>
    </row>
    <row r="3870" customFormat="false" ht="15" hidden="false" customHeight="true" outlineLevel="0" collapsed="false">
      <c r="A3870" s="3" t="s">
        <v>5025</v>
      </c>
      <c r="B3870" s="3" t="s">
        <v>1452</v>
      </c>
      <c r="C3870" s="3" t="s">
        <v>60</v>
      </c>
      <c r="D3870" s="3" t="s">
        <v>61</v>
      </c>
      <c r="E3870" s="3" t="s">
        <v>33</v>
      </c>
      <c r="F3870" s="3" t="s">
        <v>62</v>
      </c>
      <c r="G3870" s="3" t="s">
        <v>104</v>
      </c>
      <c r="H3870" s="3" t="s">
        <v>77</v>
      </c>
      <c r="I3870" s="3" t="s">
        <v>131</v>
      </c>
      <c r="J3870" s="3" t="n">
        <v>9</v>
      </c>
      <c r="K3870" s="3" t="n">
        <v>5387.32</v>
      </c>
      <c r="L3870" s="3" t="n">
        <v>48485.88</v>
      </c>
      <c r="M3870" s="3" t="n">
        <v>0.0912</v>
      </c>
      <c r="N3870" s="3" t="n">
        <v>4421.91</v>
      </c>
      <c r="O3870" s="3" t="n">
        <v>44063.97</v>
      </c>
      <c r="P3870" s="3" t="n">
        <v>32970.4</v>
      </c>
      <c r="Q3870" s="3" t="n">
        <v>11093.57</v>
      </c>
      <c r="R3870" s="3" t="n">
        <v>0.2518</v>
      </c>
      <c r="S3870" s="3" t="n">
        <v>0.0874</v>
      </c>
      <c r="T3870" s="3" t="n">
        <v>0.0038</v>
      </c>
    </row>
    <row r="3871" customFormat="false" ht="15" hidden="false" customHeight="true" outlineLevel="0" collapsed="false">
      <c r="A3871" s="3" t="s">
        <v>5026</v>
      </c>
      <c r="B3871" s="3" t="s">
        <v>633</v>
      </c>
      <c r="C3871" s="3" t="s">
        <v>22</v>
      </c>
      <c r="D3871" s="3" t="s">
        <v>103</v>
      </c>
      <c r="E3871" s="3" t="s">
        <v>24</v>
      </c>
      <c r="F3871" s="3" t="s">
        <v>62</v>
      </c>
      <c r="G3871" s="3" t="s">
        <v>84</v>
      </c>
      <c r="H3871" s="3" t="s">
        <v>56</v>
      </c>
      <c r="I3871" s="3" t="s">
        <v>57</v>
      </c>
      <c r="J3871" s="3" t="n">
        <v>32</v>
      </c>
      <c r="K3871" s="3" t="n">
        <v>15172.49</v>
      </c>
      <c r="L3871" s="3" t="n">
        <v>485519.68</v>
      </c>
      <c r="M3871" s="3" t="n">
        <v>0.0692</v>
      </c>
      <c r="N3871" s="3" t="n">
        <v>33597.96</v>
      </c>
      <c r="O3871" s="3" t="n">
        <v>451921.72</v>
      </c>
      <c r="P3871" s="3" t="n">
        <v>291311.81</v>
      </c>
      <c r="Q3871" s="3" t="n">
        <v>160609.91</v>
      </c>
      <c r="R3871" s="3" t="n">
        <v>0.3554</v>
      </c>
      <c r="S3871" s="3" t="n">
        <v>0.0612</v>
      </c>
      <c r="T3871" s="3" t="n">
        <v>0.008</v>
      </c>
    </row>
    <row r="3872" customFormat="false" ht="15" hidden="false" customHeight="true" outlineLevel="0" collapsed="false">
      <c r="A3872" s="3" t="s">
        <v>5027</v>
      </c>
      <c r="B3872" s="3" t="s">
        <v>778</v>
      </c>
      <c r="C3872" s="3" t="s">
        <v>120</v>
      </c>
      <c r="D3872" s="3" t="s">
        <v>38</v>
      </c>
      <c r="E3872" s="3" t="s">
        <v>39</v>
      </c>
      <c r="F3872" s="3" t="s">
        <v>40</v>
      </c>
      <c r="G3872" s="3" t="s">
        <v>26</v>
      </c>
      <c r="H3872" s="3" t="s">
        <v>77</v>
      </c>
      <c r="I3872" s="3" t="s">
        <v>131</v>
      </c>
      <c r="J3872" s="3" t="n">
        <v>9</v>
      </c>
      <c r="K3872" s="3" t="n">
        <v>3051.35</v>
      </c>
      <c r="L3872" s="3" t="n">
        <v>27462.15</v>
      </c>
      <c r="M3872" s="3" t="n">
        <v>0.074</v>
      </c>
      <c r="N3872" s="3" t="n">
        <v>2032.2</v>
      </c>
      <c r="O3872" s="3" t="n">
        <v>25429.95</v>
      </c>
      <c r="P3872" s="3" t="n">
        <v>18674.26</v>
      </c>
      <c r="Q3872" s="3" t="n">
        <v>6755.69</v>
      </c>
      <c r="R3872" s="3" t="n">
        <v>0.2657</v>
      </c>
      <c r="S3872" s="3" t="n">
        <v>0.0616</v>
      </c>
      <c r="T3872" s="3" t="n">
        <v>0.0124</v>
      </c>
    </row>
    <row r="3873" customFormat="false" ht="15" hidden="false" customHeight="true" outlineLevel="0" collapsed="false">
      <c r="A3873" s="3" t="s">
        <v>5028</v>
      </c>
      <c r="B3873" s="3" t="s">
        <v>824</v>
      </c>
      <c r="C3873" s="3" t="s">
        <v>126</v>
      </c>
      <c r="D3873" s="3" t="s">
        <v>103</v>
      </c>
      <c r="E3873" s="3" t="s">
        <v>24</v>
      </c>
      <c r="F3873" s="3" t="s">
        <v>62</v>
      </c>
      <c r="G3873" s="3" t="s">
        <v>71</v>
      </c>
      <c r="H3873" s="3" t="s">
        <v>77</v>
      </c>
      <c r="I3873" s="3" t="s">
        <v>85</v>
      </c>
      <c r="J3873" s="3" t="n">
        <v>39</v>
      </c>
      <c r="K3873" s="3" t="n">
        <v>4909.96</v>
      </c>
      <c r="L3873" s="3" t="n">
        <v>191488.44</v>
      </c>
      <c r="M3873" s="3" t="n">
        <v>0.0754</v>
      </c>
      <c r="N3873" s="3" t="n">
        <v>14438.23</v>
      </c>
      <c r="O3873" s="3" t="n">
        <v>177050.21</v>
      </c>
      <c r="P3873" s="3" t="n">
        <v>130212.14</v>
      </c>
      <c r="Q3873" s="3" t="n">
        <v>46838.07</v>
      </c>
      <c r="R3873" s="3" t="n">
        <v>0.2645</v>
      </c>
      <c r="S3873" s="3" t="n">
        <v>0.0702</v>
      </c>
      <c r="T3873" s="3" t="n">
        <v>0.0052</v>
      </c>
    </row>
    <row r="3874" customFormat="false" ht="15" hidden="false" customHeight="true" outlineLevel="0" collapsed="false">
      <c r="A3874" s="3" t="s">
        <v>5029</v>
      </c>
      <c r="B3874" s="3" t="s">
        <v>2320</v>
      </c>
      <c r="C3874" s="3" t="s">
        <v>120</v>
      </c>
      <c r="D3874" s="3" t="s">
        <v>83</v>
      </c>
      <c r="E3874" s="3" t="s">
        <v>48</v>
      </c>
      <c r="F3874" s="3" t="s">
        <v>62</v>
      </c>
      <c r="G3874" s="3" t="s">
        <v>71</v>
      </c>
      <c r="H3874" s="3" t="s">
        <v>77</v>
      </c>
      <c r="I3874" s="3" t="s">
        <v>131</v>
      </c>
      <c r="J3874" s="3" t="n">
        <v>39</v>
      </c>
      <c r="K3874" s="3" t="n">
        <v>2726.09</v>
      </c>
      <c r="L3874" s="3" t="n">
        <v>106317.51</v>
      </c>
      <c r="M3874" s="3" t="n">
        <v>0.0481</v>
      </c>
      <c r="N3874" s="3" t="n">
        <v>5113.87</v>
      </c>
      <c r="O3874" s="3" t="n">
        <v>101203.64</v>
      </c>
      <c r="P3874" s="3" t="n">
        <v>72295.91</v>
      </c>
      <c r="Q3874" s="3" t="n">
        <v>28907.73</v>
      </c>
      <c r="R3874" s="3" t="n">
        <v>0.2856</v>
      </c>
      <c r="S3874" s="3" t="n">
        <v>0.0528</v>
      </c>
      <c r="T3874" s="3" t="n">
        <v>-0.0047</v>
      </c>
    </row>
    <row r="3875" customFormat="false" ht="15" hidden="false" customHeight="true" outlineLevel="0" collapsed="false">
      <c r="A3875" s="3" t="s">
        <v>5030</v>
      </c>
      <c r="B3875" s="3" t="s">
        <v>1785</v>
      </c>
      <c r="C3875" s="3" t="s">
        <v>53</v>
      </c>
      <c r="D3875" s="3" t="s">
        <v>75</v>
      </c>
      <c r="E3875" s="3" t="s">
        <v>39</v>
      </c>
      <c r="F3875" s="3" t="s">
        <v>25</v>
      </c>
      <c r="G3875" s="3" t="s">
        <v>49</v>
      </c>
      <c r="H3875" s="3" t="s">
        <v>64</v>
      </c>
      <c r="I3875" s="3" t="s">
        <v>65</v>
      </c>
      <c r="J3875" s="3" t="n">
        <v>8</v>
      </c>
      <c r="K3875" s="3" t="n">
        <v>10787.89</v>
      </c>
      <c r="L3875" s="3" t="n">
        <v>86303.12</v>
      </c>
      <c r="M3875" s="3" t="n">
        <v>0.148</v>
      </c>
      <c r="N3875" s="3" t="n">
        <v>12772.86</v>
      </c>
      <c r="O3875" s="3" t="n">
        <v>73530.26</v>
      </c>
      <c r="P3875" s="3" t="n">
        <v>50055.81</v>
      </c>
      <c r="Q3875" s="3" t="n">
        <v>23474.45</v>
      </c>
      <c r="R3875" s="3" t="n">
        <v>0.3192</v>
      </c>
      <c r="S3875" s="3" t="n">
        <v>0.1564</v>
      </c>
      <c r="T3875" s="3" t="n">
        <v>-0.0084</v>
      </c>
    </row>
    <row r="3876" customFormat="false" ht="15" hidden="false" customHeight="true" outlineLevel="0" collapsed="false">
      <c r="A3876" s="3" t="s">
        <v>5031</v>
      </c>
      <c r="B3876" s="3" t="s">
        <v>1270</v>
      </c>
      <c r="C3876" s="3" t="s">
        <v>60</v>
      </c>
      <c r="D3876" s="3" t="s">
        <v>97</v>
      </c>
      <c r="E3876" s="3" t="s">
        <v>48</v>
      </c>
      <c r="F3876" s="3" t="s">
        <v>40</v>
      </c>
      <c r="G3876" s="3" t="s">
        <v>71</v>
      </c>
      <c r="H3876" s="3" t="s">
        <v>56</v>
      </c>
      <c r="I3876" s="3" t="s">
        <v>121</v>
      </c>
      <c r="J3876" s="3" t="n">
        <v>19</v>
      </c>
      <c r="K3876" s="3" t="n">
        <v>9353.02</v>
      </c>
      <c r="L3876" s="3" t="n">
        <v>177707.38</v>
      </c>
      <c r="M3876" s="3" t="n">
        <v>0.0665</v>
      </c>
      <c r="N3876" s="3" t="n">
        <v>11817.54</v>
      </c>
      <c r="O3876" s="3" t="n">
        <v>165889.84</v>
      </c>
      <c r="P3876" s="3" t="n">
        <v>106624.43</v>
      </c>
      <c r="Q3876" s="3" t="n">
        <v>59265.41</v>
      </c>
      <c r="R3876" s="3" t="n">
        <v>0.3573</v>
      </c>
      <c r="S3876" s="3" t="n">
        <v>0.0602</v>
      </c>
      <c r="T3876" s="3" t="n">
        <v>0.0063</v>
      </c>
    </row>
    <row r="3877" customFormat="false" ht="15" hidden="false" customHeight="true" outlineLevel="0" collapsed="false">
      <c r="A3877" s="3" t="s">
        <v>5032</v>
      </c>
      <c r="B3877" s="3" t="s">
        <v>4992</v>
      </c>
      <c r="C3877" s="3" t="s">
        <v>93</v>
      </c>
      <c r="D3877" s="3" t="s">
        <v>32</v>
      </c>
      <c r="E3877" s="3" t="s">
        <v>33</v>
      </c>
      <c r="F3877" s="3" t="s">
        <v>25</v>
      </c>
      <c r="G3877" s="3" t="s">
        <v>116</v>
      </c>
      <c r="H3877" s="3" t="s">
        <v>77</v>
      </c>
      <c r="I3877" s="3" t="s">
        <v>78</v>
      </c>
      <c r="J3877" s="3" t="n">
        <v>48</v>
      </c>
      <c r="K3877" s="3" t="n">
        <v>3237.2</v>
      </c>
      <c r="L3877" s="3" t="n">
        <v>155385.6</v>
      </c>
      <c r="M3877" s="3" t="n">
        <v>0.1891</v>
      </c>
      <c r="N3877" s="3" t="n">
        <v>29383.42</v>
      </c>
      <c r="O3877" s="3" t="n">
        <v>126002.18</v>
      </c>
      <c r="P3877" s="3" t="n">
        <v>105662.21</v>
      </c>
      <c r="Q3877" s="3" t="n">
        <v>20339.97</v>
      </c>
      <c r="R3877" s="3" t="n">
        <v>0.1614</v>
      </c>
      <c r="S3877" s="3" t="n">
        <v>0.162</v>
      </c>
      <c r="T3877" s="3" t="n">
        <v>0.0271</v>
      </c>
    </row>
    <row r="3878" customFormat="false" ht="15" hidden="false" customHeight="true" outlineLevel="0" collapsed="false">
      <c r="A3878" s="3" t="s">
        <v>5033</v>
      </c>
      <c r="B3878" s="3" t="s">
        <v>1938</v>
      </c>
      <c r="C3878" s="3" t="s">
        <v>93</v>
      </c>
      <c r="D3878" s="3" t="s">
        <v>107</v>
      </c>
      <c r="E3878" s="3" t="s">
        <v>33</v>
      </c>
      <c r="F3878" s="3" t="s">
        <v>70</v>
      </c>
      <c r="G3878" s="3" t="s">
        <v>41</v>
      </c>
      <c r="H3878" s="3" t="s">
        <v>27</v>
      </c>
      <c r="I3878" s="3" t="s">
        <v>94</v>
      </c>
      <c r="J3878" s="3" t="n">
        <v>32</v>
      </c>
      <c r="K3878" s="3" t="n">
        <v>31386.33</v>
      </c>
      <c r="L3878" s="3" t="n">
        <v>1004362.56</v>
      </c>
      <c r="M3878" s="3" t="n">
        <v>0.0968</v>
      </c>
      <c r="N3878" s="3" t="n">
        <v>97222.3</v>
      </c>
      <c r="O3878" s="3" t="n">
        <v>907140.26</v>
      </c>
      <c r="P3878" s="3" t="n">
        <v>622704.79</v>
      </c>
      <c r="Q3878" s="3" t="n">
        <v>284435.47</v>
      </c>
      <c r="R3878" s="3" t="n">
        <v>0.3136</v>
      </c>
      <c r="S3878" s="3" t="n">
        <v>0.1049</v>
      </c>
      <c r="T3878" s="3" t="n">
        <v>-0.0081</v>
      </c>
    </row>
    <row r="3879" customFormat="false" ht="15" hidden="false" customHeight="true" outlineLevel="0" collapsed="false">
      <c r="A3879" s="3" t="s">
        <v>5034</v>
      </c>
      <c r="B3879" s="3" t="s">
        <v>479</v>
      </c>
      <c r="C3879" s="3" t="s">
        <v>37</v>
      </c>
      <c r="D3879" s="3" t="s">
        <v>54</v>
      </c>
      <c r="E3879" s="3" t="s">
        <v>24</v>
      </c>
      <c r="F3879" s="3" t="s">
        <v>40</v>
      </c>
      <c r="G3879" s="3" t="s">
        <v>55</v>
      </c>
      <c r="H3879" s="3" t="s">
        <v>77</v>
      </c>
      <c r="I3879" s="3" t="s">
        <v>78</v>
      </c>
      <c r="J3879" s="3" t="n">
        <v>40</v>
      </c>
      <c r="K3879" s="3" t="n">
        <v>2346.04</v>
      </c>
      <c r="L3879" s="3" t="n">
        <v>93841.6</v>
      </c>
      <c r="M3879" s="3" t="n">
        <v>0.0764</v>
      </c>
      <c r="N3879" s="3" t="n">
        <v>7169.5</v>
      </c>
      <c r="O3879" s="3" t="n">
        <v>86672.1</v>
      </c>
      <c r="P3879" s="3" t="n">
        <v>63812.29</v>
      </c>
      <c r="Q3879" s="3" t="n">
        <v>22859.81</v>
      </c>
      <c r="R3879" s="3" t="n">
        <v>0.2638</v>
      </c>
      <c r="S3879" s="3" t="n">
        <v>0.0761</v>
      </c>
      <c r="T3879" s="3" t="n">
        <v>0.0003</v>
      </c>
    </row>
    <row r="3880" customFormat="false" ht="15" hidden="false" customHeight="true" outlineLevel="0" collapsed="false">
      <c r="A3880" s="3" t="s">
        <v>5035</v>
      </c>
      <c r="B3880" s="3" t="s">
        <v>426</v>
      </c>
      <c r="C3880" s="3" t="s">
        <v>120</v>
      </c>
      <c r="D3880" s="3" t="s">
        <v>54</v>
      </c>
      <c r="E3880" s="3" t="s">
        <v>24</v>
      </c>
      <c r="F3880" s="3" t="s">
        <v>40</v>
      </c>
      <c r="G3880" s="3" t="s">
        <v>49</v>
      </c>
      <c r="H3880" s="3" t="s">
        <v>64</v>
      </c>
      <c r="I3880" s="3" t="s">
        <v>108</v>
      </c>
      <c r="J3880" s="3" t="n">
        <v>38</v>
      </c>
      <c r="K3880" s="3" t="n">
        <v>6479.66</v>
      </c>
      <c r="L3880" s="3" t="n">
        <v>246227.08</v>
      </c>
      <c r="M3880" s="3" t="n">
        <v>0.0595</v>
      </c>
      <c r="N3880" s="3" t="n">
        <v>14650.51</v>
      </c>
      <c r="O3880" s="3" t="n">
        <v>231576.57</v>
      </c>
      <c r="P3880" s="3" t="n">
        <v>142811.71</v>
      </c>
      <c r="Q3880" s="3" t="n">
        <v>88764.86</v>
      </c>
      <c r="R3880" s="3" t="n">
        <v>0.3833</v>
      </c>
      <c r="S3880" s="3" t="n">
        <v>0.0508</v>
      </c>
      <c r="T3880" s="3" t="n">
        <v>0.0087</v>
      </c>
    </row>
    <row r="3881" customFormat="false" ht="15" hidden="false" customHeight="true" outlineLevel="0" collapsed="false">
      <c r="A3881" s="3" t="s">
        <v>5036</v>
      </c>
      <c r="B3881" s="3" t="s">
        <v>672</v>
      </c>
      <c r="C3881" s="3" t="s">
        <v>120</v>
      </c>
      <c r="D3881" s="3" t="s">
        <v>75</v>
      </c>
      <c r="E3881" s="3" t="s">
        <v>39</v>
      </c>
      <c r="F3881" s="3" t="s">
        <v>25</v>
      </c>
      <c r="G3881" s="3" t="s">
        <v>55</v>
      </c>
      <c r="H3881" s="3" t="s">
        <v>27</v>
      </c>
      <c r="I3881" s="3" t="s">
        <v>28</v>
      </c>
      <c r="J3881" s="3" t="n">
        <v>45</v>
      </c>
      <c r="K3881" s="3" t="n">
        <v>14404.7</v>
      </c>
      <c r="L3881" s="3" t="n">
        <v>648211.5</v>
      </c>
      <c r="M3881" s="3" t="n">
        <v>0.1093</v>
      </c>
      <c r="N3881" s="3" t="n">
        <v>70849.52</v>
      </c>
      <c r="O3881" s="3" t="n">
        <v>577361.98</v>
      </c>
      <c r="P3881" s="3" t="n">
        <v>401891.13</v>
      </c>
      <c r="Q3881" s="3" t="n">
        <v>175470.85</v>
      </c>
      <c r="R3881" s="3" t="n">
        <v>0.3039</v>
      </c>
      <c r="S3881" s="3" t="n">
        <v>0.0923</v>
      </c>
      <c r="T3881" s="3" t="n">
        <v>0.017</v>
      </c>
    </row>
    <row r="3882" customFormat="false" ht="15" hidden="false" customHeight="true" outlineLevel="0" collapsed="false">
      <c r="A3882" s="3" t="s">
        <v>5037</v>
      </c>
      <c r="B3882" s="3" t="s">
        <v>5038</v>
      </c>
      <c r="C3882" s="3" t="s">
        <v>53</v>
      </c>
      <c r="D3882" s="3" t="s">
        <v>83</v>
      </c>
      <c r="E3882" s="3" t="s">
        <v>48</v>
      </c>
      <c r="F3882" s="3" t="s">
        <v>62</v>
      </c>
      <c r="G3882" s="3" t="s">
        <v>116</v>
      </c>
      <c r="H3882" s="3" t="s">
        <v>27</v>
      </c>
      <c r="I3882" s="3" t="s">
        <v>94</v>
      </c>
      <c r="J3882" s="3" t="n">
        <v>38</v>
      </c>
      <c r="K3882" s="3" t="n">
        <v>26195.11</v>
      </c>
      <c r="L3882" s="3" t="n">
        <v>995414.18</v>
      </c>
      <c r="M3882" s="3" t="n">
        <v>0.0872</v>
      </c>
      <c r="N3882" s="3" t="n">
        <v>86800.12</v>
      </c>
      <c r="O3882" s="3" t="n">
        <v>908614.06</v>
      </c>
      <c r="P3882" s="3" t="n">
        <v>617156.79</v>
      </c>
      <c r="Q3882" s="3" t="n">
        <v>291457.27</v>
      </c>
      <c r="R3882" s="3" t="n">
        <v>0.3208</v>
      </c>
      <c r="S3882" s="3" t="n">
        <v>0.0875</v>
      </c>
      <c r="T3882" s="3" t="n">
        <v>-0.0003</v>
      </c>
    </row>
    <row r="3883" customFormat="false" ht="15" hidden="false" customHeight="true" outlineLevel="0" collapsed="false">
      <c r="A3883" s="3" t="s">
        <v>5039</v>
      </c>
      <c r="B3883" s="3" t="s">
        <v>469</v>
      </c>
      <c r="C3883" s="3" t="s">
        <v>46</v>
      </c>
      <c r="D3883" s="3" t="s">
        <v>69</v>
      </c>
      <c r="E3883" s="3" t="s">
        <v>39</v>
      </c>
      <c r="F3883" s="3" t="s">
        <v>70</v>
      </c>
      <c r="G3883" s="3" t="s">
        <v>100</v>
      </c>
      <c r="H3883" s="3" t="s">
        <v>27</v>
      </c>
      <c r="I3883" s="3" t="s">
        <v>117</v>
      </c>
      <c r="J3883" s="3" t="n">
        <v>14</v>
      </c>
      <c r="K3883" s="3" t="n">
        <v>23308.49</v>
      </c>
      <c r="L3883" s="3" t="n">
        <v>326318.86</v>
      </c>
      <c r="M3883" s="3" t="n">
        <v>0.032</v>
      </c>
      <c r="N3883" s="3" t="n">
        <v>10442.2</v>
      </c>
      <c r="O3883" s="3" t="n">
        <v>315876.66</v>
      </c>
      <c r="P3883" s="3" t="n">
        <v>202317.69</v>
      </c>
      <c r="Q3883" s="3" t="n">
        <v>113558.97</v>
      </c>
      <c r="R3883" s="3" t="n">
        <v>0.3595</v>
      </c>
      <c r="S3883" s="3" t="n">
        <v>0.0307</v>
      </c>
      <c r="T3883" s="3" t="n">
        <v>0.0013</v>
      </c>
    </row>
    <row r="3884" customFormat="false" ht="15" hidden="false" customHeight="true" outlineLevel="0" collapsed="false">
      <c r="A3884" s="3" t="s">
        <v>5040</v>
      </c>
      <c r="B3884" s="3" t="s">
        <v>4460</v>
      </c>
      <c r="C3884" s="3" t="s">
        <v>22</v>
      </c>
      <c r="D3884" s="3" t="s">
        <v>107</v>
      </c>
      <c r="E3884" s="3" t="s">
        <v>33</v>
      </c>
      <c r="F3884" s="3" t="s">
        <v>70</v>
      </c>
      <c r="G3884" s="3" t="s">
        <v>34</v>
      </c>
      <c r="H3884" s="3" t="s">
        <v>77</v>
      </c>
      <c r="I3884" s="3" t="s">
        <v>78</v>
      </c>
      <c r="J3884" s="3" t="n">
        <v>22</v>
      </c>
      <c r="K3884" s="3" t="n">
        <v>2330.02</v>
      </c>
      <c r="L3884" s="3" t="n">
        <v>51260.44</v>
      </c>
      <c r="M3884" s="3" t="n">
        <v>0.0865</v>
      </c>
      <c r="N3884" s="3" t="n">
        <v>4434.03</v>
      </c>
      <c r="O3884" s="3" t="n">
        <v>46826.41</v>
      </c>
      <c r="P3884" s="3" t="n">
        <v>34857.1</v>
      </c>
      <c r="Q3884" s="3" t="n">
        <v>11969.31</v>
      </c>
      <c r="R3884" s="3" t="n">
        <v>0.2556</v>
      </c>
      <c r="S3884" s="3" t="n">
        <v>0.0727</v>
      </c>
      <c r="T3884" s="3" t="n">
        <v>0.0138</v>
      </c>
    </row>
    <row r="3885" customFormat="false" ht="15" hidden="false" customHeight="true" outlineLevel="0" collapsed="false">
      <c r="A3885" s="3" t="s">
        <v>5041</v>
      </c>
      <c r="B3885" s="3" t="s">
        <v>972</v>
      </c>
      <c r="C3885" s="3" t="s">
        <v>60</v>
      </c>
      <c r="D3885" s="3" t="s">
        <v>23</v>
      </c>
      <c r="E3885" s="3" t="s">
        <v>24</v>
      </c>
      <c r="F3885" s="3" t="s">
        <v>25</v>
      </c>
      <c r="G3885" s="3" t="s">
        <v>84</v>
      </c>
      <c r="H3885" s="3" t="s">
        <v>42</v>
      </c>
      <c r="I3885" s="3" t="s">
        <v>72</v>
      </c>
      <c r="J3885" s="3" t="n">
        <v>33</v>
      </c>
      <c r="K3885" s="3" t="n">
        <v>1387.53</v>
      </c>
      <c r="L3885" s="3" t="n">
        <v>45788.49</v>
      </c>
      <c r="M3885" s="3" t="n">
        <v>0.0911</v>
      </c>
      <c r="N3885" s="3" t="n">
        <v>4171.33</v>
      </c>
      <c r="O3885" s="3" t="n">
        <v>41617.16</v>
      </c>
      <c r="P3885" s="3" t="n">
        <v>25183.67</v>
      </c>
      <c r="Q3885" s="3" t="n">
        <v>16433.49</v>
      </c>
      <c r="R3885" s="3" t="n">
        <v>0.3949</v>
      </c>
      <c r="S3885" s="3" t="n">
        <v>0.0839</v>
      </c>
      <c r="T3885" s="3" t="n">
        <v>0.0072</v>
      </c>
    </row>
    <row r="3886" customFormat="false" ht="15" hidden="false" customHeight="true" outlineLevel="0" collapsed="false">
      <c r="A3886" s="3" t="s">
        <v>5042</v>
      </c>
      <c r="B3886" s="3" t="s">
        <v>4793</v>
      </c>
      <c r="C3886" s="3" t="s">
        <v>60</v>
      </c>
      <c r="D3886" s="3" t="s">
        <v>23</v>
      </c>
      <c r="E3886" s="3" t="s">
        <v>24</v>
      </c>
      <c r="F3886" s="3" t="s">
        <v>25</v>
      </c>
      <c r="G3886" s="3" t="s">
        <v>76</v>
      </c>
      <c r="H3886" s="3" t="s">
        <v>56</v>
      </c>
      <c r="I3886" s="3" t="s">
        <v>188</v>
      </c>
      <c r="J3886" s="3" t="n">
        <v>8</v>
      </c>
      <c r="K3886" s="3" t="n">
        <v>13936.14</v>
      </c>
      <c r="L3886" s="3" t="n">
        <v>111489.12</v>
      </c>
      <c r="M3886" s="3" t="n">
        <v>0.1382</v>
      </c>
      <c r="N3886" s="3" t="n">
        <v>15407.8</v>
      </c>
      <c r="O3886" s="3" t="n">
        <v>96081.32</v>
      </c>
      <c r="P3886" s="3" t="n">
        <v>66893.47</v>
      </c>
      <c r="Q3886" s="3" t="n">
        <v>29187.85</v>
      </c>
      <c r="R3886" s="3" t="n">
        <v>0.3038</v>
      </c>
      <c r="S3886" s="3" t="n">
        <v>0.1438</v>
      </c>
      <c r="T3886" s="3" t="n">
        <v>-0.0056</v>
      </c>
    </row>
    <row r="3887" customFormat="false" ht="15" hidden="false" customHeight="true" outlineLevel="0" collapsed="false">
      <c r="A3887" s="3" t="s">
        <v>5043</v>
      </c>
      <c r="B3887" s="3" t="s">
        <v>1790</v>
      </c>
      <c r="C3887" s="3" t="s">
        <v>53</v>
      </c>
      <c r="D3887" s="3" t="s">
        <v>75</v>
      </c>
      <c r="E3887" s="3" t="s">
        <v>39</v>
      </c>
      <c r="F3887" s="3" t="s">
        <v>25</v>
      </c>
      <c r="G3887" s="3" t="s">
        <v>116</v>
      </c>
      <c r="H3887" s="3" t="s">
        <v>56</v>
      </c>
      <c r="I3887" s="3" t="s">
        <v>188</v>
      </c>
      <c r="J3887" s="3" t="n">
        <v>30</v>
      </c>
      <c r="K3887" s="3" t="n">
        <v>9047.94</v>
      </c>
      <c r="L3887" s="3" t="n">
        <v>271438.2</v>
      </c>
      <c r="M3887" s="3" t="n">
        <v>0.1797</v>
      </c>
      <c r="N3887" s="3" t="n">
        <v>48777.44</v>
      </c>
      <c r="O3887" s="3" t="n">
        <v>222660.76</v>
      </c>
      <c r="P3887" s="3" t="n">
        <v>162862.92</v>
      </c>
      <c r="Q3887" s="3" t="n">
        <v>59797.84</v>
      </c>
      <c r="R3887" s="3" t="n">
        <v>0.2686</v>
      </c>
      <c r="S3887" s="3" t="n">
        <v>0.1744</v>
      </c>
      <c r="T3887" s="3" t="n">
        <v>0.0053</v>
      </c>
    </row>
    <row r="3888" customFormat="false" ht="15" hidden="false" customHeight="true" outlineLevel="0" collapsed="false">
      <c r="A3888" s="3" t="s">
        <v>5044</v>
      </c>
      <c r="B3888" s="3" t="s">
        <v>2271</v>
      </c>
      <c r="C3888" s="3" t="s">
        <v>93</v>
      </c>
      <c r="D3888" s="3" t="s">
        <v>54</v>
      </c>
      <c r="E3888" s="3" t="s">
        <v>24</v>
      </c>
      <c r="F3888" s="3" t="s">
        <v>40</v>
      </c>
      <c r="G3888" s="3" t="s">
        <v>71</v>
      </c>
      <c r="H3888" s="3" t="s">
        <v>77</v>
      </c>
      <c r="I3888" s="3" t="s">
        <v>78</v>
      </c>
      <c r="J3888" s="3" t="n">
        <v>21</v>
      </c>
      <c r="K3888" s="3" t="n">
        <v>4312.19</v>
      </c>
      <c r="L3888" s="3" t="n">
        <v>90555.99</v>
      </c>
      <c r="M3888" s="3" t="n">
        <v>0.0463</v>
      </c>
      <c r="N3888" s="3" t="n">
        <v>4192.74</v>
      </c>
      <c r="O3888" s="3" t="n">
        <v>86363.25</v>
      </c>
      <c r="P3888" s="3" t="n">
        <v>61578.07</v>
      </c>
      <c r="Q3888" s="3" t="n">
        <v>24785.18</v>
      </c>
      <c r="R3888" s="3" t="n">
        <v>0.287</v>
      </c>
      <c r="S3888" s="3" t="n">
        <v>0.0466</v>
      </c>
      <c r="T3888" s="3" t="n">
        <v>-0.0003</v>
      </c>
    </row>
    <row r="3889" customFormat="false" ht="15" hidden="false" customHeight="true" outlineLevel="0" collapsed="false">
      <c r="A3889" s="3" t="s">
        <v>5045</v>
      </c>
      <c r="B3889" s="3" t="s">
        <v>179</v>
      </c>
      <c r="C3889" s="3" t="s">
        <v>126</v>
      </c>
      <c r="D3889" s="3" t="s">
        <v>83</v>
      </c>
      <c r="E3889" s="3" t="s">
        <v>48</v>
      </c>
      <c r="F3889" s="3" t="s">
        <v>62</v>
      </c>
      <c r="G3889" s="3" t="s">
        <v>116</v>
      </c>
      <c r="H3889" s="3" t="s">
        <v>77</v>
      </c>
      <c r="I3889" s="3" t="s">
        <v>85</v>
      </c>
      <c r="J3889" s="3" t="n">
        <v>14</v>
      </c>
      <c r="K3889" s="3" t="n">
        <v>3401.66</v>
      </c>
      <c r="L3889" s="3" t="n">
        <v>47623.24</v>
      </c>
      <c r="M3889" s="3" t="n">
        <v>0.0587</v>
      </c>
      <c r="N3889" s="3" t="n">
        <v>2795.48</v>
      </c>
      <c r="O3889" s="3" t="n">
        <v>44827.76</v>
      </c>
      <c r="P3889" s="3" t="n">
        <v>32383.8</v>
      </c>
      <c r="Q3889" s="3" t="n">
        <v>12443.96</v>
      </c>
      <c r="R3889" s="3" t="n">
        <v>0.2776</v>
      </c>
      <c r="S3889" s="3" t="n">
        <v>0.0507</v>
      </c>
      <c r="T3889" s="3" t="n">
        <v>0.008</v>
      </c>
    </row>
    <row r="3890" customFormat="false" ht="15" hidden="false" customHeight="true" outlineLevel="0" collapsed="false">
      <c r="A3890" s="3" t="s">
        <v>5046</v>
      </c>
      <c r="B3890" s="3" t="s">
        <v>1623</v>
      </c>
      <c r="C3890" s="3" t="s">
        <v>68</v>
      </c>
      <c r="D3890" s="3" t="s">
        <v>23</v>
      </c>
      <c r="E3890" s="3" t="s">
        <v>24</v>
      </c>
      <c r="F3890" s="3" t="s">
        <v>25</v>
      </c>
      <c r="G3890" s="3" t="s">
        <v>49</v>
      </c>
      <c r="H3890" s="3" t="s">
        <v>42</v>
      </c>
      <c r="I3890" s="3" t="s">
        <v>43</v>
      </c>
      <c r="J3890" s="3" t="n">
        <v>45</v>
      </c>
      <c r="K3890" s="3" t="n">
        <v>1366.72</v>
      </c>
      <c r="L3890" s="3" t="n">
        <v>61502.4</v>
      </c>
      <c r="M3890" s="3" t="n">
        <v>0.129</v>
      </c>
      <c r="N3890" s="3" t="n">
        <v>7933.81</v>
      </c>
      <c r="O3890" s="3" t="n">
        <v>53568.59</v>
      </c>
      <c r="P3890" s="3" t="n">
        <v>33826.32</v>
      </c>
      <c r="Q3890" s="3" t="n">
        <v>19742.27</v>
      </c>
      <c r="R3890" s="3" t="n">
        <v>0.3685</v>
      </c>
      <c r="S3890" s="3" t="n">
        <v>0.1168</v>
      </c>
      <c r="T3890" s="3" t="n">
        <v>0.0122</v>
      </c>
    </row>
    <row r="3891" customFormat="false" ht="15" hidden="false" customHeight="true" outlineLevel="0" collapsed="false">
      <c r="A3891" s="3" t="s">
        <v>5047</v>
      </c>
      <c r="B3891" s="3" t="s">
        <v>1738</v>
      </c>
      <c r="C3891" s="3" t="s">
        <v>113</v>
      </c>
      <c r="D3891" s="3" t="s">
        <v>38</v>
      </c>
      <c r="E3891" s="3" t="s">
        <v>39</v>
      </c>
      <c r="F3891" s="3" t="s">
        <v>40</v>
      </c>
      <c r="G3891" s="3" t="s">
        <v>41</v>
      </c>
      <c r="H3891" s="3" t="s">
        <v>64</v>
      </c>
      <c r="I3891" s="3" t="s">
        <v>90</v>
      </c>
      <c r="J3891" s="3" t="n">
        <v>18</v>
      </c>
      <c r="K3891" s="3" t="n">
        <v>3451.47</v>
      </c>
      <c r="L3891" s="3" t="n">
        <v>62126.46</v>
      </c>
      <c r="M3891" s="3" t="n">
        <v>0.1051</v>
      </c>
      <c r="N3891" s="3" t="n">
        <v>6529.49</v>
      </c>
      <c r="O3891" s="3" t="n">
        <v>55596.97</v>
      </c>
      <c r="P3891" s="3" t="n">
        <v>36033.35</v>
      </c>
      <c r="Q3891" s="3" t="n">
        <v>19563.62</v>
      </c>
      <c r="R3891" s="3" t="n">
        <v>0.3519</v>
      </c>
      <c r="S3891" s="3" t="n">
        <v>0.0961</v>
      </c>
      <c r="T3891" s="3" t="n">
        <v>0.009</v>
      </c>
    </row>
    <row r="3892" customFormat="false" ht="15" hidden="false" customHeight="true" outlineLevel="0" collapsed="false">
      <c r="A3892" s="3" t="s">
        <v>5048</v>
      </c>
      <c r="B3892" s="3" t="s">
        <v>2725</v>
      </c>
      <c r="C3892" s="3" t="s">
        <v>53</v>
      </c>
      <c r="D3892" s="3" t="s">
        <v>97</v>
      </c>
      <c r="E3892" s="3" t="s">
        <v>48</v>
      </c>
      <c r="F3892" s="3" t="s">
        <v>40</v>
      </c>
      <c r="G3892" s="3" t="s">
        <v>71</v>
      </c>
      <c r="H3892" s="3" t="s">
        <v>42</v>
      </c>
      <c r="I3892" s="3" t="s">
        <v>134</v>
      </c>
      <c r="J3892" s="3" t="n">
        <v>27</v>
      </c>
      <c r="K3892" s="3" t="n">
        <v>1733.19</v>
      </c>
      <c r="L3892" s="3" t="n">
        <v>46796.13</v>
      </c>
      <c r="M3892" s="3" t="n">
        <v>0.0393</v>
      </c>
      <c r="N3892" s="3" t="n">
        <v>1839.09</v>
      </c>
      <c r="O3892" s="3" t="n">
        <v>44957.04</v>
      </c>
      <c r="P3892" s="3" t="n">
        <v>25737.87</v>
      </c>
      <c r="Q3892" s="3" t="n">
        <v>19219.17</v>
      </c>
      <c r="R3892" s="3" t="n">
        <v>0.4275</v>
      </c>
      <c r="S3892" s="3" t="n">
        <v>0.0338</v>
      </c>
      <c r="T3892" s="3" t="n">
        <v>0.0055</v>
      </c>
    </row>
    <row r="3893" customFormat="false" ht="15" hidden="false" customHeight="true" outlineLevel="0" collapsed="false">
      <c r="A3893" s="3" t="s">
        <v>5049</v>
      </c>
      <c r="B3893" s="3" t="s">
        <v>892</v>
      </c>
      <c r="C3893" s="3" t="s">
        <v>68</v>
      </c>
      <c r="D3893" s="3" t="s">
        <v>38</v>
      </c>
      <c r="E3893" s="3" t="s">
        <v>39</v>
      </c>
      <c r="F3893" s="3" t="s">
        <v>40</v>
      </c>
      <c r="G3893" s="3" t="s">
        <v>100</v>
      </c>
      <c r="H3893" s="3" t="s">
        <v>27</v>
      </c>
      <c r="I3893" s="3" t="s">
        <v>173</v>
      </c>
      <c r="J3893" s="3" t="n">
        <v>30</v>
      </c>
      <c r="K3893" s="3" t="n">
        <v>20082.16</v>
      </c>
      <c r="L3893" s="3" t="n">
        <v>602464.8</v>
      </c>
      <c r="M3893" s="3" t="n">
        <v>0.0788</v>
      </c>
      <c r="N3893" s="3" t="n">
        <v>47474.23</v>
      </c>
      <c r="O3893" s="3" t="n">
        <v>554990.57</v>
      </c>
      <c r="P3893" s="3" t="n">
        <v>373528.18</v>
      </c>
      <c r="Q3893" s="3" t="n">
        <v>181462.39</v>
      </c>
      <c r="R3893" s="3" t="n">
        <v>0.327</v>
      </c>
      <c r="S3893" s="3" t="n">
        <v>0.0758</v>
      </c>
      <c r="T3893" s="3" t="n">
        <v>0.003</v>
      </c>
    </row>
    <row r="3894" customFormat="false" ht="15" hidden="false" customHeight="true" outlineLevel="0" collapsed="false">
      <c r="A3894" s="3" t="s">
        <v>5050</v>
      </c>
      <c r="B3894" s="3" t="s">
        <v>1971</v>
      </c>
      <c r="C3894" s="3" t="s">
        <v>126</v>
      </c>
      <c r="D3894" s="3" t="s">
        <v>103</v>
      </c>
      <c r="E3894" s="3" t="s">
        <v>24</v>
      </c>
      <c r="F3894" s="3" t="s">
        <v>62</v>
      </c>
      <c r="G3894" s="3" t="s">
        <v>55</v>
      </c>
      <c r="H3894" s="3" t="s">
        <v>27</v>
      </c>
      <c r="I3894" s="3" t="s">
        <v>173</v>
      </c>
      <c r="J3894" s="3" t="n">
        <v>15</v>
      </c>
      <c r="K3894" s="3" t="n">
        <v>32288.55</v>
      </c>
      <c r="L3894" s="3" t="n">
        <v>484328.25</v>
      </c>
      <c r="M3894" s="3" t="n">
        <v>0.0687</v>
      </c>
      <c r="N3894" s="3" t="n">
        <v>33273.35</v>
      </c>
      <c r="O3894" s="3" t="n">
        <v>451054.9</v>
      </c>
      <c r="P3894" s="3" t="n">
        <v>300283.52</v>
      </c>
      <c r="Q3894" s="3" t="n">
        <v>150771.38</v>
      </c>
      <c r="R3894" s="3" t="n">
        <v>0.3343</v>
      </c>
      <c r="S3894" s="3" t="n">
        <v>0.0604</v>
      </c>
      <c r="T3894" s="3" t="n">
        <v>0.0083</v>
      </c>
    </row>
    <row r="3895" customFormat="false" ht="15" hidden="false" customHeight="true" outlineLevel="0" collapsed="false">
      <c r="A3895" s="3" t="s">
        <v>5051</v>
      </c>
      <c r="B3895" s="3" t="s">
        <v>440</v>
      </c>
      <c r="C3895" s="3" t="s">
        <v>53</v>
      </c>
      <c r="D3895" s="3" t="s">
        <v>61</v>
      </c>
      <c r="E3895" s="3" t="s">
        <v>33</v>
      </c>
      <c r="F3895" s="3" t="s">
        <v>62</v>
      </c>
      <c r="G3895" s="3" t="s">
        <v>104</v>
      </c>
      <c r="H3895" s="3" t="s">
        <v>27</v>
      </c>
      <c r="I3895" s="3" t="s">
        <v>28</v>
      </c>
      <c r="J3895" s="3" t="n">
        <v>32</v>
      </c>
      <c r="K3895" s="3" t="n">
        <v>17594.94</v>
      </c>
      <c r="L3895" s="3" t="n">
        <v>563038.08</v>
      </c>
      <c r="M3895" s="3" t="n">
        <v>0.1127</v>
      </c>
      <c r="N3895" s="3" t="n">
        <v>63454.39</v>
      </c>
      <c r="O3895" s="3" t="n">
        <v>499583.69</v>
      </c>
      <c r="P3895" s="3" t="n">
        <v>349083.61</v>
      </c>
      <c r="Q3895" s="3" t="n">
        <v>150500.08</v>
      </c>
      <c r="R3895" s="3" t="n">
        <v>0.3013</v>
      </c>
      <c r="S3895" s="3" t="n">
        <v>0.1112</v>
      </c>
      <c r="T3895" s="3" t="n">
        <v>0.0015</v>
      </c>
    </row>
    <row r="3896" customFormat="false" ht="15" hidden="false" customHeight="true" outlineLevel="0" collapsed="false">
      <c r="A3896" s="3" t="s">
        <v>5052</v>
      </c>
      <c r="B3896" s="3" t="s">
        <v>813</v>
      </c>
      <c r="C3896" s="3" t="s">
        <v>22</v>
      </c>
      <c r="D3896" s="3" t="s">
        <v>103</v>
      </c>
      <c r="E3896" s="3" t="s">
        <v>24</v>
      </c>
      <c r="F3896" s="3" t="s">
        <v>62</v>
      </c>
      <c r="G3896" s="3" t="s">
        <v>41</v>
      </c>
      <c r="H3896" s="3" t="s">
        <v>42</v>
      </c>
      <c r="I3896" s="3" t="s">
        <v>72</v>
      </c>
      <c r="J3896" s="3" t="n">
        <v>1</v>
      </c>
      <c r="K3896" s="3" t="n">
        <v>901.56</v>
      </c>
      <c r="L3896" s="3" t="n">
        <v>901.56</v>
      </c>
      <c r="M3896" s="3" t="n">
        <v>0.0763</v>
      </c>
      <c r="N3896" s="3" t="n">
        <v>68.79</v>
      </c>
      <c r="O3896" s="3" t="n">
        <v>832.77</v>
      </c>
      <c r="P3896" s="3" t="n">
        <v>495.86</v>
      </c>
      <c r="Q3896" s="3" t="n">
        <v>336.91</v>
      </c>
      <c r="R3896" s="3" t="n">
        <v>0.4046</v>
      </c>
      <c r="S3896" s="3" t="n">
        <v>0.0726</v>
      </c>
      <c r="T3896" s="3" t="n">
        <v>0.0037</v>
      </c>
    </row>
    <row r="3897" customFormat="false" ht="15" hidden="false" customHeight="true" outlineLevel="0" collapsed="false">
      <c r="A3897" s="3" t="s">
        <v>5053</v>
      </c>
      <c r="B3897" s="3" t="s">
        <v>2325</v>
      </c>
      <c r="C3897" s="3" t="s">
        <v>60</v>
      </c>
      <c r="D3897" s="3" t="s">
        <v>23</v>
      </c>
      <c r="E3897" s="3" t="s">
        <v>24</v>
      </c>
      <c r="F3897" s="3" t="s">
        <v>25</v>
      </c>
      <c r="G3897" s="3" t="s">
        <v>55</v>
      </c>
      <c r="H3897" s="3" t="s">
        <v>56</v>
      </c>
      <c r="I3897" s="3" t="s">
        <v>57</v>
      </c>
      <c r="J3897" s="3" t="n">
        <v>40</v>
      </c>
      <c r="K3897" s="3" t="n">
        <v>16298.41</v>
      </c>
      <c r="L3897" s="3" t="n">
        <v>651936.4</v>
      </c>
      <c r="M3897" s="3" t="n">
        <v>0.1192</v>
      </c>
      <c r="N3897" s="3" t="n">
        <v>77710.82</v>
      </c>
      <c r="O3897" s="3" t="n">
        <v>574225.58</v>
      </c>
      <c r="P3897" s="3" t="n">
        <v>391161.84</v>
      </c>
      <c r="Q3897" s="3" t="n">
        <v>183063.74</v>
      </c>
      <c r="R3897" s="3" t="n">
        <v>0.3188</v>
      </c>
      <c r="S3897" s="3" t="n">
        <v>0.1226</v>
      </c>
      <c r="T3897" s="3" t="n">
        <v>-0.0034</v>
      </c>
    </row>
    <row r="3898" customFormat="false" ht="15" hidden="false" customHeight="true" outlineLevel="0" collapsed="false">
      <c r="A3898" s="3" t="s">
        <v>5054</v>
      </c>
      <c r="B3898" s="3" t="s">
        <v>3151</v>
      </c>
      <c r="C3898" s="3" t="s">
        <v>68</v>
      </c>
      <c r="D3898" s="3" t="s">
        <v>23</v>
      </c>
      <c r="E3898" s="3" t="s">
        <v>24</v>
      </c>
      <c r="F3898" s="3" t="s">
        <v>25</v>
      </c>
      <c r="G3898" s="3" t="s">
        <v>49</v>
      </c>
      <c r="H3898" s="3" t="s">
        <v>56</v>
      </c>
      <c r="I3898" s="3" t="s">
        <v>188</v>
      </c>
      <c r="J3898" s="3" t="n">
        <v>21</v>
      </c>
      <c r="K3898" s="3" t="n">
        <v>9172.77</v>
      </c>
      <c r="L3898" s="3" t="n">
        <v>192628.17</v>
      </c>
      <c r="M3898" s="3" t="n">
        <v>0.105</v>
      </c>
      <c r="N3898" s="3" t="n">
        <v>20225.96</v>
      </c>
      <c r="O3898" s="3" t="n">
        <v>172402.21</v>
      </c>
      <c r="P3898" s="3" t="n">
        <v>115576.9</v>
      </c>
      <c r="Q3898" s="3" t="n">
        <v>56825.31</v>
      </c>
      <c r="R3898" s="3" t="n">
        <v>0.3296</v>
      </c>
      <c r="S3898" s="3" t="n">
        <v>0.112</v>
      </c>
      <c r="T3898" s="3" t="n">
        <v>-0.007</v>
      </c>
    </row>
    <row r="3899" customFormat="false" ht="15" hidden="false" customHeight="true" outlineLevel="0" collapsed="false">
      <c r="A3899" s="3" t="s">
        <v>5055</v>
      </c>
      <c r="B3899" s="3" t="s">
        <v>149</v>
      </c>
      <c r="C3899" s="3" t="s">
        <v>126</v>
      </c>
      <c r="D3899" s="3" t="s">
        <v>61</v>
      </c>
      <c r="E3899" s="3" t="s">
        <v>33</v>
      </c>
      <c r="F3899" s="3" t="s">
        <v>62</v>
      </c>
      <c r="G3899" s="3" t="s">
        <v>49</v>
      </c>
      <c r="H3899" s="3" t="s">
        <v>27</v>
      </c>
      <c r="I3899" s="3" t="s">
        <v>28</v>
      </c>
      <c r="J3899" s="3" t="n">
        <v>3</v>
      </c>
      <c r="K3899" s="3" t="n">
        <v>30932.47</v>
      </c>
      <c r="L3899" s="3" t="n">
        <v>92797.41</v>
      </c>
      <c r="M3899" s="3" t="n">
        <v>0.0728</v>
      </c>
      <c r="N3899" s="3" t="n">
        <v>6755.65</v>
      </c>
      <c r="O3899" s="3" t="n">
        <v>86041.76</v>
      </c>
      <c r="P3899" s="3" t="n">
        <v>57534.39</v>
      </c>
      <c r="Q3899" s="3" t="n">
        <v>28507.37</v>
      </c>
      <c r="R3899" s="3" t="n">
        <v>0.3313</v>
      </c>
      <c r="S3899" s="3" t="n">
        <v>0.0682</v>
      </c>
      <c r="T3899" s="3" t="n">
        <v>0.0046</v>
      </c>
    </row>
    <row r="3900" customFormat="false" ht="15" hidden="false" customHeight="true" outlineLevel="0" collapsed="false">
      <c r="A3900" s="3" t="s">
        <v>5056</v>
      </c>
      <c r="B3900" s="3" t="s">
        <v>1980</v>
      </c>
      <c r="C3900" s="3" t="s">
        <v>37</v>
      </c>
      <c r="D3900" s="3" t="s">
        <v>47</v>
      </c>
      <c r="E3900" s="3" t="s">
        <v>48</v>
      </c>
      <c r="F3900" s="3" t="s">
        <v>25</v>
      </c>
      <c r="G3900" s="3" t="s">
        <v>63</v>
      </c>
      <c r="H3900" s="3" t="s">
        <v>27</v>
      </c>
      <c r="I3900" s="3" t="s">
        <v>28</v>
      </c>
      <c r="J3900" s="3" t="n">
        <v>44</v>
      </c>
      <c r="K3900" s="3" t="n">
        <v>17161.36</v>
      </c>
      <c r="L3900" s="3" t="n">
        <v>755099.84</v>
      </c>
      <c r="M3900" s="3" t="n">
        <v>0.0931</v>
      </c>
      <c r="N3900" s="3" t="n">
        <v>70299.8</v>
      </c>
      <c r="O3900" s="3" t="n">
        <v>684800.04</v>
      </c>
      <c r="P3900" s="3" t="n">
        <v>468161.9</v>
      </c>
      <c r="Q3900" s="3" t="n">
        <v>216638.14</v>
      </c>
      <c r="R3900" s="3" t="n">
        <v>0.3164</v>
      </c>
      <c r="S3900" s="3" t="n">
        <v>0.0998</v>
      </c>
      <c r="T3900" s="3" t="n">
        <v>-0.0067</v>
      </c>
    </row>
    <row r="3901" customFormat="false" ht="15" hidden="false" customHeight="true" outlineLevel="0" collapsed="false">
      <c r="A3901" s="3" t="s">
        <v>5057</v>
      </c>
      <c r="B3901" s="3" t="s">
        <v>2071</v>
      </c>
      <c r="C3901" s="3" t="s">
        <v>53</v>
      </c>
      <c r="D3901" s="3" t="s">
        <v>54</v>
      </c>
      <c r="E3901" s="3" t="s">
        <v>24</v>
      </c>
      <c r="F3901" s="3" t="s">
        <v>40</v>
      </c>
      <c r="G3901" s="3" t="s">
        <v>104</v>
      </c>
      <c r="H3901" s="3" t="s">
        <v>77</v>
      </c>
      <c r="I3901" s="3" t="s">
        <v>131</v>
      </c>
      <c r="J3901" s="3" t="n">
        <v>8</v>
      </c>
      <c r="K3901" s="3" t="n">
        <v>5577.76</v>
      </c>
      <c r="L3901" s="3" t="n">
        <v>44622.08</v>
      </c>
      <c r="M3901" s="3" t="n">
        <v>0.1052</v>
      </c>
      <c r="N3901" s="3" t="n">
        <v>4694.24</v>
      </c>
      <c r="O3901" s="3" t="n">
        <v>39927.84</v>
      </c>
      <c r="P3901" s="3" t="n">
        <v>30343.01</v>
      </c>
      <c r="Q3901" s="3" t="n">
        <v>9584.83</v>
      </c>
      <c r="R3901" s="3" t="n">
        <v>0.2401</v>
      </c>
      <c r="S3901" s="3" t="n">
        <v>0.1092</v>
      </c>
      <c r="T3901" s="3" t="n">
        <v>-0.004</v>
      </c>
    </row>
    <row r="3902" customFormat="false" ht="15" hidden="false" customHeight="true" outlineLevel="0" collapsed="false">
      <c r="A3902" s="3" t="s">
        <v>5058</v>
      </c>
      <c r="B3902" s="3" t="s">
        <v>1017</v>
      </c>
      <c r="C3902" s="3" t="s">
        <v>22</v>
      </c>
      <c r="D3902" s="3" t="s">
        <v>38</v>
      </c>
      <c r="E3902" s="3" t="s">
        <v>39</v>
      </c>
      <c r="F3902" s="3" t="s">
        <v>40</v>
      </c>
      <c r="G3902" s="3" t="s">
        <v>71</v>
      </c>
      <c r="H3902" s="3" t="s">
        <v>64</v>
      </c>
      <c r="I3902" s="3" t="s">
        <v>108</v>
      </c>
      <c r="J3902" s="3" t="n">
        <v>19</v>
      </c>
      <c r="K3902" s="3" t="n">
        <v>5249.63</v>
      </c>
      <c r="L3902" s="3" t="n">
        <v>99742.97</v>
      </c>
      <c r="M3902" s="3" t="n">
        <v>0.0302</v>
      </c>
      <c r="N3902" s="3" t="n">
        <v>3012.24</v>
      </c>
      <c r="O3902" s="3" t="n">
        <v>96730.73</v>
      </c>
      <c r="P3902" s="3" t="n">
        <v>57850.92</v>
      </c>
      <c r="Q3902" s="3" t="n">
        <v>38879.81</v>
      </c>
      <c r="R3902" s="3" t="n">
        <v>0.4019</v>
      </c>
      <c r="S3902" s="3" t="n">
        <v>0.031</v>
      </c>
      <c r="T3902" s="3" t="n">
        <v>-0.0008</v>
      </c>
    </row>
    <row r="3903" customFormat="false" ht="15" hidden="false" customHeight="true" outlineLevel="0" collapsed="false">
      <c r="A3903" s="3" t="s">
        <v>5059</v>
      </c>
      <c r="B3903" s="3" t="s">
        <v>1588</v>
      </c>
      <c r="C3903" s="3" t="s">
        <v>37</v>
      </c>
      <c r="D3903" s="3" t="s">
        <v>69</v>
      </c>
      <c r="E3903" s="3" t="s">
        <v>39</v>
      </c>
      <c r="F3903" s="3" t="s">
        <v>70</v>
      </c>
      <c r="G3903" s="3" t="s">
        <v>76</v>
      </c>
      <c r="H3903" s="3" t="s">
        <v>42</v>
      </c>
      <c r="I3903" s="3" t="s">
        <v>43</v>
      </c>
      <c r="J3903" s="3" t="n">
        <v>4</v>
      </c>
      <c r="K3903" s="3" t="n">
        <v>1847.22</v>
      </c>
      <c r="L3903" s="3" t="n">
        <v>7388.88</v>
      </c>
      <c r="M3903" s="3" t="n">
        <v>0.0759</v>
      </c>
      <c r="N3903" s="3" t="n">
        <v>560.82</v>
      </c>
      <c r="O3903" s="3" t="n">
        <v>6828.06</v>
      </c>
      <c r="P3903" s="3" t="n">
        <v>4063.88</v>
      </c>
      <c r="Q3903" s="3" t="n">
        <v>2764.18</v>
      </c>
      <c r="R3903" s="3" t="n">
        <v>0.4048</v>
      </c>
      <c r="S3903" s="3" t="n">
        <v>0.0797</v>
      </c>
      <c r="T3903" s="3" t="n">
        <v>-0.0038</v>
      </c>
    </row>
    <row r="3904" customFormat="false" ht="15" hidden="false" customHeight="true" outlineLevel="0" collapsed="false">
      <c r="A3904" s="3" t="s">
        <v>5060</v>
      </c>
      <c r="B3904" s="3" t="s">
        <v>718</v>
      </c>
      <c r="C3904" s="3" t="s">
        <v>53</v>
      </c>
      <c r="D3904" s="3" t="s">
        <v>54</v>
      </c>
      <c r="E3904" s="3" t="s">
        <v>24</v>
      </c>
      <c r="F3904" s="3" t="s">
        <v>40</v>
      </c>
      <c r="G3904" s="3" t="s">
        <v>104</v>
      </c>
      <c r="H3904" s="3" t="s">
        <v>77</v>
      </c>
      <c r="I3904" s="3" t="s">
        <v>85</v>
      </c>
      <c r="J3904" s="3" t="n">
        <v>4</v>
      </c>
      <c r="K3904" s="3" t="n">
        <v>4659.56</v>
      </c>
      <c r="L3904" s="3" t="n">
        <v>18638.24</v>
      </c>
      <c r="M3904" s="3" t="n">
        <v>0.1027</v>
      </c>
      <c r="N3904" s="3" t="n">
        <v>1914.15</v>
      </c>
      <c r="O3904" s="3" t="n">
        <v>16724.09</v>
      </c>
      <c r="P3904" s="3" t="n">
        <v>12674</v>
      </c>
      <c r="Q3904" s="3" t="n">
        <v>4050.09</v>
      </c>
      <c r="R3904" s="3" t="n">
        <v>0.2422</v>
      </c>
      <c r="S3904" s="3" t="n">
        <v>0.1107</v>
      </c>
      <c r="T3904" s="3" t="n">
        <v>-0.008</v>
      </c>
    </row>
    <row r="3905" customFormat="false" ht="15" hidden="false" customHeight="true" outlineLevel="0" collapsed="false">
      <c r="A3905" s="3" t="s">
        <v>5061</v>
      </c>
      <c r="B3905" s="3" t="s">
        <v>5062</v>
      </c>
      <c r="C3905" s="3" t="s">
        <v>46</v>
      </c>
      <c r="D3905" s="3" t="s">
        <v>107</v>
      </c>
      <c r="E3905" s="3" t="s">
        <v>33</v>
      </c>
      <c r="F3905" s="3" t="s">
        <v>70</v>
      </c>
      <c r="G3905" s="3" t="s">
        <v>84</v>
      </c>
      <c r="H3905" s="3" t="s">
        <v>27</v>
      </c>
      <c r="I3905" s="3" t="s">
        <v>28</v>
      </c>
      <c r="J3905" s="3" t="n">
        <v>50</v>
      </c>
      <c r="K3905" s="3" t="n">
        <v>26498.88</v>
      </c>
      <c r="L3905" s="3" t="n">
        <v>1324944</v>
      </c>
      <c r="M3905" s="3" t="n">
        <v>0.0479</v>
      </c>
      <c r="N3905" s="3" t="n">
        <v>63464.82</v>
      </c>
      <c r="O3905" s="3" t="n">
        <v>1261479.18</v>
      </c>
      <c r="P3905" s="3" t="n">
        <v>821465.28</v>
      </c>
      <c r="Q3905" s="3" t="n">
        <v>440013.9</v>
      </c>
      <c r="R3905" s="3" t="n">
        <v>0.3488</v>
      </c>
      <c r="S3905" s="3" t="n">
        <v>0.041</v>
      </c>
      <c r="T3905" s="3" t="n">
        <v>0.0069</v>
      </c>
    </row>
    <row r="3906" customFormat="false" ht="15" hidden="false" customHeight="true" outlineLevel="0" collapsed="false">
      <c r="A3906" s="3" t="s">
        <v>5063</v>
      </c>
      <c r="B3906" s="3" t="s">
        <v>1178</v>
      </c>
      <c r="C3906" s="3" t="s">
        <v>60</v>
      </c>
      <c r="D3906" s="3" t="s">
        <v>75</v>
      </c>
      <c r="E3906" s="3" t="s">
        <v>39</v>
      </c>
      <c r="F3906" s="3" t="s">
        <v>25</v>
      </c>
      <c r="G3906" s="3" t="s">
        <v>71</v>
      </c>
      <c r="H3906" s="3" t="s">
        <v>27</v>
      </c>
      <c r="I3906" s="3" t="s">
        <v>50</v>
      </c>
      <c r="J3906" s="3" t="n">
        <v>6</v>
      </c>
      <c r="K3906" s="3" t="n">
        <v>32401.44</v>
      </c>
      <c r="L3906" s="3" t="n">
        <v>194408.64</v>
      </c>
      <c r="M3906" s="3" t="n">
        <v>0.107</v>
      </c>
      <c r="N3906" s="3" t="n">
        <v>20801.72</v>
      </c>
      <c r="O3906" s="3" t="n">
        <v>173606.92</v>
      </c>
      <c r="P3906" s="3" t="n">
        <v>120533.36</v>
      </c>
      <c r="Q3906" s="3" t="n">
        <v>53073.56</v>
      </c>
      <c r="R3906" s="3" t="n">
        <v>0.3057</v>
      </c>
      <c r="S3906" s="3" t="n">
        <v>0.091</v>
      </c>
      <c r="T3906" s="3" t="n">
        <v>0.016</v>
      </c>
    </row>
    <row r="3907" customFormat="false" ht="15" hidden="false" customHeight="true" outlineLevel="0" collapsed="false">
      <c r="A3907" s="3" t="s">
        <v>5064</v>
      </c>
      <c r="B3907" s="3" t="s">
        <v>456</v>
      </c>
      <c r="C3907" s="3" t="s">
        <v>37</v>
      </c>
      <c r="D3907" s="3" t="s">
        <v>23</v>
      </c>
      <c r="E3907" s="3" t="s">
        <v>24</v>
      </c>
      <c r="F3907" s="3" t="s">
        <v>25</v>
      </c>
      <c r="G3907" s="3" t="s">
        <v>49</v>
      </c>
      <c r="H3907" s="3" t="s">
        <v>27</v>
      </c>
      <c r="I3907" s="3" t="s">
        <v>173</v>
      </c>
      <c r="J3907" s="3" t="n">
        <v>25</v>
      </c>
      <c r="K3907" s="3" t="n">
        <v>20779.52</v>
      </c>
      <c r="L3907" s="3" t="n">
        <v>519488</v>
      </c>
      <c r="M3907" s="3" t="n">
        <v>0.1682</v>
      </c>
      <c r="N3907" s="3" t="n">
        <v>87377.88</v>
      </c>
      <c r="O3907" s="3" t="n">
        <v>432110.12</v>
      </c>
      <c r="P3907" s="3" t="n">
        <v>322082.56</v>
      </c>
      <c r="Q3907" s="3" t="n">
        <v>110027.56</v>
      </c>
      <c r="R3907" s="3" t="n">
        <v>0.2546</v>
      </c>
      <c r="S3907" s="3" t="n">
        <v>0.1565</v>
      </c>
      <c r="T3907" s="3" t="n">
        <v>0.0117</v>
      </c>
    </row>
    <row r="3908" customFormat="false" ht="15" hidden="false" customHeight="true" outlineLevel="0" collapsed="false">
      <c r="A3908" s="3" t="s">
        <v>5065</v>
      </c>
      <c r="B3908" s="3" t="s">
        <v>3951</v>
      </c>
      <c r="C3908" s="3" t="s">
        <v>113</v>
      </c>
      <c r="D3908" s="3" t="s">
        <v>23</v>
      </c>
      <c r="E3908" s="3" t="s">
        <v>24</v>
      </c>
      <c r="F3908" s="3" t="s">
        <v>25</v>
      </c>
      <c r="G3908" s="3" t="s">
        <v>26</v>
      </c>
      <c r="H3908" s="3" t="s">
        <v>27</v>
      </c>
      <c r="I3908" s="3" t="s">
        <v>94</v>
      </c>
      <c r="J3908" s="3" t="n">
        <v>22</v>
      </c>
      <c r="K3908" s="3" t="n">
        <v>38536.62</v>
      </c>
      <c r="L3908" s="3" t="n">
        <v>847805.64</v>
      </c>
      <c r="M3908" s="3" t="n">
        <v>0.0988</v>
      </c>
      <c r="N3908" s="3" t="n">
        <v>83763.2</v>
      </c>
      <c r="O3908" s="3" t="n">
        <v>764042.44</v>
      </c>
      <c r="P3908" s="3" t="n">
        <v>525639.5</v>
      </c>
      <c r="Q3908" s="3" t="n">
        <v>238402.94</v>
      </c>
      <c r="R3908" s="3" t="n">
        <v>0.312</v>
      </c>
      <c r="S3908" s="3" t="n">
        <v>0.092</v>
      </c>
      <c r="T3908" s="3" t="n">
        <v>0.0068</v>
      </c>
    </row>
    <row r="3909" customFormat="false" ht="15" hidden="false" customHeight="true" outlineLevel="0" collapsed="false">
      <c r="A3909" s="3" t="s">
        <v>5066</v>
      </c>
      <c r="B3909" s="3" t="s">
        <v>1299</v>
      </c>
      <c r="C3909" s="3" t="s">
        <v>22</v>
      </c>
      <c r="D3909" s="3" t="s">
        <v>103</v>
      </c>
      <c r="E3909" s="3" t="s">
        <v>24</v>
      </c>
      <c r="F3909" s="3" t="s">
        <v>62</v>
      </c>
      <c r="G3909" s="3" t="s">
        <v>100</v>
      </c>
      <c r="H3909" s="3" t="s">
        <v>27</v>
      </c>
      <c r="I3909" s="3" t="s">
        <v>117</v>
      </c>
      <c r="J3909" s="3" t="n">
        <v>39</v>
      </c>
      <c r="K3909" s="3" t="n">
        <v>18897.41</v>
      </c>
      <c r="L3909" s="3" t="n">
        <v>736998.99</v>
      </c>
      <c r="M3909" s="3" t="n">
        <v>0.07</v>
      </c>
      <c r="N3909" s="3" t="n">
        <v>51589.93</v>
      </c>
      <c r="O3909" s="3" t="n">
        <v>685409.06</v>
      </c>
      <c r="P3909" s="3" t="n">
        <v>456939.37</v>
      </c>
      <c r="Q3909" s="3" t="n">
        <v>228469.69</v>
      </c>
      <c r="R3909" s="3" t="n">
        <v>0.3333</v>
      </c>
      <c r="S3909" s="3" t="n">
        <v>0.0629</v>
      </c>
      <c r="T3909" s="3" t="n">
        <v>0.0071</v>
      </c>
    </row>
    <row r="3910" customFormat="false" ht="15" hidden="false" customHeight="true" outlineLevel="0" collapsed="false">
      <c r="A3910" s="3" t="s">
        <v>5067</v>
      </c>
      <c r="B3910" s="3" t="s">
        <v>1178</v>
      </c>
      <c r="C3910" s="3" t="s">
        <v>60</v>
      </c>
      <c r="D3910" s="3" t="s">
        <v>47</v>
      </c>
      <c r="E3910" s="3" t="s">
        <v>48</v>
      </c>
      <c r="F3910" s="3" t="s">
        <v>25</v>
      </c>
      <c r="G3910" s="3" t="s">
        <v>116</v>
      </c>
      <c r="H3910" s="3" t="s">
        <v>42</v>
      </c>
      <c r="I3910" s="3" t="s">
        <v>72</v>
      </c>
      <c r="J3910" s="3" t="n">
        <v>40</v>
      </c>
      <c r="K3910" s="3" t="n">
        <v>2037.36</v>
      </c>
      <c r="L3910" s="3" t="n">
        <v>81494.4</v>
      </c>
      <c r="M3910" s="3" t="n">
        <v>0.1437</v>
      </c>
      <c r="N3910" s="3" t="n">
        <v>11710.75</v>
      </c>
      <c r="O3910" s="3" t="n">
        <v>69783.65</v>
      </c>
      <c r="P3910" s="3" t="n">
        <v>44821.92</v>
      </c>
      <c r="Q3910" s="3" t="n">
        <v>24961.73</v>
      </c>
      <c r="R3910" s="3" t="n">
        <v>0.3577</v>
      </c>
      <c r="S3910" s="3" t="n">
        <v>0.1394</v>
      </c>
      <c r="T3910" s="3" t="n">
        <v>0.0043</v>
      </c>
    </row>
    <row r="3911" customFormat="false" ht="15" hidden="false" customHeight="true" outlineLevel="0" collapsed="false">
      <c r="A3911" s="3" t="s">
        <v>5068</v>
      </c>
      <c r="B3911" s="3" t="s">
        <v>942</v>
      </c>
      <c r="C3911" s="3" t="s">
        <v>22</v>
      </c>
      <c r="D3911" s="3" t="s">
        <v>97</v>
      </c>
      <c r="E3911" s="3" t="s">
        <v>48</v>
      </c>
      <c r="F3911" s="3" t="s">
        <v>40</v>
      </c>
      <c r="G3911" s="3" t="s">
        <v>26</v>
      </c>
      <c r="H3911" s="3" t="s">
        <v>42</v>
      </c>
      <c r="I3911" s="3" t="s">
        <v>43</v>
      </c>
      <c r="J3911" s="3" t="n">
        <v>38</v>
      </c>
      <c r="K3911" s="3" t="n">
        <v>3310.48</v>
      </c>
      <c r="L3911" s="3" t="n">
        <v>125798.24</v>
      </c>
      <c r="M3911" s="3" t="n">
        <v>0.0389</v>
      </c>
      <c r="N3911" s="3" t="n">
        <v>4893.55</v>
      </c>
      <c r="O3911" s="3" t="n">
        <v>120904.69</v>
      </c>
      <c r="P3911" s="3" t="n">
        <v>69189.03</v>
      </c>
      <c r="Q3911" s="3" t="n">
        <v>51715.66</v>
      </c>
      <c r="R3911" s="3" t="n">
        <v>0.4277</v>
      </c>
      <c r="S3911" s="3" t="n">
        <v>0.0406</v>
      </c>
      <c r="T3911" s="3" t="n">
        <v>-0.0017</v>
      </c>
    </row>
    <row r="3912" customFormat="false" ht="15" hidden="false" customHeight="true" outlineLevel="0" collapsed="false">
      <c r="A3912" s="3" t="s">
        <v>5069</v>
      </c>
      <c r="B3912" s="3" t="s">
        <v>5070</v>
      </c>
      <c r="C3912" s="3" t="s">
        <v>120</v>
      </c>
      <c r="D3912" s="3" t="s">
        <v>61</v>
      </c>
      <c r="E3912" s="3" t="s">
        <v>33</v>
      </c>
      <c r="F3912" s="3" t="s">
        <v>62</v>
      </c>
      <c r="G3912" s="3" t="s">
        <v>41</v>
      </c>
      <c r="H3912" s="3" t="s">
        <v>27</v>
      </c>
      <c r="I3912" s="3" t="s">
        <v>50</v>
      </c>
      <c r="J3912" s="3" t="n">
        <v>39</v>
      </c>
      <c r="K3912" s="3" t="n">
        <v>26253.73</v>
      </c>
      <c r="L3912" s="3" t="n">
        <v>1023895.47</v>
      </c>
      <c r="M3912" s="3" t="n">
        <v>0.068</v>
      </c>
      <c r="N3912" s="3" t="n">
        <v>69624.89</v>
      </c>
      <c r="O3912" s="3" t="n">
        <v>954270.58</v>
      </c>
      <c r="P3912" s="3" t="n">
        <v>634815.19</v>
      </c>
      <c r="Q3912" s="3" t="n">
        <v>319455.39</v>
      </c>
      <c r="R3912" s="3" t="n">
        <v>0.3348</v>
      </c>
      <c r="S3912" s="3" t="n">
        <v>0.0602</v>
      </c>
      <c r="T3912" s="3" t="n">
        <v>0.0078</v>
      </c>
    </row>
    <row r="3913" customFormat="false" ht="15" hidden="false" customHeight="true" outlineLevel="0" collapsed="false">
      <c r="A3913" s="3" t="s">
        <v>5071</v>
      </c>
      <c r="B3913" s="3" t="s">
        <v>1411</v>
      </c>
      <c r="C3913" s="3" t="s">
        <v>120</v>
      </c>
      <c r="D3913" s="3" t="s">
        <v>61</v>
      </c>
      <c r="E3913" s="3" t="s">
        <v>33</v>
      </c>
      <c r="F3913" s="3" t="s">
        <v>62</v>
      </c>
      <c r="G3913" s="3" t="s">
        <v>26</v>
      </c>
      <c r="H3913" s="3" t="s">
        <v>64</v>
      </c>
      <c r="I3913" s="3" t="s">
        <v>145</v>
      </c>
      <c r="J3913" s="3" t="n">
        <v>37</v>
      </c>
      <c r="K3913" s="3" t="n">
        <v>9329.45</v>
      </c>
      <c r="L3913" s="3" t="n">
        <v>345189.65</v>
      </c>
      <c r="M3913" s="3" t="n">
        <v>0.0591</v>
      </c>
      <c r="N3913" s="3" t="n">
        <v>20400.71</v>
      </c>
      <c r="O3913" s="3" t="n">
        <v>324788.94</v>
      </c>
      <c r="P3913" s="3" t="n">
        <v>200210</v>
      </c>
      <c r="Q3913" s="3" t="n">
        <v>124578.94</v>
      </c>
      <c r="R3913" s="3" t="n">
        <v>0.3836</v>
      </c>
      <c r="S3913" s="3" t="n">
        <v>0.0523</v>
      </c>
      <c r="T3913" s="3" t="n">
        <v>0.0068</v>
      </c>
    </row>
    <row r="3914" customFormat="false" ht="15" hidden="false" customHeight="true" outlineLevel="0" collapsed="false">
      <c r="A3914" s="3" t="s">
        <v>5072</v>
      </c>
      <c r="B3914" s="3" t="s">
        <v>382</v>
      </c>
      <c r="C3914" s="3" t="s">
        <v>93</v>
      </c>
      <c r="D3914" s="3" t="s">
        <v>75</v>
      </c>
      <c r="E3914" s="3" t="s">
        <v>39</v>
      </c>
      <c r="F3914" s="3" t="s">
        <v>25</v>
      </c>
      <c r="G3914" s="3" t="s">
        <v>41</v>
      </c>
      <c r="H3914" s="3" t="s">
        <v>77</v>
      </c>
      <c r="I3914" s="3" t="s">
        <v>78</v>
      </c>
      <c r="J3914" s="3" t="n">
        <v>8</v>
      </c>
      <c r="K3914" s="3" t="n">
        <v>1227.46</v>
      </c>
      <c r="L3914" s="3" t="n">
        <v>9819.68</v>
      </c>
      <c r="M3914" s="3" t="n">
        <v>0.1983</v>
      </c>
      <c r="N3914" s="3" t="n">
        <v>1947.24</v>
      </c>
      <c r="O3914" s="3" t="n">
        <v>7872.44</v>
      </c>
      <c r="P3914" s="3" t="n">
        <v>6677.38</v>
      </c>
      <c r="Q3914" s="3" t="n">
        <v>1195.06</v>
      </c>
      <c r="R3914" s="3" t="n">
        <v>0.1518</v>
      </c>
      <c r="S3914" s="3" t="n">
        <v>0.1766</v>
      </c>
      <c r="T3914" s="3" t="n">
        <v>0.0217</v>
      </c>
    </row>
    <row r="3915" customFormat="false" ht="15" hidden="false" customHeight="true" outlineLevel="0" collapsed="false">
      <c r="A3915" s="3" t="s">
        <v>5073</v>
      </c>
      <c r="B3915" s="3" t="s">
        <v>3296</v>
      </c>
      <c r="C3915" s="3" t="s">
        <v>68</v>
      </c>
      <c r="D3915" s="3" t="s">
        <v>32</v>
      </c>
      <c r="E3915" s="3" t="s">
        <v>33</v>
      </c>
      <c r="F3915" s="3" t="s">
        <v>25</v>
      </c>
      <c r="G3915" s="3" t="s">
        <v>55</v>
      </c>
      <c r="H3915" s="3" t="s">
        <v>64</v>
      </c>
      <c r="I3915" s="3" t="s">
        <v>65</v>
      </c>
      <c r="J3915" s="3" t="n">
        <v>42</v>
      </c>
      <c r="K3915" s="3" t="n">
        <v>11119.54</v>
      </c>
      <c r="L3915" s="3" t="n">
        <v>467020.68</v>
      </c>
      <c r="M3915" s="3" t="n">
        <v>0.1097</v>
      </c>
      <c r="N3915" s="3" t="n">
        <v>51232.17</v>
      </c>
      <c r="O3915" s="3" t="n">
        <v>415788.51</v>
      </c>
      <c r="P3915" s="3" t="n">
        <v>270871.99</v>
      </c>
      <c r="Q3915" s="3" t="n">
        <v>144916.52</v>
      </c>
      <c r="R3915" s="3" t="n">
        <v>0.3485</v>
      </c>
      <c r="S3915" s="3" t="n">
        <v>0.1047</v>
      </c>
      <c r="T3915" s="3" t="n">
        <v>0.005</v>
      </c>
    </row>
    <row r="3916" customFormat="false" ht="15" hidden="false" customHeight="true" outlineLevel="0" collapsed="false">
      <c r="A3916" s="3" t="s">
        <v>5074</v>
      </c>
      <c r="B3916" s="3" t="s">
        <v>2220</v>
      </c>
      <c r="C3916" s="3" t="s">
        <v>60</v>
      </c>
      <c r="D3916" s="3" t="s">
        <v>107</v>
      </c>
      <c r="E3916" s="3" t="s">
        <v>33</v>
      </c>
      <c r="F3916" s="3" t="s">
        <v>70</v>
      </c>
      <c r="G3916" s="3" t="s">
        <v>49</v>
      </c>
      <c r="H3916" s="3" t="s">
        <v>77</v>
      </c>
      <c r="I3916" s="3" t="s">
        <v>78</v>
      </c>
      <c r="J3916" s="3" t="n">
        <v>35</v>
      </c>
      <c r="K3916" s="3" t="n">
        <v>4196.36</v>
      </c>
      <c r="L3916" s="3" t="n">
        <v>146872.6</v>
      </c>
      <c r="M3916" s="3" t="n">
        <v>0.0337</v>
      </c>
      <c r="N3916" s="3" t="n">
        <v>4949.61</v>
      </c>
      <c r="O3916" s="3" t="n">
        <v>141922.99</v>
      </c>
      <c r="P3916" s="3" t="n">
        <v>99873.37</v>
      </c>
      <c r="Q3916" s="3" t="n">
        <v>42049.62</v>
      </c>
      <c r="R3916" s="3" t="n">
        <v>0.2963</v>
      </c>
      <c r="S3916" s="3" t="n">
        <v>0.0316</v>
      </c>
      <c r="T3916" s="3" t="n">
        <v>0.0021</v>
      </c>
    </row>
    <row r="3917" customFormat="false" ht="15" hidden="false" customHeight="true" outlineLevel="0" collapsed="false">
      <c r="A3917" s="3" t="s">
        <v>5075</v>
      </c>
      <c r="B3917" s="3" t="s">
        <v>1367</v>
      </c>
      <c r="C3917" s="3" t="s">
        <v>120</v>
      </c>
      <c r="D3917" s="3" t="s">
        <v>38</v>
      </c>
      <c r="E3917" s="3" t="s">
        <v>39</v>
      </c>
      <c r="F3917" s="3" t="s">
        <v>40</v>
      </c>
      <c r="G3917" s="3" t="s">
        <v>71</v>
      </c>
      <c r="H3917" s="3" t="s">
        <v>27</v>
      </c>
      <c r="I3917" s="3" t="s">
        <v>117</v>
      </c>
      <c r="J3917" s="3" t="n">
        <v>43</v>
      </c>
      <c r="K3917" s="3" t="n">
        <v>20338.72</v>
      </c>
      <c r="L3917" s="3" t="n">
        <v>874564.96</v>
      </c>
      <c r="M3917" s="3" t="n">
        <v>0.0463</v>
      </c>
      <c r="N3917" s="3" t="n">
        <v>40492.36</v>
      </c>
      <c r="O3917" s="3" t="n">
        <v>834072.6</v>
      </c>
      <c r="P3917" s="3" t="n">
        <v>542230.28</v>
      </c>
      <c r="Q3917" s="3" t="n">
        <v>291842.32</v>
      </c>
      <c r="R3917" s="3" t="n">
        <v>0.3499</v>
      </c>
      <c r="S3917" s="3" t="n">
        <v>0.0498</v>
      </c>
      <c r="T3917" s="3" t="n">
        <v>-0.0035</v>
      </c>
    </row>
    <row r="3918" customFormat="false" ht="15" hidden="false" customHeight="true" outlineLevel="0" collapsed="false">
      <c r="A3918" s="3" t="s">
        <v>5076</v>
      </c>
      <c r="B3918" s="3" t="s">
        <v>2486</v>
      </c>
      <c r="C3918" s="3" t="s">
        <v>60</v>
      </c>
      <c r="D3918" s="3" t="s">
        <v>54</v>
      </c>
      <c r="E3918" s="3" t="s">
        <v>24</v>
      </c>
      <c r="F3918" s="3" t="s">
        <v>40</v>
      </c>
      <c r="G3918" s="3" t="s">
        <v>71</v>
      </c>
      <c r="H3918" s="3" t="s">
        <v>42</v>
      </c>
      <c r="I3918" s="3" t="s">
        <v>72</v>
      </c>
      <c r="J3918" s="3" t="n">
        <v>21</v>
      </c>
      <c r="K3918" s="3" t="n">
        <v>2518.5</v>
      </c>
      <c r="L3918" s="3" t="n">
        <v>52888.5</v>
      </c>
      <c r="M3918" s="3" t="n">
        <v>0.0396</v>
      </c>
      <c r="N3918" s="3" t="n">
        <v>2094.38</v>
      </c>
      <c r="O3918" s="3" t="n">
        <v>50794.12</v>
      </c>
      <c r="P3918" s="3" t="n">
        <v>29088.68</v>
      </c>
      <c r="Q3918" s="3" t="n">
        <v>21705.44</v>
      </c>
      <c r="R3918" s="3" t="n">
        <v>0.4273</v>
      </c>
      <c r="S3918" s="3" t="n">
        <v>0.0402</v>
      </c>
      <c r="T3918" s="3" t="n">
        <v>-0.0006</v>
      </c>
    </row>
    <row r="3919" customFormat="false" ht="15" hidden="false" customHeight="true" outlineLevel="0" collapsed="false">
      <c r="A3919" s="3" t="s">
        <v>5077</v>
      </c>
      <c r="B3919" s="3" t="s">
        <v>598</v>
      </c>
      <c r="C3919" s="3" t="s">
        <v>120</v>
      </c>
      <c r="D3919" s="3" t="s">
        <v>107</v>
      </c>
      <c r="E3919" s="3" t="s">
        <v>33</v>
      </c>
      <c r="F3919" s="3" t="s">
        <v>70</v>
      </c>
      <c r="G3919" s="3" t="s">
        <v>116</v>
      </c>
      <c r="H3919" s="3" t="s">
        <v>27</v>
      </c>
      <c r="I3919" s="3" t="s">
        <v>28</v>
      </c>
      <c r="J3919" s="3" t="n">
        <v>34</v>
      </c>
      <c r="K3919" s="3" t="n">
        <v>14102.02</v>
      </c>
      <c r="L3919" s="3" t="n">
        <v>479468.68</v>
      </c>
      <c r="M3919" s="3" t="n">
        <v>0.0712</v>
      </c>
      <c r="N3919" s="3" t="n">
        <v>34138.17</v>
      </c>
      <c r="O3919" s="3" t="n">
        <v>445330.51</v>
      </c>
      <c r="P3919" s="3" t="n">
        <v>297270.58</v>
      </c>
      <c r="Q3919" s="3" t="n">
        <v>148059.93</v>
      </c>
      <c r="R3919" s="3" t="n">
        <v>0.3325</v>
      </c>
      <c r="S3919" s="3" t="n">
        <v>0.0647</v>
      </c>
      <c r="T3919" s="3" t="n">
        <v>0.0065</v>
      </c>
    </row>
    <row r="3920" customFormat="false" ht="15" hidden="false" customHeight="true" outlineLevel="0" collapsed="false">
      <c r="A3920" s="3" t="s">
        <v>5078</v>
      </c>
      <c r="B3920" s="3" t="s">
        <v>243</v>
      </c>
      <c r="C3920" s="3" t="s">
        <v>156</v>
      </c>
      <c r="D3920" s="3" t="s">
        <v>107</v>
      </c>
      <c r="E3920" s="3" t="s">
        <v>33</v>
      </c>
      <c r="F3920" s="3" t="s">
        <v>70</v>
      </c>
      <c r="G3920" s="3" t="s">
        <v>76</v>
      </c>
      <c r="H3920" s="3" t="s">
        <v>64</v>
      </c>
      <c r="I3920" s="3" t="s">
        <v>108</v>
      </c>
      <c r="J3920" s="3" t="n">
        <v>17</v>
      </c>
      <c r="K3920" s="3" t="n">
        <v>4647.28</v>
      </c>
      <c r="L3920" s="3" t="n">
        <v>79003.76</v>
      </c>
      <c r="M3920" s="3" t="n">
        <v>0.0767</v>
      </c>
      <c r="N3920" s="3" t="n">
        <v>6059.59</v>
      </c>
      <c r="O3920" s="3" t="n">
        <v>72944.17</v>
      </c>
      <c r="P3920" s="3" t="n">
        <v>45822.18</v>
      </c>
      <c r="Q3920" s="3" t="n">
        <v>27121.99</v>
      </c>
      <c r="R3920" s="3" t="n">
        <v>0.3718</v>
      </c>
      <c r="S3920" s="3" t="n">
        <v>0.0781</v>
      </c>
      <c r="T3920" s="3" t="n">
        <v>-0.0014</v>
      </c>
    </row>
    <row r="3921" customFormat="false" ht="15" hidden="false" customHeight="true" outlineLevel="0" collapsed="false">
      <c r="A3921" s="3" t="s">
        <v>5079</v>
      </c>
      <c r="B3921" s="3" t="s">
        <v>147</v>
      </c>
      <c r="C3921" s="3" t="s">
        <v>60</v>
      </c>
      <c r="D3921" s="3" t="s">
        <v>75</v>
      </c>
      <c r="E3921" s="3" t="s">
        <v>39</v>
      </c>
      <c r="F3921" s="3" t="s">
        <v>25</v>
      </c>
      <c r="G3921" s="3" t="s">
        <v>41</v>
      </c>
      <c r="H3921" s="3" t="s">
        <v>42</v>
      </c>
      <c r="I3921" s="3" t="s">
        <v>134</v>
      </c>
      <c r="J3921" s="3" t="n">
        <v>31</v>
      </c>
      <c r="K3921" s="3" t="n">
        <v>3799.34</v>
      </c>
      <c r="L3921" s="3" t="n">
        <v>117779.54</v>
      </c>
      <c r="M3921" s="3" t="n">
        <v>0.222</v>
      </c>
      <c r="N3921" s="3" t="n">
        <v>26147.06</v>
      </c>
      <c r="O3921" s="3" t="n">
        <v>91632.48</v>
      </c>
      <c r="P3921" s="3" t="n">
        <v>64778.75</v>
      </c>
      <c r="Q3921" s="3" t="n">
        <v>26853.73</v>
      </c>
      <c r="R3921" s="3" t="n">
        <v>0.2931</v>
      </c>
      <c r="S3921" s="3" t="n">
        <v>0.1783</v>
      </c>
      <c r="T3921" s="3" t="n">
        <v>0.0437</v>
      </c>
    </row>
    <row r="3922" customFormat="false" ht="15" hidden="false" customHeight="true" outlineLevel="0" collapsed="false">
      <c r="A3922" s="3" t="s">
        <v>5080</v>
      </c>
      <c r="B3922" s="3" t="s">
        <v>2408</v>
      </c>
      <c r="C3922" s="3" t="s">
        <v>93</v>
      </c>
      <c r="D3922" s="3" t="s">
        <v>75</v>
      </c>
      <c r="E3922" s="3" t="s">
        <v>39</v>
      </c>
      <c r="F3922" s="3" t="s">
        <v>25</v>
      </c>
      <c r="G3922" s="3" t="s">
        <v>76</v>
      </c>
      <c r="H3922" s="3" t="s">
        <v>42</v>
      </c>
      <c r="I3922" s="3" t="s">
        <v>43</v>
      </c>
      <c r="J3922" s="3" t="n">
        <v>35</v>
      </c>
      <c r="K3922" s="3" t="n">
        <v>1056.24</v>
      </c>
      <c r="L3922" s="3" t="n">
        <v>36968.4</v>
      </c>
      <c r="M3922" s="3" t="n">
        <v>0.1552</v>
      </c>
      <c r="N3922" s="3" t="n">
        <v>5737.5</v>
      </c>
      <c r="O3922" s="3" t="n">
        <v>31230.9</v>
      </c>
      <c r="P3922" s="3" t="n">
        <v>20332.62</v>
      </c>
      <c r="Q3922" s="3" t="n">
        <v>10898.28</v>
      </c>
      <c r="R3922" s="3" t="n">
        <v>0.349</v>
      </c>
      <c r="S3922" s="3" t="n">
        <v>0.1462</v>
      </c>
      <c r="T3922" s="3" t="n">
        <v>0.009</v>
      </c>
    </row>
    <row r="3923" customFormat="false" ht="15" hidden="false" customHeight="true" outlineLevel="0" collapsed="false">
      <c r="A3923" s="3" t="s">
        <v>5081</v>
      </c>
      <c r="B3923" s="3" t="s">
        <v>5015</v>
      </c>
      <c r="C3923" s="3" t="s">
        <v>68</v>
      </c>
      <c r="D3923" s="3" t="s">
        <v>32</v>
      </c>
      <c r="E3923" s="3" t="s">
        <v>33</v>
      </c>
      <c r="F3923" s="3" t="s">
        <v>25</v>
      </c>
      <c r="G3923" s="3" t="s">
        <v>55</v>
      </c>
      <c r="H3923" s="3" t="s">
        <v>42</v>
      </c>
      <c r="I3923" s="3" t="s">
        <v>43</v>
      </c>
      <c r="J3923" s="3" t="n">
        <v>13</v>
      </c>
      <c r="K3923" s="3" t="n">
        <v>3715.5</v>
      </c>
      <c r="L3923" s="3" t="n">
        <v>48301.5</v>
      </c>
      <c r="M3923" s="3" t="n">
        <v>0.1533</v>
      </c>
      <c r="N3923" s="3" t="n">
        <v>7404.62</v>
      </c>
      <c r="O3923" s="3" t="n">
        <v>40896.88</v>
      </c>
      <c r="P3923" s="3" t="n">
        <v>26565.83</v>
      </c>
      <c r="Q3923" s="3" t="n">
        <v>14331.05</v>
      </c>
      <c r="R3923" s="3" t="n">
        <v>0.3504</v>
      </c>
      <c r="S3923" s="3" t="n">
        <v>0.1521</v>
      </c>
      <c r="T3923" s="3" t="n">
        <v>0.0012</v>
      </c>
    </row>
    <row r="3924" customFormat="false" ht="15" hidden="false" customHeight="true" outlineLevel="0" collapsed="false">
      <c r="A3924" s="3" t="s">
        <v>5082</v>
      </c>
      <c r="B3924" s="3" t="s">
        <v>5083</v>
      </c>
      <c r="C3924" s="3" t="s">
        <v>68</v>
      </c>
      <c r="D3924" s="3" t="s">
        <v>47</v>
      </c>
      <c r="E3924" s="3" t="s">
        <v>48</v>
      </c>
      <c r="F3924" s="3" t="s">
        <v>25</v>
      </c>
      <c r="G3924" s="3" t="s">
        <v>76</v>
      </c>
      <c r="H3924" s="3" t="s">
        <v>77</v>
      </c>
      <c r="I3924" s="3" t="s">
        <v>78</v>
      </c>
      <c r="J3924" s="3" t="n">
        <v>35</v>
      </c>
      <c r="K3924" s="3" t="n">
        <v>1448.68</v>
      </c>
      <c r="L3924" s="3" t="n">
        <v>50703.8</v>
      </c>
      <c r="M3924" s="3" t="n">
        <v>0.1767</v>
      </c>
      <c r="N3924" s="3" t="n">
        <v>8959.36</v>
      </c>
      <c r="O3924" s="3" t="n">
        <v>41744.44</v>
      </c>
      <c r="P3924" s="3" t="n">
        <v>34478.58</v>
      </c>
      <c r="Q3924" s="3" t="n">
        <v>7265.86</v>
      </c>
      <c r="R3924" s="3" t="n">
        <v>0.1741</v>
      </c>
      <c r="S3924" s="3" t="n">
        <v>0.1672</v>
      </c>
      <c r="T3924" s="3" t="n">
        <v>0.0095</v>
      </c>
    </row>
    <row r="3925" customFormat="false" ht="15" hidden="false" customHeight="true" outlineLevel="0" collapsed="false">
      <c r="A3925" s="3" t="s">
        <v>5084</v>
      </c>
      <c r="B3925" s="3" t="s">
        <v>965</v>
      </c>
      <c r="C3925" s="3" t="s">
        <v>22</v>
      </c>
      <c r="D3925" s="3" t="s">
        <v>75</v>
      </c>
      <c r="E3925" s="3" t="s">
        <v>39</v>
      </c>
      <c r="F3925" s="3" t="s">
        <v>25</v>
      </c>
      <c r="G3925" s="3" t="s">
        <v>84</v>
      </c>
      <c r="H3925" s="3" t="s">
        <v>27</v>
      </c>
      <c r="I3925" s="3" t="s">
        <v>28</v>
      </c>
      <c r="J3925" s="3" t="n">
        <v>12</v>
      </c>
      <c r="K3925" s="3" t="n">
        <v>28809.24</v>
      </c>
      <c r="L3925" s="3" t="n">
        <v>345710.88</v>
      </c>
      <c r="M3925" s="3" t="n">
        <v>0.1771</v>
      </c>
      <c r="N3925" s="3" t="n">
        <v>61225.4</v>
      </c>
      <c r="O3925" s="3" t="n">
        <v>284485.48</v>
      </c>
      <c r="P3925" s="3" t="n">
        <v>214340.75</v>
      </c>
      <c r="Q3925" s="3" t="n">
        <v>70144.73</v>
      </c>
      <c r="R3925" s="3" t="n">
        <v>0.2466</v>
      </c>
      <c r="S3925" s="3" t="n">
        <v>0.1428</v>
      </c>
      <c r="T3925" s="3" t="n">
        <v>0.0343</v>
      </c>
    </row>
    <row r="3926" customFormat="false" ht="15" hidden="false" customHeight="true" outlineLevel="0" collapsed="false">
      <c r="A3926" s="3" t="s">
        <v>5085</v>
      </c>
      <c r="B3926" s="3" t="s">
        <v>2019</v>
      </c>
      <c r="C3926" s="3" t="s">
        <v>68</v>
      </c>
      <c r="D3926" s="3" t="s">
        <v>69</v>
      </c>
      <c r="E3926" s="3" t="s">
        <v>39</v>
      </c>
      <c r="F3926" s="3" t="s">
        <v>70</v>
      </c>
      <c r="G3926" s="3" t="s">
        <v>116</v>
      </c>
      <c r="H3926" s="3" t="s">
        <v>27</v>
      </c>
      <c r="I3926" s="3" t="s">
        <v>50</v>
      </c>
      <c r="J3926" s="3" t="n">
        <v>44</v>
      </c>
      <c r="K3926" s="3" t="n">
        <v>8597.44</v>
      </c>
      <c r="L3926" s="3" t="n">
        <v>378287.36</v>
      </c>
      <c r="M3926" s="3" t="n">
        <v>0.1209</v>
      </c>
      <c r="N3926" s="3" t="n">
        <v>45734.94</v>
      </c>
      <c r="O3926" s="3" t="n">
        <v>332552.42</v>
      </c>
      <c r="P3926" s="3" t="n">
        <v>234538.16</v>
      </c>
      <c r="Q3926" s="3" t="n">
        <v>98014.26</v>
      </c>
      <c r="R3926" s="3" t="n">
        <v>0.2947</v>
      </c>
      <c r="S3926" s="3" t="n">
        <v>0.1318</v>
      </c>
      <c r="T3926" s="3" t="n">
        <v>-0.0109</v>
      </c>
    </row>
    <row r="3927" customFormat="false" ht="15" hidden="false" customHeight="true" outlineLevel="0" collapsed="false">
      <c r="A3927" s="3" t="s">
        <v>5086</v>
      </c>
      <c r="B3927" s="3" t="s">
        <v>1545</v>
      </c>
      <c r="C3927" s="3" t="s">
        <v>68</v>
      </c>
      <c r="D3927" s="3" t="s">
        <v>75</v>
      </c>
      <c r="E3927" s="3" t="s">
        <v>39</v>
      </c>
      <c r="F3927" s="3" t="s">
        <v>25</v>
      </c>
      <c r="G3927" s="3" t="s">
        <v>41</v>
      </c>
      <c r="H3927" s="3" t="s">
        <v>42</v>
      </c>
      <c r="I3927" s="3" t="s">
        <v>134</v>
      </c>
      <c r="J3927" s="3" t="n">
        <v>12</v>
      </c>
      <c r="K3927" s="3" t="n">
        <v>1706.33</v>
      </c>
      <c r="L3927" s="3" t="n">
        <v>20475.96</v>
      </c>
      <c r="M3927" s="3" t="n">
        <v>0.1373</v>
      </c>
      <c r="N3927" s="3" t="n">
        <v>2811.35</v>
      </c>
      <c r="O3927" s="3" t="n">
        <v>17664.61</v>
      </c>
      <c r="P3927" s="3" t="n">
        <v>11261.78</v>
      </c>
      <c r="Q3927" s="3" t="n">
        <v>6402.83</v>
      </c>
      <c r="R3927" s="3" t="n">
        <v>0.3625</v>
      </c>
      <c r="S3927" s="3" t="n">
        <v>0.1343</v>
      </c>
      <c r="T3927" s="3" t="n">
        <v>0.003</v>
      </c>
    </row>
    <row r="3928" customFormat="false" ht="15" hidden="false" customHeight="true" outlineLevel="0" collapsed="false">
      <c r="A3928" s="3" t="s">
        <v>5087</v>
      </c>
      <c r="B3928" s="3" t="s">
        <v>2194</v>
      </c>
      <c r="C3928" s="3" t="s">
        <v>53</v>
      </c>
      <c r="D3928" s="3" t="s">
        <v>69</v>
      </c>
      <c r="E3928" s="3" t="s">
        <v>39</v>
      </c>
      <c r="F3928" s="3" t="s">
        <v>70</v>
      </c>
      <c r="G3928" s="3" t="s">
        <v>84</v>
      </c>
      <c r="H3928" s="3" t="s">
        <v>56</v>
      </c>
      <c r="I3928" s="3" t="s">
        <v>188</v>
      </c>
      <c r="J3928" s="3" t="n">
        <v>28</v>
      </c>
      <c r="K3928" s="3" t="n">
        <v>17969.43</v>
      </c>
      <c r="L3928" s="3" t="n">
        <v>503144.04</v>
      </c>
      <c r="M3928" s="3" t="n">
        <v>0.0676</v>
      </c>
      <c r="N3928" s="3" t="n">
        <v>34012.54</v>
      </c>
      <c r="O3928" s="3" t="n">
        <v>469131.5</v>
      </c>
      <c r="P3928" s="3" t="n">
        <v>301886.42</v>
      </c>
      <c r="Q3928" s="3" t="n">
        <v>167245.08</v>
      </c>
      <c r="R3928" s="3" t="n">
        <v>0.3565</v>
      </c>
      <c r="S3928" s="3" t="n">
        <v>0.0659</v>
      </c>
      <c r="T3928" s="3" t="n">
        <v>0.0017</v>
      </c>
    </row>
    <row r="3929" customFormat="false" ht="15" hidden="false" customHeight="true" outlineLevel="0" collapsed="false">
      <c r="A3929" s="3" t="s">
        <v>5088</v>
      </c>
      <c r="B3929" s="3" t="s">
        <v>1074</v>
      </c>
      <c r="C3929" s="3" t="s">
        <v>68</v>
      </c>
      <c r="D3929" s="3" t="s">
        <v>103</v>
      </c>
      <c r="E3929" s="3" t="s">
        <v>24</v>
      </c>
      <c r="F3929" s="3" t="s">
        <v>62</v>
      </c>
      <c r="G3929" s="3" t="s">
        <v>100</v>
      </c>
      <c r="H3929" s="3" t="s">
        <v>64</v>
      </c>
      <c r="I3929" s="3" t="s">
        <v>108</v>
      </c>
      <c r="J3929" s="3" t="n">
        <v>36</v>
      </c>
      <c r="K3929" s="3" t="n">
        <v>8918.08</v>
      </c>
      <c r="L3929" s="3" t="n">
        <v>321050.88</v>
      </c>
      <c r="M3929" s="3" t="n">
        <v>0.0385</v>
      </c>
      <c r="N3929" s="3" t="n">
        <v>12360.46</v>
      </c>
      <c r="O3929" s="3" t="n">
        <v>308690.42</v>
      </c>
      <c r="P3929" s="3" t="n">
        <v>186209.51</v>
      </c>
      <c r="Q3929" s="3" t="n">
        <v>122480.91</v>
      </c>
      <c r="R3929" s="3" t="n">
        <v>0.3968</v>
      </c>
      <c r="S3929" s="3" t="n">
        <v>0.0374</v>
      </c>
      <c r="T3929" s="3" t="n">
        <v>0.0011</v>
      </c>
    </row>
    <row r="3930" customFormat="false" ht="15" hidden="false" customHeight="true" outlineLevel="0" collapsed="false">
      <c r="A3930" s="3" t="s">
        <v>5089</v>
      </c>
      <c r="B3930" s="3" t="s">
        <v>896</v>
      </c>
      <c r="C3930" s="3" t="s">
        <v>156</v>
      </c>
      <c r="D3930" s="3" t="s">
        <v>47</v>
      </c>
      <c r="E3930" s="3" t="s">
        <v>48</v>
      </c>
      <c r="F3930" s="3" t="s">
        <v>25</v>
      </c>
      <c r="G3930" s="3" t="s">
        <v>84</v>
      </c>
      <c r="H3930" s="3" t="s">
        <v>64</v>
      </c>
      <c r="I3930" s="3" t="s">
        <v>108</v>
      </c>
      <c r="J3930" s="3" t="n">
        <v>28</v>
      </c>
      <c r="K3930" s="3" t="n">
        <v>7943.53</v>
      </c>
      <c r="L3930" s="3" t="n">
        <v>222418.84</v>
      </c>
      <c r="M3930" s="3" t="n">
        <v>0.134</v>
      </c>
      <c r="N3930" s="3" t="n">
        <v>29804.12</v>
      </c>
      <c r="O3930" s="3" t="n">
        <v>192614.72</v>
      </c>
      <c r="P3930" s="3" t="n">
        <v>129002.93</v>
      </c>
      <c r="Q3930" s="3" t="n">
        <v>63611.79</v>
      </c>
      <c r="R3930" s="3" t="n">
        <v>0.3303</v>
      </c>
      <c r="S3930" s="3" t="n">
        <v>0.1183</v>
      </c>
      <c r="T3930" s="3" t="n">
        <v>0.0157</v>
      </c>
    </row>
    <row r="3931" customFormat="false" ht="15" hidden="false" customHeight="true" outlineLevel="0" collapsed="false">
      <c r="A3931" s="3" t="s">
        <v>5090</v>
      </c>
      <c r="B3931" s="3" t="s">
        <v>4764</v>
      </c>
      <c r="C3931" s="3" t="s">
        <v>46</v>
      </c>
      <c r="D3931" s="3" t="s">
        <v>23</v>
      </c>
      <c r="E3931" s="3" t="s">
        <v>24</v>
      </c>
      <c r="F3931" s="3" t="s">
        <v>25</v>
      </c>
      <c r="G3931" s="3" t="s">
        <v>84</v>
      </c>
      <c r="H3931" s="3" t="s">
        <v>64</v>
      </c>
      <c r="I3931" s="3" t="s">
        <v>145</v>
      </c>
      <c r="J3931" s="3" t="n">
        <v>15</v>
      </c>
      <c r="K3931" s="3" t="n">
        <v>9959.46</v>
      </c>
      <c r="L3931" s="3" t="n">
        <v>149391.9</v>
      </c>
      <c r="M3931" s="3" t="n">
        <v>0.1231</v>
      </c>
      <c r="N3931" s="3" t="n">
        <v>18390.14</v>
      </c>
      <c r="O3931" s="3" t="n">
        <v>131001.76</v>
      </c>
      <c r="P3931" s="3" t="n">
        <v>86647.3</v>
      </c>
      <c r="Q3931" s="3" t="n">
        <v>44354.46</v>
      </c>
      <c r="R3931" s="3" t="n">
        <v>0.3386</v>
      </c>
      <c r="S3931" s="3" t="n">
        <v>0.1198</v>
      </c>
      <c r="T3931" s="3" t="n">
        <v>0.0033</v>
      </c>
    </row>
    <row r="3932" customFormat="false" ht="15" hidden="false" customHeight="true" outlineLevel="0" collapsed="false">
      <c r="A3932" s="3" t="s">
        <v>5091</v>
      </c>
      <c r="B3932" s="3" t="s">
        <v>2168</v>
      </c>
      <c r="C3932" s="3" t="s">
        <v>113</v>
      </c>
      <c r="D3932" s="3" t="s">
        <v>61</v>
      </c>
      <c r="E3932" s="3" t="s">
        <v>33</v>
      </c>
      <c r="F3932" s="3" t="s">
        <v>62</v>
      </c>
      <c r="G3932" s="3" t="s">
        <v>71</v>
      </c>
      <c r="H3932" s="3" t="s">
        <v>27</v>
      </c>
      <c r="I3932" s="3" t="s">
        <v>173</v>
      </c>
      <c r="J3932" s="3" t="n">
        <v>12</v>
      </c>
      <c r="K3932" s="3" t="n">
        <v>26515.13</v>
      </c>
      <c r="L3932" s="3" t="n">
        <v>318181.56</v>
      </c>
      <c r="M3932" s="3" t="n">
        <v>0.0637</v>
      </c>
      <c r="N3932" s="3" t="n">
        <v>20268.17</v>
      </c>
      <c r="O3932" s="3" t="n">
        <v>297913.39</v>
      </c>
      <c r="P3932" s="3" t="n">
        <v>197272.57</v>
      </c>
      <c r="Q3932" s="3" t="n">
        <v>100640.82</v>
      </c>
      <c r="R3932" s="3" t="n">
        <v>0.3378</v>
      </c>
      <c r="S3932" s="3" t="n">
        <v>0.0571</v>
      </c>
      <c r="T3932" s="3" t="n">
        <v>0.0066</v>
      </c>
    </row>
    <row r="3933" customFormat="false" ht="15" hidden="false" customHeight="true" outlineLevel="0" collapsed="false">
      <c r="A3933" s="3" t="s">
        <v>5092</v>
      </c>
      <c r="B3933" s="3" t="s">
        <v>1723</v>
      </c>
      <c r="C3933" s="3" t="s">
        <v>156</v>
      </c>
      <c r="D3933" s="3" t="s">
        <v>54</v>
      </c>
      <c r="E3933" s="3" t="s">
        <v>24</v>
      </c>
      <c r="F3933" s="3" t="s">
        <v>40</v>
      </c>
      <c r="G3933" s="3" t="s">
        <v>104</v>
      </c>
      <c r="H3933" s="3" t="s">
        <v>77</v>
      </c>
      <c r="I3933" s="3" t="s">
        <v>85</v>
      </c>
      <c r="J3933" s="3" t="n">
        <v>31</v>
      </c>
      <c r="K3933" s="3" t="n">
        <v>2861.67</v>
      </c>
      <c r="L3933" s="3" t="n">
        <v>88711.77</v>
      </c>
      <c r="M3933" s="3" t="n">
        <v>0.139</v>
      </c>
      <c r="N3933" s="3" t="n">
        <v>12330.94</v>
      </c>
      <c r="O3933" s="3" t="n">
        <v>76380.83</v>
      </c>
      <c r="P3933" s="3" t="n">
        <v>60324</v>
      </c>
      <c r="Q3933" s="3" t="n">
        <v>16056.83</v>
      </c>
      <c r="R3933" s="3" t="n">
        <v>0.2102</v>
      </c>
      <c r="S3933" s="3" t="n">
        <v>0.1319</v>
      </c>
      <c r="T3933" s="3" t="n">
        <v>0.0071</v>
      </c>
    </row>
    <row r="3934" customFormat="false" ht="15" hidden="false" customHeight="true" outlineLevel="0" collapsed="false">
      <c r="A3934" s="3" t="s">
        <v>5093</v>
      </c>
      <c r="B3934" s="3" t="s">
        <v>2204</v>
      </c>
      <c r="C3934" s="3" t="s">
        <v>46</v>
      </c>
      <c r="D3934" s="3" t="s">
        <v>103</v>
      </c>
      <c r="E3934" s="3" t="s">
        <v>24</v>
      </c>
      <c r="F3934" s="3" t="s">
        <v>62</v>
      </c>
      <c r="G3934" s="3" t="s">
        <v>100</v>
      </c>
      <c r="H3934" s="3" t="s">
        <v>27</v>
      </c>
      <c r="I3934" s="3" t="s">
        <v>94</v>
      </c>
      <c r="J3934" s="3" t="n">
        <v>20</v>
      </c>
      <c r="K3934" s="3" t="n">
        <v>37402.46</v>
      </c>
      <c r="L3934" s="3" t="n">
        <v>748049.2</v>
      </c>
      <c r="M3934" s="3" t="n">
        <v>0.0583</v>
      </c>
      <c r="N3934" s="3" t="n">
        <v>43611.27</v>
      </c>
      <c r="O3934" s="3" t="n">
        <v>704437.93</v>
      </c>
      <c r="P3934" s="3" t="n">
        <v>463790.5</v>
      </c>
      <c r="Q3934" s="3" t="n">
        <v>240647.43</v>
      </c>
      <c r="R3934" s="3" t="n">
        <v>0.3416</v>
      </c>
      <c r="S3934" s="3" t="n">
        <v>0.0501</v>
      </c>
      <c r="T3934" s="3" t="n">
        <v>0.0082</v>
      </c>
    </row>
    <row r="3935" customFormat="false" ht="15" hidden="false" customHeight="true" outlineLevel="0" collapsed="false">
      <c r="A3935" s="3" t="s">
        <v>5094</v>
      </c>
      <c r="B3935" s="3" t="s">
        <v>1458</v>
      </c>
      <c r="C3935" s="3" t="s">
        <v>22</v>
      </c>
      <c r="D3935" s="3" t="s">
        <v>103</v>
      </c>
      <c r="E3935" s="3" t="s">
        <v>24</v>
      </c>
      <c r="F3935" s="3" t="s">
        <v>62</v>
      </c>
      <c r="G3935" s="3" t="s">
        <v>100</v>
      </c>
      <c r="H3935" s="3" t="s">
        <v>77</v>
      </c>
      <c r="I3935" s="3" t="s">
        <v>78</v>
      </c>
      <c r="J3935" s="3" t="n">
        <v>27</v>
      </c>
      <c r="K3935" s="3" t="n">
        <v>3197.51</v>
      </c>
      <c r="L3935" s="3" t="n">
        <v>86332.77</v>
      </c>
      <c r="M3935" s="3" t="n">
        <v>0.0363</v>
      </c>
      <c r="N3935" s="3" t="n">
        <v>3133.88</v>
      </c>
      <c r="O3935" s="3" t="n">
        <v>83198.89</v>
      </c>
      <c r="P3935" s="3" t="n">
        <v>58706.28</v>
      </c>
      <c r="Q3935" s="3" t="n">
        <v>24492.61</v>
      </c>
      <c r="R3935" s="3" t="n">
        <v>0.2944</v>
      </c>
      <c r="S3935" s="3" t="n">
        <v>0.0316</v>
      </c>
      <c r="T3935" s="3" t="n">
        <v>0.0047</v>
      </c>
    </row>
    <row r="3936" customFormat="false" ht="15" hidden="false" customHeight="true" outlineLevel="0" collapsed="false">
      <c r="A3936" s="3" t="s">
        <v>5095</v>
      </c>
      <c r="B3936" s="3" t="s">
        <v>1251</v>
      </c>
      <c r="C3936" s="3" t="s">
        <v>46</v>
      </c>
      <c r="D3936" s="3" t="s">
        <v>32</v>
      </c>
      <c r="E3936" s="3" t="s">
        <v>33</v>
      </c>
      <c r="F3936" s="3" t="s">
        <v>25</v>
      </c>
      <c r="G3936" s="3" t="s">
        <v>49</v>
      </c>
      <c r="H3936" s="3" t="s">
        <v>42</v>
      </c>
      <c r="I3936" s="3" t="s">
        <v>72</v>
      </c>
      <c r="J3936" s="3" t="n">
        <v>50</v>
      </c>
      <c r="K3936" s="3" t="n">
        <v>755.36</v>
      </c>
      <c r="L3936" s="3" t="n">
        <v>37768</v>
      </c>
      <c r="M3936" s="3" t="n">
        <v>0.1554</v>
      </c>
      <c r="N3936" s="3" t="n">
        <v>5869.15</v>
      </c>
      <c r="O3936" s="3" t="n">
        <v>31898.85</v>
      </c>
      <c r="P3936" s="3" t="n">
        <v>20772.4</v>
      </c>
      <c r="Q3936" s="3" t="n">
        <v>11126.45</v>
      </c>
      <c r="R3936" s="3" t="n">
        <v>0.3488</v>
      </c>
      <c r="S3936" s="3" t="n">
        <v>0.1372</v>
      </c>
      <c r="T3936" s="3" t="n">
        <v>0.0182</v>
      </c>
    </row>
    <row r="3937" customFormat="false" ht="15" hidden="false" customHeight="true" outlineLevel="0" collapsed="false">
      <c r="A3937" s="3" t="s">
        <v>5096</v>
      </c>
      <c r="B3937" s="3" t="s">
        <v>2586</v>
      </c>
      <c r="C3937" s="3" t="s">
        <v>113</v>
      </c>
      <c r="D3937" s="3" t="s">
        <v>75</v>
      </c>
      <c r="E3937" s="3" t="s">
        <v>39</v>
      </c>
      <c r="F3937" s="3" t="s">
        <v>25</v>
      </c>
      <c r="G3937" s="3" t="s">
        <v>55</v>
      </c>
      <c r="H3937" s="3" t="s">
        <v>64</v>
      </c>
      <c r="I3937" s="3" t="s">
        <v>145</v>
      </c>
      <c r="J3937" s="3" t="n">
        <v>7</v>
      </c>
      <c r="K3937" s="3" t="n">
        <v>5995.3</v>
      </c>
      <c r="L3937" s="3" t="n">
        <v>41967.1</v>
      </c>
      <c r="M3937" s="3" t="n">
        <v>0.1475</v>
      </c>
      <c r="N3937" s="3" t="n">
        <v>6190.15</v>
      </c>
      <c r="O3937" s="3" t="n">
        <v>35776.95</v>
      </c>
      <c r="P3937" s="3" t="n">
        <v>24340.92</v>
      </c>
      <c r="Q3937" s="3" t="n">
        <v>11436.03</v>
      </c>
      <c r="R3937" s="3" t="n">
        <v>0.3196</v>
      </c>
      <c r="S3937" s="3" t="n">
        <v>0.1493</v>
      </c>
      <c r="T3937" s="3" t="n">
        <v>-0.0018</v>
      </c>
    </row>
    <row r="3938" customFormat="false" ht="15" hidden="false" customHeight="true" outlineLevel="0" collapsed="false">
      <c r="A3938" s="3" t="s">
        <v>5097</v>
      </c>
      <c r="B3938" s="3" t="s">
        <v>362</v>
      </c>
      <c r="C3938" s="3" t="s">
        <v>37</v>
      </c>
      <c r="D3938" s="3" t="s">
        <v>97</v>
      </c>
      <c r="E3938" s="3" t="s">
        <v>48</v>
      </c>
      <c r="F3938" s="3" t="s">
        <v>40</v>
      </c>
      <c r="G3938" s="3" t="s">
        <v>116</v>
      </c>
      <c r="H3938" s="3" t="s">
        <v>42</v>
      </c>
      <c r="I3938" s="3" t="s">
        <v>72</v>
      </c>
      <c r="J3938" s="3" t="n">
        <v>7</v>
      </c>
      <c r="K3938" s="3" t="n">
        <v>1728.57</v>
      </c>
      <c r="L3938" s="3" t="n">
        <v>12099.99</v>
      </c>
      <c r="M3938" s="3" t="n">
        <v>0.0874</v>
      </c>
      <c r="N3938" s="3" t="n">
        <v>1057.54</v>
      </c>
      <c r="O3938" s="3" t="n">
        <v>11042.45</v>
      </c>
      <c r="P3938" s="3" t="n">
        <v>6654.99</v>
      </c>
      <c r="Q3938" s="3" t="n">
        <v>4387.46</v>
      </c>
      <c r="R3938" s="3" t="n">
        <v>0.3973</v>
      </c>
      <c r="S3938" s="3" t="n">
        <v>0.0728</v>
      </c>
      <c r="T3938" s="3" t="n">
        <v>0.0146</v>
      </c>
    </row>
    <row r="3939" customFormat="false" ht="15" hidden="false" customHeight="true" outlineLevel="0" collapsed="false">
      <c r="A3939" s="3" t="s">
        <v>5098</v>
      </c>
      <c r="B3939" s="3" t="s">
        <v>304</v>
      </c>
      <c r="C3939" s="3" t="s">
        <v>53</v>
      </c>
      <c r="D3939" s="3" t="s">
        <v>97</v>
      </c>
      <c r="E3939" s="3" t="s">
        <v>48</v>
      </c>
      <c r="F3939" s="3" t="s">
        <v>40</v>
      </c>
      <c r="G3939" s="3" t="s">
        <v>55</v>
      </c>
      <c r="H3939" s="3" t="s">
        <v>27</v>
      </c>
      <c r="I3939" s="3" t="s">
        <v>28</v>
      </c>
      <c r="J3939" s="3" t="n">
        <v>20</v>
      </c>
      <c r="K3939" s="3" t="n">
        <v>21143.07</v>
      </c>
      <c r="L3939" s="3" t="n">
        <v>422861.4</v>
      </c>
      <c r="M3939" s="3" t="n">
        <v>0.0471</v>
      </c>
      <c r="N3939" s="3" t="n">
        <v>19916.77</v>
      </c>
      <c r="O3939" s="3" t="n">
        <v>402944.63</v>
      </c>
      <c r="P3939" s="3" t="n">
        <v>262174.07</v>
      </c>
      <c r="Q3939" s="3" t="n">
        <v>140770.56</v>
      </c>
      <c r="R3939" s="3" t="n">
        <v>0.3494</v>
      </c>
      <c r="S3939" s="3" t="n">
        <v>0.0515</v>
      </c>
      <c r="T3939" s="3" t="n">
        <v>-0.0044</v>
      </c>
    </row>
    <row r="3940" customFormat="false" ht="15" hidden="false" customHeight="true" outlineLevel="0" collapsed="false">
      <c r="A3940" s="3" t="s">
        <v>5099</v>
      </c>
      <c r="B3940" s="3" t="s">
        <v>2747</v>
      </c>
      <c r="C3940" s="3" t="s">
        <v>156</v>
      </c>
      <c r="D3940" s="3" t="s">
        <v>47</v>
      </c>
      <c r="E3940" s="3" t="s">
        <v>48</v>
      </c>
      <c r="F3940" s="3" t="s">
        <v>25</v>
      </c>
      <c r="G3940" s="3" t="s">
        <v>49</v>
      </c>
      <c r="H3940" s="3" t="s">
        <v>64</v>
      </c>
      <c r="I3940" s="3" t="s">
        <v>90</v>
      </c>
      <c r="J3940" s="3" t="n">
        <v>1</v>
      </c>
      <c r="K3940" s="3" t="n">
        <v>9607.21</v>
      </c>
      <c r="L3940" s="3" t="n">
        <v>9607.21</v>
      </c>
      <c r="M3940" s="3" t="n">
        <v>0.144</v>
      </c>
      <c r="N3940" s="3" t="n">
        <v>1383.44</v>
      </c>
      <c r="O3940" s="3" t="n">
        <v>8223.77</v>
      </c>
      <c r="P3940" s="3" t="n">
        <v>5572.18</v>
      </c>
      <c r="Q3940" s="3" t="n">
        <v>2651.59</v>
      </c>
      <c r="R3940" s="3" t="n">
        <v>0.3224</v>
      </c>
      <c r="S3940" s="3" t="n">
        <v>0.126</v>
      </c>
      <c r="T3940" s="3" t="n">
        <v>0.018</v>
      </c>
    </row>
    <row r="3941" customFormat="false" ht="15" hidden="false" customHeight="true" outlineLevel="0" collapsed="false">
      <c r="A3941" s="3" t="s">
        <v>5100</v>
      </c>
      <c r="B3941" s="3" t="s">
        <v>921</v>
      </c>
      <c r="C3941" s="3" t="s">
        <v>93</v>
      </c>
      <c r="D3941" s="3" t="s">
        <v>83</v>
      </c>
      <c r="E3941" s="3" t="s">
        <v>48</v>
      </c>
      <c r="F3941" s="3" t="s">
        <v>62</v>
      </c>
      <c r="G3941" s="3" t="s">
        <v>41</v>
      </c>
      <c r="H3941" s="3" t="s">
        <v>64</v>
      </c>
      <c r="I3941" s="3" t="s">
        <v>90</v>
      </c>
      <c r="J3941" s="3" t="n">
        <v>17</v>
      </c>
      <c r="K3941" s="3" t="n">
        <v>4266</v>
      </c>
      <c r="L3941" s="3" t="n">
        <v>72522</v>
      </c>
      <c r="M3941" s="3" t="n">
        <v>0.0914</v>
      </c>
      <c r="N3941" s="3" t="n">
        <v>6628.51</v>
      </c>
      <c r="O3941" s="3" t="n">
        <v>65893.49</v>
      </c>
      <c r="P3941" s="3" t="n">
        <v>42062.76</v>
      </c>
      <c r="Q3941" s="3" t="n">
        <v>23830.73</v>
      </c>
      <c r="R3941" s="3" t="n">
        <v>0.3617</v>
      </c>
      <c r="S3941" s="3" t="n">
        <v>0.0962</v>
      </c>
      <c r="T3941" s="3" t="n">
        <v>-0.0048</v>
      </c>
    </row>
    <row r="3942" customFormat="false" ht="15" hidden="false" customHeight="true" outlineLevel="0" collapsed="false">
      <c r="A3942" s="3" t="s">
        <v>5101</v>
      </c>
      <c r="B3942" s="3" t="s">
        <v>2320</v>
      </c>
      <c r="C3942" s="3" t="s">
        <v>120</v>
      </c>
      <c r="D3942" s="3" t="s">
        <v>83</v>
      </c>
      <c r="E3942" s="3" t="s">
        <v>48</v>
      </c>
      <c r="F3942" s="3" t="s">
        <v>62</v>
      </c>
      <c r="G3942" s="3" t="s">
        <v>71</v>
      </c>
      <c r="H3942" s="3" t="s">
        <v>27</v>
      </c>
      <c r="I3942" s="3" t="s">
        <v>117</v>
      </c>
      <c r="J3942" s="3" t="n">
        <v>41</v>
      </c>
      <c r="K3942" s="3" t="n">
        <v>13519.65</v>
      </c>
      <c r="L3942" s="3" t="n">
        <v>554305.65</v>
      </c>
      <c r="M3942" s="3" t="n">
        <v>0.0713</v>
      </c>
      <c r="N3942" s="3" t="n">
        <v>39521.99</v>
      </c>
      <c r="O3942" s="3" t="n">
        <v>514783.66</v>
      </c>
      <c r="P3942" s="3" t="n">
        <v>343669.5</v>
      </c>
      <c r="Q3942" s="3" t="n">
        <v>171114.16</v>
      </c>
      <c r="R3942" s="3" t="n">
        <v>0.3324</v>
      </c>
      <c r="S3942" s="3" t="n">
        <v>0.06</v>
      </c>
      <c r="T3942" s="3" t="n">
        <v>0.0113</v>
      </c>
    </row>
    <row r="3943" customFormat="false" ht="15" hidden="false" customHeight="true" outlineLevel="0" collapsed="false">
      <c r="A3943" s="3" t="s">
        <v>5102</v>
      </c>
      <c r="B3943" s="3" t="s">
        <v>304</v>
      </c>
      <c r="C3943" s="3" t="s">
        <v>53</v>
      </c>
      <c r="D3943" s="3" t="s">
        <v>61</v>
      </c>
      <c r="E3943" s="3" t="s">
        <v>33</v>
      </c>
      <c r="F3943" s="3" t="s">
        <v>62</v>
      </c>
      <c r="G3943" s="3" t="s">
        <v>100</v>
      </c>
      <c r="H3943" s="3" t="s">
        <v>77</v>
      </c>
      <c r="I3943" s="3" t="s">
        <v>131</v>
      </c>
      <c r="J3943" s="3" t="n">
        <v>42</v>
      </c>
      <c r="K3943" s="3" t="n">
        <v>5116.84</v>
      </c>
      <c r="L3943" s="3" t="n">
        <v>214907.28</v>
      </c>
      <c r="M3943" s="3" t="n">
        <v>0.0663</v>
      </c>
      <c r="N3943" s="3" t="n">
        <v>14248.35</v>
      </c>
      <c r="O3943" s="3" t="n">
        <v>200658.93</v>
      </c>
      <c r="P3943" s="3" t="n">
        <v>146136.95</v>
      </c>
      <c r="Q3943" s="3" t="n">
        <v>54521.98</v>
      </c>
      <c r="R3943" s="3" t="n">
        <v>0.2717</v>
      </c>
      <c r="S3943" s="3" t="n">
        <v>0.06</v>
      </c>
      <c r="T3943" s="3" t="n">
        <v>0.0063</v>
      </c>
    </row>
    <row r="3944" customFormat="false" ht="15" hidden="false" customHeight="true" outlineLevel="0" collapsed="false">
      <c r="A3944" s="3" t="s">
        <v>5103</v>
      </c>
      <c r="B3944" s="3" t="s">
        <v>360</v>
      </c>
      <c r="C3944" s="3" t="s">
        <v>120</v>
      </c>
      <c r="D3944" s="3" t="s">
        <v>54</v>
      </c>
      <c r="E3944" s="3" t="s">
        <v>24</v>
      </c>
      <c r="F3944" s="3" t="s">
        <v>40</v>
      </c>
      <c r="G3944" s="3" t="s">
        <v>71</v>
      </c>
      <c r="H3944" s="3" t="s">
        <v>77</v>
      </c>
      <c r="I3944" s="3" t="s">
        <v>85</v>
      </c>
      <c r="J3944" s="3" t="n">
        <v>21</v>
      </c>
      <c r="K3944" s="3" t="n">
        <v>5287.72</v>
      </c>
      <c r="L3944" s="3" t="n">
        <v>111042.12</v>
      </c>
      <c r="M3944" s="3" t="n">
        <v>0.0739</v>
      </c>
      <c r="N3944" s="3" t="n">
        <v>8206.01</v>
      </c>
      <c r="O3944" s="3" t="n">
        <v>102836.11</v>
      </c>
      <c r="P3944" s="3" t="n">
        <v>75508.64</v>
      </c>
      <c r="Q3944" s="3" t="n">
        <v>27327.47</v>
      </c>
      <c r="R3944" s="3" t="n">
        <v>0.2657</v>
      </c>
      <c r="S3944" s="3" t="n">
        <v>0.0607</v>
      </c>
      <c r="T3944" s="3" t="n">
        <v>0.0132</v>
      </c>
    </row>
    <row r="3945" customFormat="false" ht="15" hidden="false" customHeight="true" outlineLevel="0" collapsed="false">
      <c r="A3945" s="3" t="s">
        <v>5104</v>
      </c>
      <c r="B3945" s="3" t="s">
        <v>1188</v>
      </c>
      <c r="C3945" s="3" t="s">
        <v>113</v>
      </c>
      <c r="D3945" s="3" t="s">
        <v>75</v>
      </c>
      <c r="E3945" s="3" t="s">
        <v>39</v>
      </c>
      <c r="F3945" s="3" t="s">
        <v>25</v>
      </c>
      <c r="G3945" s="3" t="s">
        <v>49</v>
      </c>
      <c r="H3945" s="3" t="s">
        <v>77</v>
      </c>
      <c r="I3945" s="3" t="s">
        <v>85</v>
      </c>
      <c r="J3945" s="3" t="n">
        <v>28</v>
      </c>
      <c r="K3945" s="3" t="n">
        <v>5750.36</v>
      </c>
      <c r="L3945" s="3" t="n">
        <v>161010.08</v>
      </c>
      <c r="M3945" s="3" t="n">
        <v>0.1507</v>
      </c>
      <c r="N3945" s="3" t="n">
        <v>24264.22</v>
      </c>
      <c r="O3945" s="3" t="n">
        <v>136745.86</v>
      </c>
      <c r="P3945" s="3" t="n">
        <v>109486.85</v>
      </c>
      <c r="Q3945" s="3" t="n">
        <v>27259.01</v>
      </c>
      <c r="R3945" s="3" t="n">
        <v>0.1993</v>
      </c>
      <c r="S3945" s="3" t="n">
        <v>0.1238</v>
      </c>
      <c r="T3945" s="3" t="n">
        <v>0.0269</v>
      </c>
    </row>
    <row r="3946" customFormat="false" ht="15" hidden="false" customHeight="true" outlineLevel="0" collapsed="false">
      <c r="A3946" s="3" t="s">
        <v>5105</v>
      </c>
      <c r="B3946" s="3" t="s">
        <v>3592</v>
      </c>
      <c r="C3946" s="3" t="s">
        <v>68</v>
      </c>
      <c r="D3946" s="3" t="s">
        <v>54</v>
      </c>
      <c r="E3946" s="3" t="s">
        <v>24</v>
      </c>
      <c r="F3946" s="3" t="s">
        <v>40</v>
      </c>
      <c r="G3946" s="3" t="s">
        <v>34</v>
      </c>
      <c r="H3946" s="3" t="s">
        <v>56</v>
      </c>
      <c r="I3946" s="3" t="s">
        <v>188</v>
      </c>
      <c r="J3946" s="3" t="n">
        <v>7</v>
      </c>
      <c r="K3946" s="3" t="n">
        <v>17848.52</v>
      </c>
      <c r="L3946" s="3" t="n">
        <v>124939.64</v>
      </c>
      <c r="M3946" s="3" t="n">
        <v>0.1347</v>
      </c>
      <c r="N3946" s="3" t="n">
        <v>16829.37</v>
      </c>
      <c r="O3946" s="3" t="n">
        <v>108110.27</v>
      </c>
      <c r="P3946" s="3" t="n">
        <v>74963.78</v>
      </c>
      <c r="Q3946" s="3" t="n">
        <v>33146.49</v>
      </c>
      <c r="R3946" s="3" t="n">
        <v>0.3066</v>
      </c>
      <c r="S3946" s="3" t="n">
        <v>0.1241</v>
      </c>
      <c r="T3946" s="3" t="n">
        <v>0.0106</v>
      </c>
    </row>
    <row r="3947" customFormat="false" ht="15" hidden="false" customHeight="true" outlineLevel="0" collapsed="false">
      <c r="A3947" s="3" t="s">
        <v>5106</v>
      </c>
      <c r="B3947" s="3" t="s">
        <v>1596</v>
      </c>
      <c r="C3947" s="3" t="s">
        <v>156</v>
      </c>
      <c r="D3947" s="3" t="s">
        <v>69</v>
      </c>
      <c r="E3947" s="3" t="s">
        <v>39</v>
      </c>
      <c r="F3947" s="3" t="s">
        <v>70</v>
      </c>
      <c r="G3947" s="3" t="s">
        <v>26</v>
      </c>
      <c r="H3947" s="3" t="s">
        <v>27</v>
      </c>
      <c r="I3947" s="3" t="s">
        <v>173</v>
      </c>
      <c r="J3947" s="3" t="n">
        <v>38</v>
      </c>
      <c r="K3947" s="3" t="n">
        <v>32539.14</v>
      </c>
      <c r="L3947" s="3" t="n">
        <v>1236487.32</v>
      </c>
      <c r="M3947" s="3" t="n">
        <v>0.0744</v>
      </c>
      <c r="N3947" s="3" t="n">
        <v>91994.66</v>
      </c>
      <c r="O3947" s="3" t="n">
        <v>1144492.66</v>
      </c>
      <c r="P3947" s="3" t="n">
        <v>766622.14</v>
      </c>
      <c r="Q3947" s="3" t="n">
        <v>377870.52</v>
      </c>
      <c r="R3947" s="3" t="n">
        <v>0.3302</v>
      </c>
      <c r="S3947" s="3" t="n">
        <v>0.0601</v>
      </c>
      <c r="T3947" s="3" t="n">
        <v>0.0143</v>
      </c>
    </row>
    <row r="3948" customFormat="false" ht="15" hidden="false" customHeight="true" outlineLevel="0" collapsed="false">
      <c r="A3948" s="3" t="s">
        <v>5107</v>
      </c>
      <c r="B3948" s="3" t="s">
        <v>1322</v>
      </c>
      <c r="C3948" s="3" t="s">
        <v>120</v>
      </c>
      <c r="D3948" s="3" t="s">
        <v>107</v>
      </c>
      <c r="E3948" s="3" t="s">
        <v>33</v>
      </c>
      <c r="F3948" s="3" t="s">
        <v>70</v>
      </c>
      <c r="G3948" s="3" t="s">
        <v>104</v>
      </c>
      <c r="H3948" s="3" t="s">
        <v>27</v>
      </c>
      <c r="I3948" s="3" t="s">
        <v>94</v>
      </c>
      <c r="J3948" s="3" t="n">
        <v>27</v>
      </c>
      <c r="K3948" s="3" t="n">
        <v>15790.54</v>
      </c>
      <c r="L3948" s="3" t="n">
        <v>426344.58</v>
      </c>
      <c r="M3948" s="3" t="n">
        <v>0.103</v>
      </c>
      <c r="N3948" s="3" t="n">
        <v>43913.49</v>
      </c>
      <c r="O3948" s="3" t="n">
        <v>382431.09</v>
      </c>
      <c r="P3948" s="3" t="n">
        <v>264333.64</v>
      </c>
      <c r="Q3948" s="3" t="n">
        <v>118097.45</v>
      </c>
      <c r="R3948" s="3" t="n">
        <v>0.3088</v>
      </c>
      <c r="S3948" s="3" t="n">
        <v>0.1033</v>
      </c>
      <c r="T3948" s="3" t="n">
        <v>-0.0003</v>
      </c>
    </row>
    <row r="3949" customFormat="false" ht="15" hidden="false" customHeight="true" outlineLevel="0" collapsed="false">
      <c r="A3949" s="3" t="s">
        <v>5108</v>
      </c>
      <c r="B3949" s="3" t="s">
        <v>21</v>
      </c>
      <c r="C3949" s="3" t="s">
        <v>22</v>
      </c>
      <c r="D3949" s="3" t="s">
        <v>32</v>
      </c>
      <c r="E3949" s="3" t="s">
        <v>33</v>
      </c>
      <c r="F3949" s="3" t="s">
        <v>25</v>
      </c>
      <c r="G3949" s="3" t="s">
        <v>100</v>
      </c>
      <c r="H3949" s="3" t="s">
        <v>64</v>
      </c>
      <c r="I3949" s="3" t="s">
        <v>65</v>
      </c>
      <c r="J3949" s="3" t="n">
        <v>5</v>
      </c>
      <c r="K3949" s="3" t="n">
        <v>4377.59</v>
      </c>
      <c r="L3949" s="3" t="n">
        <v>21887.95</v>
      </c>
      <c r="M3949" s="3" t="n">
        <v>0.1072</v>
      </c>
      <c r="N3949" s="3" t="n">
        <v>2346.39</v>
      </c>
      <c r="O3949" s="3" t="n">
        <v>19541.56</v>
      </c>
      <c r="P3949" s="3" t="n">
        <v>12695.01</v>
      </c>
      <c r="Q3949" s="3" t="n">
        <v>6846.55</v>
      </c>
      <c r="R3949" s="3" t="n">
        <v>0.3504</v>
      </c>
      <c r="S3949" s="3" t="n">
        <v>0.1002</v>
      </c>
      <c r="T3949" s="3" t="n">
        <v>0.007</v>
      </c>
    </row>
    <row r="3950" customFormat="false" ht="15" hidden="false" customHeight="true" outlineLevel="0" collapsed="false">
      <c r="A3950" s="3" t="s">
        <v>5109</v>
      </c>
      <c r="B3950" s="3" t="s">
        <v>3508</v>
      </c>
      <c r="C3950" s="3" t="s">
        <v>113</v>
      </c>
      <c r="D3950" s="3" t="s">
        <v>75</v>
      </c>
      <c r="E3950" s="3" t="s">
        <v>39</v>
      </c>
      <c r="F3950" s="3" t="s">
        <v>25</v>
      </c>
      <c r="G3950" s="3" t="s">
        <v>63</v>
      </c>
      <c r="H3950" s="3" t="s">
        <v>56</v>
      </c>
      <c r="I3950" s="3" t="s">
        <v>57</v>
      </c>
      <c r="J3950" s="3" t="n">
        <v>41</v>
      </c>
      <c r="K3950" s="3" t="n">
        <v>3002.9</v>
      </c>
      <c r="L3950" s="3" t="n">
        <v>123118.9</v>
      </c>
      <c r="M3950" s="3" t="n">
        <v>0.1401</v>
      </c>
      <c r="N3950" s="3" t="n">
        <v>17248.96</v>
      </c>
      <c r="O3950" s="3" t="n">
        <v>105869.94</v>
      </c>
      <c r="P3950" s="3" t="n">
        <v>73871.34</v>
      </c>
      <c r="Q3950" s="3" t="n">
        <v>31998.6</v>
      </c>
      <c r="R3950" s="3" t="n">
        <v>0.3022</v>
      </c>
      <c r="S3950" s="3" t="n">
        <v>0.1198</v>
      </c>
      <c r="T3950" s="3" t="n">
        <v>0.0203</v>
      </c>
    </row>
    <row r="3951" customFormat="false" ht="15" hidden="false" customHeight="true" outlineLevel="0" collapsed="false">
      <c r="A3951" s="3" t="s">
        <v>5110</v>
      </c>
      <c r="B3951" s="3" t="s">
        <v>2704</v>
      </c>
      <c r="C3951" s="3" t="s">
        <v>120</v>
      </c>
      <c r="D3951" s="3" t="s">
        <v>61</v>
      </c>
      <c r="E3951" s="3" t="s">
        <v>33</v>
      </c>
      <c r="F3951" s="3" t="s">
        <v>62</v>
      </c>
      <c r="G3951" s="3" t="s">
        <v>55</v>
      </c>
      <c r="H3951" s="3" t="s">
        <v>42</v>
      </c>
      <c r="I3951" s="3" t="s">
        <v>72</v>
      </c>
      <c r="J3951" s="3" t="n">
        <v>1</v>
      </c>
      <c r="K3951" s="3" t="n">
        <v>2508.8</v>
      </c>
      <c r="L3951" s="3" t="n">
        <v>2508.8</v>
      </c>
      <c r="M3951" s="3" t="n">
        <v>0.0405</v>
      </c>
      <c r="N3951" s="3" t="n">
        <v>101.61</v>
      </c>
      <c r="O3951" s="3" t="n">
        <v>2407.19</v>
      </c>
      <c r="P3951" s="3" t="n">
        <v>1379.84</v>
      </c>
      <c r="Q3951" s="3" t="n">
        <v>1027.35</v>
      </c>
      <c r="R3951" s="3" t="n">
        <v>0.4268</v>
      </c>
      <c r="S3951" s="3" t="n">
        <v>0.0441</v>
      </c>
      <c r="T3951" s="3" t="n">
        <v>-0.0036</v>
      </c>
    </row>
    <row r="3952" customFormat="false" ht="15" hidden="false" customHeight="true" outlineLevel="0" collapsed="false">
      <c r="A3952" s="3" t="s">
        <v>5111</v>
      </c>
      <c r="B3952" s="3" t="s">
        <v>2346</v>
      </c>
      <c r="C3952" s="3" t="s">
        <v>126</v>
      </c>
      <c r="D3952" s="3" t="s">
        <v>54</v>
      </c>
      <c r="E3952" s="3" t="s">
        <v>24</v>
      </c>
      <c r="F3952" s="3" t="s">
        <v>40</v>
      </c>
      <c r="G3952" s="3" t="s">
        <v>71</v>
      </c>
      <c r="H3952" s="3" t="s">
        <v>64</v>
      </c>
      <c r="I3952" s="3" t="s">
        <v>145</v>
      </c>
      <c r="J3952" s="3" t="n">
        <v>14</v>
      </c>
      <c r="K3952" s="3" t="n">
        <v>7460.18</v>
      </c>
      <c r="L3952" s="3" t="n">
        <v>104442.52</v>
      </c>
      <c r="M3952" s="3" t="n">
        <v>0.0662</v>
      </c>
      <c r="N3952" s="3" t="n">
        <v>6914.09</v>
      </c>
      <c r="O3952" s="3" t="n">
        <v>97528.43</v>
      </c>
      <c r="P3952" s="3" t="n">
        <v>60576.66</v>
      </c>
      <c r="Q3952" s="3" t="n">
        <v>36951.77</v>
      </c>
      <c r="R3952" s="3" t="n">
        <v>0.3789</v>
      </c>
      <c r="S3952" s="3" t="n">
        <v>0.059</v>
      </c>
      <c r="T3952" s="3" t="n">
        <v>0.0072</v>
      </c>
    </row>
    <row r="3953" customFormat="false" ht="15" hidden="false" customHeight="true" outlineLevel="0" collapsed="false">
      <c r="A3953" s="3" t="s">
        <v>5112</v>
      </c>
      <c r="B3953" s="3" t="s">
        <v>1193</v>
      </c>
      <c r="C3953" s="3" t="s">
        <v>126</v>
      </c>
      <c r="D3953" s="3" t="s">
        <v>61</v>
      </c>
      <c r="E3953" s="3" t="s">
        <v>33</v>
      </c>
      <c r="F3953" s="3" t="s">
        <v>62</v>
      </c>
      <c r="G3953" s="3" t="s">
        <v>49</v>
      </c>
      <c r="H3953" s="3" t="s">
        <v>27</v>
      </c>
      <c r="I3953" s="3" t="s">
        <v>173</v>
      </c>
      <c r="J3953" s="3" t="n">
        <v>3</v>
      </c>
      <c r="K3953" s="3" t="n">
        <v>10122.99</v>
      </c>
      <c r="L3953" s="3" t="n">
        <v>30368.97</v>
      </c>
      <c r="M3953" s="3" t="n">
        <v>0.0702</v>
      </c>
      <c r="N3953" s="3" t="n">
        <v>2131.9</v>
      </c>
      <c r="O3953" s="3" t="n">
        <v>28237.07</v>
      </c>
      <c r="P3953" s="3" t="n">
        <v>18828.76</v>
      </c>
      <c r="Q3953" s="3" t="n">
        <v>9408.31</v>
      </c>
      <c r="R3953" s="3" t="n">
        <v>0.3332</v>
      </c>
      <c r="S3953" s="3" t="n">
        <v>0.074</v>
      </c>
      <c r="T3953" s="3" t="n">
        <v>-0.0038</v>
      </c>
    </row>
    <row r="3954" customFormat="false" ht="15" hidden="false" customHeight="true" outlineLevel="0" collapsed="false">
      <c r="A3954" s="3" t="s">
        <v>5113</v>
      </c>
      <c r="B3954" s="3" t="s">
        <v>2875</v>
      </c>
      <c r="C3954" s="3" t="s">
        <v>37</v>
      </c>
      <c r="D3954" s="3" t="s">
        <v>32</v>
      </c>
      <c r="E3954" s="3" t="s">
        <v>33</v>
      </c>
      <c r="F3954" s="3" t="s">
        <v>25</v>
      </c>
      <c r="G3954" s="3" t="s">
        <v>71</v>
      </c>
      <c r="H3954" s="3" t="s">
        <v>27</v>
      </c>
      <c r="I3954" s="3" t="s">
        <v>28</v>
      </c>
      <c r="J3954" s="3" t="n">
        <v>13</v>
      </c>
      <c r="K3954" s="3" t="n">
        <v>17353.47</v>
      </c>
      <c r="L3954" s="3" t="n">
        <v>225595.11</v>
      </c>
      <c r="M3954" s="3" t="n">
        <v>0.103</v>
      </c>
      <c r="N3954" s="3" t="n">
        <v>23236.3</v>
      </c>
      <c r="O3954" s="3" t="n">
        <v>202358.81</v>
      </c>
      <c r="P3954" s="3" t="n">
        <v>139868.97</v>
      </c>
      <c r="Q3954" s="3" t="n">
        <v>62489.84</v>
      </c>
      <c r="R3954" s="3" t="n">
        <v>0.3088</v>
      </c>
      <c r="S3954" s="3" t="n">
        <v>0.1121</v>
      </c>
      <c r="T3954" s="3" t="n">
        <v>-0.0091</v>
      </c>
    </row>
    <row r="3955" customFormat="false" ht="15" hidden="false" customHeight="true" outlineLevel="0" collapsed="false">
      <c r="A3955" s="3" t="s">
        <v>5114</v>
      </c>
      <c r="B3955" s="3" t="s">
        <v>1592</v>
      </c>
      <c r="C3955" s="3" t="s">
        <v>120</v>
      </c>
      <c r="D3955" s="3" t="s">
        <v>83</v>
      </c>
      <c r="E3955" s="3" t="s">
        <v>48</v>
      </c>
      <c r="F3955" s="3" t="s">
        <v>62</v>
      </c>
      <c r="G3955" s="3" t="s">
        <v>41</v>
      </c>
      <c r="H3955" s="3" t="s">
        <v>56</v>
      </c>
      <c r="I3955" s="3" t="s">
        <v>57</v>
      </c>
      <c r="J3955" s="3" t="n">
        <v>31</v>
      </c>
      <c r="K3955" s="3" t="n">
        <v>2757.2</v>
      </c>
      <c r="L3955" s="3" t="n">
        <v>85473.2</v>
      </c>
      <c r="M3955" s="3" t="n">
        <v>0.1279</v>
      </c>
      <c r="N3955" s="3" t="n">
        <v>10932.02</v>
      </c>
      <c r="O3955" s="3" t="n">
        <v>74541.18</v>
      </c>
      <c r="P3955" s="3" t="n">
        <v>51283.92</v>
      </c>
      <c r="Q3955" s="3" t="n">
        <v>23257.26</v>
      </c>
      <c r="R3955" s="3" t="n">
        <v>0.312</v>
      </c>
      <c r="S3955" s="3" t="n">
        <v>0.1284</v>
      </c>
      <c r="T3955" s="3" t="n">
        <v>-0.0005</v>
      </c>
    </row>
    <row r="3956" customFormat="false" ht="15" hidden="false" customHeight="true" outlineLevel="0" collapsed="false">
      <c r="A3956" s="3" t="s">
        <v>5115</v>
      </c>
      <c r="B3956" s="3" t="s">
        <v>1870</v>
      </c>
      <c r="C3956" s="3" t="s">
        <v>46</v>
      </c>
      <c r="D3956" s="3" t="s">
        <v>38</v>
      </c>
      <c r="E3956" s="3" t="s">
        <v>39</v>
      </c>
      <c r="F3956" s="3" t="s">
        <v>40</v>
      </c>
      <c r="G3956" s="3" t="s">
        <v>26</v>
      </c>
      <c r="H3956" s="3" t="s">
        <v>42</v>
      </c>
      <c r="I3956" s="3" t="s">
        <v>134</v>
      </c>
      <c r="J3956" s="3" t="n">
        <v>43</v>
      </c>
      <c r="K3956" s="3" t="n">
        <v>2124.89</v>
      </c>
      <c r="L3956" s="3" t="n">
        <v>91370.27</v>
      </c>
      <c r="M3956" s="3" t="n">
        <v>0.0343</v>
      </c>
      <c r="N3956" s="3" t="n">
        <v>3134</v>
      </c>
      <c r="O3956" s="3" t="n">
        <v>88236.27</v>
      </c>
      <c r="P3956" s="3" t="n">
        <v>50253.65</v>
      </c>
      <c r="Q3956" s="3" t="n">
        <v>37982.62</v>
      </c>
      <c r="R3956" s="3" t="n">
        <v>0.4305</v>
      </c>
      <c r="S3956" s="3" t="n">
        <v>0.0356</v>
      </c>
      <c r="T3956" s="3" t="n">
        <v>-0.0013</v>
      </c>
    </row>
    <row r="3957" customFormat="false" ht="15" hidden="false" customHeight="true" outlineLevel="0" collapsed="false">
      <c r="A3957" s="3" t="s">
        <v>5116</v>
      </c>
      <c r="B3957" s="3" t="s">
        <v>92</v>
      </c>
      <c r="C3957" s="3" t="s">
        <v>93</v>
      </c>
      <c r="D3957" s="3" t="s">
        <v>61</v>
      </c>
      <c r="E3957" s="3" t="s">
        <v>33</v>
      </c>
      <c r="F3957" s="3" t="s">
        <v>62</v>
      </c>
      <c r="G3957" s="3" t="s">
        <v>100</v>
      </c>
      <c r="H3957" s="3" t="s">
        <v>56</v>
      </c>
      <c r="I3957" s="3" t="s">
        <v>121</v>
      </c>
      <c r="J3957" s="3" t="n">
        <v>36</v>
      </c>
      <c r="K3957" s="3" t="n">
        <v>17055.1</v>
      </c>
      <c r="L3957" s="3" t="n">
        <v>613983.6</v>
      </c>
      <c r="M3957" s="3" t="n">
        <v>0.0548</v>
      </c>
      <c r="N3957" s="3" t="n">
        <v>33646.3</v>
      </c>
      <c r="O3957" s="3" t="n">
        <v>580337.3</v>
      </c>
      <c r="P3957" s="3" t="n">
        <v>368390.16</v>
      </c>
      <c r="Q3957" s="3" t="n">
        <v>211947.14</v>
      </c>
      <c r="R3957" s="3" t="n">
        <v>0.3652</v>
      </c>
      <c r="S3957" s="3" t="n">
        <v>0.052</v>
      </c>
      <c r="T3957" s="3" t="n">
        <v>0.0028</v>
      </c>
    </row>
    <row r="3958" customFormat="false" ht="15" hidden="false" customHeight="true" outlineLevel="0" collapsed="false">
      <c r="A3958" s="3" t="s">
        <v>5117</v>
      </c>
      <c r="B3958" s="3" t="s">
        <v>670</v>
      </c>
      <c r="C3958" s="3" t="s">
        <v>113</v>
      </c>
      <c r="D3958" s="3" t="s">
        <v>83</v>
      </c>
      <c r="E3958" s="3" t="s">
        <v>48</v>
      </c>
      <c r="F3958" s="3" t="s">
        <v>62</v>
      </c>
      <c r="G3958" s="3" t="s">
        <v>116</v>
      </c>
      <c r="H3958" s="3" t="s">
        <v>77</v>
      </c>
      <c r="I3958" s="3" t="s">
        <v>78</v>
      </c>
      <c r="J3958" s="3" t="n">
        <v>31</v>
      </c>
      <c r="K3958" s="3" t="n">
        <v>2245.14</v>
      </c>
      <c r="L3958" s="3" t="n">
        <v>69599.34</v>
      </c>
      <c r="M3958" s="3" t="n">
        <v>0.0763</v>
      </c>
      <c r="N3958" s="3" t="n">
        <v>5310.43</v>
      </c>
      <c r="O3958" s="3" t="n">
        <v>64288.91</v>
      </c>
      <c r="P3958" s="3" t="n">
        <v>47327.55</v>
      </c>
      <c r="Q3958" s="3" t="n">
        <v>16961.36</v>
      </c>
      <c r="R3958" s="3" t="n">
        <v>0.2638</v>
      </c>
      <c r="S3958" s="3" t="n">
        <v>0.0749</v>
      </c>
      <c r="T3958" s="3" t="n">
        <v>0.0014</v>
      </c>
    </row>
    <row r="3959" customFormat="false" ht="15" hidden="false" customHeight="true" outlineLevel="0" collapsed="false">
      <c r="A3959" s="3" t="s">
        <v>5118</v>
      </c>
      <c r="B3959" s="3" t="s">
        <v>1357</v>
      </c>
      <c r="C3959" s="3" t="s">
        <v>126</v>
      </c>
      <c r="D3959" s="3" t="s">
        <v>61</v>
      </c>
      <c r="E3959" s="3" t="s">
        <v>33</v>
      </c>
      <c r="F3959" s="3" t="s">
        <v>62</v>
      </c>
      <c r="G3959" s="3" t="s">
        <v>34</v>
      </c>
      <c r="H3959" s="3" t="s">
        <v>56</v>
      </c>
      <c r="I3959" s="3" t="s">
        <v>121</v>
      </c>
      <c r="J3959" s="3" t="n">
        <v>42</v>
      </c>
      <c r="K3959" s="3" t="n">
        <v>11835.59</v>
      </c>
      <c r="L3959" s="3" t="n">
        <v>497094.78</v>
      </c>
      <c r="M3959" s="3" t="n">
        <v>0.0882</v>
      </c>
      <c r="N3959" s="3" t="n">
        <v>43843.76</v>
      </c>
      <c r="O3959" s="3" t="n">
        <v>453251.02</v>
      </c>
      <c r="P3959" s="3" t="n">
        <v>298256.87</v>
      </c>
      <c r="Q3959" s="3" t="n">
        <v>154994.15</v>
      </c>
      <c r="R3959" s="3" t="n">
        <v>0.342</v>
      </c>
      <c r="S3959" s="3" t="n">
        <v>0.084</v>
      </c>
      <c r="T3959" s="3" t="n">
        <v>0.0042</v>
      </c>
    </row>
    <row r="3960" customFormat="false" ht="15" hidden="false" customHeight="true" outlineLevel="0" collapsed="false">
      <c r="A3960" s="3" t="s">
        <v>5119</v>
      </c>
      <c r="B3960" s="3" t="s">
        <v>4255</v>
      </c>
      <c r="C3960" s="3" t="s">
        <v>68</v>
      </c>
      <c r="D3960" s="3" t="s">
        <v>69</v>
      </c>
      <c r="E3960" s="3" t="s">
        <v>39</v>
      </c>
      <c r="F3960" s="3" t="s">
        <v>70</v>
      </c>
      <c r="G3960" s="3" t="s">
        <v>49</v>
      </c>
      <c r="H3960" s="3" t="s">
        <v>27</v>
      </c>
      <c r="I3960" s="3" t="s">
        <v>50</v>
      </c>
      <c r="J3960" s="3" t="n">
        <v>17</v>
      </c>
      <c r="K3960" s="3" t="n">
        <v>11741.09</v>
      </c>
      <c r="L3960" s="3" t="n">
        <v>199598.53</v>
      </c>
      <c r="M3960" s="3" t="n">
        <v>0.046</v>
      </c>
      <c r="N3960" s="3" t="n">
        <v>9181.53</v>
      </c>
      <c r="O3960" s="3" t="n">
        <v>190417</v>
      </c>
      <c r="P3960" s="3" t="n">
        <v>123751.09</v>
      </c>
      <c r="Q3960" s="3" t="n">
        <v>66665.91</v>
      </c>
      <c r="R3960" s="3" t="n">
        <v>0.3501</v>
      </c>
      <c r="S3960" s="3" t="n">
        <v>0.0424</v>
      </c>
      <c r="T3960" s="3" t="n">
        <v>0.0036</v>
      </c>
    </row>
    <row r="3961" customFormat="false" ht="15" hidden="false" customHeight="true" outlineLevel="0" collapsed="false">
      <c r="A3961" s="3" t="s">
        <v>5120</v>
      </c>
      <c r="B3961" s="3" t="s">
        <v>2747</v>
      </c>
      <c r="C3961" s="3" t="s">
        <v>156</v>
      </c>
      <c r="D3961" s="3" t="s">
        <v>107</v>
      </c>
      <c r="E3961" s="3" t="s">
        <v>33</v>
      </c>
      <c r="F3961" s="3" t="s">
        <v>70</v>
      </c>
      <c r="G3961" s="3" t="s">
        <v>26</v>
      </c>
      <c r="H3961" s="3" t="s">
        <v>27</v>
      </c>
      <c r="I3961" s="3" t="s">
        <v>173</v>
      </c>
      <c r="J3961" s="3" t="n">
        <v>8</v>
      </c>
      <c r="K3961" s="3" t="n">
        <v>15147.09</v>
      </c>
      <c r="L3961" s="3" t="n">
        <v>121176.72</v>
      </c>
      <c r="M3961" s="3" t="n">
        <v>0.0569</v>
      </c>
      <c r="N3961" s="3" t="n">
        <v>6894.96</v>
      </c>
      <c r="O3961" s="3" t="n">
        <v>114281.76</v>
      </c>
      <c r="P3961" s="3" t="n">
        <v>75129.57</v>
      </c>
      <c r="Q3961" s="3" t="n">
        <v>39152.19</v>
      </c>
      <c r="R3961" s="3" t="n">
        <v>0.3426</v>
      </c>
      <c r="S3961" s="3" t="n">
        <v>0.0541</v>
      </c>
      <c r="T3961" s="3" t="n">
        <v>0.0028</v>
      </c>
    </row>
    <row r="3962" customFormat="false" ht="15" hidden="false" customHeight="true" outlineLevel="0" collapsed="false">
      <c r="A3962" s="3" t="s">
        <v>5121</v>
      </c>
      <c r="B3962" s="3" t="s">
        <v>513</v>
      </c>
      <c r="C3962" s="3" t="s">
        <v>120</v>
      </c>
      <c r="D3962" s="3" t="s">
        <v>38</v>
      </c>
      <c r="E3962" s="3" t="s">
        <v>39</v>
      </c>
      <c r="F3962" s="3" t="s">
        <v>40</v>
      </c>
      <c r="G3962" s="3" t="s">
        <v>26</v>
      </c>
      <c r="H3962" s="3" t="s">
        <v>77</v>
      </c>
      <c r="I3962" s="3" t="s">
        <v>78</v>
      </c>
      <c r="J3962" s="3" t="n">
        <v>16</v>
      </c>
      <c r="K3962" s="3" t="n">
        <v>4451.21</v>
      </c>
      <c r="L3962" s="3" t="n">
        <v>71219.36</v>
      </c>
      <c r="M3962" s="3" t="n">
        <v>0.0613</v>
      </c>
      <c r="N3962" s="3" t="n">
        <v>4365.75</v>
      </c>
      <c r="O3962" s="3" t="n">
        <v>66853.61</v>
      </c>
      <c r="P3962" s="3" t="n">
        <v>48429.16</v>
      </c>
      <c r="Q3962" s="3" t="n">
        <v>18424.45</v>
      </c>
      <c r="R3962" s="3" t="n">
        <v>0.2756</v>
      </c>
      <c r="S3962" s="3" t="n">
        <v>0.0555</v>
      </c>
      <c r="T3962" s="3" t="n">
        <v>0.0058</v>
      </c>
    </row>
    <row r="3963" customFormat="false" ht="15" hidden="false" customHeight="true" outlineLevel="0" collapsed="false">
      <c r="A3963" s="3" t="s">
        <v>5122</v>
      </c>
      <c r="B3963" s="3" t="s">
        <v>3168</v>
      </c>
      <c r="C3963" s="3" t="s">
        <v>37</v>
      </c>
      <c r="D3963" s="3" t="s">
        <v>83</v>
      </c>
      <c r="E3963" s="3" t="s">
        <v>48</v>
      </c>
      <c r="F3963" s="3" t="s">
        <v>62</v>
      </c>
      <c r="G3963" s="3" t="s">
        <v>49</v>
      </c>
      <c r="H3963" s="3" t="s">
        <v>42</v>
      </c>
      <c r="I3963" s="3" t="s">
        <v>72</v>
      </c>
      <c r="J3963" s="3" t="n">
        <v>37</v>
      </c>
      <c r="K3963" s="3" t="n">
        <v>2669.36</v>
      </c>
      <c r="L3963" s="3" t="n">
        <v>98766.32</v>
      </c>
      <c r="M3963" s="3" t="n">
        <v>0.0353</v>
      </c>
      <c r="N3963" s="3" t="n">
        <v>3486.45</v>
      </c>
      <c r="O3963" s="3" t="n">
        <v>95279.87</v>
      </c>
      <c r="P3963" s="3" t="n">
        <v>54321.48</v>
      </c>
      <c r="Q3963" s="3" t="n">
        <v>40958.39</v>
      </c>
      <c r="R3963" s="3" t="n">
        <v>0.4299</v>
      </c>
      <c r="S3963" s="3" t="n">
        <v>0.0308</v>
      </c>
      <c r="T3963" s="3" t="n">
        <v>0.0045</v>
      </c>
    </row>
    <row r="3964" customFormat="false" ht="15" hidden="false" customHeight="true" outlineLevel="0" collapsed="false">
      <c r="A3964" s="3" t="s">
        <v>5123</v>
      </c>
      <c r="B3964" s="3" t="s">
        <v>2398</v>
      </c>
      <c r="C3964" s="3" t="s">
        <v>113</v>
      </c>
      <c r="D3964" s="3" t="s">
        <v>47</v>
      </c>
      <c r="E3964" s="3" t="s">
        <v>48</v>
      </c>
      <c r="F3964" s="3" t="s">
        <v>25</v>
      </c>
      <c r="G3964" s="3" t="s">
        <v>49</v>
      </c>
      <c r="H3964" s="3" t="s">
        <v>64</v>
      </c>
      <c r="I3964" s="3" t="s">
        <v>65</v>
      </c>
      <c r="J3964" s="3" t="n">
        <v>20</v>
      </c>
      <c r="K3964" s="3" t="n">
        <v>11104.75</v>
      </c>
      <c r="L3964" s="3" t="n">
        <v>222095</v>
      </c>
      <c r="M3964" s="3" t="n">
        <v>0.1614</v>
      </c>
      <c r="N3964" s="3" t="n">
        <v>35846.13</v>
      </c>
      <c r="O3964" s="3" t="n">
        <v>186248.87</v>
      </c>
      <c r="P3964" s="3" t="n">
        <v>128815.1</v>
      </c>
      <c r="Q3964" s="3" t="n">
        <v>57433.77</v>
      </c>
      <c r="R3964" s="3" t="n">
        <v>0.3084</v>
      </c>
      <c r="S3964" s="3" t="n">
        <v>0.1508</v>
      </c>
      <c r="T3964" s="3" t="n">
        <v>0.0106</v>
      </c>
    </row>
    <row r="3965" customFormat="false" ht="15" hidden="false" customHeight="true" outlineLevel="0" collapsed="false">
      <c r="A3965" s="3" t="s">
        <v>5124</v>
      </c>
      <c r="B3965" s="3" t="s">
        <v>2230</v>
      </c>
      <c r="C3965" s="3" t="s">
        <v>31</v>
      </c>
      <c r="D3965" s="3" t="s">
        <v>23</v>
      </c>
      <c r="E3965" s="3" t="s">
        <v>24</v>
      </c>
      <c r="F3965" s="3" t="s">
        <v>25</v>
      </c>
      <c r="G3965" s="3" t="s">
        <v>76</v>
      </c>
      <c r="H3965" s="3" t="s">
        <v>56</v>
      </c>
      <c r="I3965" s="3" t="s">
        <v>57</v>
      </c>
      <c r="J3965" s="3" t="n">
        <v>27</v>
      </c>
      <c r="K3965" s="3" t="n">
        <v>2497.55</v>
      </c>
      <c r="L3965" s="3" t="n">
        <v>67433.85</v>
      </c>
      <c r="M3965" s="3" t="n">
        <v>0.1065</v>
      </c>
      <c r="N3965" s="3" t="n">
        <v>7181.71</v>
      </c>
      <c r="O3965" s="3" t="n">
        <v>60252.14</v>
      </c>
      <c r="P3965" s="3" t="n">
        <v>40460.31</v>
      </c>
      <c r="Q3965" s="3" t="n">
        <v>19791.83</v>
      </c>
      <c r="R3965" s="3" t="n">
        <v>0.3285</v>
      </c>
      <c r="S3965" s="3" t="n">
        <v>0.1139</v>
      </c>
      <c r="T3965" s="3" t="n">
        <v>-0.0074</v>
      </c>
    </row>
    <row r="3966" customFormat="false" ht="15" hidden="false" customHeight="true" outlineLevel="0" collapsed="false">
      <c r="A3966" s="3" t="s">
        <v>5125</v>
      </c>
      <c r="B3966" s="3" t="s">
        <v>1067</v>
      </c>
      <c r="C3966" s="3" t="s">
        <v>93</v>
      </c>
      <c r="D3966" s="3" t="s">
        <v>32</v>
      </c>
      <c r="E3966" s="3" t="s">
        <v>33</v>
      </c>
      <c r="F3966" s="3" t="s">
        <v>25</v>
      </c>
      <c r="G3966" s="3" t="s">
        <v>26</v>
      </c>
      <c r="H3966" s="3" t="s">
        <v>64</v>
      </c>
      <c r="I3966" s="3" t="s">
        <v>65</v>
      </c>
      <c r="J3966" s="3" t="n">
        <v>41</v>
      </c>
      <c r="K3966" s="3" t="n">
        <v>7214.35</v>
      </c>
      <c r="L3966" s="3" t="n">
        <v>295788.35</v>
      </c>
      <c r="M3966" s="3" t="n">
        <v>0.1021</v>
      </c>
      <c r="N3966" s="3" t="n">
        <v>30199.99</v>
      </c>
      <c r="O3966" s="3" t="n">
        <v>265588.36</v>
      </c>
      <c r="P3966" s="3" t="n">
        <v>171557.24</v>
      </c>
      <c r="Q3966" s="3" t="n">
        <v>94031.12</v>
      </c>
      <c r="R3966" s="3" t="n">
        <v>0.354</v>
      </c>
      <c r="S3966" s="3" t="n">
        <v>0.0988</v>
      </c>
      <c r="T3966" s="3" t="n">
        <v>0.0033</v>
      </c>
    </row>
    <row r="3967" customFormat="false" ht="15" hidden="false" customHeight="true" outlineLevel="0" collapsed="false">
      <c r="A3967" s="3" t="s">
        <v>5126</v>
      </c>
      <c r="B3967" s="3" t="s">
        <v>1704</v>
      </c>
      <c r="C3967" s="3" t="s">
        <v>37</v>
      </c>
      <c r="D3967" s="3" t="s">
        <v>54</v>
      </c>
      <c r="E3967" s="3" t="s">
        <v>24</v>
      </c>
      <c r="F3967" s="3" t="s">
        <v>40</v>
      </c>
      <c r="G3967" s="3" t="s">
        <v>71</v>
      </c>
      <c r="H3967" s="3" t="s">
        <v>64</v>
      </c>
      <c r="I3967" s="3" t="s">
        <v>65</v>
      </c>
      <c r="J3967" s="3" t="n">
        <v>23</v>
      </c>
      <c r="K3967" s="3" t="n">
        <v>11057.94</v>
      </c>
      <c r="L3967" s="3" t="n">
        <v>254332.62</v>
      </c>
      <c r="M3967" s="3" t="n">
        <v>0.0641</v>
      </c>
      <c r="N3967" s="3" t="n">
        <v>16302.72</v>
      </c>
      <c r="O3967" s="3" t="n">
        <v>238029.9</v>
      </c>
      <c r="P3967" s="3" t="n">
        <v>147512.92</v>
      </c>
      <c r="Q3967" s="3" t="n">
        <v>90516.98</v>
      </c>
      <c r="R3967" s="3" t="n">
        <v>0.3803</v>
      </c>
      <c r="S3967" s="3" t="n">
        <v>0.0651</v>
      </c>
      <c r="T3967" s="3" t="n">
        <v>-0.001</v>
      </c>
    </row>
    <row r="3968" customFormat="false" ht="15" hidden="false" customHeight="true" outlineLevel="0" collapsed="false">
      <c r="A3968" s="3" t="s">
        <v>5127</v>
      </c>
      <c r="B3968" s="3" t="s">
        <v>1166</v>
      </c>
      <c r="C3968" s="3" t="s">
        <v>68</v>
      </c>
      <c r="D3968" s="3" t="s">
        <v>69</v>
      </c>
      <c r="E3968" s="3" t="s">
        <v>39</v>
      </c>
      <c r="F3968" s="3" t="s">
        <v>70</v>
      </c>
      <c r="G3968" s="3" t="s">
        <v>76</v>
      </c>
      <c r="H3968" s="3" t="s">
        <v>42</v>
      </c>
      <c r="I3968" s="3" t="s">
        <v>134</v>
      </c>
      <c r="J3968" s="3" t="n">
        <v>3</v>
      </c>
      <c r="K3968" s="3" t="n">
        <v>3779.39</v>
      </c>
      <c r="L3968" s="3" t="n">
        <v>11338.17</v>
      </c>
      <c r="M3968" s="3" t="n">
        <v>0.0525</v>
      </c>
      <c r="N3968" s="3" t="n">
        <v>595.25</v>
      </c>
      <c r="O3968" s="3" t="n">
        <v>10742.92</v>
      </c>
      <c r="P3968" s="3" t="n">
        <v>6235.99</v>
      </c>
      <c r="Q3968" s="3" t="n">
        <v>4506.93</v>
      </c>
      <c r="R3968" s="3" t="n">
        <v>0.4195</v>
      </c>
      <c r="S3968" s="3" t="n">
        <v>0.0532</v>
      </c>
      <c r="T3968" s="3" t="n">
        <v>-0.0007</v>
      </c>
    </row>
    <row r="3969" customFormat="false" ht="15" hidden="false" customHeight="true" outlineLevel="0" collapsed="false">
      <c r="A3969" s="3" t="s">
        <v>5128</v>
      </c>
      <c r="B3969" s="3" t="s">
        <v>2643</v>
      </c>
      <c r="C3969" s="3" t="s">
        <v>60</v>
      </c>
      <c r="D3969" s="3" t="s">
        <v>23</v>
      </c>
      <c r="E3969" s="3" t="s">
        <v>24</v>
      </c>
      <c r="F3969" s="3" t="s">
        <v>25</v>
      </c>
      <c r="G3969" s="3" t="s">
        <v>84</v>
      </c>
      <c r="H3969" s="3" t="s">
        <v>77</v>
      </c>
      <c r="I3969" s="3" t="s">
        <v>78</v>
      </c>
      <c r="J3969" s="3" t="n">
        <v>33</v>
      </c>
      <c r="K3969" s="3" t="n">
        <v>4553.01</v>
      </c>
      <c r="L3969" s="3" t="n">
        <v>150249.33</v>
      </c>
      <c r="M3969" s="3" t="n">
        <v>0.1568</v>
      </c>
      <c r="N3969" s="3" t="n">
        <v>23559.09</v>
      </c>
      <c r="O3969" s="3" t="n">
        <v>126690.24</v>
      </c>
      <c r="P3969" s="3" t="n">
        <v>102169.54</v>
      </c>
      <c r="Q3969" s="3" t="n">
        <v>24520.7</v>
      </c>
      <c r="R3969" s="3" t="n">
        <v>0.1935</v>
      </c>
      <c r="S3969" s="3" t="n">
        <v>0.1557</v>
      </c>
      <c r="T3969" s="3" t="n">
        <v>0.0011</v>
      </c>
    </row>
    <row r="3970" customFormat="false" ht="15" hidden="false" customHeight="true" outlineLevel="0" collapsed="false">
      <c r="A3970" s="3" t="s">
        <v>5129</v>
      </c>
      <c r="B3970" s="3" t="s">
        <v>795</v>
      </c>
      <c r="C3970" s="3" t="s">
        <v>156</v>
      </c>
      <c r="D3970" s="3" t="s">
        <v>97</v>
      </c>
      <c r="E3970" s="3" t="s">
        <v>48</v>
      </c>
      <c r="F3970" s="3" t="s">
        <v>40</v>
      </c>
      <c r="G3970" s="3" t="s">
        <v>104</v>
      </c>
      <c r="H3970" s="3" t="s">
        <v>64</v>
      </c>
      <c r="I3970" s="3" t="s">
        <v>65</v>
      </c>
      <c r="J3970" s="3" t="n">
        <v>30</v>
      </c>
      <c r="K3970" s="3" t="n">
        <v>9662.4</v>
      </c>
      <c r="L3970" s="3" t="n">
        <v>289872</v>
      </c>
      <c r="M3970" s="3" t="n">
        <v>0.1161</v>
      </c>
      <c r="N3970" s="3" t="n">
        <v>33654.14</v>
      </c>
      <c r="O3970" s="3" t="n">
        <v>256217.86</v>
      </c>
      <c r="P3970" s="3" t="n">
        <v>168125.76</v>
      </c>
      <c r="Q3970" s="3" t="n">
        <v>88092.1</v>
      </c>
      <c r="R3970" s="3" t="n">
        <v>0.3438</v>
      </c>
      <c r="S3970" s="3" t="n">
        <v>0.1252</v>
      </c>
      <c r="T3970" s="3" t="n">
        <v>-0.0091</v>
      </c>
    </row>
    <row r="3971" customFormat="false" ht="15" hidden="false" customHeight="true" outlineLevel="0" collapsed="false">
      <c r="A3971" s="3" t="s">
        <v>5130</v>
      </c>
      <c r="B3971" s="3" t="s">
        <v>308</v>
      </c>
      <c r="C3971" s="3" t="s">
        <v>126</v>
      </c>
      <c r="D3971" s="3" t="s">
        <v>32</v>
      </c>
      <c r="E3971" s="3" t="s">
        <v>33</v>
      </c>
      <c r="F3971" s="3" t="s">
        <v>25</v>
      </c>
      <c r="G3971" s="3" t="s">
        <v>84</v>
      </c>
      <c r="H3971" s="3" t="s">
        <v>56</v>
      </c>
      <c r="I3971" s="3" t="s">
        <v>57</v>
      </c>
      <c r="J3971" s="3" t="n">
        <v>5</v>
      </c>
      <c r="K3971" s="3" t="n">
        <v>14157.03</v>
      </c>
      <c r="L3971" s="3" t="n">
        <v>70785.15</v>
      </c>
      <c r="M3971" s="3" t="n">
        <v>0.1819</v>
      </c>
      <c r="N3971" s="3" t="n">
        <v>12875.82</v>
      </c>
      <c r="O3971" s="3" t="n">
        <v>57909.33</v>
      </c>
      <c r="P3971" s="3" t="n">
        <v>42471.09</v>
      </c>
      <c r="Q3971" s="3" t="n">
        <v>15438.24</v>
      </c>
      <c r="R3971" s="3" t="n">
        <v>0.2666</v>
      </c>
      <c r="S3971" s="3" t="n">
        <v>0.1675</v>
      </c>
      <c r="T3971" s="3" t="n">
        <v>0.0144</v>
      </c>
    </row>
    <row r="3972" customFormat="false" ht="15" hidden="false" customHeight="true" outlineLevel="0" collapsed="false">
      <c r="A3972" s="3" t="s">
        <v>5131</v>
      </c>
      <c r="B3972" s="3" t="s">
        <v>475</v>
      </c>
      <c r="C3972" s="3" t="s">
        <v>126</v>
      </c>
      <c r="D3972" s="3" t="s">
        <v>97</v>
      </c>
      <c r="E3972" s="3" t="s">
        <v>48</v>
      </c>
      <c r="F3972" s="3" t="s">
        <v>40</v>
      </c>
      <c r="G3972" s="3" t="s">
        <v>71</v>
      </c>
      <c r="H3972" s="3" t="s">
        <v>77</v>
      </c>
      <c r="I3972" s="3" t="s">
        <v>78</v>
      </c>
      <c r="J3972" s="3" t="n">
        <v>45</v>
      </c>
      <c r="K3972" s="3" t="n">
        <v>3560.55</v>
      </c>
      <c r="L3972" s="3" t="n">
        <v>160224.75</v>
      </c>
      <c r="M3972" s="3" t="n">
        <v>0.0308</v>
      </c>
      <c r="N3972" s="3" t="n">
        <v>4934.92</v>
      </c>
      <c r="O3972" s="3" t="n">
        <v>155289.83</v>
      </c>
      <c r="P3972" s="3" t="n">
        <v>108952.83</v>
      </c>
      <c r="Q3972" s="3" t="n">
        <v>46337</v>
      </c>
      <c r="R3972" s="3" t="n">
        <v>0.2984</v>
      </c>
      <c r="S3972" s="3" t="n">
        <v>0.0255</v>
      </c>
      <c r="T3972" s="3" t="n">
        <v>0.0053</v>
      </c>
    </row>
    <row r="3973" customFormat="false" ht="15" hidden="false" customHeight="true" outlineLevel="0" collapsed="false">
      <c r="A3973" s="3" t="s">
        <v>5132</v>
      </c>
      <c r="B3973" s="3" t="s">
        <v>1776</v>
      </c>
      <c r="C3973" s="3" t="s">
        <v>126</v>
      </c>
      <c r="D3973" s="3" t="s">
        <v>32</v>
      </c>
      <c r="E3973" s="3" t="s">
        <v>33</v>
      </c>
      <c r="F3973" s="3" t="s">
        <v>25</v>
      </c>
      <c r="G3973" s="3" t="s">
        <v>63</v>
      </c>
      <c r="H3973" s="3" t="s">
        <v>42</v>
      </c>
      <c r="I3973" s="3" t="s">
        <v>72</v>
      </c>
      <c r="J3973" s="3" t="n">
        <v>6</v>
      </c>
      <c r="K3973" s="3" t="n">
        <v>1930.99</v>
      </c>
      <c r="L3973" s="3" t="n">
        <v>11585.94</v>
      </c>
      <c r="M3973" s="3" t="n">
        <v>0.1167</v>
      </c>
      <c r="N3973" s="3" t="n">
        <v>1352.08</v>
      </c>
      <c r="O3973" s="3" t="n">
        <v>10233.86</v>
      </c>
      <c r="P3973" s="3" t="n">
        <v>6372.27</v>
      </c>
      <c r="Q3973" s="3" t="n">
        <v>3861.59</v>
      </c>
      <c r="R3973" s="3" t="n">
        <v>0.3773</v>
      </c>
      <c r="S3973" s="3" t="n">
        <v>0.0985</v>
      </c>
      <c r="T3973" s="3" t="n">
        <v>0.0182</v>
      </c>
    </row>
    <row r="3974" customFormat="false" ht="15" hidden="false" customHeight="true" outlineLevel="0" collapsed="false">
      <c r="A3974" s="3" t="s">
        <v>5133</v>
      </c>
      <c r="B3974" s="3" t="s">
        <v>3757</v>
      </c>
      <c r="C3974" s="3" t="s">
        <v>31</v>
      </c>
      <c r="D3974" s="3" t="s">
        <v>47</v>
      </c>
      <c r="E3974" s="3" t="s">
        <v>48</v>
      </c>
      <c r="F3974" s="3" t="s">
        <v>25</v>
      </c>
      <c r="G3974" s="3" t="s">
        <v>76</v>
      </c>
      <c r="H3974" s="3" t="s">
        <v>64</v>
      </c>
      <c r="I3974" s="3" t="s">
        <v>145</v>
      </c>
      <c r="J3974" s="3" t="n">
        <v>32</v>
      </c>
      <c r="K3974" s="3" t="n">
        <v>10413.53</v>
      </c>
      <c r="L3974" s="3" t="n">
        <v>333232.96</v>
      </c>
      <c r="M3974" s="3" t="n">
        <v>0.0937</v>
      </c>
      <c r="N3974" s="3" t="n">
        <v>31223.93</v>
      </c>
      <c r="O3974" s="3" t="n">
        <v>302009.03</v>
      </c>
      <c r="P3974" s="3" t="n">
        <v>193275.12</v>
      </c>
      <c r="Q3974" s="3" t="n">
        <v>108733.91</v>
      </c>
      <c r="R3974" s="3" t="n">
        <v>0.36</v>
      </c>
      <c r="S3974" s="3" t="n">
        <v>0.0881</v>
      </c>
      <c r="T3974" s="3" t="n">
        <v>0.0056</v>
      </c>
    </row>
    <row r="3975" customFormat="false" ht="15" hidden="false" customHeight="true" outlineLevel="0" collapsed="false">
      <c r="A3975" s="3" t="s">
        <v>5134</v>
      </c>
      <c r="B3975" s="3" t="s">
        <v>1960</v>
      </c>
      <c r="C3975" s="3" t="s">
        <v>53</v>
      </c>
      <c r="D3975" s="3" t="s">
        <v>61</v>
      </c>
      <c r="E3975" s="3" t="s">
        <v>33</v>
      </c>
      <c r="F3975" s="3" t="s">
        <v>62</v>
      </c>
      <c r="G3975" s="3" t="s">
        <v>100</v>
      </c>
      <c r="H3975" s="3" t="s">
        <v>27</v>
      </c>
      <c r="I3975" s="3" t="s">
        <v>28</v>
      </c>
      <c r="J3975" s="3" t="n">
        <v>50</v>
      </c>
      <c r="K3975" s="3" t="n">
        <v>22821.95</v>
      </c>
      <c r="L3975" s="3" t="n">
        <v>1141097.5</v>
      </c>
      <c r="M3975" s="3" t="n">
        <v>0.0307</v>
      </c>
      <c r="N3975" s="3" t="n">
        <v>35031.69</v>
      </c>
      <c r="O3975" s="3" t="n">
        <v>1106065.81</v>
      </c>
      <c r="P3975" s="3" t="n">
        <v>707480.45</v>
      </c>
      <c r="Q3975" s="3" t="n">
        <v>398585.36</v>
      </c>
      <c r="R3975" s="3" t="n">
        <v>0.3604</v>
      </c>
      <c r="S3975" s="3" t="n">
        <v>0.026</v>
      </c>
      <c r="T3975" s="3" t="n">
        <v>0.0047</v>
      </c>
    </row>
    <row r="3976" customFormat="false" ht="15" hidden="false" customHeight="true" outlineLevel="0" collapsed="false">
      <c r="A3976" s="3" t="s">
        <v>5135</v>
      </c>
      <c r="B3976" s="3" t="s">
        <v>1790</v>
      </c>
      <c r="C3976" s="3" t="s">
        <v>53</v>
      </c>
      <c r="D3976" s="3" t="s">
        <v>83</v>
      </c>
      <c r="E3976" s="3" t="s">
        <v>48</v>
      </c>
      <c r="F3976" s="3" t="s">
        <v>62</v>
      </c>
      <c r="G3976" s="3" t="s">
        <v>71</v>
      </c>
      <c r="H3976" s="3" t="s">
        <v>27</v>
      </c>
      <c r="I3976" s="3" t="s">
        <v>50</v>
      </c>
      <c r="J3976" s="3" t="n">
        <v>49</v>
      </c>
      <c r="K3976" s="3" t="n">
        <v>17400.25</v>
      </c>
      <c r="L3976" s="3" t="n">
        <v>852612.25</v>
      </c>
      <c r="M3976" s="3" t="n">
        <v>0.0315</v>
      </c>
      <c r="N3976" s="3" t="n">
        <v>26857.29</v>
      </c>
      <c r="O3976" s="3" t="n">
        <v>825754.96</v>
      </c>
      <c r="P3976" s="3" t="n">
        <v>528619.59</v>
      </c>
      <c r="Q3976" s="3" t="n">
        <v>297135.37</v>
      </c>
      <c r="R3976" s="3" t="n">
        <v>0.3598</v>
      </c>
      <c r="S3976" s="3" t="n">
        <v>0.0264</v>
      </c>
      <c r="T3976" s="3" t="n">
        <v>0.0051</v>
      </c>
    </row>
    <row r="3977" customFormat="false" ht="15" hidden="false" customHeight="true" outlineLevel="0" collapsed="false">
      <c r="A3977" s="3" t="s">
        <v>5136</v>
      </c>
      <c r="B3977" s="3" t="s">
        <v>2489</v>
      </c>
      <c r="C3977" s="3" t="s">
        <v>22</v>
      </c>
      <c r="D3977" s="3" t="s">
        <v>47</v>
      </c>
      <c r="E3977" s="3" t="s">
        <v>48</v>
      </c>
      <c r="F3977" s="3" t="s">
        <v>25</v>
      </c>
      <c r="G3977" s="3" t="s">
        <v>55</v>
      </c>
      <c r="H3977" s="3" t="s">
        <v>77</v>
      </c>
      <c r="I3977" s="3" t="s">
        <v>85</v>
      </c>
      <c r="J3977" s="3" t="n">
        <v>31</v>
      </c>
      <c r="K3977" s="3" t="n">
        <v>5961.01</v>
      </c>
      <c r="L3977" s="3" t="n">
        <v>184791.31</v>
      </c>
      <c r="M3977" s="3" t="n">
        <v>0.1234</v>
      </c>
      <c r="N3977" s="3" t="n">
        <v>22803.25</v>
      </c>
      <c r="O3977" s="3" t="n">
        <v>161988.06</v>
      </c>
      <c r="P3977" s="3" t="n">
        <v>125658.09</v>
      </c>
      <c r="Q3977" s="3" t="n">
        <v>36329.97</v>
      </c>
      <c r="R3977" s="3" t="n">
        <v>0.2243</v>
      </c>
      <c r="S3977" s="3" t="n">
        <v>0.1266</v>
      </c>
      <c r="T3977" s="3" t="n">
        <v>-0.0032</v>
      </c>
    </row>
    <row r="3978" customFormat="false" ht="15" hidden="false" customHeight="true" outlineLevel="0" collapsed="false">
      <c r="A3978" s="3" t="s">
        <v>5137</v>
      </c>
      <c r="B3978" s="3" t="s">
        <v>4614</v>
      </c>
      <c r="C3978" s="3" t="s">
        <v>68</v>
      </c>
      <c r="D3978" s="3" t="s">
        <v>23</v>
      </c>
      <c r="E3978" s="3" t="s">
        <v>24</v>
      </c>
      <c r="F3978" s="3" t="s">
        <v>25</v>
      </c>
      <c r="G3978" s="3" t="s">
        <v>34</v>
      </c>
      <c r="H3978" s="3" t="s">
        <v>27</v>
      </c>
      <c r="I3978" s="3" t="s">
        <v>50</v>
      </c>
      <c r="J3978" s="3" t="n">
        <v>7</v>
      </c>
      <c r="K3978" s="3" t="n">
        <v>24429.64</v>
      </c>
      <c r="L3978" s="3" t="n">
        <v>171007.48</v>
      </c>
      <c r="M3978" s="3" t="n">
        <v>0.1893</v>
      </c>
      <c r="N3978" s="3" t="n">
        <v>32371.72</v>
      </c>
      <c r="O3978" s="3" t="n">
        <v>138635.76</v>
      </c>
      <c r="P3978" s="3" t="n">
        <v>106024.64</v>
      </c>
      <c r="Q3978" s="3" t="n">
        <v>32611.12</v>
      </c>
      <c r="R3978" s="3" t="n">
        <v>0.2352</v>
      </c>
      <c r="S3978" s="3" t="n">
        <v>0.2045</v>
      </c>
      <c r="T3978" s="3" t="n">
        <v>-0.0152</v>
      </c>
    </row>
    <row r="3979" customFormat="false" ht="15" hidden="false" customHeight="true" outlineLevel="0" collapsed="false">
      <c r="A3979" s="3" t="s">
        <v>5138</v>
      </c>
      <c r="B3979" s="3" t="s">
        <v>1389</v>
      </c>
      <c r="C3979" s="3" t="s">
        <v>156</v>
      </c>
      <c r="D3979" s="3" t="s">
        <v>38</v>
      </c>
      <c r="E3979" s="3" t="s">
        <v>39</v>
      </c>
      <c r="F3979" s="3" t="s">
        <v>40</v>
      </c>
      <c r="G3979" s="3" t="s">
        <v>63</v>
      </c>
      <c r="H3979" s="3" t="s">
        <v>64</v>
      </c>
      <c r="I3979" s="3" t="s">
        <v>145</v>
      </c>
      <c r="J3979" s="3" t="n">
        <v>11</v>
      </c>
      <c r="K3979" s="3" t="n">
        <v>10573.33</v>
      </c>
      <c r="L3979" s="3" t="n">
        <v>116306.63</v>
      </c>
      <c r="M3979" s="3" t="n">
        <v>0.0442</v>
      </c>
      <c r="N3979" s="3" t="n">
        <v>5140.75</v>
      </c>
      <c r="O3979" s="3" t="n">
        <v>111165.88</v>
      </c>
      <c r="P3979" s="3" t="n">
        <v>67457.85</v>
      </c>
      <c r="Q3979" s="3" t="n">
        <v>43708.03</v>
      </c>
      <c r="R3979" s="3" t="n">
        <v>0.3932</v>
      </c>
      <c r="S3979" s="3" t="n">
        <v>0.0391</v>
      </c>
      <c r="T3979" s="3" t="n">
        <v>0.0051</v>
      </c>
    </row>
    <row r="3980" customFormat="false" ht="15" hidden="false" customHeight="true" outlineLevel="0" collapsed="false">
      <c r="A3980" s="3" t="s">
        <v>5139</v>
      </c>
      <c r="B3980" s="3" t="s">
        <v>3808</v>
      </c>
      <c r="C3980" s="3" t="s">
        <v>126</v>
      </c>
      <c r="D3980" s="3" t="s">
        <v>107</v>
      </c>
      <c r="E3980" s="3" t="s">
        <v>33</v>
      </c>
      <c r="F3980" s="3" t="s">
        <v>70</v>
      </c>
      <c r="G3980" s="3" t="s">
        <v>71</v>
      </c>
      <c r="H3980" s="3" t="s">
        <v>27</v>
      </c>
      <c r="I3980" s="3" t="s">
        <v>28</v>
      </c>
      <c r="J3980" s="3" t="n">
        <v>6</v>
      </c>
      <c r="K3980" s="3" t="n">
        <v>14132.78</v>
      </c>
      <c r="L3980" s="3" t="n">
        <v>84796.68</v>
      </c>
      <c r="M3980" s="3" t="n">
        <v>0.0556</v>
      </c>
      <c r="N3980" s="3" t="n">
        <v>4714.7</v>
      </c>
      <c r="O3980" s="3" t="n">
        <v>80081.98</v>
      </c>
      <c r="P3980" s="3" t="n">
        <v>52573.94</v>
      </c>
      <c r="Q3980" s="3" t="n">
        <v>27508.04</v>
      </c>
      <c r="R3980" s="3" t="n">
        <v>0.3435</v>
      </c>
      <c r="S3980" s="3" t="n">
        <v>0.0486</v>
      </c>
      <c r="T3980" s="3" t="n">
        <v>0.007</v>
      </c>
    </row>
    <row r="3981" customFormat="false" ht="15" hidden="false" customHeight="true" outlineLevel="0" collapsed="false">
      <c r="A3981" s="3" t="s">
        <v>5140</v>
      </c>
      <c r="B3981" s="3" t="s">
        <v>1520</v>
      </c>
      <c r="C3981" s="3" t="s">
        <v>120</v>
      </c>
      <c r="D3981" s="3" t="s">
        <v>69</v>
      </c>
      <c r="E3981" s="3" t="s">
        <v>39</v>
      </c>
      <c r="F3981" s="3" t="s">
        <v>70</v>
      </c>
      <c r="G3981" s="3" t="s">
        <v>49</v>
      </c>
      <c r="H3981" s="3" t="s">
        <v>27</v>
      </c>
      <c r="I3981" s="3" t="s">
        <v>50</v>
      </c>
      <c r="J3981" s="3" t="n">
        <v>24</v>
      </c>
      <c r="K3981" s="3" t="n">
        <v>30058.87</v>
      </c>
      <c r="L3981" s="3" t="n">
        <v>721412.88</v>
      </c>
      <c r="M3981" s="3" t="n">
        <v>0.0348</v>
      </c>
      <c r="N3981" s="3" t="n">
        <v>25105.17</v>
      </c>
      <c r="O3981" s="3" t="n">
        <v>696307.71</v>
      </c>
      <c r="P3981" s="3" t="n">
        <v>447275.99</v>
      </c>
      <c r="Q3981" s="3" t="n">
        <v>249031.72</v>
      </c>
      <c r="R3981" s="3" t="n">
        <v>0.3576</v>
      </c>
      <c r="S3981" s="3" t="n">
        <v>0.0296</v>
      </c>
      <c r="T3981" s="3" t="n">
        <v>0.0052</v>
      </c>
    </row>
    <row r="3982" customFormat="false" ht="15" hidden="false" customHeight="true" outlineLevel="0" collapsed="false">
      <c r="A3982" s="3" t="s">
        <v>5141</v>
      </c>
      <c r="B3982" s="3" t="s">
        <v>366</v>
      </c>
      <c r="C3982" s="3" t="s">
        <v>93</v>
      </c>
      <c r="D3982" s="3" t="s">
        <v>103</v>
      </c>
      <c r="E3982" s="3" t="s">
        <v>24</v>
      </c>
      <c r="F3982" s="3" t="s">
        <v>62</v>
      </c>
      <c r="G3982" s="3" t="s">
        <v>84</v>
      </c>
      <c r="H3982" s="3" t="s">
        <v>56</v>
      </c>
      <c r="I3982" s="3" t="s">
        <v>188</v>
      </c>
      <c r="J3982" s="3" t="n">
        <v>16</v>
      </c>
      <c r="K3982" s="3" t="n">
        <v>2909.91</v>
      </c>
      <c r="L3982" s="3" t="n">
        <v>46558.56</v>
      </c>
      <c r="M3982" s="3" t="n">
        <v>0.0436</v>
      </c>
      <c r="N3982" s="3" t="n">
        <v>2029.95</v>
      </c>
      <c r="O3982" s="3" t="n">
        <v>44528.61</v>
      </c>
      <c r="P3982" s="3" t="n">
        <v>27935.14</v>
      </c>
      <c r="Q3982" s="3" t="n">
        <v>16593.47</v>
      </c>
      <c r="R3982" s="3" t="n">
        <v>0.3726</v>
      </c>
      <c r="S3982" s="3" t="n">
        <v>0.0384</v>
      </c>
      <c r="T3982" s="3" t="n">
        <v>0.0052</v>
      </c>
    </row>
    <row r="3983" customFormat="false" ht="15" hidden="false" customHeight="true" outlineLevel="0" collapsed="false">
      <c r="A3983" s="3" t="s">
        <v>5142</v>
      </c>
      <c r="B3983" s="3" t="s">
        <v>854</v>
      </c>
      <c r="C3983" s="3" t="s">
        <v>37</v>
      </c>
      <c r="D3983" s="3" t="s">
        <v>97</v>
      </c>
      <c r="E3983" s="3" t="s">
        <v>48</v>
      </c>
      <c r="F3983" s="3" t="s">
        <v>40</v>
      </c>
      <c r="G3983" s="3" t="s">
        <v>63</v>
      </c>
      <c r="H3983" s="3" t="s">
        <v>64</v>
      </c>
      <c r="I3983" s="3" t="s">
        <v>145</v>
      </c>
      <c r="J3983" s="3" t="n">
        <v>31</v>
      </c>
      <c r="K3983" s="3" t="n">
        <v>10254.59</v>
      </c>
      <c r="L3983" s="3" t="n">
        <v>317892.29</v>
      </c>
      <c r="M3983" s="3" t="n">
        <v>0.0448</v>
      </c>
      <c r="N3983" s="3" t="n">
        <v>14241.57</v>
      </c>
      <c r="O3983" s="3" t="n">
        <v>303650.72</v>
      </c>
      <c r="P3983" s="3" t="n">
        <v>184377.53</v>
      </c>
      <c r="Q3983" s="3" t="n">
        <v>119273.19</v>
      </c>
      <c r="R3983" s="3" t="n">
        <v>0.3928</v>
      </c>
      <c r="S3983" s="3" t="n">
        <v>0.0387</v>
      </c>
      <c r="T3983" s="3" t="n">
        <v>0.0061</v>
      </c>
    </row>
    <row r="3984" customFormat="false" ht="15" hidden="false" customHeight="true" outlineLevel="0" collapsed="false">
      <c r="A3984" s="3" t="s">
        <v>5143</v>
      </c>
      <c r="B3984" s="3" t="s">
        <v>1868</v>
      </c>
      <c r="C3984" s="3" t="s">
        <v>53</v>
      </c>
      <c r="D3984" s="3" t="s">
        <v>75</v>
      </c>
      <c r="E3984" s="3" t="s">
        <v>39</v>
      </c>
      <c r="F3984" s="3" t="s">
        <v>25</v>
      </c>
      <c r="G3984" s="3" t="s">
        <v>71</v>
      </c>
      <c r="H3984" s="3" t="s">
        <v>42</v>
      </c>
      <c r="I3984" s="3" t="s">
        <v>43</v>
      </c>
      <c r="J3984" s="3" t="n">
        <v>14</v>
      </c>
      <c r="K3984" s="3" t="n">
        <v>2851.14</v>
      </c>
      <c r="L3984" s="3" t="n">
        <v>39915.96</v>
      </c>
      <c r="M3984" s="3" t="n">
        <v>0.1419</v>
      </c>
      <c r="N3984" s="3" t="n">
        <v>5664.07</v>
      </c>
      <c r="O3984" s="3" t="n">
        <v>34251.89</v>
      </c>
      <c r="P3984" s="3" t="n">
        <v>21953.78</v>
      </c>
      <c r="Q3984" s="3" t="n">
        <v>12298.11</v>
      </c>
      <c r="R3984" s="3" t="n">
        <v>0.359</v>
      </c>
      <c r="S3984" s="3" t="n">
        <v>0.1182</v>
      </c>
      <c r="T3984" s="3" t="n">
        <v>0.0237</v>
      </c>
    </row>
    <row r="3985" customFormat="false" ht="15" hidden="false" customHeight="true" outlineLevel="0" collapsed="false">
      <c r="A3985" s="3" t="s">
        <v>5144</v>
      </c>
      <c r="B3985" s="3" t="s">
        <v>465</v>
      </c>
      <c r="C3985" s="3" t="s">
        <v>53</v>
      </c>
      <c r="D3985" s="3" t="s">
        <v>61</v>
      </c>
      <c r="E3985" s="3" t="s">
        <v>33</v>
      </c>
      <c r="F3985" s="3" t="s">
        <v>62</v>
      </c>
      <c r="G3985" s="3" t="s">
        <v>104</v>
      </c>
      <c r="H3985" s="3" t="s">
        <v>27</v>
      </c>
      <c r="I3985" s="3" t="s">
        <v>94</v>
      </c>
      <c r="J3985" s="3" t="n">
        <v>2</v>
      </c>
      <c r="K3985" s="3" t="n">
        <v>28482.49</v>
      </c>
      <c r="L3985" s="3" t="n">
        <v>56964.98</v>
      </c>
      <c r="M3985" s="3" t="n">
        <v>0.0885</v>
      </c>
      <c r="N3985" s="3" t="n">
        <v>5041.4</v>
      </c>
      <c r="O3985" s="3" t="n">
        <v>51923.58</v>
      </c>
      <c r="P3985" s="3" t="n">
        <v>35318.29</v>
      </c>
      <c r="Q3985" s="3" t="n">
        <v>16605.29</v>
      </c>
      <c r="R3985" s="3" t="n">
        <v>0.3198</v>
      </c>
      <c r="S3985" s="3" t="n">
        <v>0.0904</v>
      </c>
      <c r="T3985" s="3" t="n">
        <v>-0.0019</v>
      </c>
    </row>
    <row r="3986" customFormat="false" ht="15" hidden="false" customHeight="true" outlineLevel="0" collapsed="false">
      <c r="A3986" s="3" t="s">
        <v>5145</v>
      </c>
      <c r="B3986" s="3" t="s">
        <v>1884</v>
      </c>
      <c r="C3986" s="3" t="s">
        <v>126</v>
      </c>
      <c r="D3986" s="3" t="s">
        <v>23</v>
      </c>
      <c r="E3986" s="3" t="s">
        <v>24</v>
      </c>
      <c r="F3986" s="3" t="s">
        <v>25</v>
      </c>
      <c r="G3986" s="3" t="s">
        <v>104</v>
      </c>
      <c r="H3986" s="3" t="s">
        <v>56</v>
      </c>
      <c r="I3986" s="3" t="s">
        <v>188</v>
      </c>
      <c r="J3986" s="3" t="n">
        <v>24</v>
      </c>
      <c r="K3986" s="3" t="n">
        <v>14544.95</v>
      </c>
      <c r="L3986" s="3" t="n">
        <v>349078.8</v>
      </c>
      <c r="M3986" s="3" t="n">
        <v>0.1868</v>
      </c>
      <c r="N3986" s="3" t="n">
        <v>65207.92</v>
      </c>
      <c r="O3986" s="3" t="n">
        <v>283870.88</v>
      </c>
      <c r="P3986" s="3" t="n">
        <v>209447.28</v>
      </c>
      <c r="Q3986" s="3" t="n">
        <v>74423.6</v>
      </c>
      <c r="R3986" s="3" t="n">
        <v>0.2622</v>
      </c>
      <c r="S3986" s="3" t="n">
        <v>0.1643</v>
      </c>
      <c r="T3986" s="3" t="n">
        <v>0.0225</v>
      </c>
    </row>
    <row r="3987" customFormat="false" ht="15" hidden="false" customHeight="true" outlineLevel="0" collapsed="false">
      <c r="A3987" s="3" t="s">
        <v>5146</v>
      </c>
      <c r="B3987" s="3" t="s">
        <v>609</v>
      </c>
      <c r="C3987" s="3" t="s">
        <v>113</v>
      </c>
      <c r="D3987" s="3" t="s">
        <v>23</v>
      </c>
      <c r="E3987" s="3" t="s">
        <v>24</v>
      </c>
      <c r="F3987" s="3" t="s">
        <v>25</v>
      </c>
      <c r="G3987" s="3" t="s">
        <v>71</v>
      </c>
      <c r="H3987" s="3" t="s">
        <v>77</v>
      </c>
      <c r="I3987" s="3" t="s">
        <v>78</v>
      </c>
      <c r="J3987" s="3" t="n">
        <v>16</v>
      </c>
      <c r="K3987" s="3" t="n">
        <v>5934.4</v>
      </c>
      <c r="L3987" s="3" t="n">
        <v>94950.4</v>
      </c>
      <c r="M3987" s="3" t="n">
        <v>0.1367</v>
      </c>
      <c r="N3987" s="3" t="n">
        <v>12979.72</v>
      </c>
      <c r="O3987" s="3" t="n">
        <v>81970.68</v>
      </c>
      <c r="P3987" s="3" t="n">
        <v>64566.27</v>
      </c>
      <c r="Q3987" s="3" t="n">
        <v>17404.41</v>
      </c>
      <c r="R3987" s="3" t="n">
        <v>0.2123</v>
      </c>
      <c r="S3987" s="3" t="n">
        <v>0.1323</v>
      </c>
      <c r="T3987" s="3" t="n">
        <v>0.0044</v>
      </c>
    </row>
    <row r="3988" customFormat="false" ht="15" hidden="false" customHeight="true" outlineLevel="0" collapsed="false">
      <c r="A3988" s="3" t="s">
        <v>5147</v>
      </c>
      <c r="B3988" s="3" t="s">
        <v>5148</v>
      </c>
      <c r="C3988" s="3" t="s">
        <v>126</v>
      </c>
      <c r="D3988" s="3" t="s">
        <v>23</v>
      </c>
      <c r="E3988" s="3" t="s">
        <v>24</v>
      </c>
      <c r="F3988" s="3" t="s">
        <v>25</v>
      </c>
      <c r="G3988" s="3" t="s">
        <v>63</v>
      </c>
      <c r="H3988" s="3" t="s">
        <v>64</v>
      </c>
      <c r="I3988" s="3" t="s">
        <v>145</v>
      </c>
      <c r="J3988" s="3" t="n">
        <v>27</v>
      </c>
      <c r="K3988" s="3" t="n">
        <v>4079.27</v>
      </c>
      <c r="L3988" s="3" t="n">
        <v>110140.29</v>
      </c>
      <c r="M3988" s="3" t="n">
        <v>0.1303</v>
      </c>
      <c r="N3988" s="3" t="n">
        <v>14351.28</v>
      </c>
      <c r="O3988" s="3" t="n">
        <v>95789.01</v>
      </c>
      <c r="P3988" s="3" t="n">
        <v>63881.37</v>
      </c>
      <c r="Q3988" s="3" t="n">
        <v>31907.64</v>
      </c>
      <c r="R3988" s="3" t="n">
        <v>0.3331</v>
      </c>
      <c r="S3988" s="3" t="n">
        <v>0.1148</v>
      </c>
      <c r="T3988" s="3" t="n">
        <v>0.0155</v>
      </c>
    </row>
    <row r="3989" customFormat="false" ht="15" hidden="false" customHeight="true" outlineLevel="0" collapsed="false">
      <c r="A3989" s="3" t="s">
        <v>5149</v>
      </c>
      <c r="B3989" s="3" t="s">
        <v>290</v>
      </c>
      <c r="C3989" s="3" t="s">
        <v>37</v>
      </c>
      <c r="D3989" s="3" t="s">
        <v>75</v>
      </c>
      <c r="E3989" s="3" t="s">
        <v>39</v>
      </c>
      <c r="F3989" s="3" t="s">
        <v>25</v>
      </c>
      <c r="G3989" s="3" t="s">
        <v>116</v>
      </c>
      <c r="H3989" s="3" t="s">
        <v>77</v>
      </c>
      <c r="I3989" s="3" t="s">
        <v>85</v>
      </c>
      <c r="J3989" s="3" t="n">
        <v>22</v>
      </c>
      <c r="K3989" s="3" t="n">
        <v>3762.9</v>
      </c>
      <c r="L3989" s="3" t="n">
        <v>82783.8</v>
      </c>
      <c r="M3989" s="3" t="n">
        <v>0.1718</v>
      </c>
      <c r="N3989" s="3" t="n">
        <v>14222.26</v>
      </c>
      <c r="O3989" s="3" t="n">
        <v>68561.54</v>
      </c>
      <c r="P3989" s="3" t="n">
        <v>56292.98</v>
      </c>
      <c r="Q3989" s="3" t="n">
        <v>12268.56</v>
      </c>
      <c r="R3989" s="3" t="n">
        <v>0.1789</v>
      </c>
      <c r="S3989" s="3" t="n">
        <v>0.165</v>
      </c>
      <c r="T3989" s="3" t="n">
        <v>0.0068</v>
      </c>
    </row>
    <row r="3990" customFormat="false" ht="15" hidden="false" customHeight="true" outlineLevel="0" collapsed="false">
      <c r="A3990" s="3" t="s">
        <v>5150</v>
      </c>
      <c r="B3990" s="3" t="s">
        <v>2011</v>
      </c>
      <c r="C3990" s="3" t="s">
        <v>126</v>
      </c>
      <c r="D3990" s="3" t="s">
        <v>75</v>
      </c>
      <c r="E3990" s="3" t="s">
        <v>39</v>
      </c>
      <c r="F3990" s="3" t="s">
        <v>25</v>
      </c>
      <c r="G3990" s="3" t="s">
        <v>41</v>
      </c>
      <c r="H3990" s="3" t="s">
        <v>77</v>
      </c>
      <c r="I3990" s="3" t="s">
        <v>85</v>
      </c>
      <c r="J3990" s="3" t="n">
        <v>40</v>
      </c>
      <c r="K3990" s="3" t="n">
        <v>4655.22</v>
      </c>
      <c r="L3990" s="3" t="n">
        <v>186208.8</v>
      </c>
      <c r="M3990" s="3" t="n">
        <v>0.1619</v>
      </c>
      <c r="N3990" s="3" t="n">
        <v>30147.2</v>
      </c>
      <c r="O3990" s="3" t="n">
        <v>156061.6</v>
      </c>
      <c r="P3990" s="3" t="n">
        <v>126621.98</v>
      </c>
      <c r="Q3990" s="3" t="n">
        <v>29439.62</v>
      </c>
      <c r="R3990" s="3" t="n">
        <v>0.1886</v>
      </c>
      <c r="S3990" s="3" t="n">
        <v>0.1765</v>
      </c>
      <c r="T3990" s="3" t="n">
        <v>-0.0146</v>
      </c>
    </row>
    <row r="3991" customFormat="false" ht="15" hidden="false" customHeight="true" outlineLevel="0" collapsed="false">
      <c r="A3991" s="3" t="s">
        <v>5151</v>
      </c>
      <c r="B3991" s="3" t="s">
        <v>1765</v>
      </c>
      <c r="C3991" s="3" t="s">
        <v>113</v>
      </c>
      <c r="D3991" s="3" t="s">
        <v>75</v>
      </c>
      <c r="E3991" s="3" t="s">
        <v>39</v>
      </c>
      <c r="F3991" s="3" t="s">
        <v>25</v>
      </c>
      <c r="G3991" s="3" t="s">
        <v>34</v>
      </c>
      <c r="H3991" s="3" t="s">
        <v>64</v>
      </c>
      <c r="I3991" s="3" t="s">
        <v>108</v>
      </c>
      <c r="J3991" s="3" t="n">
        <v>24</v>
      </c>
      <c r="K3991" s="3" t="n">
        <v>6126.04</v>
      </c>
      <c r="L3991" s="3" t="n">
        <v>147024.96</v>
      </c>
      <c r="M3991" s="3" t="n">
        <v>0.2061</v>
      </c>
      <c r="N3991" s="3" t="n">
        <v>30301.84</v>
      </c>
      <c r="O3991" s="3" t="n">
        <v>116723.12</v>
      </c>
      <c r="P3991" s="3" t="n">
        <v>85274.48</v>
      </c>
      <c r="Q3991" s="3" t="n">
        <v>31448.64</v>
      </c>
      <c r="R3991" s="3" t="n">
        <v>0.2694</v>
      </c>
      <c r="S3991" s="3" t="n">
        <v>0.2236</v>
      </c>
      <c r="T3991" s="3" t="n">
        <v>-0.0175</v>
      </c>
    </row>
    <row r="3992" customFormat="false" ht="15" hidden="false" customHeight="true" outlineLevel="0" collapsed="false">
      <c r="A3992" s="3" t="s">
        <v>5152</v>
      </c>
      <c r="B3992" s="3" t="s">
        <v>1933</v>
      </c>
      <c r="C3992" s="3" t="s">
        <v>68</v>
      </c>
      <c r="D3992" s="3" t="s">
        <v>97</v>
      </c>
      <c r="E3992" s="3" t="s">
        <v>48</v>
      </c>
      <c r="F3992" s="3" t="s">
        <v>40</v>
      </c>
      <c r="G3992" s="3" t="s">
        <v>41</v>
      </c>
      <c r="H3992" s="3" t="s">
        <v>42</v>
      </c>
      <c r="I3992" s="3" t="s">
        <v>72</v>
      </c>
      <c r="J3992" s="3" t="n">
        <v>2</v>
      </c>
      <c r="K3992" s="3" t="n">
        <v>2277.94</v>
      </c>
      <c r="L3992" s="3" t="n">
        <v>4555.88</v>
      </c>
      <c r="M3992" s="3" t="n">
        <v>0.1038</v>
      </c>
      <c r="N3992" s="3" t="n">
        <v>472.9</v>
      </c>
      <c r="O3992" s="3" t="n">
        <v>4082.98</v>
      </c>
      <c r="P3992" s="3" t="n">
        <v>2505.73</v>
      </c>
      <c r="Q3992" s="3" t="n">
        <v>1577.25</v>
      </c>
      <c r="R3992" s="3" t="n">
        <v>0.3863</v>
      </c>
      <c r="S3992" s="3" t="n">
        <v>0.0929</v>
      </c>
      <c r="T3992" s="3" t="n">
        <v>0.0109</v>
      </c>
    </row>
    <row r="3993" customFormat="false" ht="15" hidden="false" customHeight="true" outlineLevel="0" collapsed="false">
      <c r="A3993" s="3" t="s">
        <v>5153</v>
      </c>
      <c r="B3993" s="3" t="s">
        <v>1095</v>
      </c>
      <c r="C3993" s="3" t="s">
        <v>113</v>
      </c>
      <c r="D3993" s="3" t="s">
        <v>83</v>
      </c>
      <c r="E3993" s="3" t="s">
        <v>48</v>
      </c>
      <c r="F3993" s="3" t="s">
        <v>62</v>
      </c>
      <c r="G3993" s="3" t="s">
        <v>55</v>
      </c>
      <c r="H3993" s="3" t="s">
        <v>56</v>
      </c>
      <c r="I3993" s="3" t="s">
        <v>188</v>
      </c>
      <c r="J3993" s="3" t="n">
        <v>41</v>
      </c>
      <c r="K3993" s="3" t="n">
        <v>12978.01</v>
      </c>
      <c r="L3993" s="3" t="n">
        <v>532098.41</v>
      </c>
      <c r="M3993" s="3" t="n">
        <v>0.0711</v>
      </c>
      <c r="N3993" s="3" t="n">
        <v>37832.2</v>
      </c>
      <c r="O3993" s="3" t="n">
        <v>494266.21</v>
      </c>
      <c r="P3993" s="3" t="n">
        <v>319259.05</v>
      </c>
      <c r="Q3993" s="3" t="n">
        <v>175007.16</v>
      </c>
      <c r="R3993" s="3" t="n">
        <v>0.3541</v>
      </c>
      <c r="S3993" s="3" t="n">
        <v>0.0645</v>
      </c>
      <c r="T3993" s="3" t="n">
        <v>0.0066</v>
      </c>
    </row>
    <row r="3994" customFormat="false" ht="15" hidden="false" customHeight="true" outlineLevel="0" collapsed="false">
      <c r="A3994" s="3" t="s">
        <v>5154</v>
      </c>
      <c r="B3994" s="3" t="s">
        <v>3616</v>
      </c>
      <c r="C3994" s="3" t="s">
        <v>53</v>
      </c>
      <c r="D3994" s="3" t="s">
        <v>54</v>
      </c>
      <c r="E3994" s="3" t="s">
        <v>24</v>
      </c>
      <c r="F3994" s="3" t="s">
        <v>40</v>
      </c>
      <c r="G3994" s="3" t="s">
        <v>41</v>
      </c>
      <c r="H3994" s="3" t="s">
        <v>64</v>
      </c>
      <c r="I3994" s="3" t="s">
        <v>145</v>
      </c>
      <c r="J3994" s="3" t="n">
        <v>45</v>
      </c>
      <c r="K3994" s="3" t="n">
        <v>5524.49</v>
      </c>
      <c r="L3994" s="3" t="n">
        <v>248602.05</v>
      </c>
      <c r="M3994" s="3" t="n">
        <v>0.0932</v>
      </c>
      <c r="N3994" s="3" t="n">
        <v>23169.71</v>
      </c>
      <c r="O3994" s="3" t="n">
        <v>225432.34</v>
      </c>
      <c r="P3994" s="3" t="n">
        <v>144189.19</v>
      </c>
      <c r="Q3994" s="3" t="n">
        <v>81243.15</v>
      </c>
      <c r="R3994" s="3" t="n">
        <v>0.3604</v>
      </c>
      <c r="S3994" s="3" t="n">
        <v>0.0825</v>
      </c>
      <c r="T3994" s="3" t="n">
        <v>0.0107</v>
      </c>
    </row>
    <row r="3995" customFormat="false" ht="15" hidden="false" customHeight="true" outlineLevel="0" collapsed="false">
      <c r="A3995" s="3" t="s">
        <v>5155</v>
      </c>
      <c r="B3995" s="3" t="s">
        <v>1580</v>
      </c>
      <c r="C3995" s="3" t="s">
        <v>31</v>
      </c>
      <c r="D3995" s="3" t="s">
        <v>54</v>
      </c>
      <c r="E3995" s="3" t="s">
        <v>24</v>
      </c>
      <c r="F3995" s="3" t="s">
        <v>40</v>
      </c>
      <c r="G3995" s="3" t="s">
        <v>76</v>
      </c>
      <c r="H3995" s="3" t="s">
        <v>56</v>
      </c>
      <c r="I3995" s="3" t="s">
        <v>57</v>
      </c>
      <c r="J3995" s="3" t="n">
        <v>16</v>
      </c>
      <c r="K3995" s="3" t="n">
        <v>14709.18</v>
      </c>
      <c r="L3995" s="3" t="n">
        <v>235346.88</v>
      </c>
      <c r="M3995" s="3" t="n">
        <v>0.0317</v>
      </c>
      <c r="N3995" s="3" t="n">
        <v>7460.5</v>
      </c>
      <c r="O3995" s="3" t="n">
        <v>227886.38</v>
      </c>
      <c r="P3995" s="3" t="n">
        <v>141208.13</v>
      </c>
      <c r="Q3995" s="3" t="n">
        <v>86678.25</v>
      </c>
      <c r="R3995" s="3" t="n">
        <v>0.3804</v>
      </c>
      <c r="S3995" s="3" t="n">
        <v>0.028</v>
      </c>
      <c r="T3995" s="3" t="n">
        <v>0.0037</v>
      </c>
    </row>
    <row r="3996" customFormat="false" ht="15" hidden="false" customHeight="true" outlineLevel="0" collapsed="false">
      <c r="A3996" s="3" t="s">
        <v>5156</v>
      </c>
      <c r="B3996" s="3" t="s">
        <v>2484</v>
      </c>
      <c r="C3996" s="3" t="s">
        <v>31</v>
      </c>
      <c r="D3996" s="3" t="s">
        <v>32</v>
      </c>
      <c r="E3996" s="3" t="s">
        <v>33</v>
      </c>
      <c r="F3996" s="3" t="s">
        <v>25</v>
      </c>
      <c r="G3996" s="3" t="s">
        <v>104</v>
      </c>
      <c r="H3996" s="3" t="s">
        <v>27</v>
      </c>
      <c r="I3996" s="3" t="s">
        <v>173</v>
      </c>
      <c r="J3996" s="3" t="n">
        <v>35</v>
      </c>
      <c r="K3996" s="3" t="n">
        <v>20369.03</v>
      </c>
      <c r="L3996" s="3" t="n">
        <v>712916.05</v>
      </c>
      <c r="M3996" s="3" t="n">
        <v>0.2232</v>
      </c>
      <c r="N3996" s="3" t="n">
        <v>159122.86</v>
      </c>
      <c r="O3996" s="3" t="n">
        <v>553793.19</v>
      </c>
      <c r="P3996" s="3" t="n">
        <v>442007.95</v>
      </c>
      <c r="Q3996" s="3" t="n">
        <v>111785.24</v>
      </c>
      <c r="R3996" s="3" t="n">
        <v>0.2019</v>
      </c>
      <c r="S3996" s="3" t="n">
        <v>0.187</v>
      </c>
      <c r="T3996" s="3" t="n">
        <v>0.0362</v>
      </c>
    </row>
    <row r="3997" customFormat="false" ht="15" hidden="false" customHeight="true" outlineLevel="0" collapsed="false">
      <c r="A3997" s="3" t="s">
        <v>5157</v>
      </c>
      <c r="B3997" s="3" t="s">
        <v>52</v>
      </c>
      <c r="C3997" s="3" t="s">
        <v>53</v>
      </c>
      <c r="D3997" s="3" t="s">
        <v>97</v>
      </c>
      <c r="E3997" s="3" t="s">
        <v>48</v>
      </c>
      <c r="F3997" s="3" t="s">
        <v>40</v>
      </c>
      <c r="G3997" s="3" t="s">
        <v>49</v>
      </c>
      <c r="H3997" s="3" t="s">
        <v>77</v>
      </c>
      <c r="I3997" s="3" t="s">
        <v>78</v>
      </c>
      <c r="J3997" s="3" t="n">
        <v>32</v>
      </c>
      <c r="K3997" s="3" t="n">
        <v>5051.17</v>
      </c>
      <c r="L3997" s="3" t="n">
        <v>161637.44</v>
      </c>
      <c r="M3997" s="3" t="n">
        <v>0.0531</v>
      </c>
      <c r="N3997" s="3" t="n">
        <v>8582.95</v>
      </c>
      <c r="O3997" s="3" t="n">
        <v>153054.49</v>
      </c>
      <c r="P3997" s="3" t="n">
        <v>109913.46</v>
      </c>
      <c r="Q3997" s="3" t="n">
        <v>43141.03</v>
      </c>
      <c r="R3997" s="3" t="n">
        <v>0.2819</v>
      </c>
      <c r="S3997" s="3" t="n">
        <v>0.055</v>
      </c>
      <c r="T3997" s="3" t="n">
        <v>-0.0019</v>
      </c>
    </row>
    <row r="3998" customFormat="false" ht="15" hidden="false" customHeight="true" outlineLevel="0" collapsed="false">
      <c r="A3998" s="3" t="s">
        <v>5158</v>
      </c>
      <c r="B3998" s="3" t="s">
        <v>2095</v>
      </c>
      <c r="C3998" s="3" t="s">
        <v>120</v>
      </c>
      <c r="D3998" s="3" t="s">
        <v>107</v>
      </c>
      <c r="E3998" s="3" t="s">
        <v>33</v>
      </c>
      <c r="F3998" s="3" t="s">
        <v>70</v>
      </c>
      <c r="G3998" s="3" t="s">
        <v>76</v>
      </c>
      <c r="H3998" s="3" t="s">
        <v>42</v>
      </c>
      <c r="I3998" s="3" t="s">
        <v>72</v>
      </c>
      <c r="J3998" s="3" t="n">
        <v>25</v>
      </c>
      <c r="K3998" s="3" t="n">
        <v>2786.29</v>
      </c>
      <c r="L3998" s="3" t="n">
        <v>69657.25</v>
      </c>
      <c r="M3998" s="3" t="n">
        <v>0.031</v>
      </c>
      <c r="N3998" s="3" t="n">
        <v>2159.37</v>
      </c>
      <c r="O3998" s="3" t="n">
        <v>67497.88</v>
      </c>
      <c r="P3998" s="3" t="n">
        <v>38311.49</v>
      </c>
      <c r="Q3998" s="3" t="n">
        <v>29186.39</v>
      </c>
      <c r="R3998" s="3" t="n">
        <v>0.4324</v>
      </c>
      <c r="S3998" s="3" t="n">
        <v>0.0261</v>
      </c>
      <c r="T3998" s="3" t="n">
        <v>0.0049</v>
      </c>
    </row>
    <row r="3999" customFormat="false" ht="15" hidden="false" customHeight="true" outlineLevel="0" collapsed="false">
      <c r="A3999" s="3" t="s">
        <v>5159</v>
      </c>
      <c r="B3999" s="3" t="s">
        <v>2093</v>
      </c>
      <c r="C3999" s="3" t="s">
        <v>113</v>
      </c>
      <c r="D3999" s="3" t="s">
        <v>32</v>
      </c>
      <c r="E3999" s="3" t="s">
        <v>33</v>
      </c>
      <c r="F3999" s="3" t="s">
        <v>25</v>
      </c>
      <c r="G3999" s="3" t="s">
        <v>84</v>
      </c>
      <c r="H3999" s="3" t="s">
        <v>42</v>
      </c>
      <c r="I3999" s="3" t="s">
        <v>43</v>
      </c>
      <c r="J3999" s="3" t="n">
        <v>24</v>
      </c>
      <c r="K3999" s="3" t="n">
        <v>1050.06</v>
      </c>
      <c r="L3999" s="3" t="n">
        <v>25201.44</v>
      </c>
      <c r="M3999" s="3" t="n">
        <v>0.1609</v>
      </c>
      <c r="N3999" s="3" t="n">
        <v>4054.91</v>
      </c>
      <c r="O3999" s="3" t="n">
        <v>21146.53</v>
      </c>
      <c r="P3999" s="3" t="n">
        <v>13860.79</v>
      </c>
      <c r="Q3999" s="3" t="n">
        <v>7285.74</v>
      </c>
      <c r="R3999" s="3" t="n">
        <v>0.3445</v>
      </c>
      <c r="S3999" s="3" t="n">
        <v>0.1578</v>
      </c>
      <c r="T3999" s="3" t="n">
        <v>0.0031</v>
      </c>
    </row>
    <row r="4000" customFormat="false" ht="15" hidden="false" customHeight="true" outlineLevel="0" collapsed="false">
      <c r="A4000" s="3" t="s">
        <v>5160</v>
      </c>
      <c r="B4000" s="3" t="s">
        <v>5161</v>
      </c>
      <c r="C4000" s="3" t="s">
        <v>53</v>
      </c>
      <c r="D4000" s="3" t="s">
        <v>32</v>
      </c>
      <c r="E4000" s="3" t="s">
        <v>33</v>
      </c>
      <c r="F4000" s="3" t="s">
        <v>25</v>
      </c>
      <c r="G4000" s="3" t="s">
        <v>104</v>
      </c>
      <c r="H4000" s="3" t="s">
        <v>27</v>
      </c>
      <c r="I4000" s="3" t="s">
        <v>173</v>
      </c>
      <c r="J4000" s="3" t="n">
        <v>40</v>
      </c>
      <c r="K4000" s="3" t="n">
        <v>26352.15</v>
      </c>
      <c r="L4000" s="3" t="n">
        <v>1054086</v>
      </c>
      <c r="M4000" s="3" t="n">
        <v>0.2035</v>
      </c>
      <c r="N4000" s="3" t="n">
        <v>214506.5</v>
      </c>
      <c r="O4000" s="3" t="n">
        <v>839579.5</v>
      </c>
      <c r="P4000" s="3" t="n">
        <v>653533.32</v>
      </c>
      <c r="Q4000" s="3" t="n">
        <v>186046.18</v>
      </c>
      <c r="R4000" s="3" t="n">
        <v>0.2216</v>
      </c>
      <c r="S4000" s="3" t="n">
        <v>0.1914</v>
      </c>
      <c r="T4000" s="3" t="n">
        <v>0.0121</v>
      </c>
    </row>
    <row r="4001" customFormat="false" ht="15" hidden="false" customHeight="true" outlineLevel="0" collapsed="false">
      <c r="A4001" s="3" t="s">
        <v>5162</v>
      </c>
      <c r="B4001" s="3" t="s">
        <v>3925</v>
      </c>
      <c r="C4001" s="3" t="s">
        <v>120</v>
      </c>
      <c r="D4001" s="3" t="s">
        <v>83</v>
      </c>
      <c r="E4001" s="3" t="s">
        <v>48</v>
      </c>
      <c r="F4001" s="3" t="s">
        <v>62</v>
      </c>
      <c r="G4001" s="3" t="s">
        <v>63</v>
      </c>
      <c r="H4001" s="3" t="s">
        <v>56</v>
      </c>
      <c r="I4001" s="3" t="s">
        <v>188</v>
      </c>
      <c r="J4001" s="3" t="n">
        <v>24</v>
      </c>
      <c r="K4001" s="3" t="n">
        <v>17235.19</v>
      </c>
      <c r="L4001" s="3" t="n">
        <v>413644.56</v>
      </c>
      <c r="M4001" s="3" t="n">
        <v>0.0634</v>
      </c>
      <c r="N4001" s="3" t="n">
        <v>26225.07</v>
      </c>
      <c r="O4001" s="3" t="n">
        <v>387419.49</v>
      </c>
      <c r="P4001" s="3" t="n">
        <v>248186.74</v>
      </c>
      <c r="Q4001" s="3" t="n">
        <v>139232.75</v>
      </c>
      <c r="R4001" s="3" t="n">
        <v>0.3594</v>
      </c>
      <c r="S4001" s="3" t="n">
        <v>0.0642</v>
      </c>
      <c r="T4001" s="3" t="n">
        <v>-0.0008</v>
      </c>
    </row>
    <row r="4002" customFormat="false" ht="15" hidden="false" customHeight="true" outlineLevel="0" collapsed="false">
      <c r="A4002" s="3" t="s">
        <v>5163</v>
      </c>
      <c r="B4002" s="3" t="s">
        <v>1941</v>
      </c>
      <c r="C4002" s="3" t="s">
        <v>46</v>
      </c>
      <c r="D4002" s="3" t="s">
        <v>54</v>
      </c>
      <c r="E4002" s="3" t="s">
        <v>24</v>
      </c>
      <c r="F4002" s="3" t="s">
        <v>40</v>
      </c>
      <c r="G4002" s="3" t="s">
        <v>71</v>
      </c>
      <c r="H4002" s="3" t="s">
        <v>64</v>
      </c>
      <c r="I4002" s="3" t="s">
        <v>65</v>
      </c>
      <c r="J4002" s="3" t="n">
        <v>4</v>
      </c>
      <c r="K4002" s="3" t="n">
        <v>6548.18</v>
      </c>
      <c r="L4002" s="3" t="n">
        <v>26192.72</v>
      </c>
      <c r="M4002" s="3" t="n">
        <v>0.0409</v>
      </c>
      <c r="N4002" s="3" t="n">
        <v>1071.28</v>
      </c>
      <c r="O4002" s="3" t="n">
        <v>25121.44</v>
      </c>
      <c r="P4002" s="3" t="n">
        <v>15191.78</v>
      </c>
      <c r="Q4002" s="3" t="n">
        <v>9929.66</v>
      </c>
      <c r="R4002" s="3" t="n">
        <v>0.3953</v>
      </c>
      <c r="S4002" s="3" t="n">
        <v>0.0334</v>
      </c>
      <c r="T4002" s="3" t="n">
        <v>0.0075</v>
      </c>
    </row>
    <row r="4003" customFormat="false" ht="15" hidden="false" customHeight="true" outlineLevel="0" collapsed="false">
      <c r="A4003" s="3" t="s">
        <v>5164</v>
      </c>
      <c r="B4003" s="3" t="s">
        <v>349</v>
      </c>
      <c r="C4003" s="3" t="s">
        <v>126</v>
      </c>
      <c r="D4003" s="3" t="s">
        <v>69</v>
      </c>
      <c r="E4003" s="3" t="s">
        <v>39</v>
      </c>
      <c r="F4003" s="3" t="s">
        <v>70</v>
      </c>
      <c r="G4003" s="3" t="s">
        <v>34</v>
      </c>
      <c r="H4003" s="3" t="s">
        <v>56</v>
      </c>
      <c r="I4003" s="3" t="s">
        <v>57</v>
      </c>
      <c r="J4003" s="3" t="n">
        <v>39</v>
      </c>
      <c r="K4003" s="3" t="n">
        <v>12783.78</v>
      </c>
      <c r="L4003" s="3" t="n">
        <v>498567.42</v>
      </c>
      <c r="M4003" s="3" t="n">
        <v>0.0967</v>
      </c>
      <c r="N4003" s="3" t="n">
        <v>48211.47</v>
      </c>
      <c r="O4003" s="3" t="n">
        <v>450355.95</v>
      </c>
      <c r="P4003" s="3" t="n">
        <v>299140.45</v>
      </c>
      <c r="Q4003" s="3" t="n">
        <v>151215.5</v>
      </c>
      <c r="R4003" s="3" t="n">
        <v>0.3358</v>
      </c>
      <c r="S4003" s="3" t="n">
        <v>0.1045</v>
      </c>
      <c r="T4003" s="3" t="n">
        <v>-0.0078</v>
      </c>
    </row>
    <row r="4004" customFormat="false" ht="15" hidden="false" customHeight="true" outlineLevel="0" collapsed="false">
      <c r="A4004" s="3" t="s">
        <v>5165</v>
      </c>
      <c r="B4004" s="3" t="s">
        <v>5083</v>
      </c>
      <c r="C4004" s="3" t="s">
        <v>68</v>
      </c>
      <c r="D4004" s="3" t="s">
        <v>83</v>
      </c>
      <c r="E4004" s="3" t="s">
        <v>48</v>
      </c>
      <c r="F4004" s="3" t="s">
        <v>62</v>
      </c>
      <c r="G4004" s="3" t="s">
        <v>49</v>
      </c>
      <c r="H4004" s="3" t="s">
        <v>56</v>
      </c>
      <c r="I4004" s="3" t="s">
        <v>121</v>
      </c>
      <c r="J4004" s="3" t="n">
        <v>16</v>
      </c>
      <c r="K4004" s="3" t="n">
        <v>4484.71</v>
      </c>
      <c r="L4004" s="3" t="n">
        <v>71755.36</v>
      </c>
      <c r="M4004" s="3" t="n">
        <v>0.0514</v>
      </c>
      <c r="N4004" s="3" t="n">
        <v>3688.23</v>
      </c>
      <c r="O4004" s="3" t="n">
        <v>68067.13</v>
      </c>
      <c r="P4004" s="3" t="n">
        <v>43053.22</v>
      </c>
      <c r="Q4004" s="3" t="n">
        <v>25013.91</v>
      </c>
      <c r="R4004" s="3" t="n">
        <v>0.3675</v>
      </c>
      <c r="S4004" s="3" t="n">
        <v>0.0502</v>
      </c>
      <c r="T4004" s="3" t="n">
        <v>0.0012</v>
      </c>
    </row>
    <row r="4005" customFormat="false" ht="15" hidden="false" customHeight="true" outlineLevel="0" collapsed="false">
      <c r="A4005" s="3" t="s">
        <v>5166</v>
      </c>
      <c r="B4005" s="3" t="s">
        <v>362</v>
      </c>
      <c r="C4005" s="3" t="s">
        <v>37</v>
      </c>
      <c r="D4005" s="3" t="s">
        <v>54</v>
      </c>
      <c r="E4005" s="3" t="s">
        <v>24</v>
      </c>
      <c r="F4005" s="3" t="s">
        <v>40</v>
      </c>
      <c r="G4005" s="3" t="s">
        <v>26</v>
      </c>
      <c r="H4005" s="3" t="s">
        <v>56</v>
      </c>
      <c r="I4005" s="3" t="s">
        <v>57</v>
      </c>
      <c r="J4005" s="3" t="n">
        <v>20</v>
      </c>
      <c r="K4005" s="3" t="n">
        <v>6201.01</v>
      </c>
      <c r="L4005" s="3" t="n">
        <v>124020.2</v>
      </c>
      <c r="M4005" s="3" t="n">
        <v>0.0602</v>
      </c>
      <c r="N4005" s="3" t="n">
        <v>7466.02</v>
      </c>
      <c r="O4005" s="3" t="n">
        <v>116554.18</v>
      </c>
      <c r="P4005" s="3" t="n">
        <v>74412.12</v>
      </c>
      <c r="Q4005" s="3" t="n">
        <v>42142.06</v>
      </c>
      <c r="R4005" s="3" t="n">
        <v>0.3616</v>
      </c>
      <c r="S4005" s="3" t="n">
        <v>0.061</v>
      </c>
      <c r="T4005" s="3" t="n">
        <v>-0.0008</v>
      </c>
    </row>
    <row r="4006" customFormat="false" ht="15" hidden="false" customHeight="true" outlineLevel="0" collapsed="false">
      <c r="A4006" s="3" t="s">
        <v>5167</v>
      </c>
      <c r="B4006" s="3" t="s">
        <v>1572</v>
      </c>
      <c r="C4006" s="3" t="s">
        <v>113</v>
      </c>
      <c r="D4006" s="3" t="s">
        <v>103</v>
      </c>
      <c r="E4006" s="3" t="s">
        <v>24</v>
      </c>
      <c r="F4006" s="3" t="s">
        <v>62</v>
      </c>
      <c r="G4006" s="3" t="s">
        <v>100</v>
      </c>
      <c r="H4006" s="3" t="s">
        <v>77</v>
      </c>
      <c r="I4006" s="3" t="s">
        <v>85</v>
      </c>
      <c r="J4006" s="3" t="n">
        <v>12</v>
      </c>
      <c r="K4006" s="3" t="n">
        <v>5404.06</v>
      </c>
      <c r="L4006" s="3" t="n">
        <v>64848.72</v>
      </c>
      <c r="M4006" s="3" t="n">
        <v>0.0524</v>
      </c>
      <c r="N4006" s="3" t="n">
        <v>3398.07</v>
      </c>
      <c r="O4006" s="3" t="n">
        <v>61450.65</v>
      </c>
      <c r="P4006" s="3" t="n">
        <v>44097.13</v>
      </c>
      <c r="Q4006" s="3" t="n">
        <v>17353.52</v>
      </c>
      <c r="R4006" s="3" t="n">
        <v>0.2824</v>
      </c>
      <c r="S4006" s="3" t="n">
        <v>0.0534</v>
      </c>
      <c r="T4006" s="3" t="n">
        <v>-0.001</v>
      </c>
    </row>
    <row r="4007" customFormat="false" ht="15" hidden="false" customHeight="true" outlineLevel="0" collapsed="false">
      <c r="A4007" s="3" t="s">
        <v>5168</v>
      </c>
      <c r="B4007" s="3" t="s">
        <v>989</v>
      </c>
      <c r="C4007" s="3" t="s">
        <v>120</v>
      </c>
      <c r="D4007" s="3" t="s">
        <v>83</v>
      </c>
      <c r="E4007" s="3" t="s">
        <v>48</v>
      </c>
      <c r="F4007" s="3" t="s">
        <v>62</v>
      </c>
      <c r="G4007" s="3" t="s">
        <v>26</v>
      </c>
      <c r="H4007" s="3" t="s">
        <v>42</v>
      </c>
      <c r="I4007" s="3" t="s">
        <v>72</v>
      </c>
      <c r="J4007" s="3" t="n">
        <v>10</v>
      </c>
      <c r="K4007" s="3" t="n">
        <v>3521.09</v>
      </c>
      <c r="L4007" s="3" t="n">
        <v>35210.9</v>
      </c>
      <c r="M4007" s="3" t="n">
        <v>0.052</v>
      </c>
      <c r="N4007" s="3" t="n">
        <v>1830.97</v>
      </c>
      <c r="O4007" s="3" t="n">
        <v>33379.93</v>
      </c>
      <c r="P4007" s="3" t="n">
        <v>19366</v>
      </c>
      <c r="Q4007" s="3" t="n">
        <v>14013.93</v>
      </c>
      <c r="R4007" s="3" t="n">
        <v>0.4198</v>
      </c>
      <c r="S4007" s="3" t="n">
        <v>0.0498</v>
      </c>
      <c r="T4007" s="3" t="n">
        <v>0.0022</v>
      </c>
    </row>
    <row r="4008" customFormat="false" ht="15" hidden="false" customHeight="true" outlineLevel="0" collapsed="false">
      <c r="A4008" s="3" t="s">
        <v>5169</v>
      </c>
      <c r="B4008" s="3" t="s">
        <v>390</v>
      </c>
      <c r="C4008" s="3" t="s">
        <v>120</v>
      </c>
      <c r="D4008" s="3" t="s">
        <v>75</v>
      </c>
      <c r="E4008" s="3" t="s">
        <v>39</v>
      </c>
      <c r="F4008" s="3" t="s">
        <v>25</v>
      </c>
      <c r="G4008" s="3" t="s">
        <v>104</v>
      </c>
      <c r="H4008" s="3" t="s">
        <v>64</v>
      </c>
      <c r="I4008" s="3" t="s">
        <v>145</v>
      </c>
      <c r="J4008" s="3" t="n">
        <v>39</v>
      </c>
      <c r="K4008" s="3" t="n">
        <v>4452.61</v>
      </c>
      <c r="L4008" s="3" t="n">
        <v>173651.79</v>
      </c>
      <c r="M4008" s="3" t="n">
        <v>0.1964</v>
      </c>
      <c r="N4008" s="3" t="n">
        <v>34105.21</v>
      </c>
      <c r="O4008" s="3" t="n">
        <v>139546.58</v>
      </c>
      <c r="P4008" s="3" t="n">
        <v>100718.04</v>
      </c>
      <c r="Q4008" s="3" t="n">
        <v>38828.54</v>
      </c>
      <c r="R4008" s="3" t="n">
        <v>0.2782</v>
      </c>
      <c r="S4008" s="3" t="n">
        <v>0.1852</v>
      </c>
      <c r="T4008" s="3" t="n">
        <v>0.0112</v>
      </c>
    </row>
    <row r="4009" customFormat="false" ht="15" hidden="false" customHeight="true" outlineLevel="0" collapsed="false">
      <c r="A4009" s="3" t="s">
        <v>5170</v>
      </c>
      <c r="B4009" s="3" t="s">
        <v>714</v>
      </c>
      <c r="C4009" s="3" t="s">
        <v>156</v>
      </c>
      <c r="D4009" s="3" t="s">
        <v>61</v>
      </c>
      <c r="E4009" s="3" t="s">
        <v>33</v>
      </c>
      <c r="F4009" s="3" t="s">
        <v>62</v>
      </c>
      <c r="G4009" s="3" t="s">
        <v>76</v>
      </c>
      <c r="H4009" s="3" t="s">
        <v>77</v>
      </c>
      <c r="I4009" s="3" t="s">
        <v>78</v>
      </c>
      <c r="J4009" s="3" t="n">
        <v>50</v>
      </c>
      <c r="K4009" s="3" t="n">
        <v>4610.36</v>
      </c>
      <c r="L4009" s="3" t="n">
        <v>230518</v>
      </c>
      <c r="M4009" s="3" t="n">
        <v>0.0633</v>
      </c>
      <c r="N4009" s="3" t="n">
        <v>14591.79</v>
      </c>
      <c r="O4009" s="3" t="n">
        <v>215926.21</v>
      </c>
      <c r="P4009" s="3" t="n">
        <v>156752.24</v>
      </c>
      <c r="Q4009" s="3" t="n">
        <v>59173.97</v>
      </c>
      <c r="R4009" s="3" t="n">
        <v>0.274</v>
      </c>
      <c r="S4009" s="3" t="n">
        <v>0.0559</v>
      </c>
      <c r="T4009" s="3" t="n">
        <v>0.0074</v>
      </c>
    </row>
    <row r="4010" customFormat="false" ht="15" hidden="false" customHeight="true" outlineLevel="0" collapsed="false">
      <c r="A4010" s="3" t="s">
        <v>5171</v>
      </c>
      <c r="B4010" s="3" t="s">
        <v>410</v>
      </c>
      <c r="C4010" s="3" t="s">
        <v>22</v>
      </c>
      <c r="D4010" s="3" t="s">
        <v>47</v>
      </c>
      <c r="E4010" s="3" t="s">
        <v>48</v>
      </c>
      <c r="F4010" s="3" t="s">
        <v>25</v>
      </c>
      <c r="G4010" s="3" t="s">
        <v>49</v>
      </c>
      <c r="H4010" s="3" t="s">
        <v>42</v>
      </c>
      <c r="I4010" s="3" t="s">
        <v>72</v>
      </c>
      <c r="J4010" s="3" t="n">
        <v>11</v>
      </c>
      <c r="K4010" s="3" t="n">
        <v>847.55</v>
      </c>
      <c r="L4010" s="3" t="n">
        <v>9323.05</v>
      </c>
      <c r="M4010" s="3" t="n">
        <v>0.1161</v>
      </c>
      <c r="N4010" s="3" t="n">
        <v>1082.41</v>
      </c>
      <c r="O4010" s="3" t="n">
        <v>8240.64</v>
      </c>
      <c r="P4010" s="3" t="n">
        <v>5127.68</v>
      </c>
      <c r="Q4010" s="3" t="n">
        <v>3112.96</v>
      </c>
      <c r="R4010" s="3" t="n">
        <v>0.3778</v>
      </c>
      <c r="S4010" s="3" t="n">
        <v>0.1262</v>
      </c>
      <c r="T4010" s="3" t="n">
        <v>-0.0101</v>
      </c>
    </row>
    <row r="4011" customFormat="false" ht="15" hidden="false" customHeight="true" outlineLevel="0" collapsed="false">
      <c r="A4011" s="3" t="s">
        <v>5172</v>
      </c>
      <c r="B4011" s="3" t="s">
        <v>2433</v>
      </c>
      <c r="C4011" s="3" t="s">
        <v>126</v>
      </c>
      <c r="D4011" s="3" t="s">
        <v>32</v>
      </c>
      <c r="E4011" s="3" t="s">
        <v>33</v>
      </c>
      <c r="F4011" s="3" t="s">
        <v>25</v>
      </c>
      <c r="G4011" s="3" t="s">
        <v>41</v>
      </c>
      <c r="H4011" s="3" t="s">
        <v>42</v>
      </c>
      <c r="I4011" s="3" t="s">
        <v>43</v>
      </c>
      <c r="J4011" s="3" t="n">
        <v>9</v>
      </c>
      <c r="K4011" s="3" t="n">
        <v>2975.72</v>
      </c>
      <c r="L4011" s="3" t="n">
        <v>26781.48</v>
      </c>
      <c r="M4011" s="3" t="n">
        <v>0.1664</v>
      </c>
      <c r="N4011" s="3" t="n">
        <v>4456.44</v>
      </c>
      <c r="O4011" s="3" t="n">
        <v>22325.04</v>
      </c>
      <c r="P4011" s="3" t="n">
        <v>14729.81</v>
      </c>
      <c r="Q4011" s="3" t="n">
        <v>7595.23</v>
      </c>
      <c r="R4011" s="3" t="n">
        <v>0.3402</v>
      </c>
      <c r="S4011" s="3" t="n">
        <v>0.167</v>
      </c>
      <c r="T4011" s="3" t="n">
        <v>-0.0006</v>
      </c>
    </row>
    <row r="4012" customFormat="false" ht="15" hidden="false" customHeight="true" outlineLevel="0" collapsed="false">
      <c r="A4012" s="3" t="s">
        <v>5173</v>
      </c>
      <c r="B4012" s="3" t="s">
        <v>1512</v>
      </c>
      <c r="C4012" s="3" t="s">
        <v>31</v>
      </c>
      <c r="D4012" s="3" t="s">
        <v>103</v>
      </c>
      <c r="E4012" s="3" t="s">
        <v>24</v>
      </c>
      <c r="F4012" s="3" t="s">
        <v>62</v>
      </c>
      <c r="G4012" s="3" t="s">
        <v>41</v>
      </c>
      <c r="H4012" s="3" t="s">
        <v>56</v>
      </c>
      <c r="I4012" s="3" t="s">
        <v>57</v>
      </c>
      <c r="J4012" s="3" t="n">
        <v>34</v>
      </c>
      <c r="K4012" s="3" t="n">
        <v>14690.27</v>
      </c>
      <c r="L4012" s="3" t="n">
        <v>499469.18</v>
      </c>
      <c r="M4012" s="3" t="n">
        <v>0.1368</v>
      </c>
      <c r="N4012" s="3" t="n">
        <v>68327.38</v>
      </c>
      <c r="O4012" s="3" t="n">
        <v>431141.8</v>
      </c>
      <c r="P4012" s="3" t="n">
        <v>299681.51</v>
      </c>
      <c r="Q4012" s="3" t="n">
        <v>131460.29</v>
      </c>
      <c r="R4012" s="3" t="n">
        <v>0.3049</v>
      </c>
      <c r="S4012" s="3" t="n">
        <v>0.1414</v>
      </c>
      <c r="T4012" s="3" t="n">
        <v>-0.0046</v>
      </c>
    </row>
    <row r="4013" customFormat="false" ht="15" hidden="false" customHeight="true" outlineLevel="0" collapsed="false">
      <c r="A4013" s="3" t="s">
        <v>5174</v>
      </c>
      <c r="B4013" s="3" t="s">
        <v>559</v>
      </c>
      <c r="C4013" s="3" t="s">
        <v>113</v>
      </c>
      <c r="D4013" s="3" t="s">
        <v>47</v>
      </c>
      <c r="E4013" s="3" t="s">
        <v>48</v>
      </c>
      <c r="F4013" s="3" t="s">
        <v>25</v>
      </c>
      <c r="G4013" s="3" t="s">
        <v>76</v>
      </c>
      <c r="H4013" s="3" t="s">
        <v>77</v>
      </c>
      <c r="I4013" s="3" t="s">
        <v>78</v>
      </c>
      <c r="J4013" s="3" t="n">
        <v>40</v>
      </c>
      <c r="K4013" s="3" t="n">
        <v>2076.29</v>
      </c>
      <c r="L4013" s="3" t="n">
        <v>83051.6</v>
      </c>
      <c r="M4013" s="3" t="n">
        <v>0.1364</v>
      </c>
      <c r="N4013" s="3" t="n">
        <v>11328.24</v>
      </c>
      <c r="O4013" s="3" t="n">
        <v>71723.36</v>
      </c>
      <c r="P4013" s="3" t="n">
        <v>56475.09</v>
      </c>
      <c r="Q4013" s="3" t="n">
        <v>15248.27</v>
      </c>
      <c r="R4013" s="3" t="n">
        <v>0.2126</v>
      </c>
      <c r="S4013" s="3" t="n">
        <v>0.1464</v>
      </c>
      <c r="T4013" s="3" t="n">
        <v>-0.01</v>
      </c>
    </row>
    <row r="4014" customFormat="false" ht="15" hidden="false" customHeight="true" outlineLevel="0" collapsed="false">
      <c r="A4014" s="3" t="s">
        <v>5175</v>
      </c>
      <c r="B4014" s="3" t="s">
        <v>1063</v>
      </c>
      <c r="C4014" s="3" t="s">
        <v>113</v>
      </c>
      <c r="D4014" s="3" t="s">
        <v>69</v>
      </c>
      <c r="E4014" s="3" t="s">
        <v>39</v>
      </c>
      <c r="F4014" s="3" t="s">
        <v>70</v>
      </c>
      <c r="G4014" s="3" t="s">
        <v>26</v>
      </c>
      <c r="H4014" s="3" t="s">
        <v>77</v>
      </c>
      <c r="I4014" s="3" t="s">
        <v>131</v>
      </c>
      <c r="J4014" s="3" t="n">
        <v>46</v>
      </c>
      <c r="K4014" s="3" t="n">
        <v>4980.18</v>
      </c>
      <c r="L4014" s="3" t="n">
        <v>229088.28</v>
      </c>
      <c r="M4014" s="3" t="n">
        <v>0.052</v>
      </c>
      <c r="N4014" s="3" t="n">
        <v>11912.59</v>
      </c>
      <c r="O4014" s="3" t="n">
        <v>217175.69</v>
      </c>
      <c r="P4014" s="3" t="n">
        <v>155780.03</v>
      </c>
      <c r="Q4014" s="3" t="n">
        <v>61395.66</v>
      </c>
      <c r="R4014" s="3" t="n">
        <v>0.2827</v>
      </c>
      <c r="S4014" s="3" t="n">
        <v>0.0511</v>
      </c>
      <c r="T4014" s="3" t="n">
        <v>0.0009</v>
      </c>
    </row>
    <row r="4015" customFormat="false" ht="15" hidden="false" customHeight="true" outlineLevel="0" collapsed="false">
      <c r="A4015" s="3" t="s">
        <v>5176</v>
      </c>
      <c r="B4015" s="3" t="s">
        <v>208</v>
      </c>
      <c r="C4015" s="3" t="s">
        <v>46</v>
      </c>
      <c r="D4015" s="3" t="s">
        <v>97</v>
      </c>
      <c r="E4015" s="3" t="s">
        <v>48</v>
      </c>
      <c r="F4015" s="3" t="s">
        <v>40</v>
      </c>
      <c r="G4015" s="3" t="s">
        <v>116</v>
      </c>
      <c r="H4015" s="3" t="s">
        <v>56</v>
      </c>
      <c r="I4015" s="3" t="s">
        <v>188</v>
      </c>
      <c r="J4015" s="3" t="n">
        <v>23</v>
      </c>
      <c r="K4015" s="3" t="n">
        <v>15197.95</v>
      </c>
      <c r="L4015" s="3" t="n">
        <v>349552.85</v>
      </c>
      <c r="M4015" s="3" t="n">
        <v>0.0565</v>
      </c>
      <c r="N4015" s="3" t="n">
        <v>19749.74</v>
      </c>
      <c r="O4015" s="3" t="n">
        <v>329803.11</v>
      </c>
      <c r="P4015" s="3" t="n">
        <v>209731.71</v>
      </c>
      <c r="Q4015" s="3" t="n">
        <v>120071.4</v>
      </c>
      <c r="R4015" s="3" t="n">
        <v>0.3641</v>
      </c>
      <c r="S4015" s="3" t="n">
        <v>0.0452</v>
      </c>
      <c r="T4015" s="3" t="n">
        <v>0.0113</v>
      </c>
    </row>
    <row r="4016" customFormat="false" ht="15" hidden="false" customHeight="true" outlineLevel="0" collapsed="false">
      <c r="A4016" s="3" t="s">
        <v>5177</v>
      </c>
      <c r="B4016" s="3" t="s">
        <v>2820</v>
      </c>
      <c r="C4016" s="3" t="s">
        <v>68</v>
      </c>
      <c r="D4016" s="3" t="s">
        <v>83</v>
      </c>
      <c r="E4016" s="3" t="s">
        <v>48</v>
      </c>
      <c r="F4016" s="3" t="s">
        <v>62</v>
      </c>
      <c r="G4016" s="3" t="s">
        <v>76</v>
      </c>
      <c r="H4016" s="3" t="s">
        <v>64</v>
      </c>
      <c r="I4016" s="3" t="s">
        <v>65</v>
      </c>
      <c r="J4016" s="3" t="n">
        <v>41</v>
      </c>
      <c r="K4016" s="3" t="n">
        <v>4743.39</v>
      </c>
      <c r="L4016" s="3" t="n">
        <v>194478.99</v>
      </c>
      <c r="M4016" s="3" t="n">
        <v>0.0613</v>
      </c>
      <c r="N4016" s="3" t="n">
        <v>11921.56</v>
      </c>
      <c r="O4016" s="3" t="n">
        <v>182557.43</v>
      </c>
      <c r="P4016" s="3" t="n">
        <v>112797.81</v>
      </c>
      <c r="Q4016" s="3" t="n">
        <v>69759.62</v>
      </c>
      <c r="R4016" s="3" t="n">
        <v>0.3821</v>
      </c>
      <c r="S4016" s="3" t="n">
        <v>0.0562</v>
      </c>
      <c r="T4016" s="3" t="n">
        <v>0.0051</v>
      </c>
    </row>
    <row r="4017" customFormat="false" ht="15" hidden="false" customHeight="true" outlineLevel="0" collapsed="false">
      <c r="A4017" s="3" t="s">
        <v>5178</v>
      </c>
      <c r="B4017" s="3" t="s">
        <v>1065</v>
      </c>
      <c r="C4017" s="3" t="s">
        <v>53</v>
      </c>
      <c r="D4017" s="3" t="s">
        <v>38</v>
      </c>
      <c r="E4017" s="3" t="s">
        <v>39</v>
      </c>
      <c r="F4017" s="3" t="s">
        <v>40</v>
      </c>
      <c r="G4017" s="3" t="s">
        <v>34</v>
      </c>
      <c r="H4017" s="3" t="s">
        <v>77</v>
      </c>
      <c r="I4017" s="3" t="s">
        <v>78</v>
      </c>
      <c r="J4017" s="3" t="n">
        <v>5</v>
      </c>
      <c r="K4017" s="3" t="n">
        <v>5398.01</v>
      </c>
      <c r="L4017" s="3" t="n">
        <v>26990.05</v>
      </c>
      <c r="M4017" s="3" t="n">
        <v>0.0823</v>
      </c>
      <c r="N4017" s="3" t="n">
        <v>2221.28</v>
      </c>
      <c r="O4017" s="3" t="n">
        <v>24768.77</v>
      </c>
      <c r="P4017" s="3" t="n">
        <v>18353.23</v>
      </c>
      <c r="Q4017" s="3" t="n">
        <v>6415.54</v>
      </c>
      <c r="R4017" s="3" t="n">
        <v>0.259</v>
      </c>
      <c r="S4017" s="3" t="n">
        <v>0.0686</v>
      </c>
      <c r="T4017" s="3" t="n">
        <v>0.0137</v>
      </c>
    </row>
    <row r="4018" customFormat="false" ht="15" hidden="false" customHeight="true" outlineLevel="0" collapsed="false">
      <c r="A4018" s="3" t="s">
        <v>5179</v>
      </c>
      <c r="B4018" s="3" t="s">
        <v>1338</v>
      </c>
      <c r="C4018" s="3" t="s">
        <v>46</v>
      </c>
      <c r="D4018" s="3" t="s">
        <v>32</v>
      </c>
      <c r="E4018" s="3" t="s">
        <v>33</v>
      </c>
      <c r="F4018" s="3" t="s">
        <v>25</v>
      </c>
      <c r="G4018" s="3" t="s">
        <v>104</v>
      </c>
      <c r="H4018" s="3" t="s">
        <v>42</v>
      </c>
      <c r="I4018" s="3" t="s">
        <v>43</v>
      </c>
      <c r="J4018" s="3" t="n">
        <v>36</v>
      </c>
      <c r="K4018" s="3" t="n">
        <v>2461.1</v>
      </c>
      <c r="L4018" s="3" t="n">
        <v>88599.6</v>
      </c>
      <c r="M4018" s="3" t="n">
        <v>0.1531</v>
      </c>
      <c r="N4018" s="3" t="n">
        <v>13564.6</v>
      </c>
      <c r="O4018" s="3" t="n">
        <v>75035</v>
      </c>
      <c r="P4018" s="3" t="n">
        <v>48729.78</v>
      </c>
      <c r="Q4018" s="3" t="n">
        <v>26305.22</v>
      </c>
      <c r="R4018" s="3" t="n">
        <v>0.3506</v>
      </c>
      <c r="S4018" s="3" t="n">
        <v>0.1249</v>
      </c>
      <c r="T4018" s="3" t="n">
        <v>0.0282</v>
      </c>
    </row>
    <row r="4019" customFormat="false" ht="15" hidden="false" customHeight="true" outlineLevel="0" collapsed="false">
      <c r="A4019" s="3" t="s">
        <v>5180</v>
      </c>
      <c r="B4019" s="3" t="s">
        <v>950</v>
      </c>
      <c r="C4019" s="3" t="s">
        <v>120</v>
      </c>
      <c r="D4019" s="3" t="s">
        <v>38</v>
      </c>
      <c r="E4019" s="3" t="s">
        <v>39</v>
      </c>
      <c r="F4019" s="3" t="s">
        <v>40</v>
      </c>
      <c r="G4019" s="3" t="s">
        <v>84</v>
      </c>
      <c r="H4019" s="3" t="s">
        <v>64</v>
      </c>
      <c r="I4019" s="3" t="s">
        <v>108</v>
      </c>
      <c r="J4019" s="3" t="n">
        <v>15</v>
      </c>
      <c r="K4019" s="3" t="n">
        <v>7043.63</v>
      </c>
      <c r="L4019" s="3" t="n">
        <v>105654.45</v>
      </c>
      <c r="M4019" s="3" t="n">
        <v>0.0353</v>
      </c>
      <c r="N4019" s="3" t="n">
        <v>3729.6</v>
      </c>
      <c r="O4019" s="3" t="n">
        <v>101924.85</v>
      </c>
      <c r="P4019" s="3" t="n">
        <v>61279.58</v>
      </c>
      <c r="Q4019" s="3" t="n">
        <v>40645.27</v>
      </c>
      <c r="R4019" s="3" t="n">
        <v>0.3988</v>
      </c>
      <c r="S4019" s="3" t="n">
        <v>0.0347</v>
      </c>
      <c r="T4019" s="3" t="n">
        <v>0.0006</v>
      </c>
    </row>
    <row r="4020" customFormat="false" ht="15" hidden="false" customHeight="true" outlineLevel="0" collapsed="false">
      <c r="A4020" s="3" t="s">
        <v>5181</v>
      </c>
      <c r="B4020" s="3" t="s">
        <v>1516</v>
      </c>
      <c r="C4020" s="3" t="s">
        <v>60</v>
      </c>
      <c r="D4020" s="3" t="s">
        <v>69</v>
      </c>
      <c r="E4020" s="3" t="s">
        <v>39</v>
      </c>
      <c r="F4020" s="3" t="s">
        <v>70</v>
      </c>
      <c r="G4020" s="3" t="s">
        <v>26</v>
      </c>
      <c r="H4020" s="3" t="s">
        <v>42</v>
      </c>
      <c r="I4020" s="3" t="s">
        <v>43</v>
      </c>
      <c r="J4020" s="3" t="n">
        <v>22</v>
      </c>
      <c r="K4020" s="3" t="n">
        <v>1589.69</v>
      </c>
      <c r="L4020" s="3" t="n">
        <v>34973.18</v>
      </c>
      <c r="M4020" s="3" t="n">
        <v>0.0326</v>
      </c>
      <c r="N4020" s="3" t="n">
        <v>1140.13</v>
      </c>
      <c r="O4020" s="3" t="n">
        <v>33833.05</v>
      </c>
      <c r="P4020" s="3" t="n">
        <v>19235.25</v>
      </c>
      <c r="Q4020" s="3" t="n">
        <v>14597.8</v>
      </c>
      <c r="R4020" s="3" t="n">
        <v>0.4315</v>
      </c>
      <c r="S4020" s="3" t="n">
        <v>0.0328</v>
      </c>
      <c r="T4020" s="3" t="n">
        <v>-0.0002</v>
      </c>
    </row>
    <row r="4021" customFormat="false" ht="15" hidden="false" customHeight="true" outlineLevel="0" collapsed="false">
      <c r="A4021" s="3" t="s">
        <v>5182</v>
      </c>
      <c r="B4021" s="3" t="s">
        <v>1257</v>
      </c>
      <c r="C4021" s="3" t="s">
        <v>60</v>
      </c>
      <c r="D4021" s="3" t="s">
        <v>83</v>
      </c>
      <c r="E4021" s="3" t="s">
        <v>48</v>
      </c>
      <c r="F4021" s="3" t="s">
        <v>62</v>
      </c>
      <c r="G4021" s="3" t="s">
        <v>71</v>
      </c>
      <c r="H4021" s="3" t="s">
        <v>42</v>
      </c>
      <c r="I4021" s="3" t="s">
        <v>72</v>
      </c>
      <c r="J4021" s="3" t="n">
        <v>45</v>
      </c>
      <c r="K4021" s="3" t="n">
        <v>3403.1</v>
      </c>
      <c r="L4021" s="3" t="n">
        <v>153139.5</v>
      </c>
      <c r="M4021" s="3" t="n">
        <v>0.0313</v>
      </c>
      <c r="N4021" s="3" t="n">
        <v>4793.27</v>
      </c>
      <c r="O4021" s="3" t="n">
        <v>148346.23</v>
      </c>
      <c r="P4021" s="3" t="n">
        <v>84226.73</v>
      </c>
      <c r="Q4021" s="3" t="n">
        <v>64119.5</v>
      </c>
      <c r="R4021" s="3" t="n">
        <v>0.4322</v>
      </c>
      <c r="S4021" s="3" t="n">
        <v>0.0289</v>
      </c>
      <c r="T4021" s="3" t="n">
        <v>0.0024</v>
      </c>
    </row>
    <row r="4022" customFormat="false" ht="15" hidden="false" customHeight="true" outlineLevel="0" collapsed="false">
      <c r="A4022" s="3" t="s">
        <v>5183</v>
      </c>
      <c r="B4022" s="3" t="s">
        <v>245</v>
      </c>
      <c r="C4022" s="3" t="s">
        <v>93</v>
      </c>
      <c r="D4022" s="3" t="s">
        <v>97</v>
      </c>
      <c r="E4022" s="3" t="s">
        <v>48</v>
      </c>
      <c r="F4022" s="3" t="s">
        <v>40</v>
      </c>
      <c r="G4022" s="3" t="s">
        <v>55</v>
      </c>
      <c r="H4022" s="3" t="s">
        <v>27</v>
      </c>
      <c r="I4022" s="3" t="s">
        <v>28</v>
      </c>
      <c r="J4022" s="3" t="n">
        <v>10</v>
      </c>
      <c r="K4022" s="3" t="n">
        <v>9881.35</v>
      </c>
      <c r="L4022" s="3" t="n">
        <v>98813.5</v>
      </c>
      <c r="M4022" s="3" t="n">
        <v>0.0386</v>
      </c>
      <c r="N4022" s="3" t="n">
        <v>3814.2</v>
      </c>
      <c r="O4022" s="3" t="n">
        <v>94999.3</v>
      </c>
      <c r="P4022" s="3" t="n">
        <v>61264.37</v>
      </c>
      <c r="Q4022" s="3" t="n">
        <v>33734.93</v>
      </c>
      <c r="R4022" s="3" t="n">
        <v>0.3551</v>
      </c>
      <c r="S4022" s="3" t="n">
        <v>0.0319</v>
      </c>
      <c r="T4022" s="3" t="n">
        <v>0.0067</v>
      </c>
    </row>
    <row r="4023" customFormat="false" ht="15" hidden="false" customHeight="true" outlineLevel="0" collapsed="false">
      <c r="A4023" s="3" t="s">
        <v>5184</v>
      </c>
      <c r="B4023" s="3" t="s">
        <v>649</v>
      </c>
      <c r="C4023" s="3" t="s">
        <v>37</v>
      </c>
      <c r="D4023" s="3" t="s">
        <v>75</v>
      </c>
      <c r="E4023" s="3" t="s">
        <v>39</v>
      </c>
      <c r="F4023" s="3" t="s">
        <v>25</v>
      </c>
      <c r="G4023" s="3" t="s">
        <v>55</v>
      </c>
      <c r="H4023" s="3" t="s">
        <v>27</v>
      </c>
      <c r="I4023" s="3" t="s">
        <v>94</v>
      </c>
      <c r="J4023" s="3" t="n">
        <v>18</v>
      </c>
      <c r="K4023" s="3" t="n">
        <v>35048.63</v>
      </c>
      <c r="L4023" s="3" t="n">
        <v>630875.34</v>
      </c>
      <c r="M4023" s="3" t="n">
        <v>0.107</v>
      </c>
      <c r="N4023" s="3" t="n">
        <v>67503.66</v>
      </c>
      <c r="O4023" s="3" t="n">
        <v>563371.68</v>
      </c>
      <c r="P4023" s="3" t="n">
        <v>391142.71</v>
      </c>
      <c r="Q4023" s="3" t="n">
        <v>172228.97</v>
      </c>
      <c r="R4023" s="3" t="n">
        <v>0.3057</v>
      </c>
      <c r="S4023" s="3" t="n">
        <v>0.1039</v>
      </c>
      <c r="T4023" s="3" t="n">
        <v>0.0031</v>
      </c>
    </row>
    <row r="4024" customFormat="false" ht="15" hidden="false" customHeight="true" outlineLevel="0" collapsed="false">
      <c r="A4024" s="3" t="s">
        <v>5185</v>
      </c>
      <c r="B4024" s="3" t="s">
        <v>3648</v>
      </c>
      <c r="C4024" s="3" t="s">
        <v>68</v>
      </c>
      <c r="D4024" s="3" t="s">
        <v>32</v>
      </c>
      <c r="E4024" s="3" t="s">
        <v>33</v>
      </c>
      <c r="F4024" s="3" t="s">
        <v>25</v>
      </c>
      <c r="G4024" s="3" t="s">
        <v>34</v>
      </c>
      <c r="H4024" s="3" t="s">
        <v>64</v>
      </c>
      <c r="I4024" s="3" t="s">
        <v>108</v>
      </c>
      <c r="J4024" s="3" t="n">
        <v>21</v>
      </c>
      <c r="K4024" s="3" t="n">
        <v>3678.48</v>
      </c>
      <c r="L4024" s="3" t="n">
        <v>77248.08</v>
      </c>
      <c r="M4024" s="3" t="n">
        <v>0.2388</v>
      </c>
      <c r="N4024" s="3" t="n">
        <v>18446.84</v>
      </c>
      <c r="O4024" s="3" t="n">
        <v>58801.24</v>
      </c>
      <c r="P4024" s="3" t="n">
        <v>44803.89</v>
      </c>
      <c r="Q4024" s="3" t="n">
        <v>13997.35</v>
      </c>
      <c r="R4024" s="3" t="n">
        <v>0.238</v>
      </c>
      <c r="S4024" s="3" t="n">
        <v>0.2428</v>
      </c>
      <c r="T4024" s="3" t="n">
        <v>-0.004</v>
      </c>
    </row>
    <row r="4025" customFormat="false" ht="15" hidden="false" customHeight="true" outlineLevel="0" collapsed="false">
      <c r="A4025" s="3" t="s">
        <v>5186</v>
      </c>
      <c r="B4025" s="3" t="s">
        <v>773</v>
      </c>
      <c r="C4025" s="3" t="s">
        <v>60</v>
      </c>
      <c r="D4025" s="3" t="s">
        <v>103</v>
      </c>
      <c r="E4025" s="3" t="s">
        <v>24</v>
      </c>
      <c r="F4025" s="3" t="s">
        <v>62</v>
      </c>
      <c r="G4025" s="3" t="s">
        <v>49</v>
      </c>
      <c r="H4025" s="3" t="s">
        <v>27</v>
      </c>
      <c r="I4025" s="3" t="s">
        <v>173</v>
      </c>
      <c r="J4025" s="3" t="n">
        <v>40</v>
      </c>
      <c r="K4025" s="3" t="n">
        <v>22255.35</v>
      </c>
      <c r="L4025" s="3" t="n">
        <v>890214</v>
      </c>
      <c r="M4025" s="3" t="n">
        <v>0.0315</v>
      </c>
      <c r="N4025" s="3" t="n">
        <v>28041.74</v>
      </c>
      <c r="O4025" s="3" t="n">
        <v>862172.26</v>
      </c>
      <c r="P4025" s="3" t="n">
        <v>551932.68</v>
      </c>
      <c r="Q4025" s="3" t="n">
        <v>310239.58</v>
      </c>
      <c r="R4025" s="3" t="n">
        <v>0.3598</v>
      </c>
      <c r="S4025" s="3" t="n">
        <v>0.027</v>
      </c>
      <c r="T4025" s="3" t="n">
        <v>0.0045</v>
      </c>
    </row>
    <row r="4026" customFormat="false" ht="15" hidden="false" customHeight="true" outlineLevel="0" collapsed="false">
      <c r="A4026" s="3" t="s">
        <v>5187</v>
      </c>
      <c r="B4026" s="3" t="s">
        <v>1299</v>
      </c>
      <c r="C4026" s="3" t="s">
        <v>22</v>
      </c>
      <c r="D4026" s="3" t="s">
        <v>107</v>
      </c>
      <c r="E4026" s="3" t="s">
        <v>33</v>
      </c>
      <c r="F4026" s="3" t="s">
        <v>70</v>
      </c>
      <c r="G4026" s="3" t="s">
        <v>104</v>
      </c>
      <c r="H4026" s="3" t="s">
        <v>56</v>
      </c>
      <c r="I4026" s="3" t="s">
        <v>121</v>
      </c>
      <c r="J4026" s="3" t="n">
        <v>1</v>
      </c>
      <c r="K4026" s="3" t="n">
        <v>14709.85</v>
      </c>
      <c r="L4026" s="3" t="n">
        <v>14709.85</v>
      </c>
      <c r="M4026" s="3" t="n">
        <v>0.1056</v>
      </c>
      <c r="N4026" s="3" t="n">
        <v>1553.36</v>
      </c>
      <c r="O4026" s="3" t="n">
        <v>13156.49</v>
      </c>
      <c r="P4026" s="3" t="n">
        <v>8825.91</v>
      </c>
      <c r="Q4026" s="3" t="n">
        <v>4330.58</v>
      </c>
      <c r="R4026" s="3" t="n">
        <v>0.3292</v>
      </c>
      <c r="S4026" s="3" t="n">
        <v>0.0992</v>
      </c>
      <c r="T4026" s="3" t="n">
        <v>0.0064</v>
      </c>
    </row>
    <row r="4027" customFormat="false" ht="15" hidden="false" customHeight="true" outlineLevel="0" collapsed="false">
      <c r="A4027" s="3" t="s">
        <v>5188</v>
      </c>
      <c r="B4027" s="3" t="s">
        <v>5015</v>
      </c>
      <c r="C4027" s="3" t="s">
        <v>68</v>
      </c>
      <c r="D4027" s="3" t="s">
        <v>32</v>
      </c>
      <c r="E4027" s="3" t="s">
        <v>33</v>
      </c>
      <c r="F4027" s="3" t="s">
        <v>25</v>
      </c>
      <c r="G4027" s="3" t="s">
        <v>116</v>
      </c>
      <c r="H4027" s="3" t="s">
        <v>64</v>
      </c>
      <c r="I4027" s="3" t="s">
        <v>145</v>
      </c>
      <c r="J4027" s="3" t="n">
        <v>2</v>
      </c>
      <c r="K4027" s="3" t="n">
        <v>11521.35</v>
      </c>
      <c r="L4027" s="3" t="n">
        <v>23042.7</v>
      </c>
      <c r="M4027" s="3" t="n">
        <v>0.1553</v>
      </c>
      <c r="N4027" s="3" t="n">
        <v>3578.53</v>
      </c>
      <c r="O4027" s="3" t="n">
        <v>19464.17</v>
      </c>
      <c r="P4027" s="3" t="n">
        <v>13364.77</v>
      </c>
      <c r="Q4027" s="3" t="n">
        <v>6099.4</v>
      </c>
      <c r="R4027" s="3" t="n">
        <v>0.3134</v>
      </c>
      <c r="S4027" s="3" t="n">
        <v>0.1545</v>
      </c>
      <c r="T4027" s="3" t="n">
        <v>0.0008</v>
      </c>
    </row>
    <row r="4028" customFormat="false" ht="15" hidden="false" customHeight="true" outlineLevel="0" collapsed="false">
      <c r="A4028" s="3" t="s">
        <v>5189</v>
      </c>
      <c r="B4028" s="3" t="s">
        <v>1289</v>
      </c>
      <c r="C4028" s="3" t="s">
        <v>156</v>
      </c>
      <c r="D4028" s="3" t="s">
        <v>107</v>
      </c>
      <c r="E4028" s="3" t="s">
        <v>33</v>
      </c>
      <c r="F4028" s="3" t="s">
        <v>70</v>
      </c>
      <c r="G4028" s="3" t="s">
        <v>49</v>
      </c>
      <c r="H4028" s="3" t="s">
        <v>77</v>
      </c>
      <c r="I4028" s="3" t="s">
        <v>78</v>
      </c>
      <c r="J4028" s="3" t="n">
        <v>22</v>
      </c>
      <c r="K4028" s="3" t="n">
        <v>4477.3</v>
      </c>
      <c r="L4028" s="3" t="n">
        <v>98500.6</v>
      </c>
      <c r="M4028" s="3" t="n">
        <v>0.0775</v>
      </c>
      <c r="N4028" s="3" t="n">
        <v>7633.8</v>
      </c>
      <c r="O4028" s="3" t="n">
        <v>90866.8</v>
      </c>
      <c r="P4028" s="3" t="n">
        <v>66980.41</v>
      </c>
      <c r="Q4028" s="3" t="n">
        <v>23886.39</v>
      </c>
      <c r="R4028" s="3" t="n">
        <v>0.2629</v>
      </c>
      <c r="S4028" s="3" t="n">
        <v>0.0756</v>
      </c>
      <c r="T4028" s="3" t="n">
        <v>0.0019</v>
      </c>
    </row>
    <row r="4029" customFormat="false" ht="15" hidden="false" customHeight="true" outlineLevel="0" collapsed="false">
      <c r="A4029" s="3" t="s">
        <v>5190</v>
      </c>
      <c r="B4029" s="3" t="s">
        <v>260</v>
      </c>
      <c r="C4029" s="3" t="s">
        <v>31</v>
      </c>
      <c r="D4029" s="3" t="s">
        <v>38</v>
      </c>
      <c r="E4029" s="3" t="s">
        <v>39</v>
      </c>
      <c r="F4029" s="3" t="s">
        <v>40</v>
      </c>
      <c r="G4029" s="3" t="s">
        <v>49</v>
      </c>
      <c r="H4029" s="3" t="s">
        <v>27</v>
      </c>
      <c r="I4029" s="3" t="s">
        <v>50</v>
      </c>
      <c r="J4029" s="3" t="n">
        <v>40</v>
      </c>
      <c r="K4029" s="3" t="n">
        <v>9379.01</v>
      </c>
      <c r="L4029" s="3" t="n">
        <v>375160.4</v>
      </c>
      <c r="M4029" s="3" t="n">
        <v>0.0714</v>
      </c>
      <c r="N4029" s="3" t="n">
        <v>26786.45</v>
      </c>
      <c r="O4029" s="3" t="n">
        <v>348373.95</v>
      </c>
      <c r="P4029" s="3" t="n">
        <v>232599.45</v>
      </c>
      <c r="Q4029" s="3" t="n">
        <v>115774.5</v>
      </c>
      <c r="R4029" s="3" t="n">
        <v>0.3323</v>
      </c>
      <c r="S4029" s="3" t="n">
        <v>0.0609</v>
      </c>
      <c r="T4029" s="3" t="n">
        <v>0.0105</v>
      </c>
    </row>
    <row r="4030" customFormat="false" ht="15" hidden="false" customHeight="true" outlineLevel="0" collapsed="false">
      <c r="A4030" s="3" t="s">
        <v>5191</v>
      </c>
      <c r="B4030" s="3" t="s">
        <v>2376</v>
      </c>
      <c r="C4030" s="3" t="s">
        <v>60</v>
      </c>
      <c r="D4030" s="3" t="s">
        <v>69</v>
      </c>
      <c r="E4030" s="3" t="s">
        <v>39</v>
      </c>
      <c r="F4030" s="3" t="s">
        <v>70</v>
      </c>
      <c r="G4030" s="3" t="s">
        <v>55</v>
      </c>
      <c r="H4030" s="3" t="s">
        <v>77</v>
      </c>
      <c r="I4030" s="3" t="s">
        <v>78</v>
      </c>
      <c r="J4030" s="3" t="n">
        <v>26</v>
      </c>
      <c r="K4030" s="3" t="n">
        <v>2598.08</v>
      </c>
      <c r="L4030" s="3" t="n">
        <v>67550.08</v>
      </c>
      <c r="M4030" s="3" t="n">
        <v>0.0364</v>
      </c>
      <c r="N4030" s="3" t="n">
        <v>2458.82</v>
      </c>
      <c r="O4030" s="3" t="n">
        <v>65091.26</v>
      </c>
      <c r="P4030" s="3" t="n">
        <v>45934.05</v>
      </c>
      <c r="Q4030" s="3" t="n">
        <v>19157.21</v>
      </c>
      <c r="R4030" s="3" t="n">
        <v>0.2943</v>
      </c>
      <c r="S4030" s="3" t="n">
        <v>0.0346</v>
      </c>
      <c r="T4030" s="3" t="n">
        <v>0.0018</v>
      </c>
    </row>
    <row r="4031" customFormat="false" ht="15" hidden="false" customHeight="true" outlineLevel="0" collapsed="false">
      <c r="A4031" s="3" t="s">
        <v>5192</v>
      </c>
      <c r="B4031" s="3" t="s">
        <v>580</v>
      </c>
      <c r="C4031" s="3" t="s">
        <v>53</v>
      </c>
      <c r="D4031" s="3" t="s">
        <v>103</v>
      </c>
      <c r="E4031" s="3" t="s">
        <v>24</v>
      </c>
      <c r="F4031" s="3" t="s">
        <v>62</v>
      </c>
      <c r="G4031" s="3" t="s">
        <v>116</v>
      </c>
      <c r="H4031" s="3" t="s">
        <v>27</v>
      </c>
      <c r="I4031" s="3" t="s">
        <v>94</v>
      </c>
      <c r="J4031" s="3" t="n">
        <v>45</v>
      </c>
      <c r="K4031" s="3" t="n">
        <v>17217.04</v>
      </c>
      <c r="L4031" s="3" t="n">
        <v>774766.8</v>
      </c>
      <c r="M4031" s="3" t="n">
        <v>0.0691</v>
      </c>
      <c r="N4031" s="3" t="n">
        <v>53536.39</v>
      </c>
      <c r="O4031" s="3" t="n">
        <v>721230.41</v>
      </c>
      <c r="P4031" s="3" t="n">
        <v>480355.42</v>
      </c>
      <c r="Q4031" s="3" t="n">
        <v>240874.99</v>
      </c>
      <c r="R4031" s="3" t="n">
        <v>0.334</v>
      </c>
      <c r="S4031" s="3" t="n">
        <v>0.0687</v>
      </c>
      <c r="T4031" s="3" t="n">
        <v>0.0004</v>
      </c>
    </row>
    <row r="4032" customFormat="false" ht="15" hidden="false" customHeight="true" outlineLevel="0" collapsed="false">
      <c r="A4032" s="3" t="s">
        <v>5193</v>
      </c>
      <c r="B4032" s="3" t="s">
        <v>408</v>
      </c>
      <c r="C4032" s="3" t="s">
        <v>60</v>
      </c>
      <c r="D4032" s="3" t="s">
        <v>54</v>
      </c>
      <c r="E4032" s="3" t="s">
        <v>24</v>
      </c>
      <c r="F4032" s="3" t="s">
        <v>40</v>
      </c>
      <c r="G4032" s="3" t="s">
        <v>71</v>
      </c>
      <c r="H4032" s="3" t="s">
        <v>42</v>
      </c>
      <c r="I4032" s="3" t="s">
        <v>43</v>
      </c>
      <c r="J4032" s="3" t="n">
        <v>17</v>
      </c>
      <c r="K4032" s="3" t="n">
        <v>3840.51</v>
      </c>
      <c r="L4032" s="3" t="n">
        <v>65288.67</v>
      </c>
      <c r="M4032" s="3" t="n">
        <v>0.0753</v>
      </c>
      <c r="N4032" s="3" t="n">
        <v>4916.24</v>
      </c>
      <c r="O4032" s="3" t="n">
        <v>60372.43</v>
      </c>
      <c r="P4032" s="3" t="n">
        <v>35908.77</v>
      </c>
      <c r="Q4032" s="3" t="n">
        <v>24463.66</v>
      </c>
      <c r="R4032" s="3" t="n">
        <v>0.4052</v>
      </c>
      <c r="S4032" s="3" t="n">
        <v>0.0627</v>
      </c>
      <c r="T4032" s="3" t="n">
        <v>0.0126</v>
      </c>
    </row>
    <row r="4033" customFormat="false" ht="15" hidden="false" customHeight="true" outlineLevel="0" collapsed="false">
      <c r="A4033" s="3" t="s">
        <v>5194</v>
      </c>
      <c r="B4033" s="3" t="s">
        <v>989</v>
      </c>
      <c r="C4033" s="3" t="s">
        <v>120</v>
      </c>
      <c r="D4033" s="3" t="s">
        <v>47</v>
      </c>
      <c r="E4033" s="3" t="s">
        <v>48</v>
      </c>
      <c r="F4033" s="3" t="s">
        <v>25</v>
      </c>
      <c r="G4033" s="3" t="s">
        <v>34</v>
      </c>
      <c r="H4033" s="3" t="s">
        <v>42</v>
      </c>
      <c r="I4033" s="3" t="s">
        <v>72</v>
      </c>
      <c r="J4033" s="3" t="n">
        <v>39</v>
      </c>
      <c r="K4033" s="3" t="n">
        <v>3751.73</v>
      </c>
      <c r="L4033" s="3" t="n">
        <v>146317.47</v>
      </c>
      <c r="M4033" s="3" t="n">
        <v>0.2383</v>
      </c>
      <c r="N4033" s="3" t="n">
        <v>34867.45</v>
      </c>
      <c r="O4033" s="3" t="n">
        <v>111450.02</v>
      </c>
      <c r="P4033" s="3" t="n">
        <v>80474.61</v>
      </c>
      <c r="Q4033" s="3" t="n">
        <v>30975.41</v>
      </c>
      <c r="R4033" s="3" t="n">
        <v>0.2779</v>
      </c>
      <c r="S4033" s="3" t="n">
        <v>0.2211</v>
      </c>
      <c r="T4033" s="3" t="n">
        <v>0.0172</v>
      </c>
    </row>
    <row r="4034" customFormat="false" ht="15" hidden="false" customHeight="true" outlineLevel="0" collapsed="false">
      <c r="A4034" s="3" t="s">
        <v>5195</v>
      </c>
      <c r="B4034" s="3" t="s">
        <v>30</v>
      </c>
      <c r="C4034" s="3" t="s">
        <v>31</v>
      </c>
      <c r="D4034" s="3" t="s">
        <v>97</v>
      </c>
      <c r="E4034" s="3" t="s">
        <v>48</v>
      </c>
      <c r="F4034" s="3" t="s">
        <v>40</v>
      </c>
      <c r="G4034" s="3" t="s">
        <v>76</v>
      </c>
      <c r="H4034" s="3" t="s">
        <v>77</v>
      </c>
      <c r="I4034" s="3" t="s">
        <v>78</v>
      </c>
      <c r="J4034" s="3" t="n">
        <v>29</v>
      </c>
      <c r="K4034" s="3" t="n">
        <v>5849.53</v>
      </c>
      <c r="L4034" s="3" t="n">
        <v>169636.37</v>
      </c>
      <c r="M4034" s="3" t="n">
        <v>0.0578</v>
      </c>
      <c r="N4034" s="3" t="n">
        <v>9804.98</v>
      </c>
      <c r="O4034" s="3" t="n">
        <v>159831.39</v>
      </c>
      <c r="P4034" s="3" t="n">
        <v>115352.73</v>
      </c>
      <c r="Q4034" s="3" t="n">
        <v>44478.66</v>
      </c>
      <c r="R4034" s="3" t="n">
        <v>0.2783</v>
      </c>
      <c r="S4034" s="3" t="n">
        <v>0.056</v>
      </c>
      <c r="T4034" s="3" t="n">
        <v>0.0018</v>
      </c>
    </row>
    <row r="4035" customFormat="false" ht="15" hidden="false" customHeight="true" outlineLevel="0" collapsed="false">
      <c r="A4035" s="3" t="s">
        <v>5196</v>
      </c>
      <c r="B4035" s="3" t="s">
        <v>447</v>
      </c>
      <c r="C4035" s="3" t="s">
        <v>22</v>
      </c>
      <c r="D4035" s="3" t="s">
        <v>97</v>
      </c>
      <c r="E4035" s="3" t="s">
        <v>48</v>
      </c>
      <c r="F4035" s="3" t="s">
        <v>40</v>
      </c>
      <c r="G4035" s="3" t="s">
        <v>49</v>
      </c>
      <c r="H4035" s="3" t="s">
        <v>42</v>
      </c>
      <c r="I4035" s="3" t="s">
        <v>72</v>
      </c>
      <c r="J4035" s="3" t="n">
        <v>40</v>
      </c>
      <c r="K4035" s="3" t="n">
        <v>2062.82</v>
      </c>
      <c r="L4035" s="3" t="n">
        <v>82512.8</v>
      </c>
      <c r="M4035" s="3" t="n">
        <v>0.0338</v>
      </c>
      <c r="N4035" s="3" t="n">
        <v>2788.93</v>
      </c>
      <c r="O4035" s="3" t="n">
        <v>79723.87</v>
      </c>
      <c r="P4035" s="3" t="n">
        <v>45382.04</v>
      </c>
      <c r="Q4035" s="3" t="n">
        <v>34341.83</v>
      </c>
      <c r="R4035" s="3" t="n">
        <v>0.4308</v>
      </c>
      <c r="S4035" s="3" t="n">
        <v>0.0276</v>
      </c>
      <c r="T4035" s="3" t="n">
        <v>0.0062</v>
      </c>
    </row>
    <row r="4036" customFormat="false" ht="15" hidden="false" customHeight="true" outlineLevel="0" collapsed="false">
      <c r="A4036" s="3" t="s">
        <v>5197</v>
      </c>
      <c r="B4036" s="3" t="s">
        <v>2795</v>
      </c>
      <c r="C4036" s="3" t="s">
        <v>93</v>
      </c>
      <c r="D4036" s="3" t="s">
        <v>23</v>
      </c>
      <c r="E4036" s="3" t="s">
        <v>24</v>
      </c>
      <c r="F4036" s="3" t="s">
        <v>25</v>
      </c>
      <c r="G4036" s="3" t="s">
        <v>71</v>
      </c>
      <c r="H4036" s="3" t="s">
        <v>77</v>
      </c>
      <c r="I4036" s="3" t="s">
        <v>78</v>
      </c>
      <c r="J4036" s="3" t="n">
        <v>28</v>
      </c>
      <c r="K4036" s="3" t="n">
        <v>1925.93</v>
      </c>
      <c r="L4036" s="3" t="n">
        <v>53926.04</v>
      </c>
      <c r="M4036" s="3" t="n">
        <v>0.0918</v>
      </c>
      <c r="N4036" s="3" t="n">
        <v>4950.41</v>
      </c>
      <c r="O4036" s="3" t="n">
        <v>48975.63</v>
      </c>
      <c r="P4036" s="3" t="n">
        <v>36669.71</v>
      </c>
      <c r="Q4036" s="3" t="n">
        <v>12305.92</v>
      </c>
      <c r="R4036" s="3" t="n">
        <v>0.2513</v>
      </c>
      <c r="S4036" s="3" t="n">
        <v>0.0907</v>
      </c>
      <c r="T4036" s="3" t="n">
        <v>0.0011</v>
      </c>
    </row>
    <row r="4037" customFormat="false" ht="15" hidden="false" customHeight="true" outlineLevel="0" collapsed="false">
      <c r="A4037" s="3" t="s">
        <v>5198</v>
      </c>
      <c r="B4037" s="3" t="s">
        <v>909</v>
      </c>
      <c r="C4037" s="3" t="s">
        <v>22</v>
      </c>
      <c r="D4037" s="3" t="s">
        <v>23</v>
      </c>
      <c r="E4037" s="3" t="s">
        <v>24</v>
      </c>
      <c r="F4037" s="3" t="s">
        <v>25</v>
      </c>
      <c r="G4037" s="3" t="s">
        <v>100</v>
      </c>
      <c r="H4037" s="3" t="s">
        <v>56</v>
      </c>
      <c r="I4037" s="3" t="s">
        <v>57</v>
      </c>
      <c r="J4037" s="3" t="n">
        <v>21</v>
      </c>
      <c r="K4037" s="3" t="n">
        <v>11778.4</v>
      </c>
      <c r="L4037" s="3" t="n">
        <v>247346.4</v>
      </c>
      <c r="M4037" s="3" t="n">
        <v>0.1186</v>
      </c>
      <c r="N4037" s="3" t="n">
        <v>29335.28</v>
      </c>
      <c r="O4037" s="3" t="n">
        <v>218011.12</v>
      </c>
      <c r="P4037" s="3" t="n">
        <v>148407.84</v>
      </c>
      <c r="Q4037" s="3" t="n">
        <v>69603.28</v>
      </c>
      <c r="R4037" s="3" t="n">
        <v>0.3193</v>
      </c>
      <c r="S4037" s="3" t="n">
        <v>0.1293</v>
      </c>
      <c r="T4037" s="3" t="n">
        <v>-0.0107</v>
      </c>
    </row>
    <row r="4038" customFormat="false" ht="15" hidden="false" customHeight="true" outlineLevel="0" collapsed="false">
      <c r="A4038" s="3" t="s">
        <v>5199</v>
      </c>
      <c r="B4038" s="3" t="s">
        <v>2820</v>
      </c>
      <c r="C4038" s="3" t="s">
        <v>68</v>
      </c>
      <c r="D4038" s="3" t="s">
        <v>54</v>
      </c>
      <c r="E4038" s="3" t="s">
        <v>24</v>
      </c>
      <c r="F4038" s="3" t="s">
        <v>40</v>
      </c>
      <c r="G4038" s="3" t="s">
        <v>116</v>
      </c>
      <c r="H4038" s="3" t="s">
        <v>56</v>
      </c>
      <c r="I4038" s="3" t="s">
        <v>188</v>
      </c>
      <c r="J4038" s="3" t="n">
        <v>18</v>
      </c>
      <c r="K4038" s="3" t="n">
        <v>8898.56</v>
      </c>
      <c r="L4038" s="3" t="n">
        <v>160174.08</v>
      </c>
      <c r="M4038" s="3" t="n">
        <v>0.0946</v>
      </c>
      <c r="N4038" s="3" t="n">
        <v>15152.47</v>
      </c>
      <c r="O4038" s="3" t="n">
        <v>145021.61</v>
      </c>
      <c r="P4038" s="3" t="n">
        <v>96104.45</v>
      </c>
      <c r="Q4038" s="3" t="n">
        <v>48917.16</v>
      </c>
      <c r="R4038" s="3" t="n">
        <v>0.3373</v>
      </c>
      <c r="S4038" s="3" t="n">
        <v>0.104</v>
      </c>
      <c r="T4038" s="3" t="n">
        <v>-0.0094</v>
      </c>
    </row>
    <row r="4039" customFormat="false" ht="15" hidden="false" customHeight="true" outlineLevel="0" collapsed="false">
      <c r="A4039" s="3" t="s">
        <v>5200</v>
      </c>
      <c r="B4039" s="3" t="s">
        <v>1655</v>
      </c>
      <c r="C4039" s="3" t="s">
        <v>156</v>
      </c>
      <c r="D4039" s="3" t="s">
        <v>54</v>
      </c>
      <c r="E4039" s="3" t="s">
        <v>24</v>
      </c>
      <c r="F4039" s="3" t="s">
        <v>40</v>
      </c>
      <c r="G4039" s="3" t="s">
        <v>100</v>
      </c>
      <c r="H4039" s="3" t="s">
        <v>64</v>
      </c>
      <c r="I4039" s="3" t="s">
        <v>90</v>
      </c>
      <c r="J4039" s="3" t="n">
        <v>29</v>
      </c>
      <c r="K4039" s="3" t="n">
        <v>3131.31</v>
      </c>
      <c r="L4039" s="3" t="n">
        <v>90807.99</v>
      </c>
      <c r="M4039" s="3" t="n">
        <v>0.0301</v>
      </c>
      <c r="N4039" s="3" t="n">
        <v>2733.32</v>
      </c>
      <c r="O4039" s="3" t="n">
        <v>88074.67</v>
      </c>
      <c r="P4039" s="3" t="n">
        <v>52668.63</v>
      </c>
      <c r="Q4039" s="3" t="n">
        <v>35406.04</v>
      </c>
      <c r="R4039" s="3" t="n">
        <v>0.402</v>
      </c>
      <c r="S4039" s="3" t="n">
        <v>0.0285</v>
      </c>
      <c r="T4039" s="3" t="n">
        <v>0.0016</v>
      </c>
    </row>
    <row r="4040" customFormat="false" ht="15" hidden="false" customHeight="true" outlineLevel="0" collapsed="false">
      <c r="A4040" s="3" t="s">
        <v>5201</v>
      </c>
      <c r="B4040" s="3" t="s">
        <v>1340</v>
      </c>
      <c r="C4040" s="3" t="s">
        <v>46</v>
      </c>
      <c r="D4040" s="3" t="s">
        <v>38</v>
      </c>
      <c r="E4040" s="3" t="s">
        <v>39</v>
      </c>
      <c r="F4040" s="3" t="s">
        <v>40</v>
      </c>
      <c r="G4040" s="3" t="s">
        <v>49</v>
      </c>
      <c r="H4040" s="3" t="s">
        <v>64</v>
      </c>
      <c r="I4040" s="3" t="s">
        <v>90</v>
      </c>
      <c r="J4040" s="3" t="n">
        <v>33</v>
      </c>
      <c r="K4040" s="3" t="n">
        <v>3614.45</v>
      </c>
      <c r="L4040" s="3" t="n">
        <v>119276.85</v>
      </c>
      <c r="M4040" s="3" t="n">
        <v>0.0719</v>
      </c>
      <c r="N4040" s="3" t="n">
        <v>8576.01</v>
      </c>
      <c r="O4040" s="3" t="n">
        <v>110700.84</v>
      </c>
      <c r="P4040" s="3" t="n">
        <v>69180.57</v>
      </c>
      <c r="Q4040" s="3" t="n">
        <v>41520.27</v>
      </c>
      <c r="R4040" s="3" t="n">
        <v>0.3751</v>
      </c>
      <c r="S4040" s="3" t="n">
        <v>0.066</v>
      </c>
      <c r="T4040" s="3" t="n">
        <v>0.0059</v>
      </c>
    </row>
    <row r="4041" customFormat="false" ht="15" hidden="false" customHeight="true" outlineLevel="0" collapsed="false">
      <c r="A4041" s="3" t="s">
        <v>5202</v>
      </c>
      <c r="B4041" s="3" t="s">
        <v>112</v>
      </c>
      <c r="C4041" s="3" t="s">
        <v>113</v>
      </c>
      <c r="D4041" s="3" t="s">
        <v>38</v>
      </c>
      <c r="E4041" s="3" t="s">
        <v>39</v>
      </c>
      <c r="F4041" s="3" t="s">
        <v>40</v>
      </c>
      <c r="G4041" s="3" t="s">
        <v>26</v>
      </c>
      <c r="H4041" s="3" t="s">
        <v>64</v>
      </c>
      <c r="I4041" s="3" t="s">
        <v>90</v>
      </c>
      <c r="J4041" s="3" t="n">
        <v>9</v>
      </c>
      <c r="K4041" s="3" t="n">
        <v>11124.9</v>
      </c>
      <c r="L4041" s="3" t="n">
        <v>100124.1</v>
      </c>
      <c r="M4041" s="3" t="n">
        <v>0.0678</v>
      </c>
      <c r="N4041" s="3" t="n">
        <v>6788.41</v>
      </c>
      <c r="O4041" s="3" t="n">
        <v>93335.69</v>
      </c>
      <c r="P4041" s="3" t="n">
        <v>58071.98</v>
      </c>
      <c r="Q4041" s="3" t="n">
        <v>35263.71</v>
      </c>
      <c r="R4041" s="3" t="n">
        <v>0.3778</v>
      </c>
      <c r="S4041" s="3" t="n">
        <v>0.0679</v>
      </c>
      <c r="T4041" s="3" t="n">
        <v>-0.0001</v>
      </c>
    </row>
    <row r="4042" customFormat="false" ht="15" hidden="false" customHeight="true" outlineLevel="0" collapsed="false">
      <c r="A4042" s="3" t="s">
        <v>5203</v>
      </c>
      <c r="B4042" s="3" t="s">
        <v>2247</v>
      </c>
      <c r="C4042" s="3" t="s">
        <v>46</v>
      </c>
      <c r="D4042" s="3" t="s">
        <v>97</v>
      </c>
      <c r="E4042" s="3" t="s">
        <v>48</v>
      </c>
      <c r="F4042" s="3" t="s">
        <v>40</v>
      </c>
      <c r="G4042" s="3" t="s">
        <v>34</v>
      </c>
      <c r="H4042" s="3" t="s">
        <v>64</v>
      </c>
      <c r="I4042" s="3" t="s">
        <v>90</v>
      </c>
      <c r="J4042" s="3" t="n">
        <v>50</v>
      </c>
      <c r="K4042" s="3" t="n">
        <v>11675.1</v>
      </c>
      <c r="L4042" s="3" t="n">
        <v>583755</v>
      </c>
      <c r="M4042" s="3" t="n">
        <v>0.0805</v>
      </c>
      <c r="N4042" s="3" t="n">
        <v>46992.28</v>
      </c>
      <c r="O4042" s="3" t="n">
        <v>536762.72</v>
      </c>
      <c r="P4042" s="3" t="n">
        <v>338577.9</v>
      </c>
      <c r="Q4042" s="3" t="n">
        <v>198184.82</v>
      </c>
      <c r="R4042" s="3" t="n">
        <v>0.3692</v>
      </c>
      <c r="S4042" s="3" t="n">
        <v>0.0859</v>
      </c>
      <c r="T4042" s="3" t="n">
        <v>-0.0054</v>
      </c>
    </row>
    <row r="4043" customFormat="false" ht="15" hidden="false" customHeight="true" outlineLevel="0" collapsed="false">
      <c r="A4043" s="3" t="s">
        <v>5204</v>
      </c>
      <c r="B4043" s="3" t="s">
        <v>1141</v>
      </c>
      <c r="C4043" s="3" t="s">
        <v>37</v>
      </c>
      <c r="D4043" s="3" t="s">
        <v>75</v>
      </c>
      <c r="E4043" s="3" t="s">
        <v>39</v>
      </c>
      <c r="F4043" s="3" t="s">
        <v>25</v>
      </c>
      <c r="G4043" s="3" t="s">
        <v>34</v>
      </c>
      <c r="H4043" s="3" t="s">
        <v>27</v>
      </c>
      <c r="I4043" s="3" t="s">
        <v>117</v>
      </c>
      <c r="J4043" s="3" t="n">
        <v>36</v>
      </c>
      <c r="K4043" s="3" t="n">
        <v>8155.51</v>
      </c>
      <c r="L4043" s="3" t="n">
        <v>293598.36</v>
      </c>
      <c r="M4043" s="3" t="n">
        <v>0.1859</v>
      </c>
      <c r="N4043" s="3" t="n">
        <v>54579.94</v>
      </c>
      <c r="O4043" s="3" t="n">
        <v>239018.42</v>
      </c>
      <c r="P4043" s="3" t="n">
        <v>182030.98</v>
      </c>
      <c r="Q4043" s="3" t="n">
        <v>56987.44</v>
      </c>
      <c r="R4043" s="3" t="n">
        <v>0.2384</v>
      </c>
      <c r="S4043" s="3" t="n">
        <v>0.1926</v>
      </c>
      <c r="T4043" s="3" t="n">
        <v>-0.0067</v>
      </c>
    </row>
    <row r="4044" customFormat="false" ht="15" hidden="false" customHeight="true" outlineLevel="0" collapsed="false">
      <c r="A4044" s="3" t="s">
        <v>5205</v>
      </c>
      <c r="B4044" s="3" t="s">
        <v>200</v>
      </c>
      <c r="C4044" s="3" t="s">
        <v>156</v>
      </c>
      <c r="D4044" s="3" t="s">
        <v>61</v>
      </c>
      <c r="E4044" s="3" t="s">
        <v>33</v>
      </c>
      <c r="F4044" s="3" t="s">
        <v>62</v>
      </c>
      <c r="G4044" s="3" t="s">
        <v>41</v>
      </c>
      <c r="H4044" s="3" t="s">
        <v>42</v>
      </c>
      <c r="I4044" s="3" t="s">
        <v>43</v>
      </c>
      <c r="J4044" s="3" t="n">
        <v>12</v>
      </c>
      <c r="K4044" s="3" t="n">
        <v>2969.74</v>
      </c>
      <c r="L4044" s="3" t="n">
        <v>35636.88</v>
      </c>
      <c r="M4044" s="3" t="n">
        <v>0.0826</v>
      </c>
      <c r="N4044" s="3" t="n">
        <v>2943.61</v>
      </c>
      <c r="O4044" s="3" t="n">
        <v>32693.27</v>
      </c>
      <c r="P4044" s="3" t="n">
        <v>19600.28</v>
      </c>
      <c r="Q4044" s="3" t="n">
        <v>13092.99</v>
      </c>
      <c r="R4044" s="3" t="n">
        <v>0.4005</v>
      </c>
      <c r="S4044" s="3" t="n">
        <v>0.0662</v>
      </c>
      <c r="T4044" s="3" t="n">
        <v>0.0164</v>
      </c>
    </row>
    <row r="4045" customFormat="false" ht="15" hidden="false" customHeight="true" outlineLevel="0" collapsed="false">
      <c r="A4045" s="3" t="s">
        <v>5206</v>
      </c>
      <c r="B4045" s="3" t="s">
        <v>2299</v>
      </c>
      <c r="C4045" s="3" t="s">
        <v>22</v>
      </c>
      <c r="D4045" s="3" t="s">
        <v>107</v>
      </c>
      <c r="E4045" s="3" t="s">
        <v>33</v>
      </c>
      <c r="F4045" s="3" t="s">
        <v>70</v>
      </c>
      <c r="G4045" s="3" t="s">
        <v>84</v>
      </c>
      <c r="H4045" s="3" t="s">
        <v>27</v>
      </c>
      <c r="I4045" s="3" t="s">
        <v>50</v>
      </c>
      <c r="J4045" s="3" t="n">
        <v>14</v>
      </c>
      <c r="K4045" s="3" t="n">
        <v>33958.32</v>
      </c>
      <c r="L4045" s="3" t="n">
        <v>475416.48</v>
      </c>
      <c r="M4045" s="3" t="n">
        <v>0.0504</v>
      </c>
      <c r="N4045" s="3" t="n">
        <v>23960.99</v>
      </c>
      <c r="O4045" s="3" t="n">
        <v>451455.49</v>
      </c>
      <c r="P4045" s="3" t="n">
        <v>294758.22</v>
      </c>
      <c r="Q4045" s="3" t="n">
        <v>156697.27</v>
      </c>
      <c r="R4045" s="3" t="n">
        <v>0.3471</v>
      </c>
      <c r="S4045" s="3" t="n">
        <v>0.0508</v>
      </c>
      <c r="T4045" s="3" t="n">
        <v>-0.0004</v>
      </c>
    </row>
    <row r="4046" customFormat="false" ht="15" hidden="false" customHeight="true" outlineLevel="0" collapsed="false">
      <c r="A4046" s="3" t="s">
        <v>5207</v>
      </c>
      <c r="B4046" s="3" t="s">
        <v>519</v>
      </c>
      <c r="C4046" s="3" t="s">
        <v>31</v>
      </c>
      <c r="D4046" s="3" t="s">
        <v>69</v>
      </c>
      <c r="E4046" s="3" t="s">
        <v>39</v>
      </c>
      <c r="F4046" s="3" t="s">
        <v>70</v>
      </c>
      <c r="G4046" s="3" t="s">
        <v>76</v>
      </c>
      <c r="H4046" s="3" t="s">
        <v>27</v>
      </c>
      <c r="I4046" s="3" t="s">
        <v>117</v>
      </c>
      <c r="J4046" s="3" t="n">
        <v>16</v>
      </c>
      <c r="K4046" s="3" t="n">
        <v>10341.59</v>
      </c>
      <c r="L4046" s="3" t="n">
        <v>165465.44</v>
      </c>
      <c r="M4046" s="3" t="n">
        <v>0.0711</v>
      </c>
      <c r="N4046" s="3" t="n">
        <v>11764.59</v>
      </c>
      <c r="O4046" s="3" t="n">
        <v>153700.85</v>
      </c>
      <c r="P4046" s="3" t="n">
        <v>102588.57</v>
      </c>
      <c r="Q4046" s="3" t="n">
        <v>51112.28</v>
      </c>
      <c r="R4046" s="3" t="n">
        <v>0.3325</v>
      </c>
      <c r="S4046" s="3" t="n">
        <v>0.0641</v>
      </c>
      <c r="T4046" s="3" t="n">
        <v>0.007</v>
      </c>
    </row>
    <row r="4047" customFormat="false" ht="15" hidden="false" customHeight="true" outlineLevel="0" collapsed="false">
      <c r="A4047" s="3" t="s">
        <v>5208</v>
      </c>
      <c r="B4047" s="3" t="s">
        <v>335</v>
      </c>
      <c r="C4047" s="3" t="s">
        <v>31</v>
      </c>
      <c r="D4047" s="3" t="s">
        <v>69</v>
      </c>
      <c r="E4047" s="3" t="s">
        <v>39</v>
      </c>
      <c r="F4047" s="3" t="s">
        <v>70</v>
      </c>
      <c r="G4047" s="3" t="s">
        <v>63</v>
      </c>
      <c r="H4047" s="3" t="s">
        <v>64</v>
      </c>
      <c r="I4047" s="3" t="s">
        <v>145</v>
      </c>
      <c r="J4047" s="3" t="n">
        <v>35</v>
      </c>
      <c r="K4047" s="3" t="n">
        <v>9590.49</v>
      </c>
      <c r="L4047" s="3" t="n">
        <v>335667.15</v>
      </c>
      <c r="M4047" s="3" t="n">
        <v>0.0433</v>
      </c>
      <c r="N4047" s="3" t="n">
        <v>14534.39</v>
      </c>
      <c r="O4047" s="3" t="n">
        <v>321132.76</v>
      </c>
      <c r="P4047" s="3" t="n">
        <v>194686.95</v>
      </c>
      <c r="Q4047" s="3" t="n">
        <v>126445.81</v>
      </c>
      <c r="R4047" s="3" t="n">
        <v>0.3937</v>
      </c>
      <c r="S4047" s="3" t="n">
        <v>0.0459</v>
      </c>
      <c r="T4047" s="3" t="n">
        <v>-0.0026</v>
      </c>
    </row>
    <row r="4048" customFormat="false" ht="15" hidden="false" customHeight="true" outlineLevel="0" collapsed="false">
      <c r="A4048" s="3" t="s">
        <v>5209</v>
      </c>
      <c r="B4048" s="3" t="s">
        <v>251</v>
      </c>
      <c r="C4048" s="3" t="s">
        <v>120</v>
      </c>
      <c r="D4048" s="3" t="s">
        <v>83</v>
      </c>
      <c r="E4048" s="3" t="s">
        <v>48</v>
      </c>
      <c r="F4048" s="3" t="s">
        <v>62</v>
      </c>
      <c r="G4048" s="3" t="s">
        <v>104</v>
      </c>
      <c r="H4048" s="3" t="s">
        <v>27</v>
      </c>
      <c r="I4048" s="3" t="s">
        <v>173</v>
      </c>
      <c r="J4048" s="3" t="n">
        <v>2</v>
      </c>
      <c r="K4048" s="3" t="n">
        <v>21638.09</v>
      </c>
      <c r="L4048" s="3" t="n">
        <v>43276.18</v>
      </c>
      <c r="M4048" s="3" t="n">
        <v>0.1125</v>
      </c>
      <c r="N4048" s="3" t="n">
        <v>4868.57</v>
      </c>
      <c r="O4048" s="3" t="n">
        <v>38407.61</v>
      </c>
      <c r="P4048" s="3" t="n">
        <v>26831.23</v>
      </c>
      <c r="Q4048" s="3" t="n">
        <v>11576.38</v>
      </c>
      <c r="R4048" s="3" t="n">
        <v>0.3014</v>
      </c>
      <c r="S4048" s="3" t="n">
        <v>0.118</v>
      </c>
      <c r="T4048" s="3" t="n">
        <v>-0.0055</v>
      </c>
    </row>
    <row r="4049" customFormat="false" ht="15" hidden="false" customHeight="true" outlineLevel="0" collapsed="false">
      <c r="A4049" s="3" t="s">
        <v>5210</v>
      </c>
      <c r="B4049" s="3" t="s">
        <v>575</v>
      </c>
      <c r="C4049" s="3" t="s">
        <v>93</v>
      </c>
      <c r="D4049" s="3" t="s">
        <v>69</v>
      </c>
      <c r="E4049" s="3" t="s">
        <v>39</v>
      </c>
      <c r="F4049" s="3" t="s">
        <v>70</v>
      </c>
      <c r="G4049" s="3" t="s">
        <v>104</v>
      </c>
      <c r="H4049" s="3" t="s">
        <v>64</v>
      </c>
      <c r="I4049" s="3" t="s">
        <v>90</v>
      </c>
      <c r="J4049" s="3" t="n">
        <v>18</v>
      </c>
      <c r="K4049" s="3" t="n">
        <v>11935.79</v>
      </c>
      <c r="L4049" s="3" t="n">
        <v>214844.22</v>
      </c>
      <c r="M4049" s="3" t="n">
        <v>0.0898</v>
      </c>
      <c r="N4049" s="3" t="n">
        <v>19293.01</v>
      </c>
      <c r="O4049" s="3" t="n">
        <v>195551.21</v>
      </c>
      <c r="P4049" s="3" t="n">
        <v>124609.65</v>
      </c>
      <c r="Q4049" s="3" t="n">
        <v>70941.56</v>
      </c>
      <c r="R4049" s="3" t="n">
        <v>0.3628</v>
      </c>
      <c r="S4049" s="3" t="n">
        <v>0.0986</v>
      </c>
      <c r="T4049" s="3" t="n">
        <v>-0.0088</v>
      </c>
    </row>
    <row r="4050" customFormat="false" ht="15" hidden="false" customHeight="true" outlineLevel="0" collapsed="false">
      <c r="A4050" s="3" t="s">
        <v>5211</v>
      </c>
      <c r="B4050" s="3" t="s">
        <v>1078</v>
      </c>
      <c r="C4050" s="3" t="s">
        <v>46</v>
      </c>
      <c r="D4050" s="3" t="s">
        <v>54</v>
      </c>
      <c r="E4050" s="3" t="s">
        <v>24</v>
      </c>
      <c r="F4050" s="3" t="s">
        <v>40</v>
      </c>
      <c r="G4050" s="3" t="s">
        <v>100</v>
      </c>
      <c r="H4050" s="3" t="s">
        <v>64</v>
      </c>
      <c r="I4050" s="3" t="s">
        <v>90</v>
      </c>
      <c r="J4050" s="3" t="n">
        <v>43</v>
      </c>
      <c r="K4050" s="3" t="n">
        <v>6939.15</v>
      </c>
      <c r="L4050" s="3" t="n">
        <v>298383.45</v>
      </c>
      <c r="M4050" s="3" t="n">
        <v>0.0664</v>
      </c>
      <c r="N4050" s="3" t="n">
        <v>19812.66</v>
      </c>
      <c r="O4050" s="3" t="n">
        <v>278570.79</v>
      </c>
      <c r="P4050" s="3" t="n">
        <v>173062.4</v>
      </c>
      <c r="Q4050" s="3" t="n">
        <v>105508.39</v>
      </c>
      <c r="R4050" s="3" t="n">
        <v>0.3787</v>
      </c>
      <c r="S4050" s="3" t="n">
        <v>0.0579</v>
      </c>
      <c r="T4050" s="3" t="n">
        <v>0.0085</v>
      </c>
    </row>
    <row r="4051" customFormat="false" ht="15" hidden="false" customHeight="true" outlineLevel="0" collapsed="false">
      <c r="A4051" s="3" t="s">
        <v>5212</v>
      </c>
      <c r="B4051" s="3" t="s">
        <v>179</v>
      </c>
      <c r="C4051" s="3" t="s">
        <v>126</v>
      </c>
      <c r="D4051" s="3" t="s">
        <v>97</v>
      </c>
      <c r="E4051" s="3" t="s">
        <v>48</v>
      </c>
      <c r="F4051" s="3" t="s">
        <v>40</v>
      </c>
      <c r="G4051" s="3" t="s">
        <v>41</v>
      </c>
      <c r="H4051" s="3" t="s">
        <v>77</v>
      </c>
      <c r="I4051" s="3" t="s">
        <v>78</v>
      </c>
      <c r="J4051" s="3" t="n">
        <v>23</v>
      </c>
      <c r="K4051" s="3" t="n">
        <v>5399.93</v>
      </c>
      <c r="L4051" s="3" t="n">
        <v>124198.39</v>
      </c>
      <c r="M4051" s="3" t="n">
        <v>0.1229</v>
      </c>
      <c r="N4051" s="3" t="n">
        <v>15263.98</v>
      </c>
      <c r="O4051" s="3" t="n">
        <v>108934.41</v>
      </c>
      <c r="P4051" s="3" t="n">
        <v>84454.91</v>
      </c>
      <c r="Q4051" s="3" t="n">
        <v>24479.5</v>
      </c>
      <c r="R4051" s="3" t="n">
        <v>0.2247</v>
      </c>
      <c r="S4051" s="3" t="n">
        <v>0.129</v>
      </c>
      <c r="T4051" s="3" t="n">
        <v>-0.0061</v>
      </c>
    </row>
    <row r="4052" customFormat="false" ht="15" hidden="false" customHeight="true" outlineLevel="0" collapsed="false">
      <c r="A4052" s="3" t="s">
        <v>5213</v>
      </c>
      <c r="B4052" s="3" t="s">
        <v>1792</v>
      </c>
      <c r="C4052" s="3" t="s">
        <v>68</v>
      </c>
      <c r="D4052" s="3" t="s">
        <v>97</v>
      </c>
      <c r="E4052" s="3" t="s">
        <v>48</v>
      </c>
      <c r="F4052" s="3" t="s">
        <v>40</v>
      </c>
      <c r="G4052" s="3" t="s">
        <v>49</v>
      </c>
      <c r="H4052" s="3" t="s">
        <v>42</v>
      </c>
      <c r="I4052" s="3" t="s">
        <v>134</v>
      </c>
      <c r="J4052" s="3" t="n">
        <v>28</v>
      </c>
      <c r="K4052" s="3" t="n">
        <v>3416.69</v>
      </c>
      <c r="L4052" s="3" t="n">
        <v>95667.32</v>
      </c>
      <c r="M4052" s="3" t="n">
        <v>0.0515</v>
      </c>
      <c r="N4052" s="3" t="n">
        <v>4926.87</v>
      </c>
      <c r="O4052" s="3" t="n">
        <v>90740.45</v>
      </c>
      <c r="P4052" s="3" t="n">
        <v>52617.03</v>
      </c>
      <c r="Q4052" s="3" t="n">
        <v>38123.42</v>
      </c>
      <c r="R4052" s="3" t="n">
        <v>0.4201</v>
      </c>
      <c r="S4052" s="3" t="n">
        <v>0.0435</v>
      </c>
      <c r="T4052" s="3" t="n">
        <v>0.008</v>
      </c>
    </row>
    <row r="4053" customFormat="false" ht="15" hidden="false" customHeight="true" outlineLevel="0" collapsed="false">
      <c r="A4053" s="3" t="s">
        <v>5214</v>
      </c>
      <c r="B4053" s="3" t="s">
        <v>535</v>
      </c>
      <c r="C4053" s="3" t="s">
        <v>22</v>
      </c>
      <c r="D4053" s="3" t="s">
        <v>107</v>
      </c>
      <c r="E4053" s="3" t="s">
        <v>33</v>
      </c>
      <c r="F4053" s="3" t="s">
        <v>70</v>
      </c>
      <c r="G4053" s="3" t="s">
        <v>116</v>
      </c>
      <c r="H4053" s="3" t="s">
        <v>77</v>
      </c>
      <c r="I4053" s="3" t="s">
        <v>78</v>
      </c>
      <c r="J4053" s="3" t="n">
        <v>32</v>
      </c>
      <c r="K4053" s="3" t="n">
        <v>2515.46</v>
      </c>
      <c r="L4053" s="3" t="n">
        <v>80494.72</v>
      </c>
      <c r="M4053" s="3" t="n">
        <v>0.1106</v>
      </c>
      <c r="N4053" s="3" t="n">
        <v>8902.72</v>
      </c>
      <c r="O4053" s="3" t="n">
        <v>71592</v>
      </c>
      <c r="P4053" s="3" t="n">
        <v>54736.41</v>
      </c>
      <c r="Q4053" s="3" t="n">
        <v>16855.59</v>
      </c>
      <c r="R4053" s="3" t="n">
        <v>0.2354</v>
      </c>
      <c r="S4053" s="3" t="n">
        <v>0.0968</v>
      </c>
      <c r="T4053" s="3" t="n">
        <v>0.0138</v>
      </c>
    </row>
    <row r="4054" customFormat="false" ht="15" hidden="false" customHeight="true" outlineLevel="0" collapsed="false">
      <c r="A4054" s="3" t="s">
        <v>5215</v>
      </c>
      <c r="B4054" s="3" t="s">
        <v>1868</v>
      </c>
      <c r="C4054" s="3" t="s">
        <v>53</v>
      </c>
      <c r="D4054" s="3" t="s">
        <v>97</v>
      </c>
      <c r="E4054" s="3" t="s">
        <v>48</v>
      </c>
      <c r="F4054" s="3" t="s">
        <v>40</v>
      </c>
      <c r="G4054" s="3" t="s">
        <v>100</v>
      </c>
      <c r="H4054" s="3" t="s">
        <v>56</v>
      </c>
      <c r="I4054" s="3" t="s">
        <v>121</v>
      </c>
      <c r="J4054" s="3" t="n">
        <v>27</v>
      </c>
      <c r="K4054" s="3" t="n">
        <v>9522.02</v>
      </c>
      <c r="L4054" s="3" t="n">
        <v>257094.54</v>
      </c>
      <c r="M4054" s="3" t="n">
        <v>0.0404</v>
      </c>
      <c r="N4054" s="3" t="n">
        <v>10386.62</v>
      </c>
      <c r="O4054" s="3" t="n">
        <v>246707.92</v>
      </c>
      <c r="P4054" s="3" t="n">
        <v>154256.72</v>
      </c>
      <c r="Q4054" s="3" t="n">
        <v>92451.2</v>
      </c>
      <c r="R4054" s="3" t="n">
        <v>0.3747</v>
      </c>
      <c r="S4054" s="3" t="n">
        <v>0.0406</v>
      </c>
      <c r="T4054" s="3" t="n">
        <v>-0.0002</v>
      </c>
    </row>
    <row r="4055" customFormat="false" ht="15" hidden="false" customHeight="true" outlineLevel="0" collapsed="false">
      <c r="A4055" s="3" t="s">
        <v>5216</v>
      </c>
      <c r="B4055" s="3" t="s">
        <v>2374</v>
      </c>
      <c r="C4055" s="3" t="s">
        <v>60</v>
      </c>
      <c r="D4055" s="3" t="s">
        <v>75</v>
      </c>
      <c r="E4055" s="3" t="s">
        <v>39</v>
      </c>
      <c r="F4055" s="3" t="s">
        <v>25</v>
      </c>
      <c r="G4055" s="3" t="s">
        <v>41</v>
      </c>
      <c r="H4055" s="3" t="s">
        <v>27</v>
      </c>
      <c r="I4055" s="3" t="s">
        <v>117</v>
      </c>
      <c r="J4055" s="3" t="n">
        <v>15</v>
      </c>
      <c r="K4055" s="3" t="n">
        <v>14558.54</v>
      </c>
      <c r="L4055" s="3" t="n">
        <v>218378.1</v>
      </c>
      <c r="M4055" s="3" t="n">
        <v>0.1977</v>
      </c>
      <c r="N4055" s="3" t="n">
        <v>43173.35</v>
      </c>
      <c r="O4055" s="3" t="n">
        <v>175204.75</v>
      </c>
      <c r="P4055" s="3" t="n">
        <v>135394.42</v>
      </c>
      <c r="Q4055" s="3" t="n">
        <v>39810.33</v>
      </c>
      <c r="R4055" s="3" t="n">
        <v>0.2272</v>
      </c>
      <c r="S4055" s="3" t="n">
        <v>0.1654</v>
      </c>
      <c r="T4055" s="3" t="n">
        <v>0.0323</v>
      </c>
    </row>
    <row r="4056" customFormat="false" ht="15" hidden="false" customHeight="true" outlineLevel="0" collapsed="false">
      <c r="A4056" s="3" t="s">
        <v>5217</v>
      </c>
      <c r="B4056" s="3" t="s">
        <v>842</v>
      </c>
      <c r="C4056" s="3" t="s">
        <v>60</v>
      </c>
      <c r="D4056" s="3" t="s">
        <v>38</v>
      </c>
      <c r="E4056" s="3" t="s">
        <v>39</v>
      </c>
      <c r="F4056" s="3" t="s">
        <v>40</v>
      </c>
      <c r="G4056" s="3" t="s">
        <v>84</v>
      </c>
      <c r="H4056" s="3" t="s">
        <v>27</v>
      </c>
      <c r="I4056" s="3" t="s">
        <v>28</v>
      </c>
      <c r="J4056" s="3" t="n">
        <v>8</v>
      </c>
      <c r="K4056" s="3" t="n">
        <v>30357.65</v>
      </c>
      <c r="L4056" s="3" t="n">
        <v>242861.2</v>
      </c>
      <c r="M4056" s="3" t="n">
        <v>0.0406</v>
      </c>
      <c r="N4056" s="3" t="n">
        <v>9860.16</v>
      </c>
      <c r="O4056" s="3" t="n">
        <v>233001.04</v>
      </c>
      <c r="P4056" s="3" t="n">
        <v>150573.94</v>
      </c>
      <c r="Q4056" s="3" t="n">
        <v>82427.1</v>
      </c>
      <c r="R4056" s="3" t="n">
        <v>0.3538</v>
      </c>
      <c r="S4056" s="3" t="n">
        <v>0.0405</v>
      </c>
      <c r="T4056" s="3" t="n">
        <v>0.0001</v>
      </c>
    </row>
    <row r="4057" customFormat="false" ht="15" hidden="false" customHeight="true" outlineLevel="0" collapsed="false">
      <c r="A4057" s="3" t="s">
        <v>5218</v>
      </c>
      <c r="B4057" s="3" t="s">
        <v>1276</v>
      </c>
      <c r="C4057" s="3" t="s">
        <v>93</v>
      </c>
      <c r="D4057" s="3" t="s">
        <v>32</v>
      </c>
      <c r="E4057" s="3" t="s">
        <v>33</v>
      </c>
      <c r="F4057" s="3" t="s">
        <v>25</v>
      </c>
      <c r="G4057" s="3" t="s">
        <v>76</v>
      </c>
      <c r="H4057" s="3" t="s">
        <v>42</v>
      </c>
      <c r="I4057" s="3" t="s">
        <v>72</v>
      </c>
      <c r="J4057" s="3" t="n">
        <v>17</v>
      </c>
      <c r="K4057" s="3" t="n">
        <v>3818.26</v>
      </c>
      <c r="L4057" s="3" t="n">
        <v>64910.42</v>
      </c>
      <c r="M4057" s="3" t="n">
        <v>0.1442</v>
      </c>
      <c r="N4057" s="3" t="n">
        <v>9360.08</v>
      </c>
      <c r="O4057" s="3" t="n">
        <v>55550.34</v>
      </c>
      <c r="P4057" s="3" t="n">
        <v>35700.73</v>
      </c>
      <c r="Q4057" s="3" t="n">
        <v>19849.61</v>
      </c>
      <c r="R4057" s="3" t="n">
        <v>0.3573</v>
      </c>
      <c r="S4057" s="3" t="n">
        <v>0.1554</v>
      </c>
      <c r="T4057" s="3" t="n">
        <v>-0.0112</v>
      </c>
    </row>
    <row r="4058" customFormat="false" ht="15" hidden="false" customHeight="true" outlineLevel="0" collapsed="false">
      <c r="A4058" s="3" t="s">
        <v>5219</v>
      </c>
      <c r="B4058" s="3" t="s">
        <v>997</v>
      </c>
      <c r="C4058" s="3" t="s">
        <v>46</v>
      </c>
      <c r="D4058" s="3" t="s">
        <v>83</v>
      </c>
      <c r="E4058" s="3" t="s">
        <v>48</v>
      </c>
      <c r="F4058" s="3" t="s">
        <v>62</v>
      </c>
      <c r="G4058" s="3" t="s">
        <v>71</v>
      </c>
      <c r="H4058" s="3" t="s">
        <v>27</v>
      </c>
      <c r="I4058" s="3" t="s">
        <v>50</v>
      </c>
      <c r="J4058" s="3" t="n">
        <v>47</v>
      </c>
      <c r="K4058" s="3" t="n">
        <v>16509.39</v>
      </c>
      <c r="L4058" s="3" t="n">
        <v>775941.33</v>
      </c>
      <c r="M4058" s="3" t="n">
        <v>0.0775</v>
      </c>
      <c r="N4058" s="3" t="n">
        <v>60135.45</v>
      </c>
      <c r="O4058" s="3" t="n">
        <v>715805.88</v>
      </c>
      <c r="P4058" s="3" t="n">
        <v>481083.62</v>
      </c>
      <c r="Q4058" s="3" t="n">
        <v>234722.26</v>
      </c>
      <c r="R4058" s="3" t="n">
        <v>0.3279</v>
      </c>
      <c r="S4058" s="3" t="n">
        <v>0.0711</v>
      </c>
      <c r="T4058" s="3" t="n">
        <v>0.0064</v>
      </c>
    </row>
    <row r="4059" customFormat="false" ht="15" hidden="false" customHeight="true" outlineLevel="0" collapsed="false">
      <c r="A4059" s="3" t="s">
        <v>5220</v>
      </c>
      <c r="B4059" s="3" t="s">
        <v>321</v>
      </c>
      <c r="C4059" s="3" t="s">
        <v>120</v>
      </c>
      <c r="D4059" s="3" t="s">
        <v>54</v>
      </c>
      <c r="E4059" s="3" t="s">
        <v>24</v>
      </c>
      <c r="F4059" s="3" t="s">
        <v>40</v>
      </c>
      <c r="G4059" s="3" t="s">
        <v>100</v>
      </c>
      <c r="H4059" s="3" t="s">
        <v>42</v>
      </c>
      <c r="I4059" s="3" t="s">
        <v>134</v>
      </c>
      <c r="J4059" s="3" t="n">
        <v>15</v>
      </c>
      <c r="K4059" s="3" t="n">
        <v>2561.84</v>
      </c>
      <c r="L4059" s="3" t="n">
        <v>38427.6</v>
      </c>
      <c r="M4059" s="3" t="n">
        <v>0.0588</v>
      </c>
      <c r="N4059" s="3" t="n">
        <v>2259.54</v>
      </c>
      <c r="O4059" s="3" t="n">
        <v>36168.06</v>
      </c>
      <c r="P4059" s="3" t="n">
        <v>21135.18</v>
      </c>
      <c r="Q4059" s="3" t="n">
        <v>15032.88</v>
      </c>
      <c r="R4059" s="3" t="n">
        <v>0.4156</v>
      </c>
      <c r="S4059" s="3" t="n">
        <v>0.0542</v>
      </c>
      <c r="T4059" s="3" t="n">
        <v>0.0046</v>
      </c>
    </row>
    <row r="4060" customFormat="false" ht="15" hidden="false" customHeight="true" outlineLevel="0" collapsed="false">
      <c r="A4060" s="3" t="s">
        <v>5221</v>
      </c>
      <c r="B4060" s="3" t="s">
        <v>4651</v>
      </c>
      <c r="C4060" s="3" t="s">
        <v>93</v>
      </c>
      <c r="D4060" s="3" t="s">
        <v>97</v>
      </c>
      <c r="E4060" s="3" t="s">
        <v>48</v>
      </c>
      <c r="F4060" s="3" t="s">
        <v>40</v>
      </c>
      <c r="G4060" s="3" t="s">
        <v>84</v>
      </c>
      <c r="H4060" s="3" t="s">
        <v>42</v>
      </c>
      <c r="I4060" s="3" t="s">
        <v>134</v>
      </c>
      <c r="J4060" s="3" t="n">
        <v>32</v>
      </c>
      <c r="K4060" s="3" t="n">
        <v>2785.18</v>
      </c>
      <c r="L4060" s="3" t="n">
        <v>89125.76</v>
      </c>
      <c r="M4060" s="3" t="n">
        <v>0.076</v>
      </c>
      <c r="N4060" s="3" t="n">
        <v>6773.56</v>
      </c>
      <c r="O4060" s="3" t="n">
        <v>82352.2</v>
      </c>
      <c r="P4060" s="3" t="n">
        <v>49019.17</v>
      </c>
      <c r="Q4060" s="3" t="n">
        <v>33333.03</v>
      </c>
      <c r="R4060" s="3" t="n">
        <v>0.4048</v>
      </c>
      <c r="S4060" s="3" t="n">
        <v>0.078</v>
      </c>
      <c r="T4060" s="3" t="n">
        <v>-0.002</v>
      </c>
    </row>
    <row r="4061" customFormat="false" ht="15" hidden="false" customHeight="true" outlineLevel="0" collapsed="false">
      <c r="A4061" s="3" t="s">
        <v>5222</v>
      </c>
      <c r="B4061" s="3" t="s">
        <v>3498</v>
      </c>
      <c r="C4061" s="3" t="s">
        <v>46</v>
      </c>
      <c r="D4061" s="3" t="s">
        <v>47</v>
      </c>
      <c r="E4061" s="3" t="s">
        <v>48</v>
      </c>
      <c r="F4061" s="3" t="s">
        <v>25</v>
      </c>
      <c r="G4061" s="3" t="s">
        <v>26</v>
      </c>
      <c r="H4061" s="3" t="s">
        <v>42</v>
      </c>
      <c r="I4061" s="3" t="s">
        <v>134</v>
      </c>
      <c r="J4061" s="3" t="n">
        <v>26</v>
      </c>
      <c r="K4061" s="3" t="n">
        <v>2015.58</v>
      </c>
      <c r="L4061" s="3" t="n">
        <v>52405.08</v>
      </c>
      <c r="M4061" s="3" t="n">
        <v>0.1515</v>
      </c>
      <c r="N4061" s="3" t="n">
        <v>7939.37</v>
      </c>
      <c r="O4061" s="3" t="n">
        <v>44465.71</v>
      </c>
      <c r="P4061" s="3" t="n">
        <v>28822.79</v>
      </c>
      <c r="Q4061" s="3" t="n">
        <v>15642.92</v>
      </c>
      <c r="R4061" s="3" t="n">
        <v>0.3518</v>
      </c>
      <c r="S4061" s="3" t="n">
        <v>0.1233</v>
      </c>
      <c r="T4061" s="3" t="n">
        <v>0.0282</v>
      </c>
    </row>
    <row r="4062" customFormat="false" ht="15" hidden="false" customHeight="true" outlineLevel="0" collapsed="false">
      <c r="A4062" s="3" t="s">
        <v>5223</v>
      </c>
      <c r="B4062" s="3" t="s">
        <v>1524</v>
      </c>
      <c r="C4062" s="3" t="s">
        <v>60</v>
      </c>
      <c r="D4062" s="3" t="s">
        <v>103</v>
      </c>
      <c r="E4062" s="3" t="s">
        <v>24</v>
      </c>
      <c r="F4062" s="3" t="s">
        <v>62</v>
      </c>
      <c r="G4062" s="3" t="s">
        <v>100</v>
      </c>
      <c r="H4062" s="3" t="s">
        <v>64</v>
      </c>
      <c r="I4062" s="3" t="s">
        <v>65</v>
      </c>
      <c r="J4062" s="3" t="n">
        <v>22</v>
      </c>
      <c r="K4062" s="3" t="n">
        <v>9040.93</v>
      </c>
      <c r="L4062" s="3" t="n">
        <v>198900.46</v>
      </c>
      <c r="M4062" s="3" t="n">
        <v>0.0725</v>
      </c>
      <c r="N4062" s="3" t="n">
        <v>14420.28</v>
      </c>
      <c r="O4062" s="3" t="n">
        <v>184480.18</v>
      </c>
      <c r="P4062" s="3" t="n">
        <v>115362.27</v>
      </c>
      <c r="Q4062" s="3" t="n">
        <v>69117.91</v>
      </c>
      <c r="R4062" s="3" t="n">
        <v>0.3747</v>
      </c>
      <c r="S4062" s="3" t="n">
        <v>0.0707</v>
      </c>
      <c r="T4062" s="3" t="n">
        <v>0.0018</v>
      </c>
    </row>
    <row r="4063" customFormat="false" ht="15" hidden="false" customHeight="true" outlineLevel="0" collapsed="false">
      <c r="A4063" s="3" t="s">
        <v>5224</v>
      </c>
      <c r="B4063" s="3" t="s">
        <v>2837</v>
      </c>
      <c r="C4063" s="3" t="s">
        <v>68</v>
      </c>
      <c r="D4063" s="3" t="s">
        <v>54</v>
      </c>
      <c r="E4063" s="3" t="s">
        <v>24</v>
      </c>
      <c r="F4063" s="3" t="s">
        <v>40</v>
      </c>
      <c r="G4063" s="3" t="s">
        <v>41</v>
      </c>
      <c r="H4063" s="3" t="s">
        <v>42</v>
      </c>
      <c r="I4063" s="3" t="s">
        <v>134</v>
      </c>
      <c r="J4063" s="3" t="n">
        <v>24</v>
      </c>
      <c r="K4063" s="3" t="n">
        <v>747.13</v>
      </c>
      <c r="L4063" s="3" t="n">
        <v>17931.12</v>
      </c>
      <c r="M4063" s="3" t="n">
        <v>0.076</v>
      </c>
      <c r="N4063" s="3" t="n">
        <v>1362.77</v>
      </c>
      <c r="O4063" s="3" t="n">
        <v>16568.35</v>
      </c>
      <c r="P4063" s="3" t="n">
        <v>9862.12</v>
      </c>
      <c r="Q4063" s="3" t="n">
        <v>6706.23</v>
      </c>
      <c r="R4063" s="3" t="n">
        <v>0.4048</v>
      </c>
      <c r="S4063" s="3" t="n">
        <v>0.0721</v>
      </c>
      <c r="T4063" s="3" t="n">
        <v>0.0039</v>
      </c>
    </row>
    <row r="4064" customFormat="false" ht="15" hidden="false" customHeight="true" outlineLevel="0" collapsed="false">
      <c r="A4064" s="3" t="s">
        <v>5225</v>
      </c>
      <c r="B4064" s="3" t="s">
        <v>960</v>
      </c>
      <c r="C4064" s="3" t="s">
        <v>126</v>
      </c>
      <c r="D4064" s="3" t="s">
        <v>75</v>
      </c>
      <c r="E4064" s="3" t="s">
        <v>39</v>
      </c>
      <c r="F4064" s="3" t="s">
        <v>25</v>
      </c>
      <c r="G4064" s="3" t="s">
        <v>100</v>
      </c>
      <c r="H4064" s="3" t="s">
        <v>56</v>
      </c>
      <c r="I4064" s="3" t="s">
        <v>121</v>
      </c>
      <c r="J4064" s="3" t="n">
        <v>10</v>
      </c>
      <c r="K4064" s="3" t="n">
        <v>9802.41</v>
      </c>
      <c r="L4064" s="3" t="n">
        <v>98024.1</v>
      </c>
      <c r="M4064" s="3" t="n">
        <v>0.1173</v>
      </c>
      <c r="N4064" s="3" t="n">
        <v>11498.23</v>
      </c>
      <c r="O4064" s="3" t="n">
        <v>86525.87</v>
      </c>
      <c r="P4064" s="3" t="n">
        <v>58814.46</v>
      </c>
      <c r="Q4064" s="3" t="n">
        <v>27711.41</v>
      </c>
      <c r="R4064" s="3" t="n">
        <v>0.3203</v>
      </c>
      <c r="S4064" s="3" t="n">
        <v>0.0989</v>
      </c>
      <c r="T4064" s="3" t="n">
        <v>0.0184</v>
      </c>
    </row>
    <row r="4065" customFormat="false" ht="15" hidden="false" customHeight="true" outlineLevel="0" collapsed="false">
      <c r="A4065" s="3" t="s">
        <v>5226</v>
      </c>
      <c r="B4065" s="3" t="s">
        <v>2269</v>
      </c>
      <c r="C4065" s="3" t="s">
        <v>60</v>
      </c>
      <c r="D4065" s="3" t="s">
        <v>32</v>
      </c>
      <c r="E4065" s="3" t="s">
        <v>33</v>
      </c>
      <c r="F4065" s="3" t="s">
        <v>25</v>
      </c>
      <c r="G4065" s="3" t="s">
        <v>71</v>
      </c>
      <c r="H4065" s="3" t="s">
        <v>77</v>
      </c>
      <c r="I4065" s="3" t="s">
        <v>131</v>
      </c>
      <c r="J4065" s="3" t="n">
        <v>24</v>
      </c>
      <c r="K4065" s="3" t="n">
        <v>4559.19</v>
      </c>
      <c r="L4065" s="3" t="n">
        <v>109420.56</v>
      </c>
      <c r="M4065" s="3" t="n">
        <v>0.1377</v>
      </c>
      <c r="N4065" s="3" t="n">
        <v>15067.21</v>
      </c>
      <c r="O4065" s="3" t="n">
        <v>94353.35</v>
      </c>
      <c r="P4065" s="3" t="n">
        <v>74405.98</v>
      </c>
      <c r="Q4065" s="3" t="n">
        <v>19947.37</v>
      </c>
      <c r="R4065" s="3" t="n">
        <v>0.2114</v>
      </c>
      <c r="S4065" s="3" t="n">
        <v>0.1348</v>
      </c>
      <c r="T4065" s="3" t="n">
        <v>0.0029</v>
      </c>
    </row>
    <row r="4066" customFormat="false" ht="15" hidden="false" customHeight="true" outlineLevel="0" collapsed="false">
      <c r="A4066" s="3" t="s">
        <v>5227</v>
      </c>
      <c r="B4066" s="3" t="s">
        <v>1740</v>
      </c>
      <c r="C4066" s="3" t="s">
        <v>22</v>
      </c>
      <c r="D4066" s="3" t="s">
        <v>107</v>
      </c>
      <c r="E4066" s="3" t="s">
        <v>33</v>
      </c>
      <c r="F4066" s="3" t="s">
        <v>70</v>
      </c>
      <c r="G4066" s="3" t="s">
        <v>34</v>
      </c>
      <c r="H4066" s="3" t="s">
        <v>77</v>
      </c>
      <c r="I4066" s="3" t="s">
        <v>85</v>
      </c>
      <c r="J4066" s="3" t="n">
        <v>28</v>
      </c>
      <c r="K4066" s="3" t="n">
        <v>4297.7</v>
      </c>
      <c r="L4066" s="3" t="n">
        <v>120335.6</v>
      </c>
      <c r="M4066" s="3" t="n">
        <v>0.1003</v>
      </c>
      <c r="N4066" s="3" t="n">
        <v>12069.66</v>
      </c>
      <c r="O4066" s="3" t="n">
        <v>108265.94</v>
      </c>
      <c r="P4066" s="3" t="n">
        <v>81828.21</v>
      </c>
      <c r="Q4066" s="3" t="n">
        <v>26437.73</v>
      </c>
      <c r="R4066" s="3" t="n">
        <v>0.2442</v>
      </c>
      <c r="S4066" s="3" t="n">
        <v>0.0917</v>
      </c>
      <c r="T4066" s="3" t="n">
        <v>0.0086</v>
      </c>
    </row>
    <row r="4067" customFormat="false" ht="15" hidden="false" customHeight="true" outlineLevel="0" collapsed="false">
      <c r="A4067" s="3" t="s">
        <v>5228</v>
      </c>
      <c r="B4067" s="3" t="s">
        <v>3825</v>
      </c>
      <c r="C4067" s="3" t="s">
        <v>156</v>
      </c>
      <c r="D4067" s="3" t="s">
        <v>83</v>
      </c>
      <c r="E4067" s="3" t="s">
        <v>48</v>
      </c>
      <c r="F4067" s="3" t="s">
        <v>62</v>
      </c>
      <c r="G4067" s="3" t="s">
        <v>63</v>
      </c>
      <c r="H4067" s="3" t="s">
        <v>64</v>
      </c>
      <c r="I4067" s="3" t="s">
        <v>145</v>
      </c>
      <c r="J4067" s="3" t="n">
        <v>28</v>
      </c>
      <c r="K4067" s="3" t="n">
        <v>10747.56</v>
      </c>
      <c r="L4067" s="3" t="n">
        <v>300931.68</v>
      </c>
      <c r="M4067" s="3" t="n">
        <v>0.0401</v>
      </c>
      <c r="N4067" s="3" t="n">
        <v>12067.36</v>
      </c>
      <c r="O4067" s="3" t="n">
        <v>288864.32</v>
      </c>
      <c r="P4067" s="3" t="n">
        <v>174540.37</v>
      </c>
      <c r="Q4067" s="3" t="n">
        <v>114323.95</v>
      </c>
      <c r="R4067" s="3" t="n">
        <v>0.3958</v>
      </c>
      <c r="S4067" s="3" t="n">
        <v>0.035</v>
      </c>
      <c r="T4067" s="3" t="n">
        <v>0.0051</v>
      </c>
    </row>
    <row r="4068" customFormat="false" ht="15" hidden="false" customHeight="true" outlineLevel="0" collapsed="false">
      <c r="A4068" s="3" t="s">
        <v>5229</v>
      </c>
      <c r="B4068" s="3" t="s">
        <v>5038</v>
      </c>
      <c r="C4068" s="3" t="s">
        <v>53</v>
      </c>
      <c r="D4068" s="3" t="s">
        <v>61</v>
      </c>
      <c r="E4068" s="3" t="s">
        <v>33</v>
      </c>
      <c r="F4068" s="3" t="s">
        <v>62</v>
      </c>
      <c r="G4068" s="3" t="s">
        <v>104</v>
      </c>
      <c r="H4068" s="3" t="s">
        <v>42</v>
      </c>
      <c r="I4068" s="3" t="s">
        <v>43</v>
      </c>
      <c r="J4068" s="3" t="n">
        <v>35</v>
      </c>
      <c r="K4068" s="3" t="n">
        <v>1178.93</v>
      </c>
      <c r="L4068" s="3" t="n">
        <v>41262.55</v>
      </c>
      <c r="M4068" s="3" t="n">
        <v>0.1248</v>
      </c>
      <c r="N4068" s="3" t="n">
        <v>5149.57</v>
      </c>
      <c r="O4068" s="3" t="n">
        <v>36112.98</v>
      </c>
      <c r="P4068" s="3" t="n">
        <v>22694.4</v>
      </c>
      <c r="Q4068" s="3" t="n">
        <v>13418.58</v>
      </c>
      <c r="R4068" s="3" t="n">
        <v>0.3716</v>
      </c>
      <c r="S4068" s="3" t="n">
        <v>0.1089</v>
      </c>
      <c r="T4068" s="3" t="n">
        <v>0.0159</v>
      </c>
    </row>
    <row r="4069" customFormat="false" ht="15" hidden="false" customHeight="true" outlineLevel="0" collapsed="false">
      <c r="A4069" s="3" t="s">
        <v>5230</v>
      </c>
      <c r="B4069" s="3" t="s">
        <v>1084</v>
      </c>
      <c r="C4069" s="3" t="s">
        <v>68</v>
      </c>
      <c r="D4069" s="3" t="s">
        <v>32</v>
      </c>
      <c r="E4069" s="3" t="s">
        <v>33</v>
      </c>
      <c r="F4069" s="3" t="s">
        <v>25</v>
      </c>
      <c r="G4069" s="3" t="s">
        <v>116</v>
      </c>
      <c r="H4069" s="3" t="s">
        <v>27</v>
      </c>
      <c r="I4069" s="3" t="s">
        <v>28</v>
      </c>
      <c r="J4069" s="3" t="n">
        <v>33</v>
      </c>
      <c r="K4069" s="3" t="n">
        <v>33631.08</v>
      </c>
      <c r="L4069" s="3" t="n">
        <v>1109825.64</v>
      </c>
      <c r="M4069" s="3" t="n">
        <v>0.119</v>
      </c>
      <c r="N4069" s="3" t="n">
        <v>132069.25</v>
      </c>
      <c r="O4069" s="3" t="n">
        <v>977756.39</v>
      </c>
      <c r="P4069" s="3" t="n">
        <v>688091.9</v>
      </c>
      <c r="Q4069" s="3" t="n">
        <v>289664.49</v>
      </c>
      <c r="R4069" s="3" t="n">
        <v>0.2963</v>
      </c>
      <c r="S4069" s="3" t="n">
        <v>0.1142</v>
      </c>
      <c r="T4069" s="3" t="n">
        <v>0.0048</v>
      </c>
    </row>
    <row r="4070" customFormat="false" ht="15" hidden="false" customHeight="true" outlineLevel="0" collapsed="false">
      <c r="A4070" s="3" t="s">
        <v>5231</v>
      </c>
      <c r="B4070" s="3" t="s">
        <v>437</v>
      </c>
      <c r="C4070" s="3" t="s">
        <v>60</v>
      </c>
      <c r="D4070" s="3" t="s">
        <v>103</v>
      </c>
      <c r="E4070" s="3" t="s">
        <v>24</v>
      </c>
      <c r="F4070" s="3" t="s">
        <v>62</v>
      </c>
      <c r="G4070" s="3" t="s">
        <v>49</v>
      </c>
      <c r="H4070" s="3" t="s">
        <v>56</v>
      </c>
      <c r="I4070" s="3" t="s">
        <v>57</v>
      </c>
      <c r="J4070" s="3" t="n">
        <v>45</v>
      </c>
      <c r="K4070" s="3" t="n">
        <v>7944.49</v>
      </c>
      <c r="L4070" s="3" t="n">
        <v>357502.05</v>
      </c>
      <c r="M4070" s="3" t="n">
        <v>0.0445</v>
      </c>
      <c r="N4070" s="3" t="n">
        <v>15908.84</v>
      </c>
      <c r="O4070" s="3" t="n">
        <v>341593.21</v>
      </c>
      <c r="P4070" s="3" t="n">
        <v>214501.23</v>
      </c>
      <c r="Q4070" s="3" t="n">
        <v>127091.98</v>
      </c>
      <c r="R4070" s="3" t="n">
        <v>0.3721</v>
      </c>
      <c r="S4070" s="3" t="n">
        <v>0.0432</v>
      </c>
      <c r="T4070" s="3" t="n">
        <v>0.0013</v>
      </c>
    </row>
    <row r="4071" customFormat="false" ht="15" hidden="false" customHeight="true" outlineLevel="0" collapsed="false">
      <c r="A4071" s="3" t="s">
        <v>5232</v>
      </c>
      <c r="B4071" s="3" t="s">
        <v>3616</v>
      </c>
      <c r="C4071" s="3" t="s">
        <v>53</v>
      </c>
      <c r="D4071" s="3" t="s">
        <v>61</v>
      </c>
      <c r="E4071" s="3" t="s">
        <v>33</v>
      </c>
      <c r="F4071" s="3" t="s">
        <v>62</v>
      </c>
      <c r="G4071" s="3" t="s">
        <v>76</v>
      </c>
      <c r="H4071" s="3" t="s">
        <v>42</v>
      </c>
      <c r="I4071" s="3" t="s">
        <v>43</v>
      </c>
      <c r="J4071" s="3" t="n">
        <v>39</v>
      </c>
      <c r="K4071" s="3" t="n">
        <v>1175</v>
      </c>
      <c r="L4071" s="3" t="n">
        <v>45825</v>
      </c>
      <c r="M4071" s="3" t="n">
        <v>0.0529</v>
      </c>
      <c r="N4071" s="3" t="n">
        <v>2424.14</v>
      </c>
      <c r="O4071" s="3" t="n">
        <v>43400.86</v>
      </c>
      <c r="P4071" s="3" t="n">
        <v>25203.75</v>
      </c>
      <c r="Q4071" s="3" t="n">
        <v>18197.11</v>
      </c>
      <c r="R4071" s="3" t="n">
        <v>0.4193</v>
      </c>
      <c r="S4071" s="3" t="n">
        <v>0.0478</v>
      </c>
      <c r="T4071" s="3" t="n">
        <v>0.0051</v>
      </c>
    </row>
    <row r="4072" customFormat="false" ht="15" hidden="false" customHeight="true" outlineLevel="0" collapsed="false">
      <c r="A4072" s="3" t="s">
        <v>5233</v>
      </c>
      <c r="B4072" s="3" t="s">
        <v>609</v>
      </c>
      <c r="C4072" s="3" t="s">
        <v>113</v>
      </c>
      <c r="D4072" s="3" t="s">
        <v>97</v>
      </c>
      <c r="E4072" s="3" t="s">
        <v>48</v>
      </c>
      <c r="F4072" s="3" t="s">
        <v>40</v>
      </c>
      <c r="G4072" s="3" t="s">
        <v>49</v>
      </c>
      <c r="H4072" s="3" t="s">
        <v>56</v>
      </c>
      <c r="I4072" s="3" t="s">
        <v>188</v>
      </c>
      <c r="J4072" s="3" t="n">
        <v>29</v>
      </c>
      <c r="K4072" s="3" t="n">
        <v>3165.73</v>
      </c>
      <c r="L4072" s="3" t="n">
        <v>91806.17</v>
      </c>
      <c r="M4072" s="3" t="n">
        <v>0.0779</v>
      </c>
      <c r="N4072" s="3" t="n">
        <v>7151.7</v>
      </c>
      <c r="O4072" s="3" t="n">
        <v>84654.47</v>
      </c>
      <c r="P4072" s="3" t="n">
        <v>55083.7</v>
      </c>
      <c r="Q4072" s="3" t="n">
        <v>29570.77</v>
      </c>
      <c r="R4072" s="3" t="n">
        <v>0.3493</v>
      </c>
      <c r="S4072" s="3" t="n">
        <v>0.0775</v>
      </c>
      <c r="T4072" s="3" t="n">
        <v>0.0004</v>
      </c>
    </row>
    <row r="4073" customFormat="false" ht="15" hidden="false" customHeight="true" outlineLevel="0" collapsed="false">
      <c r="A4073" s="3" t="s">
        <v>5234</v>
      </c>
      <c r="B4073" s="3" t="s">
        <v>1227</v>
      </c>
      <c r="C4073" s="3" t="s">
        <v>31</v>
      </c>
      <c r="D4073" s="3" t="s">
        <v>83</v>
      </c>
      <c r="E4073" s="3" t="s">
        <v>48</v>
      </c>
      <c r="F4073" s="3" t="s">
        <v>62</v>
      </c>
      <c r="G4073" s="3" t="s">
        <v>49</v>
      </c>
      <c r="H4073" s="3" t="s">
        <v>27</v>
      </c>
      <c r="I4073" s="3" t="s">
        <v>117</v>
      </c>
      <c r="J4073" s="3" t="n">
        <v>26</v>
      </c>
      <c r="K4073" s="3" t="n">
        <v>19171.12</v>
      </c>
      <c r="L4073" s="3" t="n">
        <v>498449.12</v>
      </c>
      <c r="M4073" s="3" t="n">
        <v>0.0778</v>
      </c>
      <c r="N4073" s="3" t="n">
        <v>38779.34</v>
      </c>
      <c r="O4073" s="3" t="n">
        <v>459669.78</v>
      </c>
      <c r="P4073" s="3" t="n">
        <v>309038.45</v>
      </c>
      <c r="Q4073" s="3" t="n">
        <v>150631.33</v>
      </c>
      <c r="R4073" s="3" t="n">
        <v>0.3277</v>
      </c>
      <c r="S4073" s="3" t="n">
        <v>0.0849</v>
      </c>
      <c r="T4073" s="3" t="n">
        <v>-0.0071</v>
      </c>
    </row>
    <row r="4074" customFormat="false" ht="15" hidden="false" customHeight="true" outlineLevel="0" collapsed="false">
      <c r="A4074" s="3" t="s">
        <v>5235</v>
      </c>
      <c r="B4074" s="3" t="s">
        <v>1038</v>
      </c>
      <c r="C4074" s="3" t="s">
        <v>53</v>
      </c>
      <c r="D4074" s="3" t="s">
        <v>69</v>
      </c>
      <c r="E4074" s="3" t="s">
        <v>39</v>
      </c>
      <c r="F4074" s="3" t="s">
        <v>70</v>
      </c>
      <c r="G4074" s="3" t="s">
        <v>26</v>
      </c>
      <c r="H4074" s="3" t="s">
        <v>64</v>
      </c>
      <c r="I4074" s="3" t="s">
        <v>145</v>
      </c>
      <c r="J4074" s="3" t="n">
        <v>35</v>
      </c>
      <c r="K4074" s="3" t="n">
        <v>10967.03</v>
      </c>
      <c r="L4074" s="3" t="n">
        <v>383846.05</v>
      </c>
      <c r="M4074" s="3" t="n">
        <v>0.0519</v>
      </c>
      <c r="N4074" s="3" t="n">
        <v>19921.61</v>
      </c>
      <c r="O4074" s="3" t="n">
        <v>363924.44</v>
      </c>
      <c r="P4074" s="3" t="n">
        <v>222630.71</v>
      </c>
      <c r="Q4074" s="3" t="n">
        <v>141293.73</v>
      </c>
      <c r="R4074" s="3" t="n">
        <v>0.3883</v>
      </c>
      <c r="S4074" s="3" t="n">
        <v>0.0426</v>
      </c>
      <c r="T4074" s="3" t="n">
        <v>0.0093</v>
      </c>
    </row>
    <row r="4075" customFormat="false" ht="15" hidden="false" customHeight="true" outlineLevel="0" collapsed="false">
      <c r="A4075" s="3" t="s">
        <v>5236</v>
      </c>
      <c r="B4075" s="3" t="s">
        <v>744</v>
      </c>
      <c r="C4075" s="3" t="s">
        <v>120</v>
      </c>
      <c r="D4075" s="3" t="s">
        <v>23</v>
      </c>
      <c r="E4075" s="3" t="s">
        <v>24</v>
      </c>
      <c r="F4075" s="3" t="s">
        <v>25</v>
      </c>
      <c r="G4075" s="3" t="s">
        <v>49</v>
      </c>
      <c r="H4075" s="3" t="s">
        <v>56</v>
      </c>
      <c r="I4075" s="3" t="s">
        <v>188</v>
      </c>
      <c r="J4075" s="3" t="n">
        <v>25</v>
      </c>
      <c r="K4075" s="3" t="n">
        <v>17112.81</v>
      </c>
      <c r="L4075" s="3" t="n">
        <v>427820.25</v>
      </c>
      <c r="M4075" s="3" t="n">
        <v>0.1706</v>
      </c>
      <c r="N4075" s="3" t="n">
        <v>72986.13</v>
      </c>
      <c r="O4075" s="3" t="n">
        <v>354834.12</v>
      </c>
      <c r="P4075" s="3" t="n">
        <v>256692.15</v>
      </c>
      <c r="Q4075" s="3" t="n">
        <v>98141.97</v>
      </c>
      <c r="R4075" s="3" t="n">
        <v>0.2766</v>
      </c>
      <c r="S4075" s="3" t="n">
        <v>0.1761</v>
      </c>
      <c r="T4075" s="3" t="n">
        <v>-0.0055</v>
      </c>
    </row>
    <row r="4076" customFormat="false" ht="15" hidden="false" customHeight="true" outlineLevel="0" collapsed="false">
      <c r="A4076" s="3" t="s">
        <v>5237</v>
      </c>
      <c r="B4076" s="3" t="s">
        <v>471</v>
      </c>
      <c r="C4076" s="3" t="s">
        <v>93</v>
      </c>
      <c r="D4076" s="3" t="s">
        <v>97</v>
      </c>
      <c r="E4076" s="3" t="s">
        <v>48</v>
      </c>
      <c r="F4076" s="3" t="s">
        <v>40</v>
      </c>
      <c r="G4076" s="3" t="s">
        <v>76</v>
      </c>
      <c r="H4076" s="3" t="s">
        <v>77</v>
      </c>
      <c r="I4076" s="3" t="s">
        <v>131</v>
      </c>
      <c r="J4076" s="3" t="n">
        <v>39</v>
      </c>
      <c r="K4076" s="3" t="n">
        <v>5331.42</v>
      </c>
      <c r="L4076" s="3" t="n">
        <v>207925.38</v>
      </c>
      <c r="M4076" s="3" t="n">
        <v>0.0453</v>
      </c>
      <c r="N4076" s="3" t="n">
        <v>9419.02</v>
      </c>
      <c r="O4076" s="3" t="n">
        <v>198506.36</v>
      </c>
      <c r="P4076" s="3" t="n">
        <v>141389.26</v>
      </c>
      <c r="Q4076" s="3" t="n">
        <v>57117.1</v>
      </c>
      <c r="R4076" s="3" t="n">
        <v>0.2877</v>
      </c>
      <c r="S4076" s="3" t="n">
        <v>0.042</v>
      </c>
      <c r="T4076" s="3" t="n">
        <v>0.0033</v>
      </c>
    </row>
    <row r="4077" customFormat="false" ht="15" hidden="false" customHeight="true" outlineLevel="0" collapsed="false">
      <c r="A4077" s="3" t="s">
        <v>5238</v>
      </c>
      <c r="B4077" s="3" t="s">
        <v>3503</v>
      </c>
      <c r="C4077" s="3" t="s">
        <v>31</v>
      </c>
      <c r="D4077" s="3" t="s">
        <v>75</v>
      </c>
      <c r="E4077" s="3" t="s">
        <v>39</v>
      </c>
      <c r="F4077" s="3" t="s">
        <v>25</v>
      </c>
      <c r="G4077" s="3" t="s">
        <v>63</v>
      </c>
      <c r="H4077" s="3" t="s">
        <v>56</v>
      </c>
      <c r="I4077" s="3" t="s">
        <v>188</v>
      </c>
      <c r="J4077" s="3" t="n">
        <v>44</v>
      </c>
      <c r="K4077" s="3" t="n">
        <v>14827.32</v>
      </c>
      <c r="L4077" s="3" t="n">
        <v>652402.08</v>
      </c>
      <c r="M4077" s="3" t="n">
        <v>0.1395</v>
      </c>
      <c r="N4077" s="3" t="n">
        <v>91010.09</v>
      </c>
      <c r="O4077" s="3" t="n">
        <v>561391.99</v>
      </c>
      <c r="P4077" s="3" t="n">
        <v>391441.25</v>
      </c>
      <c r="Q4077" s="3" t="n">
        <v>169950.74</v>
      </c>
      <c r="R4077" s="3" t="n">
        <v>0.3027</v>
      </c>
      <c r="S4077" s="3" t="n">
        <v>0.1336</v>
      </c>
      <c r="T4077" s="3" t="n">
        <v>0.0059</v>
      </c>
    </row>
    <row r="4078" customFormat="false" ht="15" hidden="false" customHeight="true" outlineLevel="0" collapsed="false">
      <c r="A4078" s="3" t="s">
        <v>5239</v>
      </c>
      <c r="B4078" s="3" t="s">
        <v>3960</v>
      </c>
      <c r="C4078" s="3" t="s">
        <v>22</v>
      </c>
      <c r="D4078" s="3" t="s">
        <v>103</v>
      </c>
      <c r="E4078" s="3" t="s">
        <v>24</v>
      </c>
      <c r="F4078" s="3" t="s">
        <v>62</v>
      </c>
      <c r="G4078" s="3" t="s">
        <v>55</v>
      </c>
      <c r="H4078" s="3" t="s">
        <v>27</v>
      </c>
      <c r="I4078" s="3" t="s">
        <v>173</v>
      </c>
      <c r="J4078" s="3" t="n">
        <v>28</v>
      </c>
      <c r="K4078" s="3" t="n">
        <v>22642.38</v>
      </c>
      <c r="L4078" s="3" t="n">
        <v>633986.64</v>
      </c>
      <c r="M4078" s="3" t="n">
        <v>0.0541</v>
      </c>
      <c r="N4078" s="3" t="n">
        <v>34298.68</v>
      </c>
      <c r="O4078" s="3" t="n">
        <v>599687.96</v>
      </c>
      <c r="P4078" s="3" t="n">
        <v>393071.72</v>
      </c>
      <c r="Q4078" s="3" t="n">
        <v>206616.24</v>
      </c>
      <c r="R4078" s="3" t="n">
        <v>0.3445</v>
      </c>
      <c r="S4078" s="3" t="n">
        <v>0.0447</v>
      </c>
      <c r="T4078" s="3" t="n">
        <v>0.0094</v>
      </c>
    </row>
    <row r="4079" customFormat="false" ht="15" hidden="false" customHeight="true" outlineLevel="0" collapsed="false">
      <c r="A4079" s="3" t="s">
        <v>5240</v>
      </c>
      <c r="B4079" s="3" t="s">
        <v>1808</v>
      </c>
      <c r="C4079" s="3" t="s">
        <v>120</v>
      </c>
      <c r="D4079" s="3" t="s">
        <v>32</v>
      </c>
      <c r="E4079" s="3" t="s">
        <v>33</v>
      </c>
      <c r="F4079" s="3" t="s">
        <v>25</v>
      </c>
      <c r="G4079" s="3" t="s">
        <v>116</v>
      </c>
      <c r="H4079" s="3" t="s">
        <v>64</v>
      </c>
      <c r="I4079" s="3" t="s">
        <v>90</v>
      </c>
      <c r="J4079" s="3" t="n">
        <v>4</v>
      </c>
      <c r="K4079" s="3" t="n">
        <v>8460.46</v>
      </c>
      <c r="L4079" s="3" t="n">
        <v>33841.84</v>
      </c>
      <c r="M4079" s="3" t="n">
        <v>0.2162</v>
      </c>
      <c r="N4079" s="3" t="n">
        <v>7316.61</v>
      </c>
      <c r="O4079" s="3" t="n">
        <v>26525.23</v>
      </c>
      <c r="P4079" s="3" t="n">
        <v>19628.27</v>
      </c>
      <c r="Q4079" s="3" t="n">
        <v>6896.96</v>
      </c>
      <c r="R4079" s="3" t="n">
        <v>0.26</v>
      </c>
      <c r="S4079" s="3" t="n">
        <v>0.2273</v>
      </c>
      <c r="T4079" s="3" t="n">
        <v>-0.0111</v>
      </c>
    </row>
    <row r="4080" customFormat="false" ht="15" hidden="false" customHeight="true" outlineLevel="0" collapsed="false">
      <c r="A4080" s="3" t="s">
        <v>5241</v>
      </c>
      <c r="B4080" s="3" t="s">
        <v>477</v>
      </c>
      <c r="C4080" s="3" t="s">
        <v>46</v>
      </c>
      <c r="D4080" s="3" t="s">
        <v>69</v>
      </c>
      <c r="E4080" s="3" t="s">
        <v>39</v>
      </c>
      <c r="F4080" s="3" t="s">
        <v>70</v>
      </c>
      <c r="G4080" s="3" t="s">
        <v>84</v>
      </c>
      <c r="H4080" s="3" t="s">
        <v>56</v>
      </c>
      <c r="I4080" s="3" t="s">
        <v>121</v>
      </c>
      <c r="J4080" s="3" t="n">
        <v>9</v>
      </c>
      <c r="K4080" s="3" t="n">
        <v>4541.53</v>
      </c>
      <c r="L4080" s="3" t="n">
        <v>40873.77</v>
      </c>
      <c r="M4080" s="3" t="n">
        <v>0.0362</v>
      </c>
      <c r="N4080" s="3" t="n">
        <v>1479.63</v>
      </c>
      <c r="O4080" s="3" t="n">
        <v>39394.14</v>
      </c>
      <c r="P4080" s="3" t="n">
        <v>24524.26</v>
      </c>
      <c r="Q4080" s="3" t="n">
        <v>14869.88</v>
      </c>
      <c r="R4080" s="3" t="n">
        <v>0.3775</v>
      </c>
      <c r="S4080" s="3" t="n">
        <v>0.0359</v>
      </c>
      <c r="T4080" s="3" t="n">
        <v>0.0003</v>
      </c>
    </row>
    <row r="4081" customFormat="false" ht="15" hidden="false" customHeight="true" outlineLevel="0" collapsed="false">
      <c r="A4081" s="3" t="s">
        <v>5242</v>
      </c>
      <c r="B4081" s="3" t="s">
        <v>1090</v>
      </c>
      <c r="C4081" s="3" t="s">
        <v>126</v>
      </c>
      <c r="D4081" s="3" t="s">
        <v>38</v>
      </c>
      <c r="E4081" s="3" t="s">
        <v>39</v>
      </c>
      <c r="F4081" s="3" t="s">
        <v>40</v>
      </c>
      <c r="G4081" s="3" t="s">
        <v>49</v>
      </c>
      <c r="H4081" s="3" t="s">
        <v>27</v>
      </c>
      <c r="I4081" s="3" t="s">
        <v>50</v>
      </c>
      <c r="J4081" s="3" t="n">
        <v>25</v>
      </c>
      <c r="K4081" s="3" t="n">
        <v>31392.31</v>
      </c>
      <c r="L4081" s="3" t="n">
        <v>784807.75</v>
      </c>
      <c r="M4081" s="3" t="n">
        <v>0.0386</v>
      </c>
      <c r="N4081" s="3" t="n">
        <v>30293.58</v>
      </c>
      <c r="O4081" s="3" t="n">
        <v>754514.17</v>
      </c>
      <c r="P4081" s="3" t="n">
        <v>486580.8</v>
      </c>
      <c r="Q4081" s="3" t="n">
        <v>267933.37</v>
      </c>
      <c r="R4081" s="3" t="n">
        <v>0.3551</v>
      </c>
      <c r="S4081" s="3" t="n">
        <v>0.0403</v>
      </c>
      <c r="T4081" s="3" t="n">
        <v>-0.0017</v>
      </c>
    </row>
    <row r="4082" customFormat="false" ht="15" hidden="false" customHeight="true" outlineLevel="0" collapsed="false">
      <c r="A4082" s="3" t="s">
        <v>5243</v>
      </c>
      <c r="B4082" s="3" t="s">
        <v>36</v>
      </c>
      <c r="C4082" s="3" t="s">
        <v>37</v>
      </c>
      <c r="D4082" s="3" t="s">
        <v>97</v>
      </c>
      <c r="E4082" s="3" t="s">
        <v>48</v>
      </c>
      <c r="F4082" s="3" t="s">
        <v>40</v>
      </c>
      <c r="G4082" s="3" t="s">
        <v>26</v>
      </c>
      <c r="H4082" s="3" t="s">
        <v>42</v>
      </c>
      <c r="I4082" s="3" t="s">
        <v>134</v>
      </c>
      <c r="J4082" s="3" t="n">
        <v>3</v>
      </c>
      <c r="K4082" s="3" t="n">
        <v>1140.05</v>
      </c>
      <c r="L4082" s="3" t="n">
        <v>3420.15</v>
      </c>
      <c r="M4082" s="3" t="n">
        <v>0.0347</v>
      </c>
      <c r="N4082" s="3" t="n">
        <v>118.68</v>
      </c>
      <c r="O4082" s="3" t="n">
        <v>3301.47</v>
      </c>
      <c r="P4082" s="3" t="n">
        <v>1881.08</v>
      </c>
      <c r="Q4082" s="3" t="n">
        <v>1420.39</v>
      </c>
      <c r="R4082" s="3" t="n">
        <v>0.4302</v>
      </c>
      <c r="S4082" s="3" t="n">
        <v>0.0322</v>
      </c>
      <c r="T4082" s="3" t="n">
        <v>0.0025</v>
      </c>
    </row>
    <row r="4083" customFormat="false" ht="15" hidden="false" customHeight="true" outlineLevel="0" collapsed="false">
      <c r="A4083" s="3" t="s">
        <v>5244</v>
      </c>
      <c r="B4083" s="3" t="s">
        <v>2586</v>
      </c>
      <c r="C4083" s="3" t="s">
        <v>113</v>
      </c>
      <c r="D4083" s="3" t="s">
        <v>69</v>
      </c>
      <c r="E4083" s="3" t="s">
        <v>39</v>
      </c>
      <c r="F4083" s="3" t="s">
        <v>70</v>
      </c>
      <c r="G4083" s="3" t="s">
        <v>71</v>
      </c>
      <c r="H4083" s="3" t="s">
        <v>64</v>
      </c>
      <c r="I4083" s="3" t="s">
        <v>108</v>
      </c>
      <c r="J4083" s="3" t="n">
        <v>34</v>
      </c>
      <c r="K4083" s="3" t="n">
        <v>6175.26</v>
      </c>
      <c r="L4083" s="3" t="n">
        <v>209958.84</v>
      </c>
      <c r="M4083" s="3" t="n">
        <v>0.0378</v>
      </c>
      <c r="N4083" s="3" t="n">
        <v>7936.44</v>
      </c>
      <c r="O4083" s="3" t="n">
        <v>202022.4</v>
      </c>
      <c r="P4083" s="3" t="n">
        <v>121776.13</v>
      </c>
      <c r="Q4083" s="3" t="n">
        <v>80246.27</v>
      </c>
      <c r="R4083" s="3" t="n">
        <v>0.3972</v>
      </c>
      <c r="S4083" s="3" t="n">
        <v>0.0385</v>
      </c>
      <c r="T4083" s="3" t="n">
        <v>-0.0007</v>
      </c>
    </row>
    <row r="4084" customFormat="false" ht="15" hidden="false" customHeight="true" outlineLevel="0" collapsed="false">
      <c r="A4084" s="3" t="s">
        <v>5245</v>
      </c>
      <c r="B4084" s="3" t="s">
        <v>5246</v>
      </c>
      <c r="C4084" s="3" t="s">
        <v>68</v>
      </c>
      <c r="D4084" s="3" t="s">
        <v>47</v>
      </c>
      <c r="E4084" s="3" t="s">
        <v>48</v>
      </c>
      <c r="F4084" s="3" t="s">
        <v>25</v>
      </c>
      <c r="G4084" s="3" t="s">
        <v>34</v>
      </c>
      <c r="H4084" s="3" t="s">
        <v>64</v>
      </c>
      <c r="I4084" s="3" t="s">
        <v>145</v>
      </c>
      <c r="J4084" s="3" t="n">
        <v>6</v>
      </c>
      <c r="K4084" s="3" t="n">
        <v>9062.37</v>
      </c>
      <c r="L4084" s="3" t="n">
        <v>54374.22</v>
      </c>
      <c r="M4084" s="3" t="n">
        <v>0.141</v>
      </c>
      <c r="N4084" s="3" t="n">
        <v>7666.77</v>
      </c>
      <c r="O4084" s="3" t="n">
        <v>46707.45</v>
      </c>
      <c r="P4084" s="3" t="n">
        <v>31537.05</v>
      </c>
      <c r="Q4084" s="3" t="n">
        <v>15170.4</v>
      </c>
      <c r="R4084" s="3" t="n">
        <v>0.3248</v>
      </c>
      <c r="S4084" s="3" t="n">
        <v>0.1261</v>
      </c>
      <c r="T4084" s="3" t="n">
        <v>0.0149</v>
      </c>
    </row>
    <row r="4085" customFormat="false" ht="15" hidden="false" customHeight="true" outlineLevel="0" collapsed="false">
      <c r="A4085" s="3" t="s">
        <v>5247</v>
      </c>
      <c r="B4085" s="3" t="s">
        <v>1148</v>
      </c>
      <c r="C4085" s="3" t="s">
        <v>68</v>
      </c>
      <c r="D4085" s="3" t="s">
        <v>38</v>
      </c>
      <c r="E4085" s="3" t="s">
        <v>39</v>
      </c>
      <c r="F4085" s="3" t="s">
        <v>40</v>
      </c>
      <c r="G4085" s="3" t="s">
        <v>116</v>
      </c>
      <c r="H4085" s="3" t="s">
        <v>56</v>
      </c>
      <c r="I4085" s="3" t="s">
        <v>57</v>
      </c>
      <c r="J4085" s="3" t="n">
        <v>11</v>
      </c>
      <c r="K4085" s="3" t="n">
        <v>12761</v>
      </c>
      <c r="L4085" s="3" t="n">
        <v>140371</v>
      </c>
      <c r="M4085" s="3" t="n">
        <v>0.0884</v>
      </c>
      <c r="N4085" s="3" t="n">
        <v>12408.8</v>
      </c>
      <c r="O4085" s="3" t="n">
        <v>127962.2</v>
      </c>
      <c r="P4085" s="3" t="n">
        <v>84222.6</v>
      </c>
      <c r="Q4085" s="3" t="n">
        <v>43739.6</v>
      </c>
      <c r="R4085" s="3" t="n">
        <v>0.3418</v>
      </c>
      <c r="S4085" s="3" t="n">
        <v>0.0786</v>
      </c>
      <c r="T4085" s="3" t="n">
        <v>0.0098</v>
      </c>
    </row>
    <row r="4086" customFormat="false" ht="15" hidden="false" customHeight="true" outlineLevel="0" collapsed="false">
      <c r="A4086" s="3" t="s">
        <v>5248</v>
      </c>
      <c r="B4086" s="3" t="s">
        <v>3040</v>
      </c>
      <c r="C4086" s="3" t="s">
        <v>113</v>
      </c>
      <c r="D4086" s="3" t="s">
        <v>103</v>
      </c>
      <c r="E4086" s="3" t="s">
        <v>24</v>
      </c>
      <c r="F4086" s="3" t="s">
        <v>62</v>
      </c>
      <c r="G4086" s="3" t="s">
        <v>76</v>
      </c>
      <c r="H4086" s="3" t="s">
        <v>27</v>
      </c>
      <c r="I4086" s="3" t="s">
        <v>173</v>
      </c>
      <c r="J4086" s="3" t="n">
        <v>49</v>
      </c>
      <c r="K4086" s="3" t="n">
        <v>19810.32</v>
      </c>
      <c r="L4086" s="3" t="n">
        <v>970705.68</v>
      </c>
      <c r="M4086" s="3" t="n">
        <v>0.0777</v>
      </c>
      <c r="N4086" s="3" t="n">
        <v>75423.83</v>
      </c>
      <c r="O4086" s="3" t="n">
        <v>895281.85</v>
      </c>
      <c r="P4086" s="3" t="n">
        <v>601837.52</v>
      </c>
      <c r="Q4086" s="3" t="n">
        <v>293444.33</v>
      </c>
      <c r="R4086" s="3" t="n">
        <v>0.3278</v>
      </c>
      <c r="S4086" s="3" t="n">
        <v>0.0794</v>
      </c>
      <c r="T4086" s="3" t="n">
        <v>-0.0017</v>
      </c>
    </row>
    <row r="4087" customFormat="false" ht="15" hidden="false" customHeight="true" outlineLevel="0" collapsed="false">
      <c r="A4087" s="3" t="s">
        <v>5249</v>
      </c>
      <c r="B4087" s="3" t="s">
        <v>1174</v>
      </c>
      <c r="C4087" s="3" t="s">
        <v>93</v>
      </c>
      <c r="D4087" s="3" t="s">
        <v>69</v>
      </c>
      <c r="E4087" s="3" t="s">
        <v>39</v>
      </c>
      <c r="F4087" s="3" t="s">
        <v>70</v>
      </c>
      <c r="G4087" s="3" t="s">
        <v>55</v>
      </c>
      <c r="H4087" s="3" t="s">
        <v>64</v>
      </c>
      <c r="I4087" s="3" t="s">
        <v>65</v>
      </c>
      <c r="J4087" s="3" t="n">
        <v>37</v>
      </c>
      <c r="K4087" s="3" t="n">
        <v>8756.86</v>
      </c>
      <c r="L4087" s="3" t="n">
        <v>324003.82</v>
      </c>
      <c r="M4087" s="3" t="n">
        <v>0.0604</v>
      </c>
      <c r="N4087" s="3" t="n">
        <v>19569.83</v>
      </c>
      <c r="O4087" s="3" t="n">
        <v>304433.99</v>
      </c>
      <c r="P4087" s="3" t="n">
        <v>187922.22</v>
      </c>
      <c r="Q4087" s="3" t="n">
        <v>116511.77</v>
      </c>
      <c r="R4087" s="3" t="n">
        <v>0.3827</v>
      </c>
      <c r="S4087" s="3" t="n">
        <v>0.0488</v>
      </c>
      <c r="T4087" s="3" t="n">
        <v>0.0116</v>
      </c>
    </row>
    <row r="4088" customFormat="false" ht="15" hidden="false" customHeight="true" outlineLevel="0" collapsed="false">
      <c r="A4088" s="3" t="s">
        <v>5250</v>
      </c>
      <c r="B4088" s="3" t="s">
        <v>678</v>
      </c>
      <c r="C4088" s="3" t="s">
        <v>156</v>
      </c>
      <c r="D4088" s="3" t="s">
        <v>54</v>
      </c>
      <c r="E4088" s="3" t="s">
        <v>24</v>
      </c>
      <c r="F4088" s="3" t="s">
        <v>40</v>
      </c>
      <c r="G4088" s="3" t="s">
        <v>76</v>
      </c>
      <c r="H4088" s="3" t="s">
        <v>42</v>
      </c>
      <c r="I4088" s="3" t="s">
        <v>43</v>
      </c>
      <c r="J4088" s="3" t="n">
        <v>13</v>
      </c>
      <c r="K4088" s="3" t="n">
        <v>3747.55</v>
      </c>
      <c r="L4088" s="3" t="n">
        <v>48718.15</v>
      </c>
      <c r="M4088" s="3" t="n">
        <v>0.0343</v>
      </c>
      <c r="N4088" s="3" t="n">
        <v>1671.03</v>
      </c>
      <c r="O4088" s="3" t="n">
        <v>47047.12</v>
      </c>
      <c r="P4088" s="3" t="n">
        <v>26794.98</v>
      </c>
      <c r="Q4088" s="3" t="n">
        <v>20252.14</v>
      </c>
      <c r="R4088" s="3" t="n">
        <v>0.4305</v>
      </c>
      <c r="S4088" s="3" t="n">
        <v>0.0323</v>
      </c>
      <c r="T4088" s="3" t="n">
        <v>0.002</v>
      </c>
    </row>
    <row r="4089" customFormat="false" ht="15" hidden="false" customHeight="true" outlineLevel="0" collapsed="false">
      <c r="A4089" s="3" t="s">
        <v>5251</v>
      </c>
      <c r="B4089" s="3" t="s">
        <v>390</v>
      </c>
      <c r="C4089" s="3" t="s">
        <v>120</v>
      </c>
      <c r="D4089" s="3" t="s">
        <v>61</v>
      </c>
      <c r="E4089" s="3" t="s">
        <v>33</v>
      </c>
      <c r="F4089" s="3" t="s">
        <v>62</v>
      </c>
      <c r="G4089" s="3" t="s">
        <v>34</v>
      </c>
      <c r="H4089" s="3" t="s">
        <v>56</v>
      </c>
      <c r="I4089" s="3" t="s">
        <v>188</v>
      </c>
      <c r="J4089" s="3" t="n">
        <v>45</v>
      </c>
      <c r="K4089" s="3" t="n">
        <v>12842.85</v>
      </c>
      <c r="L4089" s="3" t="n">
        <v>577928.25</v>
      </c>
      <c r="M4089" s="3" t="n">
        <v>0.122</v>
      </c>
      <c r="N4089" s="3" t="n">
        <v>70507.25</v>
      </c>
      <c r="O4089" s="3" t="n">
        <v>507421</v>
      </c>
      <c r="P4089" s="3" t="n">
        <v>346756.95</v>
      </c>
      <c r="Q4089" s="3" t="n">
        <v>160664.05</v>
      </c>
      <c r="R4089" s="3" t="n">
        <v>0.3166</v>
      </c>
      <c r="S4089" s="3" t="n">
        <v>0.1253</v>
      </c>
      <c r="T4089" s="3" t="n">
        <v>-0.0033</v>
      </c>
    </row>
    <row r="4090" customFormat="false" ht="15" hidden="false" customHeight="true" outlineLevel="0" collapsed="false">
      <c r="A4090" s="3" t="s">
        <v>5252</v>
      </c>
      <c r="B4090" s="3" t="s">
        <v>310</v>
      </c>
      <c r="C4090" s="3" t="s">
        <v>53</v>
      </c>
      <c r="D4090" s="3" t="s">
        <v>83</v>
      </c>
      <c r="E4090" s="3" t="s">
        <v>48</v>
      </c>
      <c r="F4090" s="3" t="s">
        <v>62</v>
      </c>
      <c r="G4090" s="3" t="s">
        <v>71</v>
      </c>
      <c r="H4090" s="3" t="s">
        <v>77</v>
      </c>
      <c r="I4090" s="3" t="s">
        <v>85</v>
      </c>
      <c r="J4090" s="3" t="n">
        <v>28</v>
      </c>
      <c r="K4090" s="3" t="n">
        <v>2258.94</v>
      </c>
      <c r="L4090" s="3" t="n">
        <v>63250.32</v>
      </c>
      <c r="M4090" s="3" t="n">
        <v>0.0477</v>
      </c>
      <c r="N4090" s="3" t="n">
        <v>3017.04</v>
      </c>
      <c r="O4090" s="3" t="n">
        <v>60233.28</v>
      </c>
      <c r="P4090" s="3" t="n">
        <v>43010.22</v>
      </c>
      <c r="Q4090" s="3" t="n">
        <v>17223.06</v>
      </c>
      <c r="R4090" s="3" t="n">
        <v>0.2859</v>
      </c>
      <c r="S4090" s="3" t="n">
        <v>0.0445</v>
      </c>
      <c r="T4090" s="3" t="n">
        <v>0.0032</v>
      </c>
    </row>
    <row r="4091" customFormat="false" ht="15" hidden="false" customHeight="true" outlineLevel="0" collapsed="false">
      <c r="A4091" s="3" t="s">
        <v>5253</v>
      </c>
      <c r="B4091" s="3" t="s">
        <v>4078</v>
      </c>
      <c r="C4091" s="3" t="s">
        <v>126</v>
      </c>
      <c r="D4091" s="3" t="s">
        <v>61</v>
      </c>
      <c r="E4091" s="3" t="s">
        <v>33</v>
      </c>
      <c r="F4091" s="3" t="s">
        <v>62</v>
      </c>
      <c r="G4091" s="3" t="s">
        <v>84</v>
      </c>
      <c r="H4091" s="3" t="s">
        <v>77</v>
      </c>
      <c r="I4091" s="3" t="s">
        <v>131</v>
      </c>
      <c r="J4091" s="3" t="n">
        <v>15</v>
      </c>
      <c r="K4091" s="3" t="n">
        <v>2913.45</v>
      </c>
      <c r="L4091" s="3" t="n">
        <v>43701.75</v>
      </c>
      <c r="M4091" s="3" t="n">
        <v>0.0469</v>
      </c>
      <c r="N4091" s="3" t="n">
        <v>2049.61</v>
      </c>
      <c r="O4091" s="3" t="n">
        <v>41652.14</v>
      </c>
      <c r="P4091" s="3" t="n">
        <v>29717.19</v>
      </c>
      <c r="Q4091" s="3" t="n">
        <v>11934.95</v>
      </c>
      <c r="R4091" s="3" t="n">
        <v>0.2865</v>
      </c>
      <c r="S4091" s="3" t="n">
        <v>0.0453</v>
      </c>
      <c r="T4091" s="3" t="n">
        <v>0.0016</v>
      </c>
    </row>
    <row r="4092" customFormat="false" ht="15" hidden="false" customHeight="true" outlineLevel="0" collapsed="false">
      <c r="A4092" s="3" t="s">
        <v>5254</v>
      </c>
      <c r="B4092" s="3" t="s">
        <v>3854</v>
      </c>
      <c r="C4092" s="3" t="s">
        <v>53</v>
      </c>
      <c r="D4092" s="3" t="s">
        <v>61</v>
      </c>
      <c r="E4092" s="3" t="s">
        <v>33</v>
      </c>
      <c r="F4092" s="3" t="s">
        <v>62</v>
      </c>
      <c r="G4092" s="3" t="s">
        <v>116</v>
      </c>
      <c r="H4092" s="3" t="s">
        <v>42</v>
      </c>
      <c r="I4092" s="3" t="s">
        <v>134</v>
      </c>
      <c r="J4092" s="3" t="n">
        <v>25</v>
      </c>
      <c r="K4092" s="3" t="n">
        <v>1129.04</v>
      </c>
      <c r="L4092" s="3" t="n">
        <v>28226</v>
      </c>
      <c r="M4092" s="3" t="n">
        <v>0.0745</v>
      </c>
      <c r="N4092" s="3" t="n">
        <v>2102.84</v>
      </c>
      <c r="O4092" s="3" t="n">
        <v>26123.16</v>
      </c>
      <c r="P4092" s="3" t="n">
        <v>15524.3</v>
      </c>
      <c r="Q4092" s="3" t="n">
        <v>10598.86</v>
      </c>
      <c r="R4092" s="3" t="n">
        <v>0.4057</v>
      </c>
      <c r="S4092" s="3" t="n">
        <v>0.0726</v>
      </c>
      <c r="T4092" s="3" t="n">
        <v>0.0019</v>
      </c>
    </row>
    <row r="4093" customFormat="false" ht="15" hidden="false" customHeight="true" outlineLevel="0" collapsed="false">
      <c r="A4093" s="3" t="s">
        <v>5255</v>
      </c>
      <c r="B4093" s="3" t="s">
        <v>543</v>
      </c>
      <c r="C4093" s="3" t="s">
        <v>37</v>
      </c>
      <c r="D4093" s="3" t="s">
        <v>38</v>
      </c>
      <c r="E4093" s="3" t="s">
        <v>39</v>
      </c>
      <c r="F4093" s="3" t="s">
        <v>40</v>
      </c>
      <c r="G4093" s="3" t="s">
        <v>41</v>
      </c>
      <c r="H4093" s="3" t="s">
        <v>64</v>
      </c>
      <c r="I4093" s="3" t="s">
        <v>145</v>
      </c>
      <c r="J4093" s="3" t="n">
        <v>4</v>
      </c>
      <c r="K4093" s="3" t="n">
        <v>7164.04</v>
      </c>
      <c r="L4093" s="3" t="n">
        <v>28656.16</v>
      </c>
      <c r="M4093" s="3" t="n">
        <v>0.1301</v>
      </c>
      <c r="N4093" s="3" t="n">
        <v>3728.17</v>
      </c>
      <c r="O4093" s="3" t="n">
        <v>24927.99</v>
      </c>
      <c r="P4093" s="3" t="n">
        <v>16620.57</v>
      </c>
      <c r="Q4093" s="3" t="n">
        <v>8307.42</v>
      </c>
      <c r="R4093" s="3" t="n">
        <v>0.3333</v>
      </c>
      <c r="S4093" s="3" t="n">
        <v>0.1064</v>
      </c>
      <c r="T4093" s="3" t="n">
        <v>0.0237</v>
      </c>
    </row>
    <row r="4094" customFormat="false" ht="15" hidden="false" customHeight="true" outlineLevel="0" collapsed="false">
      <c r="A4094" s="3" t="s">
        <v>5256</v>
      </c>
      <c r="B4094" s="3" t="s">
        <v>1198</v>
      </c>
      <c r="C4094" s="3" t="s">
        <v>31</v>
      </c>
      <c r="D4094" s="3" t="s">
        <v>23</v>
      </c>
      <c r="E4094" s="3" t="s">
        <v>24</v>
      </c>
      <c r="F4094" s="3" t="s">
        <v>25</v>
      </c>
      <c r="G4094" s="3" t="s">
        <v>76</v>
      </c>
      <c r="H4094" s="3" t="s">
        <v>27</v>
      </c>
      <c r="I4094" s="3" t="s">
        <v>117</v>
      </c>
      <c r="J4094" s="3" t="n">
        <v>15</v>
      </c>
      <c r="K4094" s="3" t="n">
        <v>34576.21</v>
      </c>
      <c r="L4094" s="3" t="n">
        <v>518643.15</v>
      </c>
      <c r="M4094" s="3" t="n">
        <v>0.1474</v>
      </c>
      <c r="N4094" s="3" t="n">
        <v>76448</v>
      </c>
      <c r="O4094" s="3" t="n">
        <v>442195.15</v>
      </c>
      <c r="P4094" s="3" t="n">
        <v>321558.75</v>
      </c>
      <c r="Q4094" s="3" t="n">
        <v>120636.4</v>
      </c>
      <c r="R4094" s="3" t="n">
        <v>0.2728</v>
      </c>
      <c r="S4094" s="3" t="n">
        <v>0.1249</v>
      </c>
      <c r="T4094" s="3" t="n">
        <v>0.0225</v>
      </c>
    </row>
    <row r="4095" customFormat="false" ht="15" hidden="false" customHeight="true" outlineLevel="0" collapsed="false">
      <c r="A4095" s="3" t="s">
        <v>5257</v>
      </c>
      <c r="B4095" s="3" t="s">
        <v>500</v>
      </c>
      <c r="C4095" s="3" t="s">
        <v>126</v>
      </c>
      <c r="D4095" s="3" t="s">
        <v>38</v>
      </c>
      <c r="E4095" s="3" t="s">
        <v>39</v>
      </c>
      <c r="F4095" s="3" t="s">
        <v>40</v>
      </c>
      <c r="G4095" s="3" t="s">
        <v>71</v>
      </c>
      <c r="H4095" s="3" t="s">
        <v>56</v>
      </c>
      <c r="I4095" s="3" t="s">
        <v>121</v>
      </c>
      <c r="J4095" s="3" t="n">
        <v>33</v>
      </c>
      <c r="K4095" s="3" t="n">
        <v>16165.04</v>
      </c>
      <c r="L4095" s="3" t="n">
        <v>533446.32</v>
      </c>
      <c r="M4095" s="3" t="n">
        <v>0.039</v>
      </c>
      <c r="N4095" s="3" t="n">
        <v>20804.41</v>
      </c>
      <c r="O4095" s="3" t="n">
        <v>512641.91</v>
      </c>
      <c r="P4095" s="3" t="n">
        <v>320067.79</v>
      </c>
      <c r="Q4095" s="3" t="n">
        <v>192574.12</v>
      </c>
      <c r="R4095" s="3" t="n">
        <v>0.3757</v>
      </c>
      <c r="S4095" s="3" t="n">
        <v>0.0408</v>
      </c>
      <c r="T4095" s="3" t="n">
        <v>-0.0018</v>
      </c>
    </row>
    <row r="4096" customFormat="false" ht="15" hidden="false" customHeight="true" outlineLevel="0" collapsed="false">
      <c r="A4096" s="3" t="s">
        <v>5258</v>
      </c>
      <c r="B4096" s="3" t="s">
        <v>2339</v>
      </c>
      <c r="C4096" s="3" t="s">
        <v>120</v>
      </c>
      <c r="D4096" s="3" t="s">
        <v>83</v>
      </c>
      <c r="E4096" s="3" t="s">
        <v>48</v>
      </c>
      <c r="F4096" s="3" t="s">
        <v>62</v>
      </c>
      <c r="G4096" s="3" t="s">
        <v>26</v>
      </c>
      <c r="H4096" s="3" t="s">
        <v>64</v>
      </c>
      <c r="I4096" s="3" t="s">
        <v>108</v>
      </c>
      <c r="J4096" s="3" t="n">
        <v>37</v>
      </c>
      <c r="K4096" s="3" t="n">
        <v>10961.09</v>
      </c>
      <c r="L4096" s="3" t="n">
        <v>405560.33</v>
      </c>
      <c r="M4096" s="3" t="n">
        <v>0.0335</v>
      </c>
      <c r="N4096" s="3" t="n">
        <v>13586.27</v>
      </c>
      <c r="O4096" s="3" t="n">
        <v>391974.06</v>
      </c>
      <c r="P4096" s="3" t="n">
        <v>235224.99</v>
      </c>
      <c r="Q4096" s="3" t="n">
        <v>156749.07</v>
      </c>
      <c r="R4096" s="3" t="n">
        <v>0.3999</v>
      </c>
      <c r="S4096" s="3" t="n">
        <v>0.0329</v>
      </c>
      <c r="T4096" s="3" t="n">
        <v>0.0006</v>
      </c>
    </row>
    <row r="4097" customFormat="false" ht="15" hidden="false" customHeight="true" outlineLevel="0" collapsed="false">
      <c r="A4097" s="3" t="s">
        <v>5259</v>
      </c>
      <c r="B4097" s="3" t="s">
        <v>2267</v>
      </c>
      <c r="C4097" s="3" t="s">
        <v>60</v>
      </c>
      <c r="D4097" s="3" t="s">
        <v>38</v>
      </c>
      <c r="E4097" s="3" t="s">
        <v>39</v>
      </c>
      <c r="F4097" s="3" t="s">
        <v>40</v>
      </c>
      <c r="G4097" s="3" t="s">
        <v>84</v>
      </c>
      <c r="H4097" s="3" t="s">
        <v>27</v>
      </c>
      <c r="I4097" s="3" t="s">
        <v>117</v>
      </c>
      <c r="J4097" s="3" t="n">
        <v>45</v>
      </c>
      <c r="K4097" s="3" t="n">
        <v>37406.68</v>
      </c>
      <c r="L4097" s="3" t="n">
        <v>1683300.6</v>
      </c>
      <c r="M4097" s="3" t="n">
        <v>0.06</v>
      </c>
      <c r="N4097" s="3" t="n">
        <v>100998.04</v>
      </c>
      <c r="O4097" s="3" t="n">
        <v>1582302.56</v>
      </c>
      <c r="P4097" s="3" t="n">
        <v>1043646.37</v>
      </c>
      <c r="Q4097" s="3" t="n">
        <v>538656.19</v>
      </c>
      <c r="R4097" s="3" t="n">
        <v>0.3404</v>
      </c>
      <c r="S4097" s="3" t="n">
        <v>0.0658</v>
      </c>
      <c r="T4097" s="3" t="n">
        <v>-0.0058</v>
      </c>
    </row>
    <row r="4098" customFormat="false" ht="15" hidden="false" customHeight="true" outlineLevel="0" collapsed="false">
      <c r="A4098" s="3" t="s">
        <v>5260</v>
      </c>
      <c r="B4098" s="3" t="s">
        <v>4482</v>
      </c>
      <c r="C4098" s="3" t="s">
        <v>22</v>
      </c>
      <c r="D4098" s="3" t="s">
        <v>103</v>
      </c>
      <c r="E4098" s="3" t="s">
        <v>24</v>
      </c>
      <c r="F4098" s="3" t="s">
        <v>62</v>
      </c>
      <c r="G4098" s="3" t="s">
        <v>55</v>
      </c>
      <c r="H4098" s="3" t="s">
        <v>56</v>
      </c>
      <c r="I4098" s="3" t="s">
        <v>188</v>
      </c>
      <c r="J4098" s="3" t="n">
        <v>24</v>
      </c>
      <c r="K4098" s="3" t="n">
        <v>13149.08</v>
      </c>
      <c r="L4098" s="3" t="n">
        <v>315577.92</v>
      </c>
      <c r="M4098" s="3" t="n">
        <v>0.0458</v>
      </c>
      <c r="N4098" s="3" t="n">
        <v>14453.47</v>
      </c>
      <c r="O4098" s="3" t="n">
        <v>301124.45</v>
      </c>
      <c r="P4098" s="3" t="n">
        <v>189346.75</v>
      </c>
      <c r="Q4098" s="3" t="n">
        <v>111777.7</v>
      </c>
      <c r="R4098" s="3" t="n">
        <v>0.3712</v>
      </c>
      <c r="S4098" s="3" t="n">
        <v>0.0496</v>
      </c>
      <c r="T4098" s="3" t="n">
        <v>-0.0038</v>
      </c>
    </row>
    <row r="4099" customFormat="false" ht="15" hidden="false" customHeight="true" outlineLevel="0" collapsed="false">
      <c r="A4099" s="3" t="s">
        <v>5261</v>
      </c>
      <c r="B4099" s="3" t="s">
        <v>5062</v>
      </c>
      <c r="C4099" s="3" t="s">
        <v>46</v>
      </c>
      <c r="D4099" s="3" t="s">
        <v>75</v>
      </c>
      <c r="E4099" s="3" t="s">
        <v>39</v>
      </c>
      <c r="F4099" s="3" t="s">
        <v>25</v>
      </c>
      <c r="G4099" s="3" t="s">
        <v>63</v>
      </c>
      <c r="H4099" s="3" t="s">
        <v>27</v>
      </c>
      <c r="I4099" s="3" t="s">
        <v>28</v>
      </c>
      <c r="J4099" s="3" t="n">
        <v>12</v>
      </c>
      <c r="K4099" s="3" t="n">
        <v>38093.2</v>
      </c>
      <c r="L4099" s="3" t="n">
        <v>457118.4</v>
      </c>
      <c r="M4099" s="3" t="n">
        <v>0.1218</v>
      </c>
      <c r="N4099" s="3" t="n">
        <v>55677.02</v>
      </c>
      <c r="O4099" s="3" t="n">
        <v>401441.38</v>
      </c>
      <c r="P4099" s="3" t="n">
        <v>283413.41</v>
      </c>
      <c r="Q4099" s="3" t="n">
        <v>118027.97</v>
      </c>
      <c r="R4099" s="3" t="n">
        <v>0.294</v>
      </c>
      <c r="S4099" s="3" t="n">
        <v>0.1288</v>
      </c>
      <c r="T4099" s="3" t="n">
        <v>-0.007</v>
      </c>
    </row>
    <row r="4100" customFormat="false" ht="15" hidden="false" customHeight="true" outlineLevel="0" collapsed="false">
      <c r="A4100" s="3" t="s">
        <v>5262</v>
      </c>
      <c r="B4100" s="3" t="s">
        <v>1795</v>
      </c>
      <c r="C4100" s="3" t="s">
        <v>46</v>
      </c>
      <c r="D4100" s="3" t="s">
        <v>97</v>
      </c>
      <c r="E4100" s="3" t="s">
        <v>48</v>
      </c>
      <c r="F4100" s="3" t="s">
        <v>40</v>
      </c>
      <c r="G4100" s="3" t="s">
        <v>116</v>
      </c>
      <c r="H4100" s="3" t="s">
        <v>42</v>
      </c>
      <c r="I4100" s="3" t="s">
        <v>72</v>
      </c>
      <c r="J4100" s="3" t="n">
        <v>46</v>
      </c>
      <c r="K4100" s="3" t="n">
        <v>660.5</v>
      </c>
      <c r="L4100" s="3" t="n">
        <v>30383</v>
      </c>
      <c r="M4100" s="3" t="n">
        <v>0.0739</v>
      </c>
      <c r="N4100" s="3" t="n">
        <v>2245.3</v>
      </c>
      <c r="O4100" s="3" t="n">
        <v>28137.7</v>
      </c>
      <c r="P4100" s="3" t="n">
        <v>16710.65</v>
      </c>
      <c r="Q4100" s="3" t="n">
        <v>11427.05</v>
      </c>
      <c r="R4100" s="3" t="n">
        <v>0.4061</v>
      </c>
      <c r="S4100" s="3" t="n">
        <v>0.0647</v>
      </c>
      <c r="T4100" s="3" t="n">
        <v>0.0092</v>
      </c>
    </row>
    <row r="4101" customFormat="false" ht="15" hidden="false" customHeight="true" outlineLevel="0" collapsed="false">
      <c r="A4101" s="3" t="s">
        <v>5263</v>
      </c>
      <c r="B4101" s="3" t="s">
        <v>613</v>
      </c>
      <c r="C4101" s="3" t="s">
        <v>31</v>
      </c>
      <c r="D4101" s="3" t="s">
        <v>69</v>
      </c>
      <c r="E4101" s="3" t="s">
        <v>39</v>
      </c>
      <c r="F4101" s="3" t="s">
        <v>70</v>
      </c>
      <c r="G4101" s="3" t="s">
        <v>76</v>
      </c>
      <c r="H4101" s="3" t="s">
        <v>77</v>
      </c>
      <c r="I4101" s="3" t="s">
        <v>78</v>
      </c>
      <c r="J4101" s="3" t="n">
        <v>11</v>
      </c>
      <c r="K4101" s="3" t="n">
        <v>2404.7</v>
      </c>
      <c r="L4101" s="3" t="n">
        <v>26451.7</v>
      </c>
      <c r="M4101" s="3" t="n">
        <v>0.0674</v>
      </c>
      <c r="N4101" s="3" t="n">
        <v>1782.84</v>
      </c>
      <c r="O4101" s="3" t="n">
        <v>24668.86</v>
      </c>
      <c r="P4101" s="3" t="n">
        <v>17987.16</v>
      </c>
      <c r="Q4101" s="3" t="n">
        <v>6681.7</v>
      </c>
      <c r="R4101" s="3" t="n">
        <v>0.2709</v>
      </c>
      <c r="S4101" s="3" t="n">
        <v>0.0659</v>
      </c>
      <c r="T4101" s="3" t="n">
        <v>0.0015</v>
      </c>
    </row>
    <row r="4102" customFormat="false" ht="15" hidden="false" customHeight="true" outlineLevel="0" collapsed="false">
      <c r="A4102" s="3" t="s">
        <v>5264</v>
      </c>
      <c r="B4102" s="3" t="s">
        <v>376</v>
      </c>
      <c r="C4102" s="3" t="s">
        <v>22</v>
      </c>
      <c r="D4102" s="3" t="s">
        <v>54</v>
      </c>
      <c r="E4102" s="3" t="s">
        <v>24</v>
      </c>
      <c r="F4102" s="3" t="s">
        <v>40</v>
      </c>
      <c r="G4102" s="3" t="s">
        <v>26</v>
      </c>
      <c r="H4102" s="3" t="s">
        <v>64</v>
      </c>
      <c r="I4102" s="3" t="s">
        <v>108</v>
      </c>
      <c r="J4102" s="3" t="n">
        <v>46</v>
      </c>
      <c r="K4102" s="3" t="n">
        <v>9841.33</v>
      </c>
      <c r="L4102" s="3" t="n">
        <v>452701.18</v>
      </c>
      <c r="M4102" s="3" t="n">
        <v>0.0304</v>
      </c>
      <c r="N4102" s="3" t="n">
        <v>13762.12</v>
      </c>
      <c r="O4102" s="3" t="n">
        <v>438939.06</v>
      </c>
      <c r="P4102" s="3" t="n">
        <v>262566.68</v>
      </c>
      <c r="Q4102" s="3" t="n">
        <v>176372.38</v>
      </c>
      <c r="R4102" s="3" t="n">
        <v>0.4018</v>
      </c>
      <c r="S4102" s="3" t="n">
        <v>0.0285</v>
      </c>
      <c r="T4102" s="3" t="n">
        <v>0.0019</v>
      </c>
    </row>
    <row r="4103" customFormat="false" ht="15" hidden="false" customHeight="true" outlineLevel="0" collapsed="false">
      <c r="A4103" s="3" t="s">
        <v>5265</v>
      </c>
      <c r="B4103" s="3" t="s">
        <v>87</v>
      </c>
      <c r="C4103" s="3" t="s">
        <v>22</v>
      </c>
      <c r="D4103" s="3" t="s">
        <v>75</v>
      </c>
      <c r="E4103" s="3" t="s">
        <v>39</v>
      </c>
      <c r="F4103" s="3" t="s">
        <v>25</v>
      </c>
      <c r="G4103" s="3" t="s">
        <v>63</v>
      </c>
      <c r="H4103" s="3" t="s">
        <v>64</v>
      </c>
      <c r="I4103" s="3" t="s">
        <v>90</v>
      </c>
      <c r="J4103" s="3" t="n">
        <v>16</v>
      </c>
      <c r="K4103" s="3" t="n">
        <v>9460.23</v>
      </c>
      <c r="L4103" s="3" t="n">
        <v>151363.68</v>
      </c>
      <c r="M4103" s="3" t="n">
        <v>0.1229</v>
      </c>
      <c r="N4103" s="3" t="n">
        <v>18602.6</v>
      </c>
      <c r="O4103" s="3" t="n">
        <v>132761.08</v>
      </c>
      <c r="P4103" s="3" t="n">
        <v>87790.93</v>
      </c>
      <c r="Q4103" s="3" t="n">
        <v>44970.15</v>
      </c>
      <c r="R4103" s="3" t="n">
        <v>0.3387</v>
      </c>
      <c r="S4103" s="3" t="n">
        <v>0.1296</v>
      </c>
      <c r="T4103" s="3" t="n">
        <v>-0.0067</v>
      </c>
    </row>
    <row r="4104" customFormat="false" ht="15" hidden="false" customHeight="true" outlineLevel="0" collapsed="false">
      <c r="A4104" s="3" t="s">
        <v>5266</v>
      </c>
      <c r="B4104" s="3" t="s">
        <v>2237</v>
      </c>
      <c r="C4104" s="3" t="s">
        <v>113</v>
      </c>
      <c r="D4104" s="3" t="s">
        <v>107</v>
      </c>
      <c r="E4104" s="3" t="s">
        <v>33</v>
      </c>
      <c r="F4104" s="3" t="s">
        <v>70</v>
      </c>
      <c r="G4104" s="3" t="s">
        <v>49</v>
      </c>
      <c r="H4104" s="3" t="s">
        <v>77</v>
      </c>
      <c r="I4104" s="3" t="s">
        <v>85</v>
      </c>
      <c r="J4104" s="3" t="n">
        <v>7</v>
      </c>
      <c r="K4104" s="3" t="n">
        <v>4409.54</v>
      </c>
      <c r="L4104" s="3" t="n">
        <v>30866.78</v>
      </c>
      <c r="M4104" s="3" t="n">
        <v>0.0328</v>
      </c>
      <c r="N4104" s="3" t="n">
        <v>1012.43</v>
      </c>
      <c r="O4104" s="3" t="n">
        <v>29854.35</v>
      </c>
      <c r="P4104" s="3" t="n">
        <v>20989.41</v>
      </c>
      <c r="Q4104" s="3" t="n">
        <v>8864.94</v>
      </c>
      <c r="R4104" s="3" t="n">
        <v>0.2969</v>
      </c>
      <c r="S4104" s="3" t="n">
        <v>0.0281</v>
      </c>
      <c r="T4104" s="3" t="n">
        <v>0.0047</v>
      </c>
    </row>
    <row r="4105" customFormat="false" ht="15" hidden="false" customHeight="true" outlineLevel="0" collapsed="false">
      <c r="A4105" s="3" t="s">
        <v>5267</v>
      </c>
      <c r="B4105" s="3" t="s">
        <v>1095</v>
      </c>
      <c r="C4105" s="3" t="s">
        <v>113</v>
      </c>
      <c r="D4105" s="3" t="s">
        <v>103</v>
      </c>
      <c r="E4105" s="3" t="s">
        <v>24</v>
      </c>
      <c r="F4105" s="3" t="s">
        <v>62</v>
      </c>
      <c r="G4105" s="3" t="s">
        <v>104</v>
      </c>
      <c r="H4105" s="3" t="s">
        <v>64</v>
      </c>
      <c r="I4105" s="3" t="s">
        <v>65</v>
      </c>
      <c r="J4105" s="3" t="n">
        <v>3</v>
      </c>
      <c r="K4105" s="3" t="n">
        <v>3392.38</v>
      </c>
      <c r="L4105" s="3" t="n">
        <v>10177.14</v>
      </c>
      <c r="M4105" s="3" t="n">
        <v>0.1216</v>
      </c>
      <c r="N4105" s="3" t="n">
        <v>1237.54</v>
      </c>
      <c r="O4105" s="3" t="n">
        <v>8939.6</v>
      </c>
      <c r="P4105" s="3" t="n">
        <v>5902.74</v>
      </c>
      <c r="Q4105" s="3" t="n">
        <v>3036.86</v>
      </c>
      <c r="R4105" s="3" t="n">
        <v>0.3397</v>
      </c>
      <c r="S4105" s="3" t="n">
        <v>0.1204</v>
      </c>
      <c r="T4105" s="3" t="n">
        <v>0.0012</v>
      </c>
    </row>
    <row r="4106" customFormat="false" ht="15" hidden="false" customHeight="true" outlineLevel="0" collapsed="false">
      <c r="A4106" s="3" t="s">
        <v>5268</v>
      </c>
      <c r="B4106" s="3" t="s">
        <v>854</v>
      </c>
      <c r="C4106" s="3" t="s">
        <v>37</v>
      </c>
      <c r="D4106" s="3" t="s">
        <v>75</v>
      </c>
      <c r="E4106" s="3" t="s">
        <v>39</v>
      </c>
      <c r="F4106" s="3" t="s">
        <v>25</v>
      </c>
      <c r="G4106" s="3" t="s">
        <v>26</v>
      </c>
      <c r="H4106" s="3" t="s">
        <v>42</v>
      </c>
      <c r="I4106" s="3" t="s">
        <v>72</v>
      </c>
      <c r="J4106" s="3" t="n">
        <v>42</v>
      </c>
      <c r="K4106" s="3" t="n">
        <v>3511.63</v>
      </c>
      <c r="L4106" s="3" t="n">
        <v>147488.46</v>
      </c>
      <c r="M4106" s="3" t="n">
        <v>0.1924</v>
      </c>
      <c r="N4106" s="3" t="n">
        <v>28376.78</v>
      </c>
      <c r="O4106" s="3" t="n">
        <v>119111.68</v>
      </c>
      <c r="P4106" s="3" t="n">
        <v>81118.65</v>
      </c>
      <c r="Q4106" s="3" t="n">
        <v>37993.03</v>
      </c>
      <c r="R4106" s="3" t="n">
        <v>0.319</v>
      </c>
      <c r="S4106" s="3" t="n">
        <v>0.1703</v>
      </c>
      <c r="T4106" s="3" t="n">
        <v>0.0221</v>
      </c>
    </row>
    <row r="4107" customFormat="false" ht="15" hidden="false" customHeight="true" outlineLevel="0" collapsed="false">
      <c r="A4107" s="3" t="s">
        <v>5269</v>
      </c>
      <c r="B4107" s="3" t="s">
        <v>168</v>
      </c>
      <c r="C4107" s="3" t="s">
        <v>156</v>
      </c>
      <c r="D4107" s="3" t="s">
        <v>103</v>
      </c>
      <c r="E4107" s="3" t="s">
        <v>24</v>
      </c>
      <c r="F4107" s="3" t="s">
        <v>62</v>
      </c>
      <c r="G4107" s="3" t="s">
        <v>116</v>
      </c>
      <c r="H4107" s="3" t="s">
        <v>56</v>
      </c>
      <c r="I4107" s="3" t="s">
        <v>57</v>
      </c>
      <c r="J4107" s="3" t="n">
        <v>36</v>
      </c>
      <c r="K4107" s="3" t="n">
        <v>9670.95</v>
      </c>
      <c r="L4107" s="3" t="n">
        <v>348154.2</v>
      </c>
      <c r="M4107" s="3" t="n">
        <v>0.1215</v>
      </c>
      <c r="N4107" s="3" t="n">
        <v>42300.74</v>
      </c>
      <c r="O4107" s="3" t="n">
        <v>305853.46</v>
      </c>
      <c r="P4107" s="3" t="n">
        <v>208892.52</v>
      </c>
      <c r="Q4107" s="3" t="n">
        <v>96960.94</v>
      </c>
      <c r="R4107" s="3" t="n">
        <v>0.317</v>
      </c>
      <c r="S4107" s="3" t="n">
        <v>0.106</v>
      </c>
      <c r="T4107" s="3" t="n">
        <v>0.0155</v>
      </c>
    </row>
    <row r="4108" customFormat="false" ht="15" hidden="false" customHeight="true" outlineLevel="0" collapsed="false">
      <c r="A4108" s="3" t="s">
        <v>5270</v>
      </c>
      <c r="B4108" s="3" t="s">
        <v>1957</v>
      </c>
      <c r="C4108" s="3" t="s">
        <v>31</v>
      </c>
      <c r="D4108" s="3" t="s">
        <v>54</v>
      </c>
      <c r="E4108" s="3" t="s">
        <v>24</v>
      </c>
      <c r="F4108" s="3" t="s">
        <v>40</v>
      </c>
      <c r="G4108" s="3" t="s">
        <v>34</v>
      </c>
      <c r="H4108" s="3" t="s">
        <v>77</v>
      </c>
      <c r="I4108" s="3" t="s">
        <v>85</v>
      </c>
      <c r="J4108" s="3" t="n">
        <v>46</v>
      </c>
      <c r="K4108" s="3" t="n">
        <v>2257.05</v>
      </c>
      <c r="L4108" s="3" t="n">
        <v>103824.3</v>
      </c>
      <c r="M4108" s="3" t="n">
        <v>0.0795</v>
      </c>
      <c r="N4108" s="3" t="n">
        <v>8254.03</v>
      </c>
      <c r="O4108" s="3" t="n">
        <v>95570.27</v>
      </c>
      <c r="P4108" s="3" t="n">
        <v>70600.52</v>
      </c>
      <c r="Q4108" s="3" t="n">
        <v>24969.75</v>
      </c>
      <c r="R4108" s="3" t="n">
        <v>0.2613</v>
      </c>
      <c r="S4108" s="3" t="n">
        <v>0.084</v>
      </c>
      <c r="T4108" s="3" t="n">
        <v>-0.0045</v>
      </c>
    </row>
    <row r="4109" customFormat="false" ht="15" hidden="false" customHeight="true" outlineLevel="0" collapsed="false">
      <c r="A4109" s="3" t="s">
        <v>5271</v>
      </c>
      <c r="B4109" s="3" t="s">
        <v>1240</v>
      </c>
      <c r="C4109" s="3" t="s">
        <v>37</v>
      </c>
      <c r="D4109" s="3" t="s">
        <v>107</v>
      </c>
      <c r="E4109" s="3" t="s">
        <v>33</v>
      </c>
      <c r="F4109" s="3" t="s">
        <v>70</v>
      </c>
      <c r="G4109" s="3" t="s">
        <v>49</v>
      </c>
      <c r="H4109" s="3" t="s">
        <v>42</v>
      </c>
      <c r="I4109" s="3" t="s">
        <v>43</v>
      </c>
      <c r="J4109" s="3" t="n">
        <v>27</v>
      </c>
      <c r="K4109" s="3" t="n">
        <v>1538.4</v>
      </c>
      <c r="L4109" s="3" t="n">
        <v>41536.8</v>
      </c>
      <c r="M4109" s="3" t="n">
        <v>0.0667</v>
      </c>
      <c r="N4109" s="3" t="n">
        <v>2770.5</v>
      </c>
      <c r="O4109" s="3" t="n">
        <v>38766.3</v>
      </c>
      <c r="P4109" s="3" t="n">
        <v>22845.24</v>
      </c>
      <c r="Q4109" s="3" t="n">
        <v>15921.06</v>
      </c>
      <c r="R4109" s="3" t="n">
        <v>0.4107</v>
      </c>
      <c r="S4109" s="3" t="n">
        <v>0.0558</v>
      </c>
      <c r="T4109" s="3" t="n">
        <v>0.0109</v>
      </c>
    </row>
    <row r="4110" customFormat="false" ht="15" hidden="false" customHeight="true" outlineLevel="0" collapsed="false">
      <c r="A4110" s="3" t="s">
        <v>5272</v>
      </c>
      <c r="B4110" s="3" t="s">
        <v>3027</v>
      </c>
      <c r="C4110" s="3" t="s">
        <v>68</v>
      </c>
      <c r="D4110" s="3" t="s">
        <v>103</v>
      </c>
      <c r="E4110" s="3" t="s">
        <v>24</v>
      </c>
      <c r="F4110" s="3" t="s">
        <v>62</v>
      </c>
      <c r="G4110" s="3" t="s">
        <v>49</v>
      </c>
      <c r="H4110" s="3" t="s">
        <v>77</v>
      </c>
      <c r="I4110" s="3" t="s">
        <v>131</v>
      </c>
      <c r="J4110" s="3" t="n">
        <v>49</v>
      </c>
      <c r="K4110" s="3" t="n">
        <v>5869.76</v>
      </c>
      <c r="L4110" s="3" t="n">
        <v>287618.24</v>
      </c>
      <c r="M4110" s="3" t="n">
        <v>0.0334</v>
      </c>
      <c r="N4110" s="3" t="n">
        <v>9606.45</v>
      </c>
      <c r="O4110" s="3" t="n">
        <v>278011.79</v>
      </c>
      <c r="P4110" s="3" t="n">
        <v>195580.4</v>
      </c>
      <c r="Q4110" s="3" t="n">
        <v>82431.39</v>
      </c>
      <c r="R4110" s="3" t="n">
        <v>0.2965</v>
      </c>
      <c r="S4110" s="3" t="n">
        <v>0.0304</v>
      </c>
      <c r="T4110" s="3" t="n">
        <v>0.003</v>
      </c>
    </row>
    <row r="4111" customFormat="false" ht="15" hidden="false" customHeight="true" outlineLevel="0" collapsed="false">
      <c r="A4111" s="3" t="s">
        <v>5273</v>
      </c>
      <c r="B4111" s="3" t="s">
        <v>931</v>
      </c>
      <c r="C4111" s="3" t="s">
        <v>46</v>
      </c>
      <c r="D4111" s="3" t="s">
        <v>97</v>
      </c>
      <c r="E4111" s="3" t="s">
        <v>48</v>
      </c>
      <c r="F4111" s="3" t="s">
        <v>40</v>
      </c>
      <c r="G4111" s="3" t="s">
        <v>55</v>
      </c>
      <c r="H4111" s="3" t="s">
        <v>77</v>
      </c>
      <c r="I4111" s="3" t="s">
        <v>78</v>
      </c>
      <c r="J4111" s="3" t="n">
        <v>23</v>
      </c>
      <c r="K4111" s="3" t="n">
        <v>4438.17</v>
      </c>
      <c r="L4111" s="3" t="n">
        <v>102077.91</v>
      </c>
      <c r="M4111" s="3" t="n">
        <v>0.0652</v>
      </c>
      <c r="N4111" s="3" t="n">
        <v>6655.48</v>
      </c>
      <c r="O4111" s="3" t="n">
        <v>95422.43</v>
      </c>
      <c r="P4111" s="3" t="n">
        <v>69412.98</v>
      </c>
      <c r="Q4111" s="3" t="n">
        <v>26009.45</v>
      </c>
      <c r="R4111" s="3" t="n">
        <v>0.2726</v>
      </c>
      <c r="S4111" s="3" t="n">
        <v>0.07</v>
      </c>
      <c r="T4111" s="3" t="n">
        <v>-0.0048</v>
      </c>
    </row>
    <row r="4112" customFormat="false" ht="15" hidden="false" customHeight="true" outlineLevel="0" collapsed="false">
      <c r="A4112" s="3" t="s">
        <v>5274</v>
      </c>
      <c r="B4112" s="3" t="s">
        <v>3439</v>
      </c>
      <c r="C4112" s="3" t="s">
        <v>113</v>
      </c>
      <c r="D4112" s="3" t="s">
        <v>47</v>
      </c>
      <c r="E4112" s="3" t="s">
        <v>48</v>
      </c>
      <c r="F4112" s="3" t="s">
        <v>25</v>
      </c>
      <c r="G4112" s="3" t="s">
        <v>104</v>
      </c>
      <c r="H4112" s="3" t="s">
        <v>42</v>
      </c>
      <c r="I4112" s="3" t="s">
        <v>134</v>
      </c>
      <c r="J4112" s="3" t="n">
        <v>41</v>
      </c>
      <c r="K4112" s="3" t="n">
        <v>646.21</v>
      </c>
      <c r="L4112" s="3" t="n">
        <v>26494.61</v>
      </c>
      <c r="M4112" s="3" t="n">
        <v>0.2187</v>
      </c>
      <c r="N4112" s="3" t="n">
        <v>5794.37</v>
      </c>
      <c r="O4112" s="3" t="n">
        <v>20700.24</v>
      </c>
      <c r="P4112" s="3" t="n">
        <v>14572.04</v>
      </c>
      <c r="Q4112" s="3" t="n">
        <v>6128.2</v>
      </c>
      <c r="R4112" s="3" t="n">
        <v>0.296</v>
      </c>
      <c r="S4112" s="3" t="n">
        <v>0.2043</v>
      </c>
      <c r="T4112" s="3" t="n">
        <v>0.0144</v>
      </c>
    </row>
    <row r="4113" customFormat="false" ht="15" hidden="false" customHeight="true" outlineLevel="0" collapsed="false">
      <c r="A4113" s="3" t="s">
        <v>5275</v>
      </c>
      <c r="B4113" s="3" t="s">
        <v>1887</v>
      </c>
      <c r="C4113" s="3" t="s">
        <v>53</v>
      </c>
      <c r="D4113" s="3" t="s">
        <v>103</v>
      </c>
      <c r="E4113" s="3" t="s">
        <v>24</v>
      </c>
      <c r="F4113" s="3" t="s">
        <v>62</v>
      </c>
      <c r="G4113" s="3" t="s">
        <v>55</v>
      </c>
      <c r="H4113" s="3" t="s">
        <v>64</v>
      </c>
      <c r="I4113" s="3" t="s">
        <v>108</v>
      </c>
      <c r="J4113" s="3" t="n">
        <v>48</v>
      </c>
      <c r="K4113" s="3" t="n">
        <v>10587.07</v>
      </c>
      <c r="L4113" s="3" t="n">
        <v>508179.36</v>
      </c>
      <c r="M4113" s="3" t="n">
        <v>0.0436</v>
      </c>
      <c r="N4113" s="3" t="n">
        <v>22156.62</v>
      </c>
      <c r="O4113" s="3" t="n">
        <v>486022.74</v>
      </c>
      <c r="P4113" s="3" t="n">
        <v>294744.03</v>
      </c>
      <c r="Q4113" s="3" t="n">
        <v>191278.71</v>
      </c>
      <c r="R4113" s="3" t="n">
        <v>0.3936</v>
      </c>
      <c r="S4113" s="3" t="n">
        <v>0.0432</v>
      </c>
      <c r="T4113" s="3" t="n">
        <v>0.0004</v>
      </c>
    </row>
    <row r="4114" customFormat="false" ht="15" hidden="false" customHeight="true" outlineLevel="0" collapsed="false">
      <c r="A4114" s="3" t="s">
        <v>5276</v>
      </c>
      <c r="B4114" s="3" t="s">
        <v>420</v>
      </c>
      <c r="C4114" s="3" t="s">
        <v>37</v>
      </c>
      <c r="D4114" s="3" t="s">
        <v>61</v>
      </c>
      <c r="E4114" s="3" t="s">
        <v>33</v>
      </c>
      <c r="F4114" s="3" t="s">
        <v>62</v>
      </c>
      <c r="G4114" s="3" t="s">
        <v>41</v>
      </c>
      <c r="H4114" s="3" t="s">
        <v>27</v>
      </c>
      <c r="I4114" s="3" t="s">
        <v>94</v>
      </c>
      <c r="J4114" s="3" t="n">
        <v>9</v>
      </c>
      <c r="K4114" s="3" t="n">
        <v>13888.37</v>
      </c>
      <c r="L4114" s="3" t="n">
        <v>124995.33</v>
      </c>
      <c r="M4114" s="3" t="n">
        <v>0.0956</v>
      </c>
      <c r="N4114" s="3" t="n">
        <v>11949.55</v>
      </c>
      <c r="O4114" s="3" t="n">
        <v>113045.78</v>
      </c>
      <c r="P4114" s="3" t="n">
        <v>77497.1</v>
      </c>
      <c r="Q4114" s="3" t="n">
        <v>35548.68</v>
      </c>
      <c r="R4114" s="3" t="n">
        <v>0.3145</v>
      </c>
      <c r="S4114" s="3" t="n">
        <v>0.0866</v>
      </c>
      <c r="T4114" s="3" t="n">
        <v>0.009</v>
      </c>
    </row>
    <row r="4115" customFormat="false" ht="15" hidden="false" customHeight="true" outlineLevel="0" collapsed="false">
      <c r="A4115" s="3" t="s">
        <v>5277</v>
      </c>
      <c r="B4115" s="3" t="s">
        <v>3067</v>
      </c>
      <c r="C4115" s="3" t="s">
        <v>22</v>
      </c>
      <c r="D4115" s="3" t="s">
        <v>38</v>
      </c>
      <c r="E4115" s="3" t="s">
        <v>39</v>
      </c>
      <c r="F4115" s="3" t="s">
        <v>40</v>
      </c>
      <c r="G4115" s="3" t="s">
        <v>34</v>
      </c>
      <c r="H4115" s="3" t="s">
        <v>42</v>
      </c>
      <c r="I4115" s="3" t="s">
        <v>72</v>
      </c>
      <c r="J4115" s="3" t="n">
        <v>9</v>
      </c>
      <c r="K4115" s="3" t="n">
        <v>2086.06</v>
      </c>
      <c r="L4115" s="3" t="n">
        <v>18774.54</v>
      </c>
      <c r="M4115" s="3" t="n">
        <v>0.0774</v>
      </c>
      <c r="N4115" s="3" t="n">
        <v>1453.15</v>
      </c>
      <c r="O4115" s="3" t="n">
        <v>17321.39</v>
      </c>
      <c r="P4115" s="3" t="n">
        <v>10326</v>
      </c>
      <c r="Q4115" s="3" t="n">
        <v>6995.39</v>
      </c>
      <c r="R4115" s="3" t="n">
        <v>0.4039</v>
      </c>
      <c r="S4115" s="3" t="n">
        <v>0.0682</v>
      </c>
      <c r="T4115" s="3" t="n">
        <v>0.0092</v>
      </c>
    </row>
    <row r="4116" customFormat="false" ht="15" hidden="false" customHeight="true" outlineLevel="0" collapsed="false">
      <c r="A4116" s="3" t="s">
        <v>5278</v>
      </c>
      <c r="B4116" s="3" t="s">
        <v>3980</v>
      </c>
      <c r="C4116" s="3" t="s">
        <v>93</v>
      </c>
      <c r="D4116" s="3" t="s">
        <v>54</v>
      </c>
      <c r="E4116" s="3" t="s">
        <v>24</v>
      </c>
      <c r="F4116" s="3" t="s">
        <v>40</v>
      </c>
      <c r="G4116" s="3" t="s">
        <v>76</v>
      </c>
      <c r="H4116" s="3" t="s">
        <v>64</v>
      </c>
      <c r="I4116" s="3" t="s">
        <v>90</v>
      </c>
      <c r="J4116" s="3" t="n">
        <v>12</v>
      </c>
      <c r="K4116" s="3" t="n">
        <v>4926.03</v>
      </c>
      <c r="L4116" s="3" t="n">
        <v>59112.36</v>
      </c>
      <c r="M4116" s="3" t="n">
        <v>0.0609</v>
      </c>
      <c r="N4116" s="3" t="n">
        <v>3599.94</v>
      </c>
      <c r="O4116" s="3" t="n">
        <v>55512.42</v>
      </c>
      <c r="P4116" s="3" t="n">
        <v>34285.17</v>
      </c>
      <c r="Q4116" s="3" t="n">
        <v>21227.25</v>
      </c>
      <c r="R4116" s="3" t="n">
        <v>0.3824</v>
      </c>
      <c r="S4116" s="3" t="n">
        <v>0.0496</v>
      </c>
      <c r="T4116" s="3" t="n">
        <v>0.0113</v>
      </c>
    </row>
    <row r="4117" customFormat="false" ht="15" hidden="false" customHeight="true" outlineLevel="0" collapsed="false">
      <c r="A4117" s="3" t="s">
        <v>5279</v>
      </c>
      <c r="B4117" s="3" t="s">
        <v>2400</v>
      </c>
      <c r="C4117" s="3" t="s">
        <v>113</v>
      </c>
      <c r="D4117" s="3" t="s">
        <v>61</v>
      </c>
      <c r="E4117" s="3" t="s">
        <v>33</v>
      </c>
      <c r="F4117" s="3" t="s">
        <v>62</v>
      </c>
      <c r="G4117" s="3" t="s">
        <v>41</v>
      </c>
      <c r="H4117" s="3" t="s">
        <v>64</v>
      </c>
      <c r="I4117" s="3" t="s">
        <v>90</v>
      </c>
      <c r="J4117" s="3" t="n">
        <v>36</v>
      </c>
      <c r="K4117" s="3" t="n">
        <v>4610.44</v>
      </c>
      <c r="L4117" s="3" t="n">
        <v>165975.84</v>
      </c>
      <c r="M4117" s="3" t="n">
        <v>0.0578</v>
      </c>
      <c r="N4117" s="3" t="n">
        <v>9593.4</v>
      </c>
      <c r="O4117" s="3" t="n">
        <v>156382.44</v>
      </c>
      <c r="P4117" s="3" t="n">
        <v>96265.99</v>
      </c>
      <c r="Q4117" s="3" t="n">
        <v>60116.45</v>
      </c>
      <c r="R4117" s="3" t="n">
        <v>0.3844</v>
      </c>
      <c r="S4117" s="3" t="n">
        <v>0.0525</v>
      </c>
      <c r="T4117" s="3" t="n">
        <v>0.0053</v>
      </c>
    </row>
    <row r="4118" customFormat="false" ht="15" hidden="false" customHeight="true" outlineLevel="0" collapsed="false">
      <c r="A4118" s="3" t="s">
        <v>5280</v>
      </c>
      <c r="B4118" s="3" t="s">
        <v>1426</v>
      </c>
      <c r="C4118" s="3" t="s">
        <v>126</v>
      </c>
      <c r="D4118" s="3" t="s">
        <v>75</v>
      </c>
      <c r="E4118" s="3" t="s">
        <v>39</v>
      </c>
      <c r="F4118" s="3" t="s">
        <v>25</v>
      </c>
      <c r="G4118" s="3" t="s">
        <v>34</v>
      </c>
      <c r="H4118" s="3" t="s">
        <v>42</v>
      </c>
      <c r="I4118" s="3" t="s">
        <v>72</v>
      </c>
      <c r="J4118" s="3" t="n">
        <v>11</v>
      </c>
      <c r="K4118" s="3" t="n">
        <v>2621.39</v>
      </c>
      <c r="L4118" s="3" t="n">
        <v>28835.29</v>
      </c>
      <c r="M4118" s="3" t="n">
        <v>0.1534</v>
      </c>
      <c r="N4118" s="3" t="n">
        <v>4423.33</v>
      </c>
      <c r="O4118" s="3" t="n">
        <v>24411.96</v>
      </c>
      <c r="P4118" s="3" t="n">
        <v>15859.41</v>
      </c>
      <c r="Q4118" s="3" t="n">
        <v>8552.55</v>
      </c>
      <c r="R4118" s="3" t="n">
        <v>0.3503</v>
      </c>
      <c r="S4118" s="3" t="n">
        <v>0.1488</v>
      </c>
      <c r="T4118" s="3" t="n">
        <v>0.0046</v>
      </c>
    </row>
    <row r="4119" customFormat="false" ht="15" hidden="false" customHeight="true" outlineLevel="0" collapsed="false">
      <c r="A4119" s="3" t="s">
        <v>5281</v>
      </c>
      <c r="B4119" s="3" t="s">
        <v>2093</v>
      </c>
      <c r="C4119" s="3" t="s">
        <v>113</v>
      </c>
      <c r="D4119" s="3" t="s">
        <v>75</v>
      </c>
      <c r="E4119" s="3" t="s">
        <v>39</v>
      </c>
      <c r="F4119" s="3" t="s">
        <v>25</v>
      </c>
      <c r="G4119" s="3" t="s">
        <v>104</v>
      </c>
      <c r="H4119" s="3" t="s">
        <v>56</v>
      </c>
      <c r="I4119" s="3" t="s">
        <v>57</v>
      </c>
      <c r="J4119" s="3" t="n">
        <v>28</v>
      </c>
      <c r="K4119" s="3" t="n">
        <v>9373.84</v>
      </c>
      <c r="L4119" s="3" t="n">
        <v>262467.52</v>
      </c>
      <c r="M4119" s="3" t="n">
        <v>0.2097</v>
      </c>
      <c r="N4119" s="3" t="n">
        <v>55039.44</v>
      </c>
      <c r="O4119" s="3" t="n">
        <v>207428.08</v>
      </c>
      <c r="P4119" s="3" t="n">
        <v>157480.51</v>
      </c>
      <c r="Q4119" s="3" t="n">
        <v>49947.57</v>
      </c>
      <c r="R4119" s="3" t="n">
        <v>0.2408</v>
      </c>
      <c r="S4119" s="3" t="n">
        <v>0.2057</v>
      </c>
      <c r="T4119" s="3" t="n">
        <v>0.004</v>
      </c>
    </row>
    <row r="4120" customFormat="false" ht="15" hidden="false" customHeight="true" outlineLevel="0" collapsed="false">
      <c r="A4120" s="3" t="s">
        <v>5282</v>
      </c>
      <c r="B4120" s="3" t="s">
        <v>422</v>
      </c>
      <c r="C4120" s="3" t="s">
        <v>93</v>
      </c>
      <c r="D4120" s="3" t="s">
        <v>107</v>
      </c>
      <c r="E4120" s="3" t="s">
        <v>33</v>
      </c>
      <c r="F4120" s="3" t="s">
        <v>70</v>
      </c>
      <c r="G4120" s="3" t="s">
        <v>34</v>
      </c>
      <c r="H4120" s="3" t="s">
        <v>77</v>
      </c>
      <c r="I4120" s="3" t="s">
        <v>85</v>
      </c>
      <c r="J4120" s="3" t="n">
        <v>43</v>
      </c>
      <c r="K4120" s="3" t="n">
        <v>4364.31</v>
      </c>
      <c r="L4120" s="3" t="n">
        <v>187665.33</v>
      </c>
      <c r="M4120" s="3" t="n">
        <v>0.0847</v>
      </c>
      <c r="N4120" s="3" t="n">
        <v>15895.25</v>
      </c>
      <c r="O4120" s="3" t="n">
        <v>171770.08</v>
      </c>
      <c r="P4120" s="3" t="n">
        <v>127612.42</v>
      </c>
      <c r="Q4120" s="3" t="n">
        <v>44157.66</v>
      </c>
      <c r="R4120" s="3" t="n">
        <v>0.2571</v>
      </c>
      <c r="S4120" s="3" t="n">
        <v>0.0852</v>
      </c>
      <c r="T4120" s="3" t="n">
        <v>-0.0005</v>
      </c>
    </row>
    <row r="4121" customFormat="false" ht="15" hidden="false" customHeight="true" outlineLevel="0" collapsed="false">
      <c r="A4121" s="3" t="s">
        <v>5283</v>
      </c>
      <c r="B4121" s="3" t="s">
        <v>2332</v>
      </c>
      <c r="C4121" s="3" t="s">
        <v>46</v>
      </c>
      <c r="D4121" s="3" t="s">
        <v>32</v>
      </c>
      <c r="E4121" s="3" t="s">
        <v>33</v>
      </c>
      <c r="F4121" s="3" t="s">
        <v>25</v>
      </c>
      <c r="G4121" s="3" t="s">
        <v>100</v>
      </c>
      <c r="H4121" s="3" t="s">
        <v>27</v>
      </c>
      <c r="I4121" s="3" t="s">
        <v>173</v>
      </c>
      <c r="J4121" s="3" t="n">
        <v>20</v>
      </c>
      <c r="K4121" s="3" t="n">
        <v>12986.53</v>
      </c>
      <c r="L4121" s="3" t="n">
        <v>259730.6</v>
      </c>
      <c r="M4121" s="3" t="n">
        <v>0.1684</v>
      </c>
      <c r="N4121" s="3" t="n">
        <v>43738.63</v>
      </c>
      <c r="O4121" s="3" t="n">
        <v>215991.97</v>
      </c>
      <c r="P4121" s="3" t="n">
        <v>161032.97</v>
      </c>
      <c r="Q4121" s="3" t="n">
        <v>54959</v>
      </c>
      <c r="R4121" s="3" t="n">
        <v>0.2544</v>
      </c>
      <c r="S4121" s="3" t="n">
        <v>0.1654</v>
      </c>
      <c r="T4121" s="3" t="n">
        <v>0.003</v>
      </c>
    </row>
    <row r="4122" customFormat="false" ht="15" hidden="false" customHeight="true" outlineLevel="0" collapsed="false">
      <c r="A4122" s="3" t="s">
        <v>5284</v>
      </c>
      <c r="B4122" s="3" t="s">
        <v>1884</v>
      </c>
      <c r="C4122" s="3" t="s">
        <v>126</v>
      </c>
      <c r="D4122" s="3" t="s">
        <v>97</v>
      </c>
      <c r="E4122" s="3" t="s">
        <v>48</v>
      </c>
      <c r="F4122" s="3" t="s">
        <v>40</v>
      </c>
      <c r="G4122" s="3" t="s">
        <v>63</v>
      </c>
      <c r="H4122" s="3" t="s">
        <v>56</v>
      </c>
      <c r="I4122" s="3" t="s">
        <v>188</v>
      </c>
      <c r="J4122" s="3" t="n">
        <v>1</v>
      </c>
      <c r="K4122" s="3" t="n">
        <v>16868.56</v>
      </c>
      <c r="L4122" s="3" t="n">
        <v>16868.56</v>
      </c>
      <c r="M4122" s="3" t="n">
        <v>0.064</v>
      </c>
      <c r="N4122" s="3" t="n">
        <v>1079.59</v>
      </c>
      <c r="O4122" s="3" t="n">
        <v>15788.97</v>
      </c>
      <c r="P4122" s="3" t="n">
        <v>10121.14</v>
      </c>
      <c r="Q4122" s="3" t="n">
        <v>5667.83</v>
      </c>
      <c r="R4122" s="3" t="n">
        <v>0.359</v>
      </c>
      <c r="S4122" s="3" t="n">
        <v>0.0552</v>
      </c>
      <c r="T4122" s="3" t="n">
        <v>0.0088</v>
      </c>
    </row>
    <row r="4123" customFormat="false" ht="15" hidden="false" customHeight="true" outlineLevel="0" collapsed="false">
      <c r="A4123" s="3" t="s">
        <v>5285</v>
      </c>
      <c r="B4123" s="3" t="s">
        <v>807</v>
      </c>
      <c r="C4123" s="3" t="s">
        <v>113</v>
      </c>
      <c r="D4123" s="3" t="s">
        <v>47</v>
      </c>
      <c r="E4123" s="3" t="s">
        <v>48</v>
      </c>
      <c r="F4123" s="3" t="s">
        <v>25</v>
      </c>
      <c r="G4123" s="3" t="s">
        <v>71</v>
      </c>
      <c r="H4123" s="3" t="s">
        <v>56</v>
      </c>
      <c r="I4123" s="3" t="s">
        <v>188</v>
      </c>
      <c r="J4123" s="3" t="n">
        <v>47</v>
      </c>
      <c r="K4123" s="3" t="n">
        <v>13894.45</v>
      </c>
      <c r="L4123" s="3" t="n">
        <v>653039.15</v>
      </c>
      <c r="M4123" s="3" t="n">
        <v>0.097</v>
      </c>
      <c r="N4123" s="3" t="n">
        <v>63344.8</v>
      </c>
      <c r="O4123" s="3" t="n">
        <v>589694.35</v>
      </c>
      <c r="P4123" s="3" t="n">
        <v>391823.49</v>
      </c>
      <c r="Q4123" s="3" t="n">
        <v>197870.86</v>
      </c>
      <c r="R4123" s="3" t="n">
        <v>0.3355</v>
      </c>
      <c r="S4123" s="3" t="n">
        <v>0.0873</v>
      </c>
      <c r="T4123" s="3" t="n">
        <v>0.0097</v>
      </c>
    </row>
    <row r="4124" customFormat="false" ht="15" hidden="false" customHeight="true" outlineLevel="0" collapsed="false">
      <c r="A4124" s="3" t="s">
        <v>5286</v>
      </c>
      <c r="B4124" s="3" t="s">
        <v>408</v>
      </c>
      <c r="C4124" s="3" t="s">
        <v>60</v>
      </c>
      <c r="D4124" s="3" t="s">
        <v>23</v>
      </c>
      <c r="E4124" s="3" t="s">
        <v>24</v>
      </c>
      <c r="F4124" s="3" t="s">
        <v>25</v>
      </c>
      <c r="G4124" s="3" t="s">
        <v>55</v>
      </c>
      <c r="H4124" s="3" t="s">
        <v>77</v>
      </c>
      <c r="I4124" s="3" t="s">
        <v>131</v>
      </c>
      <c r="J4124" s="3" t="n">
        <v>12</v>
      </c>
      <c r="K4124" s="3" t="n">
        <v>3488.28</v>
      </c>
      <c r="L4124" s="3" t="n">
        <v>41859.36</v>
      </c>
      <c r="M4124" s="3" t="n">
        <v>0.1341</v>
      </c>
      <c r="N4124" s="3" t="n">
        <v>5613.34</v>
      </c>
      <c r="O4124" s="3" t="n">
        <v>36246.02</v>
      </c>
      <c r="P4124" s="3" t="n">
        <v>28464.36</v>
      </c>
      <c r="Q4124" s="3" t="n">
        <v>7781.66</v>
      </c>
      <c r="R4124" s="3" t="n">
        <v>0.2147</v>
      </c>
      <c r="S4124" s="3" t="n">
        <v>0.1158</v>
      </c>
      <c r="T4124" s="3" t="n">
        <v>0.0183</v>
      </c>
    </row>
    <row r="4125" customFormat="false" ht="15" hidden="false" customHeight="true" outlineLevel="0" collapsed="false">
      <c r="A4125" s="3" t="s">
        <v>5287</v>
      </c>
      <c r="B4125" s="3" t="s">
        <v>3158</v>
      </c>
      <c r="C4125" s="3" t="s">
        <v>31</v>
      </c>
      <c r="D4125" s="3" t="s">
        <v>75</v>
      </c>
      <c r="E4125" s="3" t="s">
        <v>39</v>
      </c>
      <c r="F4125" s="3" t="s">
        <v>25</v>
      </c>
      <c r="G4125" s="3" t="s">
        <v>26</v>
      </c>
      <c r="H4125" s="3" t="s">
        <v>42</v>
      </c>
      <c r="I4125" s="3" t="s">
        <v>134</v>
      </c>
      <c r="J4125" s="3" t="n">
        <v>32</v>
      </c>
      <c r="K4125" s="3" t="n">
        <v>3351.16</v>
      </c>
      <c r="L4125" s="3" t="n">
        <v>107237.12</v>
      </c>
      <c r="M4125" s="3" t="n">
        <v>0.1579</v>
      </c>
      <c r="N4125" s="3" t="n">
        <v>16932.74</v>
      </c>
      <c r="O4125" s="3" t="n">
        <v>90304.38</v>
      </c>
      <c r="P4125" s="3" t="n">
        <v>58980.42</v>
      </c>
      <c r="Q4125" s="3" t="n">
        <v>31323.96</v>
      </c>
      <c r="R4125" s="3" t="n">
        <v>0.3469</v>
      </c>
      <c r="S4125" s="3" t="n">
        <v>0.17</v>
      </c>
      <c r="T4125" s="3" t="n">
        <v>-0.0121</v>
      </c>
    </row>
    <row r="4126" customFormat="false" ht="15" hidden="false" customHeight="true" outlineLevel="0" collapsed="false">
      <c r="A4126" s="3" t="s">
        <v>5288</v>
      </c>
      <c r="B4126" s="3" t="s">
        <v>1021</v>
      </c>
      <c r="C4126" s="3" t="s">
        <v>60</v>
      </c>
      <c r="D4126" s="3" t="s">
        <v>97</v>
      </c>
      <c r="E4126" s="3" t="s">
        <v>48</v>
      </c>
      <c r="F4126" s="3" t="s">
        <v>40</v>
      </c>
      <c r="G4126" s="3" t="s">
        <v>41</v>
      </c>
      <c r="H4126" s="3" t="s">
        <v>56</v>
      </c>
      <c r="I4126" s="3" t="s">
        <v>121</v>
      </c>
      <c r="J4126" s="3" t="n">
        <v>4</v>
      </c>
      <c r="K4126" s="3" t="n">
        <v>9577.23</v>
      </c>
      <c r="L4126" s="3" t="n">
        <v>38308.92</v>
      </c>
      <c r="M4126" s="3" t="n">
        <v>0.0972</v>
      </c>
      <c r="N4126" s="3" t="n">
        <v>3723.63</v>
      </c>
      <c r="O4126" s="3" t="n">
        <v>34585.29</v>
      </c>
      <c r="P4126" s="3" t="n">
        <v>22985.35</v>
      </c>
      <c r="Q4126" s="3" t="n">
        <v>11599.94</v>
      </c>
      <c r="R4126" s="3" t="n">
        <v>0.3354</v>
      </c>
      <c r="S4126" s="3" t="n">
        <v>0.0834</v>
      </c>
      <c r="T4126" s="3" t="n">
        <v>0.0138</v>
      </c>
    </row>
    <row r="4127" customFormat="false" ht="15" hidden="false" customHeight="true" outlineLevel="0" collapsed="false">
      <c r="A4127" s="3" t="s">
        <v>5289</v>
      </c>
      <c r="B4127" s="3" t="s">
        <v>1313</v>
      </c>
      <c r="C4127" s="3" t="s">
        <v>37</v>
      </c>
      <c r="D4127" s="3" t="s">
        <v>23</v>
      </c>
      <c r="E4127" s="3" t="s">
        <v>24</v>
      </c>
      <c r="F4127" s="3" t="s">
        <v>25</v>
      </c>
      <c r="G4127" s="3" t="s">
        <v>71</v>
      </c>
      <c r="H4127" s="3" t="s">
        <v>64</v>
      </c>
      <c r="I4127" s="3" t="s">
        <v>145</v>
      </c>
      <c r="J4127" s="3" t="n">
        <v>28</v>
      </c>
      <c r="K4127" s="3" t="n">
        <v>5262.65</v>
      </c>
      <c r="L4127" s="3" t="n">
        <v>147354.2</v>
      </c>
      <c r="M4127" s="3" t="n">
        <v>0.0992</v>
      </c>
      <c r="N4127" s="3" t="n">
        <v>14617.54</v>
      </c>
      <c r="O4127" s="3" t="n">
        <v>132736.66</v>
      </c>
      <c r="P4127" s="3" t="n">
        <v>85465.44</v>
      </c>
      <c r="Q4127" s="3" t="n">
        <v>47271.22</v>
      </c>
      <c r="R4127" s="3" t="n">
        <v>0.3561</v>
      </c>
      <c r="S4127" s="3" t="n">
        <v>0.0824</v>
      </c>
      <c r="T4127" s="3" t="n">
        <v>0.0168</v>
      </c>
    </row>
    <row r="4128" customFormat="false" ht="15" hidden="false" customHeight="true" outlineLevel="0" collapsed="false">
      <c r="A4128" s="3" t="s">
        <v>5290</v>
      </c>
      <c r="B4128" s="3" t="s">
        <v>45</v>
      </c>
      <c r="C4128" s="3" t="s">
        <v>46</v>
      </c>
      <c r="D4128" s="3" t="s">
        <v>54</v>
      </c>
      <c r="E4128" s="3" t="s">
        <v>24</v>
      </c>
      <c r="F4128" s="3" t="s">
        <v>40</v>
      </c>
      <c r="G4128" s="3" t="s">
        <v>26</v>
      </c>
      <c r="H4128" s="3" t="s">
        <v>56</v>
      </c>
      <c r="I4128" s="3" t="s">
        <v>121</v>
      </c>
      <c r="J4128" s="3" t="n">
        <v>35</v>
      </c>
      <c r="K4128" s="3" t="n">
        <v>8181.36</v>
      </c>
      <c r="L4128" s="3" t="n">
        <v>286347.6</v>
      </c>
      <c r="M4128" s="3" t="n">
        <v>0.0324</v>
      </c>
      <c r="N4128" s="3" t="n">
        <v>9277.66</v>
      </c>
      <c r="O4128" s="3" t="n">
        <v>277069.94</v>
      </c>
      <c r="P4128" s="3" t="n">
        <v>171808.56</v>
      </c>
      <c r="Q4128" s="3" t="n">
        <v>105261.38</v>
      </c>
      <c r="R4128" s="3" t="n">
        <v>0.3799</v>
      </c>
      <c r="S4128" s="3" t="n">
        <v>0.0344</v>
      </c>
      <c r="T4128" s="3" t="n">
        <v>-0.002</v>
      </c>
    </row>
    <row r="4129" customFormat="false" ht="15" hidden="false" customHeight="true" outlineLevel="0" collapsed="false">
      <c r="A4129" s="3" t="s">
        <v>5291</v>
      </c>
      <c r="B4129" s="3" t="s">
        <v>1214</v>
      </c>
      <c r="C4129" s="3" t="s">
        <v>60</v>
      </c>
      <c r="D4129" s="3" t="s">
        <v>47</v>
      </c>
      <c r="E4129" s="3" t="s">
        <v>48</v>
      </c>
      <c r="F4129" s="3" t="s">
        <v>25</v>
      </c>
      <c r="G4129" s="3" t="s">
        <v>26</v>
      </c>
      <c r="H4129" s="3" t="s">
        <v>64</v>
      </c>
      <c r="I4129" s="3" t="s">
        <v>90</v>
      </c>
      <c r="J4129" s="3" t="n">
        <v>45</v>
      </c>
      <c r="K4129" s="3" t="n">
        <v>9715.89</v>
      </c>
      <c r="L4129" s="3" t="n">
        <v>437215.05</v>
      </c>
      <c r="M4129" s="3" t="n">
        <v>0.1338</v>
      </c>
      <c r="N4129" s="3" t="n">
        <v>58499.37</v>
      </c>
      <c r="O4129" s="3" t="n">
        <v>378715.68</v>
      </c>
      <c r="P4129" s="3" t="n">
        <v>253584.73</v>
      </c>
      <c r="Q4129" s="3" t="n">
        <v>125130.95</v>
      </c>
      <c r="R4129" s="3" t="n">
        <v>0.3304</v>
      </c>
      <c r="S4129" s="3" t="n">
        <v>0.1179</v>
      </c>
      <c r="T4129" s="3" t="n">
        <v>0.0159</v>
      </c>
    </row>
    <row r="4130" customFormat="false" ht="15" hidden="false" customHeight="true" outlineLevel="0" collapsed="false">
      <c r="A4130" s="3" t="s">
        <v>5292</v>
      </c>
      <c r="B4130" s="3" t="s">
        <v>840</v>
      </c>
      <c r="C4130" s="3" t="s">
        <v>46</v>
      </c>
      <c r="D4130" s="3" t="s">
        <v>54</v>
      </c>
      <c r="E4130" s="3" t="s">
        <v>24</v>
      </c>
      <c r="F4130" s="3" t="s">
        <v>40</v>
      </c>
      <c r="G4130" s="3" t="s">
        <v>104</v>
      </c>
      <c r="H4130" s="3" t="s">
        <v>56</v>
      </c>
      <c r="I4130" s="3" t="s">
        <v>57</v>
      </c>
      <c r="J4130" s="3" t="n">
        <v>44</v>
      </c>
      <c r="K4130" s="3" t="n">
        <v>14062.58</v>
      </c>
      <c r="L4130" s="3" t="n">
        <v>618753.52</v>
      </c>
      <c r="M4130" s="3" t="n">
        <v>0.1271</v>
      </c>
      <c r="N4130" s="3" t="n">
        <v>78643.57</v>
      </c>
      <c r="O4130" s="3" t="n">
        <v>540109.95</v>
      </c>
      <c r="P4130" s="3" t="n">
        <v>371252.11</v>
      </c>
      <c r="Q4130" s="3" t="n">
        <v>168857.84</v>
      </c>
      <c r="R4130" s="3" t="n">
        <v>0.3126</v>
      </c>
      <c r="S4130" s="3" t="n">
        <v>0.1049</v>
      </c>
      <c r="T4130" s="3" t="n">
        <v>0.0222</v>
      </c>
    </row>
    <row r="4131" customFormat="false" ht="15" hidden="false" customHeight="true" outlineLevel="0" collapsed="false">
      <c r="A4131" s="3" t="s">
        <v>5293</v>
      </c>
      <c r="B4131" s="3" t="s">
        <v>87</v>
      </c>
      <c r="C4131" s="3" t="s">
        <v>22</v>
      </c>
      <c r="D4131" s="3" t="s">
        <v>47</v>
      </c>
      <c r="E4131" s="3" t="s">
        <v>48</v>
      </c>
      <c r="F4131" s="3" t="s">
        <v>25</v>
      </c>
      <c r="G4131" s="3" t="s">
        <v>49</v>
      </c>
      <c r="H4131" s="3" t="s">
        <v>56</v>
      </c>
      <c r="I4131" s="3" t="s">
        <v>121</v>
      </c>
      <c r="J4131" s="3" t="n">
        <v>6</v>
      </c>
      <c r="K4131" s="3" t="n">
        <v>8673.41</v>
      </c>
      <c r="L4131" s="3" t="n">
        <v>52040.46</v>
      </c>
      <c r="M4131" s="3" t="n">
        <v>0.1055</v>
      </c>
      <c r="N4131" s="3" t="n">
        <v>5490.27</v>
      </c>
      <c r="O4131" s="3" t="n">
        <v>46550.19</v>
      </c>
      <c r="P4131" s="3" t="n">
        <v>31224.28</v>
      </c>
      <c r="Q4131" s="3" t="n">
        <v>15325.91</v>
      </c>
      <c r="R4131" s="3" t="n">
        <v>0.3292</v>
      </c>
      <c r="S4131" s="3" t="n">
        <v>0.1113</v>
      </c>
      <c r="T4131" s="3" t="n">
        <v>-0.0058</v>
      </c>
    </row>
    <row r="4132" customFormat="false" ht="15" hidden="false" customHeight="true" outlineLevel="0" collapsed="false">
      <c r="A4132" s="3" t="s">
        <v>5294</v>
      </c>
      <c r="B4132" s="3" t="s">
        <v>1435</v>
      </c>
      <c r="C4132" s="3" t="s">
        <v>113</v>
      </c>
      <c r="D4132" s="3" t="s">
        <v>107</v>
      </c>
      <c r="E4132" s="3" t="s">
        <v>33</v>
      </c>
      <c r="F4132" s="3" t="s">
        <v>70</v>
      </c>
      <c r="G4132" s="3" t="s">
        <v>116</v>
      </c>
      <c r="H4132" s="3" t="s">
        <v>64</v>
      </c>
      <c r="I4132" s="3" t="s">
        <v>108</v>
      </c>
      <c r="J4132" s="3" t="n">
        <v>35</v>
      </c>
      <c r="K4132" s="3" t="n">
        <v>7900.17</v>
      </c>
      <c r="L4132" s="3" t="n">
        <v>276505.95</v>
      </c>
      <c r="M4132" s="3" t="n">
        <v>0.0672</v>
      </c>
      <c r="N4132" s="3" t="n">
        <v>18581.2</v>
      </c>
      <c r="O4132" s="3" t="n">
        <v>257924.75</v>
      </c>
      <c r="P4132" s="3" t="n">
        <v>160373.45</v>
      </c>
      <c r="Q4132" s="3" t="n">
        <v>97551.3</v>
      </c>
      <c r="R4132" s="3" t="n">
        <v>0.3782</v>
      </c>
      <c r="S4132" s="3" t="n">
        <v>0.0591</v>
      </c>
      <c r="T4132" s="3" t="n">
        <v>0.0081</v>
      </c>
    </row>
    <row r="4133" customFormat="false" ht="15" hidden="false" customHeight="true" outlineLevel="0" collapsed="false">
      <c r="A4133" s="3" t="s">
        <v>5295</v>
      </c>
      <c r="B4133" s="3" t="s">
        <v>465</v>
      </c>
      <c r="C4133" s="3" t="s">
        <v>53</v>
      </c>
      <c r="D4133" s="3" t="s">
        <v>47</v>
      </c>
      <c r="E4133" s="3" t="s">
        <v>48</v>
      </c>
      <c r="F4133" s="3" t="s">
        <v>25</v>
      </c>
      <c r="G4133" s="3" t="s">
        <v>41</v>
      </c>
      <c r="H4133" s="3" t="s">
        <v>56</v>
      </c>
      <c r="I4133" s="3" t="s">
        <v>188</v>
      </c>
      <c r="J4133" s="3" t="n">
        <v>14</v>
      </c>
      <c r="K4133" s="3" t="n">
        <v>12326.42</v>
      </c>
      <c r="L4133" s="3" t="n">
        <v>172569.88</v>
      </c>
      <c r="M4133" s="3" t="n">
        <v>0.193</v>
      </c>
      <c r="N4133" s="3" t="n">
        <v>33305.99</v>
      </c>
      <c r="O4133" s="3" t="n">
        <v>139263.89</v>
      </c>
      <c r="P4133" s="3" t="n">
        <v>103541.93</v>
      </c>
      <c r="Q4133" s="3" t="n">
        <v>35721.96</v>
      </c>
      <c r="R4133" s="3" t="n">
        <v>0.2565</v>
      </c>
      <c r="S4133" s="3" t="n">
        <v>0.191</v>
      </c>
      <c r="T4133" s="3" t="n">
        <v>0.002</v>
      </c>
    </row>
    <row r="4134" customFormat="false" ht="15" hidden="false" customHeight="true" outlineLevel="0" collapsed="false">
      <c r="A4134" s="3" t="s">
        <v>5296</v>
      </c>
      <c r="B4134" s="3" t="s">
        <v>378</v>
      </c>
      <c r="C4134" s="3" t="s">
        <v>22</v>
      </c>
      <c r="D4134" s="3" t="s">
        <v>38</v>
      </c>
      <c r="E4134" s="3" t="s">
        <v>39</v>
      </c>
      <c r="F4134" s="3" t="s">
        <v>40</v>
      </c>
      <c r="G4134" s="3" t="s">
        <v>116</v>
      </c>
      <c r="H4134" s="3" t="s">
        <v>56</v>
      </c>
      <c r="I4134" s="3" t="s">
        <v>188</v>
      </c>
      <c r="J4134" s="3" t="n">
        <v>11</v>
      </c>
      <c r="K4134" s="3" t="n">
        <v>14414.33</v>
      </c>
      <c r="L4134" s="3" t="n">
        <v>158557.63</v>
      </c>
      <c r="M4134" s="3" t="n">
        <v>0.09</v>
      </c>
      <c r="N4134" s="3" t="n">
        <v>14270.19</v>
      </c>
      <c r="O4134" s="3" t="n">
        <v>144287.44</v>
      </c>
      <c r="P4134" s="3" t="n">
        <v>95134.58</v>
      </c>
      <c r="Q4134" s="3" t="n">
        <v>49152.86</v>
      </c>
      <c r="R4134" s="3" t="n">
        <v>0.3407</v>
      </c>
      <c r="S4134" s="3" t="n">
        <v>0.0824</v>
      </c>
      <c r="T4134" s="3" t="n">
        <v>0.0076</v>
      </c>
    </row>
    <row r="4135" customFormat="false" ht="15" hidden="false" customHeight="true" outlineLevel="0" collapsed="false">
      <c r="A4135" s="3" t="s">
        <v>5297</v>
      </c>
      <c r="B4135" s="3" t="s">
        <v>2384</v>
      </c>
      <c r="C4135" s="3" t="s">
        <v>46</v>
      </c>
      <c r="D4135" s="3" t="s">
        <v>61</v>
      </c>
      <c r="E4135" s="3" t="s">
        <v>33</v>
      </c>
      <c r="F4135" s="3" t="s">
        <v>62</v>
      </c>
      <c r="G4135" s="3" t="s">
        <v>41</v>
      </c>
      <c r="H4135" s="3" t="s">
        <v>56</v>
      </c>
      <c r="I4135" s="3" t="s">
        <v>57</v>
      </c>
      <c r="J4135" s="3" t="n">
        <v>41</v>
      </c>
      <c r="K4135" s="3" t="n">
        <v>2497.27</v>
      </c>
      <c r="L4135" s="3" t="n">
        <v>102388.07</v>
      </c>
      <c r="M4135" s="3" t="n">
        <v>0.0809</v>
      </c>
      <c r="N4135" s="3" t="n">
        <v>8283.19</v>
      </c>
      <c r="O4135" s="3" t="n">
        <v>94104.88</v>
      </c>
      <c r="P4135" s="3" t="n">
        <v>61432.84</v>
      </c>
      <c r="Q4135" s="3" t="n">
        <v>32672.04</v>
      </c>
      <c r="R4135" s="3" t="n">
        <v>0.3472</v>
      </c>
      <c r="S4135" s="3" t="n">
        <v>0.0684</v>
      </c>
      <c r="T4135" s="3" t="n">
        <v>0.0125</v>
      </c>
    </row>
    <row r="4136" customFormat="false" ht="15" hidden="false" customHeight="true" outlineLevel="0" collapsed="false">
      <c r="A4136" s="3" t="s">
        <v>5298</v>
      </c>
      <c r="B4136" s="3" t="s">
        <v>1057</v>
      </c>
      <c r="C4136" s="3" t="s">
        <v>22</v>
      </c>
      <c r="D4136" s="3" t="s">
        <v>61</v>
      </c>
      <c r="E4136" s="3" t="s">
        <v>33</v>
      </c>
      <c r="F4136" s="3" t="s">
        <v>62</v>
      </c>
      <c r="G4136" s="3" t="s">
        <v>63</v>
      </c>
      <c r="H4136" s="3" t="s">
        <v>64</v>
      </c>
      <c r="I4136" s="3" t="s">
        <v>108</v>
      </c>
      <c r="J4136" s="3" t="n">
        <v>44</v>
      </c>
      <c r="K4136" s="3" t="n">
        <v>8734.44</v>
      </c>
      <c r="L4136" s="3" t="n">
        <v>384315.36</v>
      </c>
      <c r="M4136" s="3" t="n">
        <v>0.0408</v>
      </c>
      <c r="N4136" s="3" t="n">
        <v>15680.07</v>
      </c>
      <c r="O4136" s="3" t="n">
        <v>368635.29</v>
      </c>
      <c r="P4136" s="3" t="n">
        <v>222902.91</v>
      </c>
      <c r="Q4136" s="3" t="n">
        <v>145732.38</v>
      </c>
      <c r="R4136" s="3" t="n">
        <v>0.3953</v>
      </c>
      <c r="S4136" s="3" t="n">
        <v>0.0362</v>
      </c>
      <c r="T4136" s="3" t="n">
        <v>0.0046</v>
      </c>
    </row>
    <row r="4137" customFormat="false" ht="15" hidden="false" customHeight="true" outlineLevel="0" collapsed="false">
      <c r="A4137" s="3" t="s">
        <v>5299</v>
      </c>
      <c r="B4137" s="3" t="s">
        <v>2789</v>
      </c>
      <c r="C4137" s="3" t="s">
        <v>31</v>
      </c>
      <c r="D4137" s="3" t="s">
        <v>32</v>
      </c>
      <c r="E4137" s="3" t="s">
        <v>33</v>
      </c>
      <c r="F4137" s="3" t="s">
        <v>25</v>
      </c>
      <c r="G4137" s="3" t="s">
        <v>41</v>
      </c>
      <c r="H4137" s="3" t="s">
        <v>56</v>
      </c>
      <c r="I4137" s="3" t="s">
        <v>121</v>
      </c>
      <c r="J4137" s="3" t="n">
        <v>32</v>
      </c>
      <c r="K4137" s="3" t="n">
        <v>3272.79</v>
      </c>
      <c r="L4137" s="3" t="n">
        <v>104729.28</v>
      </c>
      <c r="M4137" s="3" t="n">
        <v>0.1338</v>
      </c>
      <c r="N4137" s="3" t="n">
        <v>14012.78</v>
      </c>
      <c r="O4137" s="3" t="n">
        <v>90716.5</v>
      </c>
      <c r="P4137" s="3" t="n">
        <v>62837.57</v>
      </c>
      <c r="Q4137" s="3" t="n">
        <v>27878.93</v>
      </c>
      <c r="R4137" s="3" t="n">
        <v>0.3073</v>
      </c>
      <c r="S4137" s="3" t="n">
        <v>0.1265</v>
      </c>
      <c r="T4137" s="3" t="n">
        <v>0.0073</v>
      </c>
    </row>
    <row r="4138" customFormat="false" ht="15" hidden="false" customHeight="true" outlineLevel="0" collapsed="false">
      <c r="A4138" s="3" t="s">
        <v>5300</v>
      </c>
      <c r="B4138" s="3" t="s">
        <v>954</v>
      </c>
      <c r="C4138" s="3" t="s">
        <v>120</v>
      </c>
      <c r="D4138" s="3" t="s">
        <v>32</v>
      </c>
      <c r="E4138" s="3" t="s">
        <v>33</v>
      </c>
      <c r="F4138" s="3" t="s">
        <v>25</v>
      </c>
      <c r="G4138" s="3" t="s">
        <v>55</v>
      </c>
      <c r="H4138" s="3" t="s">
        <v>27</v>
      </c>
      <c r="I4138" s="3" t="s">
        <v>117</v>
      </c>
      <c r="J4138" s="3" t="n">
        <v>2</v>
      </c>
      <c r="K4138" s="3" t="n">
        <v>19125.88</v>
      </c>
      <c r="L4138" s="3" t="n">
        <v>38251.76</v>
      </c>
      <c r="M4138" s="3" t="n">
        <v>0.1908</v>
      </c>
      <c r="N4138" s="3" t="n">
        <v>7298.44</v>
      </c>
      <c r="O4138" s="3" t="n">
        <v>30953.32</v>
      </c>
      <c r="P4138" s="3" t="n">
        <v>23716.09</v>
      </c>
      <c r="Q4138" s="3" t="n">
        <v>7237.23</v>
      </c>
      <c r="R4138" s="3" t="n">
        <v>0.2338</v>
      </c>
      <c r="S4138" s="3" t="n">
        <v>0.1906</v>
      </c>
      <c r="T4138" s="3" t="n">
        <v>0.0002</v>
      </c>
    </row>
    <row r="4139" customFormat="false" ht="15" hidden="false" customHeight="true" outlineLevel="0" collapsed="false">
      <c r="A4139" s="3" t="s">
        <v>5301</v>
      </c>
      <c r="B4139" s="3" t="s">
        <v>2708</v>
      </c>
      <c r="C4139" s="3" t="s">
        <v>156</v>
      </c>
      <c r="D4139" s="3" t="s">
        <v>83</v>
      </c>
      <c r="E4139" s="3" t="s">
        <v>48</v>
      </c>
      <c r="F4139" s="3" t="s">
        <v>62</v>
      </c>
      <c r="G4139" s="3" t="s">
        <v>49</v>
      </c>
      <c r="H4139" s="3" t="s">
        <v>77</v>
      </c>
      <c r="I4139" s="3" t="s">
        <v>85</v>
      </c>
      <c r="J4139" s="3" t="n">
        <v>37</v>
      </c>
      <c r="K4139" s="3" t="n">
        <v>3114.49</v>
      </c>
      <c r="L4139" s="3" t="n">
        <v>115236.13</v>
      </c>
      <c r="M4139" s="3" t="n">
        <v>0.0649</v>
      </c>
      <c r="N4139" s="3" t="n">
        <v>7478.82</v>
      </c>
      <c r="O4139" s="3" t="n">
        <v>107757.31</v>
      </c>
      <c r="P4139" s="3" t="n">
        <v>78360.57</v>
      </c>
      <c r="Q4139" s="3" t="n">
        <v>29396.74</v>
      </c>
      <c r="R4139" s="3" t="n">
        <v>0.2728</v>
      </c>
      <c r="S4139" s="3" t="n">
        <v>0.0521</v>
      </c>
      <c r="T4139" s="3" t="n">
        <v>0.0128</v>
      </c>
    </row>
    <row r="4140" customFormat="false" ht="15" hidden="false" customHeight="true" outlineLevel="0" collapsed="false">
      <c r="A4140" s="3" t="s">
        <v>5302</v>
      </c>
      <c r="B4140" s="3" t="s">
        <v>844</v>
      </c>
      <c r="C4140" s="3" t="s">
        <v>37</v>
      </c>
      <c r="D4140" s="3" t="s">
        <v>32</v>
      </c>
      <c r="E4140" s="3" t="s">
        <v>33</v>
      </c>
      <c r="F4140" s="3" t="s">
        <v>25</v>
      </c>
      <c r="G4140" s="3" t="s">
        <v>71</v>
      </c>
      <c r="H4140" s="3" t="s">
        <v>27</v>
      </c>
      <c r="I4140" s="3" t="s">
        <v>94</v>
      </c>
      <c r="J4140" s="3" t="n">
        <v>48</v>
      </c>
      <c r="K4140" s="3" t="n">
        <v>39925.91</v>
      </c>
      <c r="L4140" s="3" t="n">
        <v>1916443.68</v>
      </c>
      <c r="M4140" s="3" t="n">
        <v>0.111</v>
      </c>
      <c r="N4140" s="3" t="n">
        <v>212725.25</v>
      </c>
      <c r="O4140" s="3" t="n">
        <v>1703718.43</v>
      </c>
      <c r="P4140" s="3" t="n">
        <v>1188195.08</v>
      </c>
      <c r="Q4140" s="3" t="n">
        <v>515523.35</v>
      </c>
      <c r="R4140" s="3" t="n">
        <v>0.3026</v>
      </c>
      <c r="S4140" s="3" t="n">
        <v>0.1169</v>
      </c>
      <c r="T4140" s="3" t="n">
        <v>-0.0059</v>
      </c>
    </row>
    <row r="4141" customFormat="false" ht="15" hidden="false" customHeight="true" outlineLevel="0" collapsed="false">
      <c r="A4141" s="3" t="s">
        <v>5303</v>
      </c>
      <c r="B4141" s="3" t="s">
        <v>970</v>
      </c>
      <c r="C4141" s="3" t="s">
        <v>68</v>
      </c>
      <c r="D4141" s="3" t="s">
        <v>69</v>
      </c>
      <c r="E4141" s="3" t="s">
        <v>39</v>
      </c>
      <c r="F4141" s="3" t="s">
        <v>70</v>
      </c>
      <c r="G4141" s="3" t="s">
        <v>76</v>
      </c>
      <c r="H4141" s="3" t="s">
        <v>64</v>
      </c>
      <c r="I4141" s="3" t="s">
        <v>145</v>
      </c>
      <c r="J4141" s="3" t="n">
        <v>17</v>
      </c>
      <c r="K4141" s="3" t="n">
        <v>7766.39</v>
      </c>
      <c r="L4141" s="3" t="n">
        <v>132028.63</v>
      </c>
      <c r="M4141" s="3" t="n">
        <v>0.0796</v>
      </c>
      <c r="N4141" s="3" t="n">
        <v>10509.48</v>
      </c>
      <c r="O4141" s="3" t="n">
        <v>121519.15</v>
      </c>
      <c r="P4141" s="3" t="n">
        <v>76576.61</v>
      </c>
      <c r="Q4141" s="3" t="n">
        <v>44942.54</v>
      </c>
      <c r="R4141" s="3" t="n">
        <v>0.3698</v>
      </c>
      <c r="S4141" s="3" t="n">
        <v>0.0854</v>
      </c>
      <c r="T4141" s="3" t="n">
        <v>-0.0058</v>
      </c>
    </row>
    <row r="4142" customFormat="false" ht="15" hidden="false" customHeight="true" outlineLevel="0" collapsed="false">
      <c r="A4142" s="3" t="s">
        <v>5304</v>
      </c>
      <c r="B4142" s="3" t="s">
        <v>2618</v>
      </c>
      <c r="C4142" s="3" t="s">
        <v>120</v>
      </c>
      <c r="D4142" s="3" t="s">
        <v>83</v>
      </c>
      <c r="E4142" s="3" t="s">
        <v>48</v>
      </c>
      <c r="F4142" s="3" t="s">
        <v>62</v>
      </c>
      <c r="G4142" s="3" t="s">
        <v>116</v>
      </c>
      <c r="H4142" s="3" t="s">
        <v>27</v>
      </c>
      <c r="I4142" s="3" t="s">
        <v>50</v>
      </c>
      <c r="J4142" s="3" t="n">
        <v>47</v>
      </c>
      <c r="K4142" s="3" t="n">
        <v>18003.72</v>
      </c>
      <c r="L4142" s="3" t="n">
        <v>846174.84</v>
      </c>
      <c r="M4142" s="3" t="n">
        <v>0.0921</v>
      </c>
      <c r="N4142" s="3" t="n">
        <v>77932.7</v>
      </c>
      <c r="O4142" s="3" t="n">
        <v>768242.14</v>
      </c>
      <c r="P4142" s="3" t="n">
        <v>524628.4</v>
      </c>
      <c r="Q4142" s="3" t="n">
        <v>243613.74</v>
      </c>
      <c r="R4142" s="3" t="n">
        <v>0.3171</v>
      </c>
      <c r="S4142" s="3" t="n">
        <v>0.0768</v>
      </c>
      <c r="T4142" s="3" t="n">
        <v>0.0153</v>
      </c>
    </row>
    <row r="4143" customFormat="false" ht="15" hidden="false" customHeight="true" outlineLevel="0" collapsed="false">
      <c r="A4143" s="3" t="s">
        <v>5305</v>
      </c>
      <c r="B4143" s="3" t="s">
        <v>1219</v>
      </c>
      <c r="C4143" s="3" t="s">
        <v>156</v>
      </c>
      <c r="D4143" s="3" t="s">
        <v>23</v>
      </c>
      <c r="E4143" s="3" t="s">
        <v>24</v>
      </c>
      <c r="F4143" s="3" t="s">
        <v>25</v>
      </c>
      <c r="G4143" s="3" t="s">
        <v>84</v>
      </c>
      <c r="H4143" s="3" t="s">
        <v>27</v>
      </c>
      <c r="I4143" s="3" t="s">
        <v>94</v>
      </c>
      <c r="J4143" s="3" t="n">
        <v>31</v>
      </c>
      <c r="K4143" s="3" t="n">
        <v>8345.43</v>
      </c>
      <c r="L4143" s="3" t="n">
        <v>258708.33</v>
      </c>
      <c r="M4143" s="3" t="n">
        <v>0.1544</v>
      </c>
      <c r="N4143" s="3" t="n">
        <v>39944.57</v>
      </c>
      <c r="O4143" s="3" t="n">
        <v>218763.76</v>
      </c>
      <c r="P4143" s="3" t="n">
        <v>160399.16</v>
      </c>
      <c r="Q4143" s="3" t="n">
        <v>58364.6</v>
      </c>
      <c r="R4143" s="3" t="n">
        <v>0.2668</v>
      </c>
      <c r="S4143" s="3" t="n">
        <v>0.1626</v>
      </c>
      <c r="T4143" s="3" t="n">
        <v>-0.0082</v>
      </c>
    </row>
    <row r="4144" customFormat="false" ht="15" hidden="false" customHeight="true" outlineLevel="0" collapsed="false">
      <c r="A4144" s="3" t="s">
        <v>5306</v>
      </c>
      <c r="B4144" s="3" t="s">
        <v>1825</v>
      </c>
      <c r="C4144" s="3" t="s">
        <v>113</v>
      </c>
      <c r="D4144" s="3" t="s">
        <v>32</v>
      </c>
      <c r="E4144" s="3" t="s">
        <v>33</v>
      </c>
      <c r="F4144" s="3" t="s">
        <v>25</v>
      </c>
      <c r="G4144" s="3" t="s">
        <v>34</v>
      </c>
      <c r="H4144" s="3" t="s">
        <v>27</v>
      </c>
      <c r="I4144" s="3" t="s">
        <v>94</v>
      </c>
      <c r="J4144" s="3" t="n">
        <v>47</v>
      </c>
      <c r="K4144" s="3" t="n">
        <v>29017.24</v>
      </c>
      <c r="L4144" s="3" t="n">
        <v>1363810.28</v>
      </c>
      <c r="M4144" s="3" t="n">
        <v>0.1615</v>
      </c>
      <c r="N4144" s="3" t="n">
        <v>220255.36</v>
      </c>
      <c r="O4144" s="3" t="n">
        <v>1143554.92</v>
      </c>
      <c r="P4144" s="3" t="n">
        <v>845562.37</v>
      </c>
      <c r="Q4144" s="3" t="n">
        <v>297992.55</v>
      </c>
      <c r="R4144" s="3" t="n">
        <v>0.2606</v>
      </c>
      <c r="S4144" s="3" t="n">
        <v>0.1429</v>
      </c>
      <c r="T4144" s="3" t="n">
        <v>0.0186</v>
      </c>
    </row>
    <row r="4145" customFormat="false" ht="15" hidden="false" customHeight="true" outlineLevel="0" collapsed="false">
      <c r="A4145" s="3" t="s">
        <v>5307</v>
      </c>
      <c r="B4145" s="3" t="s">
        <v>243</v>
      </c>
      <c r="C4145" s="3" t="s">
        <v>156</v>
      </c>
      <c r="D4145" s="3" t="s">
        <v>97</v>
      </c>
      <c r="E4145" s="3" t="s">
        <v>48</v>
      </c>
      <c r="F4145" s="3" t="s">
        <v>40</v>
      </c>
      <c r="G4145" s="3" t="s">
        <v>116</v>
      </c>
      <c r="H4145" s="3" t="s">
        <v>56</v>
      </c>
      <c r="I4145" s="3" t="s">
        <v>121</v>
      </c>
      <c r="J4145" s="3" t="n">
        <v>14</v>
      </c>
      <c r="K4145" s="3" t="n">
        <v>4859.54</v>
      </c>
      <c r="L4145" s="3" t="n">
        <v>68033.56</v>
      </c>
      <c r="M4145" s="3" t="n">
        <v>0.0736</v>
      </c>
      <c r="N4145" s="3" t="n">
        <v>5007.27</v>
      </c>
      <c r="O4145" s="3" t="n">
        <v>63026.29</v>
      </c>
      <c r="P4145" s="3" t="n">
        <v>40820.14</v>
      </c>
      <c r="Q4145" s="3" t="n">
        <v>22206.15</v>
      </c>
      <c r="R4145" s="3" t="n">
        <v>0.3523</v>
      </c>
      <c r="S4145" s="3" t="n">
        <v>0.0594</v>
      </c>
      <c r="T4145" s="3" t="n">
        <v>0.0142</v>
      </c>
    </row>
    <row r="4146" customFormat="false" ht="15" hidden="false" customHeight="true" outlineLevel="0" collapsed="false">
      <c r="A4146" s="3" t="s">
        <v>5308</v>
      </c>
      <c r="B4146" s="3" t="s">
        <v>3015</v>
      </c>
      <c r="C4146" s="3" t="s">
        <v>37</v>
      </c>
      <c r="D4146" s="3" t="s">
        <v>38</v>
      </c>
      <c r="E4146" s="3" t="s">
        <v>39</v>
      </c>
      <c r="F4146" s="3" t="s">
        <v>40</v>
      </c>
      <c r="G4146" s="3" t="s">
        <v>76</v>
      </c>
      <c r="H4146" s="3" t="s">
        <v>64</v>
      </c>
      <c r="I4146" s="3" t="s">
        <v>108</v>
      </c>
      <c r="J4146" s="3" t="n">
        <v>35</v>
      </c>
      <c r="K4146" s="3" t="n">
        <v>9281.05</v>
      </c>
      <c r="L4146" s="3" t="n">
        <v>324836.75</v>
      </c>
      <c r="M4146" s="3" t="n">
        <v>0.0417</v>
      </c>
      <c r="N4146" s="3" t="n">
        <v>13545.69</v>
      </c>
      <c r="O4146" s="3" t="n">
        <v>311291.06</v>
      </c>
      <c r="P4146" s="3" t="n">
        <v>188405.31</v>
      </c>
      <c r="Q4146" s="3" t="n">
        <v>122885.75</v>
      </c>
      <c r="R4146" s="3" t="n">
        <v>0.3948</v>
      </c>
      <c r="S4146" s="3" t="n">
        <v>0.0357</v>
      </c>
      <c r="T4146" s="3" t="n">
        <v>0.006</v>
      </c>
    </row>
    <row r="4147" customFormat="false" ht="15" hidden="false" customHeight="true" outlineLevel="0" collapsed="false">
      <c r="A4147" s="3" t="s">
        <v>5309</v>
      </c>
      <c r="B4147" s="3" t="s">
        <v>3457</v>
      </c>
      <c r="C4147" s="3" t="s">
        <v>22</v>
      </c>
      <c r="D4147" s="3" t="s">
        <v>83</v>
      </c>
      <c r="E4147" s="3" t="s">
        <v>48</v>
      </c>
      <c r="F4147" s="3" t="s">
        <v>62</v>
      </c>
      <c r="G4147" s="3" t="s">
        <v>49</v>
      </c>
      <c r="H4147" s="3" t="s">
        <v>77</v>
      </c>
      <c r="I4147" s="3" t="s">
        <v>131</v>
      </c>
      <c r="J4147" s="3" t="n">
        <v>3</v>
      </c>
      <c r="K4147" s="3" t="n">
        <v>1908.27</v>
      </c>
      <c r="L4147" s="3" t="n">
        <v>5724.81</v>
      </c>
      <c r="M4147" s="3" t="n">
        <v>0.0742</v>
      </c>
      <c r="N4147" s="3" t="n">
        <v>424.78</v>
      </c>
      <c r="O4147" s="3" t="n">
        <v>5300.03</v>
      </c>
      <c r="P4147" s="3" t="n">
        <v>3892.87</v>
      </c>
      <c r="Q4147" s="3" t="n">
        <v>1407.16</v>
      </c>
      <c r="R4147" s="3" t="n">
        <v>0.2655</v>
      </c>
      <c r="S4147" s="3" t="n">
        <v>0.0643</v>
      </c>
      <c r="T4147" s="3" t="n">
        <v>0.0099</v>
      </c>
    </row>
    <row r="4148" customFormat="false" ht="15" hidden="false" customHeight="true" outlineLevel="0" collapsed="false">
      <c r="A4148" s="3" t="s">
        <v>5310</v>
      </c>
      <c r="B4148" s="3" t="s">
        <v>2125</v>
      </c>
      <c r="C4148" s="3" t="s">
        <v>113</v>
      </c>
      <c r="D4148" s="3" t="s">
        <v>61</v>
      </c>
      <c r="E4148" s="3" t="s">
        <v>33</v>
      </c>
      <c r="F4148" s="3" t="s">
        <v>62</v>
      </c>
      <c r="G4148" s="3" t="s">
        <v>55</v>
      </c>
      <c r="H4148" s="3" t="s">
        <v>77</v>
      </c>
      <c r="I4148" s="3" t="s">
        <v>78</v>
      </c>
      <c r="J4148" s="3" t="n">
        <v>19</v>
      </c>
      <c r="K4148" s="3" t="n">
        <v>2862.35</v>
      </c>
      <c r="L4148" s="3" t="n">
        <v>54384.65</v>
      </c>
      <c r="M4148" s="3" t="n">
        <v>0.0383</v>
      </c>
      <c r="N4148" s="3" t="n">
        <v>2082.93</v>
      </c>
      <c r="O4148" s="3" t="n">
        <v>52301.72</v>
      </c>
      <c r="P4148" s="3" t="n">
        <v>36981.56</v>
      </c>
      <c r="Q4148" s="3" t="n">
        <v>15320.16</v>
      </c>
      <c r="R4148" s="3" t="n">
        <v>0.2929</v>
      </c>
      <c r="S4148" s="3" t="n">
        <v>0.0325</v>
      </c>
      <c r="T4148" s="3" t="n">
        <v>0.0058</v>
      </c>
    </row>
    <row r="4149" customFormat="false" ht="15" hidden="false" customHeight="true" outlineLevel="0" collapsed="false">
      <c r="A4149" s="3" t="s">
        <v>5311</v>
      </c>
      <c r="B4149" s="3" t="s">
        <v>1395</v>
      </c>
      <c r="C4149" s="3" t="s">
        <v>31</v>
      </c>
      <c r="D4149" s="3" t="s">
        <v>47</v>
      </c>
      <c r="E4149" s="3" t="s">
        <v>48</v>
      </c>
      <c r="F4149" s="3" t="s">
        <v>25</v>
      </c>
      <c r="G4149" s="3" t="s">
        <v>104</v>
      </c>
      <c r="H4149" s="3" t="s">
        <v>77</v>
      </c>
      <c r="I4149" s="3" t="s">
        <v>85</v>
      </c>
      <c r="J4149" s="3" t="n">
        <v>49</v>
      </c>
      <c r="K4149" s="3" t="n">
        <v>1687.27</v>
      </c>
      <c r="L4149" s="3" t="n">
        <v>82676.23</v>
      </c>
      <c r="M4149" s="3" t="n">
        <v>0.1343</v>
      </c>
      <c r="N4149" s="3" t="n">
        <v>11103.42</v>
      </c>
      <c r="O4149" s="3" t="n">
        <v>71572.81</v>
      </c>
      <c r="P4149" s="3" t="n">
        <v>56219.84</v>
      </c>
      <c r="Q4149" s="3" t="n">
        <v>15352.97</v>
      </c>
      <c r="R4149" s="3" t="n">
        <v>0.2145</v>
      </c>
      <c r="S4149" s="3" t="n">
        <v>0.1472</v>
      </c>
      <c r="T4149" s="3" t="n">
        <v>-0.0129</v>
      </c>
    </row>
    <row r="4150" customFormat="false" ht="15" hidden="false" customHeight="true" outlineLevel="0" collapsed="false">
      <c r="A4150" s="3" t="s">
        <v>5312</v>
      </c>
      <c r="B4150" s="3" t="s">
        <v>3818</v>
      </c>
      <c r="C4150" s="3" t="s">
        <v>37</v>
      </c>
      <c r="D4150" s="3" t="s">
        <v>83</v>
      </c>
      <c r="E4150" s="3" t="s">
        <v>48</v>
      </c>
      <c r="F4150" s="3" t="s">
        <v>62</v>
      </c>
      <c r="G4150" s="3" t="s">
        <v>26</v>
      </c>
      <c r="H4150" s="3" t="s">
        <v>56</v>
      </c>
      <c r="I4150" s="3" t="s">
        <v>57</v>
      </c>
      <c r="J4150" s="3" t="n">
        <v>39</v>
      </c>
      <c r="K4150" s="3" t="n">
        <v>4171.19</v>
      </c>
      <c r="L4150" s="3" t="n">
        <v>162676.41</v>
      </c>
      <c r="M4150" s="3" t="n">
        <v>0.0304</v>
      </c>
      <c r="N4150" s="3" t="n">
        <v>4945.36</v>
      </c>
      <c r="O4150" s="3" t="n">
        <v>157731.05</v>
      </c>
      <c r="P4150" s="3" t="n">
        <v>97605.85</v>
      </c>
      <c r="Q4150" s="3" t="n">
        <v>60125.2</v>
      </c>
      <c r="R4150" s="3" t="n">
        <v>0.3812</v>
      </c>
      <c r="S4150" s="3" t="n">
        <v>0.0252</v>
      </c>
      <c r="T4150" s="3" t="n">
        <v>0.0052</v>
      </c>
    </row>
    <row r="4151" customFormat="false" ht="15" hidden="false" customHeight="true" outlineLevel="0" collapsed="false">
      <c r="A4151" s="3" t="s">
        <v>5313</v>
      </c>
      <c r="B4151" s="3" t="s">
        <v>545</v>
      </c>
      <c r="C4151" s="3" t="s">
        <v>156</v>
      </c>
      <c r="D4151" s="3" t="s">
        <v>69</v>
      </c>
      <c r="E4151" s="3" t="s">
        <v>39</v>
      </c>
      <c r="F4151" s="3" t="s">
        <v>70</v>
      </c>
      <c r="G4151" s="3" t="s">
        <v>76</v>
      </c>
      <c r="H4151" s="3" t="s">
        <v>56</v>
      </c>
      <c r="I4151" s="3" t="s">
        <v>57</v>
      </c>
      <c r="J4151" s="3" t="n">
        <v>28</v>
      </c>
      <c r="K4151" s="3" t="n">
        <v>14064.2</v>
      </c>
      <c r="L4151" s="3" t="n">
        <v>393797.6</v>
      </c>
      <c r="M4151" s="3" t="n">
        <v>0.0521</v>
      </c>
      <c r="N4151" s="3" t="n">
        <v>20516.85</v>
      </c>
      <c r="O4151" s="3" t="n">
        <v>373280.75</v>
      </c>
      <c r="P4151" s="3" t="n">
        <v>236278.56</v>
      </c>
      <c r="Q4151" s="3" t="n">
        <v>137002.19</v>
      </c>
      <c r="R4151" s="3" t="n">
        <v>0.367</v>
      </c>
      <c r="S4151" s="3" t="n">
        <v>0.0444</v>
      </c>
      <c r="T4151" s="3" t="n">
        <v>0.0077</v>
      </c>
    </row>
    <row r="4152" customFormat="false" ht="15" hidden="false" customHeight="true" outlineLevel="0" collapsed="false">
      <c r="A4152" s="3" t="s">
        <v>5314</v>
      </c>
      <c r="B4152" s="3" t="s">
        <v>1060</v>
      </c>
      <c r="C4152" s="3" t="s">
        <v>113</v>
      </c>
      <c r="D4152" s="3" t="s">
        <v>32</v>
      </c>
      <c r="E4152" s="3" t="s">
        <v>33</v>
      </c>
      <c r="F4152" s="3" t="s">
        <v>25</v>
      </c>
      <c r="G4152" s="3" t="s">
        <v>76</v>
      </c>
      <c r="H4152" s="3" t="s">
        <v>56</v>
      </c>
      <c r="I4152" s="3" t="s">
        <v>121</v>
      </c>
      <c r="J4152" s="3" t="n">
        <v>44</v>
      </c>
      <c r="K4152" s="3" t="n">
        <v>3338.71</v>
      </c>
      <c r="L4152" s="3" t="n">
        <v>146903.24</v>
      </c>
      <c r="M4152" s="3" t="n">
        <v>0.1858</v>
      </c>
      <c r="N4152" s="3" t="n">
        <v>27294.62</v>
      </c>
      <c r="O4152" s="3" t="n">
        <v>119608.62</v>
      </c>
      <c r="P4152" s="3" t="n">
        <v>88141.94</v>
      </c>
      <c r="Q4152" s="3" t="n">
        <v>31466.68</v>
      </c>
      <c r="R4152" s="3" t="n">
        <v>0.2631</v>
      </c>
      <c r="S4152" s="3" t="n">
        <v>0.1843</v>
      </c>
      <c r="T4152" s="3" t="n">
        <v>0.0015</v>
      </c>
    </row>
    <row r="4153" customFormat="false" ht="15" hidden="false" customHeight="true" outlineLevel="0" collapsed="false">
      <c r="A4153" s="3" t="s">
        <v>5315</v>
      </c>
      <c r="B4153" s="3" t="s">
        <v>2402</v>
      </c>
      <c r="C4153" s="3" t="s">
        <v>22</v>
      </c>
      <c r="D4153" s="3" t="s">
        <v>32</v>
      </c>
      <c r="E4153" s="3" t="s">
        <v>33</v>
      </c>
      <c r="F4153" s="3" t="s">
        <v>25</v>
      </c>
      <c r="G4153" s="3" t="s">
        <v>104</v>
      </c>
      <c r="H4153" s="3" t="s">
        <v>42</v>
      </c>
      <c r="I4153" s="3" t="s">
        <v>72</v>
      </c>
      <c r="J4153" s="3" t="n">
        <v>13</v>
      </c>
      <c r="K4153" s="3" t="n">
        <v>1763.55</v>
      </c>
      <c r="L4153" s="3" t="n">
        <v>22926.15</v>
      </c>
      <c r="M4153" s="3" t="n">
        <v>0.1668</v>
      </c>
      <c r="N4153" s="3" t="n">
        <v>3824.08</v>
      </c>
      <c r="O4153" s="3" t="n">
        <v>19102.07</v>
      </c>
      <c r="P4153" s="3" t="n">
        <v>12609.38</v>
      </c>
      <c r="Q4153" s="3" t="n">
        <v>6492.69</v>
      </c>
      <c r="R4153" s="3" t="n">
        <v>0.3399</v>
      </c>
      <c r="S4153" s="3" t="n">
        <v>0.1667</v>
      </c>
      <c r="T4153" s="3" t="n">
        <v>0.0001</v>
      </c>
    </row>
    <row r="4154" customFormat="false" ht="15" hidden="false" customHeight="true" outlineLevel="0" collapsed="false">
      <c r="A4154" s="3" t="s">
        <v>5316</v>
      </c>
      <c r="B4154" s="3" t="s">
        <v>607</v>
      </c>
      <c r="C4154" s="3" t="s">
        <v>126</v>
      </c>
      <c r="D4154" s="3" t="s">
        <v>32</v>
      </c>
      <c r="E4154" s="3" t="s">
        <v>33</v>
      </c>
      <c r="F4154" s="3" t="s">
        <v>25</v>
      </c>
      <c r="G4154" s="3" t="s">
        <v>49</v>
      </c>
      <c r="H4154" s="3" t="s">
        <v>77</v>
      </c>
      <c r="I4154" s="3" t="s">
        <v>78</v>
      </c>
      <c r="J4154" s="3" t="n">
        <v>17</v>
      </c>
      <c r="K4154" s="3" t="n">
        <v>1212.62</v>
      </c>
      <c r="L4154" s="3" t="n">
        <v>20614.54</v>
      </c>
      <c r="M4154" s="3" t="n">
        <v>0.1082</v>
      </c>
      <c r="N4154" s="3" t="n">
        <v>2230.49</v>
      </c>
      <c r="O4154" s="3" t="n">
        <v>18384.05</v>
      </c>
      <c r="P4154" s="3" t="n">
        <v>14017.89</v>
      </c>
      <c r="Q4154" s="3" t="n">
        <v>4366.16</v>
      </c>
      <c r="R4154" s="3" t="n">
        <v>0.2375</v>
      </c>
      <c r="S4154" s="3" t="n">
        <v>0.1</v>
      </c>
      <c r="T4154" s="3" t="n">
        <v>0.0082</v>
      </c>
    </row>
    <row r="4155" customFormat="false" ht="15" hidden="false" customHeight="true" outlineLevel="0" collapsed="false">
      <c r="A4155" s="3" t="s">
        <v>5317</v>
      </c>
      <c r="B4155" s="3" t="s">
        <v>3187</v>
      </c>
      <c r="C4155" s="3" t="s">
        <v>68</v>
      </c>
      <c r="D4155" s="3" t="s">
        <v>83</v>
      </c>
      <c r="E4155" s="3" t="s">
        <v>48</v>
      </c>
      <c r="F4155" s="3" t="s">
        <v>62</v>
      </c>
      <c r="G4155" s="3" t="s">
        <v>34</v>
      </c>
      <c r="H4155" s="3" t="s">
        <v>77</v>
      </c>
      <c r="I4155" s="3" t="s">
        <v>131</v>
      </c>
      <c r="J4155" s="3" t="n">
        <v>33</v>
      </c>
      <c r="K4155" s="3" t="n">
        <v>4952.01</v>
      </c>
      <c r="L4155" s="3" t="n">
        <v>163416.33</v>
      </c>
      <c r="M4155" s="3" t="n">
        <v>0.0806</v>
      </c>
      <c r="N4155" s="3" t="n">
        <v>13171.36</v>
      </c>
      <c r="O4155" s="3" t="n">
        <v>150244.97</v>
      </c>
      <c r="P4155" s="3" t="n">
        <v>111123.1</v>
      </c>
      <c r="Q4155" s="3" t="n">
        <v>39121.87</v>
      </c>
      <c r="R4155" s="3" t="n">
        <v>0.2604</v>
      </c>
      <c r="S4155" s="3" t="n">
        <v>0.0657</v>
      </c>
      <c r="T4155" s="3" t="n">
        <v>0.0149</v>
      </c>
    </row>
    <row r="4156" customFormat="false" ht="15" hidden="false" customHeight="true" outlineLevel="0" collapsed="false">
      <c r="A4156" s="3" t="s">
        <v>5318</v>
      </c>
      <c r="B4156" s="3" t="s">
        <v>1193</v>
      </c>
      <c r="C4156" s="3" t="s">
        <v>126</v>
      </c>
      <c r="D4156" s="3" t="s">
        <v>32</v>
      </c>
      <c r="E4156" s="3" t="s">
        <v>33</v>
      </c>
      <c r="F4156" s="3" t="s">
        <v>25</v>
      </c>
      <c r="G4156" s="3" t="s">
        <v>26</v>
      </c>
      <c r="H4156" s="3" t="s">
        <v>56</v>
      </c>
      <c r="I4156" s="3" t="s">
        <v>121</v>
      </c>
      <c r="J4156" s="3" t="n">
        <v>2</v>
      </c>
      <c r="K4156" s="3" t="n">
        <v>5635.55</v>
      </c>
      <c r="L4156" s="3" t="n">
        <v>11271.1</v>
      </c>
      <c r="M4156" s="3" t="n">
        <v>0.1339</v>
      </c>
      <c r="N4156" s="3" t="n">
        <v>1509.2</v>
      </c>
      <c r="O4156" s="3" t="n">
        <v>9761.9</v>
      </c>
      <c r="P4156" s="3" t="n">
        <v>6762.66</v>
      </c>
      <c r="Q4156" s="3" t="n">
        <v>2999.24</v>
      </c>
      <c r="R4156" s="3" t="n">
        <v>0.3072</v>
      </c>
      <c r="S4156" s="3" t="n">
        <v>0.1405</v>
      </c>
      <c r="T4156" s="3" t="n">
        <v>-0.0066</v>
      </c>
    </row>
    <row r="4157" customFormat="false" ht="15" hidden="false" customHeight="true" outlineLevel="0" collapsed="false">
      <c r="A4157" s="3" t="s">
        <v>5319</v>
      </c>
      <c r="B4157" s="3" t="s">
        <v>2988</v>
      </c>
      <c r="C4157" s="3" t="s">
        <v>60</v>
      </c>
      <c r="D4157" s="3" t="s">
        <v>103</v>
      </c>
      <c r="E4157" s="3" t="s">
        <v>24</v>
      </c>
      <c r="F4157" s="3" t="s">
        <v>62</v>
      </c>
      <c r="G4157" s="3" t="s">
        <v>49</v>
      </c>
      <c r="H4157" s="3" t="s">
        <v>56</v>
      </c>
      <c r="I4157" s="3" t="s">
        <v>188</v>
      </c>
      <c r="J4157" s="3" t="n">
        <v>1</v>
      </c>
      <c r="K4157" s="3" t="n">
        <v>7242.77</v>
      </c>
      <c r="L4157" s="3" t="n">
        <v>7242.77</v>
      </c>
      <c r="M4157" s="3" t="n">
        <v>0.0342</v>
      </c>
      <c r="N4157" s="3" t="n">
        <v>247.7</v>
      </c>
      <c r="O4157" s="3" t="n">
        <v>6995.07</v>
      </c>
      <c r="P4157" s="3" t="n">
        <v>4345.66</v>
      </c>
      <c r="Q4157" s="3" t="n">
        <v>2649.41</v>
      </c>
      <c r="R4157" s="3" t="n">
        <v>0.3788</v>
      </c>
      <c r="S4157" s="3" t="n">
        <v>0.0319</v>
      </c>
      <c r="T4157" s="3" t="n">
        <v>0.0023</v>
      </c>
    </row>
    <row r="4158" customFormat="false" ht="15" hidden="false" customHeight="true" outlineLevel="0" collapsed="false">
      <c r="A4158" s="3" t="s">
        <v>5320</v>
      </c>
      <c r="B4158" s="3" t="s">
        <v>1533</v>
      </c>
      <c r="C4158" s="3" t="s">
        <v>120</v>
      </c>
      <c r="D4158" s="3" t="s">
        <v>83</v>
      </c>
      <c r="E4158" s="3" t="s">
        <v>48</v>
      </c>
      <c r="F4158" s="3" t="s">
        <v>62</v>
      </c>
      <c r="G4158" s="3" t="s">
        <v>34</v>
      </c>
      <c r="H4158" s="3" t="s">
        <v>56</v>
      </c>
      <c r="I4158" s="3" t="s">
        <v>57</v>
      </c>
      <c r="J4158" s="3" t="n">
        <v>9</v>
      </c>
      <c r="K4158" s="3" t="n">
        <v>16877.56</v>
      </c>
      <c r="L4158" s="3" t="n">
        <v>151898.04</v>
      </c>
      <c r="M4158" s="3" t="n">
        <v>0.1</v>
      </c>
      <c r="N4158" s="3" t="n">
        <v>15189.8</v>
      </c>
      <c r="O4158" s="3" t="n">
        <v>136708.24</v>
      </c>
      <c r="P4158" s="3" t="n">
        <v>91138.82</v>
      </c>
      <c r="Q4158" s="3" t="n">
        <v>45569.42</v>
      </c>
      <c r="R4158" s="3" t="n">
        <v>0.3333</v>
      </c>
      <c r="S4158" s="3" t="n">
        <v>0.1054</v>
      </c>
      <c r="T4158" s="3" t="n">
        <v>-0.0054</v>
      </c>
    </row>
    <row r="4159" customFormat="false" ht="15" hidden="false" customHeight="true" outlineLevel="0" collapsed="false">
      <c r="A4159" s="3" t="s">
        <v>5321</v>
      </c>
      <c r="B4159" s="3" t="s">
        <v>1572</v>
      </c>
      <c r="C4159" s="3" t="s">
        <v>113</v>
      </c>
      <c r="D4159" s="3" t="s">
        <v>107</v>
      </c>
      <c r="E4159" s="3" t="s">
        <v>33</v>
      </c>
      <c r="F4159" s="3" t="s">
        <v>70</v>
      </c>
      <c r="G4159" s="3" t="s">
        <v>104</v>
      </c>
      <c r="H4159" s="3" t="s">
        <v>64</v>
      </c>
      <c r="I4159" s="3" t="s">
        <v>108</v>
      </c>
      <c r="J4159" s="3" t="n">
        <v>6</v>
      </c>
      <c r="K4159" s="3" t="n">
        <v>6249.06</v>
      </c>
      <c r="L4159" s="3" t="n">
        <v>37494.36</v>
      </c>
      <c r="M4159" s="3" t="n">
        <v>0.0901</v>
      </c>
      <c r="N4159" s="3" t="n">
        <v>3378.24</v>
      </c>
      <c r="O4159" s="3" t="n">
        <v>34116.12</v>
      </c>
      <c r="P4159" s="3" t="n">
        <v>21746.73</v>
      </c>
      <c r="Q4159" s="3" t="n">
        <v>12369.39</v>
      </c>
      <c r="R4159" s="3" t="n">
        <v>0.3626</v>
      </c>
      <c r="S4159" s="3" t="n">
        <v>0.079</v>
      </c>
      <c r="T4159" s="3" t="n">
        <v>0.0111</v>
      </c>
    </row>
    <row r="4160" customFormat="false" ht="15" hidden="false" customHeight="true" outlineLevel="0" collapsed="false">
      <c r="A4160" s="3" t="s">
        <v>5322</v>
      </c>
      <c r="B4160" s="3" t="s">
        <v>2073</v>
      </c>
      <c r="C4160" s="3" t="s">
        <v>113</v>
      </c>
      <c r="D4160" s="3" t="s">
        <v>47</v>
      </c>
      <c r="E4160" s="3" t="s">
        <v>48</v>
      </c>
      <c r="F4160" s="3" t="s">
        <v>25</v>
      </c>
      <c r="G4160" s="3" t="s">
        <v>100</v>
      </c>
      <c r="H4160" s="3" t="s">
        <v>64</v>
      </c>
      <c r="I4160" s="3" t="s">
        <v>90</v>
      </c>
      <c r="J4160" s="3" t="n">
        <v>40</v>
      </c>
      <c r="K4160" s="3" t="n">
        <v>3279.31</v>
      </c>
      <c r="L4160" s="3" t="n">
        <v>131172.4</v>
      </c>
      <c r="M4160" s="3" t="n">
        <v>0.1289</v>
      </c>
      <c r="N4160" s="3" t="n">
        <v>16908.12</v>
      </c>
      <c r="O4160" s="3" t="n">
        <v>114264.28</v>
      </c>
      <c r="P4160" s="3" t="n">
        <v>76079.99</v>
      </c>
      <c r="Q4160" s="3" t="n">
        <v>38184.29</v>
      </c>
      <c r="R4160" s="3" t="n">
        <v>0.3342</v>
      </c>
      <c r="S4160" s="3" t="n">
        <v>0.1149</v>
      </c>
      <c r="T4160" s="3" t="n">
        <v>0.014</v>
      </c>
    </row>
    <row r="4161" customFormat="false" ht="15" hidden="false" customHeight="true" outlineLevel="0" collapsed="false">
      <c r="A4161" s="3" t="s">
        <v>5323</v>
      </c>
      <c r="B4161" s="3" t="s">
        <v>697</v>
      </c>
      <c r="C4161" s="3" t="s">
        <v>22</v>
      </c>
      <c r="D4161" s="3" t="s">
        <v>47</v>
      </c>
      <c r="E4161" s="3" t="s">
        <v>48</v>
      </c>
      <c r="F4161" s="3" t="s">
        <v>25</v>
      </c>
      <c r="G4161" s="3" t="s">
        <v>116</v>
      </c>
      <c r="H4161" s="3" t="s">
        <v>42</v>
      </c>
      <c r="I4161" s="3" t="s">
        <v>43</v>
      </c>
      <c r="J4161" s="3" t="n">
        <v>41</v>
      </c>
      <c r="K4161" s="3" t="n">
        <v>2860.43</v>
      </c>
      <c r="L4161" s="3" t="n">
        <v>117277.63</v>
      </c>
      <c r="M4161" s="3" t="n">
        <v>0.1856</v>
      </c>
      <c r="N4161" s="3" t="n">
        <v>21766.73</v>
      </c>
      <c r="O4161" s="3" t="n">
        <v>95510.9</v>
      </c>
      <c r="P4161" s="3" t="n">
        <v>64502.7</v>
      </c>
      <c r="Q4161" s="3" t="n">
        <v>31008.2</v>
      </c>
      <c r="R4161" s="3" t="n">
        <v>0.3247</v>
      </c>
      <c r="S4161" s="3" t="n">
        <v>0.1885</v>
      </c>
      <c r="T4161" s="3" t="n">
        <v>-0.0029</v>
      </c>
    </row>
    <row r="4162" customFormat="false" ht="15" hidden="false" customHeight="true" outlineLevel="0" collapsed="false">
      <c r="A4162" s="3" t="s">
        <v>5324</v>
      </c>
      <c r="B4162" s="3" t="s">
        <v>2569</v>
      </c>
      <c r="C4162" s="3" t="s">
        <v>68</v>
      </c>
      <c r="D4162" s="3" t="s">
        <v>83</v>
      </c>
      <c r="E4162" s="3" t="s">
        <v>48</v>
      </c>
      <c r="F4162" s="3" t="s">
        <v>62</v>
      </c>
      <c r="G4162" s="3" t="s">
        <v>76</v>
      </c>
      <c r="H4162" s="3" t="s">
        <v>27</v>
      </c>
      <c r="I4162" s="3" t="s">
        <v>173</v>
      </c>
      <c r="J4162" s="3" t="n">
        <v>29</v>
      </c>
      <c r="K4162" s="3" t="n">
        <v>25304.61</v>
      </c>
      <c r="L4162" s="3" t="n">
        <v>733833.69</v>
      </c>
      <c r="M4162" s="3" t="n">
        <v>0.0583</v>
      </c>
      <c r="N4162" s="3" t="n">
        <v>42782.5</v>
      </c>
      <c r="O4162" s="3" t="n">
        <v>691051.19</v>
      </c>
      <c r="P4162" s="3" t="n">
        <v>454976.89</v>
      </c>
      <c r="Q4162" s="3" t="n">
        <v>236074.3</v>
      </c>
      <c r="R4162" s="3" t="n">
        <v>0.3416</v>
      </c>
      <c r="S4162" s="3" t="n">
        <v>0.0564</v>
      </c>
      <c r="T4162" s="3" t="n">
        <v>0.0019</v>
      </c>
    </row>
    <row r="4163" customFormat="false" ht="15" hidden="false" customHeight="true" outlineLevel="0" collapsed="false">
      <c r="A4163" s="3" t="s">
        <v>5325</v>
      </c>
      <c r="B4163" s="3" t="s">
        <v>316</v>
      </c>
      <c r="C4163" s="3" t="s">
        <v>156</v>
      </c>
      <c r="D4163" s="3" t="s">
        <v>69</v>
      </c>
      <c r="E4163" s="3" t="s">
        <v>39</v>
      </c>
      <c r="F4163" s="3" t="s">
        <v>70</v>
      </c>
      <c r="G4163" s="3" t="s">
        <v>76</v>
      </c>
      <c r="H4163" s="3" t="s">
        <v>27</v>
      </c>
      <c r="I4163" s="3" t="s">
        <v>117</v>
      </c>
      <c r="J4163" s="3" t="n">
        <v>29</v>
      </c>
      <c r="K4163" s="3" t="n">
        <v>34542.68</v>
      </c>
      <c r="L4163" s="3" t="n">
        <v>1001737.72</v>
      </c>
      <c r="M4163" s="3" t="n">
        <v>0.0669</v>
      </c>
      <c r="N4163" s="3" t="n">
        <v>67016.25</v>
      </c>
      <c r="O4163" s="3" t="n">
        <v>934721.47</v>
      </c>
      <c r="P4163" s="3" t="n">
        <v>621077.39</v>
      </c>
      <c r="Q4163" s="3" t="n">
        <v>313644.08</v>
      </c>
      <c r="R4163" s="3" t="n">
        <v>0.3355</v>
      </c>
      <c r="S4163" s="3" t="n">
        <v>0.0597</v>
      </c>
      <c r="T4163" s="3" t="n">
        <v>0.0072</v>
      </c>
    </row>
    <row r="4164" customFormat="false" ht="15" hidden="false" customHeight="true" outlineLevel="0" collapsed="false">
      <c r="A4164" s="3" t="s">
        <v>5326</v>
      </c>
      <c r="B4164" s="3" t="s">
        <v>490</v>
      </c>
      <c r="C4164" s="3" t="s">
        <v>22</v>
      </c>
      <c r="D4164" s="3" t="s">
        <v>54</v>
      </c>
      <c r="E4164" s="3" t="s">
        <v>24</v>
      </c>
      <c r="F4164" s="3" t="s">
        <v>40</v>
      </c>
      <c r="G4164" s="3" t="s">
        <v>116</v>
      </c>
      <c r="H4164" s="3" t="s">
        <v>56</v>
      </c>
      <c r="I4164" s="3" t="s">
        <v>121</v>
      </c>
      <c r="J4164" s="3" t="n">
        <v>35</v>
      </c>
      <c r="K4164" s="3" t="n">
        <v>17040.54</v>
      </c>
      <c r="L4164" s="3" t="n">
        <v>596418.9</v>
      </c>
      <c r="M4164" s="3" t="n">
        <v>0.12</v>
      </c>
      <c r="N4164" s="3" t="n">
        <v>71570.27</v>
      </c>
      <c r="O4164" s="3" t="n">
        <v>524848.63</v>
      </c>
      <c r="P4164" s="3" t="n">
        <v>357851.34</v>
      </c>
      <c r="Q4164" s="3" t="n">
        <v>166997.29</v>
      </c>
      <c r="R4164" s="3" t="n">
        <v>0.3182</v>
      </c>
      <c r="S4164" s="3" t="n">
        <v>0.1289</v>
      </c>
      <c r="T4164" s="3" t="n">
        <v>-0.0089</v>
      </c>
    </row>
    <row r="4165" customFormat="false" ht="15" hidden="false" customHeight="true" outlineLevel="0" collapsed="false">
      <c r="A4165" s="3" t="s">
        <v>5327</v>
      </c>
      <c r="B4165" s="3" t="s">
        <v>384</v>
      </c>
      <c r="C4165" s="3" t="s">
        <v>31</v>
      </c>
      <c r="D4165" s="3" t="s">
        <v>61</v>
      </c>
      <c r="E4165" s="3" t="s">
        <v>33</v>
      </c>
      <c r="F4165" s="3" t="s">
        <v>62</v>
      </c>
      <c r="G4165" s="3" t="s">
        <v>26</v>
      </c>
      <c r="H4165" s="3" t="s">
        <v>42</v>
      </c>
      <c r="I4165" s="3" t="s">
        <v>134</v>
      </c>
      <c r="J4165" s="3" t="n">
        <v>45</v>
      </c>
      <c r="K4165" s="3" t="n">
        <v>1924.06</v>
      </c>
      <c r="L4165" s="3" t="n">
        <v>86582.7</v>
      </c>
      <c r="M4165" s="3" t="n">
        <v>0.0501</v>
      </c>
      <c r="N4165" s="3" t="n">
        <v>4337.79</v>
      </c>
      <c r="O4165" s="3" t="n">
        <v>82244.91</v>
      </c>
      <c r="P4165" s="3" t="n">
        <v>47620.49</v>
      </c>
      <c r="Q4165" s="3" t="n">
        <v>34624.42</v>
      </c>
      <c r="R4165" s="3" t="n">
        <v>0.421</v>
      </c>
      <c r="S4165" s="3" t="n">
        <v>0.0463</v>
      </c>
      <c r="T4165" s="3" t="n">
        <v>0.0038</v>
      </c>
    </row>
    <row r="4166" customFormat="false" ht="15" hidden="false" customHeight="true" outlineLevel="0" collapsed="false">
      <c r="A4166" s="3" t="s">
        <v>5328</v>
      </c>
      <c r="B4166" s="3" t="s">
        <v>5329</v>
      </c>
      <c r="C4166" s="3" t="s">
        <v>156</v>
      </c>
      <c r="D4166" s="3" t="s">
        <v>61</v>
      </c>
      <c r="E4166" s="3" t="s">
        <v>33</v>
      </c>
      <c r="F4166" s="3" t="s">
        <v>62</v>
      </c>
      <c r="G4166" s="3" t="s">
        <v>41</v>
      </c>
      <c r="H4166" s="3" t="s">
        <v>56</v>
      </c>
      <c r="I4166" s="3" t="s">
        <v>57</v>
      </c>
      <c r="J4166" s="3" t="n">
        <v>26</v>
      </c>
      <c r="K4166" s="3" t="n">
        <v>6287.59</v>
      </c>
      <c r="L4166" s="3" t="n">
        <v>163477.34</v>
      </c>
      <c r="M4166" s="3" t="n">
        <v>0.0907</v>
      </c>
      <c r="N4166" s="3" t="n">
        <v>14827.39</v>
      </c>
      <c r="O4166" s="3" t="n">
        <v>148649.95</v>
      </c>
      <c r="P4166" s="3" t="n">
        <v>98086.4</v>
      </c>
      <c r="Q4166" s="3" t="n">
        <v>50563.55</v>
      </c>
      <c r="R4166" s="3" t="n">
        <v>0.3402</v>
      </c>
      <c r="S4166" s="3" t="n">
        <v>0.0881</v>
      </c>
      <c r="T4166" s="3" t="n">
        <v>0.0026</v>
      </c>
    </row>
    <row r="4167" customFormat="false" ht="15" hidden="false" customHeight="true" outlineLevel="0" collapsed="false">
      <c r="A4167" s="3" t="s">
        <v>5330</v>
      </c>
      <c r="B4167" s="3" t="s">
        <v>1582</v>
      </c>
      <c r="C4167" s="3" t="s">
        <v>93</v>
      </c>
      <c r="D4167" s="3" t="s">
        <v>61</v>
      </c>
      <c r="E4167" s="3" t="s">
        <v>33</v>
      </c>
      <c r="F4167" s="3" t="s">
        <v>62</v>
      </c>
      <c r="G4167" s="3" t="s">
        <v>76</v>
      </c>
      <c r="H4167" s="3" t="s">
        <v>77</v>
      </c>
      <c r="I4167" s="3" t="s">
        <v>78</v>
      </c>
      <c r="J4167" s="3" t="n">
        <v>31</v>
      </c>
      <c r="K4167" s="3" t="n">
        <v>2789.31</v>
      </c>
      <c r="L4167" s="3" t="n">
        <v>86468.61</v>
      </c>
      <c r="M4167" s="3" t="n">
        <v>0.0735</v>
      </c>
      <c r="N4167" s="3" t="n">
        <v>6355.44</v>
      </c>
      <c r="O4167" s="3" t="n">
        <v>80113.17</v>
      </c>
      <c r="P4167" s="3" t="n">
        <v>58798.65</v>
      </c>
      <c r="Q4167" s="3" t="n">
        <v>21314.52</v>
      </c>
      <c r="R4167" s="3" t="n">
        <v>0.2661</v>
      </c>
      <c r="S4167" s="3" t="n">
        <v>0.0755</v>
      </c>
      <c r="T4167" s="3" t="n">
        <v>-0.002</v>
      </c>
    </row>
    <row r="4168" customFormat="false" ht="15" hidden="false" customHeight="true" outlineLevel="0" collapsed="false">
      <c r="A4168" s="3" t="s">
        <v>5331</v>
      </c>
      <c r="B4168" s="3" t="s">
        <v>304</v>
      </c>
      <c r="C4168" s="3" t="s">
        <v>53</v>
      </c>
      <c r="D4168" s="3" t="s">
        <v>32</v>
      </c>
      <c r="E4168" s="3" t="s">
        <v>33</v>
      </c>
      <c r="F4168" s="3" t="s">
        <v>25</v>
      </c>
      <c r="G4168" s="3" t="s">
        <v>71</v>
      </c>
      <c r="H4168" s="3" t="s">
        <v>64</v>
      </c>
      <c r="I4168" s="3" t="s">
        <v>108</v>
      </c>
      <c r="J4168" s="3" t="n">
        <v>1</v>
      </c>
      <c r="K4168" s="3" t="n">
        <v>4850.72</v>
      </c>
      <c r="L4168" s="3" t="n">
        <v>4850.72</v>
      </c>
      <c r="M4168" s="3" t="n">
        <v>0.1614</v>
      </c>
      <c r="N4168" s="3" t="n">
        <v>782.91</v>
      </c>
      <c r="O4168" s="3" t="n">
        <v>4067.81</v>
      </c>
      <c r="P4168" s="3" t="n">
        <v>2813.42</v>
      </c>
      <c r="Q4168" s="3" t="n">
        <v>1254.39</v>
      </c>
      <c r="R4168" s="3" t="n">
        <v>0.3084</v>
      </c>
      <c r="S4168" s="3" t="n">
        <v>0.1439</v>
      </c>
      <c r="T4168" s="3" t="n">
        <v>0.0175</v>
      </c>
    </row>
    <row r="4169" customFormat="false" ht="15" hidden="false" customHeight="true" outlineLevel="0" collapsed="false">
      <c r="A4169" s="3" t="s">
        <v>5332</v>
      </c>
      <c r="B4169" s="3" t="s">
        <v>724</v>
      </c>
      <c r="C4169" s="3" t="s">
        <v>60</v>
      </c>
      <c r="D4169" s="3" t="s">
        <v>107</v>
      </c>
      <c r="E4169" s="3" t="s">
        <v>33</v>
      </c>
      <c r="F4169" s="3" t="s">
        <v>70</v>
      </c>
      <c r="G4169" s="3" t="s">
        <v>84</v>
      </c>
      <c r="H4169" s="3" t="s">
        <v>64</v>
      </c>
      <c r="I4169" s="3" t="s">
        <v>90</v>
      </c>
      <c r="J4169" s="3" t="n">
        <v>21</v>
      </c>
      <c r="K4169" s="3" t="n">
        <v>8914.07</v>
      </c>
      <c r="L4169" s="3" t="n">
        <v>187195.47</v>
      </c>
      <c r="M4169" s="3" t="n">
        <v>0.0731</v>
      </c>
      <c r="N4169" s="3" t="n">
        <v>13683.99</v>
      </c>
      <c r="O4169" s="3" t="n">
        <v>173511.48</v>
      </c>
      <c r="P4169" s="3" t="n">
        <v>108573.37</v>
      </c>
      <c r="Q4169" s="3" t="n">
        <v>64938.11</v>
      </c>
      <c r="R4169" s="3" t="n">
        <v>0.3743</v>
      </c>
      <c r="S4169" s="3" t="n">
        <v>0.0598</v>
      </c>
      <c r="T4169" s="3" t="n">
        <v>0.0133</v>
      </c>
    </row>
    <row r="4170" customFormat="false" ht="15" hidden="false" customHeight="true" outlineLevel="0" collapsed="false">
      <c r="A4170" s="3" t="s">
        <v>5333</v>
      </c>
      <c r="B4170" s="3" t="s">
        <v>3361</v>
      </c>
      <c r="C4170" s="3" t="s">
        <v>93</v>
      </c>
      <c r="D4170" s="3" t="s">
        <v>103</v>
      </c>
      <c r="E4170" s="3" t="s">
        <v>24</v>
      </c>
      <c r="F4170" s="3" t="s">
        <v>62</v>
      </c>
      <c r="G4170" s="3" t="s">
        <v>26</v>
      </c>
      <c r="H4170" s="3" t="s">
        <v>56</v>
      </c>
      <c r="I4170" s="3" t="s">
        <v>121</v>
      </c>
      <c r="J4170" s="3" t="n">
        <v>18</v>
      </c>
      <c r="K4170" s="3" t="n">
        <v>4921.38</v>
      </c>
      <c r="L4170" s="3" t="n">
        <v>88584.84</v>
      </c>
      <c r="M4170" s="3" t="n">
        <v>0.0562</v>
      </c>
      <c r="N4170" s="3" t="n">
        <v>4978.47</v>
      </c>
      <c r="O4170" s="3" t="n">
        <v>83606.37</v>
      </c>
      <c r="P4170" s="3" t="n">
        <v>53150.9</v>
      </c>
      <c r="Q4170" s="3" t="n">
        <v>30455.47</v>
      </c>
      <c r="R4170" s="3" t="n">
        <v>0.3643</v>
      </c>
      <c r="S4170" s="3" t="n">
        <v>0.0582</v>
      </c>
      <c r="T4170" s="3" t="n">
        <v>-0.002</v>
      </c>
    </row>
    <row r="4171" customFormat="false" ht="15" hidden="false" customHeight="true" outlineLevel="0" collapsed="false">
      <c r="A4171" s="3" t="s">
        <v>5334</v>
      </c>
      <c r="B4171" s="3" t="s">
        <v>2280</v>
      </c>
      <c r="C4171" s="3" t="s">
        <v>113</v>
      </c>
      <c r="D4171" s="3" t="s">
        <v>103</v>
      </c>
      <c r="E4171" s="3" t="s">
        <v>24</v>
      </c>
      <c r="F4171" s="3" t="s">
        <v>62</v>
      </c>
      <c r="G4171" s="3" t="s">
        <v>41</v>
      </c>
      <c r="H4171" s="3" t="s">
        <v>56</v>
      </c>
      <c r="I4171" s="3" t="s">
        <v>57</v>
      </c>
      <c r="J4171" s="3" t="n">
        <v>11</v>
      </c>
      <c r="K4171" s="3" t="n">
        <v>17655.52</v>
      </c>
      <c r="L4171" s="3" t="n">
        <v>194210.72</v>
      </c>
      <c r="M4171" s="3" t="n">
        <v>0.116</v>
      </c>
      <c r="N4171" s="3" t="n">
        <v>22528.44</v>
      </c>
      <c r="O4171" s="3" t="n">
        <v>171682.28</v>
      </c>
      <c r="P4171" s="3" t="n">
        <v>116526.43</v>
      </c>
      <c r="Q4171" s="3" t="n">
        <v>55155.85</v>
      </c>
      <c r="R4171" s="3" t="n">
        <v>0.3213</v>
      </c>
      <c r="S4171" s="3" t="n">
        <v>0.1003</v>
      </c>
      <c r="T4171" s="3" t="n">
        <v>0.0157</v>
      </c>
    </row>
    <row r="4172" customFormat="false" ht="15" hidden="false" customHeight="true" outlineLevel="0" collapsed="false">
      <c r="A4172" s="3" t="s">
        <v>5335</v>
      </c>
      <c r="B4172" s="3" t="s">
        <v>1771</v>
      </c>
      <c r="C4172" s="3" t="s">
        <v>53</v>
      </c>
      <c r="D4172" s="3" t="s">
        <v>97</v>
      </c>
      <c r="E4172" s="3" t="s">
        <v>48</v>
      </c>
      <c r="F4172" s="3" t="s">
        <v>40</v>
      </c>
      <c r="G4172" s="3" t="s">
        <v>84</v>
      </c>
      <c r="H4172" s="3" t="s">
        <v>42</v>
      </c>
      <c r="I4172" s="3" t="s">
        <v>72</v>
      </c>
      <c r="J4172" s="3" t="n">
        <v>41</v>
      </c>
      <c r="K4172" s="3" t="n">
        <v>3621.12</v>
      </c>
      <c r="L4172" s="3" t="n">
        <v>148465.92</v>
      </c>
      <c r="M4172" s="3" t="n">
        <v>0.0308</v>
      </c>
      <c r="N4172" s="3" t="n">
        <v>4572.75</v>
      </c>
      <c r="O4172" s="3" t="n">
        <v>143893.17</v>
      </c>
      <c r="P4172" s="3" t="n">
        <v>81656.26</v>
      </c>
      <c r="Q4172" s="3" t="n">
        <v>62236.91</v>
      </c>
      <c r="R4172" s="3" t="n">
        <v>0.4325</v>
      </c>
      <c r="S4172" s="3" t="n">
        <v>0.0249</v>
      </c>
      <c r="T4172" s="3" t="n">
        <v>0.0059</v>
      </c>
    </row>
    <row r="4173" customFormat="false" ht="15" hidden="false" customHeight="true" outlineLevel="0" collapsed="false">
      <c r="A4173" s="3" t="s">
        <v>5336</v>
      </c>
      <c r="B4173" s="3" t="s">
        <v>2797</v>
      </c>
      <c r="C4173" s="3" t="s">
        <v>68</v>
      </c>
      <c r="D4173" s="3" t="s">
        <v>38</v>
      </c>
      <c r="E4173" s="3" t="s">
        <v>39</v>
      </c>
      <c r="F4173" s="3" t="s">
        <v>40</v>
      </c>
      <c r="G4173" s="3" t="s">
        <v>71</v>
      </c>
      <c r="H4173" s="3" t="s">
        <v>64</v>
      </c>
      <c r="I4173" s="3" t="s">
        <v>90</v>
      </c>
      <c r="J4173" s="3" t="n">
        <v>46</v>
      </c>
      <c r="K4173" s="3" t="n">
        <v>6813.19</v>
      </c>
      <c r="L4173" s="3" t="n">
        <v>313406.74</v>
      </c>
      <c r="M4173" s="3" t="n">
        <v>0.0603</v>
      </c>
      <c r="N4173" s="3" t="n">
        <v>18898.43</v>
      </c>
      <c r="O4173" s="3" t="n">
        <v>294508.31</v>
      </c>
      <c r="P4173" s="3" t="n">
        <v>181775.91</v>
      </c>
      <c r="Q4173" s="3" t="n">
        <v>112732.4</v>
      </c>
      <c r="R4173" s="3" t="n">
        <v>0.3828</v>
      </c>
      <c r="S4173" s="3" t="n">
        <v>0.0538</v>
      </c>
      <c r="T4173" s="3" t="n">
        <v>0.0065</v>
      </c>
    </row>
    <row r="4174" customFormat="false" ht="15" hidden="false" customHeight="true" outlineLevel="0" collapsed="false">
      <c r="A4174" s="3" t="s">
        <v>5337</v>
      </c>
      <c r="B4174" s="3" t="s">
        <v>1034</v>
      </c>
      <c r="C4174" s="3" t="s">
        <v>53</v>
      </c>
      <c r="D4174" s="3" t="s">
        <v>47</v>
      </c>
      <c r="E4174" s="3" t="s">
        <v>48</v>
      </c>
      <c r="F4174" s="3" t="s">
        <v>25</v>
      </c>
      <c r="G4174" s="3" t="s">
        <v>76</v>
      </c>
      <c r="H4174" s="3" t="s">
        <v>42</v>
      </c>
      <c r="I4174" s="3" t="s">
        <v>72</v>
      </c>
      <c r="J4174" s="3" t="n">
        <v>44</v>
      </c>
      <c r="K4174" s="3" t="n">
        <v>1432.98</v>
      </c>
      <c r="L4174" s="3" t="n">
        <v>63051.12</v>
      </c>
      <c r="M4174" s="3" t="n">
        <v>0.1396</v>
      </c>
      <c r="N4174" s="3" t="n">
        <v>8801.94</v>
      </c>
      <c r="O4174" s="3" t="n">
        <v>54249.18</v>
      </c>
      <c r="P4174" s="3" t="n">
        <v>34678.12</v>
      </c>
      <c r="Q4174" s="3" t="n">
        <v>19571.06</v>
      </c>
      <c r="R4174" s="3" t="n">
        <v>0.3608</v>
      </c>
      <c r="S4174" s="3" t="n">
        <v>0.125</v>
      </c>
      <c r="T4174" s="3" t="n">
        <v>0.0146</v>
      </c>
    </row>
    <row r="4175" customFormat="false" ht="15" hidden="false" customHeight="true" outlineLevel="0" collapsed="false">
      <c r="A4175" s="3" t="s">
        <v>5338</v>
      </c>
      <c r="B4175" s="3" t="s">
        <v>92</v>
      </c>
      <c r="C4175" s="3" t="s">
        <v>93</v>
      </c>
      <c r="D4175" s="3" t="s">
        <v>47</v>
      </c>
      <c r="E4175" s="3" t="s">
        <v>48</v>
      </c>
      <c r="F4175" s="3" t="s">
        <v>25</v>
      </c>
      <c r="G4175" s="3" t="s">
        <v>26</v>
      </c>
      <c r="H4175" s="3" t="s">
        <v>42</v>
      </c>
      <c r="I4175" s="3" t="s">
        <v>43</v>
      </c>
      <c r="J4175" s="3" t="n">
        <v>5</v>
      </c>
      <c r="K4175" s="3" t="n">
        <v>1339.11</v>
      </c>
      <c r="L4175" s="3" t="n">
        <v>6695.55</v>
      </c>
      <c r="M4175" s="3" t="n">
        <v>0.1419</v>
      </c>
      <c r="N4175" s="3" t="n">
        <v>950.1</v>
      </c>
      <c r="O4175" s="3" t="n">
        <v>5745.45</v>
      </c>
      <c r="P4175" s="3" t="n">
        <v>3682.55</v>
      </c>
      <c r="Q4175" s="3" t="n">
        <v>2062.9</v>
      </c>
      <c r="R4175" s="3" t="n">
        <v>0.359</v>
      </c>
      <c r="S4175" s="3" t="n">
        <v>0.1308</v>
      </c>
      <c r="T4175" s="3" t="n">
        <v>0.0111</v>
      </c>
    </row>
    <row r="4176" customFormat="false" ht="15" hidden="false" customHeight="true" outlineLevel="0" collapsed="false">
      <c r="A4176" s="3" t="s">
        <v>5339</v>
      </c>
      <c r="B4176" s="3" t="s">
        <v>1723</v>
      </c>
      <c r="C4176" s="3" t="s">
        <v>156</v>
      </c>
      <c r="D4176" s="3" t="s">
        <v>75</v>
      </c>
      <c r="E4176" s="3" t="s">
        <v>39</v>
      </c>
      <c r="F4176" s="3" t="s">
        <v>25</v>
      </c>
      <c r="G4176" s="3" t="s">
        <v>49</v>
      </c>
      <c r="H4176" s="3" t="s">
        <v>77</v>
      </c>
      <c r="I4176" s="3" t="s">
        <v>131</v>
      </c>
      <c r="J4176" s="3" t="n">
        <v>15</v>
      </c>
      <c r="K4176" s="3" t="n">
        <v>5871.89</v>
      </c>
      <c r="L4176" s="3" t="n">
        <v>88078.35</v>
      </c>
      <c r="M4176" s="3" t="n">
        <v>0.1801</v>
      </c>
      <c r="N4176" s="3" t="n">
        <v>15862.91</v>
      </c>
      <c r="O4176" s="3" t="n">
        <v>72215.44</v>
      </c>
      <c r="P4176" s="3" t="n">
        <v>59893.28</v>
      </c>
      <c r="Q4176" s="3" t="n">
        <v>12322.16</v>
      </c>
      <c r="R4176" s="3" t="n">
        <v>0.1706</v>
      </c>
      <c r="S4176" s="3" t="n">
        <v>0.1948</v>
      </c>
      <c r="T4176" s="3" t="n">
        <v>-0.0147</v>
      </c>
    </row>
    <row r="4177" customFormat="false" ht="15" hidden="false" customHeight="true" outlineLevel="0" collapsed="false">
      <c r="A4177" s="3" t="s">
        <v>5340</v>
      </c>
      <c r="B4177" s="3" t="s">
        <v>1439</v>
      </c>
      <c r="C4177" s="3" t="s">
        <v>120</v>
      </c>
      <c r="D4177" s="3" t="s">
        <v>23</v>
      </c>
      <c r="E4177" s="3" t="s">
        <v>24</v>
      </c>
      <c r="F4177" s="3" t="s">
        <v>25</v>
      </c>
      <c r="G4177" s="3" t="s">
        <v>116</v>
      </c>
      <c r="H4177" s="3" t="s">
        <v>64</v>
      </c>
      <c r="I4177" s="3" t="s">
        <v>65</v>
      </c>
      <c r="J4177" s="3" t="n">
        <v>13</v>
      </c>
      <c r="K4177" s="3" t="n">
        <v>6699.1</v>
      </c>
      <c r="L4177" s="3" t="n">
        <v>87088.3</v>
      </c>
      <c r="M4177" s="3" t="n">
        <v>0.1693</v>
      </c>
      <c r="N4177" s="3" t="n">
        <v>14744.05</v>
      </c>
      <c r="O4177" s="3" t="n">
        <v>72344.25</v>
      </c>
      <c r="P4177" s="3" t="n">
        <v>50511.21</v>
      </c>
      <c r="Q4177" s="3" t="n">
        <v>21833.04</v>
      </c>
      <c r="R4177" s="3" t="n">
        <v>0.3018</v>
      </c>
      <c r="S4177" s="3" t="n">
        <v>0.1401</v>
      </c>
      <c r="T4177" s="3" t="n">
        <v>0.0292</v>
      </c>
    </row>
    <row r="4178" customFormat="false" ht="15" hidden="false" customHeight="true" outlineLevel="0" collapsed="false">
      <c r="A4178" s="3" t="s">
        <v>5341</v>
      </c>
      <c r="B4178" s="3" t="s">
        <v>1889</v>
      </c>
      <c r="C4178" s="3" t="s">
        <v>31</v>
      </c>
      <c r="D4178" s="3" t="s">
        <v>47</v>
      </c>
      <c r="E4178" s="3" t="s">
        <v>48</v>
      </c>
      <c r="F4178" s="3" t="s">
        <v>25</v>
      </c>
      <c r="G4178" s="3" t="s">
        <v>26</v>
      </c>
      <c r="H4178" s="3" t="s">
        <v>64</v>
      </c>
      <c r="I4178" s="3" t="s">
        <v>145</v>
      </c>
      <c r="J4178" s="3" t="n">
        <v>12</v>
      </c>
      <c r="K4178" s="3" t="n">
        <v>11864.54</v>
      </c>
      <c r="L4178" s="3" t="n">
        <v>142374.48</v>
      </c>
      <c r="M4178" s="3" t="n">
        <v>0.1519</v>
      </c>
      <c r="N4178" s="3" t="n">
        <v>21626.68</v>
      </c>
      <c r="O4178" s="3" t="n">
        <v>120747.8</v>
      </c>
      <c r="P4178" s="3" t="n">
        <v>82577.2</v>
      </c>
      <c r="Q4178" s="3" t="n">
        <v>38170.6</v>
      </c>
      <c r="R4178" s="3" t="n">
        <v>0.3161</v>
      </c>
      <c r="S4178" s="3" t="n">
        <v>0.1293</v>
      </c>
      <c r="T4178" s="3" t="n">
        <v>0.0226</v>
      </c>
    </row>
    <row r="4179" customFormat="false" ht="15" hidden="false" customHeight="true" outlineLevel="0" collapsed="false">
      <c r="A4179" s="3" t="s">
        <v>5342</v>
      </c>
      <c r="B4179" s="3" t="s">
        <v>229</v>
      </c>
      <c r="C4179" s="3" t="s">
        <v>126</v>
      </c>
      <c r="D4179" s="3" t="s">
        <v>107</v>
      </c>
      <c r="E4179" s="3" t="s">
        <v>33</v>
      </c>
      <c r="F4179" s="3" t="s">
        <v>70</v>
      </c>
      <c r="G4179" s="3" t="s">
        <v>41</v>
      </c>
      <c r="H4179" s="3" t="s">
        <v>56</v>
      </c>
      <c r="I4179" s="3" t="s">
        <v>57</v>
      </c>
      <c r="J4179" s="3" t="n">
        <v>13</v>
      </c>
      <c r="K4179" s="3" t="n">
        <v>16190.31</v>
      </c>
      <c r="L4179" s="3" t="n">
        <v>210474.03</v>
      </c>
      <c r="M4179" s="3" t="n">
        <v>0.0695</v>
      </c>
      <c r="N4179" s="3" t="n">
        <v>14627.95</v>
      </c>
      <c r="O4179" s="3" t="n">
        <v>195846.08</v>
      </c>
      <c r="P4179" s="3" t="n">
        <v>126284.42</v>
      </c>
      <c r="Q4179" s="3" t="n">
        <v>69561.66</v>
      </c>
      <c r="R4179" s="3" t="n">
        <v>0.3552</v>
      </c>
      <c r="S4179" s="3" t="n">
        <v>0.0612</v>
      </c>
      <c r="T4179" s="3" t="n">
        <v>0.0083</v>
      </c>
    </row>
    <row r="4180" customFormat="false" ht="15" hidden="false" customHeight="true" outlineLevel="0" collapsed="false">
      <c r="A4180" s="3" t="s">
        <v>5343</v>
      </c>
      <c r="B4180" s="3" t="s">
        <v>3835</v>
      </c>
      <c r="C4180" s="3" t="s">
        <v>120</v>
      </c>
      <c r="D4180" s="3" t="s">
        <v>103</v>
      </c>
      <c r="E4180" s="3" t="s">
        <v>24</v>
      </c>
      <c r="F4180" s="3" t="s">
        <v>62</v>
      </c>
      <c r="G4180" s="3" t="s">
        <v>34</v>
      </c>
      <c r="H4180" s="3" t="s">
        <v>27</v>
      </c>
      <c r="I4180" s="3" t="s">
        <v>50</v>
      </c>
      <c r="J4180" s="3" t="n">
        <v>19</v>
      </c>
      <c r="K4180" s="3" t="n">
        <v>16668.64</v>
      </c>
      <c r="L4180" s="3" t="n">
        <v>316704.16</v>
      </c>
      <c r="M4180" s="3" t="n">
        <v>0.1001</v>
      </c>
      <c r="N4180" s="3" t="n">
        <v>31702.09</v>
      </c>
      <c r="O4180" s="3" t="n">
        <v>285002.07</v>
      </c>
      <c r="P4180" s="3" t="n">
        <v>196356.58</v>
      </c>
      <c r="Q4180" s="3" t="n">
        <v>88645.49</v>
      </c>
      <c r="R4180" s="3" t="n">
        <v>0.311</v>
      </c>
      <c r="S4180" s="3" t="n">
        <v>0.0941</v>
      </c>
      <c r="T4180" s="3" t="n">
        <v>0.006</v>
      </c>
    </row>
    <row r="4181" customFormat="false" ht="15" hidden="false" customHeight="true" outlineLevel="0" collapsed="false">
      <c r="A4181" s="3" t="s">
        <v>5344</v>
      </c>
      <c r="B4181" s="3" t="s">
        <v>258</v>
      </c>
      <c r="C4181" s="3" t="s">
        <v>126</v>
      </c>
      <c r="D4181" s="3" t="s">
        <v>54</v>
      </c>
      <c r="E4181" s="3" t="s">
        <v>24</v>
      </c>
      <c r="F4181" s="3" t="s">
        <v>40</v>
      </c>
      <c r="G4181" s="3" t="s">
        <v>76</v>
      </c>
      <c r="H4181" s="3" t="s">
        <v>56</v>
      </c>
      <c r="I4181" s="3" t="s">
        <v>57</v>
      </c>
      <c r="J4181" s="3" t="n">
        <v>22</v>
      </c>
      <c r="K4181" s="3" t="n">
        <v>17866.03</v>
      </c>
      <c r="L4181" s="3" t="n">
        <v>393052.66</v>
      </c>
      <c r="M4181" s="3" t="n">
        <v>0.0539</v>
      </c>
      <c r="N4181" s="3" t="n">
        <v>21185.54</v>
      </c>
      <c r="O4181" s="3" t="n">
        <v>371867.12</v>
      </c>
      <c r="P4181" s="3" t="n">
        <v>235831.6</v>
      </c>
      <c r="Q4181" s="3" t="n">
        <v>136035.52</v>
      </c>
      <c r="R4181" s="3" t="n">
        <v>0.3658</v>
      </c>
      <c r="S4181" s="3" t="n">
        <v>0.0458</v>
      </c>
      <c r="T4181" s="3" t="n">
        <v>0.0081</v>
      </c>
    </row>
    <row r="4182" customFormat="false" ht="15" hidden="false" customHeight="true" outlineLevel="0" collapsed="false">
      <c r="A4182" s="3" t="s">
        <v>5345</v>
      </c>
      <c r="B4182" s="3" t="s">
        <v>45</v>
      </c>
      <c r="C4182" s="3" t="s">
        <v>46</v>
      </c>
      <c r="D4182" s="3" t="s">
        <v>61</v>
      </c>
      <c r="E4182" s="3" t="s">
        <v>33</v>
      </c>
      <c r="F4182" s="3" t="s">
        <v>62</v>
      </c>
      <c r="G4182" s="3" t="s">
        <v>26</v>
      </c>
      <c r="H4182" s="3" t="s">
        <v>56</v>
      </c>
      <c r="I4182" s="3" t="s">
        <v>121</v>
      </c>
      <c r="J4182" s="3" t="n">
        <v>41</v>
      </c>
      <c r="K4182" s="3" t="n">
        <v>6788.52</v>
      </c>
      <c r="L4182" s="3" t="n">
        <v>278329.32</v>
      </c>
      <c r="M4182" s="3" t="n">
        <v>0.0684</v>
      </c>
      <c r="N4182" s="3" t="n">
        <v>19037.73</v>
      </c>
      <c r="O4182" s="3" t="n">
        <v>259291.59</v>
      </c>
      <c r="P4182" s="3" t="n">
        <v>166997.59</v>
      </c>
      <c r="Q4182" s="3" t="n">
        <v>92294</v>
      </c>
      <c r="R4182" s="3" t="n">
        <v>0.3559</v>
      </c>
      <c r="S4182" s="3" t="n">
        <v>0.0596</v>
      </c>
      <c r="T4182" s="3" t="n">
        <v>0.0088</v>
      </c>
    </row>
    <row r="4183" customFormat="false" ht="15" hidden="false" customHeight="true" outlineLevel="0" collapsed="false">
      <c r="A4183" s="3" t="s">
        <v>5346</v>
      </c>
      <c r="B4183" s="3" t="s">
        <v>2391</v>
      </c>
      <c r="C4183" s="3" t="s">
        <v>68</v>
      </c>
      <c r="D4183" s="3" t="s">
        <v>61</v>
      </c>
      <c r="E4183" s="3" t="s">
        <v>33</v>
      </c>
      <c r="F4183" s="3" t="s">
        <v>62</v>
      </c>
      <c r="G4183" s="3" t="s">
        <v>41</v>
      </c>
      <c r="H4183" s="3" t="s">
        <v>42</v>
      </c>
      <c r="I4183" s="3" t="s">
        <v>43</v>
      </c>
      <c r="J4183" s="3" t="n">
        <v>8</v>
      </c>
      <c r="K4183" s="3" t="n">
        <v>2684.14</v>
      </c>
      <c r="L4183" s="3" t="n">
        <v>21473.12</v>
      </c>
      <c r="M4183" s="3" t="n">
        <v>0.1152</v>
      </c>
      <c r="N4183" s="3" t="n">
        <v>2473.7</v>
      </c>
      <c r="O4183" s="3" t="n">
        <v>18999.42</v>
      </c>
      <c r="P4183" s="3" t="n">
        <v>11810.22</v>
      </c>
      <c r="Q4183" s="3" t="n">
        <v>7189.2</v>
      </c>
      <c r="R4183" s="3" t="n">
        <v>0.3784</v>
      </c>
      <c r="S4183" s="3" t="n">
        <v>0.1144</v>
      </c>
      <c r="T4183" s="3" t="n">
        <v>0.0008</v>
      </c>
    </row>
    <row r="4184" customFormat="false" ht="15" hidden="false" customHeight="true" outlineLevel="0" collapsed="false">
      <c r="A4184" s="3" t="s">
        <v>5347</v>
      </c>
      <c r="B4184" s="3" t="s">
        <v>1512</v>
      </c>
      <c r="C4184" s="3" t="s">
        <v>31</v>
      </c>
      <c r="D4184" s="3" t="s">
        <v>75</v>
      </c>
      <c r="E4184" s="3" t="s">
        <v>39</v>
      </c>
      <c r="F4184" s="3" t="s">
        <v>25</v>
      </c>
      <c r="G4184" s="3" t="s">
        <v>63</v>
      </c>
      <c r="H4184" s="3" t="s">
        <v>42</v>
      </c>
      <c r="I4184" s="3" t="s">
        <v>72</v>
      </c>
      <c r="J4184" s="3" t="n">
        <v>38</v>
      </c>
      <c r="K4184" s="3" t="n">
        <v>1508.96</v>
      </c>
      <c r="L4184" s="3" t="n">
        <v>57340.48</v>
      </c>
      <c r="M4184" s="3" t="n">
        <v>0.1399</v>
      </c>
      <c r="N4184" s="3" t="n">
        <v>8021.93</v>
      </c>
      <c r="O4184" s="3" t="n">
        <v>49318.55</v>
      </c>
      <c r="P4184" s="3" t="n">
        <v>31537.26</v>
      </c>
      <c r="Q4184" s="3" t="n">
        <v>17781.29</v>
      </c>
      <c r="R4184" s="3" t="n">
        <v>0.3605</v>
      </c>
      <c r="S4184" s="3" t="n">
        <v>0.1192</v>
      </c>
      <c r="T4184" s="3" t="n">
        <v>0.0207</v>
      </c>
    </row>
    <row r="4185" customFormat="false" ht="15" hidden="false" customHeight="true" outlineLevel="0" collapsed="false">
      <c r="A4185" s="3" t="s">
        <v>5348</v>
      </c>
      <c r="B4185" s="3" t="s">
        <v>1415</v>
      </c>
      <c r="C4185" s="3" t="s">
        <v>46</v>
      </c>
      <c r="D4185" s="3" t="s">
        <v>83</v>
      </c>
      <c r="E4185" s="3" t="s">
        <v>48</v>
      </c>
      <c r="F4185" s="3" t="s">
        <v>62</v>
      </c>
      <c r="G4185" s="3" t="s">
        <v>34</v>
      </c>
      <c r="H4185" s="3" t="s">
        <v>64</v>
      </c>
      <c r="I4185" s="3" t="s">
        <v>145</v>
      </c>
      <c r="J4185" s="3" t="n">
        <v>40</v>
      </c>
      <c r="K4185" s="3" t="n">
        <v>8866.33</v>
      </c>
      <c r="L4185" s="3" t="n">
        <v>354653.2</v>
      </c>
      <c r="M4185" s="3" t="n">
        <v>0.1162</v>
      </c>
      <c r="N4185" s="3" t="n">
        <v>41210.7</v>
      </c>
      <c r="O4185" s="3" t="n">
        <v>313442.5</v>
      </c>
      <c r="P4185" s="3" t="n">
        <v>205698.86</v>
      </c>
      <c r="Q4185" s="3" t="n">
        <v>107743.64</v>
      </c>
      <c r="R4185" s="3" t="n">
        <v>0.3437</v>
      </c>
      <c r="S4185" s="3" t="n">
        <v>0.1196</v>
      </c>
      <c r="T4185" s="3" t="n">
        <v>-0.0034</v>
      </c>
    </row>
    <row r="4186" customFormat="false" ht="15" hidden="false" customHeight="true" outlineLevel="0" collapsed="false">
      <c r="A4186" s="3" t="s">
        <v>5349</v>
      </c>
      <c r="B4186" s="3" t="s">
        <v>2510</v>
      </c>
      <c r="C4186" s="3" t="s">
        <v>53</v>
      </c>
      <c r="D4186" s="3" t="s">
        <v>38</v>
      </c>
      <c r="E4186" s="3" t="s">
        <v>39</v>
      </c>
      <c r="F4186" s="3" t="s">
        <v>40</v>
      </c>
      <c r="G4186" s="3" t="s">
        <v>34</v>
      </c>
      <c r="H4186" s="3" t="s">
        <v>27</v>
      </c>
      <c r="I4186" s="3" t="s">
        <v>50</v>
      </c>
      <c r="J4186" s="3" t="n">
        <v>4</v>
      </c>
      <c r="K4186" s="3" t="n">
        <v>35330.15</v>
      </c>
      <c r="L4186" s="3" t="n">
        <v>141320.6</v>
      </c>
      <c r="M4186" s="3" t="n">
        <v>0.1056</v>
      </c>
      <c r="N4186" s="3" t="n">
        <v>14923.46</v>
      </c>
      <c r="O4186" s="3" t="n">
        <v>126397.14</v>
      </c>
      <c r="P4186" s="3" t="n">
        <v>87618.77</v>
      </c>
      <c r="Q4186" s="3" t="n">
        <v>38778.37</v>
      </c>
      <c r="R4186" s="3" t="n">
        <v>0.3068</v>
      </c>
      <c r="S4186" s="3" t="n">
        <v>0.0962</v>
      </c>
      <c r="T4186" s="3" t="n">
        <v>0.0094</v>
      </c>
    </row>
    <row r="4187" customFormat="false" ht="15" hidden="false" customHeight="true" outlineLevel="0" collapsed="false">
      <c r="A4187" s="3" t="s">
        <v>5350</v>
      </c>
      <c r="B4187" s="3" t="s">
        <v>1386</v>
      </c>
      <c r="C4187" s="3" t="s">
        <v>53</v>
      </c>
      <c r="D4187" s="3" t="s">
        <v>23</v>
      </c>
      <c r="E4187" s="3" t="s">
        <v>24</v>
      </c>
      <c r="F4187" s="3" t="s">
        <v>25</v>
      </c>
      <c r="G4187" s="3" t="s">
        <v>34</v>
      </c>
      <c r="H4187" s="3" t="s">
        <v>27</v>
      </c>
      <c r="I4187" s="3" t="s">
        <v>94</v>
      </c>
      <c r="J4187" s="3" t="n">
        <v>31</v>
      </c>
      <c r="K4187" s="3" t="n">
        <v>35412.23</v>
      </c>
      <c r="L4187" s="3" t="n">
        <v>1097779.13</v>
      </c>
      <c r="M4187" s="3" t="n">
        <v>0.1759</v>
      </c>
      <c r="N4187" s="3" t="n">
        <v>193099.35</v>
      </c>
      <c r="O4187" s="3" t="n">
        <v>904679.78</v>
      </c>
      <c r="P4187" s="3" t="n">
        <v>680623.06</v>
      </c>
      <c r="Q4187" s="3" t="n">
        <v>224056.72</v>
      </c>
      <c r="R4187" s="3" t="n">
        <v>0.2477</v>
      </c>
      <c r="S4187" s="3" t="n">
        <v>0.1433</v>
      </c>
      <c r="T4187" s="3" t="n">
        <v>0.0326</v>
      </c>
    </row>
    <row r="4188" customFormat="false" ht="15" hidden="false" customHeight="true" outlineLevel="0" collapsed="false">
      <c r="A4188" s="3" t="s">
        <v>5351</v>
      </c>
      <c r="B4188" s="3" t="s">
        <v>803</v>
      </c>
      <c r="C4188" s="3" t="s">
        <v>156</v>
      </c>
      <c r="D4188" s="3" t="s">
        <v>83</v>
      </c>
      <c r="E4188" s="3" t="s">
        <v>48</v>
      </c>
      <c r="F4188" s="3" t="s">
        <v>62</v>
      </c>
      <c r="G4188" s="3" t="s">
        <v>76</v>
      </c>
      <c r="H4188" s="3" t="s">
        <v>56</v>
      </c>
      <c r="I4188" s="3" t="s">
        <v>188</v>
      </c>
      <c r="J4188" s="3" t="n">
        <v>13</v>
      </c>
      <c r="K4188" s="3" t="n">
        <v>7188.51</v>
      </c>
      <c r="L4188" s="3" t="n">
        <v>93450.63</v>
      </c>
      <c r="M4188" s="3" t="n">
        <v>0.0799</v>
      </c>
      <c r="N4188" s="3" t="n">
        <v>7466.71</v>
      </c>
      <c r="O4188" s="3" t="n">
        <v>85983.92</v>
      </c>
      <c r="P4188" s="3" t="n">
        <v>56070.38</v>
      </c>
      <c r="Q4188" s="3" t="n">
        <v>29913.54</v>
      </c>
      <c r="R4188" s="3" t="n">
        <v>0.3479</v>
      </c>
      <c r="S4188" s="3" t="n">
        <v>0.0813</v>
      </c>
      <c r="T4188" s="3" t="n">
        <v>-0.0014</v>
      </c>
    </row>
    <row r="4189" customFormat="false" ht="15" hidden="false" customHeight="true" outlineLevel="0" collapsed="false">
      <c r="A4189" s="3" t="s">
        <v>5352</v>
      </c>
      <c r="B4189" s="3" t="s">
        <v>3031</v>
      </c>
      <c r="C4189" s="3" t="s">
        <v>68</v>
      </c>
      <c r="D4189" s="3" t="s">
        <v>61</v>
      </c>
      <c r="E4189" s="3" t="s">
        <v>33</v>
      </c>
      <c r="F4189" s="3" t="s">
        <v>62</v>
      </c>
      <c r="G4189" s="3" t="s">
        <v>63</v>
      </c>
      <c r="H4189" s="3" t="s">
        <v>64</v>
      </c>
      <c r="I4189" s="3" t="s">
        <v>145</v>
      </c>
      <c r="J4189" s="3" t="n">
        <v>16</v>
      </c>
      <c r="K4189" s="3" t="n">
        <v>11817.23</v>
      </c>
      <c r="L4189" s="3" t="n">
        <v>189075.68</v>
      </c>
      <c r="M4189" s="3" t="n">
        <v>0.0671</v>
      </c>
      <c r="N4189" s="3" t="n">
        <v>12686.98</v>
      </c>
      <c r="O4189" s="3" t="n">
        <v>176388.7</v>
      </c>
      <c r="P4189" s="3" t="n">
        <v>109663.89</v>
      </c>
      <c r="Q4189" s="3" t="n">
        <v>66724.81</v>
      </c>
      <c r="R4189" s="3" t="n">
        <v>0.3783</v>
      </c>
      <c r="S4189" s="3" t="n">
        <v>0.0666</v>
      </c>
      <c r="T4189" s="3" t="n">
        <v>0.0005</v>
      </c>
    </row>
    <row r="4190" customFormat="false" ht="15" hidden="false" customHeight="true" outlineLevel="0" collapsed="false">
      <c r="A4190" s="3" t="s">
        <v>5353</v>
      </c>
      <c r="B4190" s="3" t="s">
        <v>1200</v>
      </c>
      <c r="C4190" s="3" t="s">
        <v>31</v>
      </c>
      <c r="D4190" s="3" t="s">
        <v>47</v>
      </c>
      <c r="E4190" s="3" t="s">
        <v>48</v>
      </c>
      <c r="F4190" s="3" t="s">
        <v>25</v>
      </c>
      <c r="G4190" s="3" t="s">
        <v>34</v>
      </c>
      <c r="H4190" s="3" t="s">
        <v>64</v>
      </c>
      <c r="I4190" s="3" t="s">
        <v>145</v>
      </c>
      <c r="J4190" s="3" t="n">
        <v>41</v>
      </c>
      <c r="K4190" s="3" t="n">
        <v>9702.99</v>
      </c>
      <c r="L4190" s="3" t="n">
        <v>397822.59</v>
      </c>
      <c r="M4190" s="3" t="n">
        <v>0.1317</v>
      </c>
      <c r="N4190" s="3" t="n">
        <v>52393.24</v>
      </c>
      <c r="O4190" s="3" t="n">
        <v>345429.35</v>
      </c>
      <c r="P4190" s="3" t="n">
        <v>230737.1</v>
      </c>
      <c r="Q4190" s="3" t="n">
        <v>114692.25</v>
      </c>
      <c r="R4190" s="3" t="n">
        <v>0.332</v>
      </c>
      <c r="S4190" s="3" t="n">
        <v>0.122</v>
      </c>
      <c r="T4190" s="3" t="n">
        <v>0.0097</v>
      </c>
    </row>
    <row r="4191" customFormat="false" ht="15" hidden="false" customHeight="true" outlineLevel="0" collapsed="false">
      <c r="A4191" s="3" t="s">
        <v>5354</v>
      </c>
      <c r="B4191" s="3" t="s">
        <v>1957</v>
      </c>
      <c r="C4191" s="3" t="s">
        <v>31</v>
      </c>
      <c r="D4191" s="3" t="s">
        <v>97</v>
      </c>
      <c r="E4191" s="3" t="s">
        <v>48</v>
      </c>
      <c r="F4191" s="3" t="s">
        <v>40</v>
      </c>
      <c r="G4191" s="3" t="s">
        <v>116</v>
      </c>
      <c r="H4191" s="3" t="s">
        <v>56</v>
      </c>
      <c r="I4191" s="3" t="s">
        <v>57</v>
      </c>
      <c r="J4191" s="3" t="n">
        <v>25</v>
      </c>
      <c r="K4191" s="3" t="n">
        <v>13606.3</v>
      </c>
      <c r="L4191" s="3" t="n">
        <v>340157.5</v>
      </c>
      <c r="M4191" s="3" t="n">
        <v>0.1142</v>
      </c>
      <c r="N4191" s="3" t="n">
        <v>38845.99</v>
      </c>
      <c r="O4191" s="3" t="n">
        <v>301311.51</v>
      </c>
      <c r="P4191" s="3" t="n">
        <v>204094.5</v>
      </c>
      <c r="Q4191" s="3" t="n">
        <v>97217.01</v>
      </c>
      <c r="R4191" s="3" t="n">
        <v>0.3226</v>
      </c>
      <c r="S4191" s="3" t="n">
        <v>0.0997</v>
      </c>
      <c r="T4191" s="3" t="n">
        <v>0.0145</v>
      </c>
    </row>
    <row r="4192" customFormat="false" ht="15" hidden="false" customHeight="true" outlineLevel="0" collapsed="false">
      <c r="A4192" s="3" t="s">
        <v>5355</v>
      </c>
      <c r="B4192" s="3" t="s">
        <v>452</v>
      </c>
      <c r="C4192" s="3" t="s">
        <v>68</v>
      </c>
      <c r="D4192" s="3" t="s">
        <v>83</v>
      </c>
      <c r="E4192" s="3" t="s">
        <v>48</v>
      </c>
      <c r="F4192" s="3" t="s">
        <v>62</v>
      </c>
      <c r="G4192" s="3" t="s">
        <v>116</v>
      </c>
      <c r="H4192" s="3" t="s">
        <v>42</v>
      </c>
      <c r="I4192" s="3" t="s">
        <v>72</v>
      </c>
      <c r="J4192" s="3" t="n">
        <v>10</v>
      </c>
      <c r="K4192" s="3" t="n">
        <v>3583.33</v>
      </c>
      <c r="L4192" s="3" t="n">
        <v>35833.3</v>
      </c>
      <c r="M4192" s="3" t="n">
        <v>0.1218</v>
      </c>
      <c r="N4192" s="3" t="n">
        <v>4364.5</v>
      </c>
      <c r="O4192" s="3" t="n">
        <v>31468.8</v>
      </c>
      <c r="P4192" s="3" t="n">
        <v>19708.32</v>
      </c>
      <c r="Q4192" s="3" t="n">
        <v>11760.48</v>
      </c>
      <c r="R4192" s="3" t="n">
        <v>0.3737</v>
      </c>
      <c r="S4192" s="3" t="n">
        <v>0.1308</v>
      </c>
      <c r="T4192" s="3" t="n">
        <v>-0.009</v>
      </c>
    </row>
    <row r="4193" customFormat="false" ht="15" hidden="false" customHeight="true" outlineLevel="0" collapsed="false">
      <c r="A4193" s="3" t="s">
        <v>5356</v>
      </c>
      <c r="B4193" s="3" t="s">
        <v>3294</v>
      </c>
      <c r="C4193" s="3" t="s">
        <v>53</v>
      </c>
      <c r="D4193" s="3" t="s">
        <v>38</v>
      </c>
      <c r="E4193" s="3" t="s">
        <v>39</v>
      </c>
      <c r="F4193" s="3" t="s">
        <v>40</v>
      </c>
      <c r="G4193" s="3" t="s">
        <v>49</v>
      </c>
      <c r="H4193" s="3" t="s">
        <v>27</v>
      </c>
      <c r="I4193" s="3" t="s">
        <v>173</v>
      </c>
      <c r="J4193" s="3" t="n">
        <v>5</v>
      </c>
      <c r="K4193" s="3" t="n">
        <v>8286.53</v>
      </c>
      <c r="L4193" s="3" t="n">
        <v>41432.65</v>
      </c>
      <c r="M4193" s="3" t="n">
        <v>0.0725</v>
      </c>
      <c r="N4193" s="3" t="n">
        <v>3003.87</v>
      </c>
      <c r="O4193" s="3" t="n">
        <v>38428.78</v>
      </c>
      <c r="P4193" s="3" t="n">
        <v>25688.24</v>
      </c>
      <c r="Q4193" s="3" t="n">
        <v>12740.54</v>
      </c>
      <c r="R4193" s="3" t="n">
        <v>0.3315</v>
      </c>
      <c r="S4193" s="3" t="n">
        <v>0.0675</v>
      </c>
      <c r="T4193" s="3" t="n">
        <v>0.005</v>
      </c>
    </row>
    <row r="4194" customFormat="false" ht="15" hidden="false" customHeight="true" outlineLevel="0" collapsed="false">
      <c r="A4194" s="3" t="s">
        <v>5357</v>
      </c>
      <c r="B4194" s="3" t="s">
        <v>2168</v>
      </c>
      <c r="C4194" s="3" t="s">
        <v>113</v>
      </c>
      <c r="D4194" s="3" t="s">
        <v>103</v>
      </c>
      <c r="E4194" s="3" t="s">
        <v>24</v>
      </c>
      <c r="F4194" s="3" t="s">
        <v>62</v>
      </c>
      <c r="G4194" s="3" t="s">
        <v>116</v>
      </c>
      <c r="H4194" s="3" t="s">
        <v>56</v>
      </c>
      <c r="I4194" s="3" t="s">
        <v>188</v>
      </c>
      <c r="J4194" s="3" t="n">
        <v>11</v>
      </c>
      <c r="K4194" s="3" t="n">
        <v>3719.7</v>
      </c>
      <c r="L4194" s="3" t="n">
        <v>40916.7</v>
      </c>
      <c r="M4194" s="3" t="n">
        <v>0.0715</v>
      </c>
      <c r="N4194" s="3" t="n">
        <v>2925.54</v>
      </c>
      <c r="O4194" s="3" t="n">
        <v>37991.16</v>
      </c>
      <c r="P4194" s="3" t="n">
        <v>24550.02</v>
      </c>
      <c r="Q4194" s="3" t="n">
        <v>13441.14</v>
      </c>
      <c r="R4194" s="3" t="n">
        <v>0.3538</v>
      </c>
      <c r="S4194" s="3" t="n">
        <v>0.0589</v>
      </c>
      <c r="T4194" s="3" t="n">
        <v>0.0126</v>
      </c>
    </row>
    <row r="4195" customFormat="false" ht="15" hidden="false" customHeight="true" outlineLevel="0" collapsed="false">
      <c r="A4195" s="3" t="s">
        <v>5358</v>
      </c>
      <c r="B4195" s="3" t="s">
        <v>639</v>
      </c>
      <c r="C4195" s="3" t="s">
        <v>31</v>
      </c>
      <c r="D4195" s="3" t="s">
        <v>32</v>
      </c>
      <c r="E4195" s="3" t="s">
        <v>33</v>
      </c>
      <c r="F4195" s="3" t="s">
        <v>25</v>
      </c>
      <c r="G4195" s="3" t="s">
        <v>104</v>
      </c>
      <c r="H4195" s="3" t="s">
        <v>27</v>
      </c>
      <c r="I4195" s="3" t="s">
        <v>50</v>
      </c>
      <c r="J4195" s="3" t="n">
        <v>31</v>
      </c>
      <c r="K4195" s="3" t="n">
        <v>13991.89</v>
      </c>
      <c r="L4195" s="3" t="n">
        <v>433748.59</v>
      </c>
      <c r="M4195" s="3" t="n">
        <v>0.1974</v>
      </c>
      <c r="N4195" s="3" t="n">
        <v>85621.97</v>
      </c>
      <c r="O4195" s="3" t="n">
        <v>348126.62</v>
      </c>
      <c r="P4195" s="3" t="n">
        <v>268924.13</v>
      </c>
      <c r="Q4195" s="3" t="n">
        <v>79202.49</v>
      </c>
      <c r="R4195" s="3" t="n">
        <v>0.2275</v>
      </c>
      <c r="S4195" s="3" t="n">
        <v>0.2046</v>
      </c>
      <c r="T4195" s="3" t="n">
        <v>-0.0072</v>
      </c>
    </row>
    <row r="4196" customFormat="false" ht="15" hidden="false" customHeight="true" outlineLevel="0" collapsed="false">
      <c r="A4196" s="3" t="s">
        <v>5359</v>
      </c>
      <c r="B4196" s="3" t="s">
        <v>494</v>
      </c>
      <c r="C4196" s="3" t="s">
        <v>53</v>
      </c>
      <c r="D4196" s="3" t="s">
        <v>107</v>
      </c>
      <c r="E4196" s="3" t="s">
        <v>33</v>
      </c>
      <c r="F4196" s="3" t="s">
        <v>70</v>
      </c>
      <c r="G4196" s="3" t="s">
        <v>116</v>
      </c>
      <c r="H4196" s="3" t="s">
        <v>64</v>
      </c>
      <c r="I4196" s="3" t="s">
        <v>108</v>
      </c>
      <c r="J4196" s="3" t="n">
        <v>4</v>
      </c>
      <c r="K4196" s="3" t="n">
        <v>11329.53</v>
      </c>
      <c r="L4196" s="3" t="n">
        <v>45318.12</v>
      </c>
      <c r="M4196" s="3" t="n">
        <v>0.1133</v>
      </c>
      <c r="N4196" s="3" t="n">
        <v>5134.54</v>
      </c>
      <c r="O4196" s="3" t="n">
        <v>40183.58</v>
      </c>
      <c r="P4196" s="3" t="n">
        <v>26284.51</v>
      </c>
      <c r="Q4196" s="3" t="n">
        <v>13899.07</v>
      </c>
      <c r="R4196" s="3" t="n">
        <v>0.3459</v>
      </c>
      <c r="S4196" s="3" t="n">
        <v>0.116</v>
      </c>
      <c r="T4196" s="3" t="n">
        <v>-0.0027</v>
      </c>
    </row>
    <row r="4197" customFormat="false" ht="15" hidden="false" customHeight="true" outlineLevel="0" collapsed="false">
      <c r="A4197" s="3" t="s">
        <v>5360</v>
      </c>
      <c r="B4197" s="3" t="s">
        <v>4594</v>
      </c>
      <c r="C4197" s="3" t="s">
        <v>93</v>
      </c>
      <c r="D4197" s="3" t="s">
        <v>38</v>
      </c>
      <c r="E4197" s="3" t="s">
        <v>39</v>
      </c>
      <c r="F4197" s="3" t="s">
        <v>40</v>
      </c>
      <c r="G4197" s="3" t="s">
        <v>41</v>
      </c>
      <c r="H4197" s="3" t="s">
        <v>56</v>
      </c>
      <c r="I4197" s="3" t="s">
        <v>57</v>
      </c>
      <c r="J4197" s="3" t="n">
        <v>30</v>
      </c>
      <c r="K4197" s="3" t="n">
        <v>7950.81</v>
      </c>
      <c r="L4197" s="3" t="n">
        <v>238524.3</v>
      </c>
      <c r="M4197" s="3" t="n">
        <v>0.1114</v>
      </c>
      <c r="N4197" s="3" t="n">
        <v>26571.61</v>
      </c>
      <c r="O4197" s="3" t="n">
        <v>211952.69</v>
      </c>
      <c r="P4197" s="3" t="n">
        <v>143114.58</v>
      </c>
      <c r="Q4197" s="3" t="n">
        <v>68838.11</v>
      </c>
      <c r="R4197" s="3" t="n">
        <v>0.3248</v>
      </c>
      <c r="S4197" s="3" t="n">
        <v>0.106</v>
      </c>
      <c r="T4197" s="3" t="n">
        <v>0.0054</v>
      </c>
    </row>
    <row r="4198" customFormat="false" ht="15" hidden="false" customHeight="true" outlineLevel="0" collapsed="false">
      <c r="A4198" s="3" t="s">
        <v>5361</v>
      </c>
      <c r="B4198" s="3" t="s">
        <v>1664</v>
      </c>
      <c r="C4198" s="3" t="s">
        <v>60</v>
      </c>
      <c r="D4198" s="3" t="s">
        <v>54</v>
      </c>
      <c r="E4198" s="3" t="s">
        <v>24</v>
      </c>
      <c r="F4198" s="3" t="s">
        <v>40</v>
      </c>
      <c r="G4198" s="3" t="s">
        <v>104</v>
      </c>
      <c r="H4198" s="3" t="s">
        <v>64</v>
      </c>
      <c r="I4198" s="3" t="s">
        <v>65</v>
      </c>
      <c r="J4198" s="3" t="n">
        <v>19</v>
      </c>
      <c r="K4198" s="3" t="n">
        <v>8825.98</v>
      </c>
      <c r="L4198" s="3" t="n">
        <v>167693.62</v>
      </c>
      <c r="M4198" s="3" t="n">
        <v>0.0878</v>
      </c>
      <c r="N4198" s="3" t="n">
        <v>14723.5</v>
      </c>
      <c r="O4198" s="3" t="n">
        <v>152970.12</v>
      </c>
      <c r="P4198" s="3" t="n">
        <v>97262.3</v>
      </c>
      <c r="Q4198" s="3" t="n">
        <v>55707.82</v>
      </c>
      <c r="R4198" s="3" t="n">
        <v>0.3642</v>
      </c>
      <c r="S4198" s="3" t="n">
        <v>0.077</v>
      </c>
      <c r="T4198" s="3" t="n">
        <v>0.0108</v>
      </c>
    </row>
    <row r="4199" customFormat="false" ht="15" hidden="false" customHeight="true" outlineLevel="0" collapsed="false">
      <c r="A4199" s="3" t="s">
        <v>5362</v>
      </c>
      <c r="B4199" s="3" t="s">
        <v>418</v>
      </c>
      <c r="C4199" s="3" t="s">
        <v>22</v>
      </c>
      <c r="D4199" s="3" t="s">
        <v>32</v>
      </c>
      <c r="E4199" s="3" t="s">
        <v>33</v>
      </c>
      <c r="F4199" s="3" t="s">
        <v>25</v>
      </c>
      <c r="G4199" s="3" t="s">
        <v>84</v>
      </c>
      <c r="H4199" s="3" t="s">
        <v>77</v>
      </c>
      <c r="I4199" s="3" t="s">
        <v>131</v>
      </c>
      <c r="J4199" s="3" t="n">
        <v>46</v>
      </c>
      <c r="K4199" s="3" t="n">
        <v>2013.98</v>
      </c>
      <c r="L4199" s="3" t="n">
        <v>92643.08</v>
      </c>
      <c r="M4199" s="3" t="n">
        <v>0.1856</v>
      </c>
      <c r="N4199" s="3" t="n">
        <v>17194.56</v>
      </c>
      <c r="O4199" s="3" t="n">
        <v>75448.52</v>
      </c>
      <c r="P4199" s="3" t="n">
        <v>62997.29</v>
      </c>
      <c r="Q4199" s="3" t="n">
        <v>12451.23</v>
      </c>
      <c r="R4199" s="3" t="n">
        <v>0.165</v>
      </c>
      <c r="S4199" s="3" t="n">
        <v>0.1885</v>
      </c>
      <c r="T4199" s="3" t="n">
        <v>-0.0029</v>
      </c>
    </row>
    <row r="4200" customFormat="false" ht="15" hidden="false" customHeight="true" outlineLevel="0" collapsed="false">
      <c r="A4200" s="3" t="s">
        <v>5363</v>
      </c>
      <c r="B4200" s="3" t="s">
        <v>1776</v>
      </c>
      <c r="C4200" s="3" t="s">
        <v>126</v>
      </c>
      <c r="D4200" s="3" t="s">
        <v>103</v>
      </c>
      <c r="E4200" s="3" t="s">
        <v>24</v>
      </c>
      <c r="F4200" s="3" t="s">
        <v>62</v>
      </c>
      <c r="G4200" s="3" t="s">
        <v>41</v>
      </c>
      <c r="H4200" s="3" t="s">
        <v>56</v>
      </c>
      <c r="I4200" s="3" t="s">
        <v>57</v>
      </c>
      <c r="J4200" s="3" t="n">
        <v>21</v>
      </c>
      <c r="K4200" s="3" t="n">
        <v>10301.1</v>
      </c>
      <c r="L4200" s="3" t="n">
        <v>216323.1</v>
      </c>
      <c r="M4200" s="3" t="n">
        <v>0.1153</v>
      </c>
      <c r="N4200" s="3" t="n">
        <v>24942.05</v>
      </c>
      <c r="O4200" s="3" t="n">
        <v>191381.05</v>
      </c>
      <c r="P4200" s="3" t="n">
        <v>129793.86</v>
      </c>
      <c r="Q4200" s="3" t="n">
        <v>61587.19</v>
      </c>
      <c r="R4200" s="3" t="n">
        <v>0.3218</v>
      </c>
      <c r="S4200" s="3" t="n">
        <v>0.1081</v>
      </c>
      <c r="T4200" s="3" t="n">
        <v>0.0072</v>
      </c>
    </row>
    <row r="4201" customFormat="false" ht="15" hidden="false" customHeight="true" outlineLevel="0" collapsed="false">
      <c r="A4201" s="3" t="s">
        <v>5364</v>
      </c>
      <c r="B4201" s="3" t="s">
        <v>3592</v>
      </c>
      <c r="C4201" s="3" t="s">
        <v>68</v>
      </c>
      <c r="D4201" s="3" t="s">
        <v>103</v>
      </c>
      <c r="E4201" s="3" t="s">
        <v>24</v>
      </c>
      <c r="F4201" s="3" t="s">
        <v>62</v>
      </c>
      <c r="G4201" s="3" t="s">
        <v>63</v>
      </c>
      <c r="H4201" s="3" t="s">
        <v>77</v>
      </c>
      <c r="I4201" s="3" t="s">
        <v>85</v>
      </c>
      <c r="J4201" s="3" t="n">
        <v>49</v>
      </c>
      <c r="K4201" s="3" t="n">
        <v>2224.03</v>
      </c>
      <c r="L4201" s="3" t="n">
        <v>108977.47</v>
      </c>
      <c r="M4201" s="3" t="n">
        <v>0.0749</v>
      </c>
      <c r="N4201" s="3" t="n">
        <v>8162.41</v>
      </c>
      <c r="O4201" s="3" t="n">
        <v>100815.06</v>
      </c>
      <c r="P4201" s="3" t="n">
        <v>74104.68</v>
      </c>
      <c r="Q4201" s="3" t="n">
        <v>26710.38</v>
      </c>
      <c r="R4201" s="3" t="n">
        <v>0.2649</v>
      </c>
      <c r="S4201" s="3" t="n">
        <v>0.0637</v>
      </c>
      <c r="T4201" s="3" t="n">
        <v>0.0112</v>
      </c>
    </row>
    <row r="4202" customFormat="false" ht="15" hidden="false" customHeight="true" outlineLevel="0" collapsed="false">
      <c r="A4202" s="3" t="s">
        <v>5365</v>
      </c>
      <c r="B4202" s="3" t="s">
        <v>657</v>
      </c>
      <c r="C4202" s="3" t="s">
        <v>68</v>
      </c>
      <c r="D4202" s="3" t="s">
        <v>69</v>
      </c>
      <c r="E4202" s="3" t="s">
        <v>39</v>
      </c>
      <c r="F4202" s="3" t="s">
        <v>70</v>
      </c>
      <c r="G4202" s="3" t="s">
        <v>49</v>
      </c>
      <c r="H4202" s="3" t="s">
        <v>27</v>
      </c>
      <c r="I4202" s="3" t="s">
        <v>50</v>
      </c>
      <c r="J4202" s="3" t="n">
        <v>37</v>
      </c>
      <c r="K4202" s="3" t="n">
        <v>23965.2</v>
      </c>
      <c r="L4202" s="3" t="n">
        <v>886712.4</v>
      </c>
      <c r="M4202" s="3" t="n">
        <v>0.0535</v>
      </c>
      <c r="N4202" s="3" t="n">
        <v>47439.11</v>
      </c>
      <c r="O4202" s="3" t="n">
        <v>839273.29</v>
      </c>
      <c r="P4202" s="3" t="n">
        <v>549761.69</v>
      </c>
      <c r="Q4202" s="3" t="n">
        <v>289511.6</v>
      </c>
      <c r="R4202" s="3" t="n">
        <v>0.345</v>
      </c>
      <c r="S4202" s="3" t="n">
        <v>0.0564</v>
      </c>
      <c r="T4202" s="3" t="n">
        <v>-0.0029</v>
      </c>
    </row>
    <row r="4203" customFormat="false" ht="15" hidden="false" customHeight="true" outlineLevel="0" collapsed="false">
      <c r="A4203" s="3" t="s">
        <v>5366</v>
      </c>
      <c r="B4203" s="3" t="s">
        <v>144</v>
      </c>
      <c r="C4203" s="3" t="s">
        <v>120</v>
      </c>
      <c r="D4203" s="3" t="s">
        <v>69</v>
      </c>
      <c r="E4203" s="3" t="s">
        <v>39</v>
      </c>
      <c r="F4203" s="3" t="s">
        <v>70</v>
      </c>
      <c r="G4203" s="3" t="s">
        <v>63</v>
      </c>
      <c r="H4203" s="3" t="s">
        <v>77</v>
      </c>
      <c r="I4203" s="3" t="s">
        <v>78</v>
      </c>
      <c r="J4203" s="3" t="n">
        <v>20</v>
      </c>
      <c r="K4203" s="3" t="n">
        <v>1276.17</v>
      </c>
      <c r="L4203" s="3" t="n">
        <v>25523.4</v>
      </c>
      <c r="M4203" s="3" t="n">
        <v>0.066</v>
      </c>
      <c r="N4203" s="3" t="n">
        <v>1684.54</v>
      </c>
      <c r="O4203" s="3" t="n">
        <v>23838.86</v>
      </c>
      <c r="P4203" s="3" t="n">
        <v>17355.91</v>
      </c>
      <c r="Q4203" s="3" t="n">
        <v>6482.95</v>
      </c>
      <c r="R4203" s="3" t="n">
        <v>0.2719</v>
      </c>
      <c r="S4203" s="3" t="n">
        <v>0.0536</v>
      </c>
      <c r="T4203" s="3" t="n">
        <v>0.0124</v>
      </c>
    </row>
    <row r="4204" customFormat="false" ht="15" hidden="false" customHeight="true" outlineLevel="0" collapsed="false">
      <c r="A4204" s="3" t="s">
        <v>5367</v>
      </c>
      <c r="B4204" s="3" t="s">
        <v>585</v>
      </c>
      <c r="C4204" s="3" t="s">
        <v>126</v>
      </c>
      <c r="D4204" s="3" t="s">
        <v>38</v>
      </c>
      <c r="E4204" s="3" t="s">
        <v>39</v>
      </c>
      <c r="F4204" s="3" t="s">
        <v>40</v>
      </c>
      <c r="G4204" s="3" t="s">
        <v>26</v>
      </c>
      <c r="H4204" s="3" t="s">
        <v>64</v>
      </c>
      <c r="I4204" s="3" t="s">
        <v>145</v>
      </c>
      <c r="J4204" s="3" t="n">
        <v>7</v>
      </c>
      <c r="K4204" s="3" t="n">
        <v>9053.87</v>
      </c>
      <c r="L4204" s="3" t="n">
        <v>63377.09</v>
      </c>
      <c r="M4204" s="3" t="n">
        <v>0.0458</v>
      </c>
      <c r="N4204" s="3" t="n">
        <v>2902.67</v>
      </c>
      <c r="O4204" s="3" t="n">
        <v>60474.42</v>
      </c>
      <c r="P4204" s="3" t="n">
        <v>36758.71</v>
      </c>
      <c r="Q4204" s="3" t="n">
        <v>23715.71</v>
      </c>
      <c r="R4204" s="3" t="n">
        <v>0.3922</v>
      </c>
      <c r="S4204" s="3" t="n">
        <v>0.0479</v>
      </c>
      <c r="T4204" s="3" t="n">
        <v>-0.0021</v>
      </c>
    </row>
    <row r="4205" customFormat="false" ht="15" hidden="false" customHeight="true" outlineLevel="0" collapsed="false">
      <c r="A4205" s="3" t="s">
        <v>5368</v>
      </c>
      <c r="B4205" s="3" t="s">
        <v>1444</v>
      </c>
      <c r="C4205" s="3" t="s">
        <v>68</v>
      </c>
      <c r="D4205" s="3" t="s">
        <v>69</v>
      </c>
      <c r="E4205" s="3" t="s">
        <v>39</v>
      </c>
      <c r="F4205" s="3" t="s">
        <v>70</v>
      </c>
      <c r="G4205" s="3" t="s">
        <v>34</v>
      </c>
      <c r="H4205" s="3" t="s">
        <v>56</v>
      </c>
      <c r="I4205" s="3" t="s">
        <v>188</v>
      </c>
      <c r="J4205" s="3" t="n">
        <v>28</v>
      </c>
      <c r="K4205" s="3" t="n">
        <v>7456</v>
      </c>
      <c r="L4205" s="3" t="n">
        <v>208768</v>
      </c>
      <c r="M4205" s="3" t="n">
        <v>0.1221</v>
      </c>
      <c r="N4205" s="3" t="n">
        <v>25490.57</v>
      </c>
      <c r="O4205" s="3" t="n">
        <v>183277.43</v>
      </c>
      <c r="P4205" s="3" t="n">
        <v>125260.8</v>
      </c>
      <c r="Q4205" s="3" t="n">
        <v>58016.63</v>
      </c>
      <c r="R4205" s="3" t="n">
        <v>0.3166</v>
      </c>
      <c r="S4205" s="3" t="n">
        <v>0.1107</v>
      </c>
      <c r="T4205" s="3" t="n">
        <v>0.0114</v>
      </c>
    </row>
    <row r="4206" customFormat="false" ht="15" hidden="false" customHeight="true" outlineLevel="0" collapsed="false">
      <c r="A4206" s="3" t="s">
        <v>5369</v>
      </c>
      <c r="B4206" s="3" t="s">
        <v>202</v>
      </c>
      <c r="C4206" s="3" t="s">
        <v>31</v>
      </c>
      <c r="D4206" s="3" t="s">
        <v>107</v>
      </c>
      <c r="E4206" s="3" t="s">
        <v>33</v>
      </c>
      <c r="F4206" s="3" t="s">
        <v>70</v>
      </c>
      <c r="G4206" s="3" t="s">
        <v>71</v>
      </c>
      <c r="H4206" s="3" t="s">
        <v>77</v>
      </c>
      <c r="I4206" s="3" t="s">
        <v>85</v>
      </c>
      <c r="J4206" s="3" t="n">
        <v>28</v>
      </c>
      <c r="K4206" s="3" t="n">
        <v>5826.39</v>
      </c>
      <c r="L4206" s="3" t="n">
        <v>163138.92</v>
      </c>
      <c r="M4206" s="3" t="n">
        <v>0.0658</v>
      </c>
      <c r="N4206" s="3" t="n">
        <v>10734.54</v>
      </c>
      <c r="O4206" s="3" t="n">
        <v>152404.38</v>
      </c>
      <c r="P4206" s="3" t="n">
        <v>110934.47</v>
      </c>
      <c r="Q4206" s="3" t="n">
        <v>41469.91</v>
      </c>
      <c r="R4206" s="3" t="n">
        <v>0.2721</v>
      </c>
      <c r="S4206" s="3" t="n">
        <v>0.0568</v>
      </c>
      <c r="T4206" s="3" t="n">
        <v>0.009</v>
      </c>
    </row>
    <row r="4207" customFormat="false" ht="15" hidden="false" customHeight="true" outlineLevel="0" collapsed="false">
      <c r="A4207" s="3" t="s">
        <v>5370</v>
      </c>
      <c r="B4207" s="3" t="s">
        <v>21</v>
      </c>
      <c r="C4207" s="3" t="s">
        <v>22</v>
      </c>
      <c r="D4207" s="3" t="s">
        <v>54</v>
      </c>
      <c r="E4207" s="3" t="s">
        <v>24</v>
      </c>
      <c r="F4207" s="3" t="s">
        <v>40</v>
      </c>
      <c r="G4207" s="3" t="s">
        <v>104</v>
      </c>
      <c r="H4207" s="3" t="s">
        <v>77</v>
      </c>
      <c r="I4207" s="3" t="s">
        <v>78</v>
      </c>
      <c r="J4207" s="3" t="n">
        <v>21</v>
      </c>
      <c r="K4207" s="3" t="n">
        <v>5552.42</v>
      </c>
      <c r="L4207" s="3" t="n">
        <v>116600.82</v>
      </c>
      <c r="M4207" s="3" t="n">
        <v>0.1242</v>
      </c>
      <c r="N4207" s="3" t="n">
        <v>14481.82</v>
      </c>
      <c r="O4207" s="3" t="n">
        <v>102119</v>
      </c>
      <c r="P4207" s="3" t="n">
        <v>79288.56</v>
      </c>
      <c r="Q4207" s="3" t="n">
        <v>22830.44</v>
      </c>
      <c r="R4207" s="3" t="n">
        <v>0.2236</v>
      </c>
      <c r="S4207" s="3" t="n">
        <v>0.1014</v>
      </c>
      <c r="T4207" s="3" t="n">
        <v>0.0228</v>
      </c>
    </row>
    <row r="4208" customFormat="false" ht="15" hidden="false" customHeight="true" outlineLevel="0" collapsed="false">
      <c r="A4208" s="3" t="s">
        <v>5371</v>
      </c>
      <c r="B4208" s="3" t="s">
        <v>196</v>
      </c>
      <c r="C4208" s="3" t="s">
        <v>126</v>
      </c>
      <c r="D4208" s="3" t="s">
        <v>107</v>
      </c>
      <c r="E4208" s="3" t="s">
        <v>33</v>
      </c>
      <c r="F4208" s="3" t="s">
        <v>70</v>
      </c>
      <c r="G4208" s="3" t="s">
        <v>63</v>
      </c>
      <c r="H4208" s="3" t="s">
        <v>42</v>
      </c>
      <c r="I4208" s="3" t="s">
        <v>43</v>
      </c>
      <c r="J4208" s="3" t="n">
        <v>9</v>
      </c>
      <c r="K4208" s="3" t="n">
        <v>1078.18</v>
      </c>
      <c r="L4208" s="3" t="n">
        <v>9703.62</v>
      </c>
      <c r="M4208" s="3" t="n">
        <v>0.049</v>
      </c>
      <c r="N4208" s="3" t="n">
        <v>475.48</v>
      </c>
      <c r="O4208" s="3" t="n">
        <v>9228.14</v>
      </c>
      <c r="P4208" s="3" t="n">
        <v>5336.99</v>
      </c>
      <c r="Q4208" s="3" t="n">
        <v>3891.15</v>
      </c>
      <c r="R4208" s="3" t="n">
        <v>0.4217</v>
      </c>
      <c r="S4208" s="3" t="n">
        <v>0.0526</v>
      </c>
      <c r="T4208" s="3" t="n">
        <v>-0.0036</v>
      </c>
    </row>
    <row r="4209" customFormat="false" ht="15" hidden="false" customHeight="true" outlineLevel="0" collapsed="false">
      <c r="A4209" s="3" t="s">
        <v>5372</v>
      </c>
      <c r="B4209" s="3" t="s">
        <v>1141</v>
      </c>
      <c r="C4209" s="3" t="s">
        <v>37</v>
      </c>
      <c r="D4209" s="3" t="s">
        <v>107</v>
      </c>
      <c r="E4209" s="3" t="s">
        <v>33</v>
      </c>
      <c r="F4209" s="3" t="s">
        <v>70</v>
      </c>
      <c r="G4209" s="3" t="s">
        <v>76</v>
      </c>
      <c r="H4209" s="3" t="s">
        <v>27</v>
      </c>
      <c r="I4209" s="3" t="s">
        <v>117</v>
      </c>
      <c r="J4209" s="3" t="n">
        <v>19</v>
      </c>
      <c r="K4209" s="3" t="n">
        <v>19047.44</v>
      </c>
      <c r="L4209" s="3" t="n">
        <v>361901.36</v>
      </c>
      <c r="M4209" s="3" t="n">
        <v>0.033</v>
      </c>
      <c r="N4209" s="3" t="n">
        <v>11942.74</v>
      </c>
      <c r="O4209" s="3" t="n">
        <v>349958.62</v>
      </c>
      <c r="P4209" s="3" t="n">
        <v>224378.84</v>
      </c>
      <c r="Q4209" s="3" t="n">
        <v>125579.78</v>
      </c>
      <c r="R4209" s="3" t="n">
        <v>0.3588</v>
      </c>
      <c r="S4209" s="3" t="n">
        <v>0.0362</v>
      </c>
      <c r="T4209" s="3" t="n">
        <v>-0.0032</v>
      </c>
    </row>
    <row r="4210" customFormat="false" ht="15" hidden="false" customHeight="true" outlineLevel="0" collapsed="false">
      <c r="A4210" s="3" t="s">
        <v>5373</v>
      </c>
      <c r="B4210" s="3" t="s">
        <v>1238</v>
      </c>
      <c r="C4210" s="3" t="s">
        <v>126</v>
      </c>
      <c r="D4210" s="3" t="s">
        <v>38</v>
      </c>
      <c r="E4210" s="3" t="s">
        <v>39</v>
      </c>
      <c r="F4210" s="3" t="s">
        <v>40</v>
      </c>
      <c r="G4210" s="3" t="s">
        <v>63</v>
      </c>
      <c r="H4210" s="3" t="s">
        <v>64</v>
      </c>
      <c r="I4210" s="3" t="s">
        <v>145</v>
      </c>
      <c r="J4210" s="3" t="n">
        <v>22</v>
      </c>
      <c r="K4210" s="3" t="n">
        <v>6361.51</v>
      </c>
      <c r="L4210" s="3" t="n">
        <v>139953.22</v>
      </c>
      <c r="M4210" s="3" t="n">
        <v>0.0379</v>
      </c>
      <c r="N4210" s="3" t="n">
        <v>5304.23</v>
      </c>
      <c r="O4210" s="3" t="n">
        <v>134648.99</v>
      </c>
      <c r="P4210" s="3" t="n">
        <v>81172.87</v>
      </c>
      <c r="Q4210" s="3" t="n">
        <v>53476.12</v>
      </c>
      <c r="R4210" s="3" t="n">
        <v>0.3972</v>
      </c>
      <c r="S4210" s="3" t="n">
        <v>0.0376</v>
      </c>
      <c r="T4210" s="3" t="n">
        <v>0.0003</v>
      </c>
    </row>
    <row r="4211" customFormat="false" ht="15" hidden="false" customHeight="true" outlineLevel="0" collapsed="false">
      <c r="A4211" s="3" t="s">
        <v>5374</v>
      </c>
      <c r="B4211" s="3" t="s">
        <v>1488</v>
      </c>
      <c r="C4211" s="3" t="s">
        <v>31</v>
      </c>
      <c r="D4211" s="3" t="s">
        <v>83</v>
      </c>
      <c r="E4211" s="3" t="s">
        <v>48</v>
      </c>
      <c r="F4211" s="3" t="s">
        <v>62</v>
      </c>
      <c r="G4211" s="3" t="s">
        <v>55</v>
      </c>
      <c r="H4211" s="3" t="s">
        <v>77</v>
      </c>
      <c r="I4211" s="3" t="s">
        <v>85</v>
      </c>
      <c r="J4211" s="3" t="n">
        <v>29</v>
      </c>
      <c r="K4211" s="3" t="n">
        <v>2788.09</v>
      </c>
      <c r="L4211" s="3" t="n">
        <v>80854.61</v>
      </c>
      <c r="M4211" s="3" t="n">
        <v>0.0661</v>
      </c>
      <c r="N4211" s="3" t="n">
        <v>5344.49</v>
      </c>
      <c r="O4211" s="3" t="n">
        <v>75510.12</v>
      </c>
      <c r="P4211" s="3" t="n">
        <v>54981.13</v>
      </c>
      <c r="Q4211" s="3" t="n">
        <v>20528.99</v>
      </c>
      <c r="R4211" s="3" t="n">
        <v>0.2719</v>
      </c>
      <c r="S4211" s="3" t="n">
        <v>0.0712</v>
      </c>
      <c r="T4211" s="3" t="n">
        <v>-0.0051</v>
      </c>
    </row>
    <row r="4212" customFormat="false" ht="15" hidden="false" customHeight="true" outlineLevel="0" collapsed="false">
      <c r="A4212" s="3" t="s">
        <v>5375</v>
      </c>
      <c r="B4212" s="3" t="s">
        <v>1383</v>
      </c>
      <c r="C4212" s="3" t="s">
        <v>37</v>
      </c>
      <c r="D4212" s="3" t="s">
        <v>103</v>
      </c>
      <c r="E4212" s="3" t="s">
        <v>24</v>
      </c>
      <c r="F4212" s="3" t="s">
        <v>62</v>
      </c>
      <c r="G4212" s="3" t="s">
        <v>34</v>
      </c>
      <c r="H4212" s="3" t="s">
        <v>42</v>
      </c>
      <c r="I4212" s="3" t="s">
        <v>134</v>
      </c>
      <c r="J4212" s="3" t="n">
        <v>17</v>
      </c>
      <c r="K4212" s="3" t="n">
        <v>2200.44</v>
      </c>
      <c r="L4212" s="3" t="n">
        <v>37407.48</v>
      </c>
      <c r="M4212" s="3" t="n">
        <v>0.108</v>
      </c>
      <c r="N4212" s="3" t="n">
        <v>4040.01</v>
      </c>
      <c r="O4212" s="3" t="n">
        <v>33367.47</v>
      </c>
      <c r="P4212" s="3" t="n">
        <v>20574.11</v>
      </c>
      <c r="Q4212" s="3" t="n">
        <v>12793.36</v>
      </c>
      <c r="R4212" s="3" t="n">
        <v>0.3834</v>
      </c>
      <c r="S4212" s="3" t="n">
        <v>0.11</v>
      </c>
      <c r="T4212" s="3" t="n">
        <v>-0.002</v>
      </c>
    </row>
    <row r="4213" customFormat="false" ht="15" hidden="false" customHeight="true" outlineLevel="0" collapsed="false">
      <c r="A4213" s="3" t="s">
        <v>5376</v>
      </c>
      <c r="B4213" s="3" t="s">
        <v>443</v>
      </c>
      <c r="C4213" s="3" t="s">
        <v>126</v>
      </c>
      <c r="D4213" s="3" t="s">
        <v>97</v>
      </c>
      <c r="E4213" s="3" t="s">
        <v>48</v>
      </c>
      <c r="F4213" s="3" t="s">
        <v>40</v>
      </c>
      <c r="G4213" s="3" t="s">
        <v>116</v>
      </c>
      <c r="H4213" s="3" t="s">
        <v>64</v>
      </c>
      <c r="I4213" s="3" t="s">
        <v>145</v>
      </c>
      <c r="J4213" s="3" t="n">
        <v>22</v>
      </c>
      <c r="K4213" s="3" t="n">
        <v>4534.17</v>
      </c>
      <c r="L4213" s="3" t="n">
        <v>99751.74</v>
      </c>
      <c r="M4213" s="3" t="n">
        <v>0.1267</v>
      </c>
      <c r="N4213" s="3" t="n">
        <v>12638.55</v>
      </c>
      <c r="O4213" s="3" t="n">
        <v>87113.19</v>
      </c>
      <c r="P4213" s="3" t="n">
        <v>57856.01</v>
      </c>
      <c r="Q4213" s="3" t="n">
        <v>29257.18</v>
      </c>
      <c r="R4213" s="3" t="n">
        <v>0.3359</v>
      </c>
      <c r="S4213" s="3" t="n">
        <v>0.1173</v>
      </c>
      <c r="T4213" s="3" t="n">
        <v>0.0094</v>
      </c>
    </row>
    <row r="4214" customFormat="false" ht="15" hidden="false" customHeight="true" outlineLevel="0" collapsed="false">
      <c r="A4214" s="3" t="s">
        <v>5377</v>
      </c>
      <c r="B4214" s="3" t="s">
        <v>147</v>
      </c>
      <c r="C4214" s="3" t="s">
        <v>60</v>
      </c>
      <c r="D4214" s="3" t="s">
        <v>38</v>
      </c>
      <c r="E4214" s="3" t="s">
        <v>39</v>
      </c>
      <c r="F4214" s="3" t="s">
        <v>40</v>
      </c>
      <c r="G4214" s="3" t="s">
        <v>71</v>
      </c>
      <c r="H4214" s="3" t="s">
        <v>27</v>
      </c>
      <c r="I4214" s="3" t="s">
        <v>28</v>
      </c>
      <c r="J4214" s="3" t="n">
        <v>21</v>
      </c>
      <c r="K4214" s="3" t="n">
        <v>23736.76</v>
      </c>
      <c r="L4214" s="3" t="n">
        <v>498471.96</v>
      </c>
      <c r="M4214" s="3" t="n">
        <v>0.0686</v>
      </c>
      <c r="N4214" s="3" t="n">
        <v>34195.18</v>
      </c>
      <c r="O4214" s="3" t="n">
        <v>464276.78</v>
      </c>
      <c r="P4214" s="3" t="n">
        <v>309052.62</v>
      </c>
      <c r="Q4214" s="3" t="n">
        <v>155224.16</v>
      </c>
      <c r="R4214" s="3" t="n">
        <v>0.3343</v>
      </c>
      <c r="S4214" s="3" t="n">
        <v>0.0725</v>
      </c>
      <c r="T4214" s="3" t="n">
        <v>-0.0039</v>
      </c>
    </row>
    <row r="4215" customFormat="false" ht="15" hidden="false" customHeight="true" outlineLevel="0" collapsed="false">
      <c r="A4215" s="3" t="s">
        <v>5378</v>
      </c>
      <c r="B4215" s="3" t="s">
        <v>5379</v>
      </c>
      <c r="C4215" s="3" t="s">
        <v>60</v>
      </c>
      <c r="D4215" s="3" t="s">
        <v>38</v>
      </c>
      <c r="E4215" s="3" t="s">
        <v>39</v>
      </c>
      <c r="F4215" s="3" t="s">
        <v>40</v>
      </c>
      <c r="G4215" s="3" t="s">
        <v>55</v>
      </c>
      <c r="H4215" s="3" t="s">
        <v>64</v>
      </c>
      <c r="I4215" s="3" t="s">
        <v>145</v>
      </c>
      <c r="J4215" s="3" t="n">
        <v>28</v>
      </c>
      <c r="K4215" s="3" t="n">
        <v>9170.87</v>
      </c>
      <c r="L4215" s="3" t="n">
        <v>256784.36</v>
      </c>
      <c r="M4215" s="3" t="n">
        <v>0.0464</v>
      </c>
      <c r="N4215" s="3" t="n">
        <v>11914.79</v>
      </c>
      <c r="O4215" s="3" t="n">
        <v>244869.57</v>
      </c>
      <c r="P4215" s="3" t="n">
        <v>148934.93</v>
      </c>
      <c r="Q4215" s="3" t="n">
        <v>95934.64</v>
      </c>
      <c r="R4215" s="3" t="n">
        <v>0.3918</v>
      </c>
      <c r="S4215" s="3" t="n">
        <v>0.04</v>
      </c>
      <c r="T4215" s="3" t="n">
        <v>0.0064</v>
      </c>
    </row>
    <row r="4216" customFormat="false" ht="15" hidden="false" customHeight="true" outlineLevel="0" collapsed="false">
      <c r="A4216" s="3" t="s">
        <v>5380</v>
      </c>
      <c r="B4216" s="3" t="s">
        <v>1543</v>
      </c>
      <c r="C4216" s="3" t="s">
        <v>22</v>
      </c>
      <c r="D4216" s="3" t="s">
        <v>38</v>
      </c>
      <c r="E4216" s="3" t="s">
        <v>39</v>
      </c>
      <c r="F4216" s="3" t="s">
        <v>40</v>
      </c>
      <c r="G4216" s="3" t="s">
        <v>76</v>
      </c>
      <c r="H4216" s="3" t="s">
        <v>77</v>
      </c>
      <c r="I4216" s="3" t="s">
        <v>78</v>
      </c>
      <c r="J4216" s="3" t="n">
        <v>38</v>
      </c>
      <c r="K4216" s="3" t="n">
        <v>4457.49</v>
      </c>
      <c r="L4216" s="3" t="n">
        <v>169384.62</v>
      </c>
      <c r="M4216" s="3" t="n">
        <v>0.0775</v>
      </c>
      <c r="N4216" s="3" t="n">
        <v>13127.31</v>
      </c>
      <c r="O4216" s="3" t="n">
        <v>156257.31</v>
      </c>
      <c r="P4216" s="3" t="n">
        <v>115181.54</v>
      </c>
      <c r="Q4216" s="3" t="n">
        <v>41075.77</v>
      </c>
      <c r="R4216" s="3" t="n">
        <v>0.2629</v>
      </c>
      <c r="S4216" s="3" t="n">
        <v>0.0653</v>
      </c>
      <c r="T4216" s="3" t="n">
        <v>0.0122</v>
      </c>
    </row>
    <row r="4217" customFormat="false" ht="15" hidden="false" customHeight="true" outlineLevel="0" collapsed="false">
      <c r="A4217" s="3" t="s">
        <v>5381</v>
      </c>
      <c r="B4217" s="3" t="s">
        <v>3966</v>
      </c>
      <c r="C4217" s="3" t="s">
        <v>53</v>
      </c>
      <c r="D4217" s="3" t="s">
        <v>69</v>
      </c>
      <c r="E4217" s="3" t="s">
        <v>39</v>
      </c>
      <c r="F4217" s="3" t="s">
        <v>70</v>
      </c>
      <c r="G4217" s="3" t="s">
        <v>76</v>
      </c>
      <c r="H4217" s="3" t="s">
        <v>56</v>
      </c>
      <c r="I4217" s="3" t="s">
        <v>57</v>
      </c>
      <c r="J4217" s="3" t="n">
        <v>1</v>
      </c>
      <c r="K4217" s="3" t="n">
        <v>2608.76</v>
      </c>
      <c r="L4217" s="3" t="n">
        <v>2608.76</v>
      </c>
      <c r="M4217" s="3" t="n">
        <v>0.0329</v>
      </c>
      <c r="N4217" s="3" t="n">
        <v>85.83</v>
      </c>
      <c r="O4217" s="3" t="n">
        <v>2522.93</v>
      </c>
      <c r="P4217" s="3" t="n">
        <v>1565.26</v>
      </c>
      <c r="Q4217" s="3" t="n">
        <v>957.67</v>
      </c>
      <c r="R4217" s="3" t="n">
        <v>0.3796</v>
      </c>
      <c r="S4217" s="3" t="n">
        <v>0.0339</v>
      </c>
      <c r="T4217" s="3" t="n">
        <v>-0.001</v>
      </c>
    </row>
    <row r="4218" customFormat="false" ht="15" hidden="false" customHeight="true" outlineLevel="0" collapsed="false">
      <c r="A4218" s="3" t="s">
        <v>5382</v>
      </c>
      <c r="B4218" s="3" t="s">
        <v>3818</v>
      </c>
      <c r="C4218" s="3" t="s">
        <v>37</v>
      </c>
      <c r="D4218" s="3" t="s">
        <v>103</v>
      </c>
      <c r="E4218" s="3" t="s">
        <v>24</v>
      </c>
      <c r="F4218" s="3" t="s">
        <v>62</v>
      </c>
      <c r="G4218" s="3" t="s">
        <v>116</v>
      </c>
      <c r="H4218" s="3" t="s">
        <v>56</v>
      </c>
      <c r="I4218" s="3" t="s">
        <v>121</v>
      </c>
      <c r="J4218" s="3" t="n">
        <v>19</v>
      </c>
      <c r="K4218" s="3" t="n">
        <v>17061.52</v>
      </c>
      <c r="L4218" s="3" t="n">
        <v>324168.88</v>
      </c>
      <c r="M4218" s="3" t="n">
        <v>0.0797</v>
      </c>
      <c r="N4218" s="3" t="n">
        <v>25836.26</v>
      </c>
      <c r="O4218" s="3" t="n">
        <v>298332.62</v>
      </c>
      <c r="P4218" s="3" t="n">
        <v>194501.33</v>
      </c>
      <c r="Q4218" s="3" t="n">
        <v>103831.29</v>
      </c>
      <c r="R4218" s="3" t="n">
        <v>0.348</v>
      </c>
      <c r="S4218" s="3" t="n">
        <v>0.075</v>
      </c>
      <c r="T4218" s="3" t="n">
        <v>0.0047</v>
      </c>
    </row>
    <row r="4219" customFormat="false" ht="15" hidden="false" customHeight="true" outlineLevel="0" collapsed="false">
      <c r="A4219" s="3" t="s">
        <v>5383</v>
      </c>
      <c r="B4219" s="3" t="s">
        <v>2271</v>
      </c>
      <c r="C4219" s="3" t="s">
        <v>93</v>
      </c>
      <c r="D4219" s="3" t="s">
        <v>103</v>
      </c>
      <c r="E4219" s="3" t="s">
        <v>24</v>
      </c>
      <c r="F4219" s="3" t="s">
        <v>62</v>
      </c>
      <c r="G4219" s="3" t="s">
        <v>116</v>
      </c>
      <c r="H4219" s="3" t="s">
        <v>64</v>
      </c>
      <c r="I4219" s="3" t="s">
        <v>145</v>
      </c>
      <c r="J4219" s="3" t="n">
        <v>13</v>
      </c>
      <c r="K4219" s="3" t="n">
        <v>9364.49</v>
      </c>
      <c r="L4219" s="3" t="n">
        <v>121738.37</v>
      </c>
      <c r="M4219" s="3" t="n">
        <v>0.1081</v>
      </c>
      <c r="N4219" s="3" t="n">
        <v>13159.92</v>
      </c>
      <c r="O4219" s="3" t="n">
        <v>108578.45</v>
      </c>
      <c r="P4219" s="3" t="n">
        <v>70608.25</v>
      </c>
      <c r="Q4219" s="3" t="n">
        <v>37970.2</v>
      </c>
      <c r="R4219" s="3" t="n">
        <v>0.3497</v>
      </c>
      <c r="S4219" s="3" t="n">
        <v>0.0987</v>
      </c>
      <c r="T4219" s="3" t="n">
        <v>0.0094</v>
      </c>
    </row>
    <row r="4220" customFormat="false" ht="15" hidden="false" customHeight="true" outlineLevel="0" collapsed="false">
      <c r="A4220" s="3" t="s">
        <v>5384</v>
      </c>
      <c r="B4220" s="3" t="s">
        <v>2484</v>
      </c>
      <c r="C4220" s="3" t="s">
        <v>31</v>
      </c>
      <c r="D4220" s="3" t="s">
        <v>69</v>
      </c>
      <c r="E4220" s="3" t="s">
        <v>39</v>
      </c>
      <c r="F4220" s="3" t="s">
        <v>70</v>
      </c>
      <c r="G4220" s="3" t="s">
        <v>55</v>
      </c>
      <c r="H4220" s="3" t="s">
        <v>42</v>
      </c>
      <c r="I4220" s="3" t="s">
        <v>43</v>
      </c>
      <c r="J4220" s="3" t="n">
        <v>5</v>
      </c>
      <c r="K4220" s="3" t="n">
        <v>1495.12</v>
      </c>
      <c r="L4220" s="3" t="n">
        <v>7475.6</v>
      </c>
      <c r="M4220" s="3" t="n">
        <v>0.0456</v>
      </c>
      <c r="N4220" s="3" t="n">
        <v>340.89</v>
      </c>
      <c r="O4220" s="3" t="n">
        <v>7134.71</v>
      </c>
      <c r="P4220" s="3" t="n">
        <v>4111.58</v>
      </c>
      <c r="Q4220" s="3" t="n">
        <v>3023.13</v>
      </c>
      <c r="R4220" s="3" t="n">
        <v>0.4237</v>
      </c>
      <c r="S4220" s="3" t="n">
        <v>0.0467</v>
      </c>
      <c r="T4220" s="3" t="n">
        <v>-0.0011</v>
      </c>
    </row>
    <row r="4221" customFormat="false" ht="15" hidden="false" customHeight="true" outlineLevel="0" collapsed="false">
      <c r="A4221" s="3" t="s">
        <v>5385</v>
      </c>
      <c r="B4221" s="3" t="s">
        <v>984</v>
      </c>
      <c r="C4221" s="3" t="s">
        <v>53</v>
      </c>
      <c r="D4221" s="3" t="s">
        <v>32</v>
      </c>
      <c r="E4221" s="3" t="s">
        <v>33</v>
      </c>
      <c r="F4221" s="3" t="s">
        <v>25</v>
      </c>
      <c r="G4221" s="3" t="s">
        <v>100</v>
      </c>
      <c r="H4221" s="3" t="s">
        <v>42</v>
      </c>
      <c r="I4221" s="3" t="s">
        <v>43</v>
      </c>
      <c r="J4221" s="3" t="n">
        <v>2</v>
      </c>
      <c r="K4221" s="3" t="n">
        <v>1739.58</v>
      </c>
      <c r="L4221" s="3" t="n">
        <v>3479.16</v>
      </c>
      <c r="M4221" s="3" t="n">
        <v>0.1096</v>
      </c>
      <c r="N4221" s="3" t="n">
        <v>381.32</v>
      </c>
      <c r="O4221" s="3" t="n">
        <v>3097.84</v>
      </c>
      <c r="P4221" s="3" t="n">
        <v>1913.54</v>
      </c>
      <c r="Q4221" s="3" t="n">
        <v>1184.3</v>
      </c>
      <c r="R4221" s="3" t="n">
        <v>0.3823</v>
      </c>
      <c r="S4221" s="3" t="n">
        <v>0.1168</v>
      </c>
      <c r="T4221" s="3" t="n">
        <v>-0.0072</v>
      </c>
    </row>
    <row r="4222" customFormat="false" ht="15" hidden="false" customHeight="true" outlineLevel="0" collapsed="false">
      <c r="A4222" s="3" t="s">
        <v>5386</v>
      </c>
      <c r="B4222" s="3" t="s">
        <v>1330</v>
      </c>
      <c r="C4222" s="3" t="s">
        <v>60</v>
      </c>
      <c r="D4222" s="3" t="s">
        <v>61</v>
      </c>
      <c r="E4222" s="3" t="s">
        <v>33</v>
      </c>
      <c r="F4222" s="3" t="s">
        <v>62</v>
      </c>
      <c r="G4222" s="3" t="s">
        <v>55</v>
      </c>
      <c r="H4222" s="3" t="s">
        <v>27</v>
      </c>
      <c r="I4222" s="3" t="s">
        <v>94</v>
      </c>
      <c r="J4222" s="3" t="n">
        <v>32</v>
      </c>
      <c r="K4222" s="3" t="n">
        <v>23941.76</v>
      </c>
      <c r="L4222" s="3" t="n">
        <v>766136.32</v>
      </c>
      <c r="M4222" s="3" t="n">
        <v>0.0394</v>
      </c>
      <c r="N4222" s="3" t="n">
        <v>30185.77</v>
      </c>
      <c r="O4222" s="3" t="n">
        <v>735950.55</v>
      </c>
      <c r="P4222" s="3" t="n">
        <v>475004.52</v>
      </c>
      <c r="Q4222" s="3" t="n">
        <v>260946.03</v>
      </c>
      <c r="R4222" s="3" t="n">
        <v>0.3546</v>
      </c>
      <c r="S4222" s="3" t="n">
        <v>0.0377</v>
      </c>
      <c r="T4222" s="3" t="n">
        <v>0.0017</v>
      </c>
    </row>
    <row r="4223" customFormat="false" ht="15" hidden="false" customHeight="true" outlineLevel="0" collapsed="false">
      <c r="A4223" s="3" t="s">
        <v>5387</v>
      </c>
      <c r="B4223" s="3" t="s">
        <v>380</v>
      </c>
      <c r="C4223" s="3" t="s">
        <v>156</v>
      </c>
      <c r="D4223" s="3" t="s">
        <v>23</v>
      </c>
      <c r="E4223" s="3" t="s">
        <v>24</v>
      </c>
      <c r="F4223" s="3" t="s">
        <v>25</v>
      </c>
      <c r="G4223" s="3" t="s">
        <v>55</v>
      </c>
      <c r="H4223" s="3" t="s">
        <v>77</v>
      </c>
      <c r="I4223" s="3" t="s">
        <v>78</v>
      </c>
      <c r="J4223" s="3" t="n">
        <v>13</v>
      </c>
      <c r="K4223" s="3" t="n">
        <v>5486.89</v>
      </c>
      <c r="L4223" s="3" t="n">
        <v>71329.57</v>
      </c>
      <c r="M4223" s="3" t="n">
        <v>0.1583</v>
      </c>
      <c r="N4223" s="3" t="n">
        <v>11291.47</v>
      </c>
      <c r="O4223" s="3" t="n">
        <v>60038.1</v>
      </c>
      <c r="P4223" s="3" t="n">
        <v>48504.11</v>
      </c>
      <c r="Q4223" s="3" t="n">
        <v>11533.99</v>
      </c>
      <c r="R4223" s="3" t="n">
        <v>0.1921</v>
      </c>
      <c r="S4223" s="3" t="n">
        <v>0.1402</v>
      </c>
      <c r="T4223" s="3" t="n">
        <v>0.0181</v>
      </c>
    </row>
    <row r="4224" customFormat="false" ht="15" hidden="false" customHeight="true" outlineLevel="0" collapsed="false">
      <c r="A4224" s="3" t="s">
        <v>5388</v>
      </c>
      <c r="B4224" s="3" t="s">
        <v>702</v>
      </c>
      <c r="C4224" s="3" t="s">
        <v>53</v>
      </c>
      <c r="D4224" s="3" t="s">
        <v>97</v>
      </c>
      <c r="E4224" s="3" t="s">
        <v>48</v>
      </c>
      <c r="F4224" s="3" t="s">
        <v>40</v>
      </c>
      <c r="G4224" s="3" t="s">
        <v>84</v>
      </c>
      <c r="H4224" s="3" t="s">
        <v>56</v>
      </c>
      <c r="I4224" s="3" t="s">
        <v>188</v>
      </c>
      <c r="J4224" s="3" t="n">
        <v>25</v>
      </c>
      <c r="K4224" s="3" t="n">
        <v>3360.46</v>
      </c>
      <c r="L4224" s="3" t="n">
        <v>84011.5</v>
      </c>
      <c r="M4224" s="3" t="n">
        <v>0.0324</v>
      </c>
      <c r="N4224" s="3" t="n">
        <v>2721.97</v>
      </c>
      <c r="O4224" s="3" t="n">
        <v>81289.53</v>
      </c>
      <c r="P4224" s="3" t="n">
        <v>50406.9</v>
      </c>
      <c r="Q4224" s="3" t="n">
        <v>30882.63</v>
      </c>
      <c r="R4224" s="3" t="n">
        <v>0.3799</v>
      </c>
      <c r="S4224" s="3" t="n">
        <v>0.0279</v>
      </c>
      <c r="T4224" s="3" t="n">
        <v>0.0045</v>
      </c>
    </row>
    <row r="4225" customFormat="false" ht="15" hidden="false" customHeight="true" outlineLevel="0" collapsed="false">
      <c r="A4225" s="3" t="s">
        <v>5389</v>
      </c>
      <c r="B4225" s="3" t="s">
        <v>1148</v>
      </c>
      <c r="C4225" s="3" t="s">
        <v>68</v>
      </c>
      <c r="D4225" s="3" t="s">
        <v>97</v>
      </c>
      <c r="E4225" s="3" t="s">
        <v>48</v>
      </c>
      <c r="F4225" s="3" t="s">
        <v>40</v>
      </c>
      <c r="G4225" s="3" t="s">
        <v>100</v>
      </c>
      <c r="H4225" s="3" t="s">
        <v>64</v>
      </c>
      <c r="I4225" s="3" t="s">
        <v>65</v>
      </c>
      <c r="J4225" s="3" t="n">
        <v>19</v>
      </c>
      <c r="K4225" s="3" t="n">
        <v>10336.82</v>
      </c>
      <c r="L4225" s="3" t="n">
        <v>196399.58</v>
      </c>
      <c r="M4225" s="3" t="n">
        <v>0.0441</v>
      </c>
      <c r="N4225" s="3" t="n">
        <v>8661.22</v>
      </c>
      <c r="O4225" s="3" t="n">
        <v>187738.36</v>
      </c>
      <c r="P4225" s="3" t="n">
        <v>113911.76</v>
      </c>
      <c r="Q4225" s="3" t="n">
        <v>73826.6</v>
      </c>
      <c r="R4225" s="3" t="n">
        <v>0.3932</v>
      </c>
      <c r="S4225" s="3" t="n">
        <v>0.0438</v>
      </c>
      <c r="T4225" s="3" t="n">
        <v>0.0003</v>
      </c>
    </row>
    <row r="4226" customFormat="false" ht="15" hidden="false" customHeight="true" outlineLevel="0" collapsed="false">
      <c r="A4226" s="3" t="s">
        <v>5390</v>
      </c>
      <c r="B4226" s="3" t="s">
        <v>1008</v>
      </c>
      <c r="C4226" s="3" t="s">
        <v>113</v>
      </c>
      <c r="D4226" s="3" t="s">
        <v>69</v>
      </c>
      <c r="E4226" s="3" t="s">
        <v>39</v>
      </c>
      <c r="F4226" s="3" t="s">
        <v>70</v>
      </c>
      <c r="G4226" s="3" t="s">
        <v>63</v>
      </c>
      <c r="H4226" s="3" t="s">
        <v>77</v>
      </c>
      <c r="I4226" s="3" t="s">
        <v>85</v>
      </c>
      <c r="J4226" s="3" t="n">
        <v>12</v>
      </c>
      <c r="K4226" s="3" t="n">
        <v>1460.26</v>
      </c>
      <c r="L4226" s="3" t="n">
        <v>17523.12</v>
      </c>
      <c r="M4226" s="3" t="n">
        <v>0.0638</v>
      </c>
      <c r="N4226" s="3" t="n">
        <v>1117.98</v>
      </c>
      <c r="O4226" s="3" t="n">
        <v>16405.14</v>
      </c>
      <c r="P4226" s="3" t="n">
        <v>11915.72</v>
      </c>
      <c r="Q4226" s="3" t="n">
        <v>4489.42</v>
      </c>
      <c r="R4226" s="3" t="n">
        <v>0.2737</v>
      </c>
      <c r="S4226" s="3" t="n">
        <v>0.0527</v>
      </c>
      <c r="T4226" s="3" t="n">
        <v>0.0111</v>
      </c>
    </row>
    <row r="4227" customFormat="false" ht="15" hidden="false" customHeight="true" outlineLevel="0" collapsed="false">
      <c r="A4227" s="3" t="s">
        <v>5391</v>
      </c>
      <c r="B4227" s="3" t="s">
        <v>2017</v>
      </c>
      <c r="C4227" s="3" t="s">
        <v>53</v>
      </c>
      <c r="D4227" s="3" t="s">
        <v>83</v>
      </c>
      <c r="E4227" s="3" t="s">
        <v>48</v>
      </c>
      <c r="F4227" s="3" t="s">
        <v>62</v>
      </c>
      <c r="G4227" s="3" t="s">
        <v>104</v>
      </c>
      <c r="H4227" s="3" t="s">
        <v>56</v>
      </c>
      <c r="I4227" s="3" t="s">
        <v>121</v>
      </c>
      <c r="J4227" s="3" t="n">
        <v>44</v>
      </c>
      <c r="K4227" s="3" t="n">
        <v>13698.58</v>
      </c>
      <c r="L4227" s="3" t="n">
        <v>602737.52</v>
      </c>
      <c r="M4227" s="3" t="n">
        <v>0.0967</v>
      </c>
      <c r="N4227" s="3" t="n">
        <v>58284.72</v>
      </c>
      <c r="O4227" s="3" t="n">
        <v>544452.8</v>
      </c>
      <c r="P4227" s="3" t="n">
        <v>361642.51</v>
      </c>
      <c r="Q4227" s="3" t="n">
        <v>182810.29</v>
      </c>
      <c r="R4227" s="3" t="n">
        <v>0.3358</v>
      </c>
      <c r="S4227" s="3" t="n">
        <v>0.1043</v>
      </c>
      <c r="T4227" s="3" t="n">
        <v>-0.0076</v>
      </c>
    </row>
    <row r="4228" customFormat="false" ht="15" hidden="false" customHeight="true" outlineLevel="0" collapsed="false">
      <c r="A4228" s="3" t="s">
        <v>5392</v>
      </c>
      <c r="B4228" s="3" t="s">
        <v>1268</v>
      </c>
      <c r="C4228" s="3" t="s">
        <v>31</v>
      </c>
      <c r="D4228" s="3" t="s">
        <v>83</v>
      </c>
      <c r="E4228" s="3" t="s">
        <v>48</v>
      </c>
      <c r="F4228" s="3" t="s">
        <v>62</v>
      </c>
      <c r="G4228" s="3" t="s">
        <v>84</v>
      </c>
      <c r="H4228" s="3" t="s">
        <v>77</v>
      </c>
      <c r="I4228" s="3" t="s">
        <v>78</v>
      </c>
      <c r="J4228" s="3" t="n">
        <v>30</v>
      </c>
      <c r="K4228" s="3" t="n">
        <v>4958.99</v>
      </c>
      <c r="L4228" s="3" t="n">
        <v>148769.7</v>
      </c>
      <c r="M4228" s="3" t="n">
        <v>0.042</v>
      </c>
      <c r="N4228" s="3" t="n">
        <v>6248.33</v>
      </c>
      <c r="O4228" s="3" t="n">
        <v>142521.37</v>
      </c>
      <c r="P4228" s="3" t="n">
        <v>101163.4</v>
      </c>
      <c r="Q4228" s="3" t="n">
        <v>41357.97</v>
      </c>
      <c r="R4228" s="3" t="n">
        <v>0.2902</v>
      </c>
      <c r="S4228" s="3" t="n">
        <v>0.0379</v>
      </c>
      <c r="T4228" s="3" t="n">
        <v>0.0041</v>
      </c>
    </row>
    <row r="4229" customFormat="false" ht="15" hidden="false" customHeight="true" outlineLevel="0" collapsed="false">
      <c r="A4229" s="3" t="s">
        <v>5393</v>
      </c>
      <c r="B4229" s="3" t="s">
        <v>2823</v>
      </c>
      <c r="C4229" s="3" t="s">
        <v>22</v>
      </c>
      <c r="D4229" s="3" t="s">
        <v>83</v>
      </c>
      <c r="E4229" s="3" t="s">
        <v>48</v>
      </c>
      <c r="F4229" s="3" t="s">
        <v>62</v>
      </c>
      <c r="G4229" s="3" t="s">
        <v>49</v>
      </c>
      <c r="H4229" s="3" t="s">
        <v>77</v>
      </c>
      <c r="I4229" s="3" t="s">
        <v>78</v>
      </c>
      <c r="J4229" s="3" t="n">
        <v>22</v>
      </c>
      <c r="K4229" s="3" t="n">
        <v>2873.25</v>
      </c>
      <c r="L4229" s="3" t="n">
        <v>63211.5</v>
      </c>
      <c r="M4229" s="3" t="n">
        <v>0.0609</v>
      </c>
      <c r="N4229" s="3" t="n">
        <v>3849.58</v>
      </c>
      <c r="O4229" s="3" t="n">
        <v>59361.92</v>
      </c>
      <c r="P4229" s="3" t="n">
        <v>42983.82</v>
      </c>
      <c r="Q4229" s="3" t="n">
        <v>16378.1</v>
      </c>
      <c r="R4229" s="3" t="n">
        <v>0.2759</v>
      </c>
      <c r="S4229" s="3" t="n">
        <v>0.0525</v>
      </c>
      <c r="T4229" s="3" t="n">
        <v>0.0084</v>
      </c>
    </row>
    <row r="4230" customFormat="false" ht="15" hidden="false" customHeight="true" outlineLevel="0" collapsed="false">
      <c r="A4230" s="3" t="s">
        <v>5394</v>
      </c>
      <c r="B4230" s="3" t="s">
        <v>2318</v>
      </c>
      <c r="C4230" s="3" t="s">
        <v>46</v>
      </c>
      <c r="D4230" s="3" t="s">
        <v>107</v>
      </c>
      <c r="E4230" s="3" t="s">
        <v>33</v>
      </c>
      <c r="F4230" s="3" t="s">
        <v>70</v>
      </c>
      <c r="G4230" s="3" t="s">
        <v>49</v>
      </c>
      <c r="H4230" s="3" t="s">
        <v>27</v>
      </c>
      <c r="I4230" s="3" t="s">
        <v>94</v>
      </c>
      <c r="J4230" s="3" t="n">
        <v>45</v>
      </c>
      <c r="K4230" s="3" t="n">
        <v>33789.52</v>
      </c>
      <c r="L4230" s="3" t="n">
        <v>1520528.4</v>
      </c>
      <c r="M4230" s="3" t="n">
        <v>0.0425</v>
      </c>
      <c r="N4230" s="3" t="n">
        <v>64622.46</v>
      </c>
      <c r="O4230" s="3" t="n">
        <v>1455905.94</v>
      </c>
      <c r="P4230" s="3" t="n">
        <v>942727.61</v>
      </c>
      <c r="Q4230" s="3" t="n">
        <v>513178.33</v>
      </c>
      <c r="R4230" s="3" t="n">
        <v>0.3525</v>
      </c>
      <c r="S4230" s="3" t="n">
        <v>0.0438</v>
      </c>
      <c r="T4230" s="3" t="n">
        <v>-0.0013</v>
      </c>
    </row>
    <row r="4231" customFormat="false" ht="15" hidden="false" customHeight="true" outlineLevel="0" collapsed="false">
      <c r="A4231" s="3" t="s">
        <v>5395</v>
      </c>
      <c r="B4231" s="3" t="s">
        <v>326</v>
      </c>
      <c r="C4231" s="3" t="s">
        <v>113</v>
      </c>
      <c r="D4231" s="3" t="s">
        <v>97</v>
      </c>
      <c r="E4231" s="3" t="s">
        <v>48</v>
      </c>
      <c r="F4231" s="3" t="s">
        <v>40</v>
      </c>
      <c r="G4231" s="3" t="s">
        <v>104</v>
      </c>
      <c r="H4231" s="3" t="s">
        <v>27</v>
      </c>
      <c r="I4231" s="3" t="s">
        <v>28</v>
      </c>
      <c r="J4231" s="3" t="n">
        <v>40</v>
      </c>
      <c r="K4231" s="3" t="n">
        <v>12470.72</v>
      </c>
      <c r="L4231" s="3" t="n">
        <v>498828.8</v>
      </c>
      <c r="M4231" s="3" t="n">
        <v>0.0728</v>
      </c>
      <c r="N4231" s="3" t="n">
        <v>36314.74</v>
      </c>
      <c r="O4231" s="3" t="n">
        <v>462514.06</v>
      </c>
      <c r="P4231" s="3" t="n">
        <v>309273.86</v>
      </c>
      <c r="Q4231" s="3" t="n">
        <v>153240.2</v>
      </c>
      <c r="R4231" s="3" t="n">
        <v>0.3313</v>
      </c>
      <c r="S4231" s="3" t="n">
        <v>0.0634</v>
      </c>
      <c r="T4231" s="3" t="n">
        <v>0.0094</v>
      </c>
    </row>
    <row r="4232" customFormat="false" ht="15" hidden="false" customHeight="true" outlineLevel="0" collapsed="false">
      <c r="A4232" s="3" t="s">
        <v>5396</v>
      </c>
      <c r="B4232" s="3" t="s">
        <v>663</v>
      </c>
      <c r="C4232" s="3" t="s">
        <v>22</v>
      </c>
      <c r="D4232" s="3" t="s">
        <v>32</v>
      </c>
      <c r="E4232" s="3" t="s">
        <v>33</v>
      </c>
      <c r="F4232" s="3" t="s">
        <v>25</v>
      </c>
      <c r="G4232" s="3" t="s">
        <v>26</v>
      </c>
      <c r="H4232" s="3" t="s">
        <v>56</v>
      </c>
      <c r="I4232" s="3" t="s">
        <v>121</v>
      </c>
      <c r="J4232" s="3" t="n">
        <v>13</v>
      </c>
      <c r="K4232" s="3" t="n">
        <v>14017.72</v>
      </c>
      <c r="L4232" s="3" t="n">
        <v>182230.36</v>
      </c>
      <c r="M4232" s="3" t="n">
        <v>0.1196</v>
      </c>
      <c r="N4232" s="3" t="n">
        <v>21794.75</v>
      </c>
      <c r="O4232" s="3" t="n">
        <v>160435.61</v>
      </c>
      <c r="P4232" s="3" t="n">
        <v>109338.22</v>
      </c>
      <c r="Q4232" s="3" t="n">
        <v>51097.39</v>
      </c>
      <c r="R4232" s="3" t="n">
        <v>0.3185</v>
      </c>
      <c r="S4232" s="3" t="n">
        <v>0.1031</v>
      </c>
      <c r="T4232" s="3" t="n">
        <v>0.0165</v>
      </c>
    </row>
    <row r="4233" customFormat="false" ht="15" hidden="false" customHeight="true" outlineLevel="0" collapsed="false">
      <c r="A4233" s="3" t="s">
        <v>5397</v>
      </c>
      <c r="B4233" s="3" t="s">
        <v>2919</v>
      </c>
      <c r="C4233" s="3" t="s">
        <v>156</v>
      </c>
      <c r="D4233" s="3" t="s">
        <v>23</v>
      </c>
      <c r="E4233" s="3" t="s">
        <v>24</v>
      </c>
      <c r="F4233" s="3" t="s">
        <v>25</v>
      </c>
      <c r="G4233" s="3" t="s">
        <v>71</v>
      </c>
      <c r="H4233" s="3" t="s">
        <v>27</v>
      </c>
      <c r="I4233" s="3" t="s">
        <v>50</v>
      </c>
      <c r="J4233" s="3" t="n">
        <v>22</v>
      </c>
      <c r="K4233" s="3" t="n">
        <v>24640.69</v>
      </c>
      <c r="L4233" s="3" t="n">
        <v>542095.18</v>
      </c>
      <c r="M4233" s="3" t="n">
        <v>0.1096</v>
      </c>
      <c r="N4233" s="3" t="n">
        <v>59413.63</v>
      </c>
      <c r="O4233" s="3" t="n">
        <v>482681.55</v>
      </c>
      <c r="P4233" s="3" t="n">
        <v>336099.01</v>
      </c>
      <c r="Q4233" s="3" t="n">
        <v>146582.54</v>
      </c>
      <c r="R4233" s="3" t="n">
        <v>0.3037</v>
      </c>
      <c r="S4233" s="3" t="n">
        <v>0.0924</v>
      </c>
      <c r="T4233" s="3" t="n">
        <v>0.0172</v>
      </c>
    </row>
    <row r="4234" customFormat="false" ht="15" hidden="false" customHeight="true" outlineLevel="0" collapsed="false">
      <c r="A4234" s="3" t="s">
        <v>5398</v>
      </c>
      <c r="B4234" s="3" t="s">
        <v>1837</v>
      </c>
      <c r="C4234" s="3" t="s">
        <v>120</v>
      </c>
      <c r="D4234" s="3" t="s">
        <v>54</v>
      </c>
      <c r="E4234" s="3" t="s">
        <v>24</v>
      </c>
      <c r="F4234" s="3" t="s">
        <v>40</v>
      </c>
      <c r="G4234" s="3" t="s">
        <v>41</v>
      </c>
      <c r="H4234" s="3" t="s">
        <v>27</v>
      </c>
      <c r="I4234" s="3" t="s">
        <v>173</v>
      </c>
      <c r="J4234" s="3" t="n">
        <v>28</v>
      </c>
      <c r="K4234" s="3" t="n">
        <v>33608.98</v>
      </c>
      <c r="L4234" s="3" t="n">
        <v>941051.44</v>
      </c>
      <c r="M4234" s="3" t="n">
        <v>0.0683</v>
      </c>
      <c r="N4234" s="3" t="n">
        <v>64273.81</v>
      </c>
      <c r="O4234" s="3" t="n">
        <v>876777.63</v>
      </c>
      <c r="P4234" s="3" t="n">
        <v>583451.89</v>
      </c>
      <c r="Q4234" s="3" t="n">
        <v>293325.74</v>
      </c>
      <c r="R4234" s="3" t="n">
        <v>0.3345</v>
      </c>
      <c r="S4234" s="3" t="n">
        <v>0.0612</v>
      </c>
      <c r="T4234" s="3" t="n">
        <v>0.0071</v>
      </c>
    </row>
    <row r="4235" customFormat="false" ht="15" hidden="false" customHeight="true" outlineLevel="0" collapsed="false">
      <c r="A4235" s="3" t="s">
        <v>5399</v>
      </c>
      <c r="B4235" s="3" t="s">
        <v>537</v>
      </c>
      <c r="C4235" s="3" t="s">
        <v>31</v>
      </c>
      <c r="D4235" s="3" t="s">
        <v>61</v>
      </c>
      <c r="E4235" s="3" t="s">
        <v>33</v>
      </c>
      <c r="F4235" s="3" t="s">
        <v>62</v>
      </c>
      <c r="G4235" s="3" t="s">
        <v>100</v>
      </c>
      <c r="H4235" s="3" t="s">
        <v>42</v>
      </c>
      <c r="I4235" s="3" t="s">
        <v>134</v>
      </c>
      <c r="J4235" s="3" t="n">
        <v>11</v>
      </c>
      <c r="K4235" s="3" t="n">
        <v>2171.29</v>
      </c>
      <c r="L4235" s="3" t="n">
        <v>23884.19</v>
      </c>
      <c r="M4235" s="3" t="n">
        <v>0.0354</v>
      </c>
      <c r="N4235" s="3" t="n">
        <v>845.5</v>
      </c>
      <c r="O4235" s="3" t="n">
        <v>23038.69</v>
      </c>
      <c r="P4235" s="3" t="n">
        <v>13136.3</v>
      </c>
      <c r="Q4235" s="3" t="n">
        <v>9902.39</v>
      </c>
      <c r="R4235" s="3" t="n">
        <v>0.4298</v>
      </c>
      <c r="S4235" s="3" t="n">
        <v>0.0385</v>
      </c>
      <c r="T4235" s="3" t="n">
        <v>-0.0031</v>
      </c>
    </row>
    <row r="4236" customFormat="false" ht="15" hidden="false" customHeight="true" outlineLevel="0" collapsed="false">
      <c r="A4236" s="3" t="s">
        <v>5400</v>
      </c>
      <c r="B4236" s="3" t="s">
        <v>1276</v>
      </c>
      <c r="C4236" s="3" t="s">
        <v>93</v>
      </c>
      <c r="D4236" s="3" t="s">
        <v>107</v>
      </c>
      <c r="E4236" s="3" t="s">
        <v>33</v>
      </c>
      <c r="F4236" s="3" t="s">
        <v>70</v>
      </c>
      <c r="G4236" s="3" t="s">
        <v>71</v>
      </c>
      <c r="H4236" s="3" t="s">
        <v>64</v>
      </c>
      <c r="I4236" s="3" t="s">
        <v>145</v>
      </c>
      <c r="J4236" s="3" t="n">
        <v>45</v>
      </c>
      <c r="K4236" s="3" t="n">
        <v>4222.29</v>
      </c>
      <c r="L4236" s="3" t="n">
        <v>190003.05</v>
      </c>
      <c r="M4236" s="3" t="n">
        <v>0.0739</v>
      </c>
      <c r="N4236" s="3" t="n">
        <v>14041.23</v>
      </c>
      <c r="O4236" s="3" t="n">
        <v>175961.82</v>
      </c>
      <c r="P4236" s="3" t="n">
        <v>110201.77</v>
      </c>
      <c r="Q4236" s="3" t="n">
        <v>65760.05</v>
      </c>
      <c r="R4236" s="3" t="n">
        <v>0.3737</v>
      </c>
      <c r="S4236" s="3" t="n">
        <v>0.0647</v>
      </c>
      <c r="T4236" s="3" t="n">
        <v>0.0092</v>
      </c>
    </row>
    <row r="4237" customFormat="false" ht="15" hidden="false" customHeight="true" outlineLevel="0" collapsed="false">
      <c r="A4237" s="3" t="s">
        <v>5401</v>
      </c>
      <c r="B4237" s="3" t="s">
        <v>756</v>
      </c>
      <c r="C4237" s="3" t="s">
        <v>156</v>
      </c>
      <c r="D4237" s="3" t="s">
        <v>75</v>
      </c>
      <c r="E4237" s="3" t="s">
        <v>39</v>
      </c>
      <c r="F4237" s="3" t="s">
        <v>25</v>
      </c>
      <c r="G4237" s="3" t="s">
        <v>104</v>
      </c>
      <c r="H4237" s="3" t="s">
        <v>56</v>
      </c>
      <c r="I4237" s="3" t="s">
        <v>57</v>
      </c>
      <c r="J4237" s="3" t="n">
        <v>21</v>
      </c>
      <c r="K4237" s="3" t="n">
        <v>8988.52</v>
      </c>
      <c r="L4237" s="3" t="n">
        <v>188758.92</v>
      </c>
      <c r="M4237" s="3" t="n">
        <v>0.2185</v>
      </c>
      <c r="N4237" s="3" t="n">
        <v>41243.82</v>
      </c>
      <c r="O4237" s="3" t="n">
        <v>147515.1</v>
      </c>
      <c r="P4237" s="3" t="n">
        <v>113255.35</v>
      </c>
      <c r="Q4237" s="3" t="n">
        <v>34259.75</v>
      </c>
      <c r="R4237" s="3" t="n">
        <v>0.2322</v>
      </c>
      <c r="S4237" s="3" t="n">
        <v>0.1851</v>
      </c>
      <c r="T4237" s="3" t="n">
        <v>0.0334</v>
      </c>
    </row>
    <row r="4238" customFormat="false" ht="15" hidden="false" customHeight="true" outlineLevel="0" collapsed="false">
      <c r="A4238" s="3" t="s">
        <v>5402</v>
      </c>
      <c r="B4238" s="3" t="s">
        <v>266</v>
      </c>
      <c r="C4238" s="3" t="s">
        <v>60</v>
      </c>
      <c r="D4238" s="3" t="s">
        <v>97</v>
      </c>
      <c r="E4238" s="3" t="s">
        <v>48</v>
      </c>
      <c r="F4238" s="3" t="s">
        <v>40</v>
      </c>
      <c r="G4238" s="3" t="s">
        <v>55</v>
      </c>
      <c r="H4238" s="3" t="s">
        <v>42</v>
      </c>
      <c r="I4238" s="3" t="s">
        <v>72</v>
      </c>
      <c r="J4238" s="3" t="n">
        <v>30</v>
      </c>
      <c r="K4238" s="3" t="n">
        <v>1221.86</v>
      </c>
      <c r="L4238" s="3" t="n">
        <v>36655.8</v>
      </c>
      <c r="M4238" s="3" t="n">
        <v>0.0684</v>
      </c>
      <c r="N4238" s="3" t="n">
        <v>2507.26</v>
      </c>
      <c r="O4238" s="3" t="n">
        <v>34148.54</v>
      </c>
      <c r="P4238" s="3" t="n">
        <v>20160.69</v>
      </c>
      <c r="Q4238" s="3" t="n">
        <v>13987.85</v>
      </c>
      <c r="R4238" s="3" t="n">
        <v>0.4096</v>
      </c>
      <c r="S4238" s="3" t="n">
        <v>0.0624</v>
      </c>
      <c r="T4238" s="3" t="n">
        <v>0.006</v>
      </c>
    </row>
    <row r="4239" customFormat="false" ht="15" hidden="false" customHeight="true" outlineLevel="0" collapsed="false">
      <c r="A4239" s="3" t="s">
        <v>5403</v>
      </c>
      <c r="B4239" s="3" t="s">
        <v>1699</v>
      </c>
      <c r="C4239" s="3" t="s">
        <v>126</v>
      </c>
      <c r="D4239" s="3" t="s">
        <v>75</v>
      </c>
      <c r="E4239" s="3" t="s">
        <v>39</v>
      </c>
      <c r="F4239" s="3" t="s">
        <v>25</v>
      </c>
      <c r="G4239" s="3" t="s">
        <v>100</v>
      </c>
      <c r="H4239" s="3" t="s">
        <v>56</v>
      </c>
      <c r="I4239" s="3" t="s">
        <v>57</v>
      </c>
      <c r="J4239" s="3" t="n">
        <v>36</v>
      </c>
      <c r="K4239" s="3" t="n">
        <v>17781.82</v>
      </c>
      <c r="L4239" s="3" t="n">
        <v>640145.52</v>
      </c>
      <c r="M4239" s="3" t="n">
        <v>0.1069</v>
      </c>
      <c r="N4239" s="3" t="n">
        <v>68431.56</v>
      </c>
      <c r="O4239" s="3" t="n">
        <v>571713.96</v>
      </c>
      <c r="P4239" s="3" t="n">
        <v>384087.31</v>
      </c>
      <c r="Q4239" s="3" t="n">
        <v>187626.65</v>
      </c>
      <c r="R4239" s="3" t="n">
        <v>0.3282</v>
      </c>
      <c r="S4239" s="3" t="n">
        <v>0.1121</v>
      </c>
      <c r="T4239" s="3" t="n">
        <v>-0.0052</v>
      </c>
    </row>
    <row r="4240" customFormat="false" ht="15" hidden="false" customHeight="true" outlineLevel="0" collapsed="false">
      <c r="A4240" s="3" t="s">
        <v>5404</v>
      </c>
      <c r="B4240" s="3" t="s">
        <v>229</v>
      </c>
      <c r="C4240" s="3" t="s">
        <v>126</v>
      </c>
      <c r="D4240" s="3" t="s">
        <v>103</v>
      </c>
      <c r="E4240" s="3" t="s">
        <v>24</v>
      </c>
      <c r="F4240" s="3" t="s">
        <v>62</v>
      </c>
      <c r="G4240" s="3" t="s">
        <v>71</v>
      </c>
      <c r="H4240" s="3" t="s">
        <v>27</v>
      </c>
      <c r="I4240" s="3" t="s">
        <v>173</v>
      </c>
      <c r="J4240" s="3" t="n">
        <v>40</v>
      </c>
      <c r="K4240" s="3" t="n">
        <v>31207.31</v>
      </c>
      <c r="L4240" s="3" t="n">
        <v>1248292.4</v>
      </c>
      <c r="M4240" s="3" t="n">
        <v>0.0591</v>
      </c>
      <c r="N4240" s="3" t="n">
        <v>73774.08</v>
      </c>
      <c r="O4240" s="3" t="n">
        <v>1174518.32</v>
      </c>
      <c r="P4240" s="3" t="n">
        <v>773941.29</v>
      </c>
      <c r="Q4240" s="3" t="n">
        <v>400577.03</v>
      </c>
      <c r="R4240" s="3" t="n">
        <v>0.3411</v>
      </c>
      <c r="S4240" s="3" t="n">
        <v>0.0529</v>
      </c>
      <c r="T4240" s="3" t="n">
        <v>0.0062</v>
      </c>
    </row>
    <row r="4241" customFormat="false" ht="15" hidden="false" customHeight="true" outlineLevel="0" collapsed="false">
      <c r="A4241" s="3" t="s">
        <v>5405</v>
      </c>
      <c r="B4241" s="3" t="s">
        <v>1797</v>
      </c>
      <c r="C4241" s="3" t="s">
        <v>156</v>
      </c>
      <c r="D4241" s="3" t="s">
        <v>47</v>
      </c>
      <c r="E4241" s="3" t="s">
        <v>48</v>
      </c>
      <c r="F4241" s="3" t="s">
        <v>25</v>
      </c>
      <c r="G4241" s="3" t="s">
        <v>63</v>
      </c>
      <c r="H4241" s="3" t="s">
        <v>42</v>
      </c>
      <c r="I4241" s="3" t="s">
        <v>134</v>
      </c>
      <c r="J4241" s="3" t="n">
        <v>21</v>
      </c>
      <c r="K4241" s="3" t="n">
        <v>1379.97</v>
      </c>
      <c r="L4241" s="3" t="n">
        <v>28979.37</v>
      </c>
      <c r="M4241" s="3" t="n">
        <v>0.1432</v>
      </c>
      <c r="N4241" s="3" t="n">
        <v>4149.85</v>
      </c>
      <c r="O4241" s="3" t="n">
        <v>24829.52</v>
      </c>
      <c r="P4241" s="3" t="n">
        <v>15938.65</v>
      </c>
      <c r="Q4241" s="3" t="n">
        <v>8890.87</v>
      </c>
      <c r="R4241" s="3" t="n">
        <v>0.3581</v>
      </c>
      <c r="S4241" s="3" t="n">
        <v>0.1158</v>
      </c>
      <c r="T4241" s="3" t="n">
        <v>0.0274</v>
      </c>
    </row>
    <row r="4242" customFormat="false" ht="15" hidden="false" customHeight="true" outlineLevel="0" collapsed="false">
      <c r="A4242" s="3" t="s">
        <v>5406</v>
      </c>
      <c r="B4242" s="3" t="s">
        <v>2662</v>
      </c>
      <c r="C4242" s="3" t="s">
        <v>68</v>
      </c>
      <c r="D4242" s="3" t="s">
        <v>61</v>
      </c>
      <c r="E4242" s="3" t="s">
        <v>33</v>
      </c>
      <c r="F4242" s="3" t="s">
        <v>62</v>
      </c>
      <c r="G4242" s="3" t="s">
        <v>76</v>
      </c>
      <c r="H4242" s="3" t="s">
        <v>42</v>
      </c>
      <c r="I4242" s="3" t="s">
        <v>43</v>
      </c>
      <c r="J4242" s="3" t="n">
        <v>48</v>
      </c>
      <c r="K4242" s="3" t="n">
        <v>3555.58</v>
      </c>
      <c r="L4242" s="3" t="n">
        <v>170667.84</v>
      </c>
      <c r="M4242" s="3" t="n">
        <v>0.0563</v>
      </c>
      <c r="N4242" s="3" t="n">
        <v>9608.6</v>
      </c>
      <c r="O4242" s="3" t="n">
        <v>161059.24</v>
      </c>
      <c r="P4242" s="3" t="n">
        <v>93867.31</v>
      </c>
      <c r="Q4242" s="3" t="n">
        <v>67191.93</v>
      </c>
      <c r="R4242" s="3" t="n">
        <v>0.4172</v>
      </c>
      <c r="S4242" s="3" t="n">
        <v>0.0541</v>
      </c>
      <c r="T4242" s="3" t="n">
        <v>0.0022</v>
      </c>
    </row>
    <row r="4243" customFormat="false" ht="15" hidden="false" customHeight="true" outlineLevel="0" collapsed="false">
      <c r="A4243" s="3" t="s">
        <v>5407</v>
      </c>
      <c r="B4243" s="3" t="s">
        <v>5408</v>
      </c>
      <c r="C4243" s="3" t="s">
        <v>37</v>
      </c>
      <c r="D4243" s="3" t="s">
        <v>103</v>
      </c>
      <c r="E4243" s="3" t="s">
        <v>24</v>
      </c>
      <c r="F4243" s="3" t="s">
        <v>62</v>
      </c>
      <c r="G4243" s="3" t="s">
        <v>104</v>
      </c>
      <c r="H4243" s="3" t="s">
        <v>42</v>
      </c>
      <c r="I4243" s="3" t="s">
        <v>134</v>
      </c>
      <c r="J4243" s="3" t="n">
        <v>33</v>
      </c>
      <c r="K4243" s="3" t="n">
        <v>3256.12</v>
      </c>
      <c r="L4243" s="3" t="n">
        <v>107451.96</v>
      </c>
      <c r="M4243" s="3" t="n">
        <v>0.1099</v>
      </c>
      <c r="N4243" s="3" t="n">
        <v>11808.97</v>
      </c>
      <c r="O4243" s="3" t="n">
        <v>95642.99</v>
      </c>
      <c r="P4243" s="3" t="n">
        <v>59098.58</v>
      </c>
      <c r="Q4243" s="3" t="n">
        <v>36544.41</v>
      </c>
      <c r="R4243" s="3" t="n">
        <v>0.3821</v>
      </c>
      <c r="S4243" s="3" t="n">
        <v>0.1131</v>
      </c>
      <c r="T4243" s="3" t="n">
        <v>-0.0032</v>
      </c>
    </row>
    <row r="4244" customFormat="false" ht="15" hidden="false" customHeight="true" outlineLevel="0" collapsed="false">
      <c r="A4244" s="3" t="s">
        <v>5409</v>
      </c>
      <c r="B4244" s="3" t="s">
        <v>1984</v>
      </c>
      <c r="C4244" s="3" t="s">
        <v>53</v>
      </c>
      <c r="D4244" s="3" t="s">
        <v>61</v>
      </c>
      <c r="E4244" s="3" t="s">
        <v>33</v>
      </c>
      <c r="F4244" s="3" t="s">
        <v>62</v>
      </c>
      <c r="G4244" s="3" t="s">
        <v>84</v>
      </c>
      <c r="H4244" s="3" t="s">
        <v>42</v>
      </c>
      <c r="I4244" s="3" t="s">
        <v>134</v>
      </c>
      <c r="J4244" s="3" t="n">
        <v>48</v>
      </c>
      <c r="K4244" s="3" t="n">
        <v>3786.1</v>
      </c>
      <c r="L4244" s="3" t="n">
        <v>181732.8</v>
      </c>
      <c r="M4244" s="3" t="n">
        <v>0.0767</v>
      </c>
      <c r="N4244" s="3" t="n">
        <v>13938.91</v>
      </c>
      <c r="O4244" s="3" t="n">
        <v>167793.89</v>
      </c>
      <c r="P4244" s="3" t="n">
        <v>99953.04</v>
      </c>
      <c r="Q4244" s="3" t="n">
        <v>67840.85</v>
      </c>
      <c r="R4244" s="3" t="n">
        <v>0.4043</v>
      </c>
      <c r="S4244" s="3" t="n">
        <v>0.0711</v>
      </c>
      <c r="T4244" s="3" t="n">
        <v>0.0056</v>
      </c>
    </row>
    <row r="4245" customFormat="false" ht="15" hidden="false" customHeight="true" outlineLevel="0" collapsed="false">
      <c r="A4245" s="3" t="s">
        <v>5410</v>
      </c>
      <c r="B4245" s="3" t="s">
        <v>4078</v>
      </c>
      <c r="C4245" s="3" t="s">
        <v>126</v>
      </c>
      <c r="D4245" s="3" t="s">
        <v>75</v>
      </c>
      <c r="E4245" s="3" t="s">
        <v>39</v>
      </c>
      <c r="F4245" s="3" t="s">
        <v>25</v>
      </c>
      <c r="G4245" s="3" t="s">
        <v>26</v>
      </c>
      <c r="H4245" s="3" t="s">
        <v>42</v>
      </c>
      <c r="I4245" s="3" t="s">
        <v>43</v>
      </c>
      <c r="J4245" s="3" t="n">
        <v>33</v>
      </c>
      <c r="K4245" s="3" t="n">
        <v>948.61</v>
      </c>
      <c r="L4245" s="3" t="n">
        <v>31304.13</v>
      </c>
      <c r="M4245" s="3" t="n">
        <v>0.1095</v>
      </c>
      <c r="N4245" s="3" t="n">
        <v>3427.8</v>
      </c>
      <c r="O4245" s="3" t="n">
        <v>27876.33</v>
      </c>
      <c r="P4245" s="3" t="n">
        <v>17217.27</v>
      </c>
      <c r="Q4245" s="3" t="n">
        <v>10659.06</v>
      </c>
      <c r="R4245" s="3" t="n">
        <v>0.3824</v>
      </c>
      <c r="S4245" s="3" t="n">
        <v>0.1094</v>
      </c>
      <c r="T4245" s="3" t="n">
        <v>0.0001</v>
      </c>
    </row>
    <row r="4246" customFormat="false" ht="15" hidden="false" customHeight="true" outlineLevel="0" collapsed="false">
      <c r="A4246" s="3" t="s">
        <v>5411</v>
      </c>
      <c r="B4246" s="3" t="s">
        <v>153</v>
      </c>
      <c r="C4246" s="3" t="s">
        <v>31</v>
      </c>
      <c r="D4246" s="3" t="s">
        <v>83</v>
      </c>
      <c r="E4246" s="3" t="s">
        <v>48</v>
      </c>
      <c r="F4246" s="3" t="s">
        <v>62</v>
      </c>
      <c r="G4246" s="3" t="s">
        <v>104</v>
      </c>
      <c r="H4246" s="3" t="s">
        <v>77</v>
      </c>
      <c r="I4246" s="3" t="s">
        <v>85</v>
      </c>
      <c r="J4246" s="3" t="n">
        <v>32</v>
      </c>
      <c r="K4246" s="3" t="n">
        <v>5177.55</v>
      </c>
      <c r="L4246" s="3" t="n">
        <v>165681.6</v>
      </c>
      <c r="M4246" s="3" t="n">
        <v>0.0901</v>
      </c>
      <c r="N4246" s="3" t="n">
        <v>14927.91</v>
      </c>
      <c r="O4246" s="3" t="n">
        <v>150753.69</v>
      </c>
      <c r="P4246" s="3" t="n">
        <v>112663.49</v>
      </c>
      <c r="Q4246" s="3" t="n">
        <v>38090.2</v>
      </c>
      <c r="R4246" s="3" t="n">
        <v>0.2527</v>
      </c>
      <c r="S4246" s="3" t="n">
        <v>0.0732</v>
      </c>
      <c r="T4246" s="3" t="n">
        <v>0.0169</v>
      </c>
    </row>
    <row r="4247" customFormat="false" ht="15" hidden="false" customHeight="true" outlineLevel="0" collapsed="false">
      <c r="A4247" s="3" t="s">
        <v>5412</v>
      </c>
      <c r="B4247" s="3" t="s">
        <v>1592</v>
      </c>
      <c r="C4247" s="3" t="s">
        <v>120</v>
      </c>
      <c r="D4247" s="3" t="s">
        <v>69</v>
      </c>
      <c r="E4247" s="3" t="s">
        <v>39</v>
      </c>
      <c r="F4247" s="3" t="s">
        <v>70</v>
      </c>
      <c r="G4247" s="3" t="s">
        <v>116</v>
      </c>
      <c r="H4247" s="3" t="s">
        <v>27</v>
      </c>
      <c r="I4247" s="3" t="s">
        <v>173</v>
      </c>
      <c r="J4247" s="3" t="n">
        <v>20</v>
      </c>
      <c r="K4247" s="3" t="n">
        <v>15089.92</v>
      </c>
      <c r="L4247" s="3" t="n">
        <v>301798.4</v>
      </c>
      <c r="M4247" s="3" t="n">
        <v>0.0701</v>
      </c>
      <c r="N4247" s="3" t="n">
        <v>21156.07</v>
      </c>
      <c r="O4247" s="3" t="n">
        <v>280642.33</v>
      </c>
      <c r="P4247" s="3" t="n">
        <v>187115.01</v>
      </c>
      <c r="Q4247" s="3" t="n">
        <v>93527.32</v>
      </c>
      <c r="R4247" s="3" t="n">
        <v>0.3333</v>
      </c>
      <c r="S4247" s="3" t="n">
        <v>0.073</v>
      </c>
      <c r="T4247" s="3" t="n">
        <v>-0.0029</v>
      </c>
    </row>
    <row r="4248" customFormat="false" ht="15" hidden="false" customHeight="true" outlineLevel="0" collapsed="false">
      <c r="A4248" s="3" t="s">
        <v>5413</v>
      </c>
      <c r="B4248" s="3" t="s">
        <v>575</v>
      </c>
      <c r="C4248" s="3" t="s">
        <v>93</v>
      </c>
      <c r="D4248" s="3" t="s">
        <v>97</v>
      </c>
      <c r="E4248" s="3" t="s">
        <v>48</v>
      </c>
      <c r="F4248" s="3" t="s">
        <v>40</v>
      </c>
      <c r="G4248" s="3" t="s">
        <v>76</v>
      </c>
      <c r="H4248" s="3" t="s">
        <v>27</v>
      </c>
      <c r="I4248" s="3" t="s">
        <v>173</v>
      </c>
      <c r="J4248" s="3" t="n">
        <v>21</v>
      </c>
      <c r="K4248" s="3" t="n">
        <v>19201.61</v>
      </c>
      <c r="L4248" s="3" t="n">
        <v>403233.81</v>
      </c>
      <c r="M4248" s="3" t="n">
        <v>0.0722</v>
      </c>
      <c r="N4248" s="3" t="n">
        <v>29113.48</v>
      </c>
      <c r="O4248" s="3" t="n">
        <v>374120.33</v>
      </c>
      <c r="P4248" s="3" t="n">
        <v>250004.96</v>
      </c>
      <c r="Q4248" s="3" t="n">
        <v>124115.37</v>
      </c>
      <c r="R4248" s="3" t="n">
        <v>0.3318</v>
      </c>
      <c r="S4248" s="3" t="n">
        <v>0.0652</v>
      </c>
      <c r="T4248" s="3" t="n">
        <v>0.007</v>
      </c>
    </row>
    <row r="4249" customFormat="false" ht="15" hidden="false" customHeight="true" outlineLevel="0" collapsed="false">
      <c r="A4249" s="3" t="s">
        <v>5414</v>
      </c>
      <c r="B4249" s="3" t="s">
        <v>740</v>
      </c>
      <c r="C4249" s="3" t="s">
        <v>120</v>
      </c>
      <c r="D4249" s="3" t="s">
        <v>23</v>
      </c>
      <c r="E4249" s="3" t="s">
        <v>24</v>
      </c>
      <c r="F4249" s="3" t="s">
        <v>25</v>
      </c>
      <c r="G4249" s="3" t="s">
        <v>41</v>
      </c>
      <c r="H4249" s="3" t="s">
        <v>64</v>
      </c>
      <c r="I4249" s="3" t="s">
        <v>108</v>
      </c>
      <c r="J4249" s="3" t="n">
        <v>49</v>
      </c>
      <c r="K4249" s="3" t="n">
        <v>9842.53</v>
      </c>
      <c r="L4249" s="3" t="n">
        <v>482283.97</v>
      </c>
      <c r="M4249" s="3" t="n">
        <v>0.185</v>
      </c>
      <c r="N4249" s="3" t="n">
        <v>89222.53</v>
      </c>
      <c r="O4249" s="3" t="n">
        <v>393061.44</v>
      </c>
      <c r="P4249" s="3" t="n">
        <v>279724.7</v>
      </c>
      <c r="Q4249" s="3" t="n">
        <v>113336.74</v>
      </c>
      <c r="R4249" s="3" t="n">
        <v>0.2883</v>
      </c>
      <c r="S4249" s="3" t="n">
        <v>0.2013</v>
      </c>
      <c r="T4249" s="3" t="n">
        <v>-0.0163</v>
      </c>
    </row>
    <row r="4250" customFormat="false" ht="15" hidden="false" customHeight="true" outlineLevel="0" collapsed="false">
      <c r="A4250" s="3" t="s">
        <v>5415</v>
      </c>
      <c r="B4250" s="3" t="s">
        <v>1468</v>
      </c>
      <c r="C4250" s="3" t="s">
        <v>93</v>
      </c>
      <c r="D4250" s="3" t="s">
        <v>23</v>
      </c>
      <c r="E4250" s="3" t="s">
        <v>24</v>
      </c>
      <c r="F4250" s="3" t="s">
        <v>25</v>
      </c>
      <c r="G4250" s="3" t="s">
        <v>63</v>
      </c>
      <c r="H4250" s="3" t="s">
        <v>27</v>
      </c>
      <c r="I4250" s="3" t="s">
        <v>173</v>
      </c>
      <c r="J4250" s="3" t="n">
        <v>33</v>
      </c>
      <c r="K4250" s="3" t="n">
        <v>24674.2</v>
      </c>
      <c r="L4250" s="3" t="n">
        <v>814248.6</v>
      </c>
      <c r="M4250" s="3" t="n">
        <v>0.1022</v>
      </c>
      <c r="N4250" s="3" t="n">
        <v>83216.21</v>
      </c>
      <c r="O4250" s="3" t="n">
        <v>731032.39</v>
      </c>
      <c r="P4250" s="3" t="n">
        <v>504834.13</v>
      </c>
      <c r="Q4250" s="3" t="n">
        <v>226198.26</v>
      </c>
      <c r="R4250" s="3" t="n">
        <v>0.3094</v>
      </c>
      <c r="S4250" s="3" t="n">
        <v>0.0851</v>
      </c>
      <c r="T4250" s="3" t="n">
        <v>0.0171</v>
      </c>
    </row>
    <row r="4251" customFormat="false" ht="15" hidden="false" customHeight="true" outlineLevel="0" collapsed="false">
      <c r="A4251" s="3" t="s">
        <v>5416</v>
      </c>
      <c r="B4251" s="3" t="s">
        <v>217</v>
      </c>
      <c r="C4251" s="3" t="s">
        <v>126</v>
      </c>
      <c r="D4251" s="3" t="s">
        <v>103</v>
      </c>
      <c r="E4251" s="3" t="s">
        <v>24</v>
      </c>
      <c r="F4251" s="3" t="s">
        <v>62</v>
      </c>
      <c r="G4251" s="3" t="s">
        <v>71</v>
      </c>
      <c r="H4251" s="3" t="s">
        <v>42</v>
      </c>
      <c r="I4251" s="3" t="s">
        <v>134</v>
      </c>
      <c r="J4251" s="3" t="n">
        <v>27</v>
      </c>
      <c r="K4251" s="3" t="n">
        <v>1957.4</v>
      </c>
      <c r="L4251" s="3" t="n">
        <v>52849.8</v>
      </c>
      <c r="M4251" s="3" t="n">
        <v>0.0507</v>
      </c>
      <c r="N4251" s="3" t="n">
        <v>2679.48</v>
      </c>
      <c r="O4251" s="3" t="n">
        <v>50170.32</v>
      </c>
      <c r="P4251" s="3" t="n">
        <v>29067.39</v>
      </c>
      <c r="Q4251" s="3" t="n">
        <v>21102.93</v>
      </c>
      <c r="R4251" s="3" t="n">
        <v>0.4206</v>
      </c>
      <c r="S4251" s="3" t="n">
        <v>0.0555</v>
      </c>
      <c r="T4251" s="3" t="n">
        <v>-0.0048</v>
      </c>
    </row>
    <row r="4252" customFormat="false" ht="15" hidden="false" customHeight="true" outlineLevel="0" collapsed="false">
      <c r="A4252" s="3" t="s">
        <v>5417</v>
      </c>
      <c r="B4252" s="3" t="s">
        <v>2708</v>
      </c>
      <c r="C4252" s="3" t="s">
        <v>156</v>
      </c>
      <c r="D4252" s="3" t="s">
        <v>38</v>
      </c>
      <c r="E4252" s="3" t="s">
        <v>39</v>
      </c>
      <c r="F4252" s="3" t="s">
        <v>40</v>
      </c>
      <c r="G4252" s="3" t="s">
        <v>26</v>
      </c>
      <c r="H4252" s="3" t="s">
        <v>64</v>
      </c>
      <c r="I4252" s="3" t="s">
        <v>90</v>
      </c>
      <c r="J4252" s="3" t="n">
        <v>17</v>
      </c>
      <c r="K4252" s="3" t="n">
        <v>5150.85</v>
      </c>
      <c r="L4252" s="3" t="n">
        <v>87564.45</v>
      </c>
      <c r="M4252" s="3" t="n">
        <v>0.0504</v>
      </c>
      <c r="N4252" s="3" t="n">
        <v>4413.25</v>
      </c>
      <c r="O4252" s="3" t="n">
        <v>83151.2</v>
      </c>
      <c r="P4252" s="3" t="n">
        <v>50787.38</v>
      </c>
      <c r="Q4252" s="3" t="n">
        <v>32363.82</v>
      </c>
      <c r="R4252" s="3" t="n">
        <v>0.3892</v>
      </c>
      <c r="S4252" s="3" t="n">
        <v>0.0455</v>
      </c>
      <c r="T4252" s="3" t="n">
        <v>0.0049</v>
      </c>
    </row>
    <row r="4253" customFormat="false" ht="15" hidden="false" customHeight="true" outlineLevel="0" collapsed="false">
      <c r="A4253" s="3" t="s">
        <v>5418</v>
      </c>
      <c r="B4253" s="3" t="s">
        <v>1980</v>
      </c>
      <c r="C4253" s="3" t="s">
        <v>37</v>
      </c>
      <c r="D4253" s="3" t="s">
        <v>103</v>
      </c>
      <c r="E4253" s="3" t="s">
        <v>24</v>
      </c>
      <c r="F4253" s="3" t="s">
        <v>62</v>
      </c>
      <c r="G4253" s="3" t="s">
        <v>26</v>
      </c>
      <c r="H4253" s="3" t="s">
        <v>42</v>
      </c>
      <c r="I4253" s="3" t="s">
        <v>43</v>
      </c>
      <c r="J4253" s="3" t="n">
        <v>5</v>
      </c>
      <c r="K4253" s="3" t="n">
        <v>1946.62</v>
      </c>
      <c r="L4253" s="3" t="n">
        <v>9733.1</v>
      </c>
      <c r="M4253" s="3" t="n">
        <v>0.041</v>
      </c>
      <c r="N4253" s="3" t="n">
        <v>399.06</v>
      </c>
      <c r="O4253" s="3" t="n">
        <v>9334.04</v>
      </c>
      <c r="P4253" s="3" t="n">
        <v>5353.2</v>
      </c>
      <c r="Q4253" s="3" t="n">
        <v>3980.84</v>
      </c>
      <c r="R4253" s="3" t="n">
        <v>0.4265</v>
      </c>
      <c r="S4253" s="3" t="n">
        <v>0.0379</v>
      </c>
      <c r="T4253" s="3" t="n">
        <v>0.0031</v>
      </c>
    </row>
    <row r="4254" customFormat="false" ht="15" hidden="false" customHeight="true" outlineLevel="0" collapsed="false">
      <c r="A4254" s="3" t="s">
        <v>5419</v>
      </c>
      <c r="B4254" s="3" t="s">
        <v>1340</v>
      </c>
      <c r="C4254" s="3" t="s">
        <v>46</v>
      </c>
      <c r="D4254" s="3" t="s">
        <v>69</v>
      </c>
      <c r="E4254" s="3" t="s">
        <v>39</v>
      </c>
      <c r="F4254" s="3" t="s">
        <v>70</v>
      </c>
      <c r="G4254" s="3" t="s">
        <v>76</v>
      </c>
      <c r="H4254" s="3" t="s">
        <v>64</v>
      </c>
      <c r="I4254" s="3" t="s">
        <v>108</v>
      </c>
      <c r="J4254" s="3" t="n">
        <v>5</v>
      </c>
      <c r="K4254" s="3" t="n">
        <v>11156.69</v>
      </c>
      <c r="L4254" s="3" t="n">
        <v>55783.45</v>
      </c>
      <c r="M4254" s="3" t="n">
        <v>0.0555</v>
      </c>
      <c r="N4254" s="3" t="n">
        <v>3095.98</v>
      </c>
      <c r="O4254" s="3" t="n">
        <v>52687.47</v>
      </c>
      <c r="P4254" s="3" t="n">
        <v>32354.4</v>
      </c>
      <c r="Q4254" s="3" t="n">
        <v>20333.07</v>
      </c>
      <c r="R4254" s="3" t="n">
        <v>0.3859</v>
      </c>
      <c r="S4254" s="3" t="n">
        <v>0.051</v>
      </c>
      <c r="T4254" s="3" t="n">
        <v>0.0045</v>
      </c>
    </row>
    <row r="4255" customFormat="false" ht="15" hidden="false" customHeight="true" outlineLevel="0" collapsed="false">
      <c r="A4255" s="3" t="s">
        <v>5420</v>
      </c>
      <c r="B4255" s="3" t="s">
        <v>1935</v>
      </c>
      <c r="C4255" s="3" t="s">
        <v>126</v>
      </c>
      <c r="D4255" s="3" t="s">
        <v>47</v>
      </c>
      <c r="E4255" s="3" t="s">
        <v>48</v>
      </c>
      <c r="F4255" s="3" t="s">
        <v>25</v>
      </c>
      <c r="G4255" s="3" t="s">
        <v>41</v>
      </c>
      <c r="H4255" s="3" t="s">
        <v>27</v>
      </c>
      <c r="I4255" s="3" t="s">
        <v>94</v>
      </c>
      <c r="J4255" s="3" t="n">
        <v>10</v>
      </c>
      <c r="K4255" s="3" t="n">
        <v>10608.77</v>
      </c>
      <c r="L4255" s="3" t="n">
        <v>106087.7</v>
      </c>
      <c r="M4255" s="3" t="n">
        <v>0.1791</v>
      </c>
      <c r="N4255" s="3" t="n">
        <v>19000.31</v>
      </c>
      <c r="O4255" s="3" t="n">
        <v>87087.39</v>
      </c>
      <c r="P4255" s="3" t="n">
        <v>65774.37</v>
      </c>
      <c r="Q4255" s="3" t="n">
        <v>21313.02</v>
      </c>
      <c r="R4255" s="3" t="n">
        <v>0.2447</v>
      </c>
      <c r="S4255" s="3" t="n">
        <v>0.1733</v>
      </c>
      <c r="T4255" s="3" t="n">
        <v>0.0058</v>
      </c>
    </row>
    <row r="4256" customFormat="false" ht="15" hidden="false" customHeight="true" outlineLevel="0" collapsed="false">
      <c r="A4256" s="3" t="s">
        <v>5421</v>
      </c>
      <c r="B4256" s="3" t="s">
        <v>96</v>
      </c>
      <c r="C4256" s="3" t="s">
        <v>68</v>
      </c>
      <c r="D4256" s="3" t="s">
        <v>97</v>
      </c>
      <c r="E4256" s="3" t="s">
        <v>48</v>
      </c>
      <c r="F4256" s="3" t="s">
        <v>40</v>
      </c>
      <c r="G4256" s="3" t="s">
        <v>84</v>
      </c>
      <c r="H4256" s="3" t="s">
        <v>77</v>
      </c>
      <c r="I4256" s="3" t="s">
        <v>85</v>
      </c>
      <c r="J4256" s="3" t="n">
        <v>34</v>
      </c>
      <c r="K4256" s="3" t="n">
        <v>3856.54</v>
      </c>
      <c r="L4256" s="3" t="n">
        <v>131122.36</v>
      </c>
      <c r="M4256" s="3" t="n">
        <v>0.0541</v>
      </c>
      <c r="N4256" s="3" t="n">
        <v>7093.72</v>
      </c>
      <c r="O4256" s="3" t="n">
        <v>124028.64</v>
      </c>
      <c r="P4256" s="3" t="n">
        <v>89163.2</v>
      </c>
      <c r="Q4256" s="3" t="n">
        <v>34865.44</v>
      </c>
      <c r="R4256" s="3" t="n">
        <v>0.2811</v>
      </c>
      <c r="S4256" s="3" t="n">
        <v>0.0535</v>
      </c>
      <c r="T4256" s="3" t="n">
        <v>0.0006</v>
      </c>
    </row>
    <row r="4257" customFormat="false" ht="15" hidden="false" customHeight="true" outlineLevel="0" collapsed="false">
      <c r="A4257" s="3" t="s">
        <v>5422</v>
      </c>
      <c r="B4257" s="3" t="s">
        <v>473</v>
      </c>
      <c r="C4257" s="3" t="s">
        <v>22</v>
      </c>
      <c r="D4257" s="3" t="s">
        <v>47</v>
      </c>
      <c r="E4257" s="3" t="s">
        <v>48</v>
      </c>
      <c r="F4257" s="3" t="s">
        <v>25</v>
      </c>
      <c r="G4257" s="3" t="s">
        <v>55</v>
      </c>
      <c r="H4257" s="3" t="s">
        <v>64</v>
      </c>
      <c r="I4257" s="3" t="s">
        <v>65</v>
      </c>
      <c r="J4257" s="3" t="n">
        <v>15</v>
      </c>
      <c r="K4257" s="3" t="n">
        <v>6823.72</v>
      </c>
      <c r="L4257" s="3" t="n">
        <v>102355.8</v>
      </c>
      <c r="M4257" s="3" t="n">
        <v>0.0859</v>
      </c>
      <c r="N4257" s="3" t="n">
        <v>8792.36</v>
      </c>
      <c r="O4257" s="3" t="n">
        <v>93563.44</v>
      </c>
      <c r="P4257" s="3" t="n">
        <v>59366.36</v>
      </c>
      <c r="Q4257" s="3" t="n">
        <v>34197.08</v>
      </c>
      <c r="R4257" s="3" t="n">
        <v>0.3655</v>
      </c>
      <c r="S4257" s="3" t="n">
        <v>0.0754</v>
      </c>
      <c r="T4257" s="3" t="n">
        <v>0.0105</v>
      </c>
    </row>
    <row r="4258" customFormat="false" ht="15" hidden="false" customHeight="true" outlineLevel="0" collapsed="false">
      <c r="A4258" s="3" t="s">
        <v>5423</v>
      </c>
      <c r="B4258" s="3" t="s">
        <v>3972</v>
      </c>
      <c r="C4258" s="3" t="s">
        <v>31</v>
      </c>
      <c r="D4258" s="3" t="s">
        <v>69</v>
      </c>
      <c r="E4258" s="3" t="s">
        <v>39</v>
      </c>
      <c r="F4258" s="3" t="s">
        <v>70</v>
      </c>
      <c r="G4258" s="3" t="s">
        <v>41</v>
      </c>
      <c r="H4258" s="3" t="s">
        <v>77</v>
      </c>
      <c r="I4258" s="3" t="s">
        <v>85</v>
      </c>
      <c r="J4258" s="3" t="n">
        <v>23</v>
      </c>
      <c r="K4258" s="3" t="n">
        <v>2066.07</v>
      </c>
      <c r="L4258" s="3" t="n">
        <v>47519.61</v>
      </c>
      <c r="M4258" s="3" t="n">
        <v>0.12</v>
      </c>
      <c r="N4258" s="3" t="n">
        <v>5702.35</v>
      </c>
      <c r="O4258" s="3" t="n">
        <v>41817.26</v>
      </c>
      <c r="P4258" s="3" t="n">
        <v>32313.33</v>
      </c>
      <c r="Q4258" s="3" t="n">
        <v>9503.93</v>
      </c>
      <c r="R4258" s="3" t="n">
        <v>0.2273</v>
      </c>
      <c r="S4258" s="3" t="n">
        <v>0.105</v>
      </c>
      <c r="T4258" s="3" t="n">
        <v>0.015</v>
      </c>
    </row>
    <row r="4259" customFormat="false" ht="15" hidden="false" customHeight="true" outlineLevel="0" collapsed="false">
      <c r="A4259" s="3" t="s">
        <v>5424</v>
      </c>
      <c r="B4259" s="3" t="s">
        <v>2054</v>
      </c>
      <c r="C4259" s="3" t="s">
        <v>156</v>
      </c>
      <c r="D4259" s="3" t="s">
        <v>69</v>
      </c>
      <c r="E4259" s="3" t="s">
        <v>39</v>
      </c>
      <c r="F4259" s="3" t="s">
        <v>70</v>
      </c>
      <c r="G4259" s="3" t="s">
        <v>41</v>
      </c>
      <c r="H4259" s="3" t="s">
        <v>27</v>
      </c>
      <c r="I4259" s="3" t="s">
        <v>28</v>
      </c>
      <c r="J4259" s="3" t="n">
        <v>26</v>
      </c>
      <c r="K4259" s="3" t="n">
        <v>23445.66</v>
      </c>
      <c r="L4259" s="3" t="n">
        <v>609587.16</v>
      </c>
      <c r="M4259" s="3" t="n">
        <v>0.1081</v>
      </c>
      <c r="N4259" s="3" t="n">
        <v>65896.37</v>
      </c>
      <c r="O4259" s="3" t="n">
        <v>543690.79</v>
      </c>
      <c r="P4259" s="3" t="n">
        <v>377944.04</v>
      </c>
      <c r="Q4259" s="3" t="n">
        <v>165746.75</v>
      </c>
      <c r="R4259" s="3" t="n">
        <v>0.3049</v>
      </c>
      <c r="S4259" s="3" t="n">
        <v>0.09</v>
      </c>
      <c r="T4259" s="3" t="n">
        <v>0.0181</v>
      </c>
    </row>
    <row r="4260" customFormat="false" ht="15" hidden="false" customHeight="true" outlineLevel="0" collapsed="false">
      <c r="A4260" s="3" t="s">
        <v>5425</v>
      </c>
      <c r="B4260" s="3" t="s">
        <v>2932</v>
      </c>
      <c r="C4260" s="3" t="s">
        <v>156</v>
      </c>
      <c r="D4260" s="3" t="s">
        <v>47</v>
      </c>
      <c r="E4260" s="3" t="s">
        <v>48</v>
      </c>
      <c r="F4260" s="3" t="s">
        <v>25</v>
      </c>
      <c r="G4260" s="3" t="s">
        <v>55</v>
      </c>
      <c r="H4260" s="3" t="s">
        <v>64</v>
      </c>
      <c r="I4260" s="3" t="s">
        <v>65</v>
      </c>
      <c r="J4260" s="3" t="n">
        <v>33</v>
      </c>
      <c r="K4260" s="3" t="n">
        <v>3814.29</v>
      </c>
      <c r="L4260" s="3" t="n">
        <v>125871.57</v>
      </c>
      <c r="M4260" s="3" t="n">
        <v>0.1326</v>
      </c>
      <c r="N4260" s="3" t="n">
        <v>16690.57</v>
      </c>
      <c r="O4260" s="3" t="n">
        <v>109181</v>
      </c>
      <c r="P4260" s="3" t="n">
        <v>73005.51</v>
      </c>
      <c r="Q4260" s="3" t="n">
        <v>36175.49</v>
      </c>
      <c r="R4260" s="3" t="n">
        <v>0.3313</v>
      </c>
      <c r="S4260" s="3" t="n">
        <v>0.1394</v>
      </c>
      <c r="T4260" s="3" t="n">
        <v>-0.0068</v>
      </c>
    </row>
    <row r="4261" customFormat="false" ht="15" hidden="false" customHeight="true" outlineLevel="0" collapsed="false">
      <c r="A4261" s="3" t="s">
        <v>5426</v>
      </c>
      <c r="B4261" s="3" t="s">
        <v>678</v>
      </c>
      <c r="C4261" s="3" t="s">
        <v>156</v>
      </c>
      <c r="D4261" s="3" t="s">
        <v>103</v>
      </c>
      <c r="E4261" s="3" t="s">
        <v>24</v>
      </c>
      <c r="F4261" s="3" t="s">
        <v>62</v>
      </c>
      <c r="G4261" s="3" t="s">
        <v>63</v>
      </c>
      <c r="H4261" s="3" t="s">
        <v>42</v>
      </c>
      <c r="I4261" s="3" t="s">
        <v>43</v>
      </c>
      <c r="J4261" s="3" t="n">
        <v>10</v>
      </c>
      <c r="K4261" s="3" t="n">
        <v>515.51</v>
      </c>
      <c r="L4261" s="3" t="n">
        <v>5155.1</v>
      </c>
      <c r="M4261" s="3" t="n">
        <v>0.0387</v>
      </c>
      <c r="N4261" s="3" t="n">
        <v>199.5</v>
      </c>
      <c r="O4261" s="3" t="n">
        <v>4955.6</v>
      </c>
      <c r="P4261" s="3" t="n">
        <v>2835.31</v>
      </c>
      <c r="Q4261" s="3" t="n">
        <v>2120.29</v>
      </c>
      <c r="R4261" s="3" t="n">
        <v>0.4279</v>
      </c>
      <c r="S4261" s="3" t="n">
        <v>0.0357</v>
      </c>
      <c r="T4261" s="3" t="n">
        <v>0.003</v>
      </c>
    </row>
    <row r="4262" customFormat="false" ht="15" hidden="false" customHeight="true" outlineLevel="0" collapsed="false">
      <c r="A4262" s="3" t="s">
        <v>5427</v>
      </c>
      <c r="B4262" s="3" t="s">
        <v>2801</v>
      </c>
      <c r="C4262" s="3" t="s">
        <v>126</v>
      </c>
      <c r="D4262" s="3" t="s">
        <v>103</v>
      </c>
      <c r="E4262" s="3" t="s">
        <v>24</v>
      </c>
      <c r="F4262" s="3" t="s">
        <v>62</v>
      </c>
      <c r="G4262" s="3" t="s">
        <v>34</v>
      </c>
      <c r="H4262" s="3" t="s">
        <v>77</v>
      </c>
      <c r="I4262" s="3" t="s">
        <v>78</v>
      </c>
      <c r="J4262" s="3" t="n">
        <v>23</v>
      </c>
      <c r="K4262" s="3" t="n">
        <v>4277.63</v>
      </c>
      <c r="L4262" s="3" t="n">
        <v>98385.49</v>
      </c>
      <c r="M4262" s="3" t="n">
        <v>0.0895</v>
      </c>
      <c r="N4262" s="3" t="n">
        <v>8805.5</v>
      </c>
      <c r="O4262" s="3" t="n">
        <v>89579.99</v>
      </c>
      <c r="P4262" s="3" t="n">
        <v>66902.13</v>
      </c>
      <c r="Q4262" s="3" t="n">
        <v>22677.86</v>
      </c>
      <c r="R4262" s="3" t="n">
        <v>0.2532</v>
      </c>
      <c r="S4262" s="3" t="n">
        <v>0.076</v>
      </c>
      <c r="T4262" s="3" t="n">
        <v>0.0135</v>
      </c>
    </row>
    <row r="4263" customFormat="false" ht="15" hidden="false" customHeight="true" outlineLevel="0" collapsed="false">
      <c r="A4263" s="3" t="s">
        <v>5428</v>
      </c>
      <c r="B4263" s="3" t="s">
        <v>695</v>
      </c>
      <c r="C4263" s="3" t="s">
        <v>156</v>
      </c>
      <c r="D4263" s="3" t="s">
        <v>38</v>
      </c>
      <c r="E4263" s="3" t="s">
        <v>39</v>
      </c>
      <c r="F4263" s="3" t="s">
        <v>40</v>
      </c>
      <c r="G4263" s="3" t="s">
        <v>116</v>
      </c>
      <c r="H4263" s="3" t="s">
        <v>56</v>
      </c>
      <c r="I4263" s="3" t="s">
        <v>57</v>
      </c>
      <c r="J4263" s="3" t="n">
        <v>20</v>
      </c>
      <c r="K4263" s="3" t="n">
        <v>2029.87</v>
      </c>
      <c r="L4263" s="3" t="n">
        <v>40597.4</v>
      </c>
      <c r="M4263" s="3" t="n">
        <v>0.1275</v>
      </c>
      <c r="N4263" s="3" t="n">
        <v>5176.17</v>
      </c>
      <c r="O4263" s="3" t="n">
        <v>35421.23</v>
      </c>
      <c r="P4263" s="3" t="n">
        <v>24358.44</v>
      </c>
      <c r="Q4263" s="3" t="n">
        <v>11062.79</v>
      </c>
      <c r="R4263" s="3" t="n">
        <v>0.3123</v>
      </c>
      <c r="S4263" s="3" t="n">
        <v>0.1103</v>
      </c>
      <c r="T4263" s="3" t="n">
        <v>0.0172</v>
      </c>
    </row>
    <row r="4264" customFormat="false" ht="15" hidden="false" customHeight="true" outlineLevel="0" collapsed="false">
      <c r="A4264" s="3" t="s">
        <v>5429</v>
      </c>
      <c r="B4264" s="3" t="s">
        <v>2846</v>
      </c>
      <c r="C4264" s="3" t="s">
        <v>60</v>
      </c>
      <c r="D4264" s="3" t="s">
        <v>97</v>
      </c>
      <c r="E4264" s="3" t="s">
        <v>48</v>
      </c>
      <c r="F4264" s="3" t="s">
        <v>40</v>
      </c>
      <c r="G4264" s="3" t="s">
        <v>34</v>
      </c>
      <c r="H4264" s="3" t="s">
        <v>64</v>
      </c>
      <c r="I4264" s="3" t="s">
        <v>90</v>
      </c>
      <c r="J4264" s="3" t="n">
        <v>49</v>
      </c>
      <c r="K4264" s="3" t="n">
        <v>3166.2</v>
      </c>
      <c r="L4264" s="3" t="n">
        <v>155143.8</v>
      </c>
      <c r="M4264" s="3" t="n">
        <v>0.0871</v>
      </c>
      <c r="N4264" s="3" t="n">
        <v>13513.02</v>
      </c>
      <c r="O4264" s="3" t="n">
        <v>141630.78</v>
      </c>
      <c r="P4264" s="3" t="n">
        <v>89983.4</v>
      </c>
      <c r="Q4264" s="3" t="n">
        <v>51647.38</v>
      </c>
      <c r="R4264" s="3" t="n">
        <v>0.3647</v>
      </c>
      <c r="S4264" s="3" t="n">
        <v>0.0882</v>
      </c>
      <c r="T4264" s="3" t="n">
        <v>-0.0011</v>
      </c>
    </row>
    <row r="4265" customFormat="false" ht="15" hidden="false" customHeight="true" outlineLevel="0" collapsed="false">
      <c r="A4265" s="3" t="s">
        <v>5430</v>
      </c>
      <c r="B4265" s="3" t="s">
        <v>2670</v>
      </c>
      <c r="C4265" s="3" t="s">
        <v>53</v>
      </c>
      <c r="D4265" s="3" t="s">
        <v>54</v>
      </c>
      <c r="E4265" s="3" t="s">
        <v>24</v>
      </c>
      <c r="F4265" s="3" t="s">
        <v>40</v>
      </c>
      <c r="G4265" s="3" t="s">
        <v>26</v>
      </c>
      <c r="H4265" s="3" t="s">
        <v>77</v>
      </c>
      <c r="I4265" s="3" t="s">
        <v>131</v>
      </c>
      <c r="J4265" s="3" t="n">
        <v>9</v>
      </c>
      <c r="K4265" s="3" t="n">
        <v>5010.25</v>
      </c>
      <c r="L4265" s="3" t="n">
        <v>45092.25</v>
      </c>
      <c r="M4265" s="3" t="n">
        <v>0.0642</v>
      </c>
      <c r="N4265" s="3" t="n">
        <v>2894.92</v>
      </c>
      <c r="O4265" s="3" t="n">
        <v>42197.33</v>
      </c>
      <c r="P4265" s="3" t="n">
        <v>30662.73</v>
      </c>
      <c r="Q4265" s="3" t="n">
        <v>11534.6</v>
      </c>
      <c r="R4265" s="3" t="n">
        <v>0.2733</v>
      </c>
      <c r="S4265" s="3" t="n">
        <v>0.0665</v>
      </c>
      <c r="T4265" s="3" t="n">
        <v>-0.0023</v>
      </c>
    </row>
    <row r="4266" customFormat="false" ht="15" hidden="false" customHeight="true" outlineLevel="0" collapsed="false">
      <c r="A4266" s="3" t="s">
        <v>5431</v>
      </c>
      <c r="B4266" s="3" t="s">
        <v>1723</v>
      </c>
      <c r="C4266" s="3" t="s">
        <v>156</v>
      </c>
      <c r="D4266" s="3" t="s">
        <v>47</v>
      </c>
      <c r="E4266" s="3" t="s">
        <v>48</v>
      </c>
      <c r="F4266" s="3" t="s">
        <v>25</v>
      </c>
      <c r="G4266" s="3" t="s">
        <v>100</v>
      </c>
      <c r="H4266" s="3" t="s">
        <v>27</v>
      </c>
      <c r="I4266" s="3" t="s">
        <v>28</v>
      </c>
      <c r="J4266" s="3" t="n">
        <v>49</v>
      </c>
      <c r="K4266" s="3" t="n">
        <v>24475.26</v>
      </c>
      <c r="L4266" s="3" t="n">
        <v>1199287.74</v>
      </c>
      <c r="M4266" s="3" t="n">
        <v>0.1548</v>
      </c>
      <c r="N4266" s="3" t="n">
        <v>185649.74</v>
      </c>
      <c r="O4266" s="3" t="n">
        <v>1013638</v>
      </c>
      <c r="P4266" s="3" t="n">
        <v>743558.4</v>
      </c>
      <c r="Q4266" s="3" t="n">
        <v>270079.6</v>
      </c>
      <c r="R4266" s="3" t="n">
        <v>0.2664</v>
      </c>
      <c r="S4266" s="3" t="n">
        <v>0.1557</v>
      </c>
      <c r="T4266" s="3" t="n">
        <v>-0.0009</v>
      </c>
    </row>
    <row r="4267" customFormat="false" ht="15" hidden="false" customHeight="true" outlineLevel="0" collapsed="false">
      <c r="A4267" s="3" t="s">
        <v>5432</v>
      </c>
      <c r="B4267" s="3" t="s">
        <v>2542</v>
      </c>
      <c r="C4267" s="3" t="s">
        <v>37</v>
      </c>
      <c r="D4267" s="3" t="s">
        <v>47</v>
      </c>
      <c r="E4267" s="3" t="s">
        <v>48</v>
      </c>
      <c r="F4267" s="3" t="s">
        <v>25</v>
      </c>
      <c r="G4267" s="3" t="s">
        <v>100</v>
      </c>
      <c r="H4267" s="3" t="s">
        <v>56</v>
      </c>
      <c r="I4267" s="3" t="s">
        <v>57</v>
      </c>
      <c r="J4267" s="3" t="n">
        <v>27</v>
      </c>
      <c r="K4267" s="3" t="n">
        <v>12659.14</v>
      </c>
      <c r="L4267" s="3" t="n">
        <v>341796.78</v>
      </c>
      <c r="M4267" s="3" t="n">
        <v>0.1712</v>
      </c>
      <c r="N4267" s="3" t="n">
        <v>58515.61</v>
      </c>
      <c r="O4267" s="3" t="n">
        <v>283281.17</v>
      </c>
      <c r="P4267" s="3" t="n">
        <v>205078.07</v>
      </c>
      <c r="Q4267" s="3" t="n">
        <v>78203.1</v>
      </c>
      <c r="R4267" s="3" t="n">
        <v>0.2761</v>
      </c>
      <c r="S4267" s="3" t="n">
        <v>0.1473</v>
      </c>
      <c r="T4267" s="3" t="n">
        <v>0.0239</v>
      </c>
    </row>
    <row r="4268" customFormat="false" ht="15" hidden="false" customHeight="true" outlineLevel="0" collapsed="false">
      <c r="A4268" s="3" t="s">
        <v>5433</v>
      </c>
      <c r="B4268" s="3" t="s">
        <v>4766</v>
      </c>
      <c r="C4268" s="3" t="s">
        <v>156</v>
      </c>
      <c r="D4268" s="3" t="s">
        <v>23</v>
      </c>
      <c r="E4268" s="3" t="s">
        <v>24</v>
      </c>
      <c r="F4268" s="3" t="s">
        <v>25</v>
      </c>
      <c r="G4268" s="3" t="s">
        <v>116</v>
      </c>
      <c r="H4268" s="3" t="s">
        <v>27</v>
      </c>
      <c r="I4268" s="3" t="s">
        <v>28</v>
      </c>
      <c r="J4268" s="3" t="n">
        <v>11</v>
      </c>
      <c r="K4268" s="3" t="n">
        <v>28987.56</v>
      </c>
      <c r="L4268" s="3" t="n">
        <v>318863.16</v>
      </c>
      <c r="M4268" s="3" t="n">
        <v>0.1408</v>
      </c>
      <c r="N4268" s="3" t="n">
        <v>44895.93</v>
      </c>
      <c r="O4268" s="3" t="n">
        <v>273967.23</v>
      </c>
      <c r="P4268" s="3" t="n">
        <v>197695.16</v>
      </c>
      <c r="Q4268" s="3" t="n">
        <v>76272.07</v>
      </c>
      <c r="R4268" s="3" t="n">
        <v>0.2784</v>
      </c>
      <c r="S4268" s="3" t="n">
        <v>0.1468</v>
      </c>
      <c r="T4268" s="3" t="n">
        <v>-0.006</v>
      </c>
    </row>
    <row r="4269" customFormat="false" ht="15" hidden="false" customHeight="true" outlineLevel="0" collapsed="false">
      <c r="A4269" s="3" t="s">
        <v>5434</v>
      </c>
      <c r="B4269" s="3" t="s">
        <v>247</v>
      </c>
      <c r="C4269" s="3" t="s">
        <v>126</v>
      </c>
      <c r="D4269" s="3" t="s">
        <v>69</v>
      </c>
      <c r="E4269" s="3" t="s">
        <v>39</v>
      </c>
      <c r="F4269" s="3" t="s">
        <v>70</v>
      </c>
      <c r="G4269" s="3" t="s">
        <v>63</v>
      </c>
      <c r="H4269" s="3" t="s">
        <v>77</v>
      </c>
      <c r="I4269" s="3" t="s">
        <v>78</v>
      </c>
      <c r="J4269" s="3" t="n">
        <v>26</v>
      </c>
      <c r="K4269" s="3" t="n">
        <v>3087.57</v>
      </c>
      <c r="L4269" s="3" t="n">
        <v>80276.82</v>
      </c>
      <c r="M4269" s="3" t="n">
        <v>0.0625</v>
      </c>
      <c r="N4269" s="3" t="n">
        <v>5017.3</v>
      </c>
      <c r="O4269" s="3" t="n">
        <v>75259.52</v>
      </c>
      <c r="P4269" s="3" t="n">
        <v>54588.24</v>
      </c>
      <c r="Q4269" s="3" t="n">
        <v>20671.28</v>
      </c>
      <c r="R4269" s="3" t="n">
        <v>0.2747</v>
      </c>
      <c r="S4269" s="3" t="n">
        <v>0.059</v>
      </c>
      <c r="T4269" s="3" t="n">
        <v>0.0035</v>
      </c>
    </row>
    <row r="4270" customFormat="false" ht="15" hidden="false" customHeight="true" outlineLevel="0" collapsed="false">
      <c r="A4270" s="3" t="s">
        <v>5435</v>
      </c>
      <c r="B4270" s="3" t="s">
        <v>2054</v>
      </c>
      <c r="C4270" s="3" t="s">
        <v>156</v>
      </c>
      <c r="D4270" s="3" t="s">
        <v>107</v>
      </c>
      <c r="E4270" s="3" t="s">
        <v>33</v>
      </c>
      <c r="F4270" s="3" t="s">
        <v>70</v>
      </c>
      <c r="G4270" s="3" t="s">
        <v>41</v>
      </c>
      <c r="H4270" s="3" t="s">
        <v>27</v>
      </c>
      <c r="I4270" s="3" t="s">
        <v>117</v>
      </c>
      <c r="J4270" s="3" t="n">
        <v>21</v>
      </c>
      <c r="K4270" s="3" t="n">
        <v>21252.67</v>
      </c>
      <c r="L4270" s="3" t="n">
        <v>446306.07</v>
      </c>
      <c r="M4270" s="3" t="n">
        <v>0.0903</v>
      </c>
      <c r="N4270" s="3" t="n">
        <v>40301.44</v>
      </c>
      <c r="O4270" s="3" t="n">
        <v>406004.63</v>
      </c>
      <c r="P4270" s="3" t="n">
        <v>276709.76</v>
      </c>
      <c r="Q4270" s="3" t="n">
        <v>129294.87</v>
      </c>
      <c r="R4270" s="3" t="n">
        <v>0.3185</v>
      </c>
      <c r="S4270" s="3" t="n">
        <v>0.0774</v>
      </c>
      <c r="T4270" s="3" t="n">
        <v>0.0129</v>
      </c>
    </row>
    <row r="4271" customFormat="false" ht="15" hidden="false" customHeight="true" outlineLevel="0" collapsed="false">
      <c r="A4271" s="3" t="s">
        <v>5436</v>
      </c>
      <c r="B4271" s="3" t="s">
        <v>256</v>
      </c>
      <c r="C4271" s="3" t="s">
        <v>53</v>
      </c>
      <c r="D4271" s="3" t="s">
        <v>23</v>
      </c>
      <c r="E4271" s="3" t="s">
        <v>24</v>
      </c>
      <c r="F4271" s="3" t="s">
        <v>25</v>
      </c>
      <c r="G4271" s="3" t="s">
        <v>104</v>
      </c>
      <c r="H4271" s="3" t="s">
        <v>77</v>
      </c>
      <c r="I4271" s="3" t="s">
        <v>85</v>
      </c>
      <c r="J4271" s="3" t="n">
        <v>43</v>
      </c>
      <c r="K4271" s="3" t="n">
        <v>4642.2</v>
      </c>
      <c r="L4271" s="3" t="n">
        <v>199614.6</v>
      </c>
      <c r="M4271" s="3" t="n">
        <v>0.1852</v>
      </c>
      <c r="N4271" s="3" t="n">
        <v>36968.62</v>
      </c>
      <c r="O4271" s="3" t="n">
        <v>162645.98</v>
      </c>
      <c r="P4271" s="3" t="n">
        <v>135737.93</v>
      </c>
      <c r="Q4271" s="3" t="n">
        <v>26908.05</v>
      </c>
      <c r="R4271" s="3" t="n">
        <v>0.1654</v>
      </c>
      <c r="S4271" s="3" t="n">
        <v>0.1754</v>
      </c>
      <c r="T4271" s="3" t="n">
        <v>0.0098</v>
      </c>
    </row>
    <row r="4272" customFormat="false" ht="15" hidden="false" customHeight="true" outlineLevel="0" collapsed="false">
      <c r="A4272" s="3" t="s">
        <v>5437</v>
      </c>
      <c r="B4272" s="3" t="s">
        <v>2412</v>
      </c>
      <c r="C4272" s="3" t="s">
        <v>113</v>
      </c>
      <c r="D4272" s="3" t="s">
        <v>69</v>
      </c>
      <c r="E4272" s="3" t="s">
        <v>39</v>
      </c>
      <c r="F4272" s="3" t="s">
        <v>70</v>
      </c>
      <c r="G4272" s="3" t="s">
        <v>26</v>
      </c>
      <c r="H4272" s="3" t="s">
        <v>42</v>
      </c>
      <c r="I4272" s="3" t="s">
        <v>72</v>
      </c>
      <c r="J4272" s="3" t="n">
        <v>48</v>
      </c>
      <c r="K4272" s="3" t="n">
        <v>1192.77</v>
      </c>
      <c r="L4272" s="3" t="n">
        <v>57252.96</v>
      </c>
      <c r="M4272" s="3" t="n">
        <v>0.0354</v>
      </c>
      <c r="N4272" s="3" t="n">
        <v>2026.75</v>
      </c>
      <c r="O4272" s="3" t="n">
        <v>55226.21</v>
      </c>
      <c r="P4272" s="3" t="n">
        <v>31489.13</v>
      </c>
      <c r="Q4272" s="3" t="n">
        <v>23737.08</v>
      </c>
      <c r="R4272" s="3" t="n">
        <v>0.4298</v>
      </c>
      <c r="S4272" s="3" t="n">
        <v>0.03</v>
      </c>
      <c r="T4272" s="3" t="n">
        <v>0.0054</v>
      </c>
    </row>
    <row r="4273" customFormat="false" ht="15" hidden="false" customHeight="true" outlineLevel="0" collapsed="false">
      <c r="A4273" s="3" t="s">
        <v>5438</v>
      </c>
      <c r="B4273" s="3" t="s">
        <v>1647</v>
      </c>
      <c r="C4273" s="3" t="s">
        <v>93</v>
      </c>
      <c r="D4273" s="3" t="s">
        <v>54</v>
      </c>
      <c r="E4273" s="3" t="s">
        <v>24</v>
      </c>
      <c r="F4273" s="3" t="s">
        <v>40</v>
      </c>
      <c r="G4273" s="3" t="s">
        <v>26</v>
      </c>
      <c r="H4273" s="3" t="s">
        <v>42</v>
      </c>
      <c r="I4273" s="3" t="s">
        <v>43</v>
      </c>
      <c r="J4273" s="3" t="n">
        <v>45</v>
      </c>
      <c r="K4273" s="3" t="n">
        <v>2068.75</v>
      </c>
      <c r="L4273" s="3" t="n">
        <v>93093.75</v>
      </c>
      <c r="M4273" s="3" t="n">
        <v>0.0465</v>
      </c>
      <c r="N4273" s="3" t="n">
        <v>4328.86</v>
      </c>
      <c r="O4273" s="3" t="n">
        <v>88764.89</v>
      </c>
      <c r="P4273" s="3" t="n">
        <v>51201.56</v>
      </c>
      <c r="Q4273" s="3" t="n">
        <v>37563.33</v>
      </c>
      <c r="R4273" s="3" t="n">
        <v>0.4232</v>
      </c>
      <c r="S4273" s="3" t="n">
        <v>0.0488</v>
      </c>
      <c r="T4273" s="3" t="n">
        <v>-0.0023</v>
      </c>
    </row>
    <row r="4274" customFormat="false" ht="15" hidden="false" customHeight="true" outlineLevel="0" collapsed="false">
      <c r="A4274" s="3" t="s">
        <v>5439</v>
      </c>
      <c r="B4274" s="3" t="s">
        <v>268</v>
      </c>
      <c r="C4274" s="3" t="s">
        <v>93</v>
      </c>
      <c r="D4274" s="3" t="s">
        <v>38</v>
      </c>
      <c r="E4274" s="3" t="s">
        <v>39</v>
      </c>
      <c r="F4274" s="3" t="s">
        <v>40</v>
      </c>
      <c r="G4274" s="3" t="s">
        <v>26</v>
      </c>
      <c r="H4274" s="3" t="s">
        <v>42</v>
      </c>
      <c r="I4274" s="3" t="s">
        <v>43</v>
      </c>
      <c r="J4274" s="3" t="n">
        <v>24</v>
      </c>
      <c r="K4274" s="3" t="n">
        <v>1373.34</v>
      </c>
      <c r="L4274" s="3" t="n">
        <v>32960.16</v>
      </c>
      <c r="M4274" s="3" t="n">
        <v>0.0501</v>
      </c>
      <c r="N4274" s="3" t="n">
        <v>1651.3</v>
      </c>
      <c r="O4274" s="3" t="n">
        <v>31308.86</v>
      </c>
      <c r="P4274" s="3" t="n">
        <v>18128.09</v>
      </c>
      <c r="Q4274" s="3" t="n">
        <v>13180.77</v>
      </c>
      <c r="R4274" s="3" t="n">
        <v>0.421</v>
      </c>
      <c r="S4274" s="3" t="n">
        <v>0.0485</v>
      </c>
      <c r="T4274" s="3" t="n">
        <v>0.0016</v>
      </c>
    </row>
    <row r="4275" customFormat="false" ht="15" hidden="false" customHeight="true" outlineLevel="0" collapsed="false">
      <c r="A4275" s="3" t="s">
        <v>5440</v>
      </c>
      <c r="B4275" s="3" t="s">
        <v>2979</v>
      </c>
      <c r="C4275" s="3" t="s">
        <v>126</v>
      </c>
      <c r="D4275" s="3" t="s">
        <v>83</v>
      </c>
      <c r="E4275" s="3" t="s">
        <v>48</v>
      </c>
      <c r="F4275" s="3" t="s">
        <v>62</v>
      </c>
      <c r="G4275" s="3" t="s">
        <v>26</v>
      </c>
      <c r="H4275" s="3" t="s">
        <v>27</v>
      </c>
      <c r="I4275" s="3" t="s">
        <v>117</v>
      </c>
      <c r="J4275" s="3" t="n">
        <v>26</v>
      </c>
      <c r="K4275" s="3" t="n">
        <v>35459.95</v>
      </c>
      <c r="L4275" s="3" t="n">
        <v>921958.7</v>
      </c>
      <c r="M4275" s="3" t="n">
        <v>0.0465</v>
      </c>
      <c r="N4275" s="3" t="n">
        <v>42871.08</v>
      </c>
      <c r="O4275" s="3" t="n">
        <v>879087.62</v>
      </c>
      <c r="P4275" s="3" t="n">
        <v>571614.39</v>
      </c>
      <c r="Q4275" s="3" t="n">
        <v>307473.23</v>
      </c>
      <c r="R4275" s="3" t="n">
        <v>0.3498</v>
      </c>
      <c r="S4275" s="3" t="n">
        <v>0.049</v>
      </c>
      <c r="T4275" s="3" t="n">
        <v>-0.0025</v>
      </c>
    </row>
    <row r="4276" customFormat="false" ht="15" hidden="false" customHeight="true" outlineLevel="0" collapsed="false">
      <c r="A4276" s="3" t="s">
        <v>5441</v>
      </c>
      <c r="B4276" s="3" t="s">
        <v>2665</v>
      </c>
      <c r="C4276" s="3" t="s">
        <v>68</v>
      </c>
      <c r="D4276" s="3" t="s">
        <v>38</v>
      </c>
      <c r="E4276" s="3" t="s">
        <v>39</v>
      </c>
      <c r="F4276" s="3" t="s">
        <v>40</v>
      </c>
      <c r="G4276" s="3" t="s">
        <v>55</v>
      </c>
      <c r="H4276" s="3" t="s">
        <v>42</v>
      </c>
      <c r="I4276" s="3" t="s">
        <v>72</v>
      </c>
      <c r="J4276" s="3" t="n">
        <v>23</v>
      </c>
      <c r="K4276" s="3" t="n">
        <v>752.87</v>
      </c>
      <c r="L4276" s="3" t="n">
        <v>17316.01</v>
      </c>
      <c r="M4276" s="3" t="n">
        <v>0.038</v>
      </c>
      <c r="N4276" s="3" t="n">
        <v>658.01</v>
      </c>
      <c r="O4276" s="3" t="n">
        <v>16658</v>
      </c>
      <c r="P4276" s="3" t="n">
        <v>9523.81</v>
      </c>
      <c r="Q4276" s="3" t="n">
        <v>7134.19</v>
      </c>
      <c r="R4276" s="3" t="n">
        <v>0.4283</v>
      </c>
      <c r="S4276" s="3" t="n">
        <v>0.0331</v>
      </c>
      <c r="T4276" s="3" t="n">
        <v>0.0049</v>
      </c>
    </row>
    <row r="4277" customFormat="false" ht="15" hidden="false" customHeight="true" outlineLevel="0" collapsed="false">
      <c r="A4277" s="3" t="s">
        <v>5442</v>
      </c>
      <c r="B4277" s="3" t="s">
        <v>1731</v>
      </c>
      <c r="C4277" s="3" t="s">
        <v>93</v>
      </c>
      <c r="D4277" s="3" t="s">
        <v>107</v>
      </c>
      <c r="E4277" s="3" t="s">
        <v>33</v>
      </c>
      <c r="F4277" s="3" t="s">
        <v>70</v>
      </c>
      <c r="G4277" s="3" t="s">
        <v>26</v>
      </c>
      <c r="H4277" s="3" t="s">
        <v>64</v>
      </c>
      <c r="I4277" s="3" t="s">
        <v>65</v>
      </c>
      <c r="J4277" s="3" t="n">
        <v>8</v>
      </c>
      <c r="K4277" s="3" t="n">
        <v>3664.53</v>
      </c>
      <c r="L4277" s="3" t="n">
        <v>29316.24</v>
      </c>
      <c r="M4277" s="3" t="n">
        <v>0.0438</v>
      </c>
      <c r="N4277" s="3" t="n">
        <v>1284.05</v>
      </c>
      <c r="O4277" s="3" t="n">
        <v>28032.19</v>
      </c>
      <c r="P4277" s="3" t="n">
        <v>17003.42</v>
      </c>
      <c r="Q4277" s="3" t="n">
        <v>11028.77</v>
      </c>
      <c r="R4277" s="3" t="n">
        <v>0.3934</v>
      </c>
      <c r="S4277" s="3" t="n">
        <v>0.0409</v>
      </c>
      <c r="T4277" s="3" t="n">
        <v>0.0029</v>
      </c>
    </row>
    <row r="4278" customFormat="false" ht="15" hidden="false" customHeight="true" outlineLevel="0" collapsed="false">
      <c r="A4278" s="3" t="s">
        <v>5443</v>
      </c>
      <c r="B4278" s="3" t="s">
        <v>5408</v>
      </c>
      <c r="C4278" s="3" t="s">
        <v>37</v>
      </c>
      <c r="D4278" s="3" t="s">
        <v>47</v>
      </c>
      <c r="E4278" s="3" t="s">
        <v>48</v>
      </c>
      <c r="F4278" s="3" t="s">
        <v>25</v>
      </c>
      <c r="G4278" s="3" t="s">
        <v>116</v>
      </c>
      <c r="H4278" s="3" t="s">
        <v>42</v>
      </c>
      <c r="I4278" s="3" t="s">
        <v>72</v>
      </c>
      <c r="J4278" s="3" t="n">
        <v>47</v>
      </c>
      <c r="K4278" s="3" t="n">
        <v>1361.32</v>
      </c>
      <c r="L4278" s="3" t="n">
        <v>63982.04</v>
      </c>
      <c r="M4278" s="3" t="n">
        <v>0.1804</v>
      </c>
      <c r="N4278" s="3" t="n">
        <v>11542.36</v>
      </c>
      <c r="O4278" s="3" t="n">
        <v>52439.68</v>
      </c>
      <c r="P4278" s="3" t="n">
        <v>35190.12</v>
      </c>
      <c r="Q4278" s="3" t="n">
        <v>17249.56</v>
      </c>
      <c r="R4278" s="3" t="n">
        <v>0.3289</v>
      </c>
      <c r="S4278" s="3" t="n">
        <v>0.1518</v>
      </c>
      <c r="T4278" s="3" t="n">
        <v>0.0286</v>
      </c>
    </row>
    <row r="4279" customFormat="false" ht="15" hidden="false" customHeight="true" outlineLevel="0" collapsed="false">
      <c r="A4279" s="3" t="s">
        <v>5444</v>
      </c>
      <c r="B4279" s="3" t="s">
        <v>2255</v>
      </c>
      <c r="C4279" s="3" t="s">
        <v>156</v>
      </c>
      <c r="D4279" s="3" t="s">
        <v>75</v>
      </c>
      <c r="E4279" s="3" t="s">
        <v>39</v>
      </c>
      <c r="F4279" s="3" t="s">
        <v>25</v>
      </c>
      <c r="G4279" s="3" t="s">
        <v>116</v>
      </c>
      <c r="H4279" s="3" t="s">
        <v>64</v>
      </c>
      <c r="I4279" s="3" t="s">
        <v>90</v>
      </c>
      <c r="J4279" s="3" t="n">
        <v>42</v>
      </c>
      <c r="K4279" s="3" t="n">
        <v>10557.13</v>
      </c>
      <c r="L4279" s="3" t="n">
        <v>443399.46</v>
      </c>
      <c r="M4279" s="3" t="n">
        <v>0.1651</v>
      </c>
      <c r="N4279" s="3" t="n">
        <v>73205.25</v>
      </c>
      <c r="O4279" s="3" t="n">
        <v>370194.21</v>
      </c>
      <c r="P4279" s="3" t="n">
        <v>257171.69</v>
      </c>
      <c r="Q4279" s="3" t="n">
        <v>113022.52</v>
      </c>
      <c r="R4279" s="3" t="n">
        <v>0.3053</v>
      </c>
      <c r="S4279" s="3" t="n">
        <v>0.1761</v>
      </c>
      <c r="T4279" s="3" t="n">
        <v>-0.011</v>
      </c>
    </row>
    <row r="4280" customFormat="false" ht="15" hidden="false" customHeight="true" outlineLevel="0" collapsed="false">
      <c r="A4280" s="3" t="s">
        <v>5445</v>
      </c>
      <c r="B4280" s="3" t="s">
        <v>1887</v>
      </c>
      <c r="C4280" s="3" t="s">
        <v>53</v>
      </c>
      <c r="D4280" s="3" t="s">
        <v>75</v>
      </c>
      <c r="E4280" s="3" t="s">
        <v>39</v>
      </c>
      <c r="F4280" s="3" t="s">
        <v>25</v>
      </c>
      <c r="G4280" s="3" t="s">
        <v>100</v>
      </c>
      <c r="H4280" s="3" t="s">
        <v>56</v>
      </c>
      <c r="I4280" s="3" t="s">
        <v>57</v>
      </c>
      <c r="J4280" s="3" t="n">
        <v>38</v>
      </c>
      <c r="K4280" s="3" t="n">
        <v>15693.63</v>
      </c>
      <c r="L4280" s="3" t="n">
        <v>596357.94</v>
      </c>
      <c r="M4280" s="3" t="n">
        <v>0.1241</v>
      </c>
      <c r="N4280" s="3" t="n">
        <v>74008.02</v>
      </c>
      <c r="O4280" s="3" t="n">
        <v>522349.92</v>
      </c>
      <c r="P4280" s="3" t="n">
        <v>357814.76</v>
      </c>
      <c r="Q4280" s="3" t="n">
        <v>164535.16</v>
      </c>
      <c r="R4280" s="3" t="n">
        <v>0.315</v>
      </c>
      <c r="S4280" s="3" t="n">
        <v>0.1269</v>
      </c>
      <c r="T4280" s="3" t="n">
        <v>-0.0028</v>
      </c>
    </row>
    <row r="4281" customFormat="false" ht="15" hidden="false" customHeight="true" outlineLevel="0" collapsed="false">
      <c r="A4281" s="3" t="s">
        <v>5446</v>
      </c>
      <c r="B4281" s="3" t="s">
        <v>2787</v>
      </c>
      <c r="C4281" s="3" t="s">
        <v>53</v>
      </c>
      <c r="D4281" s="3" t="s">
        <v>103</v>
      </c>
      <c r="E4281" s="3" t="s">
        <v>24</v>
      </c>
      <c r="F4281" s="3" t="s">
        <v>62</v>
      </c>
      <c r="G4281" s="3" t="s">
        <v>63</v>
      </c>
      <c r="H4281" s="3" t="s">
        <v>77</v>
      </c>
      <c r="I4281" s="3" t="s">
        <v>78</v>
      </c>
      <c r="J4281" s="3" t="n">
        <v>5</v>
      </c>
      <c r="K4281" s="3" t="n">
        <v>5344.52</v>
      </c>
      <c r="L4281" s="3" t="n">
        <v>26722.6</v>
      </c>
      <c r="M4281" s="3" t="n">
        <v>0.0661</v>
      </c>
      <c r="N4281" s="3" t="n">
        <v>1766.36</v>
      </c>
      <c r="O4281" s="3" t="n">
        <v>24956.24</v>
      </c>
      <c r="P4281" s="3" t="n">
        <v>18171.37</v>
      </c>
      <c r="Q4281" s="3" t="n">
        <v>6784.87</v>
      </c>
      <c r="R4281" s="3" t="n">
        <v>0.2719</v>
      </c>
      <c r="S4281" s="3" t="n">
        <v>0.0711</v>
      </c>
      <c r="T4281" s="3" t="n">
        <v>-0.005</v>
      </c>
    </row>
    <row r="4282" customFormat="false" ht="15" hidden="false" customHeight="true" outlineLevel="0" collapsed="false">
      <c r="A4282" s="3" t="s">
        <v>5447</v>
      </c>
      <c r="B4282" s="3" t="s">
        <v>3636</v>
      </c>
      <c r="C4282" s="3" t="s">
        <v>156</v>
      </c>
      <c r="D4282" s="3" t="s">
        <v>107</v>
      </c>
      <c r="E4282" s="3" t="s">
        <v>33</v>
      </c>
      <c r="F4282" s="3" t="s">
        <v>70</v>
      </c>
      <c r="G4282" s="3" t="s">
        <v>71</v>
      </c>
      <c r="H4282" s="3" t="s">
        <v>77</v>
      </c>
      <c r="I4282" s="3" t="s">
        <v>78</v>
      </c>
      <c r="J4282" s="3" t="n">
        <v>50</v>
      </c>
      <c r="K4282" s="3" t="n">
        <v>2831.69</v>
      </c>
      <c r="L4282" s="3" t="n">
        <v>141584.5</v>
      </c>
      <c r="M4282" s="3" t="n">
        <v>0.0668</v>
      </c>
      <c r="N4282" s="3" t="n">
        <v>9457.84</v>
      </c>
      <c r="O4282" s="3" t="n">
        <v>132126.66</v>
      </c>
      <c r="P4282" s="3" t="n">
        <v>96277.46</v>
      </c>
      <c r="Q4282" s="3" t="n">
        <v>35849.2</v>
      </c>
      <c r="R4282" s="3" t="n">
        <v>0.2713</v>
      </c>
      <c r="S4282" s="3" t="n">
        <v>0.0676</v>
      </c>
      <c r="T4282" s="3" t="n">
        <v>-0.0008</v>
      </c>
    </row>
    <row r="4283" customFormat="false" ht="15" hidden="false" customHeight="true" outlineLevel="0" collapsed="false">
      <c r="A4283" s="3" t="s">
        <v>5448</v>
      </c>
      <c r="B4283" s="3" t="s">
        <v>413</v>
      </c>
      <c r="C4283" s="3" t="s">
        <v>68</v>
      </c>
      <c r="D4283" s="3" t="s">
        <v>38</v>
      </c>
      <c r="E4283" s="3" t="s">
        <v>39</v>
      </c>
      <c r="F4283" s="3" t="s">
        <v>40</v>
      </c>
      <c r="G4283" s="3" t="s">
        <v>55</v>
      </c>
      <c r="H4283" s="3" t="s">
        <v>27</v>
      </c>
      <c r="I4283" s="3" t="s">
        <v>50</v>
      </c>
      <c r="J4283" s="3" t="n">
        <v>26</v>
      </c>
      <c r="K4283" s="3" t="n">
        <v>19093.72</v>
      </c>
      <c r="L4283" s="3" t="n">
        <v>496436.72</v>
      </c>
      <c r="M4283" s="3" t="n">
        <v>0.0672</v>
      </c>
      <c r="N4283" s="3" t="n">
        <v>33360.55</v>
      </c>
      <c r="O4283" s="3" t="n">
        <v>463076.17</v>
      </c>
      <c r="P4283" s="3" t="n">
        <v>307790.77</v>
      </c>
      <c r="Q4283" s="3" t="n">
        <v>155285.4</v>
      </c>
      <c r="R4283" s="3" t="n">
        <v>0.3353</v>
      </c>
      <c r="S4283" s="3" t="n">
        <v>0.0576</v>
      </c>
      <c r="T4283" s="3" t="n">
        <v>0.0096</v>
      </c>
    </row>
    <row r="4284" customFormat="false" ht="15" hidden="false" customHeight="true" outlineLevel="0" collapsed="false">
      <c r="A4284" s="3" t="s">
        <v>5449</v>
      </c>
      <c r="B4284" s="3" t="s">
        <v>1738</v>
      </c>
      <c r="C4284" s="3" t="s">
        <v>113</v>
      </c>
      <c r="D4284" s="3" t="s">
        <v>69</v>
      </c>
      <c r="E4284" s="3" t="s">
        <v>39</v>
      </c>
      <c r="F4284" s="3" t="s">
        <v>70</v>
      </c>
      <c r="G4284" s="3" t="s">
        <v>71</v>
      </c>
      <c r="H4284" s="3" t="s">
        <v>56</v>
      </c>
      <c r="I4284" s="3" t="s">
        <v>121</v>
      </c>
      <c r="J4284" s="3" t="n">
        <v>49</v>
      </c>
      <c r="K4284" s="3" t="n">
        <v>17567.58</v>
      </c>
      <c r="L4284" s="3" t="n">
        <v>860811.42</v>
      </c>
      <c r="M4284" s="3" t="n">
        <v>0.0482</v>
      </c>
      <c r="N4284" s="3" t="n">
        <v>41491.11</v>
      </c>
      <c r="O4284" s="3" t="n">
        <v>819320.31</v>
      </c>
      <c r="P4284" s="3" t="n">
        <v>516486.85</v>
      </c>
      <c r="Q4284" s="3" t="n">
        <v>302833.46</v>
      </c>
      <c r="R4284" s="3" t="n">
        <v>0.3696</v>
      </c>
      <c r="S4284" s="3" t="n">
        <v>0.0441</v>
      </c>
      <c r="T4284" s="3" t="n">
        <v>0.0041</v>
      </c>
    </row>
    <row r="4285" customFormat="false" ht="15" hidden="false" customHeight="true" outlineLevel="0" collapsed="false">
      <c r="A4285" s="3" t="s">
        <v>5450</v>
      </c>
      <c r="B4285" s="3" t="s">
        <v>1837</v>
      </c>
      <c r="C4285" s="3" t="s">
        <v>120</v>
      </c>
      <c r="D4285" s="3" t="s">
        <v>32</v>
      </c>
      <c r="E4285" s="3" t="s">
        <v>33</v>
      </c>
      <c r="F4285" s="3" t="s">
        <v>25</v>
      </c>
      <c r="G4285" s="3" t="s">
        <v>76</v>
      </c>
      <c r="H4285" s="3" t="s">
        <v>27</v>
      </c>
      <c r="I4285" s="3" t="s">
        <v>94</v>
      </c>
      <c r="J4285" s="3" t="n">
        <v>41</v>
      </c>
      <c r="K4285" s="3" t="n">
        <v>10782.73</v>
      </c>
      <c r="L4285" s="3" t="n">
        <v>442091.93</v>
      </c>
      <c r="M4285" s="3" t="n">
        <v>0.1262</v>
      </c>
      <c r="N4285" s="3" t="n">
        <v>55792</v>
      </c>
      <c r="O4285" s="3" t="n">
        <v>386299.93</v>
      </c>
      <c r="P4285" s="3" t="n">
        <v>274097</v>
      </c>
      <c r="Q4285" s="3" t="n">
        <v>112202.93</v>
      </c>
      <c r="R4285" s="3" t="n">
        <v>0.2905</v>
      </c>
      <c r="S4285" s="3" t="n">
        <v>0.1222</v>
      </c>
      <c r="T4285" s="3" t="n">
        <v>0.004</v>
      </c>
    </row>
    <row r="4286" customFormat="false" ht="15" hidden="false" customHeight="true" outlineLevel="0" collapsed="false">
      <c r="A4286" s="3" t="s">
        <v>5451</v>
      </c>
      <c r="B4286" s="3" t="s">
        <v>435</v>
      </c>
      <c r="C4286" s="3" t="s">
        <v>31</v>
      </c>
      <c r="D4286" s="3" t="s">
        <v>103</v>
      </c>
      <c r="E4286" s="3" t="s">
        <v>24</v>
      </c>
      <c r="F4286" s="3" t="s">
        <v>62</v>
      </c>
      <c r="G4286" s="3" t="s">
        <v>104</v>
      </c>
      <c r="H4286" s="3" t="s">
        <v>64</v>
      </c>
      <c r="I4286" s="3" t="s">
        <v>90</v>
      </c>
      <c r="J4286" s="3" t="n">
        <v>32</v>
      </c>
      <c r="K4286" s="3" t="n">
        <v>9349.26</v>
      </c>
      <c r="L4286" s="3" t="n">
        <v>299176.32</v>
      </c>
      <c r="M4286" s="3" t="n">
        <v>0.1166</v>
      </c>
      <c r="N4286" s="3" t="n">
        <v>34883.96</v>
      </c>
      <c r="O4286" s="3" t="n">
        <v>264292.36</v>
      </c>
      <c r="P4286" s="3" t="n">
        <v>173522.27</v>
      </c>
      <c r="Q4286" s="3" t="n">
        <v>90770.09</v>
      </c>
      <c r="R4286" s="3" t="n">
        <v>0.3434</v>
      </c>
      <c r="S4286" s="3" t="n">
        <v>0.098</v>
      </c>
      <c r="T4286" s="3" t="n">
        <v>0.0186</v>
      </c>
    </row>
    <row r="4287" customFormat="false" ht="15" hidden="false" customHeight="true" outlineLevel="0" collapsed="false">
      <c r="A4287" s="3" t="s">
        <v>5452</v>
      </c>
      <c r="B4287" s="3" t="s">
        <v>1057</v>
      </c>
      <c r="C4287" s="3" t="s">
        <v>22</v>
      </c>
      <c r="D4287" s="3" t="s">
        <v>23</v>
      </c>
      <c r="E4287" s="3" t="s">
        <v>24</v>
      </c>
      <c r="F4287" s="3" t="s">
        <v>25</v>
      </c>
      <c r="G4287" s="3" t="s">
        <v>34</v>
      </c>
      <c r="H4287" s="3" t="s">
        <v>64</v>
      </c>
      <c r="I4287" s="3" t="s">
        <v>65</v>
      </c>
      <c r="J4287" s="3" t="n">
        <v>46</v>
      </c>
      <c r="K4287" s="3" t="n">
        <v>11337.75</v>
      </c>
      <c r="L4287" s="3" t="n">
        <v>521536.5</v>
      </c>
      <c r="M4287" s="3" t="n">
        <v>0.1799</v>
      </c>
      <c r="N4287" s="3" t="n">
        <v>93824.42</v>
      </c>
      <c r="O4287" s="3" t="n">
        <v>427712.08</v>
      </c>
      <c r="P4287" s="3" t="n">
        <v>302491.17</v>
      </c>
      <c r="Q4287" s="3" t="n">
        <v>125220.91</v>
      </c>
      <c r="R4287" s="3" t="n">
        <v>0.2928</v>
      </c>
      <c r="S4287" s="3" t="n">
        <v>0.1525</v>
      </c>
      <c r="T4287" s="3" t="n">
        <v>0.0274</v>
      </c>
    </row>
    <row r="4288" customFormat="false" ht="15" hidden="false" customHeight="true" outlineLevel="0" collapsed="false">
      <c r="A4288" s="3" t="s">
        <v>5453</v>
      </c>
      <c r="B4288" s="3" t="s">
        <v>1069</v>
      </c>
      <c r="C4288" s="3" t="s">
        <v>31</v>
      </c>
      <c r="D4288" s="3" t="s">
        <v>38</v>
      </c>
      <c r="E4288" s="3" t="s">
        <v>39</v>
      </c>
      <c r="F4288" s="3" t="s">
        <v>40</v>
      </c>
      <c r="G4288" s="3" t="s">
        <v>63</v>
      </c>
      <c r="H4288" s="3" t="s">
        <v>56</v>
      </c>
      <c r="I4288" s="3" t="s">
        <v>57</v>
      </c>
      <c r="J4288" s="3" t="n">
        <v>28</v>
      </c>
      <c r="K4288" s="3" t="n">
        <v>15638.83</v>
      </c>
      <c r="L4288" s="3" t="n">
        <v>437887.24</v>
      </c>
      <c r="M4288" s="3" t="n">
        <v>0.0789</v>
      </c>
      <c r="N4288" s="3" t="n">
        <v>34549.3</v>
      </c>
      <c r="O4288" s="3" t="n">
        <v>403337.94</v>
      </c>
      <c r="P4288" s="3" t="n">
        <v>262732.34</v>
      </c>
      <c r="Q4288" s="3" t="n">
        <v>140605.6</v>
      </c>
      <c r="R4288" s="3" t="n">
        <v>0.3486</v>
      </c>
      <c r="S4288" s="3" t="n">
        <v>0.067</v>
      </c>
      <c r="T4288" s="3" t="n">
        <v>0.0119</v>
      </c>
    </row>
    <row r="4289" customFormat="false" ht="15" hidden="false" customHeight="true" outlineLevel="0" collapsed="false">
      <c r="A4289" s="3" t="s">
        <v>5454</v>
      </c>
      <c r="B4289" s="3" t="s">
        <v>2230</v>
      </c>
      <c r="C4289" s="3" t="s">
        <v>31</v>
      </c>
      <c r="D4289" s="3" t="s">
        <v>32</v>
      </c>
      <c r="E4289" s="3" t="s">
        <v>33</v>
      </c>
      <c r="F4289" s="3" t="s">
        <v>25</v>
      </c>
      <c r="G4289" s="3" t="s">
        <v>34</v>
      </c>
      <c r="H4289" s="3" t="s">
        <v>64</v>
      </c>
      <c r="I4289" s="3" t="s">
        <v>90</v>
      </c>
      <c r="J4289" s="3" t="n">
        <v>17</v>
      </c>
      <c r="K4289" s="3" t="n">
        <v>5657.14</v>
      </c>
      <c r="L4289" s="3" t="n">
        <v>96171.38</v>
      </c>
      <c r="M4289" s="3" t="n">
        <v>0.2091</v>
      </c>
      <c r="N4289" s="3" t="n">
        <v>20109.44</v>
      </c>
      <c r="O4289" s="3" t="n">
        <v>76061.94</v>
      </c>
      <c r="P4289" s="3" t="n">
        <v>55779.4</v>
      </c>
      <c r="Q4289" s="3" t="n">
        <v>20282.54</v>
      </c>
      <c r="R4289" s="3" t="n">
        <v>0.2667</v>
      </c>
      <c r="S4289" s="3" t="n">
        <v>0.1976</v>
      </c>
      <c r="T4289" s="3" t="n">
        <v>0.0115</v>
      </c>
    </row>
    <row r="4290" customFormat="false" ht="15" hidden="false" customHeight="true" outlineLevel="0" collapsed="false">
      <c r="A4290" s="3" t="s">
        <v>5455</v>
      </c>
      <c r="B4290" s="3" t="s">
        <v>1180</v>
      </c>
      <c r="C4290" s="3" t="s">
        <v>37</v>
      </c>
      <c r="D4290" s="3" t="s">
        <v>83</v>
      </c>
      <c r="E4290" s="3" t="s">
        <v>48</v>
      </c>
      <c r="F4290" s="3" t="s">
        <v>62</v>
      </c>
      <c r="G4290" s="3" t="s">
        <v>71</v>
      </c>
      <c r="H4290" s="3" t="s">
        <v>27</v>
      </c>
      <c r="I4290" s="3" t="s">
        <v>94</v>
      </c>
      <c r="J4290" s="3" t="n">
        <v>23</v>
      </c>
      <c r="K4290" s="3" t="n">
        <v>30288.62</v>
      </c>
      <c r="L4290" s="3" t="n">
        <v>696638.26</v>
      </c>
      <c r="M4290" s="3" t="n">
        <v>0.0503</v>
      </c>
      <c r="N4290" s="3" t="n">
        <v>35040.9</v>
      </c>
      <c r="O4290" s="3" t="n">
        <v>661597.36</v>
      </c>
      <c r="P4290" s="3" t="n">
        <v>431915.72</v>
      </c>
      <c r="Q4290" s="3" t="n">
        <v>229681.64</v>
      </c>
      <c r="R4290" s="3" t="n">
        <v>0.3472</v>
      </c>
      <c r="S4290" s="3" t="n">
        <v>0.0476</v>
      </c>
      <c r="T4290" s="3" t="n">
        <v>0.0027</v>
      </c>
    </row>
    <row r="4291" customFormat="false" ht="15" hidden="false" customHeight="true" outlineLevel="0" collapsed="false">
      <c r="A4291" s="3" t="s">
        <v>5456</v>
      </c>
      <c r="B4291" s="3" t="s">
        <v>382</v>
      </c>
      <c r="C4291" s="3" t="s">
        <v>93</v>
      </c>
      <c r="D4291" s="3" t="s">
        <v>54</v>
      </c>
      <c r="E4291" s="3" t="s">
        <v>24</v>
      </c>
      <c r="F4291" s="3" t="s">
        <v>40</v>
      </c>
      <c r="G4291" s="3" t="s">
        <v>84</v>
      </c>
      <c r="H4291" s="3" t="s">
        <v>64</v>
      </c>
      <c r="I4291" s="3" t="s">
        <v>90</v>
      </c>
      <c r="J4291" s="3" t="n">
        <v>21</v>
      </c>
      <c r="K4291" s="3" t="n">
        <v>7304.85</v>
      </c>
      <c r="L4291" s="3" t="n">
        <v>153401.85</v>
      </c>
      <c r="M4291" s="3" t="n">
        <v>0.043</v>
      </c>
      <c r="N4291" s="3" t="n">
        <v>6596.28</v>
      </c>
      <c r="O4291" s="3" t="n">
        <v>146805.57</v>
      </c>
      <c r="P4291" s="3" t="n">
        <v>88973.07</v>
      </c>
      <c r="Q4291" s="3" t="n">
        <v>57832.5</v>
      </c>
      <c r="R4291" s="3" t="n">
        <v>0.3939</v>
      </c>
      <c r="S4291" s="3" t="n">
        <v>0.037</v>
      </c>
      <c r="T4291" s="3" t="n">
        <v>0.006</v>
      </c>
    </row>
    <row r="4292" customFormat="false" ht="15" hidden="false" customHeight="true" outlineLevel="0" collapsed="false">
      <c r="A4292" s="3" t="s">
        <v>5457</v>
      </c>
      <c r="B4292" s="3" t="s">
        <v>1566</v>
      </c>
      <c r="C4292" s="3" t="s">
        <v>37</v>
      </c>
      <c r="D4292" s="3" t="s">
        <v>69</v>
      </c>
      <c r="E4292" s="3" t="s">
        <v>39</v>
      </c>
      <c r="F4292" s="3" t="s">
        <v>70</v>
      </c>
      <c r="G4292" s="3" t="s">
        <v>76</v>
      </c>
      <c r="H4292" s="3" t="s">
        <v>27</v>
      </c>
      <c r="I4292" s="3" t="s">
        <v>173</v>
      </c>
      <c r="J4292" s="3" t="n">
        <v>1</v>
      </c>
      <c r="K4292" s="3" t="n">
        <v>31225.7</v>
      </c>
      <c r="L4292" s="3" t="n">
        <v>31225.7</v>
      </c>
      <c r="M4292" s="3" t="n">
        <v>0.0595</v>
      </c>
      <c r="N4292" s="3" t="n">
        <v>1857.93</v>
      </c>
      <c r="O4292" s="3" t="n">
        <v>29367.77</v>
      </c>
      <c r="P4292" s="3" t="n">
        <v>19359.93</v>
      </c>
      <c r="Q4292" s="3" t="n">
        <v>10007.84</v>
      </c>
      <c r="R4292" s="3" t="n">
        <v>0.3408</v>
      </c>
      <c r="S4292" s="3" t="n">
        <v>0.0524</v>
      </c>
      <c r="T4292" s="3" t="n">
        <v>0.0071</v>
      </c>
    </row>
    <row r="4293" customFormat="false" ht="15" hidden="false" customHeight="true" outlineLevel="0" collapsed="false">
      <c r="A4293" s="3" t="s">
        <v>5458</v>
      </c>
      <c r="B4293" s="3" t="s">
        <v>1150</v>
      </c>
      <c r="C4293" s="3" t="s">
        <v>37</v>
      </c>
      <c r="D4293" s="3" t="s">
        <v>47</v>
      </c>
      <c r="E4293" s="3" t="s">
        <v>48</v>
      </c>
      <c r="F4293" s="3" t="s">
        <v>25</v>
      </c>
      <c r="G4293" s="3" t="s">
        <v>100</v>
      </c>
      <c r="H4293" s="3" t="s">
        <v>56</v>
      </c>
      <c r="I4293" s="3" t="s">
        <v>121</v>
      </c>
      <c r="J4293" s="3" t="n">
        <v>16</v>
      </c>
      <c r="K4293" s="3" t="n">
        <v>9922.47</v>
      </c>
      <c r="L4293" s="3" t="n">
        <v>158759.52</v>
      </c>
      <c r="M4293" s="3" t="n">
        <v>0.1099</v>
      </c>
      <c r="N4293" s="3" t="n">
        <v>17447.67</v>
      </c>
      <c r="O4293" s="3" t="n">
        <v>141311.85</v>
      </c>
      <c r="P4293" s="3" t="n">
        <v>95255.71</v>
      </c>
      <c r="Q4293" s="3" t="n">
        <v>46056.14</v>
      </c>
      <c r="R4293" s="3" t="n">
        <v>0.3259</v>
      </c>
      <c r="S4293" s="3" t="n">
        <v>0.105</v>
      </c>
      <c r="T4293" s="3" t="n">
        <v>0.0049</v>
      </c>
    </row>
    <row r="4294" customFormat="false" ht="15" hidden="false" customHeight="true" outlineLevel="0" collapsed="false">
      <c r="A4294" s="3" t="s">
        <v>5459</v>
      </c>
      <c r="B4294" s="3" t="s">
        <v>1664</v>
      </c>
      <c r="C4294" s="3" t="s">
        <v>60</v>
      </c>
      <c r="D4294" s="3" t="s">
        <v>107</v>
      </c>
      <c r="E4294" s="3" t="s">
        <v>33</v>
      </c>
      <c r="F4294" s="3" t="s">
        <v>70</v>
      </c>
      <c r="G4294" s="3" t="s">
        <v>116</v>
      </c>
      <c r="H4294" s="3" t="s">
        <v>77</v>
      </c>
      <c r="I4294" s="3" t="s">
        <v>85</v>
      </c>
      <c r="J4294" s="3" t="n">
        <v>11</v>
      </c>
      <c r="K4294" s="3" t="n">
        <v>1479.04</v>
      </c>
      <c r="L4294" s="3" t="n">
        <v>16269.44</v>
      </c>
      <c r="M4294" s="3" t="n">
        <v>0.1058</v>
      </c>
      <c r="N4294" s="3" t="n">
        <v>1721.31</v>
      </c>
      <c r="O4294" s="3" t="n">
        <v>14548.13</v>
      </c>
      <c r="P4294" s="3" t="n">
        <v>11063.22</v>
      </c>
      <c r="Q4294" s="3" t="n">
        <v>3484.91</v>
      </c>
      <c r="R4294" s="3" t="n">
        <v>0.2395</v>
      </c>
      <c r="S4294" s="3" t="n">
        <v>0.1153</v>
      </c>
      <c r="T4294" s="3" t="n">
        <v>-0.0095</v>
      </c>
    </row>
    <row r="4295" customFormat="false" ht="15" hidden="false" customHeight="true" outlineLevel="0" collapsed="false">
      <c r="A4295" s="3" t="s">
        <v>5460</v>
      </c>
      <c r="B4295" s="3" t="s">
        <v>2865</v>
      </c>
      <c r="C4295" s="3" t="s">
        <v>37</v>
      </c>
      <c r="D4295" s="3" t="s">
        <v>75</v>
      </c>
      <c r="E4295" s="3" t="s">
        <v>39</v>
      </c>
      <c r="F4295" s="3" t="s">
        <v>25</v>
      </c>
      <c r="G4295" s="3" t="s">
        <v>41</v>
      </c>
      <c r="H4295" s="3" t="s">
        <v>77</v>
      </c>
      <c r="I4295" s="3" t="s">
        <v>78</v>
      </c>
      <c r="J4295" s="3" t="n">
        <v>32</v>
      </c>
      <c r="K4295" s="3" t="n">
        <v>2717.94</v>
      </c>
      <c r="L4295" s="3" t="n">
        <v>86974.08</v>
      </c>
      <c r="M4295" s="3" t="n">
        <v>0.2279</v>
      </c>
      <c r="N4295" s="3" t="n">
        <v>19821.39</v>
      </c>
      <c r="O4295" s="3" t="n">
        <v>67152.69</v>
      </c>
      <c r="P4295" s="3" t="n">
        <v>59142.37</v>
      </c>
      <c r="Q4295" s="3" t="n">
        <v>8010.32</v>
      </c>
      <c r="R4295" s="3" t="n">
        <v>0.1193</v>
      </c>
      <c r="S4295" s="3" t="n">
        <v>0.2176</v>
      </c>
      <c r="T4295" s="3" t="n">
        <v>0.0103</v>
      </c>
    </row>
    <row r="4296" customFormat="false" ht="15" hidden="false" customHeight="true" outlineLevel="0" collapsed="false">
      <c r="A4296" s="3" t="s">
        <v>5461</v>
      </c>
      <c r="B4296" s="3" t="s">
        <v>1731</v>
      </c>
      <c r="C4296" s="3" t="s">
        <v>93</v>
      </c>
      <c r="D4296" s="3" t="s">
        <v>54</v>
      </c>
      <c r="E4296" s="3" t="s">
        <v>24</v>
      </c>
      <c r="F4296" s="3" t="s">
        <v>40</v>
      </c>
      <c r="G4296" s="3" t="s">
        <v>76</v>
      </c>
      <c r="H4296" s="3" t="s">
        <v>27</v>
      </c>
      <c r="I4296" s="3" t="s">
        <v>28</v>
      </c>
      <c r="J4296" s="3" t="n">
        <v>21</v>
      </c>
      <c r="K4296" s="3" t="n">
        <v>20355.37</v>
      </c>
      <c r="L4296" s="3" t="n">
        <v>427462.77</v>
      </c>
      <c r="M4296" s="3" t="n">
        <v>0.0604</v>
      </c>
      <c r="N4296" s="3" t="n">
        <v>25818.75</v>
      </c>
      <c r="O4296" s="3" t="n">
        <v>401644.02</v>
      </c>
      <c r="P4296" s="3" t="n">
        <v>265026.92</v>
      </c>
      <c r="Q4296" s="3" t="n">
        <v>136617.1</v>
      </c>
      <c r="R4296" s="3" t="n">
        <v>0.3401</v>
      </c>
      <c r="S4296" s="3" t="n">
        <v>0.0623</v>
      </c>
      <c r="T4296" s="3" t="n">
        <v>-0.0019</v>
      </c>
    </row>
    <row r="4297" customFormat="false" ht="15" hidden="false" customHeight="true" outlineLevel="0" collapsed="false">
      <c r="A4297" s="3" t="s">
        <v>5462</v>
      </c>
      <c r="B4297" s="3" t="s">
        <v>874</v>
      </c>
      <c r="C4297" s="3" t="s">
        <v>113</v>
      </c>
      <c r="D4297" s="3" t="s">
        <v>32</v>
      </c>
      <c r="E4297" s="3" t="s">
        <v>33</v>
      </c>
      <c r="F4297" s="3" t="s">
        <v>25</v>
      </c>
      <c r="G4297" s="3" t="s">
        <v>116</v>
      </c>
      <c r="H4297" s="3" t="s">
        <v>27</v>
      </c>
      <c r="I4297" s="3" t="s">
        <v>28</v>
      </c>
      <c r="J4297" s="3" t="n">
        <v>43</v>
      </c>
      <c r="K4297" s="3" t="n">
        <v>37323.68</v>
      </c>
      <c r="L4297" s="3" t="n">
        <v>1604918.24</v>
      </c>
      <c r="M4297" s="3" t="n">
        <v>0.1653</v>
      </c>
      <c r="N4297" s="3" t="n">
        <v>265292.99</v>
      </c>
      <c r="O4297" s="3" t="n">
        <v>1339625.25</v>
      </c>
      <c r="P4297" s="3" t="n">
        <v>995049.31</v>
      </c>
      <c r="Q4297" s="3" t="n">
        <v>344575.94</v>
      </c>
      <c r="R4297" s="3" t="n">
        <v>0.2572</v>
      </c>
      <c r="S4297" s="3" t="n">
        <v>0.158</v>
      </c>
      <c r="T4297" s="3" t="n">
        <v>0.0073</v>
      </c>
    </row>
    <row r="4298" customFormat="false" ht="15" hidden="false" customHeight="true" outlineLevel="0" collapsed="false">
      <c r="A4298" s="3" t="s">
        <v>5463</v>
      </c>
      <c r="B4298" s="3" t="s">
        <v>3205</v>
      </c>
      <c r="C4298" s="3" t="s">
        <v>126</v>
      </c>
      <c r="D4298" s="3" t="s">
        <v>103</v>
      </c>
      <c r="E4298" s="3" t="s">
        <v>24</v>
      </c>
      <c r="F4298" s="3" t="s">
        <v>62</v>
      </c>
      <c r="G4298" s="3" t="s">
        <v>84</v>
      </c>
      <c r="H4298" s="3" t="s">
        <v>42</v>
      </c>
      <c r="I4298" s="3" t="s">
        <v>134</v>
      </c>
      <c r="J4298" s="3" t="n">
        <v>46</v>
      </c>
      <c r="K4298" s="3" t="n">
        <v>3711.86</v>
      </c>
      <c r="L4298" s="3" t="n">
        <v>170745.56</v>
      </c>
      <c r="M4298" s="3" t="n">
        <v>0.0416</v>
      </c>
      <c r="N4298" s="3" t="n">
        <v>7103.02</v>
      </c>
      <c r="O4298" s="3" t="n">
        <v>163642.54</v>
      </c>
      <c r="P4298" s="3" t="n">
        <v>93910.06</v>
      </c>
      <c r="Q4298" s="3" t="n">
        <v>69732.48</v>
      </c>
      <c r="R4298" s="3" t="n">
        <v>0.4261</v>
      </c>
      <c r="S4298" s="3" t="n">
        <v>0.0424</v>
      </c>
      <c r="T4298" s="3" t="n">
        <v>-0.0008</v>
      </c>
    </row>
    <row r="4299" customFormat="false" ht="15" hidden="false" customHeight="true" outlineLevel="0" collapsed="false">
      <c r="A4299" s="3" t="s">
        <v>5464</v>
      </c>
      <c r="B4299" s="3" t="s">
        <v>995</v>
      </c>
      <c r="C4299" s="3" t="s">
        <v>156</v>
      </c>
      <c r="D4299" s="3" t="s">
        <v>54</v>
      </c>
      <c r="E4299" s="3" t="s">
        <v>24</v>
      </c>
      <c r="F4299" s="3" t="s">
        <v>40</v>
      </c>
      <c r="G4299" s="3" t="s">
        <v>55</v>
      </c>
      <c r="H4299" s="3" t="s">
        <v>64</v>
      </c>
      <c r="I4299" s="3" t="s">
        <v>90</v>
      </c>
      <c r="J4299" s="3" t="n">
        <v>37</v>
      </c>
      <c r="K4299" s="3" t="n">
        <v>5087.79</v>
      </c>
      <c r="L4299" s="3" t="n">
        <v>188248.23</v>
      </c>
      <c r="M4299" s="3" t="n">
        <v>0.0618</v>
      </c>
      <c r="N4299" s="3" t="n">
        <v>11633.74</v>
      </c>
      <c r="O4299" s="3" t="n">
        <v>176614.49</v>
      </c>
      <c r="P4299" s="3" t="n">
        <v>109183.97</v>
      </c>
      <c r="Q4299" s="3" t="n">
        <v>67430.52</v>
      </c>
      <c r="R4299" s="3" t="n">
        <v>0.3818</v>
      </c>
      <c r="S4299" s="3" t="n">
        <v>0.0597</v>
      </c>
      <c r="T4299" s="3" t="n">
        <v>0.0021</v>
      </c>
    </row>
    <row r="4300" customFormat="false" ht="15" hidden="false" customHeight="true" outlineLevel="0" collapsed="false">
      <c r="A4300" s="3" t="s">
        <v>5465</v>
      </c>
      <c r="B4300" s="3" t="s">
        <v>418</v>
      </c>
      <c r="C4300" s="3" t="s">
        <v>22</v>
      </c>
      <c r="D4300" s="3" t="s">
        <v>54</v>
      </c>
      <c r="E4300" s="3" t="s">
        <v>24</v>
      </c>
      <c r="F4300" s="3" t="s">
        <v>40</v>
      </c>
      <c r="G4300" s="3" t="s">
        <v>116</v>
      </c>
      <c r="H4300" s="3" t="s">
        <v>27</v>
      </c>
      <c r="I4300" s="3" t="s">
        <v>117</v>
      </c>
      <c r="J4300" s="3" t="n">
        <v>21</v>
      </c>
      <c r="K4300" s="3" t="n">
        <v>26380.07</v>
      </c>
      <c r="L4300" s="3" t="n">
        <v>553981.47</v>
      </c>
      <c r="M4300" s="3" t="n">
        <v>0.1124</v>
      </c>
      <c r="N4300" s="3" t="n">
        <v>62267.52</v>
      </c>
      <c r="O4300" s="3" t="n">
        <v>491713.95</v>
      </c>
      <c r="P4300" s="3" t="n">
        <v>343468.51</v>
      </c>
      <c r="Q4300" s="3" t="n">
        <v>148245.44</v>
      </c>
      <c r="R4300" s="3" t="n">
        <v>0.3015</v>
      </c>
      <c r="S4300" s="3" t="n">
        <v>0.1076</v>
      </c>
      <c r="T4300" s="3" t="n">
        <v>0.0048</v>
      </c>
    </row>
    <row r="4301" customFormat="false" ht="15" hidden="false" customHeight="true" outlineLevel="0" collapsed="false">
      <c r="A4301" s="3" t="s">
        <v>5466</v>
      </c>
      <c r="B4301" s="3" t="s">
        <v>977</v>
      </c>
      <c r="C4301" s="3" t="s">
        <v>60</v>
      </c>
      <c r="D4301" s="3" t="s">
        <v>75</v>
      </c>
      <c r="E4301" s="3" t="s">
        <v>39</v>
      </c>
      <c r="F4301" s="3" t="s">
        <v>25</v>
      </c>
      <c r="G4301" s="3" t="s">
        <v>104</v>
      </c>
      <c r="H4301" s="3" t="s">
        <v>27</v>
      </c>
      <c r="I4301" s="3" t="s">
        <v>117</v>
      </c>
      <c r="J4301" s="3" t="n">
        <v>9</v>
      </c>
      <c r="K4301" s="3" t="n">
        <v>19204.89</v>
      </c>
      <c r="L4301" s="3" t="n">
        <v>172844.01</v>
      </c>
      <c r="M4301" s="3" t="n">
        <v>0.1901</v>
      </c>
      <c r="N4301" s="3" t="n">
        <v>32857.65</v>
      </c>
      <c r="O4301" s="3" t="n">
        <v>139986.36</v>
      </c>
      <c r="P4301" s="3" t="n">
        <v>107163.29</v>
      </c>
      <c r="Q4301" s="3" t="n">
        <v>32823.07</v>
      </c>
      <c r="R4301" s="3" t="n">
        <v>0.2345</v>
      </c>
      <c r="S4301" s="3" t="n">
        <v>0.1725</v>
      </c>
      <c r="T4301" s="3" t="n">
        <v>0.0176</v>
      </c>
    </row>
    <row r="4302" customFormat="false" ht="15" hidden="false" customHeight="true" outlineLevel="0" collapsed="false">
      <c r="A4302" s="3" t="s">
        <v>5467</v>
      </c>
      <c r="B4302" s="3" t="s">
        <v>1699</v>
      </c>
      <c r="C4302" s="3" t="s">
        <v>126</v>
      </c>
      <c r="D4302" s="3" t="s">
        <v>61</v>
      </c>
      <c r="E4302" s="3" t="s">
        <v>33</v>
      </c>
      <c r="F4302" s="3" t="s">
        <v>62</v>
      </c>
      <c r="G4302" s="3" t="s">
        <v>55</v>
      </c>
      <c r="H4302" s="3" t="s">
        <v>27</v>
      </c>
      <c r="I4302" s="3" t="s">
        <v>28</v>
      </c>
      <c r="J4302" s="3" t="n">
        <v>13</v>
      </c>
      <c r="K4302" s="3" t="n">
        <v>28998.9</v>
      </c>
      <c r="L4302" s="3" t="n">
        <v>376985.7</v>
      </c>
      <c r="M4302" s="3" t="n">
        <v>0.0678</v>
      </c>
      <c r="N4302" s="3" t="n">
        <v>25559.63</v>
      </c>
      <c r="O4302" s="3" t="n">
        <v>351426.07</v>
      </c>
      <c r="P4302" s="3" t="n">
        <v>233731.13</v>
      </c>
      <c r="Q4302" s="3" t="n">
        <v>117694.94</v>
      </c>
      <c r="R4302" s="3" t="n">
        <v>0.3349</v>
      </c>
      <c r="S4302" s="3" t="n">
        <v>0.0717</v>
      </c>
      <c r="T4302" s="3" t="n">
        <v>-0.0039</v>
      </c>
    </row>
    <row r="4303" customFormat="false" ht="15" hidden="false" customHeight="true" outlineLevel="0" collapsed="false">
      <c r="A4303" s="3" t="s">
        <v>5468</v>
      </c>
      <c r="B4303" s="3" t="s">
        <v>511</v>
      </c>
      <c r="C4303" s="3" t="s">
        <v>156</v>
      </c>
      <c r="D4303" s="3" t="s">
        <v>32</v>
      </c>
      <c r="E4303" s="3" t="s">
        <v>33</v>
      </c>
      <c r="F4303" s="3" t="s">
        <v>25</v>
      </c>
      <c r="G4303" s="3" t="s">
        <v>41</v>
      </c>
      <c r="H4303" s="3" t="s">
        <v>56</v>
      </c>
      <c r="I4303" s="3" t="s">
        <v>57</v>
      </c>
      <c r="J4303" s="3" t="n">
        <v>19</v>
      </c>
      <c r="K4303" s="3" t="n">
        <v>12589.3</v>
      </c>
      <c r="L4303" s="3" t="n">
        <v>239196.7</v>
      </c>
      <c r="M4303" s="3" t="n">
        <v>0.1303</v>
      </c>
      <c r="N4303" s="3" t="n">
        <v>31167.33</v>
      </c>
      <c r="O4303" s="3" t="n">
        <v>208029.37</v>
      </c>
      <c r="P4303" s="3" t="n">
        <v>143518.02</v>
      </c>
      <c r="Q4303" s="3" t="n">
        <v>64511.35</v>
      </c>
      <c r="R4303" s="3" t="n">
        <v>0.3101</v>
      </c>
      <c r="S4303" s="3" t="n">
        <v>0.1327</v>
      </c>
      <c r="T4303" s="3" t="n">
        <v>-0.0024</v>
      </c>
    </row>
    <row r="4304" customFormat="false" ht="15" hidden="false" customHeight="true" outlineLevel="0" collapsed="false">
      <c r="A4304" s="3" t="s">
        <v>5469</v>
      </c>
      <c r="B4304" s="3" t="s">
        <v>1468</v>
      </c>
      <c r="C4304" s="3" t="s">
        <v>93</v>
      </c>
      <c r="D4304" s="3" t="s">
        <v>69</v>
      </c>
      <c r="E4304" s="3" t="s">
        <v>39</v>
      </c>
      <c r="F4304" s="3" t="s">
        <v>70</v>
      </c>
      <c r="G4304" s="3" t="s">
        <v>100</v>
      </c>
      <c r="H4304" s="3" t="s">
        <v>64</v>
      </c>
      <c r="I4304" s="3" t="s">
        <v>108</v>
      </c>
      <c r="J4304" s="3" t="n">
        <v>29</v>
      </c>
      <c r="K4304" s="3" t="n">
        <v>7880.17</v>
      </c>
      <c r="L4304" s="3" t="n">
        <v>228524.93</v>
      </c>
      <c r="M4304" s="3" t="n">
        <v>0.064</v>
      </c>
      <c r="N4304" s="3" t="n">
        <v>14625.6</v>
      </c>
      <c r="O4304" s="3" t="n">
        <v>213899.33</v>
      </c>
      <c r="P4304" s="3" t="n">
        <v>132544.46</v>
      </c>
      <c r="Q4304" s="3" t="n">
        <v>81354.87</v>
      </c>
      <c r="R4304" s="3" t="n">
        <v>0.3803</v>
      </c>
      <c r="S4304" s="3" t="n">
        <v>0.0586</v>
      </c>
      <c r="T4304" s="3" t="n">
        <v>0.0054</v>
      </c>
    </row>
    <row r="4305" customFormat="false" ht="15" hidden="false" customHeight="true" outlineLevel="0" collapsed="false">
      <c r="A4305" s="3" t="s">
        <v>5470</v>
      </c>
      <c r="B4305" s="3" t="s">
        <v>813</v>
      </c>
      <c r="C4305" s="3" t="s">
        <v>22</v>
      </c>
      <c r="D4305" s="3" t="s">
        <v>47</v>
      </c>
      <c r="E4305" s="3" t="s">
        <v>48</v>
      </c>
      <c r="F4305" s="3" t="s">
        <v>25</v>
      </c>
      <c r="G4305" s="3" t="s">
        <v>41</v>
      </c>
      <c r="H4305" s="3" t="s">
        <v>27</v>
      </c>
      <c r="I4305" s="3" t="s">
        <v>173</v>
      </c>
      <c r="J4305" s="3" t="n">
        <v>34</v>
      </c>
      <c r="K4305" s="3" t="n">
        <v>34929.39</v>
      </c>
      <c r="L4305" s="3" t="n">
        <v>1187599.26</v>
      </c>
      <c r="M4305" s="3" t="n">
        <v>0.1843</v>
      </c>
      <c r="N4305" s="3" t="n">
        <v>218874.54</v>
      </c>
      <c r="O4305" s="3" t="n">
        <v>968724.72</v>
      </c>
      <c r="P4305" s="3" t="n">
        <v>736311.54</v>
      </c>
      <c r="Q4305" s="3" t="n">
        <v>232413.18</v>
      </c>
      <c r="R4305" s="3" t="n">
        <v>0.2399</v>
      </c>
      <c r="S4305" s="3" t="n">
        <v>0.1969</v>
      </c>
      <c r="T4305" s="3" t="n">
        <v>-0.0126</v>
      </c>
    </row>
    <row r="4306" customFormat="false" ht="15" hidden="false" customHeight="true" outlineLevel="0" collapsed="false">
      <c r="A4306" s="3" t="s">
        <v>5471</v>
      </c>
      <c r="B4306" s="3" t="s">
        <v>67</v>
      </c>
      <c r="C4306" s="3" t="s">
        <v>68</v>
      </c>
      <c r="D4306" s="3" t="s">
        <v>54</v>
      </c>
      <c r="E4306" s="3" t="s">
        <v>24</v>
      </c>
      <c r="F4306" s="3" t="s">
        <v>40</v>
      </c>
      <c r="G4306" s="3" t="s">
        <v>55</v>
      </c>
      <c r="H4306" s="3" t="s">
        <v>27</v>
      </c>
      <c r="I4306" s="3" t="s">
        <v>117</v>
      </c>
      <c r="J4306" s="3" t="n">
        <v>31</v>
      </c>
      <c r="K4306" s="3" t="n">
        <v>27580.61</v>
      </c>
      <c r="L4306" s="3" t="n">
        <v>854998.91</v>
      </c>
      <c r="M4306" s="3" t="n">
        <v>0.0575</v>
      </c>
      <c r="N4306" s="3" t="n">
        <v>49162.44</v>
      </c>
      <c r="O4306" s="3" t="n">
        <v>805836.47</v>
      </c>
      <c r="P4306" s="3" t="n">
        <v>530099.32</v>
      </c>
      <c r="Q4306" s="3" t="n">
        <v>275737.15</v>
      </c>
      <c r="R4306" s="3" t="n">
        <v>0.3422</v>
      </c>
      <c r="S4306" s="3" t="n">
        <v>0.054</v>
      </c>
      <c r="T4306" s="3" t="n">
        <v>0.0035</v>
      </c>
    </row>
    <row r="4307" customFormat="false" ht="15" hidden="false" customHeight="true" outlineLevel="0" collapsed="false">
      <c r="A4307" s="3" t="s">
        <v>5472</v>
      </c>
      <c r="B4307" s="3" t="s">
        <v>266</v>
      </c>
      <c r="C4307" s="3" t="s">
        <v>60</v>
      </c>
      <c r="D4307" s="3" t="s">
        <v>54</v>
      </c>
      <c r="E4307" s="3" t="s">
        <v>24</v>
      </c>
      <c r="F4307" s="3" t="s">
        <v>40</v>
      </c>
      <c r="G4307" s="3" t="s">
        <v>100</v>
      </c>
      <c r="H4307" s="3" t="s">
        <v>64</v>
      </c>
      <c r="I4307" s="3" t="s">
        <v>65</v>
      </c>
      <c r="J4307" s="3" t="n">
        <v>13</v>
      </c>
      <c r="K4307" s="3" t="n">
        <v>3899.28</v>
      </c>
      <c r="L4307" s="3" t="n">
        <v>50690.64</v>
      </c>
      <c r="M4307" s="3" t="n">
        <v>0.0504</v>
      </c>
      <c r="N4307" s="3" t="n">
        <v>2554.81</v>
      </c>
      <c r="O4307" s="3" t="n">
        <v>48135.83</v>
      </c>
      <c r="P4307" s="3" t="n">
        <v>29400.57</v>
      </c>
      <c r="Q4307" s="3" t="n">
        <v>18735.26</v>
      </c>
      <c r="R4307" s="3" t="n">
        <v>0.3892</v>
      </c>
      <c r="S4307" s="3" t="n">
        <v>0.0507</v>
      </c>
      <c r="T4307" s="3" t="n">
        <v>-0.0003</v>
      </c>
    </row>
    <row r="4308" customFormat="false" ht="15" hidden="false" customHeight="true" outlineLevel="0" collapsed="false">
      <c r="A4308" s="3" t="s">
        <v>5473</v>
      </c>
      <c r="B4308" s="3" t="s">
        <v>1960</v>
      </c>
      <c r="C4308" s="3" t="s">
        <v>53</v>
      </c>
      <c r="D4308" s="3" t="s">
        <v>38</v>
      </c>
      <c r="E4308" s="3" t="s">
        <v>39</v>
      </c>
      <c r="F4308" s="3" t="s">
        <v>40</v>
      </c>
      <c r="G4308" s="3" t="s">
        <v>26</v>
      </c>
      <c r="H4308" s="3" t="s">
        <v>64</v>
      </c>
      <c r="I4308" s="3" t="s">
        <v>90</v>
      </c>
      <c r="J4308" s="3" t="n">
        <v>25</v>
      </c>
      <c r="K4308" s="3" t="n">
        <v>3076.71</v>
      </c>
      <c r="L4308" s="3" t="n">
        <v>76917.75</v>
      </c>
      <c r="M4308" s="3" t="n">
        <v>0.0676</v>
      </c>
      <c r="N4308" s="3" t="n">
        <v>5199.64</v>
      </c>
      <c r="O4308" s="3" t="n">
        <v>71718.11</v>
      </c>
      <c r="P4308" s="3" t="n">
        <v>44612.29</v>
      </c>
      <c r="Q4308" s="3" t="n">
        <v>27105.82</v>
      </c>
      <c r="R4308" s="3" t="n">
        <v>0.3779</v>
      </c>
      <c r="S4308" s="3" t="n">
        <v>0.0644</v>
      </c>
      <c r="T4308" s="3" t="n">
        <v>0.0032</v>
      </c>
    </row>
    <row r="4309" customFormat="false" ht="15" hidden="false" customHeight="true" outlineLevel="0" collapsed="false">
      <c r="A4309" s="3" t="s">
        <v>5474</v>
      </c>
      <c r="B4309" s="3" t="s">
        <v>3334</v>
      </c>
      <c r="C4309" s="3" t="s">
        <v>113</v>
      </c>
      <c r="D4309" s="3" t="s">
        <v>32</v>
      </c>
      <c r="E4309" s="3" t="s">
        <v>33</v>
      </c>
      <c r="F4309" s="3" t="s">
        <v>25</v>
      </c>
      <c r="G4309" s="3" t="s">
        <v>49</v>
      </c>
      <c r="H4309" s="3" t="s">
        <v>77</v>
      </c>
      <c r="I4309" s="3" t="s">
        <v>131</v>
      </c>
      <c r="J4309" s="3" t="n">
        <v>36</v>
      </c>
      <c r="K4309" s="3" t="n">
        <v>5680.34</v>
      </c>
      <c r="L4309" s="3" t="n">
        <v>204492.24</v>
      </c>
      <c r="M4309" s="3" t="n">
        <v>0.1</v>
      </c>
      <c r="N4309" s="3" t="n">
        <v>20449.22</v>
      </c>
      <c r="O4309" s="3" t="n">
        <v>184043.02</v>
      </c>
      <c r="P4309" s="3" t="n">
        <v>139054.72</v>
      </c>
      <c r="Q4309" s="3" t="n">
        <v>44988.3</v>
      </c>
      <c r="R4309" s="3" t="n">
        <v>0.2444</v>
      </c>
      <c r="S4309" s="3" t="n">
        <v>0.0867</v>
      </c>
      <c r="T4309" s="3" t="n">
        <v>0.0133</v>
      </c>
    </row>
    <row r="4310" customFormat="false" ht="15" hidden="false" customHeight="true" outlineLevel="0" collapsed="false">
      <c r="A4310" s="3" t="s">
        <v>5475</v>
      </c>
      <c r="B4310" s="3" t="s">
        <v>398</v>
      </c>
      <c r="C4310" s="3" t="s">
        <v>93</v>
      </c>
      <c r="D4310" s="3" t="s">
        <v>61</v>
      </c>
      <c r="E4310" s="3" t="s">
        <v>33</v>
      </c>
      <c r="F4310" s="3" t="s">
        <v>62</v>
      </c>
      <c r="G4310" s="3" t="s">
        <v>100</v>
      </c>
      <c r="H4310" s="3" t="s">
        <v>27</v>
      </c>
      <c r="I4310" s="3" t="s">
        <v>173</v>
      </c>
      <c r="J4310" s="3" t="n">
        <v>22</v>
      </c>
      <c r="K4310" s="3" t="n">
        <v>21278.76</v>
      </c>
      <c r="L4310" s="3" t="n">
        <v>468132.72</v>
      </c>
      <c r="M4310" s="3" t="n">
        <v>0.0519</v>
      </c>
      <c r="N4310" s="3" t="n">
        <v>24296.09</v>
      </c>
      <c r="O4310" s="3" t="n">
        <v>443836.63</v>
      </c>
      <c r="P4310" s="3" t="n">
        <v>290242.29</v>
      </c>
      <c r="Q4310" s="3" t="n">
        <v>153594.34</v>
      </c>
      <c r="R4310" s="3" t="n">
        <v>0.3461</v>
      </c>
      <c r="S4310" s="3" t="n">
        <v>0.0478</v>
      </c>
      <c r="T4310" s="3" t="n">
        <v>0.0041</v>
      </c>
    </row>
    <row r="4311" customFormat="false" ht="15" hidden="false" customHeight="true" outlineLevel="0" collapsed="false">
      <c r="A4311" s="3" t="s">
        <v>5476</v>
      </c>
      <c r="B4311" s="3" t="s">
        <v>2741</v>
      </c>
      <c r="C4311" s="3" t="s">
        <v>60</v>
      </c>
      <c r="D4311" s="3" t="s">
        <v>83</v>
      </c>
      <c r="E4311" s="3" t="s">
        <v>48</v>
      </c>
      <c r="F4311" s="3" t="s">
        <v>62</v>
      </c>
      <c r="G4311" s="3" t="s">
        <v>55</v>
      </c>
      <c r="H4311" s="3" t="s">
        <v>77</v>
      </c>
      <c r="I4311" s="3" t="s">
        <v>131</v>
      </c>
      <c r="J4311" s="3" t="n">
        <v>46</v>
      </c>
      <c r="K4311" s="3" t="n">
        <v>1855.66</v>
      </c>
      <c r="L4311" s="3" t="n">
        <v>85360.36</v>
      </c>
      <c r="M4311" s="3" t="n">
        <v>0.0691</v>
      </c>
      <c r="N4311" s="3" t="n">
        <v>5898.4</v>
      </c>
      <c r="O4311" s="3" t="n">
        <v>79461.96</v>
      </c>
      <c r="P4311" s="3" t="n">
        <v>58045.04</v>
      </c>
      <c r="Q4311" s="3" t="n">
        <v>21416.92</v>
      </c>
      <c r="R4311" s="3" t="n">
        <v>0.2695</v>
      </c>
      <c r="S4311" s="3" t="n">
        <v>0.0711</v>
      </c>
      <c r="T4311" s="3" t="n">
        <v>-0.002</v>
      </c>
    </row>
    <row r="4312" customFormat="false" ht="15" hidden="false" customHeight="true" outlineLevel="0" collapsed="false">
      <c r="A4312" s="3" t="s">
        <v>5477</v>
      </c>
      <c r="B4312" s="3" t="s">
        <v>260</v>
      </c>
      <c r="C4312" s="3" t="s">
        <v>31</v>
      </c>
      <c r="D4312" s="3" t="s">
        <v>69</v>
      </c>
      <c r="E4312" s="3" t="s">
        <v>39</v>
      </c>
      <c r="F4312" s="3" t="s">
        <v>70</v>
      </c>
      <c r="G4312" s="3" t="s">
        <v>100</v>
      </c>
      <c r="H4312" s="3" t="s">
        <v>27</v>
      </c>
      <c r="I4312" s="3" t="s">
        <v>117</v>
      </c>
      <c r="J4312" s="3" t="n">
        <v>29</v>
      </c>
      <c r="K4312" s="3" t="n">
        <v>39043.95</v>
      </c>
      <c r="L4312" s="3" t="n">
        <v>1132274.55</v>
      </c>
      <c r="M4312" s="3" t="n">
        <v>0.046</v>
      </c>
      <c r="N4312" s="3" t="n">
        <v>52084.63</v>
      </c>
      <c r="O4312" s="3" t="n">
        <v>1080189.92</v>
      </c>
      <c r="P4312" s="3" t="n">
        <v>702010.22</v>
      </c>
      <c r="Q4312" s="3" t="n">
        <v>378179.7</v>
      </c>
      <c r="R4312" s="3" t="n">
        <v>0.3501</v>
      </c>
      <c r="S4312" s="3" t="n">
        <v>0.0405</v>
      </c>
      <c r="T4312" s="3" t="n">
        <v>0.0055</v>
      </c>
    </row>
    <row r="4313" customFormat="false" ht="15" hidden="false" customHeight="true" outlineLevel="0" collapsed="false">
      <c r="A4313" s="3" t="s">
        <v>5478</v>
      </c>
      <c r="B4313" s="3" t="s">
        <v>260</v>
      </c>
      <c r="C4313" s="3" t="s">
        <v>31</v>
      </c>
      <c r="D4313" s="3" t="s">
        <v>103</v>
      </c>
      <c r="E4313" s="3" t="s">
        <v>24</v>
      </c>
      <c r="F4313" s="3" t="s">
        <v>62</v>
      </c>
      <c r="G4313" s="3" t="s">
        <v>41</v>
      </c>
      <c r="H4313" s="3" t="s">
        <v>56</v>
      </c>
      <c r="I4313" s="3" t="s">
        <v>121</v>
      </c>
      <c r="J4313" s="3" t="n">
        <v>1</v>
      </c>
      <c r="K4313" s="3" t="n">
        <v>5811.63</v>
      </c>
      <c r="L4313" s="3" t="n">
        <v>5811.63</v>
      </c>
      <c r="M4313" s="3" t="n">
        <v>0.061</v>
      </c>
      <c r="N4313" s="3" t="n">
        <v>354.51</v>
      </c>
      <c r="O4313" s="3" t="n">
        <v>5457.12</v>
      </c>
      <c r="P4313" s="3" t="n">
        <v>3486.98</v>
      </c>
      <c r="Q4313" s="3" t="n">
        <v>1970.14</v>
      </c>
      <c r="R4313" s="3" t="n">
        <v>0.361</v>
      </c>
      <c r="S4313" s="3" t="n">
        <v>0.0577</v>
      </c>
      <c r="T4313" s="3" t="n">
        <v>0.0033</v>
      </c>
    </row>
    <row r="4314" customFormat="false" ht="15" hidden="false" customHeight="true" outlineLevel="0" collapsed="false">
      <c r="A4314" s="3" t="s">
        <v>5479</v>
      </c>
      <c r="B4314" s="3" t="s">
        <v>977</v>
      </c>
      <c r="C4314" s="3" t="s">
        <v>60</v>
      </c>
      <c r="D4314" s="3" t="s">
        <v>83</v>
      </c>
      <c r="E4314" s="3" t="s">
        <v>48</v>
      </c>
      <c r="F4314" s="3" t="s">
        <v>62</v>
      </c>
      <c r="G4314" s="3" t="s">
        <v>71</v>
      </c>
      <c r="H4314" s="3" t="s">
        <v>27</v>
      </c>
      <c r="I4314" s="3" t="s">
        <v>94</v>
      </c>
      <c r="J4314" s="3" t="n">
        <v>49</v>
      </c>
      <c r="K4314" s="3" t="n">
        <v>13431.93</v>
      </c>
      <c r="L4314" s="3" t="n">
        <v>658164.57</v>
      </c>
      <c r="M4314" s="3" t="n">
        <v>0.0599</v>
      </c>
      <c r="N4314" s="3" t="n">
        <v>39424.06</v>
      </c>
      <c r="O4314" s="3" t="n">
        <v>618740.51</v>
      </c>
      <c r="P4314" s="3" t="n">
        <v>408062.03</v>
      </c>
      <c r="Q4314" s="3" t="n">
        <v>210678.48</v>
      </c>
      <c r="R4314" s="3" t="n">
        <v>0.3405</v>
      </c>
      <c r="S4314" s="3" t="n">
        <v>0.0547</v>
      </c>
      <c r="T4314" s="3" t="n">
        <v>0.0052</v>
      </c>
    </row>
    <row r="4315" customFormat="false" ht="15" hidden="false" customHeight="true" outlineLevel="0" collapsed="false">
      <c r="A4315" s="3" t="s">
        <v>5480</v>
      </c>
      <c r="B4315" s="3" t="s">
        <v>2760</v>
      </c>
      <c r="C4315" s="3" t="s">
        <v>53</v>
      </c>
      <c r="D4315" s="3" t="s">
        <v>103</v>
      </c>
      <c r="E4315" s="3" t="s">
        <v>24</v>
      </c>
      <c r="F4315" s="3" t="s">
        <v>62</v>
      </c>
      <c r="G4315" s="3" t="s">
        <v>34</v>
      </c>
      <c r="H4315" s="3" t="s">
        <v>77</v>
      </c>
      <c r="I4315" s="3" t="s">
        <v>131</v>
      </c>
      <c r="J4315" s="3" t="n">
        <v>19</v>
      </c>
      <c r="K4315" s="3" t="n">
        <v>5632.46</v>
      </c>
      <c r="L4315" s="3" t="n">
        <v>107016.74</v>
      </c>
      <c r="M4315" s="3" t="n">
        <v>0.0954</v>
      </c>
      <c r="N4315" s="3" t="n">
        <v>10209.4</v>
      </c>
      <c r="O4315" s="3" t="n">
        <v>96807.34</v>
      </c>
      <c r="P4315" s="3" t="n">
        <v>72771.38</v>
      </c>
      <c r="Q4315" s="3" t="n">
        <v>24035.96</v>
      </c>
      <c r="R4315" s="3" t="n">
        <v>0.2483</v>
      </c>
      <c r="S4315" s="3" t="n">
        <v>0.0963</v>
      </c>
      <c r="T4315" s="3" t="n">
        <v>-0.0009</v>
      </c>
    </row>
    <row r="4316" customFormat="false" ht="15" hidden="false" customHeight="true" outlineLevel="0" collapsed="false">
      <c r="A4316" s="3" t="s">
        <v>5481</v>
      </c>
      <c r="B4316" s="3" t="s">
        <v>4846</v>
      </c>
      <c r="C4316" s="3" t="s">
        <v>126</v>
      </c>
      <c r="D4316" s="3" t="s">
        <v>61</v>
      </c>
      <c r="E4316" s="3" t="s">
        <v>33</v>
      </c>
      <c r="F4316" s="3" t="s">
        <v>62</v>
      </c>
      <c r="G4316" s="3" t="s">
        <v>34</v>
      </c>
      <c r="H4316" s="3" t="s">
        <v>42</v>
      </c>
      <c r="I4316" s="3" t="s">
        <v>134</v>
      </c>
      <c r="J4316" s="3" t="n">
        <v>49</v>
      </c>
      <c r="K4316" s="3" t="n">
        <v>2084.13</v>
      </c>
      <c r="L4316" s="3" t="n">
        <v>102122.37</v>
      </c>
      <c r="M4316" s="3" t="n">
        <v>0.0766</v>
      </c>
      <c r="N4316" s="3" t="n">
        <v>7822.57</v>
      </c>
      <c r="O4316" s="3" t="n">
        <v>94299.8</v>
      </c>
      <c r="P4316" s="3" t="n">
        <v>56167.3</v>
      </c>
      <c r="Q4316" s="3" t="n">
        <v>38132.5</v>
      </c>
      <c r="R4316" s="3" t="n">
        <v>0.4044</v>
      </c>
      <c r="S4316" s="3" t="n">
        <v>0.0837</v>
      </c>
      <c r="T4316" s="3" t="n">
        <v>-0.0071</v>
      </c>
    </row>
    <row r="4317" customFormat="false" ht="15" hidden="false" customHeight="true" outlineLevel="0" collapsed="false">
      <c r="A4317" s="3" t="s">
        <v>5482</v>
      </c>
      <c r="B4317" s="3" t="s">
        <v>3960</v>
      </c>
      <c r="C4317" s="3" t="s">
        <v>22</v>
      </c>
      <c r="D4317" s="3" t="s">
        <v>54</v>
      </c>
      <c r="E4317" s="3" t="s">
        <v>24</v>
      </c>
      <c r="F4317" s="3" t="s">
        <v>40</v>
      </c>
      <c r="G4317" s="3" t="s">
        <v>41</v>
      </c>
      <c r="H4317" s="3" t="s">
        <v>56</v>
      </c>
      <c r="I4317" s="3" t="s">
        <v>121</v>
      </c>
      <c r="J4317" s="3" t="n">
        <v>21</v>
      </c>
      <c r="K4317" s="3" t="n">
        <v>17729.57</v>
      </c>
      <c r="L4317" s="3" t="n">
        <v>372320.97</v>
      </c>
      <c r="M4317" s="3" t="n">
        <v>0.0737</v>
      </c>
      <c r="N4317" s="3" t="n">
        <v>27440.06</v>
      </c>
      <c r="O4317" s="3" t="n">
        <v>344880.91</v>
      </c>
      <c r="P4317" s="3" t="n">
        <v>223392.58</v>
      </c>
      <c r="Q4317" s="3" t="n">
        <v>121488.33</v>
      </c>
      <c r="R4317" s="3" t="n">
        <v>0.3523</v>
      </c>
      <c r="S4317" s="3" t="n">
        <v>0.0746</v>
      </c>
      <c r="T4317" s="3" t="n">
        <v>-0.0009</v>
      </c>
    </row>
    <row r="4318" customFormat="false" ht="15" hidden="false" customHeight="true" outlineLevel="0" collapsed="false">
      <c r="A4318" s="3" t="s">
        <v>5483</v>
      </c>
      <c r="B4318" s="3" t="s">
        <v>718</v>
      </c>
      <c r="C4318" s="3" t="s">
        <v>53</v>
      </c>
      <c r="D4318" s="3" t="s">
        <v>107</v>
      </c>
      <c r="E4318" s="3" t="s">
        <v>33</v>
      </c>
      <c r="F4318" s="3" t="s">
        <v>70</v>
      </c>
      <c r="G4318" s="3" t="s">
        <v>116</v>
      </c>
      <c r="H4318" s="3" t="s">
        <v>42</v>
      </c>
      <c r="I4318" s="3" t="s">
        <v>43</v>
      </c>
      <c r="J4318" s="3" t="n">
        <v>21</v>
      </c>
      <c r="K4318" s="3" t="n">
        <v>3366.27</v>
      </c>
      <c r="L4318" s="3" t="n">
        <v>70691.67</v>
      </c>
      <c r="M4318" s="3" t="n">
        <v>0.1058</v>
      </c>
      <c r="N4318" s="3" t="n">
        <v>7479.18</v>
      </c>
      <c r="O4318" s="3" t="n">
        <v>63212.49</v>
      </c>
      <c r="P4318" s="3" t="n">
        <v>38880.42</v>
      </c>
      <c r="Q4318" s="3" t="n">
        <v>24332.07</v>
      </c>
      <c r="R4318" s="3" t="n">
        <v>0.3849</v>
      </c>
      <c r="S4318" s="3" t="n">
        <v>0.1097</v>
      </c>
      <c r="T4318" s="3" t="n">
        <v>-0.0039</v>
      </c>
    </row>
    <row r="4319" customFormat="false" ht="15" hidden="false" customHeight="true" outlineLevel="0" collapsed="false">
      <c r="A4319" s="3" t="s">
        <v>5484</v>
      </c>
      <c r="B4319" s="3" t="s">
        <v>5246</v>
      </c>
      <c r="C4319" s="3" t="s">
        <v>68</v>
      </c>
      <c r="D4319" s="3" t="s">
        <v>107</v>
      </c>
      <c r="E4319" s="3" t="s">
        <v>33</v>
      </c>
      <c r="F4319" s="3" t="s">
        <v>70</v>
      </c>
      <c r="G4319" s="3" t="s">
        <v>49</v>
      </c>
      <c r="H4319" s="3" t="s">
        <v>42</v>
      </c>
      <c r="I4319" s="3" t="s">
        <v>43</v>
      </c>
      <c r="J4319" s="3" t="n">
        <v>19</v>
      </c>
      <c r="K4319" s="3" t="n">
        <v>2109.81</v>
      </c>
      <c r="L4319" s="3" t="n">
        <v>40086.39</v>
      </c>
      <c r="M4319" s="3" t="n">
        <v>0.0668</v>
      </c>
      <c r="N4319" s="3" t="n">
        <v>2677.77</v>
      </c>
      <c r="O4319" s="3" t="n">
        <v>37408.62</v>
      </c>
      <c r="P4319" s="3" t="n">
        <v>22047.51</v>
      </c>
      <c r="Q4319" s="3" t="n">
        <v>15361.11</v>
      </c>
      <c r="R4319" s="3" t="n">
        <v>0.4106</v>
      </c>
      <c r="S4319" s="3" t="n">
        <v>0.0733</v>
      </c>
      <c r="T4319" s="3" t="n">
        <v>-0.0065</v>
      </c>
    </row>
    <row r="4320" customFormat="false" ht="15" hidden="false" customHeight="true" outlineLevel="0" collapsed="false">
      <c r="A4320" s="3" t="s">
        <v>5485</v>
      </c>
      <c r="B4320" s="3" t="s">
        <v>530</v>
      </c>
      <c r="C4320" s="3" t="s">
        <v>113</v>
      </c>
      <c r="D4320" s="3" t="s">
        <v>23</v>
      </c>
      <c r="E4320" s="3" t="s">
        <v>24</v>
      </c>
      <c r="F4320" s="3" t="s">
        <v>25</v>
      </c>
      <c r="G4320" s="3" t="s">
        <v>71</v>
      </c>
      <c r="H4320" s="3" t="s">
        <v>42</v>
      </c>
      <c r="I4320" s="3" t="s">
        <v>43</v>
      </c>
      <c r="J4320" s="3" t="n">
        <v>35</v>
      </c>
      <c r="K4320" s="3" t="n">
        <v>1947.98</v>
      </c>
      <c r="L4320" s="3" t="n">
        <v>68179.3</v>
      </c>
      <c r="M4320" s="3" t="n">
        <v>0.1191</v>
      </c>
      <c r="N4320" s="3" t="n">
        <v>8120.15</v>
      </c>
      <c r="O4320" s="3" t="n">
        <v>60059.15</v>
      </c>
      <c r="P4320" s="3" t="n">
        <v>37498.62</v>
      </c>
      <c r="Q4320" s="3" t="n">
        <v>22560.53</v>
      </c>
      <c r="R4320" s="3" t="n">
        <v>0.3756</v>
      </c>
      <c r="S4320" s="3" t="n">
        <v>0.1133</v>
      </c>
      <c r="T4320" s="3" t="n">
        <v>0.0058</v>
      </c>
    </row>
    <row r="4321" customFormat="false" ht="15" hidden="false" customHeight="true" outlineLevel="0" collapsed="false">
      <c r="A4321" s="3" t="s">
        <v>5486</v>
      </c>
      <c r="B4321" s="3" t="s">
        <v>659</v>
      </c>
      <c r="C4321" s="3" t="s">
        <v>93</v>
      </c>
      <c r="D4321" s="3" t="s">
        <v>69</v>
      </c>
      <c r="E4321" s="3" t="s">
        <v>39</v>
      </c>
      <c r="F4321" s="3" t="s">
        <v>70</v>
      </c>
      <c r="G4321" s="3" t="s">
        <v>34</v>
      </c>
      <c r="H4321" s="3" t="s">
        <v>27</v>
      </c>
      <c r="I4321" s="3" t="s">
        <v>94</v>
      </c>
      <c r="J4321" s="3" t="n">
        <v>21</v>
      </c>
      <c r="K4321" s="3" t="n">
        <v>16293.66</v>
      </c>
      <c r="L4321" s="3" t="n">
        <v>342166.86</v>
      </c>
      <c r="M4321" s="3" t="n">
        <v>0.0922</v>
      </c>
      <c r="N4321" s="3" t="n">
        <v>31547.78</v>
      </c>
      <c r="O4321" s="3" t="n">
        <v>310619.08</v>
      </c>
      <c r="P4321" s="3" t="n">
        <v>212143.45</v>
      </c>
      <c r="Q4321" s="3" t="n">
        <v>98475.63</v>
      </c>
      <c r="R4321" s="3" t="n">
        <v>0.317</v>
      </c>
      <c r="S4321" s="3" t="n">
        <v>0.0826</v>
      </c>
      <c r="T4321" s="3" t="n">
        <v>0.0096</v>
      </c>
    </row>
    <row r="4322" customFormat="false" ht="15" hidden="false" customHeight="true" outlineLevel="0" collapsed="false">
      <c r="A4322" s="3" t="s">
        <v>5487</v>
      </c>
      <c r="B4322" s="3" t="s">
        <v>734</v>
      </c>
      <c r="C4322" s="3" t="s">
        <v>53</v>
      </c>
      <c r="D4322" s="3" t="s">
        <v>47</v>
      </c>
      <c r="E4322" s="3" t="s">
        <v>48</v>
      </c>
      <c r="F4322" s="3" t="s">
        <v>25</v>
      </c>
      <c r="G4322" s="3" t="s">
        <v>71</v>
      </c>
      <c r="H4322" s="3" t="s">
        <v>27</v>
      </c>
      <c r="I4322" s="3" t="s">
        <v>117</v>
      </c>
      <c r="J4322" s="3" t="n">
        <v>48</v>
      </c>
      <c r="K4322" s="3" t="n">
        <v>17574.25</v>
      </c>
      <c r="L4322" s="3" t="n">
        <v>843564</v>
      </c>
      <c r="M4322" s="3" t="n">
        <v>0.1451</v>
      </c>
      <c r="N4322" s="3" t="n">
        <v>122401.14</v>
      </c>
      <c r="O4322" s="3" t="n">
        <v>721162.86</v>
      </c>
      <c r="P4322" s="3" t="n">
        <v>523009.68</v>
      </c>
      <c r="Q4322" s="3" t="n">
        <v>198153.18</v>
      </c>
      <c r="R4322" s="3" t="n">
        <v>0.2748</v>
      </c>
      <c r="S4322" s="3" t="n">
        <v>0.1533</v>
      </c>
      <c r="T4322" s="3" t="n">
        <v>-0.0082</v>
      </c>
    </row>
    <row r="4323" customFormat="false" ht="15" hidden="false" customHeight="true" outlineLevel="0" collapsed="false">
      <c r="A4323" s="3" t="s">
        <v>5488</v>
      </c>
      <c r="B4323" s="3" t="s">
        <v>4104</v>
      </c>
      <c r="C4323" s="3" t="s">
        <v>93</v>
      </c>
      <c r="D4323" s="3" t="s">
        <v>107</v>
      </c>
      <c r="E4323" s="3" t="s">
        <v>33</v>
      </c>
      <c r="F4323" s="3" t="s">
        <v>70</v>
      </c>
      <c r="G4323" s="3" t="s">
        <v>34</v>
      </c>
      <c r="H4323" s="3" t="s">
        <v>56</v>
      </c>
      <c r="I4323" s="3" t="s">
        <v>188</v>
      </c>
      <c r="J4323" s="3" t="n">
        <v>24</v>
      </c>
      <c r="K4323" s="3" t="n">
        <v>6810.45</v>
      </c>
      <c r="L4323" s="3" t="n">
        <v>163450.8</v>
      </c>
      <c r="M4323" s="3" t="n">
        <v>0.0877</v>
      </c>
      <c r="N4323" s="3" t="n">
        <v>14334.64</v>
      </c>
      <c r="O4323" s="3" t="n">
        <v>149116.16</v>
      </c>
      <c r="P4323" s="3" t="n">
        <v>98070.48</v>
      </c>
      <c r="Q4323" s="3" t="n">
        <v>51045.68</v>
      </c>
      <c r="R4323" s="3" t="n">
        <v>0.3423</v>
      </c>
      <c r="S4323" s="3" t="n">
        <v>0.0716</v>
      </c>
      <c r="T4323" s="3" t="n">
        <v>0.0161</v>
      </c>
    </row>
    <row r="4324" customFormat="false" ht="15" hidden="false" customHeight="true" outlineLevel="0" collapsed="false">
      <c r="A4324" s="3" t="s">
        <v>5489</v>
      </c>
      <c r="B4324" s="3" t="s">
        <v>2647</v>
      </c>
      <c r="C4324" s="3" t="s">
        <v>60</v>
      </c>
      <c r="D4324" s="3" t="s">
        <v>61</v>
      </c>
      <c r="E4324" s="3" t="s">
        <v>33</v>
      </c>
      <c r="F4324" s="3" t="s">
        <v>62</v>
      </c>
      <c r="G4324" s="3" t="s">
        <v>26</v>
      </c>
      <c r="H4324" s="3" t="s">
        <v>42</v>
      </c>
      <c r="I4324" s="3" t="s">
        <v>134</v>
      </c>
      <c r="J4324" s="3" t="n">
        <v>34</v>
      </c>
      <c r="K4324" s="3" t="n">
        <v>2146.78</v>
      </c>
      <c r="L4324" s="3" t="n">
        <v>72990.52</v>
      </c>
      <c r="M4324" s="3" t="n">
        <v>0.0769</v>
      </c>
      <c r="N4324" s="3" t="n">
        <v>5612.97</v>
      </c>
      <c r="O4324" s="3" t="n">
        <v>67377.55</v>
      </c>
      <c r="P4324" s="3" t="n">
        <v>40144.79</v>
      </c>
      <c r="Q4324" s="3" t="n">
        <v>27232.76</v>
      </c>
      <c r="R4324" s="3" t="n">
        <v>0.4042</v>
      </c>
      <c r="S4324" s="3" t="n">
        <v>0.0708</v>
      </c>
      <c r="T4324" s="3" t="n">
        <v>0.0061</v>
      </c>
    </row>
    <row r="4325" customFormat="false" ht="15" hidden="false" customHeight="true" outlineLevel="0" collapsed="false">
      <c r="A4325" s="3" t="s">
        <v>5490</v>
      </c>
      <c r="B4325" s="3" t="s">
        <v>1480</v>
      </c>
      <c r="C4325" s="3" t="s">
        <v>60</v>
      </c>
      <c r="D4325" s="3" t="s">
        <v>107</v>
      </c>
      <c r="E4325" s="3" t="s">
        <v>33</v>
      </c>
      <c r="F4325" s="3" t="s">
        <v>70</v>
      </c>
      <c r="G4325" s="3" t="s">
        <v>71</v>
      </c>
      <c r="H4325" s="3" t="s">
        <v>56</v>
      </c>
      <c r="I4325" s="3" t="s">
        <v>188</v>
      </c>
      <c r="J4325" s="3" t="n">
        <v>11</v>
      </c>
      <c r="K4325" s="3" t="n">
        <v>5240.48</v>
      </c>
      <c r="L4325" s="3" t="n">
        <v>57645.28</v>
      </c>
      <c r="M4325" s="3" t="n">
        <v>0.0781</v>
      </c>
      <c r="N4325" s="3" t="n">
        <v>4502.1</v>
      </c>
      <c r="O4325" s="3" t="n">
        <v>53143.18</v>
      </c>
      <c r="P4325" s="3" t="n">
        <v>34587.17</v>
      </c>
      <c r="Q4325" s="3" t="n">
        <v>18556.01</v>
      </c>
      <c r="R4325" s="3" t="n">
        <v>0.3492</v>
      </c>
      <c r="S4325" s="3" t="n">
        <v>0.0733</v>
      </c>
      <c r="T4325" s="3" t="n">
        <v>0.0048</v>
      </c>
    </row>
    <row r="4326" customFormat="false" ht="15" hidden="false" customHeight="true" outlineLevel="0" collapsed="false">
      <c r="A4326" s="3" t="s">
        <v>5491</v>
      </c>
      <c r="B4326" s="3" t="s">
        <v>1074</v>
      </c>
      <c r="C4326" s="3" t="s">
        <v>68</v>
      </c>
      <c r="D4326" s="3" t="s">
        <v>47</v>
      </c>
      <c r="E4326" s="3" t="s">
        <v>48</v>
      </c>
      <c r="F4326" s="3" t="s">
        <v>25</v>
      </c>
      <c r="G4326" s="3" t="s">
        <v>26</v>
      </c>
      <c r="H4326" s="3" t="s">
        <v>27</v>
      </c>
      <c r="I4326" s="3" t="s">
        <v>94</v>
      </c>
      <c r="J4326" s="3" t="n">
        <v>50</v>
      </c>
      <c r="K4326" s="3" t="n">
        <v>29495</v>
      </c>
      <c r="L4326" s="3" t="n">
        <v>1474750</v>
      </c>
      <c r="M4326" s="3" t="n">
        <v>0.1524</v>
      </c>
      <c r="N4326" s="3" t="n">
        <v>224751.9</v>
      </c>
      <c r="O4326" s="3" t="n">
        <v>1249998.1</v>
      </c>
      <c r="P4326" s="3" t="n">
        <v>914345</v>
      </c>
      <c r="Q4326" s="3" t="n">
        <v>335653.1</v>
      </c>
      <c r="R4326" s="3" t="n">
        <v>0.2685</v>
      </c>
      <c r="S4326" s="3" t="n">
        <v>0.1635</v>
      </c>
      <c r="T4326" s="3" t="n">
        <v>-0.0111</v>
      </c>
    </row>
    <row r="4327" customFormat="false" ht="15" hidden="false" customHeight="true" outlineLevel="0" collapsed="false">
      <c r="A4327" s="3" t="s">
        <v>5492</v>
      </c>
      <c r="B4327" s="3" t="s">
        <v>356</v>
      </c>
      <c r="C4327" s="3" t="s">
        <v>113</v>
      </c>
      <c r="D4327" s="3" t="s">
        <v>47</v>
      </c>
      <c r="E4327" s="3" t="s">
        <v>48</v>
      </c>
      <c r="F4327" s="3" t="s">
        <v>25</v>
      </c>
      <c r="G4327" s="3" t="s">
        <v>26</v>
      </c>
      <c r="H4327" s="3" t="s">
        <v>56</v>
      </c>
      <c r="I4327" s="3" t="s">
        <v>57</v>
      </c>
      <c r="J4327" s="3" t="n">
        <v>27</v>
      </c>
      <c r="K4327" s="3" t="n">
        <v>6015</v>
      </c>
      <c r="L4327" s="3" t="n">
        <v>162405</v>
      </c>
      <c r="M4327" s="3" t="n">
        <v>0.1206</v>
      </c>
      <c r="N4327" s="3" t="n">
        <v>19586.04</v>
      </c>
      <c r="O4327" s="3" t="n">
        <v>142818.96</v>
      </c>
      <c r="P4327" s="3" t="n">
        <v>97443</v>
      </c>
      <c r="Q4327" s="3" t="n">
        <v>45375.96</v>
      </c>
      <c r="R4327" s="3" t="n">
        <v>0.3177</v>
      </c>
      <c r="S4327" s="3" t="n">
        <v>0.1193</v>
      </c>
      <c r="T4327" s="3" t="n">
        <v>0.0013</v>
      </c>
    </row>
    <row r="4328" customFormat="false" ht="15" hidden="false" customHeight="true" outlineLevel="0" collapsed="false">
      <c r="A4328" s="3" t="s">
        <v>5493</v>
      </c>
      <c r="B4328" s="3" t="s">
        <v>237</v>
      </c>
      <c r="C4328" s="3" t="s">
        <v>113</v>
      </c>
      <c r="D4328" s="3" t="s">
        <v>32</v>
      </c>
      <c r="E4328" s="3" t="s">
        <v>33</v>
      </c>
      <c r="F4328" s="3" t="s">
        <v>25</v>
      </c>
      <c r="G4328" s="3" t="s">
        <v>71</v>
      </c>
      <c r="H4328" s="3" t="s">
        <v>64</v>
      </c>
      <c r="I4328" s="3" t="s">
        <v>145</v>
      </c>
      <c r="J4328" s="3" t="n">
        <v>31</v>
      </c>
      <c r="K4328" s="3" t="n">
        <v>11942.19</v>
      </c>
      <c r="L4328" s="3" t="n">
        <v>370207.89</v>
      </c>
      <c r="M4328" s="3" t="n">
        <v>0.1335</v>
      </c>
      <c r="N4328" s="3" t="n">
        <v>49422.75</v>
      </c>
      <c r="O4328" s="3" t="n">
        <v>320785.14</v>
      </c>
      <c r="P4328" s="3" t="n">
        <v>214720.58</v>
      </c>
      <c r="Q4328" s="3" t="n">
        <v>106064.56</v>
      </c>
      <c r="R4328" s="3" t="n">
        <v>0.3306</v>
      </c>
      <c r="S4328" s="3" t="n">
        <v>0.1234</v>
      </c>
      <c r="T4328" s="3" t="n">
        <v>0.0101</v>
      </c>
    </row>
    <row r="4329" customFormat="false" ht="15" hidden="false" customHeight="true" outlineLevel="0" collapsed="false">
      <c r="A4329" s="3" t="s">
        <v>5494</v>
      </c>
      <c r="B4329" s="3" t="s">
        <v>585</v>
      </c>
      <c r="C4329" s="3" t="s">
        <v>126</v>
      </c>
      <c r="D4329" s="3" t="s">
        <v>61</v>
      </c>
      <c r="E4329" s="3" t="s">
        <v>33</v>
      </c>
      <c r="F4329" s="3" t="s">
        <v>62</v>
      </c>
      <c r="G4329" s="3" t="s">
        <v>116</v>
      </c>
      <c r="H4329" s="3" t="s">
        <v>56</v>
      </c>
      <c r="I4329" s="3" t="s">
        <v>188</v>
      </c>
      <c r="J4329" s="3" t="n">
        <v>10</v>
      </c>
      <c r="K4329" s="3" t="n">
        <v>14744.41</v>
      </c>
      <c r="L4329" s="3" t="n">
        <v>147444.1</v>
      </c>
      <c r="M4329" s="3" t="n">
        <v>0.0818</v>
      </c>
      <c r="N4329" s="3" t="n">
        <v>12060.93</v>
      </c>
      <c r="O4329" s="3" t="n">
        <v>135383.17</v>
      </c>
      <c r="P4329" s="3" t="n">
        <v>88466.46</v>
      </c>
      <c r="Q4329" s="3" t="n">
        <v>46916.71</v>
      </c>
      <c r="R4329" s="3" t="n">
        <v>0.3465</v>
      </c>
      <c r="S4329" s="3" t="n">
        <v>0.0677</v>
      </c>
      <c r="T4329" s="3" t="n">
        <v>0.0141</v>
      </c>
    </row>
    <row r="4330" customFormat="false" ht="15" hidden="false" customHeight="true" outlineLevel="0" collapsed="false">
      <c r="A4330" s="3" t="s">
        <v>5495</v>
      </c>
      <c r="B4330" s="3" t="s">
        <v>1483</v>
      </c>
      <c r="C4330" s="3" t="s">
        <v>46</v>
      </c>
      <c r="D4330" s="3" t="s">
        <v>97</v>
      </c>
      <c r="E4330" s="3" t="s">
        <v>48</v>
      </c>
      <c r="F4330" s="3" t="s">
        <v>40</v>
      </c>
      <c r="G4330" s="3" t="s">
        <v>41</v>
      </c>
      <c r="H4330" s="3" t="s">
        <v>64</v>
      </c>
      <c r="I4330" s="3" t="s">
        <v>108</v>
      </c>
      <c r="J4330" s="3" t="n">
        <v>45</v>
      </c>
      <c r="K4330" s="3" t="n">
        <v>7593.86</v>
      </c>
      <c r="L4330" s="3" t="n">
        <v>341723.7</v>
      </c>
      <c r="M4330" s="3" t="n">
        <v>0.0876</v>
      </c>
      <c r="N4330" s="3" t="n">
        <v>29935</v>
      </c>
      <c r="O4330" s="3" t="n">
        <v>311788.7</v>
      </c>
      <c r="P4330" s="3" t="n">
        <v>198199.75</v>
      </c>
      <c r="Q4330" s="3" t="n">
        <v>113588.95</v>
      </c>
      <c r="R4330" s="3" t="n">
        <v>0.3643</v>
      </c>
      <c r="S4330" s="3" t="n">
        <v>0.075</v>
      </c>
      <c r="T4330" s="3" t="n">
        <v>0.0126</v>
      </c>
    </row>
    <row r="4331" customFormat="false" ht="15" hidden="false" customHeight="true" outlineLevel="0" collapsed="false">
      <c r="A4331" s="3" t="s">
        <v>5496</v>
      </c>
      <c r="B4331" s="3" t="s">
        <v>1566</v>
      </c>
      <c r="C4331" s="3" t="s">
        <v>37</v>
      </c>
      <c r="D4331" s="3" t="s">
        <v>69</v>
      </c>
      <c r="E4331" s="3" t="s">
        <v>39</v>
      </c>
      <c r="F4331" s="3" t="s">
        <v>70</v>
      </c>
      <c r="G4331" s="3" t="s">
        <v>26</v>
      </c>
      <c r="H4331" s="3" t="s">
        <v>56</v>
      </c>
      <c r="I4331" s="3" t="s">
        <v>57</v>
      </c>
      <c r="J4331" s="3" t="n">
        <v>33</v>
      </c>
      <c r="K4331" s="3" t="n">
        <v>3516.69</v>
      </c>
      <c r="L4331" s="3" t="n">
        <v>116050.77</v>
      </c>
      <c r="M4331" s="3" t="n">
        <v>0.048</v>
      </c>
      <c r="N4331" s="3" t="n">
        <v>5570.44</v>
      </c>
      <c r="O4331" s="3" t="n">
        <v>110480.33</v>
      </c>
      <c r="P4331" s="3" t="n">
        <v>69630.46</v>
      </c>
      <c r="Q4331" s="3" t="n">
        <v>40849.87</v>
      </c>
      <c r="R4331" s="3" t="n">
        <v>0.3697</v>
      </c>
      <c r="S4331" s="3" t="n">
        <v>0.0437</v>
      </c>
      <c r="T4331" s="3" t="n">
        <v>0.0043</v>
      </c>
    </row>
    <row r="4332" customFormat="false" ht="15" hidden="false" customHeight="true" outlineLevel="0" collapsed="false">
      <c r="A4332" s="3" t="s">
        <v>5497</v>
      </c>
      <c r="B4332" s="3" t="s">
        <v>942</v>
      </c>
      <c r="C4332" s="3" t="s">
        <v>22</v>
      </c>
      <c r="D4332" s="3" t="s">
        <v>61</v>
      </c>
      <c r="E4332" s="3" t="s">
        <v>33</v>
      </c>
      <c r="F4332" s="3" t="s">
        <v>62</v>
      </c>
      <c r="G4332" s="3" t="s">
        <v>41</v>
      </c>
      <c r="H4332" s="3" t="s">
        <v>56</v>
      </c>
      <c r="I4332" s="3" t="s">
        <v>121</v>
      </c>
      <c r="J4332" s="3" t="n">
        <v>34</v>
      </c>
      <c r="K4332" s="3" t="n">
        <v>7092.76</v>
      </c>
      <c r="L4332" s="3" t="n">
        <v>241153.84</v>
      </c>
      <c r="M4332" s="3" t="n">
        <v>0.131</v>
      </c>
      <c r="N4332" s="3" t="n">
        <v>31591.15</v>
      </c>
      <c r="O4332" s="3" t="n">
        <v>209562.69</v>
      </c>
      <c r="P4332" s="3" t="n">
        <v>144692.3</v>
      </c>
      <c r="Q4332" s="3" t="n">
        <v>64870.39</v>
      </c>
      <c r="R4332" s="3" t="n">
        <v>0.3096</v>
      </c>
      <c r="S4332" s="3" t="n">
        <v>0.1151</v>
      </c>
      <c r="T4332" s="3" t="n">
        <v>0.0159</v>
      </c>
    </row>
    <row r="4333" customFormat="false" ht="15" hidden="false" customHeight="true" outlineLevel="0" collapsed="false">
      <c r="A4333" s="3" t="s">
        <v>5498</v>
      </c>
      <c r="B4333" s="3" t="s">
        <v>2665</v>
      </c>
      <c r="C4333" s="3" t="s">
        <v>68</v>
      </c>
      <c r="D4333" s="3" t="s">
        <v>32</v>
      </c>
      <c r="E4333" s="3" t="s">
        <v>33</v>
      </c>
      <c r="F4333" s="3" t="s">
        <v>25</v>
      </c>
      <c r="G4333" s="3" t="s">
        <v>49</v>
      </c>
      <c r="H4333" s="3" t="s">
        <v>27</v>
      </c>
      <c r="I4333" s="3" t="s">
        <v>117</v>
      </c>
      <c r="J4333" s="3" t="n">
        <v>2</v>
      </c>
      <c r="K4333" s="3" t="n">
        <v>20874.79</v>
      </c>
      <c r="L4333" s="3" t="n">
        <v>41749.58</v>
      </c>
      <c r="M4333" s="3" t="n">
        <v>0.1533</v>
      </c>
      <c r="N4333" s="3" t="n">
        <v>6400.21</v>
      </c>
      <c r="O4333" s="3" t="n">
        <v>35349.37</v>
      </c>
      <c r="P4333" s="3" t="n">
        <v>25884.74</v>
      </c>
      <c r="Q4333" s="3" t="n">
        <v>9464.63</v>
      </c>
      <c r="R4333" s="3" t="n">
        <v>0.2677</v>
      </c>
      <c r="S4333" s="3" t="n">
        <v>0.1296</v>
      </c>
      <c r="T4333" s="3" t="n">
        <v>0.0237</v>
      </c>
    </row>
    <row r="4334" customFormat="false" ht="15" hidden="false" customHeight="true" outlineLevel="0" collapsed="false">
      <c r="A4334" s="3" t="s">
        <v>5499</v>
      </c>
      <c r="B4334" s="3" t="s">
        <v>1590</v>
      </c>
      <c r="C4334" s="3" t="s">
        <v>93</v>
      </c>
      <c r="D4334" s="3" t="s">
        <v>83</v>
      </c>
      <c r="E4334" s="3" t="s">
        <v>48</v>
      </c>
      <c r="F4334" s="3" t="s">
        <v>62</v>
      </c>
      <c r="G4334" s="3" t="s">
        <v>71</v>
      </c>
      <c r="H4334" s="3" t="s">
        <v>64</v>
      </c>
      <c r="I4334" s="3" t="s">
        <v>145</v>
      </c>
      <c r="J4334" s="3" t="n">
        <v>40</v>
      </c>
      <c r="K4334" s="3" t="n">
        <v>5724.88</v>
      </c>
      <c r="L4334" s="3" t="n">
        <v>228995.2</v>
      </c>
      <c r="M4334" s="3" t="n">
        <v>0.0305</v>
      </c>
      <c r="N4334" s="3" t="n">
        <v>6984.35</v>
      </c>
      <c r="O4334" s="3" t="n">
        <v>222010.85</v>
      </c>
      <c r="P4334" s="3" t="n">
        <v>132817.22</v>
      </c>
      <c r="Q4334" s="3" t="n">
        <v>89193.63</v>
      </c>
      <c r="R4334" s="3" t="n">
        <v>0.4018</v>
      </c>
      <c r="S4334" s="3" t="n">
        <v>0.0297</v>
      </c>
      <c r="T4334" s="3" t="n">
        <v>0.0008</v>
      </c>
    </row>
    <row r="4335" customFormat="false" ht="15" hidden="false" customHeight="true" outlineLevel="0" collapsed="false">
      <c r="A4335" s="3" t="s">
        <v>5500</v>
      </c>
      <c r="B4335" s="3" t="s">
        <v>1198</v>
      </c>
      <c r="C4335" s="3" t="s">
        <v>31</v>
      </c>
      <c r="D4335" s="3" t="s">
        <v>107</v>
      </c>
      <c r="E4335" s="3" t="s">
        <v>33</v>
      </c>
      <c r="F4335" s="3" t="s">
        <v>70</v>
      </c>
      <c r="G4335" s="3" t="s">
        <v>84</v>
      </c>
      <c r="H4335" s="3" t="s">
        <v>77</v>
      </c>
      <c r="I4335" s="3" t="s">
        <v>78</v>
      </c>
      <c r="J4335" s="3" t="n">
        <v>33</v>
      </c>
      <c r="K4335" s="3" t="n">
        <v>1681.26</v>
      </c>
      <c r="L4335" s="3" t="n">
        <v>55481.58</v>
      </c>
      <c r="M4335" s="3" t="n">
        <v>0.0592</v>
      </c>
      <c r="N4335" s="3" t="n">
        <v>3284.51</v>
      </c>
      <c r="O4335" s="3" t="n">
        <v>52197.07</v>
      </c>
      <c r="P4335" s="3" t="n">
        <v>37727.47</v>
      </c>
      <c r="Q4335" s="3" t="n">
        <v>14469.6</v>
      </c>
      <c r="R4335" s="3" t="n">
        <v>0.2772</v>
      </c>
      <c r="S4335" s="3" t="n">
        <v>0.059</v>
      </c>
      <c r="T4335" s="3" t="n">
        <v>0.0002</v>
      </c>
    </row>
    <row r="4336" customFormat="false" ht="15" hidden="false" customHeight="true" outlineLevel="0" collapsed="false">
      <c r="A4336" s="3" t="s">
        <v>5501</v>
      </c>
      <c r="B4336" s="3" t="s">
        <v>4339</v>
      </c>
      <c r="C4336" s="3" t="s">
        <v>60</v>
      </c>
      <c r="D4336" s="3" t="s">
        <v>61</v>
      </c>
      <c r="E4336" s="3" t="s">
        <v>33</v>
      </c>
      <c r="F4336" s="3" t="s">
        <v>62</v>
      </c>
      <c r="G4336" s="3" t="s">
        <v>26</v>
      </c>
      <c r="H4336" s="3" t="s">
        <v>64</v>
      </c>
      <c r="I4336" s="3" t="s">
        <v>108</v>
      </c>
      <c r="J4336" s="3" t="n">
        <v>4</v>
      </c>
      <c r="K4336" s="3" t="n">
        <v>10143.81</v>
      </c>
      <c r="L4336" s="3" t="n">
        <v>40575.24</v>
      </c>
      <c r="M4336" s="3" t="n">
        <v>0.0562</v>
      </c>
      <c r="N4336" s="3" t="n">
        <v>2280.33</v>
      </c>
      <c r="O4336" s="3" t="n">
        <v>38294.91</v>
      </c>
      <c r="P4336" s="3" t="n">
        <v>23533.64</v>
      </c>
      <c r="Q4336" s="3" t="n">
        <v>14761.27</v>
      </c>
      <c r="R4336" s="3" t="n">
        <v>0.3855</v>
      </c>
      <c r="S4336" s="3" t="n">
        <v>0.0593</v>
      </c>
      <c r="T4336" s="3" t="n">
        <v>-0.0031</v>
      </c>
    </row>
    <row r="4337" customFormat="false" ht="15" hidden="false" customHeight="true" outlineLevel="0" collapsed="false">
      <c r="A4337" s="3" t="s">
        <v>5502</v>
      </c>
      <c r="B4337" s="3" t="s">
        <v>5503</v>
      </c>
      <c r="C4337" s="3" t="s">
        <v>22</v>
      </c>
      <c r="D4337" s="3" t="s">
        <v>47</v>
      </c>
      <c r="E4337" s="3" t="s">
        <v>48</v>
      </c>
      <c r="F4337" s="3" t="s">
        <v>25</v>
      </c>
      <c r="G4337" s="3" t="s">
        <v>63</v>
      </c>
      <c r="H4337" s="3" t="s">
        <v>56</v>
      </c>
      <c r="I4337" s="3" t="s">
        <v>57</v>
      </c>
      <c r="J4337" s="3" t="n">
        <v>41</v>
      </c>
      <c r="K4337" s="3" t="n">
        <v>6674.75</v>
      </c>
      <c r="L4337" s="3" t="n">
        <v>273664.75</v>
      </c>
      <c r="M4337" s="3" t="n">
        <v>0.1156</v>
      </c>
      <c r="N4337" s="3" t="n">
        <v>31635.65</v>
      </c>
      <c r="O4337" s="3" t="n">
        <v>242029.1</v>
      </c>
      <c r="P4337" s="3" t="n">
        <v>164198.85</v>
      </c>
      <c r="Q4337" s="3" t="n">
        <v>77830.25</v>
      </c>
      <c r="R4337" s="3" t="n">
        <v>0.3216</v>
      </c>
      <c r="S4337" s="3" t="n">
        <v>0.1162</v>
      </c>
      <c r="T4337" s="3" t="n">
        <v>-0.0006</v>
      </c>
    </row>
    <row r="4338" customFormat="false" ht="15" hidden="false" customHeight="true" outlineLevel="0" collapsed="false">
      <c r="A4338" s="3" t="s">
        <v>5504</v>
      </c>
      <c r="B4338" s="3" t="s">
        <v>1021</v>
      </c>
      <c r="C4338" s="3" t="s">
        <v>60</v>
      </c>
      <c r="D4338" s="3" t="s">
        <v>107</v>
      </c>
      <c r="E4338" s="3" t="s">
        <v>33</v>
      </c>
      <c r="F4338" s="3" t="s">
        <v>70</v>
      </c>
      <c r="G4338" s="3" t="s">
        <v>34</v>
      </c>
      <c r="H4338" s="3" t="s">
        <v>56</v>
      </c>
      <c r="I4338" s="3" t="s">
        <v>188</v>
      </c>
      <c r="J4338" s="3" t="n">
        <v>11</v>
      </c>
      <c r="K4338" s="3" t="n">
        <v>2324.56</v>
      </c>
      <c r="L4338" s="3" t="n">
        <v>25570.16</v>
      </c>
      <c r="M4338" s="3" t="n">
        <v>0.1143</v>
      </c>
      <c r="N4338" s="3" t="n">
        <v>2922.67</v>
      </c>
      <c r="O4338" s="3" t="n">
        <v>22647.49</v>
      </c>
      <c r="P4338" s="3" t="n">
        <v>15342.1</v>
      </c>
      <c r="Q4338" s="3" t="n">
        <v>7305.39</v>
      </c>
      <c r="R4338" s="3" t="n">
        <v>0.3226</v>
      </c>
      <c r="S4338" s="3" t="n">
        <v>0.1093</v>
      </c>
      <c r="T4338" s="3" t="n">
        <v>0.005</v>
      </c>
    </row>
    <row r="4339" customFormat="false" ht="15" hidden="false" customHeight="true" outlineLevel="0" collapsed="false">
      <c r="A4339" s="3" t="s">
        <v>5505</v>
      </c>
      <c r="B4339" s="3" t="s">
        <v>3994</v>
      </c>
      <c r="C4339" s="3" t="s">
        <v>46</v>
      </c>
      <c r="D4339" s="3" t="s">
        <v>23</v>
      </c>
      <c r="E4339" s="3" t="s">
        <v>24</v>
      </c>
      <c r="F4339" s="3" t="s">
        <v>25</v>
      </c>
      <c r="G4339" s="3" t="s">
        <v>84</v>
      </c>
      <c r="H4339" s="3" t="s">
        <v>42</v>
      </c>
      <c r="I4339" s="3" t="s">
        <v>134</v>
      </c>
      <c r="J4339" s="3" t="n">
        <v>43</v>
      </c>
      <c r="K4339" s="3" t="n">
        <v>3765.18</v>
      </c>
      <c r="L4339" s="3" t="n">
        <v>161902.74</v>
      </c>
      <c r="M4339" s="3" t="n">
        <v>0.0974</v>
      </c>
      <c r="N4339" s="3" t="n">
        <v>15769.33</v>
      </c>
      <c r="O4339" s="3" t="n">
        <v>146133.41</v>
      </c>
      <c r="P4339" s="3" t="n">
        <v>89046.51</v>
      </c>
      <c r="Q4339" s="3" t="n">
        <v>57086.9</v>
      </c>
      <c r="R4339" s="3" t="n">
        <v>0.3906</v>
      </c>
      <c r="S4339" s="3" t="n">
        <v>0.0839</v>
      </c>
      <c r="T4339" s="3" t="n">
        <v>0.0135</v>
      </c>
    </row>
    <row r="4340" customFormat="false" ht="15" hidden="false" customHeight="true" outlineLevel="0" collapsed="false">
      <c r="A4340" s="3" t="s">
        <v>5506</v>
      </c>
      <c r="B4340" s="3" t="s">
        <v>3421</v>
      </c>
      <c r="C4340" s="3" t="s">
        <v>60</v>
      </c>
      <c r="D4340" s="3" t="s">
        <v>32</v>
      </c>
      <c r="E4340" s="3" t="s">
        <v>33</v>
      </c>
      <c r="F4340" s="3" t="s">
        <v>25</v>
      </c>
      <c r="G4340" s="3" t="s">
        <v>63</v>
      </c>
      <c r="H4340" s="3" t="s">
        <v>56</v>
      </c>
      <c r="I4340" s="3" t="s">
        <v>57</v>
      </c>
      <c r="J4340" s="3" t="n">
        <v>31</v>
      </c>
      <c r="K4340" s="3" t="n">
        <v>2670.09</v>
      </c>
      <c r="L4340" s="3" t="n">
        <v>82772.79</v>
      </c>
      <c r="M4340" s="3" t="n">
        <v>0.1094</v>
      </c>
      <c r="N4340" s="3" t="n">
        <v>9055.34</v>
      </c>
      <c r="O4340" s="3" t="n">
        <v>73717.45</v>
      </c>
      <c r="P4340" s="3" t="n">
        <v>49663.67</v>
      </c>
      <c r="Q4340" s="3" t="n">
        <v>24053.78</v>
      </c>
      <c r="R4340" s="3" t="n">
        <v>0.3263</v>
      </c>
      <c r="S4340" s="3" t="n">
        <v>0.1044</v>
      </c>
      <c r="T4340" s="3" t="n">
        <v>0.005</v>
      </c>
    </row>
    <row r="4341" customFormat="false" ht="15" hidden="false" customHeight="true" outlineLevel="0" collapsed="false">
      <c r="A4341" s="3" t="s">
        <v>5507</v>
      </c>
      <c r="B4341" s="3" t="s">
        <v>2979</v>
      </c>
      <c r="C4341" s="3" t="s">
        <v>126</v>
      </c>
      <c r="D4341" s="3" t="s">
        <v>32</v>
      </c>
      <c r="E4341" s="3" t="s">
        <v>33</v>
      </c>
      <c r="F4341" s="3" t="s">
        <v>25</v>
      </c>
      <c r="G4341" s="3" t="s">
        <v>26</v>
      </c>
      <c r="H4341" s="3" t="s">
        <v>64</v>
      </c>
      <c r="I4341" s="3" t="s">
        <v>108</v>
      </c>
      <c r="J4341" s="3" t="n">
        <v>20</v>
      </c>
      <c r="K4341" s="3" t="n">
        <v>11014.95</v>
      </c>
      <c r="L4341" s="3" t="n">
        <v>220299</v>
      </c>
      <c r="M4341" s="3" t="n">
        <v>0.1417</v>
      </c>
      <c r="N4341" s="3" t="n">
        <v>31216.37</v>
      </c>
      <c r="O4341" s="3" t="n">
        <v>189082.63</v>
      </c>
      <c r="P4341" s="3" t="n">
        <v>127773.42</v>
      </c>
      <c r="Q4341" s="3" t="n">
        <v>61309.21</v>
      </c>
      <c r="R4341" s="3" t="n">
        <v>0.3242</v>
      </c>
      <c r="S4341" s="3" t="n">
        <v>0.1466</v>
      </c>
      <c r="T4341" s="3" t="n">
        <v>-0.0049</v>
      </c>
    </row>
    <row r="4342" customFormat="false" ht="15" hidden="false" customHeight="true" outlineLevel="0" collapsed="false">
      <c r="A4342" s="3" t="s">
        <v>5508</v>
      </c>
      <c r="B4342" s="3" t="s">
        <v>3789</v>
      </c>
      <c r="C4342" s="3" t="s">
        <v>53</v>
      </c>
      <c r="D4342" s="3" t="s">
        <v>23</v>
      </c>
      <c r="E4342" s="3" t="s">
        <v>24</v>
      </c>
      <c r="F4342" s="3" t="s">
        <v>25</v>
      </c>
      <c r="G4342" s="3" t="s">
        <v>55</v>
      </c>
      <c r="H4342" s="3" t="s">
        <v>77</v>
      </c>
      <c r="I4342" s="3" t="s">
        <v>78</v>
      </c>
      <c r="J4342" s="3" t="n">
        <v>6</v>
      </c>
      <c r="K4342" s="3" t="n">
        <v>1587.53</v>
      </c>
      <c r="L4342" s="3" t="n">
        <v>9525.18</v>
      </c>
      <c r="M4342" s="3" t="n">
        <v>0.1716</v>
      </c>
      <c r="N4342" s="3" t="n">
        <v>1634.52</v>
      </c>
      <c r="O4342" s="3" t="n">
        <v>7890.66</v>
      </c>
      <c r="P4342" s="3" t="n">
        <v>6477.12</v>
      </c>
      <c r="Q4342" s="3" t="n">
        <v>1413.54</v>
      </c>
      <c r="R4342" s="3" t="n">
        <v>0.1791</v>
      </c>
      <c r="S4342" s="3" t="n">
        <v>0.1812</v>
      </c>
      <c r="T4342" s="3" t="n">
        <v>-0.0096</v>
      </c>
    </row>
    <row r="4343" customFormat="false" ht="15" hidden="false" customHeight="true" outlineLevel="0" collapsed="false">
      <c r="A4343" s="3" t="s">
        <v>5509</v>
      </c>
      <c r="B4343" s="3" t="s">
        <v>2444</v>
      </c>
      <c r="C4343" s="3" t="s">
        <v>46</v>
      </c>
      <c r="D4343" s="3" t="s">
        <v>97</v>
      </c>
      <c r="E4343" s="3" t="s">
        <v>48</v>
      </c>
      <c r="F4343" s="3" t="s">
        <v>40</v>
      </c>
      <c r="G4343" s="3" t="s">
        <v>34</v>
      </c>
      <c r="H4343" s="3" t="s">
        <v>64</v>
      </c>
      <c r="I4343" s="3" t="s">
        <v>65</v>
      </c>
      <c r="J4343" s="3" t="n">
        <v>4</v>
      </c>
      <c r="K4343" s="3" t="n">
        <v>11485.07</v>
      </c>
      <c r="L4343" s="3" t="n">
        <v>45940.28</v>
      </c>
      <c r="M4343" s="3" t="n">
        <v>0.1133</v>
      </c>
      <c r="N4343" s="3" t="n">
        <v>5205.03</v>
      </c>
      <c r="O4343" s="3" t="n">
        <v>40735.25</v>
      </c>
      <c r="P4343" s="3" t="n">
        <v>26645.36</v>
      </c>
      <c r="Q4343" s="3" t="n">
        <v>14089.89</v>
      </c>
      <c r="R4343" s="3" t="n">
        <v>0.3459</v>
      </c>
      <c r="S4343" s="3" t="n">
        <v>0.1046</v>
      </c>
      <c r="T4343" s="3" t="n">
        <v>0.0087</v>
      </c>
    </row>
    <row r="4344" customFormat="false" ht="15" hidden="false" customHeight="true" outlineLevel="0" collapsed="false">
      <c r="A4344" s="3" t="s">
        <v>5510</v>
      </c>
      <c r="B4344" s="3" t="s">
        <v>655</v>
      </c>
      <c r="C4344" s="3" t="s">
        <v>156</v>
      </c>
      <c r="D4344" s="3" t="s">
        <v>47</v>
      </c>
      <c r="E4344" s="3" t="s">
        <v>48</v>
      </c>
      <c r="F4344" s="3" t="s">
        <v>25</v>
      </c>
      <c r="G4344" s="3" t="s">
        <v>41</v>
      </c>
      <c r="H4344" s="3" t="s">
        <v>77</v>
      </c>
      <c r="I4344" s="3" t="s">
        <v>131</v>
      </c>
      <c r="J4344" s="3" t="n">
        <v>24</v>
      </c>
      <c r="K4344" s="3" t="n">
        <v>3715.98</v>
      </c>
      <c r="L4344" s="3" t="n">
        <v>89183.52</v>
      </c>
      <c r="M4344" s="3" t="n">
        <v>0.1679</v>
      </c>
      <c r="N4344" s="3" t="n">
        <v>14973.91</v>
      </c>
      <c r="O4344" s="3" t="n">
        <v>74209.61</v>
      </c>
      <c r="P4344" s="3" t="n">
        <v>60644.79</v>
      </c>
      <c r="Q4344" s="3" t="n">
        <v>13564.82</v>
      </c>
      <c r="R4344" s="3" t="n">
        <v>0.1828</v>
      </c>
      <c r="S4344" s="3" t="n">
        <v>0.1612</v>
      </c>
      <c r="T4344" s="3" t="n">
        <v>0.0067</v>
      </c>
    </row>
    <row r="4345" customFormat="false" ht="15" hidden="false" customHeight="true" outlineLevel="0" collapsed="false">
      <c r="A4345" s="3" t="s">
        <v>5511</v>
      </c>
      <c r="B4345" s="3" t="s">
        <v>3925</v>
      </c>
      <c r="C4345" s="3" t="s">
        <v>120</v>
      </c>
      <c r="D4345" s="3" t="s">
        <v>103</v>
      </c>
      <c r="E4345" s="3" t="s">
        <v>24</v>
      </c>
      <c r="F4345" s="3" t="s">
        <v>62</v>
      </c>
      <c r="G4345" s="3" t="s">
        <v>63</v>
      </c>
      <c r="H4345" s="3" t="s">
        <v>77</v>
      </c>
      <c r="I4345" s="3" t="s">
        <v>85</v>
      </c>
      <c r="J4345" s="3" t="n">
        <v>37</v>
      </c>
      <c r="K4345" s="3" t="n">
        <v>1930.87</v>
      </c>
      <c r="L4345" s="3" t="n">
        <v>71442.19</v>
      </c>
      <c r="M4345" s="3" t="n">
        <v>0.0476</v>
      </c>
      <c r="N4345" s="3" t="n">
        <v>3400.65</v>
      </c>
      <c r="O4345" s="3" t="n">
        <v>68041.54</v>
      </c>
      <c r="P4345" s="3" t="n">
        <v>48580.69</v>
      </c>
      <c r="Q4345" s="3" t="n">
        <v>19460.85</v>
      </c>
      <c r="R4345" s="3" t="n">
        <v>0.286</v>
      </c>
      <c r="S4345" s="3" t="n">
        <v>0.0471</v>
      </c>
      <c r="T4345" s="3" t="n">
        <v>0.0005</v>
      </c>
    </row>
    <row r="4346" customFormat="false" ht="15" hidden="false" customHeight="true" outlineLevel="0" collapsed="false">
      <c r="A4346" s="3" t="s">
        <v>5512</v>
      </c>
      <c r="B4346" s="3" t="s">
        <v>1505</v>
      </c>
      <c r="C4346" s="3" t="s">
        <v>31</v>
      </c>
      <c r="D4346" s="3" t="s">
        <v>107</v>
      </c>
      <c r="E4346" s="3" t="s">
        <v>33</v>
      </c>
      <c r="F4346" s="3" t="s">
        <v>70</v>
      </c>
      <c r="G4346" s="3" t="s">
        <v>63</v>
      </c>
      <c r="H4346" s="3" t="s">
        <v>42</v>
      </c>
      <c r="I4346" s="3" t="s">
        <v>72</v>
      </c>
      <c r="J4346" s="3" t="n">
        <v>25</v>
      </c>
      <c r="K4346" s="3" t="n">
        <v>779.3</v>
      </c>
      <c r="L4346" s="3" t="n">
        <v>19482.5</v>
      </c>
      <c r="M4346" s="3" t="n">
        <v>0.0666</v>
      </c>
      <c r="N4346" s="3" t="n">
        <v>1297.53</v>
      </c>
      <c r="O4346" s="3" t="n">
        <v>18184.97</v>
      </c>
      <c r="P4346" s="3" t="n">
        <v>10715.38</v>
      </c>
      <c r="Q4346" s="3" t="n">
        <v>7469.59</v>
      </c>
      <c r="R4346" s="3" t="n">
        <v>0.4108</v>
      </c>
      <c r="S4346" s="3" t="n">
        <v>0.0682</v>
      </c>
      <c r="T4346" s="3" t="n">
        <v>-0.0016</v>
      </c>
    </row>
    <row r="4347" customFormat="false" ht="15" hidden="false" customHeight="true" outlineLevel="0" collapsed="false">
      <c r="A4347" s="3" t="s">
        <v>5513</v>
      </c>
      <c r="B4347" s="3" t="s">
        <v>858</v>
      </c>
      <c r="C4347" s="3" t="s">
        <v>156</v>
      </c>
      <c r="D4347" s="3" t="s">
        <v>97</v>
      </c>
      <c r="E4347" s="3" t="s">
        <v>48</v>
      </c>
      <c r="F4347" s="3" t="s">
        <v>40</v>
      </c>
      <c r="G4347" s="3" t="s">
        <v>63</v>
      </c>
      <c r="H4347" s="3" t="s">
        <v>27</v>
      </c>
      <c r="I4347" s="3" t="s">
        <v>117</v>
      </c>
      <c r="J4347" s="3" t="n">
        <v>19</v>
      </c>
      <c r="K4347" s="3" t="n">
        <v>36512.33</v>
      </c>
      <c r="L4347" s="3" t="n">
        <v>693734.27</v>
      </c>
      <c r="M4347" s="3" t="n">
        <v>0.0509</v>
      </c>
      <c r="N4347" s="3" t="n">
        <v>35311.07</v>
      </c>
      <c r="O4347" s="3" t="n">
        <v>658423.2</v>
      </c>
      <c r="P4347" s="3" t="n">
        <v>430115.25</v>
      </c>
      <c r="Q4347" s="3" t="n">
        <v>228307.95</v>
      </c>
      <c r="R4347" s="3" t="n">
        <v>0.3467</v>
      </c>
      <c r="S4347" s="3" t="n">
        <v>0.0505</v>
      </c>
      <c r="T4347" s="3" t="n">
        <v>0.0004</v>
      </c>
    </row>
    <row r="4348" customFormat="false" ht="15" hidden="false" customHeight="true" outlineLevel="0" collapsed="false">
      <c r="A4348" s="3" t="s">
        <v>5514</v>
      </c>
      <c r="B4348" s="3" t="s">
        <v>2240</v>
      </c>
      <c r="C4348" s="3" t="s">
        <v>120</v>
      </c>
      <c r="D4348" s="3" t="s">
        <v>83</v>
      </c>
      <c r="E4348" s="3" t="s">
        <v>48</v>
      </c>
      <c r="F4348" s="3" t="s">
        <v>62</v>
      </c>
      <c r="G4348" s="3" t="s">
        <v>71</v>
      </c>
      <c r="H4348" s="3" t="s">
        <v>42</v>
      </c>
      <c r="I4348" s="3" t="s">
        <v>72</v>
      </c>
      <c r="J4348" s="3" t="n">
        <v>33</v>
      </c>
      <c r="K4348" s="3" t="n">
        <v>1674.25</v>
      </c>
      <c r="L4348" s="3" t="n">
        <v>55250.25</v>
      </c>
      <c r="M4348" s="3" t="n">
        <v>0.0715</v>
      </c>
      <c r="N4348" s="3" t="n">
        <v>3950.39</v>
      </c>
      <c r="O4348" s="3" t="n">
        <v>51299.86</v>
      </c>
      <c r="P4348" s="3" t="n">
        <v>30387.64</v>
      </c>
      <c r="Q4348" s="3" t="n">
        <v>20912.22</v>
      </c>
      <c r="R4348" s="3" t="n">
        <v>0.4076</v>
      </c>
      <c r="S4348" s="3" t="n">
        <v>0.0767</v>
      </c>
      <c r="T4348" s="3" t="n">
        <v>-0.0052</v>
      </c>
    </row>
    <row r="4349" customFormat="false" ht="15" hidden="false" customHeight="true" outlineLevel="0" collapsed="false">
      <c r="A4349" s="3" t="s">
        <v>5515</v>
      </c>
      <c r="B4349" s="3" t="s">
        <v>1365</v>
      </c>
      <c r="C4349" s="3" t="s">
        <v>68</v>
      </c>
      <c r="D4349" s="3" t="s">
        <v>97</v>
      </c>
      <c r="E4349" s="3" t="s">
        <v>48</v>
      </c>
      <c r="F4349" s="3" t="s">
        <v>40</v>
      </c>
      <c r="G4349" s="3" t="s">
        <v>76</v>
      </c>
      <c r="H4349" s="3" t="s">
        <v>77</v>
      </c>
      <c r="I4349" s="3" t="s">
        <v>131</v>
      </c>
      <c r="J4349" s="3" t="n">
        <v>2</v>
      </c>
      <c r="K4349" s="3" t="n">
        <v>2531.79</v>
      </c>
      <c r="L4349" s="3" t="n">
        <v>5063.58</v>
      </c>
      <c r="M4349" s="3" t="n">
        <v>0.0508</v>
      </c>
      <c r="N4349" s="3" t="n">
        <v>257.23</v>
      </c>
      <c r="O4349" s="3" t="n">
        <v>4806.35</v>
      </c>
      <c r="P4349" s="3" t="n">
        <v>3443.23</v>
      </c>
      <c r="Q4349" s="3" t="n">
        <v>1363.12</v>
      </c>
      <c r="R4349" s="3" t="n">
        <v>0.2836</v>
      </c>
      <c r="S4349" s="3" t="n">
        <v>0.049</v>
      </c>
      <c r="T4349" s="3" t="n">
        <v>0.0018</v>
      </c>
    </row>
    <row r="4350" customFormat="false" ht="15" hidden="false" customHeight="true" outlineLevel="0" collapsed="false">
      <c r="A4350" s="3" t="s">
        <v>5516</v>
      </c>
      <c r="B4350" s="3" t="s">
        <v>1158</v>
      </c>
      <c r="C4350" s="3" t="s">
        <v>22</v>
      </c>
      <c r="D4350" s="3" t="s">
        <v>54</v>
      </c>
      <c r="E4350" s="3" t="s">
        <v>24</v>
      </c>
      <c r="F4350" s="3" t="s">
        <v>40</v>
      </c>
      <c r="G4350" s="3" t="s">
        <v>34</v>
      </c>
      <c r="H4350" s="3" t="s">
        <v>42</v>
      </c>
      <c r="I4350" s="3" t="s">
        <v>134</v>
      </c>
      <c r="J4350" s="3" t="n">
        <v>10</v>
      </c>
      <c r="K4350" s="3" t="n">
        <v>3469.29</v>
      </c>
      <c r="L4350" s="3" t="n">
        <v>34692.9</v>
      </c>
      <c r="M4350" s="3" t="n">
        <v>0.1127</v>
      </c>
      <c r="N4350" s="3" t="n">
        <v>3909.89</v>
      </c>
      <c r="O4350" s="3" t="n">
        <v>30783.01</v>
      </c>
      <c r="P4350" s="3" t="n">
        <v>19081.1</v>
      </c>
      <c r="Q4350" s="3" t="n">
        <v>11701.91</v>
      </c>
      <c r="R4350" s="3" t="n">
        <v>0.3801</v>
      </c>
      <c r="S4350" s="3" t="n">
        <v>0.1197</v>
      </c>
      <c r="T4350" s="3" t="n">
        <v>-0.007</v>
      </c>
    </row>
    <row r="4351" customFormat="false" ht="15" hidden="false" customHeight="true" outlineLevel="0" collapsed="false">
      <c r="A4351" s="3" t="s">
        <v>5517</v>
      </c>
      <c r="B4351" s="3" t="s">
        <v>2708</v>
      </c>
      <c r="C4351" s="3" t="s">
        <v>156</v>
      </c>
      <c r="D4351" s="3" t="s">
        <v>23</v>
      </c>
      <c r="E4351" s="3" t="s">
        <v>24</v>
      </c>
      <c r="F4351" s="3" t="s">
        <v>25</v>
      </c>
      <c r="G4351" s="3" t="s">
        <v>34</v>
      </c>
      <c r="H4351" s="3" t="s">
        <v>42</v>
      </c>
      <c r="I4351" s="3" t="s">
        <v>43</v>
      </c>
      <c r="J4351" s="3" t="n">
        <v>37</v>
      </c>
      <c r="K4351" s="3" t="n">
        <v>3209.65</v>
      </c>
      <c r="L4351" s="3" t="n">
        <v>118757.05</v>
      </c>
      <c r="M4351" s="3" t="n">
        <v>0.1312</v>
      </c>
      <c r="N4351" s="3" t="n">
        <v>15580.92</v>
      </c>
      <c r="O4351" s="3" t="n">
        <v>103176.13</v>
      </c>
      <c r="P4351" s="3" t="n">
        <v>65316.38</v>
      </c>
      <c r="Q4351" s="3" t="n">
        <v>37859.75</v>
      </c>
      <c r="R4351" s="3" t="n">
        <v>0.3669</v>
      </c>
      <c r="S4351" s="3" t="n">
        <v>0.1231</v>
      </c>
      <c r="T4351" s="3" t="n">
        <v>0.0081</v>
      </c>
    </row>
    <row r="4352" customFormat="false" ht="15" hidden="false" customHeight="true" outlineLevel="0" collapsed="false">
      <c r="A4352" s="3" t="s">
        <v>5518</v>
      </c>
      <c r="B4352" s="3" t="s">
        <v>803</v>
      </c>
      <c r="C4352" s="3" t="s">
        <v>156</v>
      </c>
      <c r="D4352" s="3" t="s">
        <v>61</v>
      </c>
      <c r="E4352" s="3" t="s">
        <v>33</v>
      </c>
      <c r="F4352" s="3" t="s">
        <v>62</v>
      </c>
      <c r="G4352" s="3" t="s">
        <v>41</v>
      </c>
      <c r="H4352" s="3" t="s">
        <v>27</v>
      </c>
      <c r="I4352" s="3" t="s">
        <v>173</v>
      </c>
      <c r="J4352" s="3" t="n">
        <v>24</v>
      </c>
      <c r="K4352" s="3" t="n">
        <v>27729.44</v>
      </c>
      <c r="L4352" s="3" t="n">
        <v>665506.56</v>
      </c>
      <c r="M4352" s="3" t="n">
        <v>0.061</v>
      </c>
      <c r="N4352" s="3" t="n">
        <v>40595.9</v>
      </c>
      <c r="O4352" s="3" t="n">
        <v>624910.66</v>
      </c>
      <c r="P4352" s="3" t="n">
        <v>412614.07</v>
      </c>
      <c r="Q4352" s="3" t="n">
        <v>212296.59</v>
      </c>
      <c r="R4352" s="3" t="n">
        <v>0.3397</v>
      </c>
      <c r="S4352" s="3" t="n">
        <v>0.0669</v>
      </c>
      <c r="T4352" s="3" t="n">
        <v>-0.0059</v>
      </c>
    </row>
    <row r="4353" customFormat="false" ht="15" hidden="false" customHeight="true" outlineLevel="0" collapsed="false">
      <c r="A4353" s="3" t="s">
        <v>5519</v>
      </c>
      <c r="B4353" s="3" t="s">
        <v>3334</v>
      </c>
      <c r="C4353" s="3" t="s">
        <v>113</v>
      </c>
      <c r="D4353" s="3" t="s">
        <v>23</v>
      </c>
      <c r="E4353" s="3" t="s">
        <v>24</v>
      </c>
      <c r="F4353" s="3" t="s">
        <v>25</v>
      </c>
      <c r="G4353" s="3" t="s">
        <v>63</v>
      </c>
      <c r="H4353" s="3" t="s">
        <v>27</v>
      </c>
      <c r="I4353" s="3" t="s">
        <v>173</v>
      </c>
      <c r="J4353" s="3" t="n">
        <v>17</v>
      </c>
      <c r="K4353" s="3" t="n">
        <v>22224.21</v>
      </c>
      <c r="L4353" s="3" t="n">
        <v>377811.57</v>
      </c>
      <c r="M4353" s="3" t="n">
        <v>0.1158</v>
      </c>
      <c r="N4353" s="3" t="n">
        <v>43750.58</v>
      </c>
      <c r="O4353" s="3" t="n">
        <v>334060.99</v>
      </c>
      <c r="P4353" s="3" t="n">
        <v>234243.17</v>
      </c>
      <c r="Q4353" s="3" t="n">
        <v>99817.82</v>
      </c>
      <c r="R4353" s="3" t="n">
        <v>0.2988</v>
      </c>
      <c r="S4353" s="3" t="n">
        <v>0.1154</v>
      </c>
      <c r="T4353" s="3" t="n">
        <v>0.0004</v>
      </c>
    </row>
    <row r="4354" customFormat="false" ht="15" hidden="false" customHeight="true" outlineLevel="0" collapsed="false">
      <c r="A4354" s="3" t="s">
        <v>5520</v>
      </c>
      <c r="B4354" s="3" t="s">
        <v>829</v>
      </c>
      <c r="C4354" s="3" t="s">
        <v>53</v>
      </c>
      <c r="D4354" s="3" t="s">
        <v>61</v>
      </c>
      <c r="E4354" s="3" t="s">
        <v>33</v>
      </c>
      <c r="F4354" s="3" t="s">
        <v>62</v>
      </c>
      <c r="G4354" s="3" t="s">
        <v>76</v>
      </c>
      <c r="H4354" s="3" t="s">
        <v>77</v>
      </c>
      <c r="I4354" s="3" t="s">
        <v>131</v>
      </c>
      <c r="J4354" s="3" t="n">
        <v>49</v>
      </c>
      <c r="K4354" s="3" t="n">
        <v>3384.39</v>
      </c>
      <c r="L4354" s="3" t="n">
        <v>165835.11</v>
      </c>
      <c r="M4354" s="3" t="n">
        <v>0.0458</v>
      </c>
      <c r="N4354" s="3" t="n">
        <v>7595.25</v>
      </c>
      <c r="O4354" s="3" t="n">
        <v>158239.86</v>
      </c>
      <c r="P4354" s="3" t="n">
        <v>112767.87</v>
      </c>
      <c r="Q4354" s="3" t="n">
        <v>45471.99</v>
      </c>
      <c r="R4354" s="3" t="n">
        <v>0.2874</v>
      </c>
      <c r="S4354" s="3" t="n">
        <v>0.0468</v>
      </c>
      <c r="T4354" s="3" t="n">
        <v>-0.001</v>
      </c>
    </row>
    <row r="4355" customFormat="false" ht="15" hidden="false" customHeight="true" outlineLevel="0" collapsed="false">
      <c r="A4355" s="3" t="s">
        <v>5521</v>
      </c>
      <c r="B4355" s="3" t="s">
        <v>187</v>
      </c>
      <c r="C4355" s="3" t="s">
        <v>156</v>
      </c>
      <c r="D4355" s="3" t="s">
        <v>61</v>
      </c>
      <c r="E4355" s="3" t="s">
        <v>33</v>
      </c>
      <c r="F4355" s="3" t="s">
        <v>62</v>
      </c>
      <c r="G4355" s="3" t="s">
        <v>76</v>
      </c>
      <c r="H4355" s="3" t="s">
        <v>64</v>
      </c>
      <c r="I4355" s="3" t="s">
        <v>108</v>
      </c>
      <c r="J4355" s="3" t="n">
        <v>38</v>
      </c>
      <c r="K4355" s="3" t="n">
        <v>9783.69</v>
      </c>
      <c r="L4355" s="3" t="n">
        <v>371780.22</v>
      </c>
      <c r="M4355" s="3" t="n">
        <v>0.0389</v>
      </c>
      <c r="N4355" s="3" t="n">
        <v>14462.25</v>
      </c>
      <c r="O4355" s="3" t="n">
        <v>357317.97</v>
      </c>
      <c r="P4355" s="3" t="n">
        <v>215632.53</v>
      </c>
      <c r="Q4355" s="3" t="n">
        <v>141685.44</v>
      </c>
      <c r="R4355" s="3" t="n">
        <v>0.3965</v>
      </c>
      <c r="S4355" s="3" t="n">
        <v>0.0407</v>
      </c>
      <c r="T4355" s="3" t="n">
        <v>-0.0018</v>
      </c>
    </row>
    <row r="4356" customFormat="false" ht="15" hidden="false" customHeight="true" outlineLevel="0" collapsed="false">
      <c r="A4356" s="3" t="s">
        <v>5522</v>
      </c>
      <c r="B4356" s="3" t="s">
        <v>362</v>
      </c>
      <c r="C4356" s="3" t="s">
        <v>37</v>
      </c>
      <c r="D4356" s="3" t="s">
        <v>75</v>
      </c>
      <c r="E4356" s="3" t="s">
        <v>39</v>
      </c>
      <c r="F4356" s="3" t="s">
        <v>25</v>
      </c>
      <c r="G4356" s="3" t="s">
        <v>100</v>
      </c>
      <c r="H4356" s="3" t="s">
        <v>56</v>
      </c>
      <c r="I4356" s="3" t="s">
        <v>121</v>
      </c>
      <c r="J4356" s="3" t="n">
        <v>42</v>
      </c>
      <c r="K4356" s="3" t="n">
        <v>3155.6</v>
      </c>
      <c r="L4356" s="3" t="n">
        <v>132535.2</v>
      </c>
      <c r="M4356" s="3" t="n">
        <v>0.1198</v>
      </c>
      <c r="N4356" s="3" t="n">
        <v>15877.72</v>
      </c>
      <c r="O4356" s="3" t="n">
        <v>116657.48</v>
      </c>
      <c r="P4356" s="3" t="n">
        <v>79521.12</v>
      </c>
      <c r="Q4356" s="3" t="n">
        <v>37136.36</v>
      </c>
      <c r="R4356" s="3" t="n">
        <v>0.3183</v>
      </c>
      <c r="S4356" s="3" t="n">
        <v>0.1008</v>
      </c>
      <c r="T4356" s="3" t="n">
        <v>0.019</v>
      </c>
    </row>
    <row r="4357" customFormat="false" ht="15" hidden="false" customHeight="true" outlineLevel="0" collapsed="false">
      <c r="A4357" s="3" t="s">
        <v>5523</v>
      </c>
      <c r="B4357" s="3" t="s">
        <v>1980</v>
      </c>
      <c r="C4357" s="3" t="s">
        <v>37</v>
      </c>
      <c r="D4357" s="3" t="s">
        <v>83</v>
      </c>
      <c r="E4357" s="3" t="s">
        <v>48</v>
      </c>
      <c r="F4357" s="3" t="s">
        <v>62</v>
      </c>
      <c r="G4357" s="3" t="s">
        <v>104</v>
      </c>
      <c r="H4357" s="3" t="s">
        <v>77</v>
      </c>
      <c r="I4357" s="3" t="s">
        <v>85</v>
      </c>
      <c r="J4357" s="3" t="n">
        <v>11</v>
      </c>
      <c r="K4357" s="3" t="n">
        <v>1776.95</v>
      </c>
      <c r="L4357" s="3" t="n">
        <v>19546.45</v>
      </c>
      <c r="M4357" s="3" t="n">
        <v>0.0881</v>
      </c>
      <c r="N4357" s="3" t="n">
        <v>1722.04</v>
      </c>
      <c r="O4357" s="3" t="n">
        <v>17824.41</v>
      </c>
      <c r="P4357" s="3" t="n">
        <v>13291.59</v>
      </c>
      <c r="Q4357" s="3" t="n">
        <v>4532.82</v>
      </c>
      <c r="R4357" s="3" t="n">
        <v>0.2543</v>
      </c>
      <c r="S4357" s="3" t="n">
        <v>0.0959</v>
      </c>
      <c r="T4357" s="3" t="n">
        <v>-0.0078</v>
      </c>
    </row>
    <row r="4358" customFormat="false" ht="15" hidden="false" customHeight="true" outlineLevel="0" collapsed="false">
      <c r="A4358" s="3" t="s">
        <v>5524</v>
      </c>
      <c r="B4358" s="3" t="s">
        <v>1302</v>
      </c>
      <c r="C4358" s="3" t="s">
        <v>22</v>
      </c>
      <c r="D4358" s="3" t="s">
        <v>103</v>
      </c>
      <c r="E4358" s="3" t="s">
        <v>24</v>
      </c>
      <c r="F4358" s="3" t="s">
        <v>62</v>
      </c>
      <c r="G4358" s="3" t="s">
        <v>26</v>
      </c>
      <c r="H4358" s="3" t="s">
        <v>27</v>
      </c>
      <c r="I4358" s="3" t="s">
        <v>173</v>
      </c>
      <c r="J4358" s="3" t="n">
        <v>46</v>
      </c>
      <c r="K4358" s="3" t="n">
        <v>15295.14</v>
      </c>
      <c r="L4358" s="3" t="n">
        <v>703576.44</v>
      </c>
      <c r="M4358" s="3" t="n">
        <v>0.0368</v>
      </c>
      <c r="N4358" s="3" t="n">
        <v>25891.61</v>
      </c>
      <c r="O4358" s="3" t="n">
        <v>677684.83</v>
      </c>
      <c r="P4358" s="3" t="n">
        <v>436217.39</v>
      </c>
      <c r="Q4358" s="3" t="n">
        <v>241467.44</v>
      </c>
      <c r="R4358" s="3" t="n">
        <v>0.3563</v>
      </c>
      <c r="S4358" s="3" t="n">
        <v>0.032</v>
      </c>
      <c r="T4358" s="3" t="n">
        <v>0.0048</v>
      </c>
    </row>
    <row r="4359" customFormat="false" ht="15" hidden="false" customHeight="true" outlineLevel="0" collapsed="false">
      <c r="A4359" s="3" t="s">
        <v>5525</v>
      </c>
      <c r="B4359" s="3" t="s">
        <v>1452</v>
      </c>
      <c r="C4359" s="3" t="s">
        <v>60</v>
      </c>
      <c r="D4359" s="3" t="s">
        <v>38</v>
      </c>
      <c r="E4359" s="3" t="s">
        <v>39</v>
      </c>
      <c r="F4359" s="3" t="s">
        <v>40</v>
      </c>
      <c r="G4359" s="3" t="s">
        <v>104</v>
      </c>
      <c r="H4359" s="3" t="s">
        <v>42</v>
      </c>
      <c r="I4359" s="3" t="s">
        <v>43</v>
      </c>
      <c r="J4359" s="3" t="n">
        <v>45</v>
      </c>
      <c r="K4359" s="3" t="n">
        <v>1364.73</v>
      </c>
      <c r="L4359" s="3" t="n">
        <v>61412.85</v>
      </c>
      <c r="M4359" s="3" t="n">
        <v>0.1021</v>
      </c>
      <c r="N4359" s="3" t="n">
        <v>6270.25</v>
      </c>
      <c r="O4359" s="3" t="n">
        <v>55142.6</v>
      </c>
      <c r="P4359" s="3" t="n">
        <v>33777.07</v>
      </c>
      <c r="Q4359" s="3" t="n">
        <v>21365.53</v>
      </c>
      <c r="R4359" s="3" t="n">
        <v>0.3875</v>
      </c>
      <c r="S4359" s="3" t="n">
        <v>0.0966</v>
      </c>
      <c r="T4359" s="3" t="n">
        <v>0.0055</v>
      </c>
    </row>
    <row r="4360" customFormat="false" ht="15" hidden="false" customHeight="true" outlineLevel="0" collapsed="false">
      <c r="A4360" s="3" t="s">
        <v>5526</v>
      </c>
      <c r="B4360" s="3" t="s">
        <v>509</v>
      </c>
      <c r="C4360" s="3" t="s">
        <v>53</v>
      </c>
      <c r="D4360" s="3" t="s">
        <v>38</v>
      </c>
      <c r="E4360" s="3" t="s">
        <v>39</v>
      </c>
      <c r="F4360" s="3" t="s">
        <v>40</v>
      </c>
      <c r="G4360" s="3" t="s">
        <v>34</v>
      </c>
      <c r="H4360" s="3" t="s">
        <v>77</v>
      </c>
      <c r="I4360" s="3" t="s">
        <v>131</v>
      </c>
      <c r="J4360" s="3" t="n">
        <v>33</v>
      </c>
      <c r="K4360" s="3" t="n">
        <v>3893.54</v>
      </c>
      <c r="L4360" s="3" t="n">
        <v>128486.82</v>
      </c>
      <c r="M4360" s="3" t="n">
        <v>0.1098</v>
      </c>
      <c r="N4360" s="3" t="n">
        <v>14107.85</v>
      </c>
      <c r="O4360" s="3" t="n">
        <v>114378.97</v>
      </c>
      <c r="P4360" s="3" t="n">
        <v>87371.04</v>
      </c>
      <c r="Q4360" s="3" t="n">
        <v>27007.93</v>
      </c>
      <c r="R4360" s="3" t="n">
        <v>0.2361</v>
      </c>
      <c r="S4360" s="3" t="n">
        <v>0.1038</v>
      </c>
      <c r="T4360" s="3" t="n">
        <v>0.006</v>
      </c>
    </row>
    <row r="4361" customFormat="false" ht="15" hidden="false" customHeight="true" outlineLevel="0" collapsed="false">
      <c r="A4361" s="3" t="s">
        <v>5527</v>
      </c>
      <c r="B4361" s="3" t="s">
        <v>1371</v>
      </c>
      <c r="C4361" s="3" t="s">
        <v>37</v>
      </c>
      <c r="D4361" s="3" t="s">
        <v>47</v>
      </c>
      <c r="E4361" s="3" t="s">
        <v>48</v>
      </c>
      <c r="F4361" s="3" t="s">
        <v>25</v>
      </c>
      <c r="G4361" s="3" t="s">
        <v>34</v>
      </c>
      <c r="H4361" s="3" t="s">
        <v>42</v>
      </c>
      <c r="I4361" s="3" t="s">
        <v>134</v>
      </c>
      <c r="J4361" s="3" t="n">
        <v>38</v>
      </c>
      <c r="K4361" s="3" t="n">
        <v>2586.43</v>
      </c>
      <c r="L4361" s="3" t="n">
        <v>98284.34</v>
      </c>
      <c r="M4361" s="3" t="n">
        <v>0.1932</v>
      </c>
      <c r="N4361" s="3" t="n">
        <v>18988.53</v>
      </c>
      <c r="O4361" s="3" t="n">
        <v>79295.81</v>
      </c>
      <c r="P4361" s="3" t="n">
        <v>54056.39</v>
      </c>
      <c r="Q4361" s="3" t="n">
        <v>25239.42</v>
      </c>
      <c r="R4361" s="3" t="n">
        <v>0.3183</v>
      </c>
      <c r="S4361" s="3" t="n">
        <v>0.1973</v>
      </c>
      <c r="T4361" s="3" t="n">
        <v>-0.0041</v>
      </c>
    </row>
    <row r="4362" customFormat="false" ht="15" hidden="false" customHeight="true" outlineLevel="0" collapsed="false">
      <c r="A4362" s="3" t="s">
        <v>5528</v>
      </c>
      <c r="B4362" s="3" t="s">
        <v>2613</v>
      </c>
      <c r="C4362" s="3" t="s">
        <v>53</v>
      </c>
      <c r="D4362" s="3" t="s">
        <v>32</v>
      </c>
      <c r="E4362" s="3" t="s">
        <v>33</v>
      </c>
      <c r="F4362" s="3" t="s">
        <v>25</v>
      </c>
      <c r="G4362" s="3" t="s">
        <v>104</v>
      </c>
      <c r="H4362" s="3" t="s">
        <v>64</v>
      </c>
      <c r="I4362" s="3" t="s">
        <v>108</v>
      </c>
      <c r="J4362" s="3" t="n">
        <v>41</v>
      </c>
      <c r="K4362" s="3" t="n">
        <v>7704.63</v>
      </c>
      <c r="L4362" s="3" t="n">
        <v>315889.83</v>
      </c>
      <c r="M4362" s="3" t="n">
        <v>0.1327</v>
      </c>
      <c r="N4362" s="3" t="n">
        <v>41918.58</v>
      </c>
      <c r="O4362" s="3" t="n">
        <v>273971.25</v>
      </c>
      <c r="P4362" s="3" t="n">
        <v>183216.1</v>
      </c>
      <c r="Q4362" s="3" t="n">
        <v>90755.15</v>
      </c>
      <c r="R4362" s="3" t="n">
        <v>0.3313</v>
      </c>
      <c r="S4362" s="3" t="n">
        <v>0.1392</v>
      </c>
      <c r="T4362" s="3" t="n">
        <v>-0.0065</v>
      </c>
    </row>
    <row r="4363" customFormat="false" ht="15" hidden="false" customHeight="true" outlineLevel="0" collapsed="false">
      <c r="A4363" s="3" t="s">
        <v>5529</v>
      </c>
      <c r="B4363" s="3" t="s">
        <v>3389</v>
      </c>
      <c r="C4363" s="3" t="s">
        <v>126</v>
      </c>
      <c r="D4363" s="3" t="s">
        <v>38</v>
      </c>
      <c r="E4363" s="3" t="s">
        <v>39</v>
      </c>
      <c r="F4363" s="3" t="s">
        <v>40</v>
      </c>
      <c r="G4363" s="3" t="s">
        <v>49</v>
      </c>
      <c r="H4363" s="3" t="s">
        <v>27</v>
      </c>
      <c r="I4363" s="3" t="s">
        <v>94</v>
      </c>
      <c r="J4363" s="3" t="n">
        <v>22</v>
      </c>
      <c r="K4363" s="3" t="n">
        <v>33988.42</v>
      </c>
      <c r="L4363" s="3" t="n">
        <v>747745.24</v>
      </c>
      <c r="M4363" s="3" t="n">
        <v>0.0787</v>
      </c>
      <c r="N4363" s="3" t="n">
        <v>58847.55</v>
      </c>
      <c r="O4363" s="3" t="n">
        <v>688897.69</v>
      </c>
      <c r="P4363" s="3" t="n">
        <v>463602.05</v>
      </c>
      <c r="Q4363" s="3" t="n">
        <v>225295.64</v>
      </c>
      <c r="R4363" s="3" t="n">
        <v>0.327</v>
      </c>
      <c r="S4363" s="3" t="n">
        <v>0.0851</v>
      </c>
      <c r="T4363" s="3" t="n">
        <v>-0.0064</v>
      </c>
    </row>
    <row r="4364" customFormat="false" ht="15" hidden="false" customHeight="true" outlineLevel="0" collapsed="false">
      <c r="A4364" s="3" t="s">
        <v>5530</v>
      </c>
      <c r="B4364" s="3" t="s">
        <v>1352</v>
      </c>
      <c r="C4364" s="3" t="s">
        <v>120</v>
      </c>
      <c r="D4364" s="3" t="s">
        <v>107</v>
      </c>
      <c r="E4364" s="3" t="s">
        <v>33</v>
      </c>
      <c r="F4364" s="3" t="s">
        <v>70</v>
      </c>
      <c r="G4364" s="3" t="s">
        <v>116</v>
      </c>
      <c r="H4364" s="3" t="s">
        <v>77</v>
      </c>
      <c r="I4364" s="3" t="s">
        <v>85</v>
      </c>
      <c r="J4364" s="3" t="n">
        <v>2</v>
      </c>
      <c r="K4364" s="3" t="n">
        <v>2805.98</v>
      </c>
      <c r="L4364" s="3" t="n">
        <v>5611.96</v>
      </c>
      <c r="M4364" s="3" t="n">
        <v>0.0965</v>
      </c>
      <c r="N4364" s="3" t="n">
        <v>541.55</v>
      </c>
      <c r="O4364" s="3" t="n">
        <v>5070.41</v>
      </c>
      <c r="P4364" s="3" t="n">
        <v>3816.13</v>
      </c>
      <c r="Q4364" s="3" t="n">
        <v>1254.28</v>
      </c>
      <c r="R4364" s="3" t="n">
        <v>0.2474</v>
      </c>
      <c r="S4364" s="3" t="n">
        <v>0.1036</v>
      </c>
      <c r="T4364" s="3" t="n">
        <v>-0.0071</v>
      </c>
    </row>
    <row r="4365" customFormat="false" ht="15" hidden="false" customHeight="true" outlineLevel="0" collapsed="false">
      <c r="A4365" s="3" t="s">
        <v>5531</v>
      </c>
      <c r="B4365" s="3" t="s">
        <v>471</v>
      </c>
      <c r="C4365" s="3" t="s">
        <v>93</v>
      </c>
      <c r="D4365" s="3" t="s">
        <v>83</v>
      </c>
      <c r="E4365" s="3" t="s">
        <v>48</v>
      </c>
      <c r="F4365" s="3" t="s">
        <v>62</v>
      </c>
      <c r="G4365" s="3" t="s">
        <v>116</v>
      </c>
      <c r="H4365" s="3" t="s">
        <v>77</v>
      </c>
      <c r="I4365" s="3" t="s">
        <v>131</v>
      </c>
      <c r="J4365" s="3" t="n">
        <v>4</v>
      </c>
      <c r="K4365" s="3" t="n">
        <v>1484.9</v>
      </c>
      <c r="L4365" s="3" t="n">
        <v>5939.6</v>
      </c>
      <c r="M4365" s="3" t="n">
        <v>0.0857</v>
      </c>
      <c r="N4365" s="3" t="n">
        <v>509.02</v>
      </c>
      <c r="O4365" s="3" t="n">
        <v>5430.58</v>
      </c>
      <c r="P4365" s="3" t="n">
        <v>4038.93</v>
      </c>
      <c r="Q4365" s="3" t="n">
        <v>1391.65</v>
      </c>
      <c r="R4365" s="3" t="n">
        <v>0.2563</v>
      </c>
      <c r="S4365" s="3" t="n">
        <v>0.0833</v>
      </c>
      <c r="T4365" s="3" t="n">
        <v>0.0024</v>
      </c>
    </row>
    <row r="4366" customFormat="false" ht="15" hidden="false" customHeight="true" outlineLevel="0" collapsed="false">
      <c r="A4366" s="3" t="s">
        <v>5532</v>
      </c>
      <c r="B4366" s="3" t="s">
        <v>89</v>
      </c>
      <c r="C4366" s="3" t="s">
        <v>53</v>
      </c>
      <c r="D4366" s="3" t="s">
        <v>69</v>
      </c>
      <c r="E4366" s="3" t="s">
        <v>39</v>
      </c>
      <c r="F4366" s="3" t="s">
        <v>70</v>
      </c>
      <c r="G4366" s="3" t="s">
        <v>26</v>
      </c>
      <c r="H4366" s="3" t="s">
        <v>56</v>
      </c>
      <c r="I4366" s="3" t="s">
        <v>188</v>
      </c>
      <c r="J4366" s="3" t="n">
        <v>8</v>
      </c>
      <c r="K4366" s="3" t="n">
        <v>3147.56</v>
      </c>
      <c r="L4366" s="3" t="n">
        <v>25180.48</v>
      </c>
      <c r="M4366" s="3" t="n">
        <v>0.0542</v>
      </c>
      <c r="N4366" s="3" t="n">
        <v>1364.78</v>
      </c>
      <c r="O4366" s="3" t="n">
        <v>23815.7</v>
      </c>
      <c r="P4366" s="3" t="n">
        <v>15108.29</v>
      </c>
      <c r="Q4366" s="3" t="n">
        <v>8707.41</v>
      </c>
      <c r="R4366" s="3" t="n">
        <v>0.3656</v>
      </c>
      <c r="S4366" s="3" t="n">
        <v>0.0573</v>
      </c>
      <c r="T4366" s="3" t="n">
        <v>-0.0031</v>
      </c>
    </row>
    <row r="4367" customFormat="false" ht="15" hidden="false" customHeight="true" outlineLevel="0" collapsed="false">
      <c r="A4367" s="3" t="s">
        <v>5533</v>
      </c>
      <c r="B4367" s="3" t="s">
        <v>328</v>
      </c>
      <c r="C4367" s="3" t="s">
        <v>126</v>
      </c>
      <c r="D4367" s="3" t="s">
        <v>32</v>
      </c>
      <c r="E4367" s="3" t="s">
        <v>33</v>
      </c>
      <c r="F4367" s="3" t="s">
        <v>25</v>
      </c>
      <c r="G4367" s="3" t="s">
        <v>26</v>
      </c>
      <c r="H4367" s="3" t="s">
        <v>27</v>
      </c>
      <c r="I4367" s="3" t="s">
        <v>117</v>
      </c>
      <c r="J4367" s="3" t="n">
        <v>26</v>
      </c>
      <c r="K4367" s="3" t="n">
        <v>16198.4</v>
      </c>
      <c r="L4367" s="3" t="n">
        <v>421158.4</v>
      </c>
      <c r="M4367" s="3" t="n">
        <v>0.1676</v>
      </c>
      <c r="N4367" s="3" t="n">
        <v>70586.15</v>
      </c>
      <c r="O4367" s="3" t="n">
        <v>350572.25</v>
      </c>
      <c r="P4367" s="3" t="n">
        <v>261118.21</v>
      </c>
      <c r="Q4367" s="3" t="n">
        <v>89454.04</v>
      </c>
      <c r="R4367" s="3" t="n">
        <v>0.2552</v>
      </c>
      <c r="S4367" s="3" t="n">
        <v>0.1801</v>
      </c>
      <c r="T4367" s="3" t="n">
        <v>-0.0125</v>
      </c>
    </row>
    <row r="4368" customFormat="false" ht="15" hidden="false" customHeight="true" outlineLevel="0" collapsed="false">
      <c r="A4368" s="3" t="s">
        <v>5534</v>
      </c>
      <c r="B4368" s="3" t="s">
        <v>2379</v>
      </c>
      <c r="C4368" s="3" t="s">
        <v>126</v>
      </c>
      <c r="D4368" s="3" t="s">
        <v>107</v>
      </c>
      <c r="E4368" s="3" t="s">
        <v>33</v>
      </c>
      <c r="F4368" s="3" t="s">
        <v>70</v>
      </c>
      <c r="G4368" s="3" t="s">
        <v>71</v>
      </c>
      <c r="H4368" s="3" t="s">
        <v>77</v>
      </c>
      <c r="I4368" s="3" t="s">
        <v>78</v>
      </c>
      <c r="J4368" s="3" t="n">
        <v>49</v>
      </c>
      <c r="K4368" s="3" t="n">
        <v>5680.47</v>
      </c>
      <c r="L4368" s="3" t="n">
        <v>278343.03</v>
      </c>
      <c r="M4368" s="3" t="n">
        <v>0.0404</v>
      </c>
      <c r="N4368" s="3" t="n">
        <v>11245.06</v>
      </c>
      <c r="O4368" s="3" t="n">
        <v>267097.97</v>
      </c>
      <c r="P4368" s="3" t="n">
        <v>189273.26</v>
      </c>
      <c r="Q4368" s="3" t="n">
        <v>77824.71</v>
      </c>
      <c r="R4368" s="3" t="n">
        <v>0.2914</v>
      </c>
      <c r="S4368" s="3" t="n">
        <v>0.0418</v>
      </c>
      <c r="T4368" s="3" t="n">
        <v>-0.0014</v>
      </c>
    </row>
    <row r="4369" customFormat="false" ht="15" hidden="false" customHeight="true" outlineLevel="0" collapsed="false">
      <c r="A4369" s="3" t="s">
        <v>5535</v>
      </c>
      <c r="B4369" s="3" t="s">
        <v>1795</v>
      </c>
      <c r="C4369" s="3" t="s">
        <v>46</v>
      </c>
      <c r="D4369" s="3" t="s">
        <v>38</v>
      </c>
      <c r="E4369" s="3" t="s">
        <v>39</v>
      </c>
      <c r="F4369" s="3" t="s">
        <v>40</v>
      </c>
      <c r="G4369" s="3" t="s">
        <v>63</v>
      </c>
      <c r="H4369" s="3" t="s">
        <v>77</v>
      </c>
      <c r="I4369" s="3" t="s">
        <v>78</v>
      </c>
      <c r="J4369" s="3" t="n">
        <v>29</v>
      </c>
      <c r="K4369" s="3" t="n">
        <v>5739.02</v>
      </c>
      <c r="L4369" s="3" t="n">
        <v>166431.58</v>
      </c>
      <c r="M4369" s="3" t="n">
        <v>0.0368</v>
      </c>
      <c r="N4369" s="3" t="n">
        <v>6124.68</v>
      </c>
      <c r="O4369" s="3" t="n">
        <v>160306.9</v>
      </c>
      <c r="P4369" s="3" t="n">
        <v>113173.47</v>
      </c>
      <c r="Q4369" s="3" t="n">
        <v>47133.43</v>
      </c>
      <c r="R4369" s="3" t="n">
        <v>0.294</v>
      </c>
      <c r="S4369" s="3" t="n">
        <v>0.0336</v>
      </c>
      <c r="T4369" s="3" t="n">
        <v>0.0032</v>
      </c>
    </row>
    <row r="4370" customFormat="false" ht="15" hidden="false" customHeight="true" outlineLevel="0" collapsed="false">
      <c r="A4370" s="3" t="s">
        <v>5536</v>
      </c>
      <c r="B4370" s="3" t="s">
        <v>1572</v>
      </c>
      <c r="C4370" s="3" t="s">
        <v>113</v>
      </c>
      <c r="D4370" s="3" t="s">
        <v>32</v>
      </c>
      <c r="E4370" s="3" t="s">
        <v>33</v>
      </c>
      <c r="F4370" s="3" t="s">
        <v>25</v>
      </c>
      <c r="G4370" s="3" t="s">
        <v>76</v>
      </c>
      <c r="H4370" s="3" t="s">
        <v>42</v>
      </c>
      <c r="I4370" s="3" t="s">
        <v>134</v>
      </c>
      <c r="J4370" s="3" t="n">
        <v>1</v>
      </c>
      <c r="K4370" s="3" t="n">
        <v>862.38</v>
      </c>
      <c r="L4370" s="3" t="n">
        <v>862.38</v>
      </c>
      <c r="M4370" s="3" t="n">
        <v>0.1414</v>
      </c>
      <c r="N4370" s="3" t="n">
        <v>121.94</v>
      </c>
      <c r="O4370" s="3" t="n">
        <v>740.44</v>
      </c>
      <c r="P4370" s="3" t="n">
        <v>474.31</v>
      </c>
      <c r="Q4370" s="3" t="n">
        <v>266.13</v>
      </c>
      <c r="R4370" s="3" t="n">
        <v>0.3594</v>
      </c>
      <c r="S4370" s="3" t="n">
        <v>0.1316</v>
      </c>
      <c r="T4370" s="3" t="n">
        <v>0.0098</v>
      </c>
    </row>
    <row r="4371" customFormat="false" ht="15" hidden="false" customHeight="true" outlineLevel="0" collapsed="false">
      <c r="A4371" s="3" t="s">
        <v>5537</v>
      </c>
      <c r="B4371" s="3" t="s">
        <v>400</v>
      </c>
      <c r="C4371" s="3" t="s">
        <v>126</v>
      </c>
      <c r="D4371" s="3" t="s">
        <v>38</v>
      </c>
      <c r="E4371" s="3" t="s">
        <v>39</v>
      </c>
      <c r="F4371" s="3" t="s">
        <v>40</v>
      </c>
      <c r="G4371" s="3" t="s">
        <v>49</v>
      </c>
      <c r="H4371" s="3" t="s">
        <v>64</v>
      </c>
      <c r="I4371" s="3" t="s">
        <v>108</v>
      </c>
      <c r="J4371" s="3" t="n">
        <v>9</v>
      </c>
      <c r="K4371" s="3" t="n">
        <v>10561.75</v>
      </c>
      <c r="L4371" s="3" t="n">
        <v>95055.75</v>
      </c>
      <c r="M4371" s="3" t="n">
        <v>0.0695</v>
      </c>
      <c r="N4371" s="3" t="n">
        <v>6606.37</v>
      </c>
      <c r="O4371" s="3" t="n">
        <v>88449.38</v>
      </c>
      <c r="P4371" s="3" t="n">
        <v>55132.33</v>
      </c>
      <c r="Q4371" s="3" t="n">
        <v>33317.05</v>
      </c>
      <c r="R4371" s="3" t="n">
        <v>0.3767</v>
      </c>
      <c r="S4371" s="3" t="n">
        <v>0.0557</v>
      </c>
      <c r="T4371" s="3" t="n">
        <v>0.0138</v>
      </c>
    </row>
    <row r="4372" customFormat="false" ht="15" hidden="false" customHeight="true" outlineLevel="0" collapsed="false">
      <c r="A4372" s="3" t="s">
        <v>5538</v>
      </c>
      <c r="B4372" s="3" t="s">
        <v>3352</v>
      </c>
      <c r="C4372" s="3" t="s">
        <v>37</v>
      </c>
      <c r="D4372" s="3" t="s">
        <v>69</v>
      </c>
      <c r="E4372" s="3" t="s">
        <v>39</v>
      </c>
      <c r="F4372" s="3" t="s">
        <v>70</v>
      </c>
      <c r="G4372" s="3" t="s">
        <v>49</v>
      </c>
      <c r="H4372" s="3" t="s">
        <v>56</v>
      </c>
      <c r="I4372" s="3" t="s">
        <v>188</v>
      </c>
      <c r="J4372" s="3" t="n">
        <v>2</v>
      </c>
      <c r="K4372" s="3" t="n">
        <v>3871.47</v>
      </c>
      <c r="L4372" s="3" t="n">
        <v>7742.94</v>
      </c>
      <c r="M4372" s="3" t="n">
        <v>0.0368</v>
      </c>
      <c r="N4372" s="3" t="n">
        <v>284.94</v>
      </c>
      <c r="O4372" s="3" t="n">
        <v>7458</v>
      </c>
      <c r="P4372" s="3" t="n">
        <v>4645.76</v>
      </c>
      <c r="Q4372" s="3" t="n">
        <v>2812.24</v>
      </c>
      <c r="R4372" s="3" t="n">
        <v>0.3771</v>
      </c>
      <c r="S4372" s="3" t="n">
        <v>0.0348</v>
      </c>
      <c r="T4372" s="3" t="n">
        <v>0.002</v>
      </c>
    </row>
    <row r="4373" customFormat="false" ht="15" hidden="false" customHeight="true" outlineLevel="0" collapsed="false">
      <c r="A4373" s="3" t="s">
        <v>5539</v>
      </c>
      <c r="B4373" s="3" t="s">
        <v>272</v>
      </c>
      <c r="C4373" s="3" t="s">
        <v>22</v>
      </c>
      <c r="D4373" s="3" t="s">
        <v>83</v>
      </c>
      <c r="E4373" s="3" t="s">
        <v>48</v>
      </c>
      <c r="F4373" s="3" t="s">
        <v>62</v>
      </c>
      <c r="G4373" s="3" t="s">
        <v>26</v>
      </c>
      <c r="H4373" s="3" t="s">
        <v>42</v>
      </c>
      <c r="I4373" s="3" t="s">
        <v>43</v>
      </c>
      <c r="J4373" s="3" t="n">
        <v>27</v>
      </c>
      <c r="K4373" s="3" t="n">
        <v>3713.11</v>
      </c>
      <c r="L4373" s="3" t="n">
        <v>100253.97</v>
      </c>
      <c r="M4373" s="3" t="n">
        <v>0.058</v>
      </c>
      <c r="N4373" s="3" t="n">
        <v>5814.73</v>
      </c>
      <c r="O4373" s="3" t="n">
        <v>94439.24</v>
      </c>
      <c r="P4373" s="3" t="n">
        <v>55139.68</v>
      </c>
      <c r="Q4373" s="3" t="n">
        <v>39299.56</v>
      </c>
      <c r="R4373" s="3" t="n">
        <v>0.4161</v>
      </c>
      <c r="S4373" s="3" t="n">
        <v>0.0502</v>
      </c>
      <c r="T4373" s="3" t="n">
        <v>0.0078</v>
      </c>
    </row>
    <row r="4374" customFormat="false" ht="15" hidden="false" customHeight="true" outlineLevel="0" collapsed="false">
      <c r="A4374" s="3" t="s">
        <v>5540</v>
      </c>
      <c r="B4374" s="3" t="s">
        <v>3996</v>
      </c>
      <c r="C4374" s="3" t="s">
        <v>53</v>
      </c>
      <c r="D4374" s="3" t="s">
        <v>97</v>
      </c>
      <c r="E4374" s="3" t="s">
        <v>48</v>
      </c>
      <c r="F4374" s="3" t="s">
        <v>40</v>
      </c>
      <c r="G4374" s="3" t="s">
        <v>34</v>
      </c>
      <c r="H4374" s="3" t="s">
        <v>27</v>
      </c>
      <c r="I4374" s="3" t="s">
        <v>173</v>
      </c>
      <c r="J4374" s="3" t="n">
        <v>34</v>
      </c>
      <c r="K4374" s="3" t="n">
        <v>20812.25</v>
      </c>
      <c r="L4374" s="3" t="n">
        <v>707616.5</v>
      </c>
      <c r="M4374" s="3" t="n">
        <v>0.0661</v>
      </c>
      <c r="N4374" s="3" t="n">
        <v>46773.45</v>
      </c>
      <c r="O4374" s="3" t="n">
        <v>660843.05</v>
      </c>
      <c r="P4374" s="3" t="n">
        <v>438722.23</v>
      </c>
      <c r="Q4374" s="3" t="n">
        <v>222120.82</v>
      </c>
      <c r="R4374" s="3" t="n">
        <v>0.3361</v>
      </c>
      <c r="S4374" s="3" t="n">
        <v>0.0694</v>
      </c>
      <c r="T4374" s="3" t="n">
        <v>-0.0033</v>
      </c>
    </row>
    <row r="4375" customFormat="false" ht="15" hidden="false" customHeight="true" outlineLevel="0" collapsed="false">
      <c r="A4375" s="3" t="s">
        <v>5541</v>
      </c>
      <c r="B4375" s="3" t="s">
        <v>5542</v>
      </c>
      <c r="C4375" s="3" t="s">
        <v>60</v>
      </c>
      <c r="D4375" s="3" t="s">
        <v>107</v>
      </c>
      <c r="E4375" s="3" t="s">
        <v>33</v>
      </c>
      <c r="F4375" s="3" t="s">
        <v>70</v>
      </c>
      <c r="G4375" s="3" t="s">
        <v>49</v>
      </c>
      <c r="H4375" s="3" t="s">
        <v>27</v>
      </c>
      <c r="I4375" s="3" t="s">
        <v>117</v>
      </c>
      <c r="J4375" s="3" t="n">
        <v>25</v>
      </c>
      <c r="K4375" s="3" t="n">
        <v>15811.35</v>
      </c>
      <c r="L4375" s="3" t="n">
        <v>395283.75</v>
      </c>
      <c r="M4375" s="3" t="n">
        <v>0.0743</v>
      </c>
      <c r="N4375" s="3" t="n">
        <v>29369.58</v>
      </c>
      <c r="O4375" s="3" t="n">
        <v>365914.17</v>
      </c>
      <c r="P4375" s="3" t="n">
        <v>245075.92</v>
      </c>
      <c r="Q4375" s="3" t="n">
        <v>120838.25</v>
      </c>
      <c r="R4375" s="3" t="n">
        <v>0.3302</v>
      </c>
      <c r="S4375" s="3" t="n">
        <v>0.0731</v>
      </c>
      <c r="T4375" s="3" t="n">
        <v>0.0012</v>
      </c>
    </row>
    <row r="4376" customFormat="false" ht="15" hidden="false" customHeight="true" outlineLevel="0" collapsed="false">
      <c r="A4376" s="3" t="s">
        <v>5543</v>
      </c>
      <c r="B4376" s="3" t="s">
        <v>2934</v>
      </c>
      <c r="C4376" s="3" t="s">
        <v>46</v>
      </c>
      <c r="D4376" s="3" t="s">
        <v>107</v>
      </c>
      <c r="E4376" s="3" t="s">
        <v>33</v>
      </c>
      <c r="F4376" s="3" t="s">
        <v>70</v>
      </c>
      <c r="G4376" s="3" t="s">
        <v>104</v>
      </c>
      <c r="H4376" s="3" t="s">
        <v>64</v>
      </c>
      <c r="I4376" s="3" t="s">
        <v>108</v>
      </c>
      <c r="J4376" s="3" t="n">
        <v>40</v>
      </c>
      <c r="K4376" s="3" t="n">
        <v>4882.74</v>
      </c>
      <c r="L4376" s="3" t="n">
        <v>195309.6</v>
      </c>
      <c r="M4376" s="3" t="n">
        <v>0.1025</v>
      </c>
      <c r="N4376" s="3" t="n">
        <v>20019.23</v>
      </c>
      <c r="O4376" s="3" t="n">
        <v>175290.37</v>
      </c>
      <c r="P4376" s="3" t="n">
        <v>113279.57</v>
      </c>
      <c r="Q4376" s="3" t="n">
        <v>62010.8</v>
      </c>
      <c r="R4376" s="3" t="n">
        <v>0.3538</v>
      </c>
      <c r="S4376" s="3" t="n">
        <v>0.0861</v>
      </c>
      <c r="T4376" s="3" t="n">
        <v>0.0164</v>
      </c>
    </row>
    <row r="4377" customFormat="false" ht="15" hidden="false" customHeight="true" outlineLevel="0" collapsed="false">
      <c r="A4377" s="3" t="s">
        <v>5544</v>
      </c>
      <c r="B4377" s="3" t="s">
        <v>1468</v>
      </c>
      <c r="C4377" s="3" t="s">
        <v>93</v>
      </c>
      <c r="D4377" s="3" t="s">
        <v>97</v>
      </c>
      <c r="E4377" s="3" t="s">
        <v>48</v>
      </c>
      <c r="F4377" s="3" t="s">
        <v>40</v>
      </c>
      <c r="G4377" s="3" t="s">
        <v>100</v>
      </c>
      <c r="H4377" s="3" t="s">
        <v>77</v>
      </c>
      <c r="I4377" s="3" t="s">
        <v>131</v>
      </c>
      <c r="J4377" s="3" t="n">
        <v>23</v>
      </c>
      <c r="K4377" s="3" t="n">
        <v>4336.62</v>
      </c>
      <c r="L4377" s="3" t="n">
        <v>99742.26</v>
      </c>
      <c r="M4377" s="3" t="n">
        <v>0.0394</v>
      </c>
      <c r="N4377" s="3" t="n">
        <v>3929.85</v>
      </c>
      <c r="O4377" s="3" t="n">
        <v>95812.41</v>
      </c>
      <c r="P4377" s="3" t="n">
        <v>67824.74</v>
      </c>
      <c r="Q4377" s="3" t="n">
        <v>27987.67</v>
      </c>
      <c r="R4377" s="3" t="n">
        <v>0.2921</v>
      </c>
      <c r="S4377" s="3" t="n">
        <v>0.0419</v>
      </c>
      <c r="T4377" s="3" t="n">
        <v>-0.0025</v>
      </c>
    </row>
    <row r="4378" customFormat="false" ht="15" hidden="false" customHeight="true" outlineLevel="0" collapsed="false">
      <c r="A4378" s="3" t="s">
        <v>5545</v>
      </c>
      <c r="B4378" s="3" t="s">
        <v>283</v>
      </c>
      <c r="C4378" s="3" t="s">
        <v>93</v>
      </c>
      <c r="D4378" s="3" t="s">
        <v>54</v>
      </c>
      <c r="E4378" s="3" t="s">
        <v>24</v>
      </c>
      <c r="F4378" s="3" t="s">
        <v>40</v>
      </c>
      <c r="G4378" s="3" t="s">
        <v>116</v>
      </c>
      <c r="H4378" s="3" t="s">
        <v>27</v>
      </c>
      <c r="I4378" s="3" t="s">
        <v>28</v>
      </c>
      <c r="J4378" s="3" t="n">
        <v>39</v>
      </c>
      <c r="K4378" s="3" t="n">
        <v>16126.68</v>
      </c>
      <c r="L4378" s="3" t="n">
        <v>628940.52</v>
      </c>
      <c r="M4378" s="3" t="n">
        <v>0.1032</v>
      </c>
      <c r="N4378" s="3" t="n">
        <v>64906.66</v>
      </c>
      <c r="O4378" s="3" t="n">
        <v>564033.86</v>
      </c>
      <c r="P4378" s="3" t="n">
        <v>389943.12</v>
      </c>
      <c r="Q4378" s="3" t="n">
        <v>174090.74</v>
      </c>
      <c r="R4378" s="3" t="n">
        <v>0.3087</v>
      </c>
      <c r="S4378" s="3" t="n">
        <v>0.1129</v>
      </c>
      <c r="T4378" s="3" t="n">
        <v>-0.0097</v>
      </c>
    </row>
    <row r="4379" customFormat="false" ht="15" hidden="false" customHeight="true" outlineLevel="0" collapsed="false">
      <c r="A4379" s="3" t="s">
        <v>5546</v>
      </c>
      <c r="B4379" s="3" t="s">
        <v>1405</v>
      </c>
      <c r="C4379" s="3" t="s">
        <v>156</v>
      </c>
      <c r="D4379" s="3" t="s">
        <v>54</v>
      </c>
      <c r="E4379" s="3" t="s">
        <v>24</v>
      </c>
      <c r="F4379" s="3" t="s">
        <v>40</v>
      </c>
      <c r="G4379" s="3" t="s">
        <v>71</v>
      </c>
      <c r="H4379" s="3" t="s">
        <v>77</v>
      </c>
      <c r="I4379" s="3" t="s">
        <v>131</v>
      </c>
      <c r="J4379" s="3" t="n">
        <v>29</v>
      </c>
      <c r="K4379" s="3" t="n">
        <v>5373.26</v>
      </c>
      <c r="L4379" s="3" t="n">
        <v>155824.54</v>
      </c>
      <c r="M4379" s="3" t="n">
        <v>0.0728</v>
      </c>
      <c r="N4379" s="3" t="n">
        <v>11344.03</v>
      </c>
      <c r="O4379" s="3" t="n">
        <v>144480.51</v>
      </c>
      <c r="P4379" s="3" t="n">
        <v>105960.69</v>
      </c>
      <c r="Q4379" s="3" t="n">
        <v>38519.82</v>
      </c>
      <c r="R4379" s="3" t="n">
        <v>0.2666</v>
      </c>
      <c r="S4379" s="3" t="n">
        <v>0.0643</v>
      </c>
      <c r="T4379" s="3" t="n">
        <v>0.0085</v>
      </c>
    </row>
    <row r="4380" customFormat="false" ht="15" hidden="false" customHeight="true" outlineLevel="0" collapsed="false">
      <c r="A4380" s="3" t="s">
        <v>5547</v>
      </c>
      <c r="B4380" s="3" t="s">
        <v>4078</v>
      </c>
      <c r="C4380" s="3" t="s">
        <v>126</v>
      </c>
      <c r="D4380" s="3" t="s">
        <v>38</v>
      </c>
      <c r="E4380" s="3" t="s">
        <v>39</v>
      </c>
      <c r="F4380" s="3" t="s">
        <v>40</v>
      </c>
      <c r="G4380" s="3" t="s">
        <v>55</v>
      </c>
      <c r="H4380" s="3" t="s">
        <v>56</v>
      </c>
      <c r="I4380" s="3" t="s">
        <v>188</v>
      </c>
      <c r="J4380" s="3" t="n">
        <v>30</v>
      </c>
      <c r="K4380" s="3" t="n">
        <v>17726.89</v>
      </c>
      <c r="L4380" s="3" t="n">
        <v>531806.7</v>
      </c>
      <c r="M4380" s="3" t="n">
        <v>0.0567</v>
      </c>
      <c r="N4380" s="3" t="n">
        <v>30153.44</v>
      </c>
      <c r="O4380" s="3" t="n">
        <v>501653.26</v>
      </c>
      <c r="P4380" s="3" t="n">
        <v>319084.02</v>
      </c>
      <c r="Q4380" s="3" t="n">
        <v>182569.24</v>
      </c>
      <c r="R4380" s="3" t="n">
        <v>0.3639</v>
      </c>
      <c r="S4380" s="3" t="n">
        <v>0.0516</v>
      </c>
      <c r="T4380" s="3" t="n">
        <v>0.0051</v>
      </c>
    </row>
    <row r="4381" customFormat="false" ht="15" hidden="false" customHeight="true" outlineLevel="0" collapsed="false">
      <c r="A4381" s="3" t="s">
        <v>5548</v>
      </c>
      <c r="B4381" s="3" t="s">
        <v>1036</v>
      </c>
      <c r="C4381" s="3" t="s">
        <v>156</v>
      </c>
      <c r="D4381" s="3" t="s">
        <v>47</v>
      </c>
      <c r="E4381" s="3" t="s">
        <v>48</v>
      </c>
      <c r="F4381" s="3" t="s">
        <v>25</v>
      </c>
      <c r="G4381" s="3" t="s">
        <v>84</v>
      </c>
      <c r="H4381" s="3" t="s">
        <v>42</v>
      </c>
      <c r="I4381" s="3" t="s">
        <v>72</v>
      </c>
      <c r="J4381" s="3" t="n">
        <v>15</v>
      </c>
      <c r="K4381" s="3" t="n">
        <v>3810.33</v>
      </c>
      <c r="L4381" s="3" t="n">
        <v>57154.95</v>
      </c>
      <c r="M4381" s="3" t="n">
        <v>0.108</v>
      </c>
      <c r="N4381" s="3" t="n">
        <v>6172.73</v>
      </c>
      <c r="O4381" s="3" t="n">
        <v>50982.22</v>
      </c>
      <c r="P4381" s="3" t="n">
        <v>31435.22</v>
      </c>
      <c r="Q4381" s="3" t="n">
        <v>19547</v>
      </c>
      <c r="R4381" s="3" t="n">
        <v>0.3834</v>
      </c>
      <c r="S4381" s="3" t="n">
        <v>0.1079</v>
      </c>
      <c r="T4381" s="3" t="n">
        <v>0.0001</v>
      </c>
    </row>
    <row r="4382" customFormat="false" ht="15" hidden="false" customHeight="true" outlineLevel="0" collapsed="false">
      <c r="A4382" s="3" t="s">
        <v>5549</v>
      </c>
      <c r="B4382" s="3" t="s">
        <v>1355</v>
      </c>
      <c r="C4382" s="3" t="s">
        <v>120</v>
      </c>
      <c r="D4382" s="3" t="s">
        <v>23</v>
      </c>
      <c r="E4382" s="3" t="s">
        <v>24</v>
      </c>
      <c r="F4382" s="3" t="s">
        <v>25</v>
      </c>
      <c r="G4382" s="3" t="s">
        <v>49</v>
      </c>
      <c r="H4382" s="3" t="s">
        <v>42</v>
      </c>
      <c r="I4382" s="3" t="s">
        <v>43</v>
      </c>
      <c r="J4382" s="3" t="n">
        <v>26</v>
      </c>
      <c r="K4382" s="3" t="n">
        <v>2145.5</v>
      </c>
      <c r="L4382" s="3" t="n">
        <v>55783</v>
      </c>
      <c r="M4382" s="3" t="n">
        <v>0.165</v>
      </c>
      <c r="N4382" s="3" t="n">
        <v>9204.19</v>
      </c>
      <c r="O4382" s="3" t="n">
        <v>46578.81</v>
      </c>
      <c r="P4382" s="3" t="n">
        <v>30680.65</v>
      </c>
      <c r="Q4382" s="3" t="n">
        <v>15898.16</v>
      </c>
      <c r="R4382" s="3" t="n">
        <v>0.3413</v>
      </c>
      <c r="S4382" s="3" t="n">
        <v>0.1776</v>
      </c>
      <c r="T4382" s="3" t="n">
        <v>-0.0126</v>
      </c>
    </row>
    <row r="4383" customFormat="false" ht="15" hidden="false" customHeight="true" outlineLevel="0" collapsed="false">
      <c r="A4383" s="3" t="s">
        <v>5550</v>
      </c>
      <c r="B4383" s="3" t="s">
        <v>1216</v>
      </c>
      <c r="C4383" s="3" t="s">
        <v>126</v>
      </c>
      <c r="D4383" s="3" t="s">
        <v>107</v>
      </c>
      <c r="E4383" s="3" t="s">
        <v>33</v>
      </c>
      <c r="F4383" s="3" t="s">
        <v>70</v>
      </c>
      <c r="G4383" s="3" t="s">
        <v>116</v>
      </c>
      <c r="H4383" s="3" t="s">
        <v>27</v>
      </c>
      <c r="I4383" s="3" t="s">
        <v>50</v>
      </c>
      <c r="J4383" s="3" t="n">
        <v>32</v>
      </c>
      <c r="K4383" s="3" t="n">
        <v>30584.37</v>
      </c>
      <c r="L4383" s="3" t="n">
        <v>978699.84</v>
      </c>
      <c r="M4383" s="3" t="n">
        <v>0.1109</v>
      </c>
      <c r="N4383" s="3" t="n">
        <v>108537.81</v>
      </c>
      <c r="O4383" s="3" t="n">
        <v>870162.03</v>
      </c>
      <c r="P4383" s="3" t="n">
        <v>606793.9</v>
      </c>
      <c r="Q4383" s="3" t="n">
        <v>263368.13</v>
      </c>
      <c r="R4383" s="3" t="n">
        <v>0.3027</v>
      </c>
      <c r="S4383" s="3" t="n">
        <v>0.1183</v>
      </c>
      <c r="T4383" s="3" t="n">
        <v>-0.0074</v>
      </c>
    </row>
    <row r="4384" customFormat="false" ht="15" hidden="false" customHeight="true" outlineLevel="0" collapsed="false">
      <c r="A4384" s="3" t="s">
        <v>5551</v>
      </c>
      <c r="B4384" s="3" t="s">
        <v>92</v>
      </c>
      <c r="C4384" s="3" t="s">
        <v>93</v>
      </c>
      <c r="D4384" s="3" t="s">
        <v>32</v>
      </c>
      <c r="E4384" s="3" t="s">
        <v>33</v>
      </c>
      <c r="F4384" s="3" t="s">
        <v>25</v>
      </c>
      <c r="G4384" s="3" t="s">
        <v>41</v>
      </c>
      <c r="H4384" s="3" t="s">
        <v>77</v>
      </c>
      <c r="I4384" s="3" t="s">
        <v>85</v>
      </c>
      <c r="J4384" s="3" t="n">
        <v>44</v>
      </c>
      <c r="K4384" s="3" t="n">
        <v>5064.56</v>
      </c>
      <c r="L4384" s="3" t="n">
        <v>222840.64</v>
      </c>
      <c r="M4384" s="3" t="n">
        <v>0.1968</v>
      </c>
      <c r="N4384" s="3" t="n">
        <v>43855.04</v>
      </c>
      <c r="O4384" s="3" t="n">
        <v>178985.6</v>
      </c>
      <c r="P4384" s="3" t="n">
        <v>151531.64</v>
      </c>
      <c r="Q4384" s="3" t="n">
        <v>27453.96</v>
      </c>
      <c r="R4384" s="3" t="n">
        <v>0.1534</v>
      </c>
      <c r="S4384" s="3" t="n">
        <v>0.2048</v>
      </c>
      <c r="T4384" s="3" t="n">
        <v>-0.008</v>
      </c>
    </row>
    <row r="4385" customFormat="false" ht="15" hidden="false" customHeight="true" outlineLevel="0" collapsed="false">
      <c r="A4385" s="3" t="s">
        <v>5552</v>
      </c>
      <c r="B4385" s="3" t="s">
        <v>1428</v>
      </c>
      <c r="C4385" s="3" t="s">
        <v>31</v>
      </c>
      <c r="D4385" s="3" t="s">
        <v>23</v>
      </c>
      <c r="E4385" s="3" t="s">
        <v>24</v>
      </c>
      <c r="F4385" s="3" t="s">
        <v>25</v>
      </c>
      <c r="G4385" s="3" t="s">
        <v>55</v>
      </c>
      <c r="H4385" s="3" t="s">
        <v>77</v>
      </c>
      <c r="I4385" s="3" t="s">
        <v>85</v>
      </c>
      <c r="J4385" s="3" t="n">
        <v>21</v>
      </c>
      <c r="K4385" s="3" t="n">
        <v>1684.16</v>
      </c>
      <c r="L4385" s="3" t="n">
        <v>35367.36</v>
      </c>
      <c r="M4385" s="3" t="n">
        <v>0.1098</v>
      </c>
      <c r="N4385" s="3" t="n">
        <v>3883.34</v>
      </c>
      <c r="O4385" s="3" t="n">
        <v>31484.02</v>
      </c>
      <c r="P4385" s="3" t="n">
        <v>24049.8</v>
      </c>
      <c r="Q4385" s="3" t="n">
        <v>7434.22</v>
      </c>
      <c r="R4385" s="3" t="n">
        <v>0.2361</v>
      </c>
      <c r="S4385" s="3" t="n">
        <v>0.096</v>
      </c>
      <c r="T4385" s="3" t="n">
        <v>0.0138</v>
      </c>
    </row>
    <row r="4386" customFormat="false" ht="15" hidden="false" customHeight="true" outlineLevel="0" collapsed="false">
      <c r="A4386" s="3" t="s">
        <v>5553</v>
      </c>
      <c r="B4386" s="3" t="s">
        <v>30</v>
      </c>
      <c r="C4386" s="3" t="s">
        <v>31</v>
      </c>
      <c r="D4386" s="3" t="s">
        <v>61</v>
      </c>
      <c r="E4386" s="3" t="s">
        <v>33</v>
      </c>
      <c r="F4386" s="3" t="s">
        <v>62</v>
      </c>
      <c r="G4386" s="3" t="s">
        <v>76</v>
      </c>
      <c r="H4386" s="3" t="s">
        <v>27</v>
      </c>
      <c r="I4386" s="3" t="s">
        <v>28</v>
      </c>
      <c r="J4386" s="3" t="n">
        <v>22</v>
      </c>
      <c r="K4386" s="3" t="n">
        <v>25216.92</v>
      </c>
      <c r="L4386" s="3" t="n">
        <v>554772.24</v>
      </c>
      <c r="M4386" s="3" t="n">
        <v>0.052</v>
      </c>
      <c r="N4386" s="3" t="n">
        <v>28848.16</v>
      </c>
      <c r="O4386" s="3" t="n">
        <v>525924.08</v>
      </c>
      <c r="P4386" s="3" t="n">
        <v>343958.79</v>
      </c>
      <c r="Q4386" s="3" t="n">
        <v>181965.29</v>
      </c>
      <c r="R4386" s="3" t="n">
        <v>0.346</v>
      </c>
      <c r="S4386" s="3" t="n">
        <v>0.0486</v>
      </c>
      <c r="T4386" s="3" t="n">
        <v>0.0034</v>
      </c>
    </row>
    <row r="4387" customFormat="false" ht="15" hidden="false" customHeight="true" outlineLevel="0" collapsed="false">
      <c r="A4387" s="3" t="s">
        <v>5554</v>
      </c>
      <c r="B4387" s="3" t="s">
        <v>1057</v>
      </c>
      <c r="C4387" s="3" t="s">
        <v>22</v>
      </c>
      <c r="D4387" s="3" t="s">
        <v>61</v>
      </c>
      <c r="E4387" s="3" t="s">
        <v>33</v>
      </c>
      <c r="F4387" s="3" t="s">
        <v>62</v>
      </c>
      <c r="G4387" s="3" t="s">
        <v>49</v>
      </c>
      <c r="H4387" s="3" t="s">
        <v>64</v>
      </c>
      <c r="I4387" s="3" t="s">
        <v>90</v>
      </c>
      <c r="J4387" s="3" t="n">
        <v>45</v>
      </c>
      <c r="K4387" s="3" t="n">
        <v>10282.95</v>
      </c>
      <c r="L4387" s="3" t="n">
        <v>462732.75</v>
      </c>
      <c r="M4387" s="3" t="n">
        <v>0.038</v>
      </c>
      <c r="N4387" s="3" t="n">
        <v>17583.84</v>
      </c>
      <c r="O4387" s="3" t="n">
        <v>445148.91</v>
      </c>
      <c r="P4387" s="3" t="n">
        <v>268384.99</v>
      </c>
      <c r="Q4387" s="3" t="n">
        <v>176763.92</v>
      </c>
      <c r="R4387" s="3" t="n">
        <v>0.3971</v>
      </c>
      <c r="S4387" s="3" t="n">
        <v>0.0367</v>
      </c>
      <c r="T4387" s="3" t="n">
        <v>0.0013</v>
      </c>
    </row>
    <row r="4388" customFormat="false" ht="15" hidden="false" customHeight="true" outlineLevel="0" collapsed="false">
      <c r="A4388" s="3" t="s">
        <v>5555</v>
      </c>
      <c r="B4388" s="3" t="s">
        <v>1204</v>
      </c>
      <c r="C4388" s="3" t="s">
        <v>46</v>
      </c>
      <c r="D4388" s="3" t="s">
        <v>75</v>
      </c>
      <c r="E4388" s="3" t="s">
        <v>39</v>
      </c>
      <c r="F4388" s="3" t="s">
        <v>25</v>
      </c>
      <c r="G4388" s="3" t="s">
        <v>41</v>
      </c>
      <c r="H4388" s="3" t="s">
        <v>56</v>
      </c>
      <c r="I4388" s="3" t="s">
        <v>188</v>
      </c>
      <c r="J4388" s="3" t="n">
        <v>49</v>
      </c>
      <c r="K4388" s="3" t="n">
        <v>15591.94</v>
      </c>
      <c r="L4388" s="3" t="n">
        <v>764005.06</v>
      </c>
      <c r="M4388" s="3" t="n">
        <v>0.1908</v>
      </c>
      <c r="N4388" s="3" t="n">
        <v>145772.17</v>
      </c>
      <c r="O4388" s="3" t="n">
        <v>618232.89</v>
      </c>
      <c r="P4388" s="3" t="n">
        <v>458403.04</v>
      </c>
      <c r="Q4388" s="3" t="n">
        <v>159829.85</v>
      </c>
      <c r="R4388" s="3" t="n">
        <v>0.2585</v>
      </c>
      <c r="S4388" s="3" t="n">
        <v>0.2048</v>
      </c>
      <c r="T4388" s="3" t="n">
        <v>-0.014</v>
      </c>
    </row>
    <row r="4389" customFormat="false" ht="15" hidden="false" customHeight="true" outlineLevel="0" collapsed="false">
      <c r="A4389" s="3" t="s">
        <v>5556</v>
      </c>
      <c r="B4389" s="3" t="s">
        <v>1762</v>
      </c>
      <c r="C4389" s="3" t="s">
        <v>68</v>
      </c>
      <c r="D4389" s="3" t="s">
        <v>75</v>
      </c>
      <c r="E4389" s="3" t="s">
        <v>39</v>
      </c>
      <c r="F4389" s="3" t="s">
        <v>25</v>
      </c>
      <c r="G4389" s="3" t="s">
        <v>71</v>
      </c>
      <c r="H4389" s="3" t="s">
        <v>42</v>
      </c>
      <c r="I4389" s="3" t="s">
        <v>72</v>
      </c>
      <c r="J4389" s="3" t="n">
        <v>40</v>
      </c>
      <c r="K4389" s="3" t="n">
        <v>2538.75</v>
      </c>
      <c r="L4389" s="3" t="n">
        <v>101550</v>
      </c>
      <c r="M4389" s="3" t="n">
        <v>0.116</v>
      </c>
      <c r="N4389" s="3" t="n">
        <v>11779.8</v>
      </c>
      <c r="O4389" s="3" t="n">
        <v>89770.2</v>
      </c>
      <c r="P4389" s="3" t="n">
        <v>55852.5</v>
      </c>
      <c r="Q4389" s="3" t="n">
        <v>33917.7</v>
      </c>
      <c r="R4389" s="3" t="n">
        <v>0.3778</v>
      </c>
      <c r="S4389" s="3" t="n">
        <v>0.103</v>
      </c>
      <c r="T4389" s="3" t="n">
        <v>0.013</v>
      </c>
    </row>
    <row r="4390" customFormat="false" ht="15" hidden="false" customHeight="true" outlineLevel="0" collapsed="false">
      <c r="A4390" s="3" t="s">
        <v>5557</v>
      </c>
      <c r="B4390" s="3" t="s">
        <v>2446</v>
      </c>
      <c r="C4390" s="3" t="s">
        <v>53</v>
      </c>
      <c r="D4390" s="3" t="s">
        <v>97</v>
      </c>
      <c r="E4390" s="3" t="s">
        <v>48</v>
      </c>
      <c r="F4390" s="3" t="s">
        <v>40</v>
      </c>
      <c r="G4390" s="3" t="s">
        <v>100</v>
      </c>
      <c r="H4390" s="3" t="s">
        <v>42</v>
      </c>
      <c r="I4390" s="3" t="s">
        <v>72</v>
      </c>
      <c r="J4390" s="3" t="n">
        <v>24</v>
      </c>
      <c r="K4390" s="3" t="n">
        <v>3224.35</v>
      </c>
      <c r="L4390" s="3" t="n">
        <v>77384.4</v>
      </c>
      <c r="M4390" s="3" t="n">
        <v>0.0397</v>
      </c>
      <c r="N4390" s="3" t="n">
        <v>3072.16</v>
      </c>
      <c r="O4390" s="3" t="n">
        <v>74312.24</v>
      </c>
      <c r="P4390" s="3" t="n">
        <v>42561.42</v>
      </c>
      <c r="Q4390" s="3" t="n">
        <v>31750.82</v>
      </c>
      <c r="R4390" s="3" t="n">
        <v>0.4273</v>
      </c>
      <c r="S4390" s="3" t="n">
        <v>0.0325</v>
      </c>
      <c r="T4390" s="3" t="n">
        <v>0.0072</v>
      </c>
    </row>
    <row r="4391" customFormat="false" ht="15" hidden="false" customHeight="true" outlineLevel="0" collapsed="false">
      <c r="A4391" s="3" t="s">
        <v>5558</v>
      </c>
      <c r="B4391" s="3" t="s">
        <v>2031</v>
      </c>
      <c r="C4391" s="3" t="s">
        <v>31</v>
      </c>
      <c r="D4391" s="3" t="s">
        <v>54</v>
      </c>
      <c r="E4391" s="3" t="s">
        <v>24</v>
      </c>
      <c r="F4391" s="3" t="s">
        <v>40</v>
      </c>
      <c r="G4391" s="3" t="s">
        <v>63</v>
      </c>
      <c r="H4391" s="3" t="s">
        <v>64</v>
      </c>
      <c r="I4391" s="3" t="s">
        <v>90</v>
      </c>
      <c r="J4391" s="3" t="n">
        <v>34</v>
      </c>
      <c r="K4391" s="3" t="n">
        <v>4828.82</v>
      </c>
      <c r="L4391" s="3" t="n">
        <v>164179.88</v>
      </c>
      <c r="M4391" s="3" t="n">
        <v>0.046</v>
      </c>
      <c r="N4391" s="3" t="n">
        <v>7552.27</v>
      </c>
      <c r="O4391" s="3" t="n">
        <v>156627.61</v>
      </c>
      <c r="P4391" s="3" t="n">
        <v>95224.33</v>
      </c>
      <c r="Q4391" s="3" t="n">
        <v>61403.28</v>
      </c>
      <c r="R4391" s="3" t="n">
        <v>0.392</v>
      </c>
      <c r="S4391" s="3" t="n">
        <v>0.0502</v>
      </c>
      <c r="T4391" s="3" t="n">
        <v>-0.0042</v>
      </c>
    </row>
    <row r="4392" customFormat="false" ht="15" hidden="false" customHeight="true" outlineLevel="0" collapsed="false">
      <c r="A4392" s="3" t="s">
        <v>5559</v>
      </c>
      <c r="B4392" s="3" t="s">
        <v>583</v>
      </c>
      <c r="C4392" s="3" t="s">
        <v>120</v>
      </c>
      <c r="D4392" s="3" t="s">
        <v>32</v>
      </c>
      <c r="E4392" s="3" t="s">
        <v>33</v>
      </c>
      <c r="F4392" s="3" t="s">
        <v>25</v>
      </c>
      <c r="G4392" s="3" t="s">
        <v>63</v>
      </c>
      <c r="H4392" s="3" t="s">
        <v>77</v>
      </c>
      <c r="I4392" s="3" t="s">
        <v>131</v>
      </c>
      <c r="J4392" s="3" t="n">
        <v>17</v>
      </c>
      <c r="K4392" s="3" t="n">
        <v>4806.6</v>
      </c>
      <c r="L4392" s="3" t="n">
        <v>81712.2</v>
      </c>
      <c r="M4392" s="3" t="n">
        <v>0.1396</v>
      </c>
      <c r="N4392" s="3" t="n">
        <v>11407.02</v>
      </c>
      <c r="O4392" s="3" t="n">
        <v>70305.18</v>
      </c>
      <c r="P4392" s="3" t="n">
        <v>55564.3</v>
      </c>
      <c r="Q4392" s="3" t="n">
        <v>14740.88</v>
      </c>
      <c r="R4392" s="3" t="n">
        <v>0.2097</v>
      </c>
      <c r="S4392" s="3" t="n">
        <v>0.123</v>
      </c>
      <c r="T4392" s="3" t="n">
        <v>0.0166</v>
      </c>
    </row>
    <row r="4393" customFormat="false" ht="15" hidden="false" customHeight="true" outlineLevel="0" collapsed="false">
      <c r="A4393" s="3" t="s">
        <v>5560</v>
      </c>
      <c r="B4393" s="3" t="s">
        <v>1428</v>
      </c>
      <c r="C4393" s="3" t="s">
        <v>31</v>
      </c>
      <c r="D4393" s="3" t="s">
        <v>54</v>
      </c>
      <c r="E4393" s="3" t="s">
        <v>24</v>
      </c>
      <c r="F4393" s="3" t="s">
        <v>40</v>
      </c>
      <c r="G4393" s="3" t="s">
        <v>104</v>
      </c>
      <c r="H4393" s="3" t="s">
        <v>27</v>
      </c>
      <c r="I4393" s="3" t="s">
        <v>28</v>
      </c>
      <c r="J4393" s="3" t="n">
        <v>18</v>
      </c>
      <c r="K4393" s="3" t="n">
        <v>31883.08</v>
      </c>
      <c r="L4393" s="3" t="n">
        <v>573895.44</v>
      </c>
      <c r="M4393" s="3" t="n">
        <v>0.0696</v>
      </c>
      <c r="N4393" s="3" t="n">
        <v>39943.12</v>
      </c>
      <c r="O4393" s="3" t="n">
        <v>533952.32</v>
      </c>
      <c r="P4393" s="3" t="n">
        <v>355815.17</v>
      </c>
      <c r="Q4393" s="3" t="n">
        <v>178137.15</v>
      </c>
      <c r="R4393" s="3" t="n">
        <v>0.3336</v>
      </c>
      <c r="S4393" s="3" t="n">
        <v>0.0566</v>
      </c>
      <c r="T4393" s="3" t="n">
        <v>0.013</v>
      </c>
    </row>
    <row r="4394" customFormat="false" ht="15" hidden="false" customHeight="true" outlineLevel="0" collapsed="false">
      <c r="A4394" s="3" t="s">
        <v>5561</v>
      </c>
      <c r="B4394" s="3" t="s">
        <v>102</v>
      </c>
      <c r="C4394" s="3" t="s">
        <v>93</v>
      </c>
      <c r="D4394" s="3" t="s">
        <v>69</v>
      </c>
      <c r="E4394" s="3" t="s">
        <v>39</v>
      </c>
      <c r="F4394" s="3" t="s">
        <v>70</v>
      </c>
      <c r="G4394" s="3" t="s">
        <v>26</v>
      </c>
      <c r="H4394" s="3" t="s">
        <v>27</v>
      </c>
      <c r="I4394" s="3" t="s">
        <v>28</v>
      </c>
      <c r="J4394" s="3" t="n">
        <v>50</v>
      </c>
      <c r="K4394" s="3" t="n">
        <v>21529.88</v>
      </c>
      <c r="L4394" s="3" t="n">
        <v>1076494</v>
      </c>
      <c r="M4394" s="3" t="n">
        <v>0.032</v>
      </c>
      <c r="N4394" s="3" t="n">
        <v>34447.81</v>
      </c>
      <c r="O4394" s="3" t="n">
        <v>1042046.19</v>
      </c>
      <c r="P4394" s="3" t="n">
        <v>667426.28</v>
      </c>
      <c r="Q4394" s="3" t="n">
        <v>374619.91</v>
      </c>
      <c r="R4394" s="3" t="n">
        <v>0.3595</v>
      </c>
      <c r="S4394" s="3" t="n">
        <v>0.0271</v>
      </c>
      <c r="T4394" s="3" t="n">
        <v>0.0049</v>
      </c>
    </row>
    <row r="4395" customFormat="false" ht="15" hidden="false" customHeight="true" outlineLevel="0" collapsed="false">
      <c r="A4395" s="3" t="s">
        <v>5562</v>
      </c>
      <c r="B4395" s="3" t="s">
        <v>1426</v>
      </c>
      <c r="C4395" s="3" t="s">
        <v>126</v>
      </c>
      <c r="D4395" s="3" t="s">
        <v>47</v>
      </c>
      <c r="E4395" s="3" t="s">
        <v>48</v>
      </c>
      <c r="F4395" s="3" t="s">
        <v>25</v>
      </c>
      <c r="G4395" s="3" t="s">
        <v>41</v>
      </c>
      <c r="H4395" s="3" t="s">
        <v>56</v>
      </c>
      <c r="I4395" s="3" t="s">
        <v>121</v>
      </c>
      <c r="J4395" s="3" t="n">
        <v>36</v>
      </c>
      <c r="K4395" s="3" t="n">
        <v>4823.44</v>
      </c>
      <c r="L4395" s="3" t="n">
        <v>173643.84</v>
      </c>
      <c r="M4395" s="3" t="n">
        <v>0.217</v>
      </c>
      <c r="N4395" s="3" t="n">
        <v>37680.71</v>
      </c>
      <c r="O4395" s="3" t="n">
        <v>135963.13</v>
      </c>
      <c r="P4395" s="3" t="n">
        <v>104186.3</v>
      </c>
      <c r="Q4395" s="3" t="n">
        <v>31776.83</v>
      </c>
      <c r="R4395" s="3" t="n">
        <v>0.2337</v>
      </c>
      <c r="S4395" s="3" t="n">
        <v>0.1836</v>
      </c>
      <c r="T4395" s="3" t="n">
        <v>0.0334</v>
      </c>
    </row>
    <row r="4396" customFormat="false" ht="15" hidden="false" customHeight="true" outlineLevel="0" collapsed="false">
      <c r="A4396" s="3" t="s">
        <v>5563</v>
      </c>
      <c r="B4396" s="3" t="s">
        <v>1257</v>
      </c>
      <c r="C4396" s="3" t="s">
        <v>60</v>
      </c>
      <c r="D4396" s="3" t="s">
        <v>69</v>
      </c>
      <c r="E4396" s="3" t="s">
        <v>39</v>
      </c>
      <c r="F4396" s="3" t="s">
        <v>70</v>
      </c>
      <c r="G4396" s="3" t="s">
        <v>55</v>
      </c>
      <c r="H4396" s="3" t="s">
        <v>42</v>
      </c>
      <c r="I4396" s="3" t="s">
        <v>134</v>
      </c>
      <c r="J4396" s="3" t="n">
        <v>37</v>
      </c>
      <c r="K4396" s="3" t="n">
        <v>2989.14</v>
      </c>
      <c r="L4396" s="3" t="n">
        <v>110598.18</v>
      </c>
      <c r="M4396" s="3" t="n">
        <v>0.0711</v>
      </c>
      <c r="N4396" s="3" t="n">
        <v>7863.53</v>
      </c>
      <c r="O4396" s="3" t="n">
        <v>102734.65</v>
      </c>
      <c r="P4396" s="3" t="n">
        <v>60829</v>
      </c>
      <c r="Q4396" s="3" t="n">
        <v>41905.65</v>
      </c>
      <c r="R4396" s="3" t="n">
        <v>0.4079</v>
      </c>
      <c r="S4396" s="3" t="n">
        <v>0.076</v>
      </c>
      <c r="T4396" s="3" t="n">
        <v>-0.0049</v>
      </c>
    </row>
    <row r="4397" customFormat="false" ht="15" hidden="false" customHeight="true" outlineLevel="0" collapsed="false">
      <c r="A4397" s="3" t="s">
        <v>5564</v>
      </c>
      <c r="B4397" s="3" t="s">
        <v>2438</v>
      </c>
      <c r="C4397" s="3" t="s">
        <v>37</v>
      </c>
      <c r="D4397" s="3" t="s">
        <v>103</v>
      </c>
      <c r="E4397" s="3" t="s">
        <v>24</v>
      </c>
      <c r="F4397" s="3" t="s">
        <v>62</v>
      </c>
      <c r="G4397" s="3" t="s">
        <v>84</v>
      </c>
      <c r="H4397" s="3" t="s">
        <v>27</v>
      </c>
      <c r="I4397" s="3" t="s">
        <v>94</v>
      </c>
      <c r="J4397" s="3" t="n">
        <v>27</v>
      </c>
      <c r="K4397" s="3" t="n">
        <v>30068.91</v>
      </c>
      <c r="L4397" s="3" t="n">
        <v>811860.57</v>
      </c>
      <c r="M4397" s="3" t="n">
        <v>0.0504</v>
      </c>
      <c r="N4397" s="3" t="n">
        <v>40917.77</v>
      </c>
      <c r="O4397" s="3" t="n">
        <v>770942.8</v>
      </c>
      <c r="P4397" s="3" t="n">
        <v>503353.55</v>
      </c>
      <c r="Q4397" s="3" t="n">
        <v>267589.25</v>
      </c>
      <c r="R4397" s="3" t="n">
        <v>0.3471</v>
      </c>
      <c r="S4397" s="3" t="n">
        <v>0.0553</v>
      </c>
      <c r="T4397" s="3" t="n">
        <v>-0.0049</v>
      </c>
    </row>
    <row r="4398" customFormat="false" ht="15" hidden="false" customHeight="true" outlineLevel="0" collapsed="false">
      <c r="A4398" s="3" t="s">
        <v>5565</v>
      </c>
      <c r="B4398" s="3" t="s">
        <v>981</v>
      </c>
      <c r="C4398" s="3" t="s">
        <v>53</v>
      </c>
      <c r="D4398" s="3" t="s">
        <v>83</v>
      </c>
      <c r="E4398" s="3" t="s">
        <v>48</v>
      </c>
      <c r="F4398" s="3" t="s">
        <v>62</v>
      </c>
      <c r="G4398" s="3" t="s">
        <v>84</v>
      </c>
      <c r="H4398" s="3" t="s">
        <v>42</v>
      </c>
      <c r="I4398" s="3" t="s">
        <v>72</v>
      </c>
      <c r="J4398" s="3" t="n">
        <v>45</v>
      </c>
      <c r="K4398" s="3" t="n">
        <v>3427.1</v>
      </c>
      <c r="L4398" s="3" t="n">
        <v>154219.5</v>
      </c>
      <c r="M4398" s="3" t="n">
        <v>0.0789</v>
      </c>
      <c r="N4398" s="3" t="n">
        <v>12167.92</v>
      </c>
      <c r="O4398" s="3" t="n">
        <v>142051.58</v>
      </c>
      <c r="P4398" s="3" t="n">
        <v>84820.73</v>
      </c>
      <c r="Q4398" s="3" t="n">
        <v>57230.85</v>
      </c>
      <c r="R4398" s="3" t="n">
        <v>0.4029</v>
      </c>
      <c r="S4398" s="3" t="n">
        <v>0.0857</v>
      </c>
      <c r="T4398" s="3" t="n">
        <v>-0.0068</v>
      </c>
    </row>
    <row r="4399" customFormat="false" ht="15" hidden="false" customHeight="true" outlineLevel="0" collapsed="false">
      <c r="A4399" s="3" t="s">
        <v>5566</v>
      </c>
      <c r="B4399" s="3" t="s">
        <v>1653</v>
      </c>
      <c r="C4399" s="3" t="s">
        <v>60</v>
      </c>
      <c r="D4399" s="3" t="s">
        <v>83</v>
      </c>
      <c r="E4399" s="3" t="s">
        <v>48</v>
      </c>
      <c r="F4399" s="3" t="s">
        <v>62</v>
      </c>
      <c r="G4399" s="3" t="s">
        <v>26</v>
      </c>
      <c r="H4399" s="3" t="s">
        <v>27</v>
      </c>
      <c r="I4399" s="3" t="s">
        <v>28</v>
      </c>
      <c r="J4399" s="3" t="n">
        <v>38</v>
      </c>
      <c r="K4399" s="3" t="n">
        <v>18323.66</v>
      </c>
      <c r="L4399" s="3" t="n">
        <v>696299.08</v>
      </c>
      <c r="M4399" s="3" t="n">
        <v>0.0672</v>
      </c>
      <c r="N4399" s="3" t="n">
        <v>46791.3</v>
      </c>
      <c r="O4399" s="3" t="n">
        <v>649507.78</v>
      </c>
      <c r="P4399" s="3" t="n">
        <v>431705.43</v>
      </c>
      <c r="Q4399" s="3" t="n">
        <v>217802.35</v>
      </c>
      <c r="R4399" s="3" t="n">
        <v>0.3353</v>
      </c>
      <c r="S4399" s="3" t="n">
        <v>0.0609</v>
      </c>
      <c r="T4399" s="3" t="n">
        <v>0.0063</v>
      </c>
    </row>
    <row r="4400" customFormat="false" ht="15" hidden="false" customHeight="true" outlineLevel="0" collapsed="false">
      <c r="A4400" s="3" t="s">
        <v>5567</v>
      </c>
      <c r="B4400" s="3" t="s">
        <v>330</v>
      </c>
      <c r="C4400" s="3" t="s">
        <v>37</v>
      </c>
      <c r="D4400" s="3" t="s">
        <v>97</v>
      </c>
      <c r="E4400" s="3" t="s">
        <v>48</v>
      </c>
      <c r="F4400" s="3" t="s">
        <v>40</v>
      </c>
      <c r="G4400" s="3" t="s">
        <v>63</v>
      </c>
      <c r="H4400" s="3" t="s">
        <v>56</v>
      </c>
      <c r="I4400" s="3" t="s">
        <v>188</v>
      </c>
      <c r="J4400" s="3" t="n">
        <v>32</v>
      </c>
      <c r="K4400" s="3" t="n">
        <v>13091.23</v>
      </c>
      <c r="L4400" s="3" t="n">
        <v>418919.36</v>
      </c>
      <c r="M4400" s="3" t="n">
        <v>0.053</v>
      </c>
      <c r="N4400" s="3" t="n">
        <v>22202.73</v>
      </c>
      <c r="O4400" s="3" t="n">
        <v>396716.63</v>
      </c>
      <c r="P4400" s="3" t="n">
        <v>251351.62</v>
      </c>
      <c r="Q4400" s="3" t="n">
        <v>145365.01</v>
      </c>
      <c r="R4400" s="3" t="n">
        <v>0.3664</v>
      </c>
      <c r="S4400" s="3" t="n">
        <v>0.0455</v>
      </c>
      <c r="T4400" s="3" t="n">
        <v>0.0075</v>
      </c>
    </row>
    <row r="4401" customFormat="false" ht="15" hidden="false" customHeight="true" outlineLevel="0" collapsed="false">
      <c r="A4401" s="3" t="s">
        <v>5568</v>
      </c>
      <c r="B4401" s="3" t="s">
        <v>147</v>
      </c>
      <c r="C4401" s="3" t="s">
        <v>60</v>
      </c>
      <c r="D4401" s="3" t="s">
        <v>47</v>
      </c>
      <c r="E4401" s="3" t="s">
        <v>48</v>
      </c>
      <c r="F4401" s="3" t="s">
        <v>25</v>
      </c>
      <c r="G4401" s="3" t="s">
        <v>84</v>
      </c>
      <c r="H4401" s="3" t="s">
        <v>27</v>
      </c>
      <c r="I4401" s="3" t="s">
        <v>28</v>
      </c>
      <c r="J4401" s="3" t="n">
        <v>15</v>
      </c>
      <c r="K4401" s="3" t="n">
        <v>17263.22</v>
      </c>
      <c r="L4401" s="3" t="n">
        <v>258948.3</v>
      </c>
      <c r="M4401" s="3" t="n">
        <v>0.1256</v>
      </c>
      <c r="N4401" s="3" t="n">
        <v>32523.91</v>
      </c>
      <c r="O4401" s="3" t="n">
        <v>226424.39</v>
      </c>
      <c r="P4401" s="3" t="n">
        <v>160547.95</v>
      </c>
      <c r="Q4401" s="3" t="n">
        <v>65876.44</v>
      </c>
      <c r="R4401" s="3" t="n">
        <v>0.2909</v>
      </c>
      <c r="S4401" s="3" t="n">
        <v>0.1137</v>
      </c>
      <c r="T4401" s="3" t="n">
        <v>0.0119</v>
      </c>
    </row>
    <row r="4402" customFormat="false" ht="15" hidden="false" customHeight="true" outlineLevel="0" collapsed="false">
      <c r="A4402" s="3" t="s">
        <v>5569</v>
      </c>
      <c r="B4402" s="3" t="s">
        <v>4632</v>
      </c>
      <c r="C4402" s="3" t="s">
        <v>37</v>
      </c>
      <c r="D4402" s="3" t="s">
        <v>32</v>
      </c>
      <c r="E4402" s="3" t="s">
        <v>33</v>
      </c>
      <c r="F4402" s="3" t="s">
        <v>25</v>
      </c>
      <c r="G4402" s="3" t="s">
        <v>116</v>
      </c>
      <c r="H4402" s="3" t="s">
        <v>27</v>
      </c>
      <c r="I4402" s="3" t="s">
        <v>50</v>
      </c>
      <c r="J4402" s="3" t="n">
        <v>7</v>
      </c>
      <c r="K4402" s="3" t="n">
        <v>14431.3</v>
      </c>
      <c r="L4402" s="3" t="n">
        <v>101019.1</v>
      </c>
      <c r="M4402" s="3" t="n">
        <v>0.162</v>
      </c>
      <c r="N4402" s="3" t="n">
        <v>16365.09</v>
      </c>
      <c r="O4402" s="3" t="n">
        <v>84654.01</v>
      </c>
      <c r="P4402" s="3" t="n">
        <v>62631.84</v>
      </c>
      <c r="Q4402" s="3" t="n">
        <v>22022.17</v>
      </c>
      <c r="R4402" s="3" t="n">
        <v>0.2601</v>
      </c>
      <c r="S4402" s="3" t="n">
        <v>0.1367</v>
      </c>
      <c r="T4402" s="3" t="n">
        <v>0.0253</v>
      </c>
    </row>
    <row r="4403" customFormat="false" ht="15" hidden="false" customHeight="true" outlineLevel="0" collapsed="false">
      <c r="A4403" s="3" t="s">
        <v>5570</v>
      </c>
      <c r="B4403" s="3" t="s">
        <v>384</v>
      </c>
      <c r="C4403" s="3" t="s">
        <v>31</v>
      </c>
      <c r="D4403" s="3" t="s">
        <v>32</v>
      </c>
      <c r="E4403" s="3" t="s">
        <v>33</v>
      </c>
      <c r="F4403" s="3" t="s">
        <v>25</v>
      </c>
      <c r="G4403" s="3" t="s">
        <v>41</v>
      </c>
      <c r="H4403" s="3" t="s">
        <v>77</v>
      </c>
      <c r="I4403" s="3" t="s">
        <v>131</v>
      </c>
      <c r="J4403" s="3" t="n">
        <v>37</v>
      </c>
      <c r="K4403" s="3" t="n">
        <v>5430.46</v>
      </c>
      <c r="L4403" s="3" t="n">
        <v>200927.02</v>
      </c>
      <c r="M4403" s="3" t="n">
        <v>0.2172</v>
      </c>
      <c r="N4403" s="3" t="n">
        <v>43641.35</v>
      </c>
      <c r="O4403" s="3" t="n">
        <v>157285.67</v>
      </c>
      <c r="P4403" s="3" t="n">
        <v>136630.37</v>
      </c>
      <c r="Q4403" s="3" t="n">
        <v>20655.3</v>
      </c>
      <c r="R4403" s="3" t="n">
        <v>0.1313</v>
      </c>
      <c r="S4403" s="3" t="n">
        <v>0.2018</v>
      </c>
      <c r="T4403" s="3" t="n">
        <v>0.0154</v>
      </c>
    </row>
    <row r="4404" customFormat="false" ht="15" hidden="false" customHeight="true" outlineLevel="0" collapsed="false">
      <c r="A4404" s="3" t="s">
        <v>5571</v>
      </c>
      <c r="B4404" s="3" t="s">
        <v>1067</v>
      </c>
      <c r="C4404" s="3" t="s">
        <v>93</v>
      </c>
      <c r="D4404" s="3" t="s">
        <v>97</v>
      </c>
      <c r="E4404" s="3" t="s">
        <v>48</v>
      </c>
      <c r="F4404" s="3" t="s">
        <v>40</v>
      </c>
      <c r="G4404" s="3" t="s">
        <v>63</v>
      </c>
      <c r="H4404" s="3" t="s">
        <v>42</v>
      </c>
      <c r="I4404" s="3" t="s">
        <v>43</v>
      </c>
      <c r="J4404" s="3" t="n">
        <v>49</v>
      </c>
      <c r="K4404" s="3" t="n">
        <v>3556.71</v>
      </c>
      <c r="L4404" s="3" t="n">
        <v>174278.79</v>
      </c>
      <c r="M4404" s="3" t="n">
        <v>0.0448</v>
      </c>
      <c r="N4404" s="3" t="n">
        <v>7807.69</v>
      </c>
      <c r="O4404" s="3" t="n">
        <v>166471.1</v>
      </c>
      <c r="P4404" s="3" t="n">
        <v>95853.33</v>
      </c>
      <c r="Q4404" s="3" t="n">
        <v>70617.77</v>
      </c>
      <c r="R4404" s="3" t="n">
        <v>0.4242</v>
      </c>
      <c r="S4404" s="3" t="n">
        <v>0.0379</v>
      </c>
      <c r="T4404" s="3" t="n">
        <v>0.0069</v>
      </c>
    </row>
    <row r="4405" customFormat="false" ht="15" hidden="false" customHeight="true" outlineLevel="0" collapsed="false">
      <c r="A4405" s="3" t="s">
        <v>5572</v>
      </c>
      <c r="B4405" s="3" t="s">
        <v>2095</v>
      </c>
      <c r="C4405" s="3" t="s">
        <v>120</v>
      </c>
      <c r="D4405" s="3" t="s">
        <v>97</v>
      </c>
      <c r="E4405" s="3" t="s">
        <v>48</v>
      </c>
      <c r="F4405" s="3" t="s">
        <v>40</v>
      </c>
      <c r="G4405" s="3" t="s">
        <v>26</v>
      </c>
      <c r="H4405" s="3" t="s">
        <v>56</v>
      </c>
      <c r="I4405" s="3" t="s">
        <v>188</v>
      </c>
      <c r="J4405" s="3" t="n">
        <v>33</v>
      </c>
      <c r="K4405" s="3" t="n">
        <v>6705.75</v>
      </c>
      <c r="L4405" s="3" t="n">
        <v>221289.75</v>
      </c>
      <c r="M4405" s="3" t="n">
        <v>0.0574</v>
      </c>
      <c r="N4405" s="3" t="n">
        <v>12702.03</v>
      </c>
      <c r="O4405" s="3" t="n">
        <v>208587.72</v>
      </c>
      <c r="P4405" s="3" t="n">
        <v>132773.85</v>
      </c>
      <c r="Q4405" s="3" t="n">
        <v>75813.87</v>
      </c>
      <c r="R4405" s="3" t="n">
        <v>0.3635</v>
      </c>
      <c r="S4405" s="3" t="n">
        <v>0.0543</v>
      </c>
      <c r="T4405" s="3" t="n">
        <v>0.0031</v>
      </c>
    </row>
    <row r="4406" customFormat="false" ht="15" hidden="false" customHeight="true" outlineLevel="0" collapsed="false">
      <c r="A4406" s="3" t="s">
        <v>5573</v>
      </c>
      <c r="B4406" s="3" t="s">
        <v>435</v>
      </c>
      <c r="C4406" s="3" t="s">
        <v>31</v>
      </c>
      <c r="D4406" s="3" t="s">
        <v>97</v>
      </c>
      <c r="E4406" s="3" t="s">
        <v>48</v>
      </c>
      <c r="F4406" s="3" t="s">
        <v>40</v>
      </c>
      <c r="G4406" s="3" t="s">
        <v>63</v>
      </c>
      <c r="H4406" s="3" t="s">
        <v>77</v>
      </c>
      <c r="I4406" s="3" t="s">
        <v>78</v>
      </c>
      <c r="J4406" s="3" t="n">
        <v>11</v>
      </c>
      <c r="K4406" s="3" t="n">
        <v>1850.37</v>
      </c>
      <c r="L4406" s="3" t="n">
        <v>20354.07</v>
      </c>
      <c r="M4406" s="3" t="n">
        <v>0.0724</v>
      </c>
      <c r="N4406" s="3" t="n">
        <v>1473.63</v>
      </c>
      <c r="O4406" s="3" t="n">
        <v>18880.44</v>
      </c>
      <c r="P4406" s="3" t="n">
        <v>13840.77</v>
      </c>
      <c r="Q4406" s="3" t="n">
        <v>5039.67</v>
      </c>
      <c r="R4406" s="3" t="n">
        <v>0.2669</v>
      </c>
      <c r="S4406" s="3" t="n">
        <v>0.0587</v>
      </c>
      <c r="T4406" s="3" t="n">
        <v>0.0137</v>
      </c>
    </row>
    <row r="4407" customFormat="false" ht="15" hidden="false" customHeight="true" outlineLevel="0" collapsed="false">
      <c r="A4407" s="3" t="s">
        <v>5574</v>
      </c>
      <c r="B4407" s="3" t="s">
        <v>1057</v>
      </c>
      <c r="C4407" s="3" t="s">
        <v>22</v>
      </c>
      <c r="D4407" s="3" t="s">
        <v>97</v>
      </c>
      <c r="E4407" s="3" t="s">
        <v>48</v>
      </c>
      <c r="F4407" s="3" t="s">
        <v>40</v>
      </c>
      <c r="G4407" s="3" t="s">
        <v>34</v>
      </c>
      <c r="H4407" s="3" t="s">
        <v>42</v>
      </c>
      <c r="I4407" s="3" t="s">
        <v>134</v>
      </c>
      <c r="J4407" s="3" t="n">
        <v>26</v>
      </c>
      <c r="K4407" s="3" t="n">
        <v>3827.64</v>
      </c>
      <c r="L4407" s="3" t="n">
        <v>99518.64</v>
      </c>
      <c r="M4407" s="3" t="n">
        <v>0.1217</v>
      </c>
      <c r="N4407" s="3" t="n">
        <v>12111.42</v>
      </c>
      <c r="O4407" s="3" t="n">
        <v>87407.22</v>
      </c>
      <c r="P4407" s="3" t="n">
        <v>54735.25</v>
      </c>
      <c r="Q4407" s="3" t="n">
        <v>32671.97</v>
      </c>
      <c r="R4407" s="3" t="n">
        <v>0.3738</v>
      </c>
      <c r="S4407" s="3" t="n">
        <v>0.109</v>
      </c>
      <c r="T4407" s="3" t="n">
        <v>0.0127</v>
      </c>
    </row>
    <row r="4408" customFormat="false" ht="15" hidden="false" customHeight="true" outlineLevel="0" collapsed="false">
      <c r="A4408" s="3" t="s">
        <v>5575</v>
      </c>
      <c r="B4408" s="3" t="s">
        <v>239</v>
      </c>
      <c r="C4408" s="3" t="s">
        <v>126</v>
      </c>
      <c r="D4408" s="3" t="s">
        <v>54</v>
      </c>
      <c r="E4408" s="3" t="s">
        <v>24</v>
      </c>
      <c r="F4408" s="3" t="s">
        <v>40</v>
      </c>
      <c r="G4408" s="3" t="s">
        <v>84</v>
      </c>
      <c r="H4408" s="3" t="s">
        <v>77</v>
      </c>
      <c r="I4408" s="3" t="s">
        <v>78</v>
      </c>
      <c r="J4408" s="3" t="n">
        <v>27</v>
      </c>
      <c r="K4408" s="3" t="n">
        <v>1805.33</v>
      </c>
      <c r="L4408" s="3" t="n">
        <v>48743.91</v>
      </c>
      <c r="M4408" s="3" t="n">
        <v>0.0327</v>
      </c>
      <c r="N4408" s="3" t="n">
        <v>1593.93</v>
      </c>
      <c r="O4408" s="3" t="n">
        <v>47149.98</v>
      </c>
      <c r="P4408" s="3" t="n">
        <v>33145.86</v>
      </c>
      <c r="Q4408" s="3" t="n">
        <v>14004.12</v>
      </c>
      <c r="R4408" s="3" t="n">
        <v>0.297</v>
      </c>
      <c r="S4408" s="3" t="n">
        <v>0.0299</v>
      </c>
      <c r="T4408" s="3" t="n">
        <v>0.0028</v>
      </c>
    </row>
    <row r="4409" customFormat="false" ht="15" hidden="false" customHeight="true" outlineLevel="0" collapsed="false">
      <c r="A4409" s="3" t="s">
        <v>5576</v>
      </c>
      <c r="B4409" s="3" t="s">
        <v>1048</v>
      </c>
      <c r="C4409" s="3" t="s">
        <v>156</v>
      </c>
      <c r="D4409" s="3" t="s">
        <v>83</v>
      </c>
      <c r="E4409" s="3" t="s">
        <v>48</v>
      </c>
      <c r="F4409" s="3" t="s">
        <v>62</v>
      </c>
      <c r="G4409" s="3" t="s">
        <v>71</v>
      </c>
      <c r="H4409" s="3" t="s">
        <v>56</v>
      </c>
      <c r="I4409" s="3" t="s">
        <v>188</v>
      </c>
      <c r="J4409" s="3" t="n">
        <v>14</v>
      </c>
      <c r="K4409" s="3" t="n">
        <v>2716.85</v>
      </c>
      <c r="L4409" s="3" t="n">
        <v>38035.9</v>
      </c>
      <c r="M4409" s="3" t="n">
        <v>0.0518</v>
      </c>
      <c r="N4409" s="3" t="n">
        <v>1970.26</v>
      </c>
      <c r="O4409" s="3" t="n">
        <v>36065.64</v>
      </c>
      <c r="P4409" s="3" t="n">
        <v>22821.54</v>
      </c>
      <c r="Q4409" s="3" t="n">
        <v>13244.1</v>
      </c>
      <c r="R4409" s="3" t="n">
        <v>0.3672</v>
      </c>
      <c r="S4409" s="3" t="n">
        <v>0.0475</v>
      </c>
      <c r="T4409" s="3" t="n">
        <v>0.0043</v>
      </c>
    </row>
    <row r="4410" customFormat="false" ht="15" hidden="false" customHeight="true" outlineLevel="0" collapsed="false">
      <c r="A4410" s="3" t="s">
        <v>5577</v>
      </c>
      <c r="B4410" s="3" t="s">
        <v>3538</v>
      </c>
      <c r="C4410" s="3" t="s">
        <v>46</v>
      </c>
      <c r="D4410" s="3" t="s">
        <v>61</v>
      </c>
      <c r="E4410" s="3" t="s">
        <v>33</v>
      </c>
      <c r="F4410" s="3" t="s">
        <v>62</v>
      </c>
      <c r="G4410" s="3" t="s">
        <v>26</v>
      </c>
      <c r="H4410" s="3" t="s">
        <v>42</v>
      </c>
      <c r="I4410" s="3" t="s">
        <v>72</v>
      </c>
      <c r="J4410" s="3" t="n">
        <v>43</v>
      </c>
      <c r="K4410" s="3" t="n">
        <v>1728.22</v>
      </c>
      <c r="L4410" s="3" t="n">
        <v>74313.46</v>
      </c>
      <c r="M4410" s="3" t="n">
        <v>0.0707</v>
      </c>
      <c r="N4410" s="3" t="n">
        <v>5253.96</v>
      </c>
      <c r="O4410" s="3" t="n">
        <v>69059.5</v>
      </c>
      <c r="P4410" s="3" t="n">
        <v>40872.4</v>
      </c>
      <c r="Q4410" s="3" t="n">
        <v>28187.1</v>
      </c>
      <c r="R4410" s="3" t="n">
        <v>0.4082</v>
      </c>
      <c r="S4410" s="3" t="n">
        <v>0.0758</v>
      </c>
      <c r="T4410" s="3" t="n">
        <v>-0.0051</v>
      </c>
    </row>
    <row r="4411" customFormat="false" ht="15" hidden="false" customHeight="true" outlineLevel="0" collapsed="false">
      <c r="A4411" s="3" t="s">
        <v>5578</v>
      </c>
      <c r="B4411" s="3" t="s">
        <v>2741</v>
      </c>
      <c r="C4411" s="3" t="s">
        <v>60</v>
      </c>
      <c r="D4411" s="3" t="s">
        <v>69</v>
      </c>
      <c r="E4411" s="3" t="s">
        <v>39</v>
      </c>
      <c r="F4411" s="3" t="s">
        <v>70</v>
      </c>
      <c r="G4411" s="3" t="s">
        <v>26</v>
      </c>
      <c r="H4411" s="3" t="s">
        <v>42</v>
      </c>
      <c r="I4411" s="3" t="s">
        <v>43</v>
      </c>
      <c r="J4411" s="3" t="n">
        <v>31</v>
      </c>
      <c r="K4411" s="3" t="n">
        <v>2683.41</v>
      </c>
      <c r="L4411" s="3" t="n">
        <v>83185.71</v>
      </c>
      <c r="M4411" s="3" t="n">
        <v>0.0413</v>
      </c>
      <c r="N4411" s="3" t="n">
        <v>3435.57</v>
      </c>
      <c r="O4411" s="3" t="n">
        <v>79750.14</v>
      </c>
      <c r="P4411" s="3" t="n">
        <v>45752.14</v>
      </c>
      <c r="Q4411" s="3" t="n">
        <v>33998</v>
      </c>
      <c r="R4411" s="3" t="n">
        <v>0.4263</v>
      </c>
      <c r="S4411" s="3" t="n">
        <v>0.035</v>
      </c>
      <c r="T4411" s="3" t="n">
        <v>0.0063</v>
      </c>
    </row>
    <row r="4412" customFormat="false" ht="15" hidden="false" customHeight="true" outlineLevel="0" collapsed="false">
      <c r="A4412" s="3" t="s">
        <v>5579</v>
      </c>
      <c r="B4412" s="3" t="s">
        <v>822</v>
      </c>
      <c r="C4412" s="3" t="s">
        <v>156</v>
      </c>
      <c r="D4412" s="3" t="s">
        <v>23</v>
      </c>
      <c r="E4412" s="3" t="s">
        <v>24</v>
      </c>
      <c r="F4412" s="3" t="s">
        <v>25</v>
      </c>
      <c r="G4412" s="3" t="s">
        <v>63</v>
      </c>
      <c r="H4412" s="3" t="s">
        <v>27</v>
      </c>
      <c r="I4412" s="3" t="s">
        <v>173</v>
      </c>
      <c r="J4412" s="3" t="n">
        <v>26</v>
      </c>
      <c r="K4412" s="3" t="n">
        <v>22049.68</v>
      </c>
      <c r="L4412" s="3" t="n">
        <v>573291.68</v>
      </c>
      <c r="M4412" s="3" t="n">
        <v>0.1414</v>
      </c>
      <c r="N4412" s="3" t="n">
        <v>81063.44</v>
      </c>
      <c r="O4412" s="3" t="n">
        <v>492228.24</v>
      </c>
      <c r="P4412" s="3" t="n">
        <v>355440.84</v>
      </c>
      <c r="Q4412" s="3" t="n">
        <v>136787.4</v>
      </c>
      <c r="R4412" s="3" t="n">
        <v>0.2779</v>
      </c>
      <c r="S4412" s="3" t="n">
        <v>0.1269</v>
      </c>
      <c r="T4412" s="3" t="n">
        <v>0.0145</v>
      </c>
    </row>
    <row r="4413" customFormat="false" ht="15" hidden="false" customHeight="true" outlineLevel="0" collapsed="false">
      <c r="A4413" s="3" t="s">
        <v>5580</v>
      </c>
      <c r="B4413" s="3" t="s">
        <v>1357</v>
      </c>
      <c r="C4413" s="3" t="s">
        <v>126</v>
      </c>
      <c r="D4413" s="3" t="s">
        <v>97</v>
      </c>
      <c r="E4413" s="3" t="s">
        <v>48</v>
      </c>
      <c r="F4413" s="3" t="s">
        <v>40</v>
      </c>
      <c r="G4413" s="3" t="s">
        <v>41</v>
      </c>
      <c r="H4413" s="3" t="s">
        <v>64</v>
      </c>
      <c r="I4413" s="3" t="s">
        <v>145</v>
      </c>
      <c r="J4413" s="3" t="n">
        <v>42</v>
      </c>
      <c r="K4413" s="3" t="n">
        <v>8644.89</v>
      </c>
      <c r="L4413" s="3" t="n">
        <v>363085.38</v>
      </c>
      <c r="M4413" s="3" t="n">
        <v>0.0902</v>
      </c>
      <c r="N4413" s="3" t="n">
        <v>32750.3</v>
      </c>
      <c r="O4413" s="3" t="n">
        <v>330335.08</v>
      </c>
      <c r="P4413" s="3" t="n">
        <v>210589.52</v>
      </c>
      <c r="Q4413" s="3" t="n">
        <v>119745.56</v>
      </c>
      <c r="R4413" s="3" t="n">
        <v>0.3625</v>
      </c>
      <c r="S4413" s="3" t="n">
        <v>0.0781</v>
      </c>
      <c r="T4413" s="3" t="n">
        <v>0.0121</v>
      </c>
    </row>
    <row r="4414" customFormat="false" ht="15" hidden="false" customHeight="true" outlineLevel="0" collapsed="false">
      <c r="A4414" s="3" t="s">
        <v>5581</v>
      </c>
      <c r="B4414" s="3" t="s">
        <v>418</v>
      </c>
      <c r="C4414" s="3" t="s">
        <v>22</v>
      </c>
      <c r="D4414" s="3" t="s">
        <v>69</v>
      </c>
      <c r="E4414" s="3" t="s">
        <v>39</v>
      </c>
      <c r="F4414" s="3" t="s">
        <v>70</v>
      </c>
      <c r="G4414" s="3" t="s">
        <v>116</v>
      </c>
      <c r="H4414" s="3" t="s">
        <v>64</v>
      </c>
      <c r="I4414" s="3" t="s">
        <v>90</v>
      </c>
      <c r="J4414" s="3" t="n">
        <v>43</v>
      </c>
      <c r="K4414" s="3" t="n">
        <v>7197.26</v>
      </c>
      <c r="L4414" s="3" t="n">
        <v>309482.18</v>
      </c>
      <c r="M4414" s="3" t="n">
        <v>0.0728</v>
      </c>
      <c r="N4414" s="3" t="n">
        <v>22530.3</v>
      </c>
      <c r="O4414" s="3" t="n">
        <v>286951.88</v>
      </c>
      <c r="P4414" s="3" t="n">
        <v>179499.66</v>
      </c>
      <c r="Q4414" s="3" t="n">
        <v>107452.22</v>
      </c>
      <c r="R4414" s="3" t="n">
        <v>0.3745</v>
      </c>
      <c r="S4414" s="3" t="n">
        <v>0.0634</v>
      </c>
      <c r="T4414" s="3" t="n">
        <v>0.0094</v>
      </c>
    </row>
    <row r="4415" customFormat="false" ht="15" hidden="false" customHeight="true" outlineLevel="0" collapsed="false">
      <c r="A4415" s="3" t="s">
        <v>5582</v>
      </c>
      <c r="B4415" s="3" t="s">
        <v>335</v>
      </c>
      <c r="C4415" s="3" t="s">
        <v>31</v>
      </c>
      <c r="D4415" s="3" t="s">
        <v>107</v>
      </c>
      <c r="E4415" s="3" t="s">
        <v>33</v>
      </c>
      <c r="F4415" s="3" t="s">
        <v>70</v>
      </c>
      <c r="G4415" s="3" t="s">
        <v>84</v>
      </c>
      <c r="H4415" s="3" t="s">
        <v>27</v>
      </c>
      <c r="I4415" s="3" t="s">
        <v>50</v>
      </c>
      <c r="J4415" s="3" t="n">
        <v>8</v>
      </c>
      <c r="K4415" s="3" t="n">
        <v>15179.24</v>
      </c>
      <c r="L4415" s="3" t="n">
        <v>121433.92</v>
      </c>
      <c r="M4415" s="3" t="n">
        <v>0.0412</v>
      </c>
      <c r="N4415" s="3" t="n">
        <v>5003.08</v>
      </c>
      <c r="O4415" s="3" t="n">
        <v>116430.84</v>
      </c>
      <c r="P4415" s="3" t="n">
        <v>75289.03</v>
      </c>
      <c r="Q4415" s="3" t="n">
        <v>41141.81</v>
      </c>
      <c r="R4415" s="3" t="n">
        <v>0.3534</v>
      </c>
      <c r="S4415" s="3" t="n">
        <v>0.0435</v>
      </c>
      <c r="T4415" s="3" t="n">
        <v>-0.0023</v>
      </c>
    </row>
    <row r="4416" customFormat="false" ht="15" hidden="false" customHeight="true" outlineLevel="0" collapsed="false">
      <c r="A4416" s="3" t="s">
        <v>5583</v>
      </c>
      <c r="B4416" s="3" t="s">
        <v>2273</v>
      </c>
      <c r="C4416" s="3" t="s">
        <v>120</v>
      </c>
      <c r="D4416" s="3" t="s">
        <v>23</v>
      </c>
      <c r="E4416" s="3" t="s">
        <v>24</v>
      </c>
      <c r="F4416" s="3" t="s">
        <v>25</v>
      </c>
      <c r="G4416" s="3" t="s">
        <v>76</v>
      </c>
      <c r="H4416" s="3" t="s">
        <v>56</v>
      </c>
      <c r="I4416" s="3" t="s">
        <v>57</v>
      </c>
      <c r="J4416" s="3" t="n">
        <v>24</v>
      </c>
      <c r="K4416" s="3" t="n">
        <v>7710.37</v>
      </c>
      <c r="L4416" s="3" t="n">
        <v>185048.88</v>
      </c>
      <c r="M4416" s="3" t="n">
        <v>0.0855</v>
      </c>
      <c r="N4416" s="3" t="n">
        <v>15821.68</v>
      </c>
      <c r="O4416" s="3" t="n">
        <v>169227.2</v>
      </c>
      <c r="P4416" s="3" t="n">
        <v>111029.33</v>
      </c>
      <c r="Q4416" s="3" t="n">
        <v>58197.87</v>
      </c>
      <c r="R4416" s="3" t="n">
        <v>0.3439</v>
      </c>
      <c r="S4416" s="3" t="n">
        <v>0.0692</v>
      </c>
      <c r="T4416" s="3" t="n">
        <v>0.0163</v>
      </c>
    </row>
    <row r="4417" customFormat="false" ht="15" hidden="false" customHeight="true" outlineLevel="0" collapsed="false">
      <c r="A4417" s="3" t="s">
        <v>5584</v>
      </c>
      <c r="B4417" s="3" t="s">
        <v>1340</v>
      </c>
      <c r="C4417" s="3" t="s">
        <v>46</v>
      </c>
      <c r="D4417" s="3" t="s">
        <v>32</v>
      </c>
      <c r="E4417" s="3" t="s">
        <v>33</v>
      </c>
      <c r="F4417" s="3" t="s">
        <v>25</v>
      </c>
      <c r="G4417" s="3" t="s">
        <v>49</v>
      </c>
      <c r="H4417" s="3" t="s">
        <v>42</v>
      </c>
      <c r="I4417" s="3" t="s">
        <v>72</v>
      </c>
      <c r="J4417" s="3" t="n">
        <v>1</v>
      </c>
      <c r="K4417" s="3" t="n">
        <v>3936.22</v>
      </c>
      <c r="L4417" s="3" t="n">
        <v>3936.22</v>
      </c>
      <c r="M4417" s="3" t="n">
        <v>0.1648</v>
      </c>
      <c r="N4417" s="3" t="n">
        <v>648.69</v>
      </c>
      <c r="O4417" s="3" t="n">
        <v>3287.53</v>
      </c>
      <c r="P4417" s="3" t="n">
        <v>2164.92</v>
      </c>
      <c r="Q4417" s="3" t="n">
        <v>1122.61</v>
      </c>
      <c r="R4417" s="3" t="n">
        <v>0.3415</v>
      </c>
      <c r="S4417" s="3" t="n">
        <v>0.1336</v>
      </c>
      <c r="T4417" s="3" t="n">
        <v>0.0312</v>
      </c>
    </row>
    <row r="4418" customFormat="false" ht="15" hidden="false" customHeight="true" outlineLevel="0" collapsed="false">
      <c r="A4418" s="3" t="s">
        <v>5585</v>
      </c>
      <c r="B4418" s="3" t="s">
        <v>1840</v>
      </c>
      <c r="C4418" s="3" t="s">
        <v>31</v>
      </c>
      <c r="D4418" s="3" t="s">
        <v>47</v>
      </c>
      <c r="E4418" s="3" t="s">
        <v>48</v>
      </c>
      <c r="F4418" s="3" t="s">
        <v>25</v>
      </c>
      <c r="G4418" s="3" t="s">
        <v>76</v>
      </c>
      <c r="H4418" s="3" t="s">
        <v>56</v>
      </c>
      <c r="I4418" s="3" t="s">
        <v>57</v>
      </c>
      <c r="J4418" s="3" t="n">
        <v>9</v>
      </c>
      <c r="K4418" s="3" t="n">
        <v>6628.7</v>
      </c>
      <c r="L4418" s="3" t="n">
        <v>59658.3</v>
      </c>
      <c r="M4418" s="3" t="n">
        <v>0.1361</v>
      </c>
      <c r="N4418" s="3" t="n">
        <v>8119.49</v>
      </c>
      <c r="O4418" s="3" t="n">
        <v>51538.81</v>
      </c>
      <c r="P4418" s="3" t="n">
        <v>35794.98</v>
      </c>
      <c r="Q4418" s="3" t="n">
        <v>15743.83</v>
      </c>
      <c r="R4418" s="3" t="n">
        <v>0.3055</v>
      </c>
      <c r="S4418" s="3" t="n">
        <v>0.1357</v>
      </c>
      <c r="T4418" s="3" t="n">
        <v>0.0004</v>
      </c>
    </row>
    <row r="4419" customFormat="false" ht="15" hidden="false" customHeight="true" outlineLevel="0" collapsed="false">
      <c r="A4419" s="3" t="s">
        <v>5586</v>
      </c>
      <c r="B4419" s="3" t="s">
        <v>2964</v>
      </c>
      <c r="C4419" s="3" t="s">
        <v>31</v>
      </c>
      <c r="D4419" s="3" t="s">
        <v>103</v>
      </c>
      <c r="E4419" s="3" t="s">
        <v>24</v>
      </c>
      <c r="F4419" s="3" t="s">
        <v>62</v>
      </c>
      <c r="G4419" s="3" t="s">
        <v>55</v>
      </c>
      <c r="H4419" s="3" t="s">
        <v>56</v>
      </c>
      <c r="I4419" s="3" t="s">
        <v>57</v>
      </c>
      <c r="J4419" s="3" t="n">
        <v>26</v>
      </c>
      <c r="K4419" s="3" t="n">
        <v>4407.51</v>
      </c>
      <c r="L4419" s="3" t="n">
        <v>114595.26</v>
      </c>
      <c r="M4419" s="3" t="n">
        <v>0.0423</v>
      </c>
      <c r="N4419" s="3" t="n">
        <v>4847.38</v>
      </c>
      <c r="O4419" s="3" t="n">
        <v>109747.88</v>
      </c>
      <c r="P4419" s="3" t="n">
        <v>68757.16</v>
      </c>
      <c r="Q4419" s="3" t="n">
        <v>40990.72</v>
      </c>
      <c r="R4419" s="3" t="n">
        <v>0.3735</v>
      </c>
      <c r="S4419" s="3" t="n">
        <v>0.0342</v>
      </c>
      <c r="T4419" s="3" t="n">
        <v>0.0081</v>
      </c>
    </row>
    <row r="4420" customFormat="false" ht="15" hidden="false" customHeight="true" outlineLevel="0" collapsed="false">
      <c r="A4420" s="3" t="s">
        <v>5587</v>
      </c>
      <c r="B4420" s="3" t="s">
        <v>1590</v>
      </c>
      <c r="C4420" s="3" t="s">
        <v>93</v>
      </c>
      <c r="D4420" s="3" t="s">
        <v>47</v>
      </c>
      <c r="E4420" s="3" t="s">
        <v>48</v>
      </c>
      <c r="F4420" s="3" t="s">
        <v>25</v>
      </c>
      <c r="G4420" s="3" t="s">
        <v>71</v>
      </c>
      <c r="H4420" s="3" t="s">
        <v>64</v>
      </c>
      <c r="I4420" s="3" t="s">
        <v>145</v>
      </c>
      <c r="J4420" s="3" t="n">
        <v>24</v>
      </c>
      <c r="K4420" s="3" t="n">
        <v>6112.55</v>
      </c>
      <c r="L4420" s="3" t="n">
        <v>146701.2</v>
      </c>
      <c r="M4420" s="3" t="n">
        <v>0.1384</v>
      </c>
      <c r="N4420" s="3" t="n">
        <v>20303.45</v>
      </c>
      <c r="O4420" s="3" t="n">
        <v>126397.75</v>
      </c>
      <c r="P4420" s="3" t="n">
        <v>85086.7</v>
      </c>
      <c r="Q4420" s="3" t="n">
        <v>41311.05</v>
      </c>
      <c r="R4420" s="3" t="n">
        <v>0.3268</v>
      </c>
      <c r="S4420" s="3" t="n">
        <v>0.1396</v>
      </c>
      <c r="T4420" s="3" t="n">
        <v>-0.0012</v>
      </c>
    </row>
    <row r="4421" customFormat="false" ht="15" hidden="false" customHeight="true" outlineLevel="0" collapsed="false">
      <c r="A4421" s="3" t="s">
        <v>5588</v>
      </c>
      <c r="B4421" s="3" t="s">
        <v>1299</v>
      </c>
      <c r="C4421" s="3" t="s">
        <v>22</v>
      </c>
      <c r="D4421" s="3" t="s">
        <v>103</v>
      </c>
      <c r="E4421" s="3" t="s">
        <v>24</v>
      </c>
      <c r="F4421" s="3" t="s">
        <v>62</v>
      </c>
      <c r="G4421" s="3" t="s">
        <v>34</v>
      </c>
      <c r="H4421" s="3" t="s">
        <v>27</v>
      </c>
      <c r="I4421" s="3" t="s">
        <v>94</v>
      </c>
      <c r="J4421" s="3" t="n">
        <v>34</v>
      </c>
      <c r="K4421" s="3" t="n">
        <v>23187.9</v>
      </c>
      <c r="L4421" s="3" t="n">
        <v>788388.6</v>
      </c>
      <c r="M4421" s="3" t="n">
        <v>0.0759</v>
      </c>
      <c r="N4421" s="3" t="n">
        <v>59838.69</v>
      </c>
      <c r="O4421" s="3" t="n">
        <v>728549.91</v>
      </c>
      <c r="P4421" s="3" t="n">
        <v>488800.93</v>
      </c>
      <c r="Q4421" s="3" t="n">
        <v>239748.98</v>
      </c>
      <c r="R4421" s="3" t="n">
        <v>0.3291</v>
      </c>
      <c r="S4421" s="3" t="n">
        <v>0.0797</v>
      </c>
      <c r="T4421" s="3" t="n">
        <v>-0.0038</v>
      </c>
    </row>
    <row r="4422" customFormat="false" ht="15" hidden="false" customHeight="true" outlineLevel="0" collapsed="false">
      <c r="A4422" s="3" t="s">
        <v>5589</v>
      </c>
      <c r="B4422" s="3" t="s">
        <v>200</v>
      </c>
      <c r="C4422" s="3" t="s">
        <v>156</v>
      </c>
      <c r="D4422" s="3" t="s">
        <v>75</v>
      </c>
      <c r="E4422" s="3" t="s">
        <v>39</v>
      </c>
      <c r="F4422" s="3" t="s">
        <v>25</v>
      </c>
      <c r="G4422" s="3" t="s">
        <v>76</v>
      </c>
      <c r="H4422" s="3" t="s">
        <v>77</v>
      </c>
      <c r="I4422" s="3" t="s">
        <v>131</v>
      </c>
      <c r="J4422" s="3" t="n">
        <v>17</v>
      </c>
      <c r="K4422" s="3" t="n">
        <v>4873.11</v>
      </c>
      <c r="L4422" s="3" t="n">
        <v>82842.87</v>
      </c>
      <c r="M4422" s="3" t="n">
        <v>0.1371</v>
      </c>
      <c r="N4422" s="3" t="n">
        <v>11357.76</v>
      </c>
      <c r="O4422" s="3" t="n">
        <v>71485.11</v>
      </c>
      <c r="P4422" s="3" t="n">
        <v>56333.15</v>
      </c>
      <c r="Q4422" s="3" t="n">
        <v>15151.96</v>
      </c>
      <c r="R4422" s="3" t="n">
        <v>0.212</v>
      </c>
      <c r="S4422" s="3" t="n">
        <v>0.1372</v>
      </c>
      <c r="T4422" s="3" t="n">
        <v>-0.0001</v>
      </c>
    </row>
    <row r="4423" customFormat="false" ht="15" hidden="false" customHeight="true" outlineLevel="0" collapsed="false">
      <c r="A4423" s="3" t="s">
        <v>5590</v>
      </c>
      <c r="B4423" s="3" t="s">
        <v>415</v>
      </c>
      <c r="C4423" s="3" t="s">
        <v>31</v>
      </c>
      <c r="D4423" s="3" t="s">
        <v>38</v>
      </c>
      <c r="E4423" s="3" t="s">
        <v>39</v>
      </c>
      <c r="F4423" s="3" t="s">
        <v>40</v>
      </c>
      <c r="G4423" s="3" t="s">
        <v>26</v>
      </c>
      <c r="H4423" s="3" t="s">
        <v>77</v>
      </c>
      <c r="I4423" s="3" t="s">
        <v>78</v>
      </c>
      <c r="J4423" s="3" t="n">
        <v>13</v>
      </c>
      <c r="K4423" s="3" t="n">
        <v>1965.62</v>
      </c>
      <c r="L4423" s="3" t="n">
        <v>25553.06</v>
      </c>
      <c r="M4423" s="3" t="n">
        <v>0.0769</v>
      </c>
      <c r="N4423" s="3" t="n">
        <v>1965.03</v>
      </c>
      <c r="O4423" s="3" t="n">
        <v>23588.03</v>
      </c>
      <c r="P4423" s="3" t="n">
        <v>17376.08</v>
      </c>
      <c r="Q4423" s="3" t="n">
        <v>6211.95</v>
      </c>
      <c r="R4423" s="3" t="n">
        <v>0.2634</v>
      </c>
      <c r="S4423" s="3" t="n">
        <v>0.0791</v>
      </c>
      <c r="T4423" s="3" t="n">
        <v>-0.0022</v>
      </c>
    </row>
    <row r="4424" customFormat="false" ht="15" hidden="false" customHeight="true" outlineLevel="0" collapsed="false">
      <c r="A4424" s="3" t="s">
        <v>5591</v>
      </c>
      <c r="B4424" s="3" t="s">
        <v>3503</v>
      </c>
      <c r="C4424" s="3" t="s">
        <v>31</v>
      </c>
      <c r="D4424" s="3" t="s">
        <v>47</v>
      </c>
      <c r="E4424" s="3" t="s">
        <v>48</v>
      </c>
      <c r="F4424" s="3" t="s">
        <v>25</v>
      </c>
      <c r="G4424" s="3" t="s">
        <v>63</v>
      </c>
      <c r="H4424" s="3" t="s">
        <v>42</v>
      </c>
      <c r="I4424" s="3" t="s">
        <v>72</v>
      </c>
      <c r="J4424" s="3" t="n">
        <v>10</v>
      </c>
      <c r="K4424" s="3" t="n">
        <v>769.31</v>
      </c>
      <c r="L4424" s="3" t="n">
        <v>7693.1</v>
      </c>
      <c r="M4424" s="3" t="n">
        <v>0.1813</v>
      </c>
      <c r="N4424" s="3" t="n">
        <v>1394.76</v>
      </c>
      <c r="O4424" s="3" t="n">
        <v>6298.34</v>
      </c>
      <c r="P4424" s="3" t="n">
        <v>4231.2</v>
      </c>
      <c r="Q4424" s="3" t="n">
        <v>2067.14</v>
      </c>
      <c r="R4424" s="3" t="n">
        <v>0.3282</v>
      </c>
      <c r="S4424" s="3" t="n">
        <v>0.1869</v>
      </c>
      <c r="T4424" s="3" t="n">
        <v>-0.0056</v>
      </c>
    </row>
    <row r="4425" customFormat="false" ht="15" hidden="false" customHeight="true" outlineLevel="0" collapsed="false">
      <c r="A4425" s="3" t="s">
        <v>5592</v>
      </c>
      <c r="B4425" s="3" t="s">
        <v>1655</v>
      </c>
      <c r="C4425" s="3" t="s">
        <v>156</v>
      </c>
      <c r="D4425" s="3" t="s">
        <v>69</v>
      </c>
      <c r="E4425" s="3" t="s">
        <v>39</v>
      </c>
      <c r="F4425" s="3" t="s">
        <v>70</v>
      </c>
      <c r="G4425" s="3" t="s">
        <v>41</v>
      </c>
      <c r="H4425" s="3" t="s">
        <v>64</v>
      </c>
      <c r="I4425" s="3" t="s">
        <v>108</v>
      </c>
      <c r="J4425" s="3" t="n">
        <v>17</v>
      </c>
      <c r="K4425" s="3" t="n">
        <v>10621.68</v>
      </c>
      <c r="L4425" s="3" t="n">
        <v>180568.56</v>
      </c>
      <c r="M4425" s="3" t="n">
        <v>0.1261</v>
      </c>
      <c r="N4425" s="3" t="n">
        <v>22769.7</v>
      </c>
      <c r="O4425" s="3" t="n">
        <v>157798.86</v>
      </c>
      <c r="P4425" s="3" t="n">
        <v>104729.76</v>
      </c>
      <c r="Q4425" s="3" t="n">
        <v>53069.1</v>
      </c>
      <c r="R4425" s="3" t="n">
        <v>0.3363</v>
      </c>
      <c r="S4425" s="3" t="n">
        <v>0.1289</v>
      </c>
      <c r="T4425" s="3" t="n">
        <v>-0.0028</v>
      </c>
    </row>
    <row r="4426" customFormat="false" ht="15" hidden="false" customHeight="true" outlineLevel="0" collapsed="false">
      <c r="A4426" s="3" t="s">
        <v>5593</v>
      </c>
      <c r="B4426" s="3" t="s">
        <v>192</v>
      </c>
      <c r="C4426" s="3" t="s">
        <v>31</v>
      </c>
      <c r="D4426" s="3" t="s">
        <v>107</v>
      </c>
      <c r="E4426" s="3" t="s">
        <v>33</v>
      </c>
      <c r="F4426" s="3" t="s">
        <v>70</v>
      </c>
      <c r="G4426" s="3" t="s">
        <v>116</v>
      </c>
      <c r="H4426" s="3" t="s">
        <v>27</v>
      </c>
      <c r="I4426" s="3" t="s">
        <v>28</v>
      </c>
      <c r="J4426" s="3" t="n">
        <v>45</v>
      </c>
      <c r="K4426" s="3" t="n">
        <v>16632.69</v>
      </c>
      <c r="L4426" s="3" t="n">
        <v>748471.05</v>
      </c>
      <c r="M4426" s="3" t="n">
        <v>0.0787</v>
      </c>
      <c r="N4426" s="3" t="n">
        <v>58904.67</v>
      </c>
      <c r="O4426" s="3" t="n">
        <v>689566.38</v>
      </c>
      <c r="P4426" s="3" t="n">
        <v>464052.05</v>
      </c>
      <c r="Q4426" s="3" t="n">
        <v>225514.33</v>
      </c>
      <c r="R4426" s="3" t="n">
        <v>0.327</v>
      </c>
      <c r="S4426" s="3" t="n">
        <v>0.0647</v>
      </c>
      <c r="T4426" s="3" t="n">
        <v>0.014</v>
      </c>
    </row>
    <row r="4427" customFormat="false" ht="15" hidden="false" customHeight="true" outlineLevel="0" collapsed="false">
      <c r="A4427" s="3" t="s">
        <v>5594</v>
      </c>
      <c r="B4427" s="3" t="s">
        <v>89</v>
      </c>
      <c r="C4427" s="3" t="s">
        <v>53</v>
      </c>
      <c r="D4427" s="3" t="s">
        <v>107</v>
      </c>
      <c r="E4427" s="3" t="s">
        <v>33</v>
      </c>
      <c r="F4427" s="3" t="s">
        <v>70</v>
      </c>
      <c r="G4427" s="3" t="s">
        <v>104</v>
      </c>
      <c r="H4427" s="3" t="s">
        <v>56</v>
      </c>
      <c r="I4427" s="3" t="s">
        <v>57</v>
      </c>
      <c r="J4427" s="3" t="n">
        <v>36</v>
      </c>
      <c r="K4427" s="3" t="n">
        <v>14390.3</v>
      </c>
      <c r="L4427" s="3" t="n">
        <v>518050.8</v>
      </c>
      <c r="M4427" s="3" t="n">
        <v>0.1188</v>
      </c>
      <c r="N4427" s="3" t="n">
        <v>61544.44</v>
      </c>
      <c r="O4427" s="3" t="n">
        <v>456506.36</v>
      </c>
      <c r="P4427" s="3" t="n">
        <v>310830.48</v>
      </c>
      <c r="Q4427" s="3" t="n">
        <v>145675.88</v>
      </c>
      <c r="R4427" s="3" t="n">
        <v>0.3191</v>
      </c>
      <c r="S4427" s="3" t="n">
        <v>0.1038</v>
      </c>
      <c r="T4427" s="3" t="n">
        <v>0.015</v>
      </c>
    </row>
    <row r="4428" customFormat="false" ht="15" hidden="false" customHeight="true" outlineLevel="0" collapsed="false">
      <c r="A4428" s="3" t="s">
        <v>5595</v>
      </c>
      <c r="B4428" s="3" t="s">
        <v>605</v>
      </c>
      <c r="C4428" s="3" t="s">
        <v>60</v>
      </c>
      <c r="D4428" s="3" t="s">
        <v>54</v>
      </c>
      <c r="E4428" s="3" t="s">
        <v>24</v>
      </c>
      <c r="F4428" s="3" t="s">
        <v>40</v>
      </c>
      <c r="G4428" s="3" t="s">
        <v>71</v>
      </c>
      <c r="H4428" s="3" t="s">
        <v>56</v>
      </c>
      <c r="I4428" s="3" t="s">
        <v>121</v>
      </c>
      <c r="J4428" s="3" t="n">
        <v>47</v>
      </c>
      <c r="K4428" s="3" t="n">
        <v>13638.51</v>
      </c>
      <c r="L4428" s="3" t="n">
        <v>641009.97</v>
      </c>
      <c r="M4428" s="3" t="n">
        <v>0.0741</v>
      </c>
      <c r="N4428" s="3" t="n">
        <v>47498.84</v>
      </c>
      <c r="O4428" s="3" t="n">
        <v>593511.13</v>
      </c>
      <c r="P4428" s="3" t="n">
        <v>384605.98</v>
      </c>
      <c r="Q4428" s="3" t="n">
        <v>208905.15</v>
      </c>
      <c r="R4428" s="3" t="n">
        <v>0.352</v>
      </c>
      <c r="S4428" s="3" t="n">
        <v>0.0791</v>
      </c>
      <c r="T4428" s="3" t="n">
        <v>-0.005</v>
      </c>
    </row>
    <row r="4429" customFormat="false" ht="15" hidden="false" customHeight="true" outlineLevel="0" collapsed="false">
      <c r="A4429" s="3" t="s">
        <v>5596</v>
      </c>
      <c r="B4429" s="3" t="s">
        <v>1097</v>
      </c>
      <c r="C4429" s="3" t="s">
        <v>156</v>
      </c>
      <c r="D4429" s="3" t="s">
        <v>107</v>
      </c>
      <c r="E4429" s="3" t="s">
        <v>33</v>
      </c>
      <c r="F4429" s="3" t="s">
        <v>70</v>
      </c>
      <c r="G4429" s="3" t="s">
        <v>55</v>
      </c>
      <c r="H4429" s="3" t="s">
        <v>27</v>
      </c>
      <c r="I4429" s="3" t="s">
        <v>173</v>
      </c>
      <c r="J4429" s="3" t="n">
        <v>47</v>
      </c>
      <c r="K4429" s="3" t="n">
        <v>15991.65</v>
      </c>
      <c r="L4429" s="3" t="n">
        <v>751607.55</v>
      </c>
      <c r="M4429" s="3" t="n">
        <v>0.0307</v>
      </c>
      <c r="N4429" s="3" t="n">
        <v>23074.35</v>
      </c>
      <c r="O4429" s="3" t="n">
        <v>728533.2</v>
      </c>
      <c r="P4429" s="3" t="n">
        <v>465996.68</v>
      </c>
      <c r="Q4429" s="3" t="n">
        <v>262536.52</v>
      </c>
      <c r="R4429" s="3" t="n">
        <v>0.3604</v>
      </c>
      <c r="S4429" s="3" t="n">
        <v>0.0275</v>
      </c>
      <c r="T4429" s="3" t="n">
        <v>0.0032</v>
      </c>
    </row>
    <row r="4430" customFormat="false" ht="15" hidden="false" customHeight="true" outlineLevel="0" collapsed="false">
      <c r="A4430" s="3" t="s">
        <v>5597</v>
      </c>
      <c r="B4430" s="3" t="s">
        <v>1411</v>
      </c>
      <c r="C4430" s="3" t="s">
        <v>120</v>
      </c>
      <c r="D4430" s="3" t="s">
        <v>107</v>
      </c>
      <c r="E4430" s="3" t="s">
        <v>33</v>
      </c>
      <c r="F4430" s="3" t="s">
        <v>70</v>
      </c>
      <c r="G4430" s="3" t="s">
        <v>104</v>
      </c>
      <c r="H4430" s="3" t="s">
        <v>56</v>
      </c>
      <c r="I4430" s="3" t="s">
        <v>121</v>
      </c>
      <c r="J4430" s="3" t="n">
        <v>42</v>
      </c>
      <c r="K4430" s="3" t="n">
        <v>7275.21</v>
      </c>
      <c r="L4430" s="3" t="n">
        <v>305558.82</v>
      </c>
      <c r="M4430" s="3" t="n">
        <v>0.1158</v>
      </c>
      <c r="N4430" s="3" t="n">
        <v>35383.71</v>
      </c>
      <c r="O4430" s="3" t="n">
        <v>270175.11</v>
      </c>
      <c r="P4430" s="3" t="n">
        <v>183335.29</v>
      </c>
      <c r="Q4430" s="3" t="n">
        <v>86839.82</v>
      </c>
      <c r="R4430" s="3" t="n">
        <v>0.3214</v>
      </c>
      <c r="S4430" s="3" t="n">
        <v>0.1019</v>
      </c>
      <c r="T4430" s="3" t="n">
        <v>0.0139</v>
      </c>
    </row>
    <row r="4431" customFormat="false" ht="15" hidden="false" customHeight="true" outlineLevel="0" collapsed="false">
      <c r="A4431" s="3" t="s">
        <v>5598</v>
      </c>
      <c r="B4431" s="3" t="s">
        <v>3279</v>
      </c>
      <c r="C4431" s="3" t="s">
        <v>120</v>
      </c>
      <c r="D4431" s="3" t="s">
        <v>69</v>
      </c>
      <c r="E4431" s="3" t="s">
        <v>39</v>
      </c>
      <c r="F4431" s="3" t="s">
        <v>70</v>
      </c>
      <c r="G4431" s="3" t="s">
        <v>26</v>
      </c>
      <c r="H4431" s="3" t="s">
        <v>64</v>
      </c>
      <c r="I4431" s="3" t="s">
        <v>145</v>
      </c>
      <c r="J4431" s="3" t="n">
        <v>22</v>
      </c>
      <c r="K4431" s="3" t="n">
        <v>10554.18</v>
      </c>
      <c r="L4431" s="3" t="n">
        <v>232191.96</v>
      </c>
      <c r="M4431" s="3" t="n">
        <v>0.0797</v>
      </c>
      <c r="N4431" s="3" t="n">
        <v>18505.7</v>
      </c>
      <c r="O4431" s="3" t="n">
        <v>213686.26</v>
      </c>
      <c r="P4431" s="3" t="n">
        <v>134671.34</v>
      </c>
      <c r="Q4431" s="3" t="n">
        <v>79014.92</v>
      </c>
      <c r="R4431" s="3" t="n">
        <v>0.3698</v>
      </c>
      <c r="S4431" s="3" t="n">
        <v>0.0804</v>
      </c>
      <c r="T4431" s="3" t="n">
        <v>-0.0007</v>
      </c>
    </row>
    <row r="4432" customFormat="false" ht="15" hidden="false" customHeight="true" outlineLevel="0" collapsed="false">
      <c r="A4432" s="3" t="s">
        <v>5599</v>
      </c>
      <c r="B4432" s="3" t="s">
        <v>1227</v>
      </c>
      <c r="C4432" s="3" t="s">
        <v>31</v>
      </c>
      <c r="D4432" s="3" t="s">
        <v>32</v>
      </c>
      <c r="E4432" s="3" t="s">
        <v>33</v>
      </c>
      <c r="F4432" s="3" t="s">
        <v>25</v>
      </c>
      <c r="G4432" s="3" t="s">
        <v>26</v>
      </c>
      <c r="H4432" s="3" t="s">
        <v>42</v>
      </c>
      <c r="I4432" s="3" t="s">
        <v>134</v>
      </c>
      <c r="J4432" s="3" t="n">
        <v>42</v>
      </c>
      <c r="K4432" s="3" t="n">
        <v>1274.75</v>
      </c>
      <c r="L4432" s="3" t="n">
        <v>53539.5</v>
      </c>
      <c r="M4432" s="3" t="n">
        <v>0.1618</v>
      </c>
      <c r="N4432" s="3" t="n">
        <v>8662.69</v>
      </c>
      <c r="O4432" s="3" t="n">
        <v>44876.81</v>
      </c>
      <c r="P4432" s="3" t="n">
        <v>29446.73</v>
      </c>
      <c r="Q4432" s="3" t="n">
        <v>15430.08</v>
      </c>
      <c r="R4432" s="3" t="n">
        <v>0.3438</v>
      </c>
      <c r="S4432" s="3" t="n">
        <v>0.1688</v>
      </c>
      <c r="T4432" s="3" t="n">
        <v>-0.007</v>
      </c>
    </row>
    <row r="4433" customFormat="false" ht="15" hidden="false" customHeight="true" outlineLevel="0" collapsed="false">
      <c r="A4433" s="3" t="s">
        <v>5600</v>
      </c>
      <c r="B4433" s="3" t="s">
        <v>946</v>
      </c>
      <c r="C4433" s="3" t="s">
        <v>22</v>
      </c>
      <c r="D4433" s="3" t="s">
        <v>38</v>
      </c>
      <c r="E4433" s="3" t="s">
        <v>39</v>
      </c>
      <c r="F4433" s="3" t="s">
        <v>40</v>
      </c>
      <c r="G4433" s="3" t="s">
        <v>71</v>
      </c>
      <c r="H4433" s="3" t="s">
        <v>56</v>
      </c>
      <c r="I4433" s="3" t="s">
        <v>188</v>
      </c>
      <c r="J4433" s="3" t="n">
        <v>7</v>
      </c>
      <c r="K4433" s="3" t="n">
        <v>4950.04</v>
      </c>
      <c r="L4433" s="3" t="n">
        <v>34650.28</v>
      </c>
      <c r="M4433" s="3" t="n">
        <v>0.0689</v>
      </c>
      <c r="N4433" s="3" t="n">
        <v>2387.4</v>
      </c>
      <c r="O4433" s="3" t="n">
        <v>32262.88</v>
      </c>
      <c r="P4433" s="3" t="n">
        <v>20790.17</v>
      </c>
      <c r="Q4433" s="3" t="n">
        <v>11472.71</v>
      </c>
      <c r="R4433" s="3" t="n">
        <v>0.3556</v>
      </c>
      <c r="S4433" s="3" t="n">
        <v>0.0571</v>
      </c>
      <c r="T4433" s="3" t="n">
        <v>0.0118</v>
      </c>
    </row>
    <row r="4434" customFormat="false" ht="15" hidden="false" customHeight="true" outlineLevel="0" collapsed="false">
      <c r="A4434" s="3" t="s">
        <v>5601</v>
      </c>
      <c r="B4434" s="3" t="s">
        <v>253</v>
      </c>
      <c r="C4434" s="3" t="s">
        <v>22</v>
      </c>
      <c r="D4434" s="3" t="s">
        <v>97</v>
      </c>
      <c r="E4434" s="3" t="s">
        <v>48</v>
      </c>
      <c r="F4434" s="3" t="s">
        <v>40</v>
      </c>
      <c r="G4434" s="3" t="s">
        <v>76</v>
      </c>
      <c r="H4434" s="3" t="s">
        <v>77</v>
      </c>
      <c r="I4434" s="3" t="s">
        <v>85</v>
      </c>
      <c r="J4434" s="3" t="n">
        <v>9</v>
      </c>
      <c r="K4434" s="3" t="n">
        <v>3206.49</v>
      </c>
      <c r="L4434" s="3" t="n">
        <v>28858.41</v>
      </c>
      <c r="M4434" s="3" t="n">
        <v>0.078</v>
      </c>
      <c r="N4434" s="3" t="n">
        <v>2250.96</v>
      </c>
      <c r="O4434" s="3" t="n">
        <v>26607.45</v>
      </c>
      <c r="P4434" s="3" t="n">
        <v>19623.72</v>
      </c>
      <c r="Q4434" s="3" t="n">
        <v>6983.73</v>
      </c>
      <c r="R4434" s="3" t="n">
        <v>0.2625</v>
      </c>
      <c r="S4434" s="3" t="n">
        <v>0.0662</v>
      </c>
      <c r="T4434" s="3" t="n">
        <v>0.0118</v>
      </c>
    </row>
    <row r="4435" customFormat="false" ht="15" hidden="false" customHeight="true" outlineLevel="0" collapsed="false">
      <c r="A4435" s="3" t="s">
        <v>5602</v>
      </c>
      <c r="B4435" s="3" t="s">
        <v>1257</v>
      </c>
      <c r="C4435" s="3" t="s">
        <v>60</v>
      </c>
      <c r="D4435" s="3" t="s">
        <v>54</v>
      </c>
      <c r="E4435" s="3" t="s">
        <v>24</v>
      </c>
      <c r="F4435" s="3" t="s">
        <v>40</v>
      </c>
      <c r="G4435" s="3" t="s">
        <v>63</v>
      </c>
      <c r="H4435" s="3" t="s">
        <v>77</v>
      </c>
      <c r="I4435" s="3" t="s">
        <v>78</v>
      </c>
      <c r="J4435" s="3" t="n">
        <v>10</v>
      </c>
      <c r="K4435" s="3" t="n">
        <v>4923.74</v>
      </c>
      <c r="L4435" s="3" t="n">
        <v>49237.4</v>
      </c>
      <c r="M4435" s="3" t="n">
        <v>0.0553</v>
      </c>
      <c r="N4435" s="3" t="n">
        <v>2722.83</v>
      </c>
      <c r="O4435" s="3" t="n">
        <v>46514.57</v>
      </c>
      <c r="P4435" s="3" t="n">
        <v>33481.43</v>
      </c>
      <c r="Q4435" s="3" t="n">
        <v>13033.14</v>
      </c>
      <c r="R4435" s="3" t="n">
        <v>0.2802</v>
      </c>
      <c r="S4435" s="3" t="n">
        <v>0.0559</v>
      </c>
      <c r="T4435" s="3" t="n">
        <v>-0.0006</v>
      </c>
    </row>
    <row r="4436" customFormat="false" ht="15" hidden="false" customHeight="true" outlineLevel="0" collapsed="false">
      <c r="A4436" s="3" t="s">
        <v>5603</v>
      </c>
      <c r="B4436" s="3" t="s">
        <v>272</v>
      </c>
      <c r="C4436" s="3" t="s">
        <v>22</v>
      </c>
      <c r="D4436" s="3" t="s">
        <v>97</v>
      </c>
      <c r="E4436" s="3" t="s">
        <v>48</v>
      </c>
      <c r="F4436" s="3" t="s">
        <v>40</v>
      </c>
      <c r="G4436" s="3" t="s">
        <v>100</v>
      </c>
      <c r="H4436" s="3" t="s">
        <v>42</v>
      </c>
      <c r="I4436" s="3" t="s">
        <v>72</v>
      </c>
      <c r="J4436" s="3" t="n">
        <v>26</v>
      </c>
      <c r="K4436" s="3" t="n">
        <v>3523.83</v>
      </c>
      <c r="L4436" s="3" t="n">
        <v>91619.58</v>
      </c>
      <c r="M4436" s="3" t="n">
        <v>0.0689</v>
      </c>
      <c r="N4436" s="3" t="n">
        <v>6312.59</v>
      </c>
      <c r="O4436" s="3" t="n">
        <v>85306.99</v>
      </c>
      <c r="P4436" s="3" t="n">
        <v>50390.77</v>
      </c>
      <c r="Q4436" s="3" t="n">
        <v>34916.22</v>
      </c>
      <c r="R4436" s="3" t="n">
        <v>0.4093</v>
      </c>
      <c r="S4436" s="3" t="n">
        <v>0.0645</v>
      </c>
      <c r="T4436" s="3" t="n">
        <v>0.0044</v>
      </c>
    </row>
    <row r="4437" customFormat="false" ht="15" hidden="false" customHeight="true" outlineLevel="0" collapsed="false">
      <c r="A4437" s="3" t="s">
        <v>5604</v>
      </c>
      <c r="B4437" s="3" t="s">
        <v>2330</v>
      </c>
      <c r="C4437" s="3" t="s">
        <v>37</v>
      </c>
      <c r="D4437" s="3" t="s">
        <v>54</v>
      </c>
      <c r="E4437" s="3" t="s">
        <v>24</v>
      </c>
      <c r="F4437" s="3" t="s">
        <v>40</v>
      </c>
      <c r="G4437" s="3" t="s">
        <v>100</v>
      </c>
      <c r="H4437" s="3" t="s">
        <v>56</v>
      </c>
      <c r="I4437" s="3" t="s">
        <v>121</v>
      </c>
      <c r="J4437" s="3" t="n">
        <v>17</v>
      </c>
      <c r="K4437" s="3" t="n">
        <v>14534.74</v>
      </c>
      <c r="L4437" s="3" t="n">
        <v>247090.58</v>
      </c>
      <c r="M4437" s="3" t="n">
        <v>0.0592</v>
      </c>
      <c r="N4437" s="3" t="n">
        <v>14627.76</v>
      </c>
      <c r="O4437" s="3" t="n">
        <v>232462.82</v>
      </c>
      <c r="P4437" s="3" t="n">
        <v>148254.35</v>
      </c>
      <c r="Q4437" s="3" t="n">
        <v>84208.47</v>
      </c>
      <c r="R4437" s="3" t="n">
        <v>0.3622</v>
      </c>
      <c r="S4437" s="3" t="n">
        <v>0.058</v>
      </c>
      <c r="T4437" s="3" t="n">
        <v>0.0012</v>
      </c>
    </row>
    <row r="4438" customFormat="false" ht="15" hidden="false" customHeight="true" outlineLevel="0" collapsed="false">
      <c r="A4438" s="3" t="s">
        <v>5605</v>
      </c>
      <c r="B4438" s="3" t="s">
        <v>1954</v>
      </c>
      <c r="C4438" s="3" t="s">
        <v>53</v>
      </c>
      <c r="D4438" s="3" t="s">
        <v>75</v>
      </c>
      <c r="E4438" s="3" t="s">
        <v>39</v>
      </c>
      <c r="F4438" s="3" t="s">
        <v>25</v>
      </c>
      <c r="G4438" s="3" t="s">
        <v>55</v>
      </c>
      <c r="H4438" s="3" t="s">
        <v>77</v>
      </c>
      <c r="I4438" s="3" t="s">
        <v>131</v>
      </c>
      <c r="J4438" s="3" t="n">
        <v>16</v>
      </c>
      <c r="K4438" s="3" t="n">
        <v>1913.45</v>
      </c>
      <c r="L4438" s="3" t="n">
        <v>30615.2</v>
      </c>
      <c r="M4438" s="3" t="n">
        <v>0.1391</v>
      </c>
      <c r="N4438" s="3" t="n">
        <v>4258.57</v>
      </c>
      <c r="O4438" s="3" t="n">
        <v>26356.63</v>
      </c>
      <c r="P4438" s="3" t="n">
        <v>20818.34</v>
      </c>
      <c r="Q4438" s="3" t="n">
        <v>5538.29</v>
      </c>
      <c r="R4438" s="3" t="n">
        <v>0.2101</v>
      </c>
      <c r="S4438" s="3" t="n">
        <v>0.1424</v>
      </c>
      <c r="T4438" s="3" t="n">
        <v>-0.0033</v>
      </c>
    </row>
    <row r="4439" customFormat="false" ht="15" hidden="false" customHeight="true" outlineLevel="0" collapsed="false">
      <c r="A4439" s="3" t="s">
        <v>5606</v>
      </c>
      <c r="B4439" s="3" t="s">
        <v>1645</v>
      </c>
      <c r="C4439" s="3" t="s">
        <v>46</v>
      </c>
      <c r="D4439" s="3" t="s">
        <v>103</v>
      </c>
      <c r="E4439" s="3" t="s">
        <v>24</v>
      </c>
      <c r="F4439" s="3" t="s">
        <v>62</v>
      </c>
      <c r="G4439" s="3" t="s">
        <v>49</v>
      </c>
      <c r="H4439" s="3" t="s">
        <v>77</v>
      </c>
      <c r="I4439" s="3" t="s">
        <v>85</v>
      </c>
      <c r="J4439" s="3" t="n">
        <v>8</v>
      </c>
      <c r="K4439" s="3" t="n">
        <v>3578.09</v>
      </c>
      <c r="L4439" s="3" t="n">
        <v>28624.72</v>
      </c>
      <c r="M4439" s="3" t="n">
        <v>0.068</v>
      </c>
      <c r="N4439" s="3" t="n">
        <v>1946.48</v>
      </c>
      <c r="O4439" s="3" t="n">
        <v>26678.24</v>
      </c>
      <c r="P4439" s="3" t="n">
        <v>19464.81</v>
      </c>
      <c r="Q4439" s="3" t="n">
        <v>7213.43</v>
      </c>
      <c r="R4439" s="3" t="n">
        <v>0.2704</v>
      </c>
      <c r="S4439" s="3" t="n">
        <v>0.0616</v>
      </c>
      <c r="T4439" s="3" t="n">
        <v>0.0064</v>
      </c>
    </row>
    <row r="4440" customFormat="false" ht="15" hidden="false" customHeight="true" outlineLevel="0" collapsed="false">
      <c r="A4440" s="3" t="s">
        <v>5607</v>
      </c>
      <c r="B4440" s="3" t="s">
        <v>454</v>
      </c>
      <c r="C4440" s="3" t="s">
        <v>126</v>
      </c>
      <c r="D4440" s="3" t="s">
        <v>107</v>
      </c>
      <c r="E4440" s="3" t="s">
        <v>33</v>
      </c>
      <c r="F4440" s="3" t="s">
        <v>70</v>
      </c>
      <c r="G4440" s="3" t="s">
        <v>104</v>
      </c>
      <c r="H4440" s="3" t="s">
        <v>27</v>
      </c>
      <c r="I4440" s="3" t="s">
        <v>117</v>
      </c>
      <c r="J4440" s="3" t="n">
        <v>37</v>
      </c>
      <c r="K4440" s="3" t="n">
        <v>17133.11</v>
      </c>
      <c r="L4440" s="3" t="n">
        <v>633925.07</v>
      </c>
      <c r="M4440" s="3" t="n">
        <v>0.1152</v>
      </c>
      <c r="N4440" s="3" t="n">
        <v>73028.17</v>
      </c>
      <c r="O4440" s="3" t="n">
        <v>560896.9</v>
      </c>
      <c r="P4440" s="3" t="n">
        <v>393033.54</v>
      </c>
      <c r="Q4440" s="3" t="n">
        <v>167863.36</v>
      </c>
      <c r="R4440" s="3" t="n">
        <v>0.2993</v>
      </c>
      <c r="S4440" s="3" t="n">
        <v>0.1002</v>
      </c>
      <c r="T4440" s="3" t="n">
        <v>0.015</v>
      </c>
    </row>
    <row r="4441" customFormat="false" ht="15" hidden="false" customHeight="true" outlineLevel="0" collapsed="false">
      <c r="A4441" s="3" t="s">
        <v>5608</v>
      </c>
      <c r="B4441" s="3" t="s">
        <v>738</v>
      </c>
      <c r="C4441" s="3" t="s">
        <v>37</v>
      </c>
      <c r="D4441" s="3" t="s">
        <v>107</v>
      </c>
      <c r="E4441" s="3" t="s">
        <v>33</v>
      </c>
      <c r="F4441" s="3" t="s">
        <v>70</v>
      </c>
      <c r="G4441" s="3" t="s">
        <v>63</v>
      </c>
      <c r="H4441" s="3" t="s">
        <v>56</v>
      </c>
      <c r="I4441" s="3" t="s">
        <v>121</v>
      </c>
      <c r="J4441" s="3" t="n">
        <v>7</v>
      </c>
      <c r="K4441" s="3" t="n">
        <v>6651.23</v>
      </c>
      <c r="L4441" s="3" t="n">
        <v>46558.61</v>
      </c>
      <c r="M4441" s="3" t="n">
        <v>0.0499</v>
      </c>
      <c r="N4441" s="3" t="n">
        <v>2323.27</v>
      </c>
      <c r="O4441" s="3" t="n">
        <v>44235.34</v>
      </c>
      <c r="P4441" s="3" t="n">
        <v>27935.17</v>
      </c>
      <c r="Q4441" s="3" t="n">
        <v>16300.17</v>
      </c>
      <c r="R4441" s="3" t="n">
        <v>0.3685</v>
      </c>
      <c r="S4441" s="3" t="n">
        <v>0.0405</v>
      </c>
      <c r="T4441" s="3" t="n">
        <v>0.0094</v>
      </c>
    </row>
    <row r="4442" customFormat="false" ht="15" hidden="false" customHeight="true" outlineLevel="0" collapsed="false">
      <c r="A4442" s="3" t="s">
        <v>5609</v>
      </c>
      <c r="B4442" s="3" t="s">
        <v>775</v>
      </c>
      <c r="C4442" s="3" t="s">
        <v>60</v>
      </c>
      <c r="D4442" s="3" t="s">
        <v>47</v>
      </c>
      <c r="E4442" s="3" t="s">
        <v>48</v>
      </c>
      <c r="F4442" s="3" t="s">
        <v>25</v>
      </c>
      <c r="G4442" s="3" t="s">
        <v>34</v>
      </c>
      <c r="H4442" s="3" t="s">
        <v>64</v>
      </c>
      <c r="I4442" s="3" t="s">
        <v>145</v>
      </c>
      <c r="J4442" s="3" t="n">
        <v>9</v>
      </c>
      <c r="K4442" s="3" t="n">
        <v>10148.76</v>
      </c>
      <c r="L4442" s="3" t="n">
        <v>91338.84</v>
      </c>
      <c r="M4442" s="3" t="n">
        <v>0.1971</v>
      </c>
      <c r="N4442" s="3" t="n">
        <v>18002.89</v>
      </c>
      <c r="O4442" s="3" t="n">
        <v>73335.95</v>
      </c>
      <c r="P4442" s="3" t="n">
        <v>52976.53</v>
      </c>
      <c r="Q4442" s="3" t="n">
        <v>20359.42</v>
      </c>
      <c r="R4442" s="3" t="n">
        <v>0.2776</v>
      </c>
      <c r="S4442" s="3" t="n">
        <v>0.2164</v>
      </c>
      <c r="T4442" s="3" t="n">
        <v>-0.0193</v>
      </c>
    </row>
    <row r="4443" customFormat="false" ht="15" hidden="false" customHeight="true" outlineLevel="0" collapsed="false">
      <c r="A4443" s="3" t="s">
        <v>5610</v>
      </c>
      <c r="B4443" s="3" t="s">
        <v>1188</v>
      </c>
      <c r="C4443" s="3" t="s">
        <v>113</v>
      </c>
      <c r="D4443" s="3" t="s">
        <v>97</v>
      </c>
      <c r="E4443" s="3" t="s">
        <v>48</v>
      </c>
      <c r="F4443" s="3" t="s">
        <v>40</v>
      </c>
      <c r="G4443" s="3" t="s">
        <v>63</v>
      </c>
      <c r="H4443" s="3" t="s">
        <v>56</v>
      </c>
      <c r="I4443" s="3" t="s">
        <v>57</v>
      </c>
      <c r="J4443" s="3" t="n">
        <v>12</v>
      </c>
      <c r="K4443" s="3" t="n">
        <v>6074.77</v>
      </c>
      <c r="L4443" s="3" t="n">
        <v>72897.24</v>
      </c>
      <c r="M4443" s="3" t="n">
        <v>0.0507</v>
      </c>
      <c r="N4443" s="3" t="n">
        <v>3695.89</v>
      </c>
      <c r="O4443" s="3" t="n">
        <v>69201.35</v>
      </c>
      <c r="P4443" s="3" t="n">
        <v>43738.34</v>
      </c>
      <c r="Q4443" s="3" t="n">
        <v>25463.01</v>
      </c>
      <c r="R4443" s="3" t="n">
        <v>0.368</v>
      </c>
      <c r="S4443" s="3" t="n">
        <v>0.0507</v>
      </c>
      <c r="T4443" s="3" t="n">
        <v>0</v>
      </c>
    </row>
    <row r="4444" customFormat="false" ht="15" hidden="false" customHeight="true" outlineLevel="0" collapsed="false">
      <c r="A4444" s="3" t="s">
        <v>5611</v>
      </c>
      <c r="B4444" s="3" t="s">
        <v>2750</v>
      </c>
      <c r="C4444" s="3" t="s">
        <v>68</v>
      </c>
      <c r="D4444" s="3" t="s">
        <v>38</v>
      </c>
      <c r="E4444" s="3" t="s">
        <v>39</v>
      </c>
      <c r="F4444" s="3" t="s">
        <v>40</v>
      </c>
      <c r="G4444" s="3" t="s">
        <v>84</v>
      </c>
      <c r="H4444" s="3" t="s">
        <v>42</v>
      </c>
      <c r="I4444" s="3" t="s">
        <v>134</v>
      </c>
      <c r="J4444" s="3" t="n">
        <v>35</v>
      </c>
      <c r="K4444" s="3" t="n">
        <v>1379.53</v>
      </c>
      <c r="L4444" s="3" t="n">
        <v>48283.55</v>
      </c>
      <c r="M4444" s="3" t="n">
        <v>0.0498</v>
      </c>
      <c r="N4444" s="3" t="n">
        <v>2404.52</v>
      </c>
      <c r="O4444" s="3" t="n">
        <v>45879.03</v>
      </c>
      <c r="P4444" s="3" t="n">
        <v>26555.95</v>
      </c>
      <c r="Q4444" s="3" t="n">
        <v>19323.08</v>
      </c>
      <c r="R4444" s="3" t="n">
        <v>0.4212</v>
      </c>
      <c r="S4444" s="3" t="n">
        <v>0.051</v>
      </c>
      <c r="T4444" s="3" t="n">
        <v>-0.0012</v>
      </c>
    </row>
    <row r="4445" customFormat="false" ht="15" hidden="false" customHeight="true" outlineLevel="0" collapsed="false">
      <c r="A4445" s="3" t="s">
        <v>5612</v>
      </c>
      <c r="B4445" s="3" t="s">
        <v>1974</v>
      </c>
      <c r="C4445" s="3" t="s">
        <v>113</v>
      </c>
      <c r="D4445" s="3" t="s">
        <v>97</v>
      </c>
      <c r="E4445" s="3" t="s">
        <v>48</v>
      </c>
      <c r="F4445" s="3" t="s">
        <v>40</v>
      </c>
      <c r="G4445" s="3" t="s">
        <v>34</v>
      </c>
      <c r="H4445" s="3" t="s">
        <v>42</v>
      </c>
      <c r="I4445" s="3" t="s">
        <v>72</v>
      </c>
      <c r="J4445" s="3" t="n">
        <v>20</v>
      </c>
      <c r="K4445" s="3" t="n">
        <v>2518.13</v>
      </c>
      <c r="L4445" s="3" t="n">
        <v>50362.6</v>
      </c>
      <c r="M4445" s="3" t="n">
        <v>0.0957</v>
      </c>
      <c r="N4445" s="3" t="n">
        <v>4819.7</v>
      </c>
      <c r="O4445" s="3" t="n">
        <v>45542.9</v>
      </c>
      <c r="P4445" s="3" t="n">
        <v>27699.43</v>
      </c>
      <c r="Q4445" s="3" t="n">
        <v>17843.47</v>
      </c>
      <c r="R4445" s="3" t="n">
        <v>0.3918</v>
      </c>
      <c r="S4445" s="3" t="n">
        <v>0.0871</v>
      </c>
      <c r="T4445" s="3" t="n">
        <v>0.0086</v>
      </c>
    </row>
    <row r="4446" customFormat="false" ht="15" hidden="false" customHeight="true" outlineLevel="0" collapsed="false">
      <c r="A4446" s="3" t="s">
        <v>5613</v>
      </c>
      <c r="B4446" s="3" t="s">
        <v>2569</v>
      </c>
      <c r="C4446" s="3" t="s">
        <v>68</v>
      </c>
      <c r="D4446" s="3" t="s">
        <v>23</v>
      </c>
      <c r="E4446" s="3" t="s">
        <v>24</v>
      </c>
      <c r="F4446" s="3" t="s">
        <v>25</v>
      </c>
      <c r="G4446" s="3" t="s">
        <v>71</v>
      </c>
      <c r="H4446" s="3" t="s">
        <v>42</v>
      </c>
      <c r="I4446" s="3" t="s">
        <v>43</v>
      </c>
      <c r="J4446" s="3" t="n">
        <v>33</v>
      </c>
      <c r="K4446" s="3" t="n">
        <v>2736.73</v>
      </c>
      <c r="L4446" s="3" t="n">
        <v>90312.09</v>
      </c>
      <c r="M4446" s="3" t="n">
        <v>0.1417</v>
      </c>
      <c r="N4446" s="3" t="n">
        <v>12797.22</v>
      </c>
      <c r="O4446" s="3" t="n">
        <v>77514.87</v>
      </c>
      <c r="P4446" s="3" t="n">
        <v>49671.65</v>
      </c>
      <c r="Q4446" s="3" t="n">
        <v>27843.22</v>
      </c>
      <c r="R4446" s="3" t="n">
        <v>0.3592</v>
      </c>
      <c r="S4446" s="3" t="n">
        <v>0.1187</v>
      </c>
      <c r="T4446" s="3" t="n">
        <v>0.023</v>
      </c>
    </row>
    <row r="4447" customFormat="false" ht="15" hidden="false" customHeight="true" outlineLevel="0" collapsed="false">
      <c r="A4447" s="3" t="s">
        <v>5614</v>
      </c>
      <c r="B4447" s="3" t="s">
        <v>1505</v>
      </c>
      <c r="C4447" s="3" t="s">
        <v>31</v>
      </c>
      <c r="D4447" s="3" t="s">
        <v>75</v>
      </c>
      <c r="E4447" s="3" t="s">
        <v>39</v>
      </c>
      <c r="F4447" s="3" t="s">
        <v>25</v>
      </c>
      <c r="G4447" s="3" t="s">
        <v>55</v>
      </c>
      <c r="H4447" s="3" t="s">
        <v>27</v>
      </c>
      <c r="I4447" s="3" t="s">
        <v>173</v>
      </c>
      <c r="J4447" s="3" t="n">
        <v>25</v>
      </c>
      <c r="K4447" s="3" t="n">
        <v>20258.36</v>
      </c>
      <c r="L4447" s="3" t="n">
        <v>506459</v>
      </c>
      <c r="M4447" s="3" t="n">
        <v>0.1149</v>
      </c>
      <c r="N4447" s="3" t="n">
        <v>58192.14</v>
      </c>
      <c r="O4447" s="3" t="n">
        <v>448266.86</v>
      </c>
      <c r="P4447" s="3" t="n">
        <v>314004.58</v>
      </c>
      <c r="Q4447" s="3" t="n">
        <v>134262.28</v>
      </c>
      <c r="R4447" s="3" t="n">
        <v>0.2995</v>
      </c>
      <c r="S4447" s="3" t="n">
        <v>0.1198</v>
      </c>
      <c r="T4447" s="3" t="n">
        <v>-0.0049</v>
      </c>
    </row>
    <row r="4448" customFormat="false" ht="15" hidden="false" customHeight="true" outlineLevel="0" collapsed="false">
      <c r="A4448" s="3" t="s">
        <v>5615</v>
      </c>
      <c r="B4448" s="3" t="s">
        <v>2846</v>
      </c>
      <c r="C4448" s="3" t="s">
        <v>60</v>
      </c>
      <c r="D4448" s="3" t="s">
        <v>83</v>
      </c>
      <c r="E4448" s="3" t="s">
        <v>48</v>
      </c>
      <c r="F4448" s="3" t="s">
        <v>62</v>
      </c>
      <c r="G4448" s="3" t="s">
        <v>41</v>
      </c>
      <c r="H4448" s="3" t="s">
        <v>77</v>
      </c>
      <c r="I4448" s="3" t="s">
        <v>85</v>
      </c>
      <c r="J4448" s="3" t="n">
        <v>27</v>
      </c>
      <c r="K4448" s="3" t="n">
        <v>1866.51</v>
      </c>
      <c r="L4448" s="3" t="n">
        <v>50395.77</v>
      </c>
      <c r="M4448" s="3" t="n">
        <v>0.0803</v>
      </c>
      <c r="N4448" s="3" t="n">
        <v>4046.78</v>
      </c>
      <c r="O4448" s="3" t="n">
        <v>46348.99</v>
      </c>
      <c r="P4448" s="3" t="n">
        <v>34269.12</v>
      </c>
      <c r="Q4448" s="3" t="n">
        <v>12079.87</v>
      </c>
      <c r="R4448" s="3" t="n">
        <v>0.2606</v>
      </c>
      <c r="S4448" s="3" t="n">
        <v>0.0755</v>
      </c>
      <c r="T4448" s="3" t="n">
        <v>0.0048</v>
      </c>
    </row>
    <row r="4449" customFormat="false" ht="15" hidden="false" customHeight="true" outlineLevel="0" collapsed="false">
      <c r="A4449" s="3" t="s">
        <v>5616</v>
      </c>
      <c r="B4449" s="3" t="s">
        <v>1712</v>
      </c>
      <c r="C4449" s="3" t="s">
        <v>37</v>
      </c>
      <c r="D4449" s="3" t="s">
        <v>69</v>
      </c>
      <c r="E4449" s="3" t="s">
        <v>39</v>
      </c>
      <c r="F4449" s="3" t="s">
        <v>70</v>
      </c>
      <c r="G4449" s="3" t="s">
        <v>100</v>
      </c>
      <c r="H4449" s="3" t="s">
        <v>42</v>
      </c>
      <c r="I4449" s="3" t="s">
        <v>43</v>
      </c>
      <c r="J4449" s="3" t="n">
        <v>48</v>
      </c>
      <c r="K4449" s="3" t="n">
        <v>1220.51</v>
      </c>
      <c r="L4449" s="3" t="n">
        <v>58584.48</v>
      </c>
      <c r="M4449" s="3" t="n">
        <v>0.0604</v>
      </c>
      <c r="N4449" s="3" t="n">
        <v>3538.5</v>
      </c>
      <c r="O4449" s="3" t="n">
        <v>55045.98</v>
      </c>
      <c r="P4449" s="3" t="n">
        <v>32221.46</v>
      </c>
      <c r="Q4449" s="3" t="n">
        <v>22824.52</v>
      </c>
      <c r="R4449" s="3" t="n">
        <v>0.4146</v>
      </c>
      <c r="S4449" s="3" t="n">
        <v>0.0658</v>
      </c>
      <c r="T4449" s="3" t="n">
        <v>-0.0054</v>
      </c>
    </row>
    <row r="4450" customFormat="false" ht="15" hidden="false" customHeight="true" outlineLevel="0" collapsed="false">
      <c r="A4450" s="3" t="s">
        <v>5617</v>
      </c>
      <c r="B4450" s="3" t="s">
        <v>515</v>
      </c>
      <c r="C4450" s="3" t="s">
        <v>60</v>
      </c>
      <c r="D4450" s="3" t="s">
        <v>23</v>
      </c>
      <c r="E4450" s="3" t="s">
        <v>24</v>
      </c>
      <c r="F4450" s="3" t="s">
        <v>25</v>
      </c>
      <c r="G4450" s="3" t="s">
        <v>26</v>
      </c>
      <c r="H4450" s="3" t="s">
        <v>77</v>
      </c>
      <c r="I4450" s="3" t="s">
        <v>85</v>
      </c>
      <c r="J4450" s="3" t="n">
        <v>3</v>
      </c>
      <c r="K4450" s="3" t="n">
        <v>4939.58</v>
      </c>
      <c r="L4450" s="3" t="n">
        <v>14818.74</v>
      </c>
      <c r="M4450" s="3" t="n">
        <v>0.155</v>
      </c>
      <c r="N4450" s="3" t="n">
        <v>2296.9</v>
      </c>
      <c r="O4450" s="3" t="n">
        <v>12521.84</v>
      </c>
      <c r="P4450" s="3" t="n">
        <v>10076.74</v>
      </c>
      <c r="Q4450" s="3" t="n">
        <v>2445.1</v>
      </c>
      <c r="R4450" s="3" t="n">
        <v>0.1953</v>
      </c>
      <c r="S4450" s="3" t="n">
        <v>0.1656</v>
      </c>
      <c r="T4450" s="3" t="n">
        <v>-0.0106</v>
      </c>
    </row>
    <row r="4451" customFormat="false" ht="15" hidden="false" customHeight="true" outlineLevel="0" collapsed="false">
      <c r="A4451" s="3" t="s">
        <v>5618</v>
      </c>
      <c r="B4451" s="3" t="s">
        <v>4607</v>
      </c>
      <c r="C4451" s="3" t="s">
        <v>46</v>
      </c>
      <c r="D4451" s="3" t="s">
        <v>32</v>
      </c>
      <c r="E4451" s="3" t="s">
        <v>33</v>
      </c>
      <c r="F4451" s="3" t="s">
        <v>25</v>
      </c>
      <c r="G4451" s="3" t="s">
        <v>84</v>
      </c>
      <c r="H4451" s="3" t="s">
        <v>27</v>
      </c>
      <c r="I4451" s="3" t="s">
        <v>173</v>
      </c>
      <c r="J4451" s="3" t="n">
        <v>2</v>
      </c>
      <c r="K4451" s="3" t="n">
        <v>10581.3</v>
      </c>
      <c r="L4451" s="3" t="n">
        <v>21162.6</v>
      </c>
      <c r="M4451" s="3" t="n">
        <v>0.1361</v>
      </c>
      <c r="N4451" s="3" t="n">
        <v>2880.23</v>
      </c>
      <c r="O4451" s="3" t="n">
        <v>18282.37</v>
      </c>
      <c r="P4451" s="3" t="n">
        <v>13120.81</v>
      </c>
      <c r="Q4451" s="3" t="n">
        <v>5161.56</v>
      </c>
      <c r="R4451" s="3" t="n">
        <v>0.2823</v>
      </c>
      <c r="S4451" s="3" t="n">
        <v>0.1444</v>
      </c>
      <c r="T4451" s="3" t="n">
        <v>-0.0083</v>
      </c>
    </row>
    <row r="4452" customFormat="false" ht="15" hidden="false" customHeight="true" outlineLevel="0" collapsed="false">
      <c r="A4452" s="3" t="s">
        <v>5619</v>
      </c>
      <c r="B4452" s="3" t="s">
        <v>4284</v>
      </c>
      <c r="C4452" s="3" t="s">
        <v>46</v>
      </c>
      <c r="D4452" s="3" t="s">
        <v>32</v>
      </c>
      <c r="E4452" s="3" t="s">
        <v>33</v>
      </c>
      <c r="F4452" s="3" t="s">
        <v>25</v>
      </c>
      <c r="G4452" s="3" t="s">
        <v>71</v>
      </c>
      <c r="H4452" s="3" t="s">
        <v>64</v>
      </c>
      <c r="I4452" s="3" t="s">
        <v>90</v>
      </c>
      <c r="J4452" s="3" t="n">
        <v>19</v>
      </c>
      <c r="K4452" s="3" t="n">
        <v>9825.6</v>
      </c>
      <c r="L4452" s="3" t="n">
        <v>186686.4</v>
      </c>
      <c r="M4452" s="3" t="n">
        <v>0.1012</v>
      </c>
      <c r="N4452" s="3" t="n">
        <v>18892.66</v>
      </c>
      <c r="O4452" s="3" t="n">
        <v>167793.74</v>
      </c>
      <c r="P4452" s="3" t="n">
        <v>108278.11</v>
      </c>
      <c r="Q4452" s="3" t="n">
        <v>59515.63</v>
      </c>
      <c r="R4452" s="3" t="n">
        <v>0.3547</v>
      </c>
      <c r="S4452" s="3" t="n">
        <v>0.1012</v>
      </c>
      <c r="T4452" s="3" t="n">
        <v>0</v>
      </c>
    </row>
    <row r="4453" customFormat="false" ht="15" hidden="false" customHeight="true" outlineLevel="0" collapsed="false">
      <c r="A4453" s="3" t="s">
        <v>5620</v>
      </c>
      <c r="B4453" s="3" t="s">
        <v>559</v>
      </c>
      <c r="C4453" s="3" t="s">
        <v>113</v>
      </c>
      <c r="D4453" s="3" t="s">
        <v>54</v>
      </c>
      <c r="E4453" s="3" t="s">
        <v>24</v>
      </c>
      <c r="F4453" s="3" t="s">
        <v>40</v>
      </c>
      <c r="G4453" s="3" t="s">
        <v>26</v>
      </c>
      <c r="H4453" s="3" t="s">
        <v>27</v>
      </c>
      <c r="I4453" s="3" t="s">
        <v>50</v>
      </c>
      <c r="J4453" s="3" t="n">
        <v>5</v>
      </c>
      <c r="K4453" s="3" t="n">
        <v>15894.67</v>
      </c>
      <c r="L4453" s="3" t="n">
        <v>79473.35</v>
      </c>
      <c r="M4453" s="3" t="n">
        <v>0.0315</v>
      </c>
      <c r="N4453" s="3" t="n">
        <v>2503.41</v>
      </c>
      <c r="O4453" s="3" t="n">
        <v>76969.94</v>
      </c>
      <c r="P4453" s="3" t="n">
        <v>49273.48</v>
      </c>
      <c r="Q4453" s="3" t="n">
        <v>27696.46</v>
      </c>
      <c r="R4453" s="3" t="n">
        <v>0.3598</v>
      </c>
      <c r="S4453" s="3" t="n">
        <v>0.027</v>
      </c>
      <c r="T4453" s="3" t="n">
        <v>0.0045</v>
      </c>
    </row>
    <row r="4454" customFormat="false" ht="15" hidden="false" customHeight="true" outlineLevel="0" collapsed="false">
      <c r="A4454" s="3" t="s">
        <v>5621</v>
      </c>
      <c r="B4454" s="3" t="s">
        <v>2003</v>
      </c>
      <c r="C4454" s="3" t="s">
        <v>93</v>
      </c>
      <c r="D4454" s="3" t="s">
        <v>69</v>
      </c>
      <c r="E4454" s="3" t="s">
        <v>39</v>
      </c>
      <c r="F4454" s="3" t="s">
        <v>70</v>
      </c>
      <c r="G4454" s="3" t="s">
        <v>63</v>
      </c>
      <c r="H4454" s="3" t="s">
        <v>27</v>
      </c>
      <c r="I4454" s="3" t="s">
        <v>94</v>
      </c>
      <c r="J4454" s="3" t="n">
        <v>48</v>
      </c>
      <c r="K4454" s="3" t="n">
        <v>34815.33</v>
      </c>
      <c r="L4454" s="3" t="n">
        <v>1671135.84</v>
      </c>
      <c r="M4454" s="3" t="n">
        <v>0.0513</v>
      </c>
      <c r="N4454" s="3" t="n">
        <v>85729.27</v>
      </c>
      <c r="O4454" s="3" t="n">
        <v>1585406.57</v>
      </c>
      <c r="P4454" s="3" t="n">
        <v>1036104.22</v>
      </c>
      <c r="Q4454" s="3" t="n">
        <v>549302.35</v>
      </c>
      <c r="R4454" s="3" t="n">
        <v>0.3465</v>
      </c>
      <c r="S4454" s="3" t="n">
        <v>0.0543</v>
      </c>
      <c r="T4454" s="3" t="n">
        <v>-0.003</v>
      </c>
    </row>
    <row r="4455" customFormat="false" ht="15" hidden="false" customHeight="true" outlineLevel="0" collapsed="false">
      <c r="A4455" s="3" t="s">
        <v>5622</v>
      </c>
      <c r="B4455" s="3" t="s">
        <v>605</v>
      </c>
      <c r="C4455" s="3" t="s">
        <v>60</v>
      </c>
      <c r="D4455" s="3" t="s">
        <v>23</v>
      </c>
      <c r="E4455" s="3" t="s">
        <v>24</v>
      </c>
      <c r="F4455" s="3" t="s">
        <v>25</v>
      </c>
      <c r="G4455" s="3" t="s">
        <v>63</v>
      </c>
      <c r="H4455" s="3" t="s">
        <v>27</v>
      </c>
      <c r="I4455" s="3" t="s">
        <v>173</v>
      </c>
      <c r="J4455" s="3" t="n">
        <v>48</v>
      </c>
      <c r="K4455" s="3" t="n">
        <v>28471.4</v>
      </c>
      <c r="L4455" s="3" t="n">
        <v>1366627.2</v>
      </c>
      <c r="M4455" s="3" t="n">
        <v>0.1214</v>
      </c>
      <c r="N4455" s="3" t="n">
        <v>165908.54</v>
      </c>
      <c r="O4455" s="3" t="n">
        <v>1200718.66</v>
      </c>
      <c r="P4455" s="3" t="n">
        <v>847308.86</v>
      </c>
      <c r="Q4455" s="3" t="n">
        <v>353409.8</v>
      </c>
      <c r="R4455" s="3" t="n">
        <v>0.2943</v>
      </c>
      <c r="S4455" s="3" t="n">
        <v>0.1245</v>
      </c>
      <c r="T4455" s="3" t="n">
        <v>-0.0031</v>
      </c>
    </row>
    <row r="4456" customFormat="false" ht="15" hidden="false" customHeight="true" outlineLevel="0" collapsed="false">
      <c r="A4456" s="3" t="s">
        <v>5623</v>
      </c>
      <c r="B4456" s="3" t="s">
        <v>304</v>
      </c>
      <c r="C4456" s="3" t="s">
        <v>53</v>
      </c>
      <c r="D4456" s="3" t="s">
        <v>97</v>
      </c>
      <c r="E4456" s="3" t="s">
        <v>48</v>
      </c>
      <c r="F4456" s="3" t="s">
        <v>40</v>
      </c>
      <c r="G4456" s="3" t="s">
        <v>71</v>
      </c>
      <c r="H4456" s="3" t="s">
        <v>27</v>
      </c>
      <c r="I4456" s="3" t="s">
        <v>28</v>
      </c>
      <c r="J4456" s="3" t="n">
        <v>19</v>
      </c>
      <c r="K4456" s="3" t="n">
        <v>35919.45</v>
      </c>
      <c r="L4456" s="3" t="n">
        <v>682469.55</v>
      </c>
      <c r="M4456" s="3" t="n">
        <v>0.0301</v>
      </c>
      <c r="N4456" s="3" t="n">
        <v>20542.33</v>
      </c>
      <c r="O4456" s="3" t="n">
        <v>661927.22</v>
      </c>
      <c r="P4456" s="3" t="n">
        <v>423131.12</v>
      </c>
      <c r="Q4456" s="3" t="n">
        <v>238796.1</v>
      </c>
      <c r="R4456" s="3" t="n">
        <v>0.3608</v>
      </c>
      <c r="S4456" s="3" t="n">
        <v>0.0287</v>
      </c>
      <c r="T4456" s="3" t="n">
        <v>0.0014</v>
      </c>
    </row>
    <row r="4457" customFormat="false" ht="15" hidden="false" customHeight="true" outlineLevel="0" collapsed="false">
      <c r="A4457" s="3" t="s">
        <v>5624</v>
      </c>
      <c r="B4457" s="3" t="s">
        <v>4987</v>
      </c>
      <c r="C4457" s="3" t="s">
        <v>93</v>
      </c>
      <c r="D4457" s="3" t="s">
        <v>69</v>
      </c>
      <c r="E4457" s="3" t="s">
        <v>39</v>
      </c>
      <c r="F4457" s="3" t="s">
        <v>70</v>
      </c>
      <c r="G4457" s="3" t="s">
        <v>41</v>
      </c>
      <c r="H4457" s="3" t="s">
        <v>77</v>
      </c>
      <c r="I4457" s="3" t="s">
        <v>85</v>
      </c>
      <c r="J4457" s="3" t="n">
        <v>6</v>
      </c>
      <c r="K4457" s="3" t="n">
        <v>3092.55</v>
      </c>
      <c r="L4457" s="3" t="n">
        <v>18555.3</v>
      </c>
      <c r="M4457" s="3" t="n">
        <v>0.1</v>
      </c>
      <c r="N4457" s="3" t="n">
        <v>1855.53</v>
      </c>
      <c r="O4457" s="3" t="n">
        <v>16699.77</v>
      </c>
      <c r="P4457" s="3" t="n">
        <v>12617.6</v>
      </c>
      <c r="Q4457" s="3" t="n">
        <v>4082.17</v>
      </c>
      <c r="R4457" s="3" t="n">
        <v>0.2444</v>
      </c>
      <c r="S4457" s="3" t="n">
        <v>0.1036</v>
      </c>
      <c r="T4457" s="3" t="n">
        <v>-0.0036</v>
      </c>
    </row>
    <row r="4458" customFormat="false" ht="15" hidden="false" customHeight="true" outlineLevel="0" collapsed="false">
      <c r="A4458" s="3" t="s">
        <v>5625</v>
      </c>
      <c r="B4458" s="3" t="s">
        <v>1095</v>
      </c>
      <c r="C4458" s="3" t="s">
        <v>113</v>
      </c>
      <c r="D4458" s="3" t="s">
        <v>103</v>
      </c>
      <c r="E4458" s="3" t="s">
        <v>24</v>
      </c>
      <c r="F4458" s="3" t="s">
        <v>62</v>
      </c>
      <c r="G4458" s="3" t="s">
        <v>26</v>
      </c>
      <c r="H4458" s="3" t="s">
        <v>64</v>
      </c>
      <c r="I4458" s="3" t="s">
        <v>108</v>
      </c>
      <c r="J4458" s="3" t="n">
        <v>10</v>
      </c>
      <c r="K4458" s="3" t="n">
        <v>11391.8</v>
      </c>
      <c r="L4458" s="3" t="n">
        <v>113918</v>
      </c>
      <c r="M4458" s="3" t="n">
        <v>0.0367</v>
      </c>
      <c r="N4458" s="3" t="n">
        <v>4180.79</v>
      </c>
      <c r="O4458" s="3" t="n">
        <v>109737.21</v>
      </c>
      <c r="P4458" s="3" t="n">
        <v>66072.44</v>
      </c>
      <c r="Q4458" s="3" t="n">
        <v>43664.77</v>
      </c>
      <c r="R4458" s="3" t="n">
        <v>0.3979</v>
      </c>
      <c r="S4458" s="3" t="n">
        <v>0.0358</v>
      </c>
      <c r="T4458" s="3" t="n">
        <v>0.0009</v>
      </c>
    </row>
    <row r="4459" customFormat="false" ht="15" hidden="false" customHeight="true" outlineLevel="0" collapsed="false">
      <c r="A4459" s="3" t="s">
        <v>5626</v>
      </c>
      <c r="B4459" s="3" t="s">
        <v>225</v>
      </c>
      <c r="C4459" s="3" t="s">
        <v>93</v>
      </c>
      <c r="D4459" s="3" t="s">
        <v>38</v>
      </c>
      <c r="E4459" s="3" t="s">
        <v>39</v>
      </c>
      <c r="F4459" s="3" t="s">
        <v>40</v>
      </c>
      <c r="G4459" s="3" t="s">
        <v>76</v>
      </c>
      <c r="H4459" s="3" t="s">
        <v>64</v>
      </c>
      <c r="I4459" s="3" t="s">
        <v>108</v>
      </c>
      <c r="J4459" s="3" t="n">
        <v>49</v>
      </c>
      <c r="K4459" s="3" t="n">
        <v>4153.34</v>
      </c>
      <c r="L4459" s="3" t="n">
        <v>203513.66</v>
      </c>
      <c r="M4459" s="3" t="n">
        <v>0.0546</v>
      </c>
      <c r="N4459" s="3" t="n">
        <v>11111.85</v>
      </c>
      <c r="O4459" s="3" t="n">
        <v>192401.81</v>
      </c>
      <c r="P4459" s="3" t="n">
        <v>118037.92</v>
      </c>
      <c r="Q4459" s="3" t="n">
        <v>74363.89</v>
      </c>
      <c r="R4459" s="3" t="n">
        <v>0.3865</v>
      </c>
      <c r="S4459" s="3" t="n">
        <v>0.0563</v>
      </c>
      <c r="T4459" s="3" t="n">
        <v>-0.0017</v>
      </c>
    </row>
    <row r="4460" customFormat="false" ht="15" hidden="false" customHeight="true" outlineLevel="0" collapsed="false">
      <c r="A4460" s="3" t="s">
        <v>5627</v>
      </c>
      <c r="B4460" s="3" t="s">
        <v>989</v>
      </c>
      <c r="C4460" s="3" t="s">
        <v>120</v>
      </c>
      <c r="D4460" s="3" t="s">
        <v>83</v>
      </c>
      <c r="E4460" s="3" t="s">
        <v>48</v>
      </c>
      <c r="F4460" s="3" t="s">
        <v>62</v>
      </c>
      <c r="G4460" s="3" t="s">
        <v>49</v>
      </c>
      <c r="H4460" s="3" t="s">
        <v>77</v>
      </c>
      <c r="I4460" s="3" t="s">
        <v>78</v>
      </c>
      <c r="J4460" s="3" t="n">
        <v>22</v>
      </c>
      <c r="K4460" s="3" t="n">
        <v>3340.33</v>
      </c>
      <c r="L4460" s="3" t="n">
        <v>73487.26</v>
      </c>
      <c r="M4460" s="3" t="n">
        <v>0.0324</v>
      </c>
      <c r="N4460" s="3" t="n">
        <v>2380.99</v>
      </c>
      <c r="O4460" s="3" t="n">
        <v>71106.27</v>
      </c>
      <c r="P4460" s="3" t="n">
        <v>49971.34</v>
      </c>
      <c r="Q4460" s="3" t="n">
        <v>21134.93</v>
      </c>
      <c r="R4460" s="3" t="n">
        <v>0.2972</v>
      </c>
      <c r="S4460" s="3" t="n">
        <v>0.0323</v>
      </c>
      <c r="T4460" s="3" t="n">
        <v>0.0001</v>
      </c>
    </row>
    <row r="4461" customFormat="false" ht="15" hidden="false" customHeight="true" outlineLevel="0" collapsed="false">
      <c r="A4461" s="3" t="s">
        <v>5628</v>
      </c>
      <c r="B4461" s="3" t="s">
        <v>771</v>
      </c>
      <c r="C4461" s="3" t="s">
        <v>156</v>
      </c>
      <c r="D4461" s="3" t="s">
        <v>107</v>
      </c>
      <c r="E4461" s="3" t="s">
        <v>33</v>
      </c>
      <c r="F4461" s="3" t="s">
        <v>70</v>
      </c>
      <c r="G4461" s="3" t="s">
        <v>41</v>
      </c>
      <c r="H4461" s="3" t="s">
        <v>56</v>
      </c>
      <c r="I4461" s="3" t="s">
        <v>57</v>
      </c>
      <c r="J4461" s="3" t="n">
        <v>19</v>
      </c>
      <c r="K4461" s="3" t="n">
        <v>3491.75</v>
      </c>
      <c r="L4461" s="3" t="n">
        <v>66343.25</v>
      </c>
      <c r="M4461" s="3" t="n">
        <v>0.0936</v>
      </c>
      <c r="N4461" s="3" t="n">
        <v>6209.73</v>
      </c>
      <c r="O4461" s="3" t="n">
        <v>60133.52</v>
      </c>
      <c r="P4461" s="3" t="n">
        <v>39805.95</v>
      </c>
      <c r="Q4461" s="3" t="n">
        <v>20327.57</v>
      </c>
      <c r="R4461" s="3" t="n">
        <v>0.338</v>
      </c>
      <c r="S4461" s="3" t="n">
        <v>0.0813</v>
      </c>
      <c r="T4461" s="3" t="n">
        <v>0.0123</v>
      </c>
    </row>
    <row r="4462" customFormat="false" ht="15" hidden="false" customHeight="true" outlineLevel="0" collapsed="false">
      <c r="A4462" s="3" t="s">
        <v>5629</v>
      </c>
      <c r="B4462" s="3" t="s">
        <v>2179</v>
      </c>
      <c r="C4462" s="3" t="s">
        <v>68</v>
      </c>
      <c r="D4462" s="3" t="s">
        <v>47</v>
      </c>
      <c r="E4462" s="3" t="s">
        <v>48</v>
      </c>
      <c r="F4462" s="3" t="s">
        <v>25</v>
      </c>
      <c r="G4462" s="3" t="s">
        <v>55</v>
      </c>
      <c r="H4462" s="3" t="s">
        <v>64</v>
      </c>
      <c r="I4462" s="3" t="s">
        <v>108</v>
      </c>
      <c r="J4462" s="3" t="n">
        <v>46</v>
      </c>
      <c r="K4462" s="3" t="n">
        <v>10443.94</v>
      </c>
      <c r="L4462" s="3" t="n">
        <v>480421.24</v>
      </c>
      <c r="M4462" s="3" t="n">
        <v>0.1474</v>
      </c>
      <c r="N4462" s="3" t="n">
        <v>70814.09</v>
      </c>
      <c r="O4462" s="3" t="n">
        <v>409607.15</v>
      </c>
      <c r="P4462" s="3" t="n">
        <v>278644.32</v>
      </c>
      <c r="Q4462" s="3" t="n">
        <v>130962.83</v>
      </c>
      <c r="R4462" s="3" t="n">
        <v>0.3197</v>
      </c>
      <c r="S4462" s="3" t="n">
        <v>0.1566</v>
      </c>
      <c r="T4462" s="3" t="n">
        <v>-0.0092</v>
      </c>
    </row>
    <row r="4463" customFormat="false" ht="15" hidden="false" customHeight="true" outlineLevel="0" collapsed="false">
      <c r="A4463" s="3" t="s">
        <v>5630</v>
      </c>
      <c r="B4463" s="3" t="s">
        <v>3854</v>
      </c>
      <c r="C4463" s="3" t="s">
        <v>53</v>
      </c>
      <c r="D4463" s="3" t="s">
        <v>75</v>
      </c>
      <c r="E4463" s="3" t="s">
        <v>39</v>
      </c>
      <c r="F4463" s="3" t="s">
        <v>25</v>
      </c>
      <c r="G4463" s="3" t="s">
        <v>84</v>
      </c>
      <c r="H4463" s="3" t="s">
        <v>27</v>
      </c>
      <c r="I4463" s="3" t="s">
        <v>50</v>
      </c>
      <c r="J4463" s="3" t="n">
        <v>45</v>
      </c>
      <c r="K4463" s="3" t="n">
        <v>18599.22</v>
      </c>
      <c r="L4463" s="3" t="n">
        <v>836964.9</v>
      </c>
      <c r="M4463" s="3" t="n">
        <v>0.172</v>
      </c>
      <c r="N4463" s="3" t="n">
        <v>143957.96</v>
      </c>
      <c r="O4463" s="3" t="n">
        <v>693006.94</v>
      </c>
      <c r="P4463" s="3" t="n">
        <v>518918.24</v>
      </c>
      <c r="Q4463" s="3" t="n">
        <v>174088.7</v>
      </c>
      <c r="R4463" s="3" t="n">
        <v>0.2512</v>
      </c>
      <c r="S4463" s="3" t="n">
        <v>0.1567</v>
      </c>
      <c r="T4463" s="3" t="n">
        <v>0.0153</v>
      </c>
    </row>
    <row r="4464" customFormat="false" ht="15" hidden="false" customHeight="true" outlineLevel="0" collapsed="false">
      <c r="A4464" s="3" t="s">
        <v>5631</v>
      </c>
      <c r="B4464" s="3" t="s">
        <v>1790</v>
      </c>
      <c r="C4464" s="3" t="s">
        <v>53</v>
      </c>
      <c r="D4464" s="3" t="s">
        <v>107</v>
      </c>
      <c r="E4464" s="3" t="s">
        <v>33</v>
      </c>
      <c r="F4464" s="3" t="s">
        <v>70</v>
      </c>
      <c r="G4464" s="3" t="s">
        <v>84</v>
      </c>
      <c r="H4464" s="3" t="s">
        <v>56</v>
      </c>
      <c r="I4464" s="3" t="s">
        <v>57</v>
      </c>
      <c r="J4464" s="3" t="n">
        <v>4</v>
      </c>
      <c r="K4464" s="3" t="n">
        <v>14045.06</v>
      </c>
      <c r="L4464" s="3" t="n">
        <v>56180.24</v>
      </c>
      <c r="M4464" s="3" t="n">
        <v>0.074</v>
      </c>
      <c r="N4464" s="3" t="n">
        <v>4157.34</v>
      </c>
      <c r="O4464" s="3" t="n">
        <v>52022.9</v>
      </c>
      <c r="P4464" s="3" t="n">
        <v>33708.14</v>
      </c>
      <c r="Q4464" s="3" t="n">
        <v>18314.76</v>
      </c>
      <c r="R4464" s="3" t="n">
        <v>0.3521</v>
      </c>
      <c r="S4464" s="3" t="n">
        <v>0.0744</v>
      </c>
      <c r="T4464" s="3" t="n">
        <v>-0.0004</v>
      </c>
    </row>
    <row r="4465" customFormat="false" ht="15" hidden="false" customHeight="true" outlineLevel="0" collapsed="false">
      <c r="A4465" s="3" t="s">
        <v>5632</v>
      </c>
      <c r="B4465" s="3" t="s">
        <v>368</v>
      </c>
      <c r="C4465" s="3" t="s">
        <v>126</v>
      </c>
      <c r="D4465" s="3" t="s">
        <v>75</v>
      </c>
      <c r="E4465" s="3" t="s">
        <v>39</v>
      </c>
      <c r="F4465" s="3" t="s">
        <v>25</v>
      </c>
      <c r="G4465" s="3" t="s">
        <v>34</v>
      </c>
      <c r="H4465" s="3" t="s">
        <v>56</v>
      </c>
      <c r="I4465" s="3" t="s">
        <v>57</v>
      </c>
      <c r="J4465" s="3" t="n">
        <v>41</v>
      </c>
      <c r="K4465" s="3" t="n">
        <v>4092.84</v>
      </c>
      <c r="L4465" s="3" t="n">
        <v>167806.44</v>
      </c>
      <c r="M4465" s="3" t="n">
        <v>0.2093</v>
      </c>
      <c r="N4465" s="3" t="n">
        <v>35121.89</v>
      </c>
      <c r="O4465" s="3" t="n">
        <v>132684.55</v>
      </c>
      <c r="P4465" s="3" t="n">
        <v>100683.86</v>
      </c>
      <c r="Q4465" s="3" t="n">
        <v>32000.69</v>
      </c>
      <c r="R4465" s="3" t="n">
        <v>0.2412</v>
      </c>
      <c r="S4465" s="3" t="n">
        <v>0.1931</v>
      </c>
      <c r="T4465" s="3" t="n">
        <v>0.0162</v>
      </c>
    </row>
    <row r="4466" customFormat="false" ht="15" hidden="false" customHeight="true" outlineLevel="0" collapsed="false">
      <c r="A4466" s="3" t="s">
        <v>5633</v>
      </c>
      <c r="B4466" s="3" t="s">
        <v>138</v>
      </c>
      <c r="C4466" s="3" t="s">
        <v>22</v>
      </c>
      <c r="D4466" s="3" t="s">
        <v>47</v>
      </c>
      <c r="E4466" s="3" t="s">
        <v>48</v>
      </c>
      <c r="F4466" s="3" t="s">
        <v>25</v>
      </c>
      <c r="G4466" s="3" t="s">
        <v>76</v>
      </c>
      <c r="H4466" s="3" t="s">
        <v>77</v>
      </c>
      <c r="I4466" s="3" t="s">
        <v>85</v>
      </c>
      <c r="J4466" s="3" t="n">
        <v>29</v>
      </c>
      <c r="K4466" s="3" t="n">
        <v>3175.25</v>
      </c>
      <c r="L4466" s="3" t="n">
        <v>92082.25</v>
      </c>
      <c r="M4466" s="3" t="n">
        <v>0.1443</v>
      </c>
      <c r="N4466" s="3" t="n">
        <v>13287.47</v>
      </c>
      <c r="O4466" s="3" t="n">
        <v>78794.78</v>
      </c>
      <c r="P4466" s="3" t="n">
        <v>62615.93</v>
      </c>
      <c r="Q4466" s="3" t="n">
        <v>16178.85</v>
      </c>
      <c r="R4466" s="3" t="n">
        <v>0.2053</v>
      </c>
      <c r="S4466" s="3" t="n">
        <v>0.1379</v>
      </c>
      <c r="T4466" s="3" t="n">
        <v>0.0064</v>
      </c>
    </row>
    <row r="4467" customFormat="false" ht="15" hidden="false" customHeight="true" outlineLevel="0" collapsed="false">
      <c r="A4467" s="3" t="s">
        <v>5634</v>
      </c>
      <c r="B4467" s="3" t="s">
        <v>3168</v>
      </c>
      <c r="C4467" s="3" t="s">
        <v>37</v>
      </c>
      <c r="D4467" s="3" t="s">
        <v>38</v>
      </c>
      <c r="E4467" s="3" t="s">
        <v>39</v>
      </c>
      <c r="F4467" s="3" t="s">
        <v>40</v>
      </c>
      <c r="G4467" s="3" t="s">
        <v>34</v>
      </c>
      <c r="H4467" s="3" t="s">
        <v>56</v>
      </c>
      <c r="I4467" s="3" t="s">
        <v>57</v>
      </c>
      <c r="J4467" s="3" t="n">
        <v>48</v>
      </c>
      <c r="K4467" s="3" t="n">
        <v>13481.27</v>
      </c>
      <c r="L4467" s="3" t="n">
        <v>647100.96</v>
      </c>
      <c r="M4467" s="3" t="n">
        <v>0.1309</v>
      </c>
      <c r="N4467" s="3" t="n">
        <v>84705.52</v>
      </c>
      <c r="O4467" s="3" t="n">
        <v>562395.44</v>
      </c>
      <c r="P4467" s="3" t="n">
        <v>388260.58</v>
      </c>
      <c r="Q4467" s="3" t="n">
        <v>174134.86</v>
      </c>
      <c r="R4467" s="3" t="n">
        <v>0.3096</v>
      </c>
      <c r="S4467" s="3" t="n">
        <v>0.129</v>
      </c>
      <c r="T4467" s="3" t="n">
        <v>0.0019</v>
      </c>
    </row>
    <row r="4468" customFormat="false" ht="15" hidden="false" customHeight="true" outlineLevel="0" collapsed="false">
      <c r="A4468" s="3" t="s">
        <v>5635</v>
      </c>
      <c r="B4468" s="3" t="s">
        <v>435</v>
      </c>
      <c r="C4468" s="3" t="s">
        <v>31</v>
      </c>
      <c r="D4468" s="3" t="s">
        <v>54</v>
      </c>
      <c r="E4468" s="3" t="s">
        <v>24</v>
      </c>
      <c r="F4468" s="3" t="s">
        <v>40</v>
      </c>
      <c r="G4468" s="3" t="s">
        <v>41</v>
      </c>
      <c r="H4468" s="3" t="s">
        <v>42</v>
      </c>
      <c r="I4468" s="3" t="s">
        <v>72</v>
      </c>
      <c r="J4468" s="3" t="n">
        <v>5</v>
      </c>
      <c r="K4468" s="3" t="n">
        <v>2964.92</v>
      </c>
      <c r="L4468" s="3" t="n">
        <v>14824.6</v>
      </c>
      <c r="M4468" s="3" t="n">
        <v>0.0781</v>
      </c>
      <c r="N4468" s="3" t="n">
        <v>1157.8</v>
      </c>
      <c r="O4468" s="3" t="n">
        <v>13666.8</v>
      </c>
      <c r="P4468" s="3" t="n">
        <v>8153.53</v>
      </c>
      <c r="Q4468" s="3" t="n">
        <v>5513.27</v>
      </c>
      <c r="R4468" s="3" t="n">
        <v>0.4034</v>
      </c>
      <c r="S4468" s="3" t="n">
        <v>0.0666</v>
      </c>
      <c r="T4468" s="3" t="n">
        <v>0.0115</v>
      </c>
    </row>
    <row r="4469" customFormat="false" ht="15" hidden="false" customHeight="true" outlineLevel="0" collapsed="false">
      <c r="A4469" s="3" t="s">
        <v>5636</v>
      </c>
      <c r="B4469" s="3" t="s">
        <v>506</v>
      </c>
      <c r="C4469" s="3" t="s">
        <v>60</v>
      </c>
      <c r="D4469" s="3" t="s">
        <v>23</v>
      </c>
      <c r="E4469" s="3" t="s">
        <v>24</v>
      </c>
      <c r="F4469" s="3" t="s">
        <v>25</v>
      </c>
      <c r="G4469" s="3" t="s">
        <v>104</v>
      </c>
      <c r="H4469" s="3" t="s">
        <v>42</v>
      </c>
      <c r="I4469" s="3" t="s">
        <v>72</v>
      </c>
      <c r="J4469" s="3" t="n">
        <v>18</v>
      </c>
      <c r="K4469" s="3" t="n">
        <v>805.85</v>
      </c>
      <c r="L4469" s="3" t="n">
        <v>14505.3</v>
      </c>
      <c r="M4469" s="3" t="n">
        <v>0.1754</v>
      </c>
      <c r="N4469" s="3" t="n">
        <v>2544.23</v>
      </c>
      <c r="O4469" s="3" t="n">
        <v>11961.07</v>
      </c>
      <c r="P4469" s="3" t="n">
        <v>7977.92</v>
      </c>
      <c r="Q4469" s="3" t="n">
        <v>3983.15</v>
      </c>
      <c r="R4469" s="3" t="n">
        <v>0.333</v>
      </c>
      <c r="S4469" s="3" t="n">
        <v>0.1614</v>
      </c>
      <c r="T4469" s="3" t="n">
        <v>0.014</v>
      </c>
    </row>
    <row r="4470" customFormat="false" ht="15" hidden="false" customHeight="true" outlineLevel="0" collapsed="false">
      <c r="A4470" s="3" t="s">
        <v>5637</v>
      </c>
      <c r="B4470" s="3" t="s">
        <v>5015</v>
      </c>
      <c r="C4470" s="3" t="s">
        <v>68</v>
      </c>
      <c r="D4470" s="3" t="s">
        <v>69</v>
      </c>
      <c r="E4470" s="3" t="s">
        <v>39</v>
      </c>
      <c r="F4470" s="3" t="s">
        <v>70</v>
      </c>
      <c r="G4470" s="3" t="s">
        <v>63</v>
      </c>
      <c r="H4470" s="3" t="s">
        <v>56</v>
      </c>
      <c r="I4470" s="3" t="s">
        <v>121</v>
      </c>
      <c r="J4470" s="3" t="n">
        <v>23</v>
      </c>
      <c r="K4470" s="3" t="n">
        <v>16133.46</v>
      </c>
      <c r="L4470" s="3" t="n">
        <v>371069.58</v>
      </c>
      <c r="M4470" s="3" t="n">
        <v>0.0446</v>
      </c>
      <c r="N4470" s="3" t="n">
        <v>16549.7</v>
      </c>
      <c r="O4470" s="3" t="n">
        <v>354519.88</v>
      </c>
      <c r="P4470" s="3" t="n">
        <v>222641.75</v>
      </c>
      <c r="Q4470" s="3" t="n">
        <v>131878.13</v>
      </c>
      <c r="R4470" s="3" t="n">
        <v>0.372</v>
      </c>
      <c r="S4470" s="3" t="n">
        <v>0.0448</v>
      </c>
      <c r="T4470" s="3" t="n">
        <v>-0.0002</v>
      </c>
    </row>
    <row r="4471" customFormat="false" ht="15" hidden="false" customHeight="true" outlineLevel="0" collapsed="false">
      <c r="A4471" s="3" t="s">
        <v>5638</v>
      </c>
      <c r="B4471" s="3" t="s">
        <v>2741</v>
      </c>
      <c r="C4471" s="3" t="s">
        <v>60</v>
      </c>
      <c r="D4471" s="3" t="s">
        <v>38</v>
      </c>
      <c r="E4471" s="3" t="s">
        <v>39</v>
      </c>
      <c r="F4471" s="3" t="s">
        <v>40</v>
      </c>
      <c r="G4471" s="3" t="s">
        <v>100</v>
      </c>
      <c r="H4471" s="3" t="s">
        <v>27</v>
      </c>
      <c r="I4471" s="3" t="s">
        <v>173</v>
      </c>
      <c r="J4471" s="3" t="n">
        <v>10</v>
      </c>
      <c r="K4471" s="3" t="n">
        <v>28065.41</v>
      </c>
      <c r="L4471" s="3" t="n">
        <v>280654.1</v>
      </c>
      <c r="M4471" s="3" t="n">
        <v>0.0705</v>
      </c>
      <c r="N4471" s="3" t="n">
        <v>19786.11</v>
      </c>
      <c r="O4471" s="3" t="n">
        <v>260867.99</v>
      </c>
      <c r="P4471" s="3" t="n">
        <v>174005.54</v>
      </c>
      <c r="Q4471" s="3" t="n">
        <v>86862.45</v>
      </c>
      <c r="R4471" s="3" t="n">
        <v>0.333</v>
      </c>
      <c r="S4471" s="3" t="n">
        <v>0.0568</v>
      </c>
      <c r="T4471" s="3" t="n">
        <v>0.0137</v>
      </c>
    </row>
    <row r="4472" customFormat="false" ht="15" hidden="false" customHeight="true" outlineLevel="0" collapsed="false">
      <c r="A4472" s="3" t="s">
        <v>5639</v>
      </c>
      <c r="B4472" s="3" t="s">
        <v>1268</v>
      </c>
      <c r="C4472" s="3" t="s">
        <v>31</v>
      </c>
      <c r="D4472" s="3" t="s">
        <v>107</v>
      </c>
      <c r="E4472" s="3" t="s">
        <v>33</v>
      </c>
      <c r="F4472" s="3" t="s">
        <v>70</v>
      </c>
      <c r="G4472" s="3" t="s">
        <v>104</v>
      </c>
      <c r="H4472" s="3" t="s">
        <v>27</v>
      </c>
      <c r="I4472" s="3" t="s">
        <v>28</v>
      </c>
      <c r="J4472" s="3" t="n">
        <v>17</v>
      </c>
      <c r="K4472" s="3" t="n">
        <v>11117.35</v>
      </c>
      <c r="L4472" s="3" t="n">
        <v>188994.95</v>
      </c>
      <c r="M4472" s="3" t="n">
        <v>0.0916</v>
      </c>
      <c r="N4472" s="3" t="n">
        <v>17311.94</v>
      </c>
      <c r="O4472" s="3" t="n">
        <v>171683.01</v>
      </c>
      <c r="P4472" s="3" t="n">
        <v>117176.87</v>
      </c>
      <c r="Q4472" s="3" t="n">
        <v>54506.14</v>
      </c>
      <c r="R4472" s="3" t="n">
        <v>0.3175</v>
      </c>
      <c r="S4472" s="3" t="n">
        <v>0.0896</v>
      </c>
      <c r="T4472" s="3" t="n">
        <v>0.002</v>
      </c>
    </row>
    <row r="4473" customFormat="false" ht="15" hidden="false" customHeight="true" outlineLevel="0" collapsed="false">
      <c r="A4473" s="3" t="s">
        <v>5640</v>
      </c>
      <c r="B4473" s="3" t="s">
        <v>2697</v>
      </c>
      <c r="C4473" s="3" t="s">
        <v>156</v>
      </c>
      <c r="D4473" s="3" t="s">
        <v>47</v>
      </c>
      <c r="E4473" s="3" t="s">
        <v>48</v>
      </c>
      <c r="F4473" s="3" t="s">
        <v>25</v>
      </c>
      <c r="G4473" s="3" t="s">
        <v>116</v>
      </c>
      <c r="H4473" s="3" t="s">
        <v>64</v>
      </c>
      <c r="I4473" s="3" t="s">
        <v>145</v>
      </c>
      <c r="J4473" s="3" t="n">
        <v>21</v>
      </c>
      <c r="K4473" s="3" t="n">
        <v>5896.3</v>
      </c>
      <c r="L4473" s="3" t="n">
        <v>123822.3</v>
      </c>
      <c r="M4473" s="3" t="n">
        <v>0.1626</v>
      </c>
      <c r="N4473" s="3" t="n">
        <v>20133.51</v>
      </c>
      <c r="O4473" s="3" t="n">
        <v>103688.79</v>
      </c>
      <c r="P4473" s="3" t="n">
        <v>71816.93</v>
      </c>
      <c r="Q4473" s="3" t="n">
        <v>31871.86</v>
      </c>
      <c r="R4473" s="3" t="n">
        <v>0.3074</v>
      </c>
      <c r="S4473" s="3" t="n">
        <v>0.1576</v>
      </c>
      <c r="T4473" s="3" t="n">
        <v>0.005</v>
      </c>
    </row>
    <row r="4474" customFormat="false" ht="15" hidden="false" customHeight="true" outlineLevel="0" collapsed="false">
      <c r="A4474" s="3" t="s">
        <v>5641</v>
      </c>
      <c r="B4474" s="3" t="s">
        <v>1074</v>
      </c>
      <c r="C4474" s="3" t="s">
        <v>68</v>
      </c>
      <c r="D4474" s="3" t="s">
        <v>47</v>
      </c>
      <c r="E4474" s="3" t="s">
        <v>48</v>
      </c>
      <c r="F4474" s="3" t="s">
        <v>25</v>
      </c>
      <c r="G4474" s="3" t="s">
        <v>71</v>
      </c>
      <c r="H4474" s="3" t="s">
        <v>77</v>
      </c>
      <c r="I4474" s="3" t="s">
        <v>131</v>
      </c>
      <c r="J4474" s="3" t="n">
        <v>43</v>
      </c>
      <c r="K4474" s="3" t="n">
        <v>4546.97</v>
      </c>
      <c r="L4474" s="3" t="n">
        <v>195519.71</v>
      </c>
      <c r="M4474" s="3" t="n">
        <v>0.1207</v>
      </c>
      <c r="N4474" s="3" t="n">
        <v>23599.23</v>
      </c>
      <c r="O4474" s="3" t="n">
        <v>171920.48</v>
      </c>
      <c r="P4474" s="3" t="n">
        <v>132953.4</v>
      </c>
      <c r="Q4474" s="3" t="n">
        <v>38967.08</v>
      </c>
      <c r="R4474" s="3" t="n">
        <v>0.2267</v>
      </c>
      <c r="S4474" s="3" t="n">
        <v>0.0968</v>
      </c>
      <c r="T4474" s="3" t="n">
        <v>0.0239</v>
      </c>
    </row>
    <row r="4475" customFormat="false" ht="15" hidden="false" customHeight="true" outlineLevel="0" collapsed="false">
      <c r="A4475" s="3" t="s">
        <v>5642</v>
      </c>
      <c r="B4475" s="3" t="s">
        <v>1971</v>
      </c>
      <c r="C4475" s="3" t="s">
        <v>126</v>
      </c>
      <c r="D4475" s="3" t="s">
        <v>97</v>
      </c>
      <c r="E4475" s="3" t="s">
        <v>48</v>
      </c>
      <c r="F4475" s="3" t="s">
        <v>40</v>
      </c>
      <c r="G4475" s="3" t="s">
        <v>49</v>
      </c>
      <c r="H4475" s="3" t="s">
        <v>42</v>
      </c>
      <c r="I4475" s="3" t="s">
        <v>72</v>
      </c>
      <c r="J4475" s="3" t="n">
        <v>31</v>
      </c>
      <c r="K4475" s="3" t="n">
        <v>2301.96</v>
      </c>
      <c r="L4475" s="3" t="n">
        <v>71360.76</v>
      </c>
      <c r="M4475" s="3" t="n">
        <v>0.075</v>
      </c>
      <c r="N4475" s="3" t="n">
        <v>5352.06</v>
      </c>
      <c r="O4475" s="3" t="n">
        <v>66008.7</v>
      </c>
      <c r="P4475" s="3" t="n">
        <v>39248.42</v>
      </c>
      <c r="Q4475" s="3" t="n">
        <v>26760.28</v>
      </c>
      <c r="R4475" s="3" t="n">
        <v>0.4054</v>
      </c>
      <c r="S4475" s="3" t="n">
        <v>0.0635</v>
      </c>
      <c r="T4475" s="3" t="n">
        <v>0.0115</v>
      </c>
    </row>
    <row r="4476" customFormat="false" ht="15" hidden="false" customHeight="true" outlineLevel="0" collapsed="false">
      <c r="A4476" s="3" t="s">
        <v>5643</v>
      </c>
      <c r="B4476" s="3" t="s">
        <v>153</v>
      </c>
      <c r="C4476" s="3" t="s">
        <v>31</v>
      </c>
      <c r="D4476" s="3" t="s">
        <v>75</v>
      </c>
      <c r="E4476" s="3" t="s">
        <v>39</v>
      </c>
      <c r="F4476" s="3" t="s">
        <v>25</v>
      </c>
      <c r="G4476" s="3" t="s">
        <v>71</v>
      </c>
      <c r="H4476" s="3" t="s">
        <v>77</v>
      </c>
      <c r="I4476" s="3" t="s">
        <v>85</v>
      </c>
      <c r="J4476" s="3" t="n">
        <v>47</v>
      </c>
      <c r="K4476" s="3" t="n">
        <v>2606.39</v>
      </c>
      <c r="L4476" s="3" t="n">
        <v>122500.33</v>
      </c>
      <c r="M4476" s="3" t="n">
        <v>0.1813</v>
      </c>
      <c r="N4476" s="3" t="n">
        <v>22209.31</v>
      </c>
      <c r="O4476" s="3" t="n">
        <v>100291.02</v>
      </c>
      <c r="P4476" s="3" t="n">
        <v>83300.22</v>
      </c>
      <c r="Q4476" s="3" t="n">
        <v>16990.8</v>
      </c>
      <c r="R4476" s="3" t="n">
        <v>0.1694</v>
      </c>
      <c r="S4476" s="3" t="n">
        <v>0.1641</v>
      </c>
      <c r="T4476" s="3" t="n">
        <v>0.0172</v>
      </c>
    </row>
    <row r="4477" customFormat="false" ht="15" hidden="false" customHeight="true" outlineLevel="0" collapsed="false">
      <c r="A4477" s="3" t="s">
        <v>5644</v>
      </c>
      <c r="B4477" s="3" t="s">
        <v>838</v>
      </c>
      <c r="C4477" s="3" t="s">
        <v>93</v>
      </c>
      <c r="D4477" s="3" t="s">
        <v>23</v>
      </c>
      <c r="E4477" s="3" t="s">
        <v>24</v>
      </c>
      <c r="F4477" s="3" t="s">
        <v>25</v>
      </c>
      <c r="G4477" s="3" t="s">
        <v>100</v>
      </c>
      <c r="H4477" s="3" t="s">
        <v>64</v>
      </c>
      <c r="I4477" s="3" t="s">
        <v>145</v>
      </c>
      <c r="J4477" s="3" t="n">
        <v>3</v>
      </c>
      <c r="K4477" s="3" t="n">
        <v>4785.37</v>
      </c>
      <c r="L4477" s="3" t="n">
        <v>14356.11</v>
      </c>
      <c r="M4477" s="3" t="n">
        <v>0.1451</v>
      </c>
      <c r="N4477" s="3" t="n">
        <v>2083.07</v>
      </c>
      <c r="O4477" s="3" t="n">
        <v>12273.04</v>
      </c>
      <c r="P4477" s="3" t="n">
        <v>8326.54</v>
      </c>
      <c r="Q4477" s="3" t="n">
        <v>3946.5</v>
      </c>
      <c r="R4477" s="3" t="n">
        <v>0.3216</v>
      </c>
      <c r="S4477" s="3" t="n">
        <v>0.1215</v>
      </c>
      <c r="T4477" s="3" t="n">
        <v>0.0236</v>
      </c>
    </row>
    <row r="4478" customFormat="false" ht="15" hidden="false" customHeight="true" outlineLevel="0" collapsed="false">
      <c r="A4478" s="3" t="s">
        <v>5645</v>
      </c>
      <c r="B4478" s="3" t="s">
        <v>1278</v>
      </c>
      <c r="C4478" s="3" t="s">
        <v>53</v>
      </c>
      <c r="D4478" s="3" t="s">
        <v>83</v>
      </c>
      <c r="E4478" s="3" t="s">
        <v>48</v>
      </c>
      <c r="F4478" s="3" t="s">
        <v>62</v>
      </c>
      <c r="G4478" s="3" t="s">
        <v>116</v>
      </c>
      <c r="H4478" s="3" t="s">
        <v>64</v>
      </c>
      <c r="I4478" s="3" t="s">
        <v>145</v>
      </c>
      <c r="J4478" s="3" t="n">
        <v>14</v>
      </c>
      <c r="K4478" s="3" t="n">
        <v>4620.37</v>
      </c>
      <c r="L4478" s="3" t="n">
        <v>64685.18</v>
      </c>
      <c r="M4478" s="3" t="n">
        <v>0.1035</v>
      </c>
      <c r="N4478" s="3" t="n">
        <v>6694.92</v>
      </c>
      <c r="O4478" s="3" t="n">
        <v>57990.26</v>
      </c>
      <c r="P4478" s="3" t="n">
        <v>37517.4</v>
      </c>
      <c r="Q4478" s="3" t="n">
        <v>20472.86</v>
      </c>
      <c r="R4478" s="3" t="n">
        <v>0.353</v>
      </c>
      <c r="S4478" s="3" t="n">
        <v>0.0929</v>
      </c>
      <c r="T4478" s="3" t="n">
        <v>0.0106</v>
      </c>
    </row>
    <row r="4479" customFormat="false" ht="15" hidden="false" customHeight="true" outlineLevel="0" collapsed="false">
      <c r="A4479" s="3" t="s">
        <v>5646</v>
      </c>
      <c r="B4479" s="3" t="s">
        <v>950</v>
      </c>
      <c r="C4479" s="3" t="s">
        <v>120</v>
      </c>
      <c r="D4479" s="3" t="s">
        <v>47</v>
      </c>
      <c r="E4479" s="3" t="s">
        <v>48</v>
      </c>
      <c r="F4479" s="3" t="s">
        <v>25</v>
      </c>
      <c r="G4479" s="3" t="s">
        <v>71</v>
      </c>
      <c r="H4479" s="3" t="s">
        <v>77</v>
      </c>
      <c r="I4479" s="3" t="s">
        <v>78</v>
      </c>
      <c r="J4479" s="3" t="n">
        <v>31</v>
      </c>
      <c r="K4479" s="3" t="n">
        <v>3347.98</v>
      </c>
      <c r="L4479" s="3" t="n">
        <v>103787.38</v>
      </c>
      <c r="M4479" s="3" t="n">
        <v>0.1119</v>
      </c>
      <c r="N4479" s="3" t="n">
        <v>11613.81</v>
      </c>
      <c r="O4479" s="3" t="n">
        <v>92173.57</v>
      </c>
      <c r="P4479" s="3" t="n">
        <v>70575.42</v>
      </c>
      <c r="Q4479" s="3" t="n">
        <v>21598.15</v>
      </c>
      <c r="R4479" s="3" t="n">
        <v>0.2343</v>
      </c>
      <c r="S4479" s="3" t="n">
        <v>0.1025</v>
      </c>
      <c r="T4479" s="3" t="n">
        <v>0.0094</v>
      </c>
    </row>
    <row r="4480" customFormat="false" ht="15" hidden="false" customHeight="true" outlineLevel="0" collapsed="false">
      <c r="A4480" s="3" t="s">
        <v>5647</v>
      </c>
      <c r="B4480" s="3" t="s">
        <v>149</v>
      </c>
      <c r="C4480" s="3" t="s">
        <v>126</v>
      </c>
      <c r="D4480" s="3" t="s">
        <v>103</v>
      </c>
      <c r="E4480" s="3" t="s">
        <v>24</v>
      </c>
      <c r="F4480" s="3" t="s">
        <v>62</v>
      </c>
      <c r="G4480" s="3" t="s">
        <v>49</v>
      </c>
      <c r="H4480" s="3" t="s">
        <v>56</v>
      </c>
      <c r="I4480" s="3" t="s">
        <v>57</v>
      </c>
      <c r="J4480" s="3" t="n">
        <v>43</v>
      </c>
      <c r="K4480" s="3" t="n">
        <v>2769.41</v>
      </c>
      <c r="L4480" s="3" t="n">
        <v>119084.63</v>
      </c>
      <c r="M4480" s="3" t="n">
        <v>0.0335</v>
      </c>
      <c r="N4480" s="3" t="n">
        <v>3989.34</v>
      </c>
      <c r="O4480" s="3" t="n">
        <v>115095.29</v>
      </c>
      <c r="P4480" s="3" t="n">
        <v>71450.78</v>
      </c>
      <c r="Q4480" s="3" t="n">
        <v>43644.51</v>
      </c>
      <c r="R4480" s="3" t="n">
        <v>0.3792</v>
      </c>
      <c r="S4480" s="3" t="n">
        <v>0.0339</v>
      </c>
      <c r="T4480" s="3" t="n">
        <v>-0.0004</v>
      </c>
    </row>
    <row r="4481" customFormat="false" ht="15" hidden="false" customHeight="true" outlineLevel="0" collapsed="false">
      <c r="A4481" s="3" t="s">
        <v>5648</v>
      </c>
      <c r="B4481" s="3" t="s">
        <v>3990</v>
      </c>
      <c r="C4481" s="3" t="s">
        <v>113</v>
      </c>
      <c r="D4481" s="3" t="s">
        <v>38</v>
      </c>
      <c r="E4481" s="3" t="s">
        <v>39</v>
      </c>
      <c r="F4481" s="3" t="s">
        <v>40</v>
      </c>
      <c r="G4481" s="3" t="s">
        <v>116</v>
      </c>
      <c r="H4481" s="3" t="s">
        <v>77</v>
      </c>
      <c r="I4481" s="3" t="s">
        <v>85</v>
      </c>
      <c r="J4481" s="3" t="n">
        <v>31</v>
      </c>
      <c r="K4481" s="3" t="n">
        <v>2432.45</v>
      </c>
      <c r="L4481" s="3" t="n">
        <v>75405.95</v>
      </c>
      <c r="M4481" s="3" t="n">
        <v>0.0986</v>
      </c>
      <c r="N4481" s="3" t="n">
        <v>7435.03</v>
      </c>
      <c r="O4481" s="3" t="n">
        <v>67970.92</v>
      </c>
      <c r="P4481" s="3" t="n">
        <v>51276.05</v>
      </c>
      <c r="Q4481" s="3" t="n">
        <v>16694.87</v>
      </c>
      <c r="R4481" s="3" t="n">
        <v>0.2456</v>
      </c>
      <c r="S4481" s="3" t="n">
        <v>0.1046</v>
      </c>
      <c r="T4481" s="3" t="n">
        <v>-0.006</v>
      </c>
    </row>
    <row r="4482" customFormat="false" ht="15" hidden="false" customHeight="true" outlineLevel="0" collapsed="false">
      <c r="A4482" s="3" t="s">
        <v>5649</v>
      </c>
      <c r="B4482" s="3" t="s">
        <v>3498</v>
      </c>
      <c r="C4482" s="3" t="s">
        <v>46</v>
      </c>
      <c r="D4482" s="3" t="s">
        <v>32</v>
      </c>
      <c r="E4482" s="3" t="s">
        <v>33</v>
      </c>
      <c r="F4482" s="3" t="s">
        <v>25</v>
      </c>
      <c r="G4482" s="3" t="s">
        <v>71</v>
      </c>
      <c r="H4482" s="3" t="s">
        <v>77</v>
      </c>
      <c r="I4482" s="3" t="s">
        <v>131</v>
      </c>
      <c r="J4482" s="3" t="n">
        <v>39</v>
      </c>
      <c r="K4482" s="3" t="n">
        <v>5958.17</v>
      </c>
      <c r="L4482" s="3" t="n">
        <v>232368.63</v>
      </c>
      <c r="M4482" s="3" t="n">
        <v>0.1392</v>
      </c>
      <c r="N4482" s="3" t="n">
        <v>32345.71</v>
      </c>
      <c r="O4482" s="3" t="n">
        <v>200022.92</v>
      </c>
      <c r="P4482" s="3" t="n">
        <v>158010.67</v>
      </c>
      <c r="Q4482" s="3" t="n">
        <v>42012.25</v>
      </c>
      <c r="R4482" s="3" t="n">
        <v>0.21</v>
      </c>
      <c r="S4482" s="3" t="n">
        <v>0.1277</v>
      </c>
      <c r="T4482" s="3" t="n">
        <v>0.0115</v>
      </c>
    </row>
    <row r="4483" customFormat="false" ht="15" hidden="false" customHeight="true" outlineLevel="0" collapsed="false">
      <c r="A4483" s="3" t="s">
        <v>5650</v>
      </c>
      <c r="B4483" s="3" t="s">
        <v>740</v>
      </c>
      <c r="C4483" s="3" t="s">
        <v>120</v>
      </c>
      <c r="D4483" s="3" t="s">
        <v>97</v>
      </c>
      <c r="E4483" s="3" t="s">
        <v>48</v>
      </c>
      <c r="F4483" s="3" t="s">
        <v>40</v>
      </c>
      <c r="G4483" s="3" t="s">
        <v>84</v>
      </c>
      <c r="H4483" s="3" t="s">
        <v>77</v>
      </c>
      <c r="I4483" s="3" t="s">
        <v>85</v>
      </c>
      <c r="J4483" s="3" t="n">
        <v>18</v>
      </c>
      <c r="K4483" s="3" t="n">
        <v>5196.12</v>
      </c>
      <c r="L4483" s="3" t="n">
        <v>93530.16</v>
      </c>
      <c r="M4483" s="3" t="n">
        <v>0.0537</v>
      </c>
      <c r="N4483" s="3" t="n">
        <v>5022.57</v>
      </c>
      <c r="O4483" s="3" t="n">
        <v>88507.59</v>
      </c>
      <c r="P4483" s="3" t="n">
        <v>63600.51</v>
      </c>
      <c r="Q4483" s="3" t="n">
        <v>24907.08</v>
      </c>
      <c r="R4483" s="3" t="n">
        <v>0.2814</v>
      </c>
      <c r="S4483" s="3" t="n">
        <v>0.0504</v>
      </c>
      <c r="T4483" s="3" t="n">
        <v>0.0033</v>
      </c>
    </row>
    <row r="4484" customFormat="false" ht="15" hidden="false" customHeight="true" outlineLevel="0" collapsed="false">
      <c r="A4484" s="3" t="s">
        <v>5651</v>
      </c>
      <c r="B4484" s="3" t="s">
        <v>5503</v>
      </c>
      <c r="C4484" s="3" t="s">
        <v>22</v>
      </c>
      <c r="D4484" s="3" t="s">
        <v>75</v>
      </c>
      <c r="E4484" s="3" t="s">
        <v>39</v>
      </c>
      <c r="F4484" s="3" t="s">
        <v>25</v>
      </c>
      <c r="G4484" s="3" t="s">
        <v>49</v>
      </c>
      <c r="H4484" s="3" t="s">
        <v>42</v>
      </c>
      <c r="I4484" s="3" t="s">
        <v>43</v>
      </c>
      <c r="J4484" s="3" t="n">
        <v>33</v>
      </c>
      <c r="K4484" s="3" t="n">
        <v>1865.17</v>
      </c>
      <c r="L4484" s="3" t="n">
        <v>61550.61</v>
      </c>
      <c r="M4484" s="3" t="n">
        <v>0.1224</v>
      </c>
      <c r="N4484" s="3" t="n">
        <v>7533.79</v>
      </c>
      <c r="O4484" s="3" t="n">
        <v>54016.82</v>
      </c>
      <c r="P4484" s="3" t="n">
        <v>33852.84</v>
      </c>
      <c r="Q4484" s="3" t="n">
        <v>20163.98</v>
      </c>
      <c r="R4484" s="3" t="n">
        <v>0.3733</v>
      </c>
      <c r="S4484" s="3" t="n">
        <v>0.1059</v>
      </c>
      <c r="T4484" s="3" t="n">
        <v>0.0165</v>
      </c>
    </row>
    <row r="4485" customFormat="false" ht="15" hidden="false" customHeight="true" outlineLevel="0" collapsed="false">
      <c r="A4485" s="3" t="s">
        <v>5652</v>
      </c>
      <c r="B4485" s="3" t="s">
        <v>1180</v>
      </c>
      <c r="C4485" s="3" t="s">
        <v>37</v>
      </c>
      <c r="D4485" s="3" t="s">
        <v>103</v>
      </c>
      <c r="E4485" s="3" t="s">
        <v>24</v>
      </c>
      <c r="F4485" s="3" t="s">
        <v>62</v>
      </c>
      <c r="G4485" s="3" t="s">
        <v>55</v>
      </c>
      <c r="H4485" s="3" t="s">
        <v>64</v>
      </c>
      <c r="I4485" s="3" t="s">
        <v>90</v>
      </c>
      <c r="J4485" s="3" t="n">
        <v>10</v>
      </c>
      <c r="K4485" s="3" t="n">
        <v>6345.43</v>
      </c>
      <c r="L4485" s="3" t="n">
        <v>63454.3</v>
      </c>
      <c r="M4485" s="3" t="n">
        <v>0.0742</v>
      </c>
      <c r="N4485" s="3" t="n">
        <v>4708.31</v>
      </c>
      <c r="O4485" s="3" t="n">
        <v>58745.99</v>
      </c>
      <c r="P4485" s="3" t="n">
        <v>36803.49</v>
      </c>
      <c r="Q4485" s="3" t="n">
        <v>21942.5</v>
      </c>
      <c r="R4485" s="3" t="n">
        <v>0.3735</v>
      </c>
      <c r="S4485" s="3" t="n">
        <v>0.0712</v>
      </c>
      <c r="T4485" s="3" t="n">
        <v>0.003</v>
      </c>
    </row>
    <row r="4486" customFormat="false" ht="15" hidden="false" customHeight="true" outlineLevel="0" collapsed="false">
      <c r="A4486" s="3" t="s">
        <v>5653</v>
      </c>
      <c r="B4486" s="3" t="s">
        <v>183</v>
      </c>
      <c r="C4486" s="3" t="s">
        <v>120</v>
      </c>
      <c r="D4486" s="3" t="s">
        <v>97</v>
      </c>
      <c r="E4486" s="3" t="s">
        <v>48</v>
      </c>
      <c r="F4486" s="3" t="s">
        <v>40</v>
      </c>
      <c r="G4486" s="3" t="s">
        <v>34</v>
      </c>
      <c r="H4486" s="3" t="s">
        <v>77</v>
      </c>
      <c r="I4486" s="3" t="s">
        <v>78</v>
      </c>
      <c r="J4486" s="3" t="n">
        <v>1</v>
      </c>
      <c r="K4486" s="3" t="n">
        <v>2736.84</v>
      </c>
      <c r="L4486" s="3" t="n">
        <v>2736.84</v>
      </c>
      <c r="M4486" s="3" t="n">
        <v>0.0961</v>
      </c>
      <c r="N4486" s="3" t="n">
        <v>263.01</v>
      </c>
      <c r="O4486" s="3" t="n">
        <v>2473.83</v>
      </c>
      <c r="P4486" s="3" t="n">
        <v>1861.05</v>
      </c>
      <c r="Q4486" s="3" t="n">
        <v>612.78</v>
      </c>
      <c r="R4486" s="3" t="n">
        <v>0.2477</v>
      </c>
      <c r="S4486" s="3" t="n">
        <v>0.0984</v>
      </c>
      <c r="T4486" s="3" t="n">
        <v>-0.0023</v>
      </c>
    </row>
    <row r="4487" customFormat="false" ht="15" hidden="false" customHeight="true" outlineLevel="0" collapsed="false">
      <c r="A4487" s="3" t="s">
        <v>5654</v>
      </c>
      <c r="B4487" s="3" t="s">
        <v>4468</v>
      </c>
      <c r="C4487" s="3" t="s">
        <v>46</v>
      </c>
      <c r="D4487" s="3" t="s">
        <v>23</v>
      </c>
      <c r="E4487" s="3" t="s">
        <v>24</v>
      </c>
      <c r="F4487" s="3" t="s">
        <v>25</v>
      </c>
      <c r="G4487" s="3" t="s">
        <v>100</v>
      </c>
      <c r="H4487" s="3" t="s">
        <v>77</v>
      </c>
      <c r="I4487" s="3" t="s">
        <v>131</v>
      </c>
      <c r="J4487" s="3" t="n">
        <v>42</v>
      </c>
      <c r="K4487" s="3" t="n">
        <v>4505.15</v>
      </c>
      <c r="L4487" s="3" t="n">
        <v>189216.3</v>
      </c>
      <c r="M4487" s="3" t="n">
        <v>0.1647</v>
      </c>
      <c r="N4487" s="3" t="n">
        <v>31163.92</v>
      </c>
      <c r="O4487" s="3" t="n">
        <v>158052.38</v>
      </c>
      <c r="P4487" s="3" t="n">
        <v>128667.08</v>
      </c>
      <c r="Q4487" s="3" t="n">
        <v>29385.3</v>
      </c>
      <c r="R4487" s="3" t="n">
        <v>0.1859</v>
      </c>
      <c r="S4487" s="3" t="n">
        <v>0.145</v>
      </c>
      <c r="T4487" s="3" t="n">
        <v>0.0197</v>
      </c>
    </row>
    <row r="4488" customFormat="false" ht="15" hidden="false" customHeight="true" outlineLevel="0" collapsed="false">
      <c r="A4488" s="3" t="s">
        <v>5655</v>
      </c>
      <c r="B4488" s="3" t="s">
        <v>45</v>
      </c>
      <c r="C4488" s="3" t="s">
        <v>46</v>
      </c>
      <c r="D4488" s="3" t="s">
        <v>97</v>
      </c>
      <c r="E4488" s="3" t="s">
        <v>48</v>
      </c>
      <c r="F4488" s="3" t="s">
        <v>40</v>
      </c>
      <c r="G4488" s="3" t="s">
        <v>71</v>
      </c>
      <c r="H4488" s="3" t="s">
        <v>77</v>
      </c>
      <c r="I4488" s="3" t="s">
        <v>85</v>
      </c>
      <c r="J4488" s="3" t="n">
        <v>5</v>
      </c>
      <c r="K4488" s="3" t="n">
        <v>5832.65</v>
      </c>
      <c r="L4488" s="3" t="n">
        <v>29163.25</v>
      </c>
      <c r="M4488" s="3" t="n">
        <v>0.0392</v>
      </c>
      <c r="N4488" s="3" t="n">
        <v>1143.2</v>
      </c>
      <c r="O4488" s="3" t="n">
        <v>28020.05</v>
      </c>
      <c r="P4488" s="3" t="n">
        <v>19831.01</v>
      </c>
      <c r="Q4488" s="3" t="n">
        <v>8189.04</v>
      </c>
      <c r="R4488" s="3" t="n">
        <v>0.2923</v>
      </c>
      <c r="S4488" s="3" t="n">
        <v>0.0324</v>
      </c>
      <c r="T4488" s="3" t="n">
        <v>0.0068</v>
      </c>
    </row>
    <row r="4489" customFormat="false" ht="15" hidden="false" customHeight="true" outlineLevel="0" collapsed="false">
      <c r="A4489" s="3" t="s">
        <v>5656</v>
      </c>
      <c r="B4489" s="3" t="s">
        <v>722</v>
      </c>
      <c r="C4489" s="3" t="s">
        <v>46</v>
      </c>
      <c r="D4489" s="3" t="s">
        <v>38</v>
      </c>
      <c r="E4489" s="3" t="s">
        <v>39</v>
      </c>
      <c r="F4489" s="3" t="s">
        <v>40</v>
      </c>
      <c r="G4489" s="3" t="s">
        <v>71</v>
      </c>
      <c r="H4489" s="3" t="s">
        <v>56</v>
      </c>
      <c r="I4489" s="3" t="s">
        <v>188</v>
      </c>
      <c r="J4489" s="3" t="n">
        <v>16</v>
      </c>
      <c r="K4489" s="3" t="n">
        <v>8478.14</v>
      </c>
      <c r="L4489" s="3" t="n">
        <v>135650.24</v>
      </c>
      <c r="M4489" s="3" t="n">
        <v>0.0354</v>
      </c>
      <c r="N4489" s="3" t="n">
        <v>4802.02</v>
      </c>
      <c r="O4489" s="3" t="n">
        <v>130848.22</v>
      </c>
      <c r="P4489" s="3" t="n">
        <v>81390.14</v>
      </c>
      <c r="Q4489" s="3" t="n">
        <v>49458.08</v>
      </c>
      <c r="R4489" s="3" t="n">
        <v>0.378</v>
      </c>
      <c r="S4489" s="3" t="n">
        <v>0.0302</v>
      </c>
      <c r="T4489" s="3" t="n">
        <v>0.0052</v>
      </c>
    </row>
    <row r="4490" customFormat="false" ht="15" hidden="false" customHeight="true" outlineLevel="0" collapsed="false">
      <c r="A4490" s="3" t="s">
        <v>5657</v>
      </c>
      <c r="B4490" s="3" t="s">
        <v>1631</v>
      </c>
      <c r="C4490" s="3" t="s">
        <v>156</v>
      </c>
      <c r="D4490" s="3" t="s">
        <v>83</v>
      </c>
      <c r="E4490" s="3" t="s">
        <v>48</v>
      </c>
      <c r="F4490" s="3" t="s">
        <v>62</v>
      </c>
      <c r="G4490" s="3" t="s">
        <v>26</v>
      </c>
      <c r="H4490" s="3" t="s">
        <v>42</v>
      </c>
      <c r="I4490" s="3" t="s">
        <v>134</v>
      </c>
      <c r="J4490" s="3" t="n">
        <v>15</v>
      </c>
      <c r="K4490" s="3" t="n">
        <v>1543.4</v>
      </c>
      <c r="L4490" s="3" t="n">
        <v>23151</v>
      </c>
      <c r="M4490" s="3" t="n">
        <v>0.059</v>
      </c>
      <c r="N4490" s="3" t="n">
        <v>1365.91</v>
      </c>
      <c r="O4490" s="3" t="n">
        <v>21785.09</v>
      </c>
      <c r="P4490" s="3" t="n">
        <v>12733.05</v>
      </c>
      <c r="Q4490" s="3" t="n">
        <v>9052.04</v>
      </c>
      <c r="R4490" s="3" t="n">
        <v>0.4155</v>
      </c>
      <c r="S4490" s="3" t="n">
        <v>0.0575</v>
      </c>
      <c r="T4490" s="3" t="n">
        <v>0.0015</v>
      </c>
    </row>
    <row r="4491" customFormat="false" ht="15" hidden="false" customHeight="true" outlineLevel="0" collapsed="false">
      <c r="A4491" s="3" t="s">
        <v>5658</v>
      </c>
      <c r="B4491" s="3" t="s">
        <v>1255</v>
      </c>
      <c r="C4491" s="3" t="s">
        <v>156</v>
      </c>
      <c r="D4491" s="3" t="s">
        <v>61</v>
      </c>
      <c r="E4491" s="3" t="s">
        <v>33</v>
      </c>
      <c r="F4491" s="3" t="s">
        <v>62</v>
      </c>
      <c r="G4491" s="3" t="s">
        <v>63</v>
      </c>
      <c r="H4491" s="3" t="s">
        <v>56</v>
      </c>
      <c r="I4491" s="3" t="s">
        <v>57</v>
      </c>
      <c r="J4491" s="3" t="n">
        <v>26</v>
      </c>
      <c r="K4491" s="3" t="n">
        <v>16218.78</v>
      </c>
      <c r="L4491" s="3" t="n">
        <v>421688.28</v>
      </c>
      <c r="M4491" s="3" t="n">
        <v>0.0409</v>
      </c>
      <c r="N4491" s="3" t="n">
        <v>17247.05</v>
      </c>
      <c r="O4491" s="3" t="n">
        <v>404441.23</v>
      </c>
      <c r="P4491" s="3" t="n">
        <v>253012.97</v>
      </c>
      <c r="Q4491" s="3" t="n">
        <v>151428.26</v>
      </c>
      <c r="R4491" s="3" t="n">
        <v>0.3744</v>
      </c>
      <c r="S4491" s="3" t="n">
        <v>0.0335</v>
      </c>
      <c r="T4491" s="3" t="n">
        <v>0.0074</v>
      </c>
    </row>
    <row r="4492" customFormat="false" ht="15" hidden="false" customHeight="true" outlineLevel="0" collapsed="false">
      <c r="A4492" s="3" t="s">
        <v>5659</v>
      </c>
      <c r="B4492" s="3" t="s">
        <v>1253</v>
      </c>
      <c r="C4492" s="3" t="s">
        <v>46</v>
      </c>
      <c r="D4492" s="3" t="s">
        <v>47</v>
      </c>
      <c r="E4492" s="3" t="s">
        <v>48</v>
      </c>
      <c r="F4492" s="3" t="s">
        <v>25</v>
      </c>
      <c r="G4492" s="3" t="s">
        <v>41</v>
      </c>
      <c r="H4492" s="3" t="s">
        <v>64</v>
      </c>
      <c r="I4492" s="3" t="s">
        <v>90</v>
      </c>
      <c r="J4492" s="3" t="n">
        <v>8</v>
      </c>
      <c r="K4492" s="3" t="n">
        <v>9399.06</v>
      </c>
      <c r="L4492" s="3" t="n">
        <v>75192.48</v>
      </c>
      <c r="M4492" s="3" t="n">
        <v>0.1611</v>
      </c>
      <c r="N4492" s="3" t="n">
        <v>12113.51</v>
      </c>
      <c r="O4492" s="3" t="n">
        <v>63078.97</v>
      </c>
      <c r="P4492" s="3" t="n">
        <v>43611.64</v>
      </c>
      <c r="Q4492" s="3" t="n">
        <v>19467.33</v>
      </c>
      <c r="R4492" s="3" t="n">
        <v>0.3086</v>
      </c>
      <c r="S4492" s="3" t="n">
        <v>0.1414</v>
      </c>
      <c r="T4492" s="3" t="n">
        <v>0.0197</v>
      </c>
    </row>
    <row r="4493" customFormat="false" ht="15" hidden="false" customHeight="true" outlineLevel="0" collapsed="false">
      <c r="A4493" s="3" t="s">
        <v>5660</v>
      </c>
      <c r="B4493" s="3" t="s">
        <v>2014</v>
      </c>
      <c r="C4493" s="3" t="s">
        <v>22</v>
      </c>
      <c r="D4493" s="3" t="s">
        <v>83</v>
      </c>
      <c r="E4493" s="3" t="s">
        <v>48</v>
      </c>
      <c r="F4493" s="3" t="s">
        <v>62</v>
      </c>
      <c r="G4493" s="3" t="s">
        <v>26</v>
      </c>
      <c r="H4493" s="3" t="s">
        <v>56</v>
      </c>
      <c r="I4493" s="3" t="s">
        <v>57</v>
      </c>
      <c r="J4493" s="3" t="n">
        <v>46</v>
      </c>
      <c r="K4493" s="3" t="n">
        <v>17440.87</v>
      </c>
      <c r="L4493" s="3" t="n">
        <v>802280.02</v>
      </c>
      <c r="M4493" s="3" t="n">
        <v>0.0723</v>
      </c>
      <c r="N4493" s="3" t="n">
        <v>58004.85</v>
      </c>
      <c r="O4493" s="3" t="n">
        <v>744275.17</v>
      </c>
      <c r="P4493" s="3" t="n">
        <v>481368.01</v>
      </c>
      <c r="Q4493" s="3" t="n">
        <v>262907.16</v>
      </c>
      <c r="R4493" s="3" t="n">
        <v>0.3532</v>
      </c>
      <c r="S4493" s="3" t="n">
        <v>0.0768</v>
      </c>
      <c r="T4493" s="3" t="n">
        <v>-0.0045</v>
      </c>
    </row>
    <row r="4494" customFormat="false" ht="15" hidden="false" customHeight="true" outlineLevel="0" collapsed="false">
      <c r="A4494" s="3" t="s">
        <v>5661</v>
      </c>
      <c r="B4494" s="3" t="s">
        <v>2035</v>
      </c>
      <c r="C4494" s="3" t="s">
        <v>113</v>
      </c>
      <c r="D4494" s="3" t="s">
        <v>107</v>
      </c>
      <c r="E4494" s="3" t="s">
        <v>33</v>
      </c>
      <c r="F4494" s="3" t="s">
        <v>70</v>
      </c>
      <c r="G4494" s="3" t="s">
        <v>34</v>
      </c>
      <c r="H4494" s="3" t="s">
        <v>27</v>
      </c>
      <c r="I4494" s="3" t="s">
        <v>28</v>
      </c>
      <c r="J4494" s="3" t="n">
        <v>24</v>
      </c>
      <c r="K4494" s="3" t="n">
        <v>31708.66</v>
      </c>
      <c r="L4494" s="3" t="n">
        <v>761007.84</v>
      </c>
      <c r="M4494" s="3" t="n">
        <v>0.1239</v>
      </c>
      <c r="N4494" s="3" t="n">
        <v>94288.87</v>
      </c>
      <c r="O4494" s="3" t="n">
        <v>666718.97</v>
      </c>
      <c r="P4494" s="3" t="n">
        <v>471824.86</v>
      </c>
      <c r="Q4494" s="3" t="n">
        <v>194894.11</v>
      </c>
      <c r="R4494" s="3" t="n">
        <v>0.2923</v>
      </c>
      <c r="S4494" s="3" t="n">
        <v>0.1316</v>
      </c>
      <c r="T4494" s="3" t="n">
        <v>-0.0077</v>
      </c>
    </row>
    <row r="4495" customFormat="false" ht="15" hidden="false" customHeight="true" outlineLevel="0" collapsed="false">
      <c r="A4495" s="3" t="s">
        <v>5662</v>
      </c>
      <c r="B4495" s="3" t="s">
        <v>639</v>
      </c>
      <c r="C4495" s="3" t="s">
        <v>31</v>
      </c>
      <c r="D4495" s="3" t="s">
        <v>97</v>
      </c>
      <c r="E4495" s="3" t="s">
        <v>48</v>
      </c>
      <c r="F4495" s="3" t="s">
        <v>40</v>
      </c>
      <c r="G4495" s="3" t="s">
        <v>71</v>
      </c>
      <c r="H4495" s="3" t="s">
        <v>77</v>
      </c>
      <c r="I4495" s="3" t="s">
        <v>85</v>
      </c>
      <c r="J4495" s="3" t="n">
        <v>41</v>
      </c>
      <c r="K4495" s="3" t="n">
        <v>5969.29</v>
      </c>
      <c r="L4495" s="3" t="n">
        <v>244740.89</v>
      </c>
      <c r="M4495" s="3" t="n">
        <v>0.0423</v>
      </c>
      <c r="N4495" s="3" t="n">
        <v>10352.54</v>
      </c>
      <c r="O4495" s="3" t="n">
        <v>234388.35</v>
      </c>
      <c r="P4495" s="3" t="n">
        <v>166423.81</v>
      </c>
      <c r="Q4495" s="3" t="n">
        <v>67964.54</v>
      </c>
      <c r="R4495" s="3" t="n">
        <v>0.29</v>
      </c>
      <c r="S4495" s="3" t="n">
        <v>0.0385</v>
      </c>
      <c r="T4495" s="3" t="n">
        <v>0.0038</v>
      </c>
    </row>
    <row r="4496" customFormat="false" ht="15" hidden="false" customHeight="true" outlineLevel="0" collapsed="false">
      <c r="A4496" s="3" t="s">
        <v>5663</v>
      </c>
      <c r="B4496" s="3" t="s">
        <v>2470</v>
      </c>
      <c r="C4496" s="3" t="s">
        <v>93</v>
      </c>
      <c r="D4496" s="3" t="s">
        <v>75</v>
      </c>
      <c r="E4496" s="3" t="s">
        <v>39</v>
      </c>
      <c r="F4496" s="3" t="s">
        <v>25</v>
      </c>
      <c r="G4496" s="3" t="s">
        <v>41</v>
      </c>
      <c r="H4496" s="3" t="s">
        <v>77</v>
      </c>
      <c r="I4496" s="3" t="s">
        <v>85</v>
      </c>
      <c r="J4496" s="3" t="n">
        <v>39</v>
      </c>
      <c r="K4496" s="3" t="n">
        <v>4874.02</v>
      </c>
      <c r="L4496" s="3" t="n">
        <v>190086.78</v>
      </c>
      <c r="M4496" s="3" t="n">
        <v>0.1815</v>
      </c>
      <c r="N4496" s="3" t="n">
        <v>34500.75</v>
      </c>
      <c r="O4496" s="3" t="n">
        <v>155586.03</v>
      </c>
      <c r="P4496" s="3" t="n">
        <v>129259.01</v>
      </c>
      <c r="Q4496" s="3" t="n">
        <v>26327.02</v>
      </c>
      <c r="R4496" s="3" t="n">
        <v>0.1692</v>
      </c>
      <c r="S4496" s="3" t="n">
        <v>0.1707</v>
      </c>
      <c r="T4496" s="3" t="n">
        <v>0.0108</v>
      </c>
    </row>
    <row r="4497" customFormat="false" ht="15" hidden="false" customHeight="true" outlineLevel="0" collapsed="false">
      <c r="A4497" s="3" t="s">
        <v>5664</v>
      </c>
      <c r="B4497" s="3" t="s">
        <v>2924</v>
      </c>
      <c r="C4497" s="3" t="s">
        <v>120</v>
      </c>
      <c r="D4497" s="3" t="s">
        <v>32</v>
      </c>
      <c r="E4497" s="3" t="s">
        <v>33</v>
      </c>
      <c r="F4497" s="3" t="s">
        <v>25</v>
      </c>
      <c r="G4497" s="3" t="s">
        <v>76</v>
      </c>
      <c r="H4497" s="3" t="s">
        <v>42</v>
      </c>
      <c r="I4497" s="3" t="s">
        <v>134</v>
      </c>
      <c r="J4497" s="3" t="n">
        <v>38</v>
      </c>
      <c r="K4497" s="3" t="n">
        <v>2308.9</v>
      </c>
      <c r="L4497" s="3" t="n">
        <v>87738.2</v>
      </c>
      <c r="M4497" s="3" t="n">
        <v>0.1087</v>
      </c>
      <c r="N4497" s="3" t="n">
        <v>9537.14</v>
      </c>
      <c r="O4497" s="3" t="n">
        <v>78201.06</v>
      </c>
      <c r="P4497" s="3" t="n">
        <v>48256.01</v>
      </c>
      <c r="Q4497" s="3" t="n">
        <v>29945.05</v>
      </c>
      <c r="R4497" s="3" t="n">
        <v>0.3829</v>
      </c>
      <c r="S4497" s="3" t="n">
        <v>0.1191</v>
      </c>
      <c r="T4497" s="3" t="n">
        <v>-0.0104</v>
      </c>
    </row>
    <row r="4498" customFormat="false" ht="15" hidden="false" customHeight="true" outlineLevel="0" collapsed="false">
      <c r="A4498" s="3" t="s">
        <v>5665</v>
      </c>
      <c r="B4498" s="3" t="s">
        <v>3168</v>
      </c>
      <c r="C4498" s="3" t="s">
        <v>37</v>
      </c>
      <c r="D4498" s="3" t="s">
        <v>97</v>
      </c>
      <c r="E4498" s="3" t="s">
        <v>48</v>
      </c>
      <c r="F4498" s="3" t="s">
        <v>40</v>
      </c>
      <c r="G4498" s="3" t="s">
        <v>63</v>
      </c>
      <c r="H4498" s="3" t="s">
        <v>56</v>
      </c>
      <c r="I4498" s="3" t="s">
        <v>121</v>
      </c>
      <c r="J4498" s="3" t="n">
        <v>39</v>
      </c>
      <c r="K4498" s="3" t="n">
        <v>11743.75</v>
      </c>
      <c r="L4498" s="3" t="n">
        <v>458006.25</v>
      </c>
      <c r="M4498" s="3" t="n">
        <v>0.0765</v>
      </c>
      <c r="N4498" s="3" t="n">
        <v>35037.48</v>
      </c>
      <c r="O4498" s="3" t="n">
        <v>422968.77</v>
      </c>
      <c r="P4498" s="3" t="n">
        <v>274803.75</v>
      </c>
      <c r="Q4498" s="3" t="n">
        <v>148165.02</v>
      </c>
      <c r="R4498" s="3" t="n">
        <v>0.3503</v>
      </c>
      <c r="S4498" s="3" t="n">
        <v>0.0679</v>
      </c>
      <c r="T4498" s="3" t="n">
        <v>0.0086</v>
      </c>
    </row>
    <row r="4499" customFormat="false" ht="15" hidden="false" customHeight="true" outlineLevel="0" collapsed="false">
      <c r="A4499" s="3" t="s">
        <v>5666</v>
      </c>
      <c r="B4499" s="3" t="s">
        <v>620</v>
      </c>
      <c r="C4499" s="3" t="s">
        <v>120</v>
      </c>
      <c r="D4499" s="3" t="s">
        <v>107</v>
      </c>
      <c r="E4499" s="3" t="s">
        <v>33</v>
      </c>
      <c r="F4499" s="3" t="s">
        <v>70</v>
      </c>
      <c r="G4499" s="3" t="s">
        <v>104</v>
      </c>
      <c r="H4499" s="3" t="s">
        <v>64</v>
      </c>
      <c r="I4499" s="3" t="s">
        <v>90</v>
      </c>
      <c r="J4499" s="3" t="n">
        <v>9</v>
      </c>
      <c r="K4499" s="3" t="n">
        <v>3446.63</v>
      </c>
      <c r="L4499" s="3" t="n">
        <v>31019.67</v>
      </c>
      <c r="M4499" s="3" t="n">
        <v>0.0874</v>
      </c>
      <c r="N4499" s="3" t="n">
        <v>2711.12</v>
      </c>
      <c r="O4499" s="3" t="n">
        <v>28308.55</v>
      </c>
      <c r="P4499" s="3" t="n">
        <v>17991.41</v>
      </c>
      <c r="Q4499" s="3" t="n">
        <v>10317.14</v>
      </c>
      <c r="R4499" s="3" t="n">
        <v>0.3645</v>
      </c>
      <c r="S4499" s="3" t="n">
        <v>0.0755</v>
      </c>
      <c r="T4499" s="3" t="n">
        <v>0.0119</v>
      </c>
    </row>
    <row r="4500" customFormat="false" ht="15" hidden="false" customHeight="true" outlineLevel="0" collapsed="false">
      <c r="A4500" s="3" t="s">
        <v>5667</v>
      </c>
      <c r="B4500" s="3" t="s">
        <v>718</v>
      </c>
      <c r="C4500" s="3" t="s">
        <v>53</v>
      </c>
      <c r="D4500" s="3" t="s">
        <v>75</v>
      </c>
      <c r="E4500" s="3" t="s">
        <v>39</v>
      </c>
      <c r="F4500" s="3" t="s">
        <v>25</v>
      </c>
      <c r="G4500" s="3" t="s">
        <v>55</v>
      </c>
      <c r="H4500" s="3" t="s">
        <v>77</v>
      </c>
      <c r="I4500" s="3" t="s">
        <v>85</v>
      </c>
      <c r="J4500" s="3" t="n">
        <v>17</v>
      </c>
      <c r="K4500" s="3" t="n">
        <v>2136.17</v>
      </c>
      <c r="L4500" s="3" t="n">
        <v>36314.89</v>
      </c>
      <c r="M4500" s="3" t="n">
        <v>0.1036</v>
      </c>
      <c r="N4500" s="3" t="n">
        <v>3762.22</v>
      </c>
      <c r="O4500" s="3" t="n">
        <v>32552.67</v>
      </c>
      <c r="P4500" s="3" t="n">
        <v>24694.13</v>
      </c>
      <c r="Q4500" s="3" t="n">
        <v>7858.54</v>
      </c>
      <c r="R4500" s="3" t="n">
        <v>0.2414</v>
      </c>
      <c r="S4500" s="3" t="n">
        <v>0.0964</v>
      </c>
      <c r="T4500" s="3" t="n">
        <v>0.0072</v>
      </c>
    </row>
    <row r="4501" customFormat="false" ht="15" hidden="false" customHeight="true" outlineLevel="0" collapsed="false">
      <c r="A4501" s="3" t="s">
        <v>5668</v>
      </c>
      <c r="B4501" s="3" t="s">
        <v>418</v>
      </c>
      <c r="C4501" s="3" t="s">
        <v>22</v>
      </c>
      <c r="D4501" s="3" t="s">
        <v>107</v>
      </c>
      <c r="E4501" s="3" t="s">
        <v>33</v>
      </c>
      <c r="F4501" s="3" t="s">
        <v>70</v>
      </c>
      <c r="G4501" s="3" t="s">
        <v>116</v>
      </c>
      <c r="H4501" s="3" t="s">
        <v>56</v>
      </c>
      <c r="I4501" s="3" t="s">
        <v>57</v>
      </c>
      <c r="J4501" s="3" t="n">
        <v>31</v>
      </c>
      <c r="K4501" s="3" t="n">
        <v>7755.3</v>
      </c>
      <c r="L4501" s="3" t="n">
        <v>240414.3</v>
      </c>
      <c r="M4501" s="3" t="n">
        <v>0.0596</v>
      </c>
      <c r="N4501" s="3" t="n">
        <v>14328.69</v>
      </c>
      <c r="O4501" s="3" t="n">
        <v>226085.61</v>
      </c>
      <c r="P4501" s="3" t="n">
        <v>144248.58</v>
      </c>
      <c r="Q4501" s="3" t="n">
        <v>81837.03</v>
      </c>
      <c r="R4501" s="3" t="n">
        <v>0.362</v>
      </c>
      <c r="S4501" s="3" t="n">
        <v>0.0571</v>
      </c>
      <c r="T4501" s="3" t="n">
        <v>0.0025</v>
      </c>
    </row>
    <row r="4502" customFormat="false" ht="15" hidden="false" customHeight="true" outlineLevel="0" collapsed="false">
      <c r="A4502" s="3" t="s">
        <v>5669</v>
      </c>
      <c r="B4502" s="3" t="s">
        <v>1400</v>
      </c>
      <c r="C4502" s="3" t="s">
        <v>46</v>
      </c>
      <c r="D4502" s="3" t="s">
        <v>75</v>
      </c>
      <c r="E4502" s="3" t="s">
        <v>39</v>
      </c>
      <c r="F4502" s="3" t="s">
        <v>25</v>
      </c>
      <c r="G4502" s="3" t="s">
        <v>26</v>
      </c>
      <c r="H4502" s="3" t="s">
        <v>42</v>
      </c>
      <c r="I4502" s="3" t="s">
        <v>43</v>
      </c>
      <c r="J4502" s="3" t="n">
        <v>27</v>
      </c>
      <c r="K4502" s="3" t="n">
        <v>2566.53</v>
      </c>
      <c r="L4502" s="3" t="n">
        <v>69296.31</v>
      </c>
      <c r="M4502" s="3" t="n">
        <v>0.1455</v>
      </c>
      <c r="N4502" s="3" t="n">
        <v>10082.61</v>
      </c>
      <c r="O4502" s="3" t="n">
        <v>59213.7</v>
      </c>
      <c r="P4502" s="3" t="n">
        <v>38112.97</v>
      </c>
      <c r="Q4502" s="3" t="n">
        <v>21100.73</v>
      </c>
      <c r="R4502" s="3" t="n">
        <v>0.3563</v>
      </c>
      <c r="S4502" s="3" t="n">
        <v>0.131</v>
      </c>
      <c r="T4502" s="3" t="n">
        <v>0.0145</v>
      </c>
    </row>
    <row r="4503" customFormat="false" ht="15" hidden="false" customHeight="true" outlineLevel="0" collapsed="false">
      <c r="A4503" s="3" t="s">
        <v>5670</v>
      </c>
      <c r="B4503" s="3" t="s">
        <v>374</v>
      </c>
      <c r="C4503" s="3" t="s">
        <v>37</v>
      </c>
      <c r="D4503" s="3" t="s">
        <v>38</v>
      </c>
      <c r="E4503" s="3" t="s">
        <v>39</v>
      </c>
      <c r="F4503" s="3" t="s">
        <v>40</v>
      </c>
      <c r="G4503" s="3" t="s">
        <v>34</v>
      </c>
      <c r="H4503" s="3" t="s">
        <v>64</v>
      </c>
      <c r="I4503" s="3" t="s">
        <v>108</v>
      </c>
      <c r="J4503" s="3" t="n">
        <v>24</v>
      </c>
      <c r="K4503" s="3" t="n">
        <v>9234.49</v>
      </c>
      <c r="L4503" s="3" t="n">
        <v>221627.76</v>
      </c>
      <c r="M4503" s="3" t="n">
        <v>0.1218</v>
      </c>
      <c r="N4503" s="3" t="n">
        <v>26994.26</v>
      </c>
      <c r="O4503" s="3" t="n">
        <v>194633.5</v>
      </c>
      <c r="P4503" s="3" t="n">
        <v>128544.1</v>
      </c>
      <c r="Q4503" s="3" t="n">
        <v>66089.4</v>
      </c>
      <c r="R4503" s="3" t="n">
        <v>0.3396</v>
      </c>
      <c r="S4503" s="3" t="n">
        <v>0.1177</v>
      </c>
      <c r="T4503" s="3" t="n">
        <v>0.0041</v>
      </c>
    </row>
    <row r="4504" customFormat="false" ht="15" hidden="false" customHeight="true" outlineLevel="0" collapsed="false">
      <c r="A4504" s="3" t="s">
        <v>5671</v>
      </c>
      <c r="B4504" s="3" t="s">
        <v>948</v>
      </c>
      <c r="C4504" s="3" t="s">
        <v>60</v>
      </c>
      <c r="D4504" s="3" t="s">
        <v>23</v>
      </c>
      <c r="E4504" s="3" t="s">
        <v>24</v>
      </c>
      <c r="F4504" s="3" t="s">
        <v>25</v>
      </c>
      <c r="G4504" s="3" t="s">
        <v>34</v>
      </c>
      <c r="H4504" s="3" t="s">
        <v>27</v>
      </c>
      <c r="I4504" s="3" t="s">
        <v>173</v>
      </c>
      <c r="J4504" s="3" t="n">
        <v>43</v>
      </c>
      <c r="K4504" s="3" t="n">
        <v>8183.75</v>
      </c>
      <c r="L4504" s="3" t="n">
        <v>351901.25</v>
      </c>
      <c r="M4504" s="3" t="n">
        <v>0.1405</v>
      </c>
      <c r="N4504" s="3" t="n">
        <v>49442.13</v>
      </c>
      <c r="O4504" s="3" t="n">
        <v>302459.12</v>
      </c>
      <c r="P4504" s="3" t="n">
        <v>218178.77</v>
      </c>
      <c r="Q4504" s="3" t="n">
        <v>84280.35</v>
      </c>
      <c r="R4504" s="3" t="n">
        <v>0.2787</v>
      </c>
      <c r="S4504" s="3" t="n">
        <v>0.1381</v>
      </c>
      <c r="T4504" s="3" t="n">
        <v>0.0024</v>
      </c>
    </row>
    <row r="4505" customFormat="false" ht="15" hidden="false" customHeight="true" outlineLevel="0" collapsed="false">
      <c r="A4505" s="3" t="s">
        <v>5672</v>
      </c>
      <c r="B4505" s="3" t="s">
        <v>1415</v>
      </c>
      <c r="C4505" s="3" t="s">
        <v>46</v>
      </c>
      <c r="D4505" s="3" t="s">
        <v>69</v>
      </c>
      <c r="E4505" s="3" t="s">
        <v>39</v>
      </c>
      <c r="F4505" s="3" t="s">
        <v>70</v>
      </c>
      <c r="G4505" s="3" t="s">
        <v>41</v>
      </c>
      <c r="H4505" s="3" t="s">
        <v>64</v>
      </c>
      <c r="I4505" s="3" t="s">
        <v>145</v>
      </c>
      <c r="J4505" s="3" t="n">
        <v>29</v>
      </c>
      <c r="K4505" s="3" t="n">
        <v>7888.51</v>
      </c>
      <c r="L4505" s="3" t="n">
        <v>228766.79</v>
      </c>
      <c r="M4505" s="3" t="n">
        <v>0.0963</v>
      </c>
      <c r="N4505" s="3" t="n">
        <v>22030.24</v>
      </c>
      <c r="O4505" s="3" t="n">
        <v>206736.55</v>
      </c>
      <c r="P4505" s="3" t="n">
        <v>132684.74</v>
      </c>
      <c r="Q4505" s="3" t="n">
        <v>74051.81</v>
      </c>
      <c r="R4505" s="3" t="n">
        <v>0.3582</v>
      </c>
      <c r="S4505" s="3" t="n">
        <v>0.098</v>
      </c>
      <c r="T4505" s="3" t="n">
        <v>-0.0017</v>
      </c>
    </row>
    <row r="4506" customFormat="false" ht="15" hidden="false" customHeight="true" outlineLevel="0" collapsed="false">
      <c r="A4506" s="3" t="s">
        <v>5673</v>
      </c>
      <c r="B4506" s="3" t="s">
        <v>1428</v>
      </c>
      <c r="C4506" s="3" t="s">
        <v>31</v>
      </c>
      <c r="D4506" s="3" t="s">
        <v>69</v>
      </c>
      <c r="E4506" s="3" t="s">
        <v>39</v>
      </c>
      <c r="F4506" s="3" t="s">
        <v>70</v>
      </c>
      <c r="G4506" s="3" t="s">
        <v>71</v>
      </c>
      <c r="H4506" s="3" t="s">
        <v>42</v>
      </c>
      <c r="I4506" s="3" t="s">
        <v>72</v>
      </c>
      <c r="J4506" s="3" t="n">
        <v>32</v>
      </c>
      <c r="K4506" s="3" t="n">
        <v>1934.79</v>
      </c>
      <c r="L4506" s="3" t="n">
        <v>61913.28</v>
      </c>
      <c r="M4506" s="3" t="n">
        <v>0.0772</v>
      </c>
      <c r="N4506" s="3" t="n">
        <v>4779.71</v>
      </c>
      <c r="O4506" s="3" t="n">
        <v>57133.57</v>
      </c>
      <c r="P4506" s="3" t="n">
        <v>34052.3</v>
      </c>
      <c r="Q4506" s="3" t="n">
        <v>23081.27</v>
      </c>
      <c r="R4506" s="3" t="n">
        <v>0.404</v>
      </c>
      <c r="S4506" s="3" t="n">
        <v>0.0739</v>
      </c>
      <c r="T4506" s="3" t="n">
        <v>0.0033</v>
      </c>
    </row>
    <row r="4507" customFormat="false" ht="15" hidden="false" customHeight="true" outlineLevel="0" collapsed="false">
      <c r="A4507" s="3" t="s">
        <v>5674</v>
      </c>
      <c r="B4507" s="3" t="s">
        <v>268</v>
      </c>
      <c r="C4507" s="3" t="s">
        <v>93</v>
      </c>
      <c r="D4507" s="3" t="s">
        <v>54</v>
      </c>
      <c r="E4507" s="3" t="s">
        <v>24</v>
      </c>
      <c r="F4507" s="3" t="s">
        <v>40</v>
      </c>
      <c r="G4507" s="3" t="s">
        <v>63</v>
      </c>
      <c r="H4507" s="3" t="s">
        <v>77</v>
      </c>
      <c r="I4507" s="3" t="s">
        <v>78</v>
      </c>
      <c r="J4507" s="3" t="n">
        <v>24</v>
      </c>
      <c r="K4507" s="3" t="n">
        <v>2529.51</v>
      </c>
      <c r="L4507" s="3" t="n">
        <v>60708.24</v>
      </c>
      <c r="M4507" s="3" t="n">
        <v>0.046</v>
      </c>
      <c r="N4507" s="3" t="n">
        <v>2792.58</v>
      </c>
      <c r="O4507" s="3" t="n">
        <v>57915.66</v>
      </c>
      <c r="P4507" s="3" t="n">
        <v>41281.6</v>
      </c>
      <c r="Q4507" s="3" t="n">
        <v>16634.06</v>
      </c>
      <c r="R4507" s="3" t="n">
        <v>0.2872</v>
      </c>
      <c r="S4507" s="3" t="n">
        <v>0.0463</v>
      </c>
      <c r="T4507" s="3" t="n">
        <v>-0.0003</v>
      </c>
    </row>
    <row r="4508" customFormat="false" ht="15" hidden="false" customHeight="true" outlineLevel="0" collapsed="false">
      <c r="A4508" s="3" t="s">
        <v>5675</v>
      </c>
      <c r="B4508" s="3" t="s">
        <v>716</v>
      </c>
      <c r="C4508" s="3" t="s">
        <v>22</v>
      </c>
      <c r="D4508" s="3" t="s">
        <v>107</v>
      </c>
      <c r="E4508" s="3" t="s">
        <v>33</v>
      </c>
      <c r="F4508" s="3" t="s">
        <v>70</v>
      </c>
      <c r="G4508" s="3" t="s">
        <v>104</v>
      </c>
      <c r="H4508" s="3" t="s">
        <v>64</v>
      </c>
      <c r="I4508" s="3" t="s">
        <v>65</v>
      </c>
      <c r="J4508" s="3" t="n">
        <v>8</v>
      </c>
      <c r="K4508" s="3" t="n">
        <v>11309.71</v>
      </c>
      <c r="L4508" s="3" t="n">
        <v>90477.68</v>
      </c>
      <c r="M4508" s="3" t="n">
        <v>0.1379</v>
      </c>
      <c r="N4508" s="3" t="n">
        <v>12476.87</v>
      </c>
      <c r="O4508" s="3" t="n">
        <v>78000.81</v>
      </c>
      <c r="P4508" s="3" t="n">
        <v>52477.05</v>
      </c>
      <c r="Q4508" s="3" t="n">
        <v>25523.76</v>
      </c>
      <c r="R4508" s="3" t="n">
        <v>0.3272</v>
      </c>
      <c r="S4508" s="3" t="n">
        <v>0.1321</v>
      </c>
      <c r="T4508" s="3" t="n">
        <v>0.0058</v>
      </c>
    </row>
    <row r="4509" customFormat="false" ht="15" hidden="false" customHeight="true" outlineLevel="0" collapsed="false">
      <c r="A4509" s="3" t="s">
        <v>5676</v>
      </c>
      <c r="B4509" s="3" t="s">
        <v>803</v>
      </c>
      <c r="C4509" s="3" t="s">
        <v>156</v>
      </c>
      <c r="D4509" s="3" t="s">
        <v>32</v>
      </c>
      <c r="E4509" s="3" t="s">
        <v>33</v>
      </c>
      <c r="F4509" s="3" t="s">
        <v>25</v>
      </c>
      <c r="G4509" s="3" t="s">
        <v>49</v>
      </c>
      <c r="H4509" s="3" t="s">
        <v>56</v>
      </c>
      <c r="I4509" s="3" t="s">
        <v>57</v>
      </c>
      <c r="J4509" s="3" t="n">
        <v>20</v>
      </c>
      <c r="K4509" s="3" t="n">
        <v>8449.94</v>
      </c>
      <c r="L4509" s="3" t="n">
        <v>168998.8</v>
      </c>
      <c r="M4509" s="3" t="n">
        <v>0.1863</v>
      </c>
      <c r="N4509" s="3" t="n">
        <v>31484.48</v>
      </c>
      <c r="O4509" s="3" t="n">
        <v>137514.32</v>
      </c>
      <c r="P4509" s="3" t="n">
        <v>101399.28</v>
      </c>
      <c r="Q4509" s="3" t="n">
        <v>36115.04</v>
      </c>
      <c r="R4509" s="3" t="n">
        <v>0.2626</v>
      </c>
      <c r="S4509" s="3" t="n">
        <v>0.1908</v>
      </c>
      <c r="T4509" s="3" t="n">
        <v>-0.0045</v>
      </c>
    </row>
    <row r="4510" customFormat="false" ht="15" hidden="false" customHeight="true" outlineLevel="0" collapsed="false">
      <c r="A4510" s="3" t="s">
        <v>5677</v>
      </c>
      <c r="B4510" s="3" t="s">
        <v>172</v>
      </c>
      <c r="C4510" s="3" t="s">
        <v>156</v>
      </c>
      <c r="D4510" s="3" t="s">
        <v>103</v>
      </c>
      <c r="E4510" s="3" t="s">
        <v>24</v>
      </c>
      <c r="F4510" s="3" t="s">
        <v>62</v>
      </c>
      <c r="G4510" s="3" t="s">
        <v>71</v>
      </c>
      <c r="H4510" s="3" t="s">
        <v>56</v>
      </c>
      <c r="I4510" s="3" t="s">
        <v>188</v>
      </c>
      <c r="J4510" s="3" t="n">
        <v>34</v>
      </c>
      <c r="K4510" s="3" t="n">
        <v>2191.64</v>
      </c>
      <c r="L4510" s="3" t="n">
        <v>74515.76</v>
      </c>
      <c r="M4510" s="3" t="n">
        <v>0.0305</v>
      </c>
      <c r="N4510" s="3" t="n">
        <v>2272.73</v>
      </c>
      <c r="O4510" s="3" t="n">
        <v>72243.03</v>
      </c>
      <c r="P4510" s="3" t="n">
        <v>44709.46</v>
      </c>
      <c r="Q4510" s="3" t="n">
        <v>27533.57</v>
      </c>
      <c r="R4510" s="3" t="n">
        <v>0.3811</v>
      </c>
      <c r="S4510" s="3" t="n">
        <v>0.0296</v>
      </c>
      <c r="T4510" s="3" t="n">
        <v>0.0009</v>
      </c>
    </row>
    <row r="4511" customFormat="false" ht="15" hidden="false" customHeight="true" outlineLevel="0" collapsed="false">
      <c r="A4511" s="3" t="s">
        <v>5678</v>
      </c>
      <c r="B4511" s="3" t="s">
        <v>1642</v>
      </c>
      <c r="C4511" s="3" t="s">
        <v>68</v>
      </c>
      <c r="D4511" s="3" t="s">
        <v>23</v>
      </c>
      <c r="E4511" s="3" t="s">
        <v>24</v>
      </c>
      <c r="F4511" s="3" t="s">
        <v>25</v>
      </c>
      <c r="G4511" s="3" t="s">
        <v>63</v>
      </c>
      <c r="H4511" s="3" t="s">
        <v>56</v>
      </c>
      <c r="I4511" s="3" t="s">
        <v>121</v>
      </c>
      <c r="J4511" s="3" t="n">
        <v>32</v>
      </c>
      <c r="K4511" s="3" t="n">
        <v>9783.71</v>
      </c>
      <c r="L4511" s="3" t="n">
        <v>313078.72</v>
      </c>
      <c r="M4511" s="3" t="n">
        <v>0.131</v>
      </c>
      <c r="N4511" s="3" t="n">
        <v>41013.31</v>
      </c>
      <c r="O4511" s="3" t="n">
        <v>272065.41</v>
      </c>
      <c r="P4511" s="3" t="n">
        <v>187847.23</v>
      </c>
      <c r="Q4511" s="3" t="n">
        <v>84218.18</v>
      </c>
      <c r="R4511" s="3" t="n">
        <v>0.3096</v>
      </c>
      <c r="S4511" s="3" t="n">
        <v>0.1219</v>
      </c>
      <c r="T4511" s="3" t="n">
        <v>0.0091</v>
      </c>
    </row>
    <row r="4512" customFormat="false" ht="15" hidden="false" customHeight="true" outlineLevel="0" collapsed="false">
      <c r="A4512" s="3" t="s">
        <v>5679</v>
      </c>
      <c r="B4512" s="3" t="s">
        <v>1580</v>
      </c>
      <c r="C4512" s="3" t="s">
        <v>31</v>
      </c>
      <c r="D4512" s="3" t="s">
        <v>38</v>
      </c>
      <c r="E4512" s="3" t="s">
        <v>39</v>
      </c>
      <c r="F4512" s="3" t="s">
        <v>40</v>
      </c>
      <c r="G4512" s="3" t="s">
        <v>100</v>
      </c>
      <c r="H4512" s="3" t="s">
        <v>64</v>
      </c>
      <c r="I4512" s="3" t="s">
        <v>90</v>
      </c>
      <c r="J4512" s="3" t="n">
        <v>47</v>
      </c>
      <c r="K4512" s="3" t="n">
        <v>10301.87</v>
      </c>
      <c r="L4512" s="3" t="n">
        <v>484187.89</v>
      </c>
      <c r="M4512" s="3" t="n">
        <v>0.0574</v>
      </c>
      <c r="N4512" s="3" t="n">
        <v>27792.38</v>
      </c>
      <c r="O4512" s="3" t="n">
        <v>456395.51</v>
      </c>
      <c r="P4512" s="3" t="n">
        <v>280828.98</v>
      </c>
      <c r="Q4512" s="3" t="n">
        <v>175566.53</v>
      </c>
      <c r="R4512" s="3" t="n">
        <v>0.3847</v>
      </c>
      <c r="S4512" s="3" t="n">
        <v>0.0524</v>
      </c>
      <c r="T4512" s="3" t="n">
        <v>0.005</v>
      </c>
    </row>
    <row r="4513" customFormat="false" ht="15" hidden="false" customHeight="true" outlineLevel="0" collapsed="false">
      <c r="A4513" s="3" t="s">
        <v>5680</v>
      </c>
      <c r="B4513" s="3" t="s">
        <v>192</v>
      </c>
      <c r="C4513" s="3" t="s">
        <v>31</v>
      </c>
      <c r="D4513" s="3" t="s">
        <v>47</v>
      </c>
      <c r="E4513" s="3" t="s">
        <v>48</v>
      </c>
      <c r="F4513" s="3" t="s">
        <v>25</v>
      </c>
      <c r="G4513" s="3" t="s">
        <v>49</v>
      </c>
      <c r="H4513" s="3" t="s">
        <v>42</v>
      </c>
      <c r="I4513" s="3" t="s">
        <v>134</v>
      </c>
      <c r="J4513" s="3" t="n">
        <v>15</v>
      </c>
      <c r="K4513" s="3" t="n">
        <v>1347.83</v>
      </c>
      <c r="L4513" s="3" t="n">
        <v>20217.45</v>
      </c>
      <c r="M4513" s="3" t="n">
        <v>0.1471</v>
      </c>
      <c r="N4513" s="3" t="n">
        <v>2973.99</v>
      </c>
      <c r="O4513" s="3" t="n">
        <v>17243.46</v>
      </c>
      <c r="P4513" s="3" t="n">
        <v>11119.6</v>
      </c>
      <c r="Q4513" s="3" t="n">
        <v>6123.86</v>
      </c>
      <c r="R4513" s="3" t="n">
        <v>0.3551</v>
      </c>
      <c r="S4513" s="3" t="n">
        <v>0.1299</v>
      </c>
      <c r="T4513" s="3" t="n">
        <v>0.0172</v>
      </c>
    </row>
    <row r="4514" customFormat="false" ht="15" hidden="false" customHeight="true" outlineLevel="0" collapsed="false">
      <c r="A4514" s="3" t="s">
        <v>5681</v>
      </c>
      <c r="B4514" s="3" t="s">
        <v>1497</v>
      </c>
      <c r="C4514" s="3" t="s">
        <v>31</v>
      </c>
      <c r="D4514" s="3" t="s">
        <v>38</v>
      </c>
      <c r="E4514" s="3" t="s">
        <v>39</v>
      </c>
      <c r="F4514" s="3" t="s">
        <v>40</v>
      </c>
      <c r="G4514" s="3" t="s">
        <v>34</v>
      </c>
      <c r="H4514" s="3" t="s">
        <v>77</v>
      </c>
      <c r="I4514" s="3" t="s">
        <v>131</v>
      </c>
      <c r="J4514" s="3" t="n">
        <v>37</v>
      </c>
      <c r="K4514" s="3" t="n">
        <v>5772.83</v>
      </c>
      <c r="L4514" s="3" t="n">
        <v>213594.71</v>
      </c>
      <c r="M4514" s="3" t="n">
        <v>0.1006</v>
      </c>
      <c r="N4514" s="3" t="n">
        <v>21487.63</v>
      </c>
      <c r="O4514" s="3" t="n">
        <v>192107.08</v>
      </c>
      <c r="P4514" s="3" t="n">
        <v>145244.4</v>
      </c>
      <c r="Q4514" s="3" t="n">
        <v>46862.68</v>
      </c>
      <c r="R4514" s="3" t="n">
        <v>0.2439</v>
      </c>
      <c r="S4514" s="3" t="n">
        <v>0.1083</v>
      </c>
      <c r="T4514" s="3" t="n">
        <v>-0.0077</v>
      </c>
    </row>
    <row r="4515" customFormat="false" ht="15" hidden="false" customHeight="true" outlineLevel="0" collapsed="false">
      <c r="A4515" s="3" t="s">
        <v>5682</v>
      </c>
      <c r="B4515" s="3" t="s">
        <v>443</v>
      </c>
      <c r="C4515" s="3" t="s">
        <v>126</v>
      </c>
      <c r="D4515" s="3" t="s">
        <v>75</v>
      </c>
      <c r="E4515" s="3" t="s">
        <v>39</v>
      </c>
      <c r="F4515" s="3" t="s">
        <v>25</v>
      </c>
      <c r="G4515" s="3" t="s">
        <v>55</v>
      </c>
      <c r="H4515" s="3" t="s">
        <v>56</v>
      </c>
      <c r="I4515" s="3" t="s">
        <v>188</v>
      </c>
      <c r="J4515" s="3" t="n">
        <v>23</v>
      </c>
      <c r="K4515" s="3" t="n">
        <v>16797.92</v>
      </c>
      <c r="L4515" s="3" t="n">
        <v>386352.16</v>
      </c>
      <c r="M4515" s="3" t="n">
        <v>0.0875</v>
      </c>
      <c r="N4515" s="3" t="n">
        <v>33805.81</v>
      </c>
      <c r="O4515" s="3" t="n">
        <v>352546.35</v>
      </c>
      <c r="P4515" s="3" t="n">
        <v>231811.3</v>
      </c>
      <c r="Q4515" s="3" t="n">
        <v>120735.05</v>
      </c>
      <c r="R4515" s="3" t="n">
        <v>0.3425</v>
      </c>
      <c r="S4515" s="3" t="n">
        <v>0.0754</v>
      </c>
      <c r="T4515" s="3" t="n">
        <v>0.0121</v>
      </c>
    </row>
    <row r="4516" customFormat="false" ht="15" hidden="false" customHeight="true" outlineLevel="0" collapsed="false">
      <c r="A4516" s="3" t="s">
        <v>5683</v>
      </c>
      <c r="B4516" s="3" t="s">
        <v>1031</v>
      </c>
      <c r="C4516" s="3" t="s">
        <v>126</v>
      </c>
      <c r="D4516" s="3" t="s">
        <v>23</v>
      </c>
      <c r="E4516" s="3" t="s">
        <v>24</v>
      </c>
      <c r="F4516" s="3" t="s">
        <v>25</v>
      </c>
      <c r="G4516" s="3" t="s">
        <v>76</v>
      </c>
      <c r="H4516" s="3" t="s">
        <v>77</v>
      </c>
      <c r="I4516" s="3" t="s">
        <v>131</v>
      </c>
      <c r="J4516" s="3" t="n">
        <v>4</v>
      </c>
      <c r="K4516" s="3" t="n">
        <v>5937.33</v>
      </c>
      <c r="L4516" s="3" t="n">
        <v>23749.32</v>
      </c>
      <c r="M4516" s="3" t="n">
        <v>0.0993</v>
      </c>
      <c r="N4516" s="3" t="n">
        <v>2358.31</v>
      </c>
      <c r="O4516" s="3" t="n">
        <v>21391.01</v>
      </c>
      <c r="P4516" s="3" t="n">
        <v>16149.54</v>
      </c>
      <c r="Q4516" s="3" t="n">
        <v>5241.47</v>
      </c>
      <c r="R4516" s="3" t="n">
        <v>0.245</v>
      </c>
      <c r="S4516" s="3" t="n">
        <v>0.0797</v>
      </c>
      <c r="T4516" s="3" t="n">
        <v>0.0196</v>
      </c>
    </row>
    <row r="4517" customFormat="false" ht="15" hidden="false" customHeight="true" outlineLevel="0" collapsed="false">
      <c r="A4517" s="3" t="s">
        <v>5684</v>
      </c>
      <c r="B4517" s="3" t="s">
        <v>1580</v>
      </c>
      <c r="C4517" s="3" t="s">
        <v>31</v>
      </c>
      <c r="D4517" s="3" t="s">
        <v>23</v>
      </c>
      <c r="E4517" s="3" t="s">
        <v>24</v>
      </c>
      <c r="F4517" s="3" t="s">
        <v>25</v>
      </c>
      <c r="G4517" s="3" t="s">
        <v>84</v>
      </c>
      <c r="H4517" s="3" t="s">
        <v>27</v>
      </c>
      <c r="I4517" s="3" t="s">
        <v>50</v>
      </c>
      <c r="J4517" s="3" t="n">
        <v>27</v>
      </c>
      <c r="K4517" s="3" t="n">
        <v>12178.06</v>
      </c>
      <c r="L4517" s="3" t="n">
        <v>328807.62</v>
      </c>
      <c r="M4517" s="3" t="n">
        <v>0.1096</v>
      </c>
      <c r="N4517" s="3" t="n">
        <v>36037.32</v>
      </c>
      <c r="O4517" s="3" t="n">
        <v>292770.3</v>
      </c>
      <c r="P4517" s="3" t="n">
        <v>203860.72</v>
      </c>
      <c r="Q4517" s="3" t="n">
        <v>88909.58</v>
      </c>
      <c r="R4517" s="3" t="n">
        <v>0.3037</v>
      </c>
      <c r="S4517" s="3" t="n">
        <v>0.093</v>
      </c>
      <c r="T4517" s="3" t="n">
        <v>0.0166</v>
      </c>
    </row>
    <row r="4518" customFormat="false" ht="15" hidden="false" customHeight="true" outlineLevel="0" collapsed="false">
      <c r="A4518" s="3" t="s">
        <v>5685</v>
      </c>
      <c r="B4518" s="3" t="s">
        <v>1660</v>
      </c>
      <c r="C4518" s="3" t="s">
        <v>31</v>
      </c>
      <c r="D4518" s="3" t="s">
        <v>61</v>
      </c>
      <c r="E4518" s="3" t="s">
        <v>33</v>
      </c>
      <c r="F4518" s="3" t="s">
        <v>62</v>
      </c>
      <c r="G4518" s="3" t="s">
        <v>55</v>
      </c>
      <c r="H4518" s="3" t="s">
        <v>42</v>
      </c>
      <c r="I4518" s="3" t="s">
        <v>134</v>
      </c>
      <c r="J4518" s="3" t="n">
        <v>16</v>
      </c>
      <c r="K4518" s="3" t="n">
        <v>2203.84</v>
      </c>
      <c r="L4518" s="3" t="n">
        <v>35261.44</v>
      </c>
      <c r="M4518" s="3" t="n">
        <v>0.0788</v>
      </c>
      <c r="N4518" s="3" t="n">
        <v>2778.6</v>
      </c>
      <c r="O4518" s="3" t="n">
        <v>32482.84</v>
      </c>
      <c r="P4518" s="3" t="n">
        <v>19393.79</v>
      </c>
      <c r="Q4518" s="3" t="n">
        <v>13089.05</v>
      </c>
      <c r="R4518" s="3" t="n">
        <v>0.403</v>
      </c>
      <c r="S4518" s="3" t="n">
        <v>0.072</v>
      </c>
      <c r="T4518" s="3" t="n">
        <v>0.0068</v>
      </c>
    </row>
    <row r="4519" customFormat="false" ht="15" hidden="false" customHeight="true" outlineLevel="0" collapsed="false">
      <c r="A4519" s="3" t="s">
        <v>5686</v>
      </c>
      <c r="B4519" s="3" t="s">
        <v>384</v>
      </c>
      <c r="C4519" s="3" t="s">
        <v>31</v>
      </c>
      <c r="D4519" s="3" t="s">
        <v>38</v>
      </c>
      <c r="E4519" s="3" t="s">
        <v>39</v>
      </c>
      <c r="F4519" s="3" t="s">
        <v>40</v>
      </c>
      <c r="G4519" s="3" t="s">
        <v>49</v>
      </c>
      <c r="H4519" s="3" t="s">
        <v>56</v>
      </c>
      <c r="I4519" s="3" t="s">
        <v>121</v>
      </c>
      <c r="J4519" s="3" t="n">
        <v>39</v>
      </c>
      <c r="K4519" s="3" t="n">
        <v>11289.6</v>
      </c>
      <c r="L4519" s="3" t="n">
        <v>440294.4</v>
      </c>
      <c r="M4519" s="3" t="n">
        <v>0.0578</v>
      </c>
      <c r="N4519" s="3" t="n">
        <v>25449.02</v>
      </c>
      <c r="O4519" s="3" t="n">
        <v>414845.38</v>
      </c>
      <c r="P4519" s="3" t="n">
        <v>264176.64</v>
      </c>
      <c r="Q4519" s="3" t="n">
        <v>150668.74</v>
      </c>
      <c r="R4519" s="3" t="n">
        <v>0.3632</v>
      </c>
      <c r="S4519" s="3" t="n">
        <v>0.0593</v>
      </c>
      <c r="T4519" s="3" t="n">
        <v>-0.0015</v>
      </c>
    </row>
    <row r="4520" customFormat="false" ht="15" hidden="false" customHeight="true" outlineLevel="0" collapsed="false">
      <c r="A4520" s="3" t="s">
        <v>5687</v>
      </c>
      <c r="B4520" s="3" t="s">
        <v>2797</v>
      </c>
      <c r="C4520" s="3" t="s">
        <v>68</v>
      </c>
      <c r="D4520" s="3" t="s">
        <v>83</v>
      </c>
      <c r="E4520" s="3" t="s">
        <v>48</v>
      </c>
      <c r="F4520" s="3" t="s">
        <v>62</v>
      </c>
      <c r="G4520" s="3" t="s">
        <v>63</v>
      </c>
      <c r="H4520" s="3" t="s">
        <v>64</v>
      </c>
      <c r="I4520" s="3" t="s">
        <v>90</v>
      </c>
      <c r="J4520" s="3" t="n">
        <v>40</v>
      </c>
      <c r="K4520" s="3" t="n">
        <v>6283.55</v>
      </c>
      <c r="L4520" s="3" t="n">
        <v>251342</v>
      </c>
      <c r="M4520" s="3" t="n">
        <v>0.0521</v>
      </c>
      <c r="N4520" s="3" t="n">
        <v>13094.92</v>
      </c>
      <c r="O4520" s="3" t="n">
        <v>238247.08</v>
      </c>
      <c r="P4520" s="3" t="n">
        <v>145778.36</v>
      </c>
      <c r="Q4520" s="3" t="n">
        <v>92468.72</v>
      </c>
      <c r="R4520" s="3" t="n">
        <v>0.3881</v>
      </c>
      <c r="S4520" s="3" t="n">
        <v>0.0499</v>
      </c>
      <c r="T4520" s="3" t="n">
        <v>0.0022</v>
      </c>
    </row>
    <row r="4521" customFormat="false" ht="15" hidden="false" customHeight="true" outlineLevel="0" collapsed="false">
      <c r="A4521" s="3" t="s">
        <v>5688</v>
      </c>
      <c r="B4521" s="3" t="s">
        <v>5689</v>
      </c>
      <c r="C4521" s="3" t="s">
        <v>46</v>
      </c>
      <c r="D4521" s="3" t="s">
        <v>107</v>
      </c>
      <c r="E4521" s="3" t="s">
        <v>33</v>
      </c>
      <c r="F4521" s="3" t="s">
        <v>70</v>
      </c>
      <c r="G4521" s="3" t="s">
        <v>100</v>
      </c>
      <c r="H4521" s="3" t="s">
        <v>77</v>
      </c>
      <c r="I4521" s="3" t="s">
        <v>78</v>
      </c>
      <c r="J4521" s="3" t="n">
        <v>44</v>
      </c>
      <c r="K4521" s="3" t="n">
        <v>4788.04</v>
      </c>
      <c r="L4521" s="3" t="n">
        <v>210673.76</v>
      </c>
      <c r="M4521" s="3" t="n">
        <v>0.064</v>
      </c>
      <c r="N4521" s="3" t="n">
        <v>13483.12</v>
      </c>
      <c r="O4521" s="3" t="n">
        <v>197190.64</v>
      </c>
      <c r="P4521" s="3" t="n">
        <v>143258.16</v>
      </c>
      <c r="Q4521" s="3" t="n">
        <v>53932.48</v>
      </c>
      <c r="R4521" s="3" t="n">
        <v>0.2735</v>
      </c>
      <c r="S4521" s="3" t="n">
        <v>0.0599</v>
      </c>
      <c r="T4521" s="3" t="n">
        <v>0.0041</v>
      </c>
    </row>
    <row r="4522" customFormat="false" ht="15" hidden="false" customHeight="true" outlineLevel="0" collapsed="false">
      <c r="A4522" s="3" t="s">
        <v>5690</v>
      </c>
      <c r="B4522" s="3" t="s">
        <v>130</v>
      </c>
      <c r="C4522" s="3" t="s">
        <v>46</v>
      </c>
      <c r="D4522" s="3" t="s">
        <v>69</v>
      </c>
      <c r="E4522" s="3" t="s">
        <v>39</v>
      </c>
      <c r="F4522" s="3" t="s">
        <v>70</v>
      </c>
      <c r="G4522" s="3" t="s">
        <v>100</v>
      </c>
      <c r="H4522" s="3" t="s">
        <v>27</v>
      </c>
      <c r="I4522" s="3" t="s">
        <v>94</v>
      </c>
      <c r="J4522" s="3" t="n">
        <v>17</v>
      </c>
      <c r="K4522" s="3" t="n">
        <v>16101.29</v>
      </c>
      <c r="L4522" s="3" t="n">
        <v>273721.93</v>
      </c>
      <c r="M4522" s="3" t="n">
        <v>0.0432</v>
      </c>
      <c r="N4522" s="3" t="n">
        <v>11824.79</v>
      </c>
      <c r="O4522" s="3" t="n">
        <v>261897.14</v>
      </c>
      <c r="P4522" s="3" t="n">
        <v>169707.6</v>
      </c>
      <c r="Q4522" s="3" t="n">
        <v>92189.54</v>
      </c>
      <c r="R4522" s="3" t="n">
        <v>0.352</v>
      </c>
      <c r="S4522" s="3" t="n">
        <v>0.0354</v>
      </c>
      <c r="T4522" s="3" t="n">
        <v>0.0078</v>
      </c>
    </row>
    <row r="4523" customFormat="false" ht="15" hidden="false" customHeight="true" outlineLevel="0" collapsed="false">
      <c r="A4523" s="3" t="s">
        <v>5691</v>
      </c>
      <c r="B4523" s="3" t="s">
        <v>147</v>
      </c>
      <c r="C4523" s="3" t="s">
        <v>60</v>
      </c>
      <c r="D4523" s="3" t="s">
        <v>47</v>
      </c>
      <c r="E4523" s="3" t="s">
        <v>48</v>
      </c>
      <c r="F4523" s="3" t="s">
        <v>25</v>
      </c>
      <c r="G4523" s="3" t="s">
        <v>41</v>
      </c>
      <c r="H4523" s="3" t="s">
        <v>64</v>
      </c>
      <c r="I4523" s="3" t="s">
        <v>145</v>
      </c>
      <c r="J4523" s="3" t="n">
        <v>17</v>
      </c>
      <c r="K4523" s="3" t="n">
        <v>6050.53</v>
      </c>
      <c r="L4523" s="3" t="n">
        <v>102859.01</v>
      </c>
      <c r="M4523" s="3" t="n">
        <v>0.162</v>
      </c>
      <c r="N4523" s="3" t="n">
        <v>16663.16</v>
      </c>
      <c r="O4523" s="3" t="n">
        <v>86195.85</v>
      </c>
      <c r="P4523" s="3" t="n">
        <v>59658.23</v>
      </c>
      <c r="Q4523" s="3" t="n">
        <v>26537.62</v>
      </c>
      <c r="R4523" s="3" t="n">
        <v>0.3079</v>
      </c>
      <c r="S4523" s="3" t="n">
        <v>0.1335</v>
      </c>
      <c r="T4523" s="3" t="n">
        <v>0.0285</v>
      </c>
    </row>
    <row r="4524" customFormat="false" ht="15" hidden="false" customHeight="true" outlineLevel="0" collapsed="false">
      <c r="A4524" s="3" t="s">
        <v>5692</v>
      </c>
      <c r="B4524" s="3" t="s">
        <v>909</v>
      </c>
      <c r="C4524" s="3" t="s">
        <v>22</v>
      </c>
      <c r="D4524" s="3" t="s">
        <v>69</v>
      </c>
      <c r="E4524" s="3" t="s">
        <v>39</v>
      </c>
      <c r="F4524" s="3" t="s">
        <v>70</v>
      </c>
      <c r="G4524" s="3" t="s">
        <v>100</v>
      </c>
      <c r="H4524" s="3" t="s">
        <v>56</v>
      </c>
      <c r="I4524" s="3" t="s">
        <v>57</v>
      </c>
      <c r="J4524" s="3" t="n">
        <v>24</v>
      </c>
      <c r="K4524" s="3" t="n">
        <v>9281.63</v>
      </c>
      <c r="L4524" s="3" t="n">
        <v>222759.12</v>
      </c>
      <c r="M4524" s="3" t="n">
        <v>0.0492</v>
      </c>
      <c r="N4524" s="3" t="n">
        <v>10959.75</v>
      </c>
      <c r="O4524" s="3" t="n">
        <v>211799.37</v>
      </c>
      <c r="P4524" s="3" t="n">
        <v>133655.47</v>
      </c>
      <c r="Q4524" s="3" t="n">
        <v>78143.9</v>
      </c>
      <c r="R4524" s="3" t="n">
        <v>0.369</v>
      </c>
      <c r="S4524" s="3" t="n">
        <v>0.0509</v>
      </c>
      <c r="T4524" s="3" t="n">
        <v>-0.0017</v>
      </c>
    </row>
    <row r="4525" customFormat="false" ht="15" hidden="false" customHeight="true" outlineLevel="0" collapsed="false">
      <c r="A4525" s="3" t="s">
        <v>5693</v>
      </c>
      <c r="B4525" s="3" t="s">
        <v>2019</v>
      </c>
      <c r="C4525" s="3" t="s">
        <v>68</v>
      </c>
      <c r="D4525" s="3" t="s">
        <v>38</v>
      </c>
      <c r="E4525" s="3" t="s">
        <v>39</v>
      </c>
      <c r="F4525" s="3" t="s">
        <v>40</v>
      </c>
      <c r="G4525" s="3" t="s">
        <v>55</v>
      </c>
      <c r="H4525" s="3" t="s">
        <v>27</v>
      </c>
      <c r="I4525" s="3" t="s">
        <v>94</v>
      </c>
      <c r="J4525" s="3" t="n">
        <v>31</v>
      </c>
      <c r="K4525" s="3" t="n">
        <v>34643.4</v>
      </c>
      <c r="L4525" s="3" t="n">
        <v>1073945.4</v>
      </c>
      <c r="M4525" s="3" t="n">
        <v>0.0466</v>
      </c>
      <c r="N4525" s="3" t="n">
        <v>50045.86</v>
      </c>
      <c r="O4525" s="3" t="n">
        <v>1023899.54</v>
      </c>
      <c r="P4525" s="3" t="n">
        <v>665846.15</v>
      </c>
      <c r="Q4525" s="3" t="n">
        <v>358053.39</v>
      </c>
      <c r="R4525" s="3" t="n">
        <v>0.3497</v>
      </c>
      <c r="S4525" s="3" t="n">
        <v>0.0456</v>
      </c>
      <c r="T4525" s="3" t="n">
        <v>0.001</v>
      </c>
    </row>
    <row r="4526" customFormat="false" ht="15" hidden="false" customHeight="true" outlineLevel="0" collapsed="false">
      <c r="A4526" s="3" t="s">
        <v>5694</v>
      </c>
      <c r="B4526" s="3" t="s">
        <v>649</v>
      </c>
      <c r="C4526" s="3" t="s">
        <v>37</v>
      </c>
      <c r="D4526" s="3" t="s">
        <v>23</v>
      </c>
      <c r="E4526" s="3" t="s">
        <v>24</v>
      </c>
      <c r="F4526" s="3" t="s">
        <v>25</v>
      </c>
      <c r="G4526" s="3" t="s">
        <v>41</v>
      </c>
      <c r="H4526" s="3" t="s">
        <v>56</v>
      </c>
      <c r="I4526" s="3" t="s">
        <v>188</v>
      </c>
      <c r="J4526" s="3" t="n">
        <v>39</v>
      </c>
      <c r="K4526" s="3" t="n">
        <v>13687.54</v>
      </c>
      <c r="L4526" s="3" t="n">
        <v>533814.06</v>
      </c>
      <c r="M4526" s="3" t="n">
        <v>0.1911</v>
      </c>
      <c r="N4526" s="3" t="n">
        <v>102011.87</v>
      </c>
      <c r="O4526" s="3" t="n">
        <v>431802.19</v>
      </c>
      <c r="P4526" s="3" t="n">
        <v>320288.44</v>
      </c>
      <c r="Q4526" s="3" t="n">
        <v>111513.75</v>
      </c>
      <c r="R4526" s="3" t="n">
        <v>0.2583</v>
      </c>
      <c r="S4526" s="3" t="n">
        <v>0.1866</v>
      </c>
      <c r="T4526" s="3" t="n">
        <v>0.0045</v>
      </c>
    </row>
    <row r="4527" customFormat="false" ht="15" hidden="false" customHeight="true" outlineLevel="0" collapsed="false">
      <c r="A4527" s="3" t="s">
        <v>5695</v>
      </c>
      <c r="B4527" s="3" t="s">
        <v>1400</v>
      </c>
      <c r="C4527" s="3" t="s">
        <v>46</v>
      </c>
      <c r="D4527" s="3" t="s">
        <v>103</v>
      </c>
      <c r="E4527" s="3" t="s">
        <v>24</v>
      </c>
      <c r="F4527" s="3" t="s">
        <v>62</v>
      </c>
      <c r="G4527" s="3" t="s">
        <v>26</v>
      </c>
      <c r="H4527" s="3" t="s">
        <v>42</v>
      </c>
      <c r="I4527" s="3" t="s">
        <v>134</v>
      </c>
      <c r="J4527" s="3" t="n">
        <v>15</v>
      </c>
      <c r="K4527" s="3" t="n">
        <v>896.58</v>
      </c>
      <c r="L4527" s="3" t="n">
        <v>13448.7</v>
      </c>
      <c r="M4527" s="3" t="n">
        <v>0.049</v>
      </c>
      <c r="N4527" s="3" t="n">
        <v>658.99</v>
      </c>
      <c r="O4527" s="3" t="n">
        <v>12789.71</v>
      </c>
      <c r="P4527" s="3" t="n">
        <v>7396.79</v>
      </c>
      <c r="Q4527" s="3" t="n">
        <v>5392.92</v>
      </c>
      <c r="R4527" s="3" t="n">
        <v>0.4217</v>
      </c>
      <c r="S4527" s="3" t="n">
        <v>0.0434</v>
      </c>
      <c r="T4527" s="3" t="n">
        <v>0.0056</v>
      </c>
    </row>
    <row r="4528" customFormat="false" ht="15" hidden="false" customHeight="true" outlineLevel="0" collapsed="false">
      <c r="A4528" s="3" t="s">
        <v>5696</v>
      </c>
      <c r="B4528" s="3" t="s">
        <v>443</v>
      </c>
      <c r="C4528" s="3" t="s">
        <v>126</v>
      </c>
      <c r="D4528" s="3" t="s">
        <v>103</v>
      </c>
      <c r="E4528" s="3" t="s">
        <v>24</v>
      </c>
      <c r="F4528" s="3" t="s">
        <v>62</v>
      </c>
      <c r="G4528" s="3" t="s">
        <v>55</v>
      </c>
      <c r="H4528" s="3" t="s">
        <v>56</v>
      </c>
      <c r="I4528" s="3" t="s">
        <v>188</v>
      </c>
      <c r="J4528" s="3" t="n">
        <v>20</v>
      </c>
      <c r="K4528" s="3" t="n">
        <v>5585.87</v>
      </c>
      <c r="L4528" s="3" t="n">
        <v>111717.4</v>
      </c>
      <c r="M4528" s="3" t="n">
        <v>0.0763</v>
      </c>
      <c r="N4528" s="3" t="n">
        <v>8524.04</v>
      </c>
      <c r="O4528" s="3" t="n">
        <v>103193.36</v>
      </c>
      <c r="P4528" s="3" t="n">
        <v>67030.44</v>
      </c>
      <c r="Q4528" s="3" t="n">
        <v>36162.92</v>
      </c>
      <c r="R4528" s="3" t="n">
        <v>0.3504</v>
      </c>
      <c r="S4528" s="3" t="n">
        <v>0.0704</v>
      </c>
      <c r="T4528" s="3" t="n">
        <v>0.0059</v>
      </c>
    </row>
    <row r="4529" customFormat="false" ht="15" hidden="false" customHeight="true" outlineLevel="0" collapsed="false">
      <c r="A4529" s="3" t="s">
        <v>5697</v>
      </c>
      <c r="B4529" s="3" t="s">
        <v>160</v>
      </c>
      <c r="C4529" s="3" t="s">
        <v>31</v>
      </c>
      <c r="D4529" s="3" t="s">
        <v>23</v>
      </c>
      <c r="E4529" s="3" t="s">
        <v>24</v>
      </c>
      <c r="F4529" s="3" t="s">
        <v>25</v>
      </c>
      <c r="G4529" s="3" t="s">
        <v>41</v>
      </c>
      <c r="H4529" s="3" t="s">
        <v>77</v>
      </c>
      <c r="I4529" s="3" t="s">
        <v>131</v>
      </c>
      <c r="J4529" s="3" t="n">
        <v>15</v>
      </c>
      <c r="K4529" s="3" t="n">
        <v>2104.53</v>
      </c>
      <c r="L4529" s="3" t="n">
        <v>31567.95</v>
      </c>
      <c r="M4529" s="3" t="n">
        <v>0.1752</v>
      </c>
      <c r="N4529" s="3" t="n">
        <v>5530.7</v>
      </c>
      <c r="O4529" s="3" t="n">
        <v>26037.25</v>
      </c>
      <c r="P4529" s="3" t="n">
        <v>21466.21</v>
      </c>
      <c r="Q4529" s="3" t="n">
        <v>4571.04</v>
      </c>
      <c r="R4529" s="3" t="n">
        <v>0.1756</v>
      </c>
      <c r="S4529" s="3" t="n">
        <v>0.1579</v>
      </c>
      <c r="T4529" s="3" t="n">
        <v>0.0173</v>
      </c>
    </row>
    <row r="4530" customFormat="false" ht="15" hidden="false" customHeight="true" outlineLevel="0" collapsed="false">
      <c r="A4530" s="3" t="s">
        <v>5698</v>
      </c>
      <c r="B4530" s="3" t="s">
        <v>783</v>
      </c>
      <c r="C4530" s="3" t="s">
        <v>156</v>
      </c>
      <c r="D4530" s="3" t="s">
        <v>69</v>
      </c>
      <c r="E4530" s="3" t="s">
        <v>39</v>
      </c>
      <c r="F4530" s="3" t="s">
        <v>70</v>
      </c>
      <c r="G4530" s="3" t="s">
        <v>26</v>
      </c>
      <c r="H4530" s="3" t="s">
        <v>42</v>
      </c>
      <c r="I4530" s="3" t="s">
        <v>43</v>
      </c>
      <c r="J4530" s="3" t="n">
        <v>31</v>
      </c>
      <c r="K4530" s="3" t="n">
        <v>1789.5</v>
      </c>
      <c r="L4530" s="3" t="n">
        <v>55474.5</v>
      </c>
      <c r="M4530" s="3" t="n">
        <v>0.0457</v>
      </c>
      <c r="N4530" s="3" t="n">
        <v>2535.18</v>
      </c>
      <c r="O4530" s="3" t="n">
        <v>52939.32</v>
      </c>
      <c r="P4530" s="3" t="n">
        <v>30510.98</v>
      </c>
      <c r="Q4530" s="3" t="n">
        <v>22428.34</v>
      </c>
      <c r="R4530" s="3" t="n">
        <v>0.4237</v>
      </c>
      <c r="S4530" s="3" t="n">
        <v>0.0444</v>
      </c>
      <c r="T4530" s="3" t="n">
        <v>0.0013</v>
      </c>
    </row>
    <row r="4531" customFormat="false" ht="15" hidden="false" customHeight="true" outlineLevel="0" collapsed="false">
      <c r="A4531" s="3" t="s">
        <v>5699</v>
      </c>
      <c r="B4531" s="3" t="s">
        <v>1050</v>
      </c>
      <c r="C4531" s="3" t="s">
        <v>93</v>
      </c>
      <c r="D4531" s="3" t="s">
        <v>75</v>
      </c>
      <c r="E4531" s="3" t="s">
        <v>39</v>
      </c>
      <c r="F4531" s="3" t="s">
        <v>25</v>
      </c>
      <c r="G4531" s="3" t="s">
        <v>26</v>
      </c>
      <c r="H4531" s="3" t="s">
        <v>56</v>
      </c>
      <c r="I4531" s="3" t="s">
        <v>188</v>
      </c>
      <c r="J4531" s="3" t="n">
        <v>39</v>
      </c>
      <c r="K4531" s="3" t="n">
        <v>13262.82</v>
      </c>
      <c r="L4531" s="3" t="n">
        <v>517249.98</v>
      </c>
      <c r="M4531" s="3" t="n">
        <v>0.0902</v>
      </c>
      <c r="N4531" s="3" t="n">
        <v>46655.95</v>
      </c>
      <c r="O4531" s="3" t="n">
        <v>470594.03</v>
      </c>
      <c r="P4531" s="3" t="n">
        <v>310349.99</v>
      </c>
      <c r="Q4531" s="3" t="n">
        <v>160244.04</v>
      </c>
      <c r="R4531" s="3" t="n">
        <v>0.3405</v>
      </c>
      <c r="S4531" s="3" t="n">
        <v>0.0873</v>
      </c>
      <c r="T4531" s="3" t="n">
        <v>0.0029</v>
      </c>
    </row>
    <row r="4532" customFormat="false" ht="15" hidden="false" customHeight="true" outlineLevel="0" collapsed="false">
      <c r="A4532" s="3" t="s">
        <v>5700</v>
      </c>
      <c r="B4532" s="3" t="s">
        <v>231</v>
      </c>
      <c r="C4532" s="3" t="s">
        <v>93</v>
      </c>
      <c r="D4532" s="3" t="s">
        <v>23</v>
      </c>
      <c r="E4532" s="3" t="s">
        <v>24</v>
      </c>
      <c r="F4532" s="3" t="s">
        <v>25</v>
      </c>
      <c r="G4532" s="3" t="s">
        <v>84</v>
      </c>
      <c r="H4532" s="3" t="s">
        <v>42</v>
      </c>
      <c r="I4532" s="3" t="s">
        <v>72</v>
      </c>
      <c r="J4532" s="3" t="n">
        <v>36</v>
      </c>
      <c r="K4532" s="3" t="n">
        <v>2264.87</v>
      </c>
      <c r="L4532" s="3" t="n">
        <v>81535.32</v>
      </c>
      <c r="M4532" s="3" t="n">
        <v>0.1334</v>
      </c>
      <c r="N4532" s="3" t="n">
        <v>10876.81</v>
      </c>
      <c r="O4532" s="3" t="n">
        <v>70658.51</v>
      </c>
      <c r="P4532" s="3" t="n">
        <v>44844.43</v>
      </c>
      <c r="Q4532" s="3" t="n">
        <v>25814.08</v>
      </c>
      <c r="R4532" s="3" t="n">
        <v>0.3653</v>
      </c>
      <c r="S4532" s="3" t="n">
        <v>0.1462</v>
      </c>
      <c r="T4532" s="3" t="n">
        <v>-0.0128</v>
      </c>
    </row>
    <row r="4533" customFormat="false" ht="15" hidden="false" customHeight="true" outlineLevel="0" collapsed="false">
      <c r="A4533" s="3" t="s">
        <v>5701</v>
      </c>
      <c r="B4533" s="3" t="s">
        <v>413</v>
      </c>
      <c r="C4533" s="3" t="s">
        <v>68</v>
      </c>
      <c r="D4533" s="3" t="s">
        <v>83</v>
      </c>
      <c r="E4533" s="3" t="s">
        <v>48</v>
      </c>
      <c r="F4533" s="3" t="s">
        <v>62</v>
      </c>
      <c r="G4533" s="3" t="s">
        <v>104</v>
      </c>
      <c r="H4533" s="3" t="s">
        <v>77</v>
      </c>
      <c r="I4533" s="3" t="s">
        <v>131</v>
      </c>
      <c r="J4533" s="3" t="n">
        <v>31</v>
      </c>
      <c r="K4533" s="3" t="n">
        <v>4022.35</v>
      </c>
      <c r="L4533" s="3" t="n">
        <v>124692.85</v>
      </c>
      <c r="M4533" s="3" t="n">
        <v>0.096</v>
      </c>
      <c r="N4533" s="3" t="n">
        <v>11970.51</v>
      </c>
      <c r="O4533" s="3" t="n">
        <v>112722.34</v>
      </c>
      <c r="P4533" s="3" t="n">
        <v>84791.14</v>
      </c>
      <c r="Q4533" s="3" t="n">
        <v>27931.2</v>
      </c>
      <c r="R4533" s="3" t="n">
        <v>0.2478</v>
      </c>
      <c r="S4533" s="3" t="n">
        <v>0.0977</v>
      </c>
      <c r="T4533" s="3" t="n">
        <v>-0.0017</v>
      </c>
    </row>
    <row r="4534" customFormat="false" ht="15" hidden="false" customHeight="true" outlineLevel="0" collapsed="false">
      <c r="A4534" s="3" t="s">
        <v>5702</v>
      </c>
      <c r="B4534" s="3" t="s">
        <v>1135</v>
      </c>
      <c r="C4534" s="3" t="s">
        <v>37</v>
      </c>
      <c r="D4534" s="3" t="s">
        <v>47</v>
      </c>
      <c r="E4534" s="3" t="s">
        <v>48</v>
      </c>
      <c r="F4534" s="3" t="s">
        <v>25</v>
      </c>
      <c r="G4534" s="3" t="s">
        <v>104</v>
      </c>
      <c r="H4534" s="3" t="s">
        <v>77</v>
      </c>
      <c r="I4534" s="3" t="s">
        <v>78</v>
      </c>
      <c r="J4534" s="3" t="n">
        <v>43</v>
      </c>
      <c r="K4534" s="3" t="n">
        <v>3932.25</v>
      </c>
      <c r="L4534" s="3" t="n">
        <v>169086.75</v>
      </c>
      <c r="M4534" s="3" t="n">
        <v>0.1908</v>
      </c>
      <c r="N4534" s="3" t="n">
        <v>32261.75</v>
      </c>
      <c r="O4534" s="3" t="n">
        <v>136825</v>
      </c>
      <c r="P4534" s="3" t="n">
        <v>114978.99</v>
      </c>
      <c r="Q4534" s="3" t="n">
        <v>21846.01</v>
      </c>
      <c r="R4534" s="3" t="n">
        <v>0.1597</v>
      </c>
      <c r="S4534" s="3" t="n">
        <v>0.2085</v>
      </c>
      <c r="T4534" s="3" t="n">
        <v>-0.0177</v>
      </c>
    </row>
    <row r="4535" customFormat="false" ht="15" hidden="false" customHeight="true" outlineLevel="0" collapsed="false">
      <c r="A4535" s="3" t="s">
        <v>5703</v>
      </c>
      <c r="B4535" s="3" t="s">
        <v>759</v>
      </c>
      <c r="C4535" s="3" t="s">
        <v>60</v>
      </c>
      <c r="D4535" s="3" t="s">
        <v>32</v>
      </c>
      <c r="E4535" s="3" t="s">
        <v>33</v>
      </c>
      <c r="F4535" s="3" t="s">
        <v>25</v>
      </c>
      <c r="G4535" s="3" t="s">
        <v>49</v>
      </c>
      <c r="H4535" s="3" t="s">
        <v>42</v>
      </c>
      <c r="I4535" s="3" t="s">
        <v>134</v>
      </c>
      <c r="J4535" s="3" t="n">
        <v>29</v>
      </c>
      <c r="K4535" s="3" t="n">
        <v>2816.16</v>
      </c>
      <c r="L4535" s="3" t="n">
        <v>81668.64</v>
      </c>
      <c r="M4535" s="3" t="n">
        <v>0.1533</v>
      </c>
      <c r="N4535" s="3" t="n">
        <v>12519.8</v>
      </c>
      <c r="O4535" s="3" t="n">
        <v>69148.84</v>
      </c>
      <c r="P4535" s="3" t="n">
        <v>44917.75</v>
      </c>
      <c r="Q4535" s="3" t="n">
        <v>24231.09</v>
      </c>
      <c r="R4535" s="3" t="n">
        <v>0.3504</v>
      </c>
      <c r="S4535" s="3" t="n">
        <v>0.1661</v>
      </c>
      <c r="T4535" s="3" t="n">
        <v>-0.0128</v>
      </c>
    </row>
    <row r="4536" customFormat="false" ht="15" hidden="false" customHeight="true" outlineLevel="0" collapsed="false">
      <c r="A4536" s="3" t="s">
        <v>5704</v>
      </c>
      <c r="B4536" s="3" t="s">
        <v>775</v>
      </c>
      <c r="C4536" s="3" t="s">
        <v>60</v>
      </c>
      <c r="D4536" s="3" t="s">
        <v>97</v>
      </c>
      <c r="E4536" s="3" t="s">
        <v>48</v>
      </c>
      <c r="F4536" s="3" t="s">
        <v>40</v>
      </c>
      <c r="G4536" s="3" t="s">
        <v>104</v>
      </c>
      <c r="H4536" s="3" t="s">
        <v>27</v>
      </c>
      <c r="I4536" s="3" t="s">
        <v>28</v>
      </c>
      <c r="J4536" s="3" t="n">
        <v>40</v>
      </c>
      <c r="K4536" s="3" t="n">
        <v>37730.56</v>
      </c>
      <c r="L4536" s="3" t="n">
        <v>1509222.4</v>
      </c>
      <c r="M4536" s="3" t="n">
        <v>0.0688</v>
      </c>
      <c r="N4536" s="3" t="n">
        <v>103834.5</v>
      </c>
      <c r="O4536" s="3" t="n">
        <v>1405387.9</v>
      </c>
      <c r="P4536" s="3" t="n">
        <v>935717.89</v>
      </c>
      <c r="Q4536" s="3" t="n">
        <v>469670.01</v>
      </c>
      <c r="R4536" s="3" t="n">
        <v>0.3342</v>
      </c>
      <c r="S4536" s="3" t="n">
        <v>0.0634</v>
      </c>
      <c r="T4536" s="3" t="n">
        <v>0.0054</v>
      </c>
    </row>
    <row r="4537" customFormat="false" ht="15" hidden="false" customHeight="true" outlineLevel="0" collapsed="false">
      <c r="A4537" s="3" t="s">
        <v>5705</v>
      </c>
      <c r="B4537" s="3" t="s">
        <v>3216</v>
      </c>
      <c r="C4537" s="3" t="s">
        <v>22</v>
      </c>
      <c r="D4537" s="3" t="s">
        <v>75</v>
      </c>
      <c r="E4537" s="3" t="s">
        <v>39</v>
      </c>
      <c r="F4537" s="3" t="s">
        <v>25</v>
      </c>
      <c r="G4537" s="3" t="s">
        <v>41</v>
      </c>
      <c r="H4537" s="3" t="s">
        <v>77</v>
      </c>
      <c r="I4537" s="3" t="s">
        <v>85</v>
      </c>
      <c r="J4537" s="3" t="n">
        <v>25</v>
      </c>
      <c r="K4537" s="3" t="n">
        <v>2859.03</v>
      </c>
      <c r="L4537" s="3" t="n">
        <v>71475.75</v>
      </c>
      <c r="M4537" s="3" t="n">
        <v>0.1407</v>
      </c>
      <c r="N4537" s="3" t="n">
        <v>10056.64</v>
      </c>
      <c r="O4537" s="3" t="n">
        <v>61419.11</v>
      </c>
      <c r="P4537" s="3" t="n">
        <v>48603.51</v>
      </c>
      <c r="Q4537" s="3" t="n">
        <v>12815.6</v>
      </c>
      <c r="R4537" s="3" t="n">
        <v>0.2087</v>
      </c>
      <c r="S4537" s="3" t="n">
        <v>0.1437</v>
      </c>
      <c r="T4537" s="3" t="n">
        <v>-0.003</v>
      </c>
    </row>
    <row r="4538" customFormat="false" ht="15" hidden="false" customHeight="true" outlineLevel="0" collapsed="false">
      <c r="A4538" s="3" t="s">
        <v>5706</v>
      </c>
      <c r="B4538" s="3" t="s">
        <v>1512</v>
      </c>
      <c r="C4538" s="3" t="s">
        <v>31</v>
      </c>
      <c r="D4538" s="3" t="s">
        <v>47</v>
      </c>
      <c r="E4538" s="3" t="s">
        <v>48</v>
      </c>
      <c r="F4538" s="3" t="s">
        <v>25</v>
      </c>
      <c r="G4538" s="3" t="s">
        <v>116</v>
      </c>
      <c r="H4538" s="3" t="s">
        <v>77</v>
      </c>
      <c r="I4538" s="3" t="s">
        <v>131</v>
      </c>
      <c r="J4538" s="3" t="n">
        <v>21</v>
      </c>
      <c r="K4538" s="3" t="n">
        <v>3402.3</v>
      </c>
      <c r="L4538" s="3" t="n">
        <v>71448.3</v>
      </c>
      <c r="M4538" s="3" t="n">
        <v>0.1751</v>
      </c>
      <c r="N4538" s="3" t="n">
        <v>12510.6</v>
      </c>
      <c r="O4538" s="3" t="n">
        <v>58937.7</v>
      </c>
      <c r="P4538" s="3" t="n">
        <v>48584.84</v>
      </c>
      <c r="Q4538" s="3" t="n">
        <v>10352.86</v>
      </c>
      <c r="R4538" s="3" t="n">
        <v>0.1757</v>
      </c>
      <c r="S4538" s="3" t="n">
        <v>0.1487</v>
      </c>
      <c r="T4538" s="3" t="n">
        <v>0.0264</v>
      </c>
    </row>
    <row r="4539" customFormat="false" ht="15" hidden="false" customHeight="true" outlineLevel="0" collapsed="false">
      <c r="A4539" s="3" t="s">
        <v>5707</v>
      </c>
      <c r="B4539" s="3" t="s">
        <v>1706</v>
      </c>
      <c r="C4539" s="3" t="s">
        <v>156</v>
      </c>
      <c r="D4539" s="3" t="s">
        <v>23</v>
      </c>
      <c r="E4539" s="3" t="s">
        <v>24</v>
      </c>
      <c r="F4539" s="3" t="s">
        <v>25</v>
      </c>
      <c r="G4539" s="3" t="s">
        <v>116</v>
      </c>
      <c r="H4539" s="3" t="s">
        <v>42</v>
      </c>
      <c r="I4539" s="3" t="s">
        <v>72</v>
      </c>
      <c r="J4539" s="3" t="n">
        <v>38</v>
      </c>
      <c r="K4539" s="3" t="n">
        <v>3008.37</v>
      </c>
      <c r="L4539" s="3" t="n">
        <v>114318.06</v>
      </c>
      <c r="M4539" s="3" t="n">
        <v>0.2155</v>
      </c>
      <c r="N4539" s="3" t="n">
        <v>24635.54</v>
      </c>
      <c r="O4539" s="3" t="n">
        <v>89682.52</v>
      </c>
      <c r="P4539" s="3" t="n">
        <v>62874.93</v>
      </c>
      <c r="Q4539" s="3" t="n">
        <v>26807.59</v>
      </c>
      <c r="R4539" s="3" t="n">
        <v>0.2989</v>
      </c>
      <c r="S4539" s="3" t="n">
        <v>0.2359</v>
      </c>
      <c r="T4539" s="3" t="n">
        <v>-0.0204</v>
      </c>
    </row>
    <row r="4540" customFormat="false" ht="15" hidden="false" customHeight="true" outlineLevel="0" collapsed="false">
      <c r="A4540" s="3" t="s">
        <v>5708</v>
      </c>
      <c r="B4540" s="3" t="s">
        <v>3715</v>
      </c>
      <c r="C4540" s="3" t="s">
        <v>156</v>
      </c>
      <c r="D4540" s="3" t="s">
        <v>23</v>
      </c>
      <c r="E4540" s="3" t="s">
        <v>24</v>
      </c>
      <c r="F4540" s="3" t="s">
        <v>25</v>
      </c>
      <c r="G4540" s="3" t="s">
        <v>104</v>
      </c>
      <c r="H4540" s="3" t="s">
        <v>56</v>
      </c>
      <c r="I4540" s="3" t="s">
        <v>57</v>
      </c>
      <c r="J4540" s="3" t="n">
        <v>46</v>
      </c>
      <c r="K4540" s="3" t="n">
        <v>9917.51</v>
      </c>
      <c r="L4540" s="3" t="n">
        <v>456205.46</v>
      </c>
      <c r="M4540" s="3" t="n">
        <v>0.1438</v>
      </c>
      <c r="N4540" s="3" t="n">
        <v>65602.35</v>
      </c>
      <c r="O4540" s="3" t="n">
        <v>390603.11</v>
      </c>
      <c r="P4540" s="3" t="n">
        <v>273723.28</v>
      </c>
      <c r="Q4540" s="3" t="n">
        <v>116879.83</v>
      </c>
      <c r="R4540" s="3" t="n">
        <v>0.2992</v>
      </c>
      <c r="S4540" s="3" t="n">
        <v>0.1308</v>
      </c>
      <c r="T4540" s="3" t="n">
        <v>0.013</v>
      </c>
    </row>
    <row r="4541" customFormat="false" ht="15" hidden="false" customHeight="true" outlineLevel="0" collapsed="false">
      <c r="A4541" s="3" t="s">
        <v>5709</v>
      </c>
      <c r="B4541" s="3" t="s">
        <v>559</v>
      </c>
      <c r="C4541" s="3" t="s">
        <v>113</v>
      </c>
      <c r="D4541" s="3" t="s">
        <v>97</v>
      </c>
      <c r="E4541" s="3" t="s">
        <v>48</v>
      </c>
      <c r="F4541" s="3" t="s">
        <v>40</v>
      </c>
      <c r="G4541" s="3" t="s">
        <v>55</v>
      </c>
      <c r="H4541" s="3" t="s">
        <v>77</v>
      </c>
      <c r="I4541" s="3" t="s">
        <v>78</v>
      </c>
      <c r="J4541" s="3" t="n">
        <v>10</v>
      </c>
      <c r="K4541" s="3" t="n">
        <v>4207.95</v>
      </c>
      <c r="L4541" s="3" t="n">
        <v>42079.5</v>
      </c>
      <c r="M4541" s="3" t="n">
        <v>0.0519</v>
      </c>
      <c r="N4541" s="3" t="n">
        <v>2183.93</v>
      </c>
      <c r="O4541" s="3" t="n">
        <v>39895.57</v>
      </c>
      <c r="P4541" s="3" t="n">
        <v>28614.06</v>
      </c>
      <c r="Q4541" s="3" t="n">
        <v>11281.51</v>
      </c>
      <c r="R4541" s="3" t="n">
        <v>0.2828</v>
      </c>
      <c r="S4541" s="3" t="n">
        <v>0.055</v>
      </c>
      <c r="T4541" s="3" t="n">
        <v>-0.0031</v>
      </c>
    </row>
    <row r="4542" customFormat="false" ht="15" hidden="false" customHeight="true" outlineLevel="0" collapsed="false">
      <c r="A4542" s="3" t="s">
        <v>5710</v>
      </c>
      <c r="B4542" s="3" t="s">
        <v>805</v>
      </c>
      <c r="C4542" s="3" t="s">
        <v>113</v>
      </c>
      <c r="D4542" s="3" t="s">
        <v>103</v>
      </c>
      <c r="E4542" s="3" t="s">
        <v>24</v>
      </c>
      <c r="F4542" s="3" t="s">
        <v>62</v>
      </c>
      <c r="G4542" s="3" t="s">
        <v>26</v>
      </c>
      <c r="H4542" s="3" t="s">
        <v>27</v>
      </c>
      <c r="I4542" s="3" t="s">
        <v>173</v>
      </c>
      <c r="J4542" s="3" t="n">
        <v>2</v>
      </c>
      <c r="K4542" s="3" t="n">
        <v>30342.87</v>
      </c>
      <c r="L4542" s="3" t="n">
        <v>60685.74</v>
      </c>
      <c r="M4542" s="3" t="n">
        <v>0.0475</v>
      </c>
      <c r="N4542" s="3" t="n">
        <v>2882.57</v>
      </c>
      <c r="O4542" s="3" t="n">
        <v>57803.17</v>
      </c>
      <c r="P4542" s="3" t="n">
        <v>37625.16</v>
      </c>
      <c r="Q4542" s="3" t="n">
        <v>20178.01</v>
      </c>
      <c r="R4542" s="3" t="n">
        <v>0.3491</v>
      </c>
      <c r="S4542" s="3" t="n">
        <v>0.0501</v>
      </c>
      <c r="T4542" s="3" t="n">
        <v>-0.0026</v>
      </c>
    </row>
    <row r="4543" customFormat="false" ht="15" hidden="false" customHeight="true" outlineLevel="0" collapsed="false">
      <c r="A4543" s="3" t="s">
        <v>5711</v>
      </c>
      <c r="B4543" s="3" t="s">
        <v>2097</v>
      </c>
      <c r="C4543" s="3" t="s">
        <v>46</v>
      </c>
      <c r="D4543" s="3" t="s">
        <v>47</v>
      </c>
      <c r="E4543" s="3" t="s">
        <v>48</v>
      </c>
      <c r="F4543" s="3" t="s">
        <v>25</v>
      </c>
      <c r="G4543" s="3" t="s">
        <v>84</v>
      </c>
      <c r="H4543" s="3" t="s">
        <v>56</v>
      </c>
      <c r="I4543" s="3" t="s">
        <v>57</v>
      </c>
      <c r="J4543" s="3" t="n">
        <v>50</v>
      </c>
      <c r="K4543" s="3" t="n">
        <v>4906.76</v>
      </c>
      <c r="L4543" s="3" t="n">
        <v>245338</v>
      </c>
      <c r="M4543" s="3" t="n">
        <v>0.085</v>
      </c>
      <c r="N4543" s="3" t="n">
        <v>20853.73</v>
      </c>
      <c r="O4543" s="3" t="n">
        <v>224484.27</v>
      </c>
      <c r="P4543" s="3" t="n">
        <v>147202.8</v>
      </c>
      <c r="Q4543" s="3" t="n">
        <v>77281.47</v>
      </c>
      <c r="R4543" s="3" t="n">
        <v>0.3443</v>
      </c>
      <c r="S4543" s="3" t="n">
        <v>0.0819</v>
      </c>
      <c r="T4543" s="3" t="n">
        <v>0.0031</v>
      </c>
    </row>
    <row r="4544" customFormat="false" ht="15" hidden="false" customHeight="true" outlineLevel="0" collapsed="false">
      <c r="A4544" s="3" t="s">
        <v>5712</v>
      </c>
      <c r="B4544" s="3" t="s">
        <v>2325</v>
      </c>
      <c r="C4544" s="3" t="s">
        <v>60</v>
      </c>
      <c r="D4544" s="3" t="s">
        <v>107</v>
      </c>
      <c r="E4544" s="3" t="s">
        <v>33</v>
      </c>
      <c r="F4544" s="3" t="s">
        <v>70</v>
      </c>
      <c r="G4544" s="3" t="s">
        <v>41</v>
      </c>
      <c r="H4544" s="3" t="s">
        <v>77</v>
      </c>
      <c r="I4544" s="3" t="s">
        <v>131</v>
      </c>
      <c r="J4544" s="3" t="n">
        <v>34</v>
      </c>
      <c r="K4544" s="3" t="n">
        <v>3520.82</v>
      </c>
      <c r="L4544" s="3" t="n">
        <v>119707.88</v>
      </c>
      <c r="M4544" s="3" t="n">
        <v>0.1058</v>
      </c>
      <c r="N4544" s="3" t="n">
        <v>12665.09</v>
      </c>
      <c r="O4544" s="3" t="n">
        <v>107042.79</v>
      </c>
      <c r="P4544" s="3" t="n">
        <v>81401.36</v>
      </c>
      <c r="Q4544" s="3" t="n">
        <v>25641.43</v>
      </c>
      <c r="R4544" s="3" t="n">
        <v>0.2395</v>
      </c>
      <c r="S4544" s="3" t="n">
        <v>0.0882</v>
      </c>
      <c r="T4544" s="3" t="n">
        <v>0.0176</v>
      </c>
    </row>
    <row r="4545" customFormat="false" ht="15" hidden="false" customHeight="true" outlineLevel="0" collapsed="false">
      <c r="A4545" s="3" t="s">
        <v>5713</v>
      </c>
      <c r="B4545" s="3" t="s">
        <v>2361</v>
      </c>
      <c r="C4545" s="3" t="s">
        <v>53</v>
      </c>
      <c r="D4545" s="3" t="s">
        <v>97</v>
      </c>
      <c r="E4545" s="3" t="s">
        <v>48</v>
      </c>
      <c r="F4545" s="3" t="s">
        <v>40</v>
      </c>
      <c r="G4545" s="3" t="s">
        <v>76</v>
      </c>
      <c r="H4545" s="3" t="s">
        <v>56</v>
      </c>
      <c r="I4545" s="3" t="s">
        <v>188</v>
      </c>
      <c r="J4545" s="3" t="n">
        <v>31</v>
      </c>
      <c r="K4545" s="3" t="n">
        <v>3351.54</v>
      </c>
      <c r="L4545" s="3" t="n">
        <v>103897.74</v>
      </c>
      <c r="M4545" s="3" t="n">
        <v>0.0352</v>
      </c>
      <c r="N4545" s="3" t="n">
        <v>3657.2</v>
      </c>
      <c r="O4545" s="3" t="n">
        <v>100240.54</v>
      </c>
      <c r="P4545" s="3" t="n">
        <v>62338.64</v>
      </c>
      <c r="Q4545" s="3" t="n">
        <v>37901.9</v>
      </c>
      <c r="R4545" s="3" t="n">
        <v>0.3781</v>
      </c>
      <c r="S4545" s="3" t="n">
        <v>0.0282</v>
      </c>
      <c r="T4545" s="3" t="n">
        <v>0.007</v>
      </c>
    </row>
    <row r="4546" customFormat="false" ht="15" hidden="false" customHeight="true" outlineLevel="0" collapsed="false">
      <c r="A4546" s="3" t="s">
        <v>5714</v>
      </c>
      <c r="B4546" s="3" t="s">
        <v>1084</v>
      </c>
      <c r="C4546" s="3" t="s">
        <v>68</v>
      </c>
      <c r="D4546" s="3" t="s">
        <v>47</v>
      </c>
      <c r="E4546" s="3" t="s">
        <v>48</v>
      </c>
      <c r="F4546" s="3" t="s">
        <v>25</v>
      </c>
      <c r="G4546" s="3" t="s">
        <v>100</v>
      </c>
      <c r="H4546" s="3" t="s">
        <v>64</v>
      </c>
      <c r="I4546" s="3" t="s">
        <v>65</v>
      </c>
      <c r="J4546" s="3" t="n">
        <v>14</v>
      </c>
      <c r="K4546" s="3" t="n">
        <v>6347.81</v>
      </c>
      <c r="L4546" s="3" t="n">
        <v>88869.34</v>
      </c>
      <c r="M4546" s="3" t="n">
        <v>0.1164</v>
      </c>
      <c r="N4546" s="3" t="n">
        <v>10344.39</v>
      </c>
      <c r="O4546" s="3" t="n">
        <v>78524.95</v>
      </c>
      <c r="P4546" s="3" t="n">
        <v>51544.22</v>
      </c>
      <c r="Q4546" s="3" t="n">
        <v>26980.73</v>
      </c>
      <c r="R4546" s="3" t="n">
        <v>0.3436</v>
      </c>
      <c r="S4546" s="3" t="n">
        <v>0.1003</v>
      </c>
      <c r="T4546" s="3" t="n">
        <v>0.0161</v>
      </c>
    </row>
    <row r="4547" customFormat="false" ht="15" hidden="false" customHeight="true" outlineLevel="0" collapsed="false">
      <c r="A4547" s="3" t="s">
        <v>5715</v>
      </c>
      <c r="B4547" s="3" t="s">
        <v>1116</v>
      </c>
      <c r="C4547" s="3" t="s">
        <v>31</v>
      </c>
      <c r="D4547" s="3" t="s">
        <v>47</v>
      </c>
      <c r="E4547" s="3" t="s">
        <v>48</v>
      </c>
      <c r="F4547" s="3" t="s">
        <v>25</v>
      </c>
      <c r="G4547" s="3" t="s">
        <v>63</v>
      </c>
      <c r="H4547" s="3" t="s">
        <v>56</v>
      </c>
      <c r="I4547" s="3" t="s">
        <v>188</v>
      </c>
      <c r="J4547" s="3" t="n">
        <v>13</v>
      </c>
      <c r="K4547" s="3" t="n">
        <v>9088.73</v>
      </c>
      <c r="L4547" s="3" t="n">
        <v>118153.49</v>
      </c>
      <c r="M4547" s="3" t="n">
        <v>0.1308</v>
      </c>
      <c r="N4547" s="3" t="n">
        <v>15454.48</v>
      </c>
      <c r="O4547" s="3" t="n">
        <v>102699.01</v>
      </c>
      <c r="P4547" s="3" t="n">
        <v>70892.09</v>
      </c>
      <c r="Q4547" s="3" t="n">
        <v>31806.92</v>
      </c>
      <c r="R4547" s="3" t="n">
        <v>0.3097</v>
      </c>
      <c r="S4547" s="3" t="n">
        <v>0.1065</v>
      </c>
      <c r="T4547" s="3" t="n">
        <v>0.0243</v>
      </c>
    </row>
    <row r="4548" customFormat="false" ht="15" hidden="false" customHeight="true" outlineLevel="0" collapsed="false">
      <c r="A4548" s="3" t="s">
        <v>5716</v>
      </c>
      <c r="B4548" s="3" t="s">
        <v>981</v>
      </c>
      <c r="C4548" s="3" t="s">
        <v>53</v>
      </c>
      <c r="D4548" s="3" t="s">
        <v>47</v>
      </c>
      <c r="E4548" s="3" t="s">
        <v>48</v>
      </c>
      <c r="F4548" s="3" t="s">
        <v>25</v>
      </c>
      <c r="G4548" s="3" t="s">
        <v>49</v>
      </c>
      <c r="H4548" s="3" t="s">
        <v>77</v>
      </c>
      <c r="I4548" s="3" t="s">
        <v>78</v>
      </c>
      <c r="J4548" s="3" t="n">
        <v>23</v>
      </c>
      <c r="K4548" s="3" t="n">
        <v>5979.27</v>
      </c>
      <c r="L4548" s="3" t="n">
        <v>137523.21</v>
      </c>
      <c r="M4548" s="3" t="n">
        <v>0.1341</v>
      </c>
      <c r="N4548" s="3" t="n">
        <v>18441.86</v>
      </c>
      <c r="O4548" s="3" t="n">
        <v>119081.35</v>
      </c>
      <c r="P4548" s="3" t="n">
        <v>93515.78</v>
      </c>
      <c r="Q4548" s="3" t="n">
        <v>25565.57</v>
      </c>
      <c r="R4548" s="3" t="n">
        <v>0.2147</v>
      </c>
      <c r="S4548" s="3" t="n">
        <v>0.1369</v>
      </c>
      <c r="T4548" s="3" t="n">
        <v>-0.0028</v>
      </c>
    </row>
    <row r="4549" customFormat="false" ht="15" hidden="false" customHeight="true" outlineLevel="0" collapsed="false">
      <c r="A4549" s="3" t="s">
        <v>5717</v>
      </c>
      <c r="B4549" s="3" t="s">
        <v>1512</v>
      </c>
      <c r="C4549" s="3" t="s">
        <v>31</v>
      </c>
      <c r="D4549" s="3" t="s">
        <v>103</v>
      </c>
      <c r="E4549" s="3" t="s">
        <v>24</v>
      </c>
      <c r="F4549" s="3" t="s">
        <v>62</v>
      </c>
      <c r="G4549" s="3" t="s">
        <v>104</v>
      </c>
      <c r="H4549" s="3" t="s">
        <v>42</v>
      </c>
      <c r="I4549" s="3" t="s">
        <v>43</v>
      </c>
      <c r="J4549" s="3" t="n">
        <v>48</v>
      </c>
      <c r="K4549" s="3" t="n">
        <v>1614.58</v>
      </c>
      <c r="L4549" s="3" t="n">
        <v>77499.84</v>
      </c>
      <c r="M4549" s="3" t="n">
        <v>0.1146</v>
      </c>
      <c r="N4549" s="3" t="n">
        <v>8881.48</v>
      </c>
      <c r="O4549" s="3" t="n">
        <v>68618.36</v>
      </c>
      <c r="P4549" s="3" t="n">
        <v>42624.91</v>
      </c>
      <c r="Q4549" s="3" t="n">
        <v>25993.45</v>
      </c>
      <c r="R4549" s="3" t="n">
        <v>0.3788</v>
      </c>
      <c r="S4549" s="3" t="n">
        <v>0.1083</v>
      </c>
      <c r="T4549" s="3" t="n">
        <v>0.0063</v>
      </c>
    </row>
    <row r="4550" customFormat="false" ht="15" hidden="false" customHeight="true" outlineLevel="0" collapsed="false">
      <c r="A4550" s="3" t="s">
        <v>5718</v>
      </c>
      <c r="B4550" s="3" t="s">
        <v>730</v>
      </c>
      <c r="C4550" s="3" t="s">
        <v>68</v>
      </c>
      <c r="D4550" s="3" t="s">
        <v>23</v>
      </c>
      <c r="E4550" s="3" t="s">
        <v>24</v>
      </c>
      <c r="F4550" s="3" t="s">
        <v>25</v>
      </c>
      <c r="G4550" s="3" t="s">
        <v>104</v>
      </c>
      <c r="H4550" s="3" t="s">
        <v>64</v>
      </c>
      <c r="I4550" s="3" t="s">
        <v>145</v>
      </c>
      <c r="J4550" s="3" t="n">
        <v>12</v>
      </c>
      <c r="K4550" s="3" t="n">
        <v>5642.98</v>
      </c>
      <c r="L4550" s="3" t="n">
        <v>67715.76</v>
      </c>
      <c r="M4550" s="3" t="n">
        <v>0.2024</v>
      </c>
      <c r="N4550" s="3" t="n">
        <v>13705.67</v>
      </c>
      <c r="O4550" s="3" t="n">
        <v>54010.09</v>
      </c>
      <c r="P4550" s="3" t="n">
        <v>39275.14</v>
      </c>
      <c r="Q4550" s="3" t="n">
        <v>14734.95</v>
      </c>
      <c r="R4550" s="3" t="n">
        <v>0.2728</v>
      </c>
      <c r="S4550" s="3" t="n">
        <v>0.1952</v>
      </c>
      <c r="T4550" s="3" t="n">
        <v>0.0072</v>
      </c>
    </row>
    <row r="4551" customFormat="false" ht="15" hidden="false" customHeight="true" outlineLevel="0" collapsed="false">
      <c r="A4551" s="3" t="s">
        <v>5719</v>
      </c>
      <c r="B4551" s="3" t="s">
        <v>2433</v>
      </c>
      <c r="C4551" s="3" t="s">
        <v>126</v>
      </c>
      <c r="D4551" s="3" t="s">
        <v>32</v>
      </c>
      <c r="E4551" s="3" t="s">
        <v>33</v>
      </c>
      <c r="F4551" s="3" t="s">
        <v>25</v>
      </c>
      <c r="G4551" s="3" t="s">
        <v>49</v>
      </c>
      <c r="H4551" s="3" t="s">
        <v>56</v>
      </c>
      <c r="I4551" s="3" t="s">
        <v>57</v>
      </c>
      <c r="J4551" s="3" t="n">
        <v>10</v>
      </c>
      <c r="K4551" s="3" t="n">
        <v>10457.58</v>
      </c>
      <c r="L4551" s="3" t="n">
        <v>104575.8</v>
      </c>
      <c r="M4551" s="3" t="n">
        <v>0.1193</v>
      </c>
      <c r="N4551" s="3" t="n">
        <v>12475.89</v>
      </c>
      <c r="O4551" s="3" t="n">
        <v>92099.91</v>
      </c>
      <c r="P4551" s="3" t="n">
        <v>62745.48</v>
      </c>
      <c r="Q4551" s="3" t="n">
        <v>29354.43</v>
      </c>
      <c r="R4551" s="3" t="n">
        <v>0.3187</v>
      </c>
      <c r="S4551" s="3" t="n">
        <v>0.1225</v>
      </c>
      <c r="T4551" s="3" t="n">
        <v>-0.0032</v>
      </c>
    </row>
    <row r="4552" customFormat="false" ht="15" hidden="false" customHeight="true" outlineLevel="0" collapsed="false">
      <c r="A4552" s="3" t="s">
        <v>5720</v>
      </c>
      <c r="B4552" s="3" t="s">
        <v>1255</v>
      </c>
      <c r="C4552" s="3" t="s">
        <v>156</v>
      </c>
      <c r="D4552" s="3" t="s">
        <v>83</v>
      </c>
      <c r="E4552" s="3" t="s">
        <v>48</v>
      </c>
      <c r="F4552" s="3" t="s">
        <v>62</v>
      </c>
      <c r="G4552" s="3" t="s">
        <v>100</v>
      </c>
      <c r="H4552" s="3" t="s">
        <v>64</v>
      </c>
      <c r="I4552" s="3" t="s">
        <v>65</v>
      </c>
      <c r="J4552" s="3" t="n">
        <v>19</v>
      </c>
      <c r="K4552" s="3" t="n">
        <v>3191.52</v>
      </c>
      <c r="L4552" s="3" t="n">
        <v>60638.88</v>
      </c>
      <c r="M4552" s="3" t="n">
        <v>0.0771</v>
      </c>
      <c r="N4552" s="3" t="n">
        <v>4675.26</v>
      </c>
      <c r="O4552" s="3" t="n">
        <v>55963.62</v>
      </c>
      <c r="P4552" s="3" t="n">
        <v>35170.55</v>
      </c>
      <c r="Q4552" s="3" t="n">
        <v>20793.07</v>
      </c>
      <c r="R4552" s="3" t="n">
        <v>0.3715</v>
      </c>
      <c r="S4552" s="3" t="n">
        <v>0.08</v>
      </c>
      <c r="T4552" s="3" t="n">
        <v>-0.0029</v>
      </c>
    </row>
    <row r="4553" customFormat="false" ht="15" hidden="false" customHeight="true" outlineLevel="0" collapsed="false">
      <c r="A4553" s="3" t="s">
        <v>5721</v>
      </c>
      <c r="B4553" s="3" t="s">
        <v>459</v>
      </c>
      <c r="C4553" s="3" t="s">
        <v>53</v>
      </c>
      <c r="D4553" s="3" t="s">
        <v>61</v>
      </c>
      <c r="E4553" s="3" t="s">
        <v>33</v>
      </c>
      <c r="F4553" s="3" t="s">
        <v>62</v>
      </c>
      <c r="G4553" s="3" t="s">
        <v>84</v>
      </c>
      <c r="H4553" s="3" t="s">
        <v>42</v>
      </c>
      <c r="I4553" s="3" t="s">
        <v>43</v>
      </c>
      <c r="J4553" s="3" t="n">
        <v>49</v>
      </c>
      <c r="K4553" s="3" t="n">
        <v>3073</v>
      </c>
      <c r="L4553" s="3" t="n">
        <v>150577</v>
      </c>
      <c r="M4553" s="3" t="n">
        <v>0.0451</v>
      </c>
      <c r="N4553" s="3" t="n">
        <v>6791.02</v>
      </c>
      <c r="O4553" s="3" t="n">
        <v>143785.98</v>
      </c>
      <c r="P4553" s="3" t="n">
        <v>82817.35</v>
      </c>
      <c r="Q4553" s="3" t="n">
        <v>60968.63</v>
      </c>
      <c r="R4553" s="3" t="n">
        <v>0.424</v>
      </c>
      <c r="S4553" s="3" t="n">
        <v>0.0377</v>
      </c>
      <c r="T4553" s="3" t="n">
        <v>0.0074</v>
      </c>
    </row>
    <row r="4554" customFormat="false" ht="15" hidden="false" customHeight="true" outlineLevel="0" collapsed="false">
      <c r="A4554" s="3" t="s">
        <v>5722</v>
      </c>
      <c r="B4554" s="3" t="s">
        <v>666</v>
      </c>
      <c r="C4554" s="3" t="s">
        <v>37</v>
      </c>
      <c r="D4554" s="3" t="s">
        <v>47</v>
      </c>
      <c r="E4554" s="3" t="s">
        <v>48</v>
      </c>
      <c r="F4554" s="3" t="s">
        <v>25</v>
      </c>
      <c r="G4554" s="3" t="s">
        <v>71</v>
      </c>
      <c r="H4554" s="3" t="s">
        <v>27</v>
      </c>
      <c r="I4554" s="3" t="s">
        <v>94</v>
      </c>
      <c r="J4554" s="3" t="n">
        <v>50</v>
      </c>
      <c r="K4554" s="3" t="n">
        <v>11804.24</v>
      </c>
      <c r="L4554" s="3" t="n">
        <v>590212</v>
      </c>
      <c r="M4554" s="3" t="n">
        <v>0.1132</v>
      </c>
      <c r="N4554" s="3" t="n">
        <v>66812</v>
      </c>
      <c r="O4554" s="3" t="n">
        <v>523400</v>
      </c>
      <c r="P4554" s="3" t="n">
        <v>365931.44</v>
      </c>
      <c r="Q4554" s="3" t="n">
        <v>157468.56</v>
      </c>
      <c r="R4554" s="3" t="n">
        <v>0.3009</v>
      </c>
      <c r="S4554" s="3" t="n">
        <v>0.1121</v>
      </c>
      <c r="T4554" s="3" t="n">
        <v>0.0011</v>
      </c>
    </row>
    <row r="4555" customFormat="false" ht="15" hidden="false" customHeight="true" outlineLevel="0" collapsed="false">
      <c r="A4555" s="3" t="s">
        <v>5723</v>
      </c>
      <c r="B4555" s="3" t="s">
        <v>1371</v>
      </c>
      <c r="C4555" s="3" t="s">
        <v>37</v>
      </c>
      <c r="D4555" s="3" t="s">
        <v>23</v>
      </c>
      <c r="E4555" s="3" t="s">
        <v>24</v>
      </c>
      <c r="F4555" s="3" t="s">
        <v>25</v>
      </c>
      <c r="G4555" s="3" t="s">
        <v>116</v>
      </c>
      <c r="H4555" s="3" t="s">
        <v>77</v>
      </c>
      <c r="I4555" s="3" t="s">
        <v>78</v>
      </c>
      <c r="J4555" s="3" t="n">
        <v>19</v>
      </c>
      <c r="K4555" s="3" t="n">
        <v>2308.6</v>
      </c>
      <c r="L4555" s="3" t="n">
        <v>43863.4</v>
      </c>
      <c r="M4555" s="3" t="n">
        <v>0.1394</v>
      </c>
      <c r="N4555" s="3" t="n">
        <v>6114.56</v>
      </c>
      <c r="O4555" s="3" t="n">
        <v>37748.84</v>
      </c>
      <c r="P4555" s="3" t="n">
        <v>29827.11</v>
      </c>
      <c r="Q4555" s="3" t="n">
        <v>7921.73</v>
      </c>
      <c r="R4555" s="3" t="n">
        <v>0.2099</v>
      </c>
      <c r="S4555" s="3" t="n">
        <v>0.1134</v>
      </c>
      <c r="T4555" s="3" t="n">
        <v>0.026</v>
      </c>
    </row>
    <row r="4556" customFormat="false" ht="15" hidden="false" customHeight="true" outlineLevel="0" collapsed="false">
      <c r="A4556" s="3" t="s">
        <v>5724</v>
      </c>
      <c r="B4556" s="3" t="s">
        <v>245</v>
      </c>
      <c r="C4556" s="3" t="s">
        <v>93</v>
      </c>
      <c r="D4556" s="3" t="s">
        <v>32</v>
      </c>
      <c r="E4556" s="3" t="s">
        <v>33</v>
      </c>
      <c r="F4556" s="3" t="s">
        <v>25</v>
      </c>
      <c r="G4556" s="3" t="s">
        <v>100</v>
      </c>
      <c r="H4556" s="3" t="s">
        <v>42</v>
      </c>
      <c r="I4556" s="3" t="s">
        <v>134</v>
      </c>
      <c r="J4556" s="3" t="n">
        <v>42</v>
      </c>
      <c r="K4556" s="3" t="n">
        <v>1553.04</v>
      </c>
      <c r="L4556" s="3" t="n">
        <v>65227.68</v>
      </c>
      <c r="M4556" s="3" t="n">
        <v>0.1087</v>
      </c>
      <c r="N4556" s="3" t="n">
        <v>7090.25</v>
      </c>
      <c r="O4556" s="3" t="n">
        <v>58137.43</v>
      </c>
      <c r="P4556" s="3" t="n">
        <v>35875.22</v>
      </c>
      <c r="Q4556" s="3" t="n">
        <v>22262.21</v>
      </c>
      <c r="R4556" s="3" t="n">
        <v>0.3829</v>
      </c>
      <c r="S4556" s="3" t="n">
        <v>0.0877</v>
      </c>
      <c r="T4556" s="3" t="n">
        <v>0.021</v>
      </c>
    </row>
    <row r="4557" customFormat="false" ht="15" hidden="false" customHeight="true" outlineLevel="0" collapsed="false">
      <c r="A4557" s="3" t="s">
        <v>5725</v>
      </c>
      <c r="B4557" s="3" t="s">
        <v>2250</v>
      </c>
      <c r="C4557" s="3" t="s">
        <v>53</v>
      </c>
      <c r="D4557" s="3" t="s">
        <v>38</v>
      </c>
      <c r="E4557" s="3" t="s">
        <v>39</v>
      </c>
      <c r="F4557" s="3" t="s">
        <v>40</v>
      </c>
      <c r="G4557" s="3" t="s">
        <v>104</v>
      </c>
      <c r="H4557" s="3" t="s">
        <v>56</v>
      </c>
      <c r="I4557" s="3" t="s">
        <v>121</v>
      </c>
      <c r="J4557" s="3" t="n">
        <v>25</v>
      </c>
      <c r="K4557" s="3" t="n">
        <v>16829.65</v>
      </c>
      <c r="L4557" s="3" t="n">
        <v>420741.25</v>
      </c>
      <c r="M4557" s="3" t="n">
        <v>0.0971</v>
      </c>
      <c r="N4557" s="3" t="n">
        <v>40853.98</v>
      </c>
      <c r="O4557" s="3" t="n">
        <v>379887.27</v>
      </c>
      <c r="P4557" s="3" t="n">
        <v>252444.75</v>
      </c>
      <c r="Q4557" s="3" t="n">
        <v>127442.52</v>
      </c>
      <c r="R4557" s="3" t="n">
        <v>0.3355</v>
      </c>
      <c r="S4557" s="3" t="n">
        <v>0.0873</v>
      </c>
      <c r="T4557" s="3" t="n">
        <v>0.0098</v>
      </c>
    </row>
    <row r="4558" customFormat="false" ht="15" hidden="false" customHeight="true" outlineLevel="0" collapsed="false">
      <c r="A4558" s="3" t="s">
        <v>5726</v>
      </c>
      <c r="B4558" s="3" t="s">
        <v>554</v>
      </c>
      <c r="C4558" s="3" t="s">
        <v>53</v>
      </c>
      <c r="D4558" s="3" t="s">
        <v>23</v>
      </c>
      <c r="E4558" s="3" t="s">
        <v>24</v>
      </c>
      <c r="F4558" s="3" t="s">
        <v>25</v>
      </c>
      <c r="G4558" s="3" t="s">
        <v>26</v>
      </c>
      <c r="H4558" s="3" t="s">
        <v>42</v>
      </c>
      <c r="I4558" s="3" t="s">
        <v>72</v>
      </c>
      <c r="J4558" s="3" t="n">
        <v>42</v>
      </c>
      <c r="K4558" s="3" t="n">
        <v>3483.05</v>
      </c>
      <c r="L4558" s="3" t="n">
        <v>146288.1</v>
      </c>
      <c r="M4558" s="3" t="n">
        <v>0.1869</v>
      </c>
      <c r="N4558" s="3" t="n">
        <v>27341.25</v>
      </c>
      <c r="O4558" s="3" t="n">
        <v>118946.85</v>
      </c>
      <c r="P4558" s="3" t="n">
        <v>80458.46</v>
      </c>
      <c r="Q4558" s="3" t="n">
        <v>38488.39</v>
      </c>
      <c r="R4558" s="3" t="n">
        <v>0.3236</v>
      </c>
      <c r="S4558" s="3" t="n">
        <v>0.1937</v>
      </c>
      <c r="T4558" s="3" t="n">
        <v>-0.0068</v>
      </c>
    </row>
    <row r="4559" customFormat="false" ht="15" hidden="false" customHeight="true" outlineLevel="0" collapsed="false">
      <c r="A4559" s="3" t="s">
        <v>5727</v>
      </c>
      <c r="B4559" s="3" t="s">
        <v>3168</v>
      </c>
      <c r="C4559" s="3" t="s">
        <v>37</v>
      </c>
      <c r="D4559" s="3" t="s">
        <v>47</v>
      </c>
      <c r="E4559" s="3" t="s">
        <v>48</v>
      </c>
      <c r="F4559" s="3" t="s">
        <v>25</v>
      </c>
      <c r="G4559" s="3" t="s">
        <v>63</v>
      </c>
      <c r="H4559" s="3" t="s">
        <v>64</v>
      </c>
      <c r="I4559" s="3" t="s">
        <v>108</v>
      </c>
      <c r="J4559" s="3" t="n">
        <v>9</v>
      </c>
      <c r="K4559" s="3" t="n">
        <v>5635.93</v>
      </c>
      <c r="L4559" s="3" t="n">
        <v>50723.37</v>
      </c>
      <c r="M4559" s="3" t="n">
        <v>0.1379</v>
      </c>
      <c r="N4559" s="3" t="n">
        <v>6994.75</v>
      </c>
      <c r="O4559" s="3" t="n">
        <v>43728.62</v>
      </c>
      <c r="P4559" s="3" t="n">
        <v>29419.55</v>
      </c>
      <c r="Q4559" s="3" t="n">
        <v>14309.07</v>
      </c>
      <c r="R4559" s="3" t="n">
        <v>0.3272</v>
      </c>
      <c r="S4559" s="3" t="n">
        <v>0.1422</v>
      </c>
      <c r="T4559" s="3" t="n">
        <v>-0.0043</v>
      </c>
    </row>
    <row r="4560" customFormat="false" ht="15" hidden="false" customHeight="true" outlineLevel="0" collapsed="false">
      <c r="A4560" s="3" t="s">
        <v>5728</v>
      </c>
      <c r="B4560" s="3" t="s">
        <v>1743</v>
      </c>
      <c r="C4560" s="3" t="s">
        <v>126</v>
      </c>
      <c r="D4560" s="3" t="s">
        <v>97</v>
      </c>
      <c r="E4560" s="3" t="s">
        <v>48</v>
      </c>
      <c r="F4560" s="3" t="s">
        <v>40</v>
      </c>
      <c r="G4560" s="3" t="s">
        <v>104</v>
      </c>
      <c r="H4560" s="3" t="s">
        <v>27</v>
      </c>
      <c r="I4560" s="3" t="s">
        <v>173</v>
      </c>
      <c r="J4560" s="3" t="n">
        <v>15</v>
      </c>
      <c r="K4560" s="3" t="n">
        <v>24767.28</v>
      </c>
      <c r="L4560" s="3" t="n">
        <v>371509.2</v>
      </c>
      <c r="M4560" s="3" t="n">
        <v>0.0644</v>
      </c>
      <c r="N4560" s="3" t="n">
        <v>23925.19</v>
      </c>
      <c r="O4560" s="3" t="n">
        <v>347584.01</v>
      </c>
      <c r="P4560" s="3" t="n">
        <v>230335.7</v>
      </c>
      <c r="Q4560" s="3" t="n">
        <v>117248.31</v>
      </c>
      <c r="R4560" s="3" t="n">
        <v>0.3373</v>
      </c>
      <c r="S4560" s="3" t="n">
        <v>0.0683</v>
      </c>
      <c r="T4560" s="3" t="n">
        <v>-0.0039</v>
      </c>
    </row>
    <row r="4561" customFormat="false" ht="15" hidden="false" customHeight="true" outlineLevel="0" collapsed="false">
      <c r="A4561" s="3" t="s">
        <v>5729</v>
      </c>
      <c r="B4561" s="3" t="s">
        <v>781</v>
      </c>
      <c r="C4561" s="3" t="s">
        <v>31</v>
      </c>
      <c r="D4561" s="3" t="s">
        <v>23</v>
      </c>
      <c r="E4561" s="3" t="s">
        <v>24</v>
      </c>
      <c r="F4561" s="3" t="s">
        <v>25</v>
      </c>
      <c r="G4561" s="3" t="s">
        <v>76</v>
      </c>
      <c r="H4561" s="3" t="s">
        <v>64</v>
      </c>
      <c r="I4561" s="3" t="s">
        <v>145</v>
      </c>
      <c r="J4561" s="3" t="n">
        <v>40</v>
      </c>
      <c r="K4561" s="3" t="n">
        <v>8822.13</v>
      </c>
      <c r="L4561" s="3" t="n">
        <v>352885.2</v>
      </c>
      <c r="M4561" s="3" t="n">
        <v>0.1583</v>
      </c>
      <c r="N4561" s="3" t="n">
        <v>55861.73</v>
      </c>
      <c r="O4561" s="3" t="n">
        <v>297023.47</v>
      </c>
      <c r="P4561" s="3" t="n">
        <v>204673.42</v>
      </c>
      <c r="Q4561" s="3" t="n">
        <v>92350.05</v>
      </c>
      <c r="R4561" s="3" t="n">
        <v>0.3109</v>
      </c>
      <c r="S4561" s="3" t="n">
        <v>0.16</v>
      </c>
      <c r="T4561" s="3" t="n">
        <v>-0.0017</v>
      </c>
    </row>
    <row r="4562" customFormat="false" ht="15" hidden="false" customHeight="true" outlineLevel="0" collapsed="false">
      <c r="A4562" s="3" t="s">
        <v>5730</v>
      </c>
      <c r="B4562" s="3" t="s">
        <v>1097</v>
      </c>
      <c r="C4562" s="3" t="s">
        <v>156</v>
      </c>
      <c r="D4562" s="3" t="s">
        <v>23</v>
      </c>
      <c r="E4562" s="3" t="s">
        <v>24</v>
      </c>
      <c r="F4562" s="3" t="s">
        <v>25</v>
      </c>
      <c r="G4562" s="3" t="s">
        <v>104</v>
      </c>
      <c r="H4562" s="3" t="s">
        <v>56</v>
      </c>
      <c r="I4562" s="3" t="s">
        <v>188</v>
      </c>
      <c r="J4562" s="3" t="n">
        <v>17</v>
      </c>
      <c r="K4562" s="3" t="n">
        <v>13674.1</v>
      </c>
      <c r="L4562" s="3" t="n">
        <v>232459.7</v>
      </c>
      <c r="M4562" s="3" t="n">
        <v>0.1931</v>
      </c>
      <c r="N4562" s="3" t="n">
        <v>44887.97</v>
      </c>
      <c r="O4562" s="3" t="n">
        <v>187571.73</v>
      </c>
      <c r="P4562" s="3" t="n">
        <v>139475.82</v>
      </c>
      <c r="Q4562" s="3" t="n">
        <v>48095.91</v>
      </c>
      <c r="R4562" s="3" t="n">
        <v>0.2564</v>
      </c>
      <c r="S4562" s="3" t="n">
        <v>0.1703</v>
      </c>
      <c r="T4562" s="3" t="n">
        <v>0.0228</v>
      </c>
    </row>
    <row r="4563" customFormat="false" ht="15" hidden="false" customHeight="true" outlineLevel="0" collapsed="false">
      <c r="A4563" s="3" t="s">
        <v>5731</v>
      </c>
      <c r="B4563" s="3" t="s">
        <v>907</v>
      </c>
      <c r="C4563" s="3" t="s">
        <v>37</v>
      </c>
      <c r="D4563" s="3" t="s">
        <v>97</v>
      </c>
      <c r="E4563" s="3" t="s">
        <v>48</v>
      </c>
      <c r="F4563" s="3" t="s">
        <v>40</v>
      </c>
      <c r="G4563" s="3" t="s">
        <v>26</v>
      </c>
      <c r="H4563" s="3" t="s">
        <v>56</v>
      </c>
      <c r="I4563" s="3" t="s">
        <v>121</v>
      </c>
      <c r="J4563" s="3" t="n">
        <v>41</v>
      </c>
      <c r="K4563" s="3" t="n">
        <v>8673.9</v>
      </c>
      <c r="L4563" s="3" t="n">
        <v>355629.9</v>
      </c>
      <c r="M4563" s="3" t="n">
        <v>0.0383</v>
      </c>
      <c r="N4563" s="3" t="n">
        <v>13620.63</v>
      </c>
      <c r="O4563" s="3" t="n">
        <v>342009.27</v>
      </c>
      <c r="P4563" s="3" t="n">
        <v>213377.94</v>
      </c>
      <c r="Q4563" s="3" t="n">
        <v>128631.33</v>
      </c>
      <c r="R4563" s="3" t="n">
        <v>0.3761</v>
      </c>
      <c r="S4563" s="3" t="n">
        <v>0.0318</v>
      </c>
      <c r="T4563" s="3" t="n">
        <v>0.0065</v>
      </c>
    </row>
    <row r="4564" customFormat="false" ht="15" hidden="false" customHeight="true" outlineLevel="0" collapsed="false">
      <c r="A4564" s="3" t="s">
        <v>5732</v>
      </c>
      <c r="B4564" s="3" t="s">
        <v>2784</v>
      </c>
      <c r="C4564" s="3" t="s">
        <v>22</v>
      </c>
      <c r="D4564" s="3" t="s">
        <v>32</v>
      </c>
      <c r="E4564" s="3" t="s">
        <v>33</v>
      </c>
      <c r="F4564" s="3" t="s">
        <v>25</v>
      </c>
      <c r="G4564" s="3" t="s">
        <v>116</v>
      </c>
      <c r="H4564" s="3" t="s">
        <v>56</v>
      </c>
      <c r="I4564" s="3" t="s">
        <v>57</v>
      </c>
      <c r="J4564" s="3" t="n">
        <v>4</v>
      </c>
      <c r="K4564" s="3" t="n">
        <v>13819.85</v>
      </c>
      <c r="L4564" s="3" t="n">
        <v>55279.4</v>
      </c>
      <c r="M4564" s="3" t="n">
        <v>0.1763</v>
      </c>
      <c r="N4564" s="3" t="n">
        <v>9745.76</v>
      </c>
      <c r="O4564" s="3" t="n">
        <v>45533.64</v>
      </c>
      <c r="P4564" s="3" t="n">
        <v>33167.64</v>
      </c>
      <c r="Q4564" s="3" t="n">
        <v>12366</v>
      </c>
      <c r="R4564" s="3" t="n">
        <v>0.2716</v>
      </c>
      <c r="S4564" s="3" t="n">
        <v>0.1674</v>
      </c>
      <c r="T4564" s="3" t="n">
        <v>0.0089</v>
      </c>
    </row>
    <row r="4565" customFormat="false" ht="15" hidden="false" customHeight="true" outlineLevel="0" collapsed="false">
      <c r="A4565" s="3" t="s">
        <v>5733</v>
      </c>
      <c r="B4565" s="3" t="s">
        <v>858</v>
      </c>
      <c r="C4565" s="3" t="s">
        <v>156</v>
      </c>
      <c r="D4565" s="3" t="s">
        <v>32</v>
      </c>
      <c r="E4565" s="3" t="s">
        <v>33</v>
      </c>
      <c r="F4565" s="3" t="s">
        <v>25</v>
      </c>
      <c r="G4565" s="3" t="s">
        <v>116</v>
      </c>
      <c r="H4565" s="3" t="s">
        <v>56</v>
      </c>
      <c r="I4565" s="3" t="s">
        <v>121</v>
      </c>
      <c r="J4565" s="3" t="n">
        <v>27</v>
      </c>
      <c r="K4565" s="3" t="n">
        <v>16200.64</v>
      </c>
      <c r="L4565" s="3" t="n">
        <v>437417.28</v>
      </c>
      <c r="M4565" s="3" t="n">
        <v>0.215</v>
      </c>
      <c r="N4565" s="3" t="n">
        <v>94044.72</v>
      </c>
      <c r="O4565" s="3" t="n">
        <v>343372.56</v>
      </c>
      <c r="P4565" s="3" t="n">
        <v>262450.37</v>
      </c>
      <c r="Q4565" s="3" t="n">
        <v>80922.19</v>
      </c>
      <c r="R4565" s="3" t="n">
        <v>0.2357</v>
      </c>
      <c r="S4565" s="3" t="n">
        <v>0.1868</v>
      </c>
      <c r="T4565" s="3" t="n">
        <v>0.0282</v>
      </c>
    </row>
    <row r="4566" customFormat="false" ht="15" hidden="false" customHeight="true" outlineLevel="0" collapsed="false">
      <c r="A4566" s="3" t="s">
        <v>5734</v>
      </c>
      <c r="B4566" s="3" t="s">
        <v>676</v>
      </c>
      <c r="C4566" s="3" t="s">
        <v>22</v>
      </c>
      <c r="D4566" s="3" t="s">
        <v>23</v>
      </c>
      <c r="E4566" s="3" t="s">
        <v>24</v>
      </c>
      <c r="F4566" s="3" t="s">
        <v>25</v>
      </c>
      <c r="G4566" s="3" t="s">
        <v>63</v>
      </c>
      <c r="H4566" s="3" t="s">
        <v>56</v>
      </c>
      <c r="I4566" s="3" t="s">
        <v>57</v>
      </c>
      <c r="J4566" s="3" t="n">
        <v>44</v>
      </c>
      <c r="K4566" s="3" t="n">
        <v>11643.81</v>
      </c>
      <c r="L4566" s="3" t="n">
        <v>512327.64</v>
      </c>
      <c r="M4566" s="3" t="n">
        <v>0.0867</v>
      </c>
      <c r="N4566" s="3" t="n">
        <v>44418.81</v>
      </c>
      <c r="O4566" s="3" t="n">
        <v>467908.83</v>
      </c>
      <c r="P4566" s="3" t="n">
        <v>307396.58</v>
      </c>
      <c r="Q4566" s="3" t="n">
        <v>160512.25</v>
      </c>
      <c r="R4566" s="3" t="n">
        <v>0.343</v>
      </c>
      <c r="S4566" s="3" t="n">
        <v>0.072</v>
      </c>
      <c r="T4566" s="3" t="n">
        <v>0.0147</v>
      </c>
    </row>
    <row r="4567" customFormat="false" ht="15" hidden="false" customHeight="true" outlineLevel="0" collapsed="false">
      <c r="A4567" s="3" t="s">
        <v>5735</v>
      </c>
      <c r="B4567" s="3" t="s">
        <v>1486</v>
      </c>
      <c r="C4567" s="3" t="s">
        <v>53</v>
      </c>
      <c r="D4567" s="3" t="s">
        <v>54</v>
      </c>
      <c r="E4567" s="3" t="s">
        <v>24</v>
      </c>
      <c r="F4567" s="3" t="s">
        <v>40</v>
      </c>
      <c r="G4567" s="3" t="s">
        <v>63</v>
      </c>
      <c r="H4567" s="3" t="s">
        <v>42</v>
      </c>
      <c r="I4567" s="3" t="s">
        <v>134</v>
      </c>
      <c r="J4567" s="3" t="n">
        <v>10</v>
      </c>
      <c r="K4567" s="3" t="n">
        <v>1847.69</v>
      </c>
      <c r="L4567" s="3" t="n">
        <v>18476.9</v>
      </c>
      <c r="M4567" s="3" t="n">
        <v>0.0485</v>
      </c>
      <c r="N4567" s="3" t="n">
        <v>896.13</v>
      </c>
      <c r="O4567" s="3" t="n">
        <v>17580.77</v>
      </c>
      <c r="P4567" s="3" t="n">
        <v>10162.3</v>
      </c>
      <c r="Q4567" s="3" t="n">
        <v>7418.47</v>
      </c>
      <c r="R4567" s="3" t="n">
        <v>0.422</v>
      </c>
      <c r="S4567" s="3" t="n">
        <v>0.0404</v>
      </c>
      <c r="T4567" s="3" t="n">
        <v>0.0081</v>
      </c>
    </row>
    <row r="4568" customFormat="false" ht="15" hidden="false" customHeight="true" outlineLevel="0" collapsed="false">
      <c r="A4568" s="3" t="s">
        <v>5736</v>
      </c>
      <c r="B4568" s="3" t="s">
        <v>3029</v>
      </c>
      <c r="C4568" s="3" t="s">
        <v>60</v>
      </c>
      <c r="D4568" s="3" t="s">
        <v>103</v>
      </c>
      <c r="E4568" s="3" t="s">
        <v>24</v>
      </c>
      <c r="F4568" s="3" t="s">
        <v>62</v>
      </c>
      <c r="G4568" s="3" t="s">
        <v>116</v>
      </c>
      <c r="H4568" s="3" t="s">
        <v>64</v>
      </c>
      <c r="I4568" s="3" t="s">
        <v>90</v>
      </c>
      <c r="J4568" s="3" t="n">
        <v>26</v>
      </c>
      <c r="K4568" s="3" t="n">
        <v>4145.08</v>
      </c>
      <c r="L4568" s="3" t="n">
        <v>107772.08</v>
      </c>
      <c r="M4568" s="3" t="n">
        <v>0.0978</v>
      </c>
      <c r="N4568" s="3" t="n">
        <v>10540.11</v>
      </c>
      <c r="O4568" s="3" t="n">
        <v>97231.97</v>
      </c>
      <c r="P4568" s="3" t="n">
        <v>62507.81</v>
      </c>
      <c r="Q4568" s="3" t="n">
        <v>34724.16</v>
      </c>
      <c r="R4568" s="3" t="n">
        <v>0.3571</v>
      </c>
      <c r="S4568" s="3" t="n">
        <v>0.1008</v>
      </c>
      <c r="T4568" s="3" t="n">
        <v>-0.003</v>
      </c>
    </row>
    <row r="4569" customFormat="false" ht="15" hidden="false" customHeight="true" outlineLevel="0" collapsed="false">
      <c r="A4569" s="3" t="s">
        <v>5737</v>
      </c>
      <c r="B4569" s="3" t="s">
        <v>993</v>
      </c>
      <c r="C4569" s="3" t="s">
        <v>126</v>
      </c>
      <c r="D4569" s="3" t="s">
        <v>75</v>
      </c>
      <c r="E4569" s="3" t="s">
        <v>39</v>
      </c>
      <c r="F4569" s="3" t="s">
        <v>25</v>
      </c>
      <c r="G4569" s="3" t="s">
        <v>84</v>
      </c>
      <c r="H4569" s="3" t="s">
        <v>56</v>
      </c>
      <c r="I4569" s="3" t="s">
        <v>57</v>
      </c>
      <c r="J4569" s="3" t="n">
        <v>41</v>
      </c>
      <c r="K4569" s="3" t="n">
        <v>14668.48</v>
      </c>
      <c r="L4569" s="3" t="n">
        <v>601407.68</v>
      </c>
      <c r="M4569" s="3" t="n">
        <v>0.1239</v>
      </c>
      <c r="N4569" s="3" t="n">
        <v>74514.41</v>
      </c>
      <c r="O4569" s="3" t="n">
        <v>526893.27</v>
      </c>
      <c r="P4569" s="3" t="n">
        <v>360844.61</v>
      </c>
      <c r="Q4569" s="3" t="n">
        <v>166048.66</v>
      </c>
      <c r="R4569" s="3" t="n">
        <v>0.3151</v>
      </c>
      <c r="S4569" s="3" t="n">
        <v>0.1127</v>
      </c>
      <c r="T4569" s="3" t="n">
        <v>0.0112</v>
      </c>
    </row>
    <row r="4570" customFormat="false" ht="15" hidden="false" customHeight="true" outlineLevel="0" collapsed="false">
      <c r="A4570" s="3" t="s">
        <v>5738</v>
      </c>
      <c r="B4570" s="3" t="s">
        <v>1486</v>
      </c>
      <c r="C4570" s="3" t="s">
        <v>53</v>
      </c>
      <c r="D4570" s="3" t="s">
        <v>107</v>
      </c>
      <c r="E4570" s="3" t="s">
        <v>33</v>
      </c>
      <c r="F4570" s="3" t="s">
        <v>70</v>
      </c>
      <c r="G4570" s="3" t="s">
        <v>71</v>
      </c>
      <c r="H4570" s="3" t="s">
        <v>27</v>
      </c>
      <c r="I4570" s="3" t="s">
        <v>94</v>
      </c>
      <c r="J4570" s="3" t="n">
        <v>29</v>
      </c>
      <c r="K4570" s="3" t="n">
        <v>24179.58</v>
      </c>
      <c r="L4570" s="3" t="n">
        <v>701207.82</v>
      </c>
      <c r="M4570" s="3" t="n">
        <v>0.036</v>
      </c>
      <c r="N4570" s="3" t="n">
        <v>25243.48</v>
      </c>
      <c r="O4570" s="3" t="n">
        <v>675964.34</v>
      </c>
      <c r="P4570" s="3" t="n">
        <v>434748.85</v>
      </c>
      <c r="Q4570" s="3" t="n">
        <v>241215.49</v>
      </c>
      <c r="R4570" s="3" t="n">
        <v>0.3568</v>
      </c>
      <c r="S4570" s="3" t="n">
        <v>0.0358</v>
      </c>
      <c r="T4570" s="3" t="n">
        <v>0.0002</v>
      </c>
    </row>
    <row r="4571" customFormat="false" ht="15" hidden="false" customHeight="true" outlineLevel="0" collapsed="false">
      <c r="A4571" s="3" t="s">
        <v>5739</v>
      </c>
      <c r="B4571" s="3" t="s">
        <v>663</v>
      </c>
      <c r="C4571" s="3" t="s">
        <v>22</v>
      </c>
      <c r="D4571" s="3" t="s">
        <v>61</v>
      </c>
      <c r="E4571" s="3" t="s">
        <v>33</v>
      </c>
      <c r="F4571" s="3" t="s">
        <v>62</v>
      </c>
      <c r="G4571" s="3" t="s">
        <v>116</v>
      </c>
      <c r="H4571" s="3" t="s">
        <v>42</v>
      </c>
      <c r="I4571" s="3" t="s">
        <v>134</v>
      </c>
      <c r="J4571" s="3" t="n">
        <v>3</v>
      </c>
      <c r="K4571" s="3" t="n">
        <v>3764.93</v>
      </c>
      <c r="L4571" s="3" t="n">
        <v>11294.79</v>
      </c>
      <c r="M4571" s="3" t="n">
        <v>0.1016</v>
      </c>
      <c r="N4571" s="3" t="n">
        <v>1147.55</v>
      </c>
      <c r="O4571" s="3" t="n">
        <v>10147.24</v>
      </c>
      <c r="P4571" s="3" t="n">
        <v>6212.13</v>
      </c>
      <c r="Q4571" s="3" t="n">
        <v>3935.11</v>
      </c>
      <c r="R4571" s="3" t="n">
        <v>0.3878</v>
      </c>
      <c r="S4571" s="3" t="n">
        <v>0.0894</v>
      </c>
      <c r="T4571" s="3" t="n">
        <v>0.0122</v>
      </c>
    </row>
    <row r="4572" customFormat="false" ht="15" hidden="false" customHeight="true" outlineLevel="0" collapsed="false">
      <c r="A4572" s="3" t="s">
        <v>5740</v>
      </c>
      <c r="B4572" s="3" t="s">
        <v>620</v>
      </c>
      <c r="C4572" s="3" t="s">
        <v>120</v>
      </c>
      <c r="D4572" s="3" t="s">
        <v>54</v>
      </c>
      <c r="E4572" s="3" t="s">
        <v>24</v>
      </c>
      <c r="F4572" s="3" t="s">
        <v>40</v>
      </c>
      <c r="G4572" s="3" t="s">
        <v>63</v>
      </c>
      <c r="H4572" s="3" t="s">
        <v>77</v>
      </c>
      <c r="I4572" s="3" t="s">
        <v>131</v>
      </c>
      <c r="J4572" s="3" t="n">
        <v>17</v>
      </c>
      <c r="K4572" s="3" t="n">
        <v>2798.25</v>
      </c>
      <c r="L4572" s="3" t="n">
        <v>47570.25</v>
      </c>
      <c r="M4572" s="3" t="n">
        <v>0.0431</v>
      </c>
      <c r="N4572" s="3" t="n">
        <v>2050.28</v>
      </c>
      <c r="O4572" s="3" t="n">
        <v>45519.97</v>
      </c>
      <c r="P4572" s="3" t="n">
        <v>32347.77</v>
      </c>
      <c r="Q4572" s="3" t="n">
        <v>13172.2</v>
      </c>
      <c r="R4572" s="3" t="n">
        <v>0.2894</v>
      </c>
      <c r="S4572" s="3" t="n">
        <v>0.0393</v>
      </c>
      <c r="T4572" s="3" t="n">
        <v>0.0038</v>
      </c>
    </row>
    <row r="4573" customFormat="false" ht="15" hidden="false" customHeight="true" outlineLevel="0" collapsed="false">
      <c r="A4573" s="3" t="s">
        <v>5741</v>
      </c>
      <c r="B4573" s="3" t="s">
        <v>3757</v>
      </c>
      <c r="C4573" s="3" t="s">
        <v>31</v>
      </c>
      <c r="D4573" s="3" t="s">
        <v>47</v>
      </c>
      <c r="E4573" s="3" t="s">
        <v>48</v>
      </c>
      <c r="F4573" s="3" t="s">
        <v>25</v>
      </c>
      <c r="G4573" s="3" t="s">
        <v>49</v>
      </c>
      <c r="H4573" s="3" t="s">
        <v>42</v>
      </c>
      <c r="I4573" s="3" t="s">
        <v>134</v>
      </c>
      <c r="J4573" s="3" t="n">
        <v>33</v>
      </c>
      <c r="K4573" s="3" t="n">
        <v>2887.66</v>
      </c>
      <c r="L4573" s="3" t="n">
        <v>95292.78</v>
      </c>
      <c r="M4573" s="3" t="n">
        <v>0.1185</v>
      </c>
      <c r="N4573" s="3" t="n">
        <v>11292.19</v>
      </c>
      <c r="O4573" s="3" t="n">
        <v>84000.59</v>
      </c>
      <c r="P4573" s="3" t="n">
        <v>52411.03</v>
      </c>
      <c r="Q4573" s="3" t="n">
        <v>31589.56</v>
      </c>
      <c r="R4573" s="3" t="n">
        <v>0.3761</v>
      </c>
      <c r="S4573" s="3" t="n">
        <v>0.121</v>
      </c>
      <c r="T4573" s="3" t="n">
        <v>-0.0025</v>
      </c>
    </row>
    <row r="4574" customFormat="false" ht="15" hidden="false" customHeight="true" outlineLevel="0" collapsed="false">
      <c r="A4574" s="3" t="s">
        <v>5742</v>
      </c>
      <c r="B4574" s="3" t="s">
        <v>3439</v>
      </c>
      <c r="C4574" s="3" t="s">
        <v>113</v>
      </c>
      <c r="D4574" s="3" t="s">
        <v>54</v>
      </c>
      <c r="E4574" s="3" t="s">
        <v>24</v>
      </c>
      <c r="F4574" s="3" t="s">
        <v>40</v>
      </c>
      <c r="G4574" s="3" t="s">
        <v>116</v>
      </c>
      <c r="H4574" s="3" t="s">
        <v>42</v>
      </c>
      <c r="I4574" s="3" t="s">
        <v>134</v>
      </c>
      <c r="J4574" s="3" t="n">
        <v>37</v>
      </c>
      <c r="K4574" s="3" t="n">
        <v>2809.51</v>
      </c>
      <c r="L4574" s="3" t="n">
        <v>103951.87</v>
      </c>
      <c r="M4574" s="3" t="n">
        <v>0.0945</v>
      </c>
      <c r="N4574" s="3" t="n">
        <v>9823.45</v>
      </c>
      <c r="O4574" s="3" t="n">
        <v>94128.42</v>
      </c>
      <c r="P4574" s="3" t="n">
        <v>57173.53</v>
      </c>
      <c r="Q4574" s="3" t="n">
        <v>36954.89</v>
      </c>
      <c r="R4574" s="3" t="n">
        <v>0.3926</v>
      </c>
      <c r="S4574" s="3" t="n">
        <v>0.102</v>
      </c>
      <c r="T4574" s="3" t="n">
        <v>-0.0075</v>
      </c>
    </row>
    <row r="4575" customFormat="false" ht="15" hidden="false" customHeight="true" outlineLevel="0" collapsed="false">
      <c r="A4575" s="3" t="s">
        <v>5743</v>
      </c>
      <c r="B4575" s="3" t="s">
        <v>2741</v>
      </c>
      <c r="C4575" s="3" t="s">
        <v>60</v>
      </c>
      <c r="D4575" s="3" t="s">
        <v>83</v>
      </c>
      <c r="E4575" s="3" t="s">
        <v>48</v>
      </c>
      <c r="F4575" s="3" t="s">
        <v>62</v>
      </c>
      <c r="G4575" s="3" t="s">
        <v>76</v>
      </c>
      <c r="H4575" s="3" t="s">
        <v>56</v>
      </c>
      <c r="I4575" s="3" t="s">
        <v>188</v>
      </c>
      <c r="J4575" s="3" t="n">
        <v>32</v>
      </c>
      <c r="K4575" s="3" t="n">
        <v>11518.99</v>
      </c>
      <c r="L4575" s="3" t="n">
        <v>368607.68</v>
      </c>
      <c r="M4575" s="3" t="n">
        <v>0.0714</v>
      </c>
      <c r="N4575" s="3" t="n">
        <v>26318.59</v>
      </c>
      <c r="O4575" s="3" t="n">
        <v>342289.09</v>
      </c>
      <c r="P4575" s="3" t="n">
        <v>221164.61</v>
      </c>
      <c r="Q4575" s="3" t="n">
        <v>121124.48</v>
      </c>
      <c r="R4575" s="3" t="n">
        <v>0.3539</v>
      </c>
      <c r="S4575" s="3" t="n">
        <v>0.0576</v>
      </c>
      <c r="T4575" s="3" t="n">
        <v>0.0138</v>
      </c>
    </row>
    <row r="4576" customFormat="false" ht="15" hidden="false" customHeight="true" outlineLevel="0" collapsed="false">
      <c r="A4576" s="3" t="s">
        <v>5744</v>
      </c>
      <c r="B4576" s="3" t="s">
        <v>2643</v>
      </c>
      <c r="C4576" s="3" t="s">
        <v>60</v>
      </c>
      <c r="D4576" s="3" t="s">
        <v>69</v>
      </c>
      <c r="E4576" s="3" t="s">
        <v>39</v>
      </c>
      <c r="F4576" s="3" t="s">
        <v>70</v>
      </c>
      <c r="G4576" s="3" t="s">
        <v>84</v>
      </c>
      <c r="H4576" s="3" t="s">
        <v>56</v>
      </c>
      <c r="I4576" s="3" t="s">
        <v>188</v>
      </c>
      <c r="J4576" s="3" t="n">
        <v>26</v>
      </c>
      <c r="K4576" s="3" t="n">
        <v>5944.49</v>
      </c>
      <c r="L4576" s="3" t="n">
        <v>154556.74</v>
      </c>
      <c r="M4576" s="3" t="n">
        <v>0.0765</v>
      </c>
      <c r="N4576" s="3" t="n">
        <v>11823.59</v>
      </c>
      <c r="O4576" s="3" t="n">
        <v>142733.15</v>
      </c>
      <c r="P4576" s="3" t="n">
        <v>92734.04</v>
      </c>
      <c r="Q4576" s="3" t="n">
        <v>49999.11</v>
      </c>
      <c r="R4576" s="3" t="n">
        <v>0.3503</v>
      </c>
      <c r="S4576" s="3" t="n">
        <v>0.0684</v>
      </c>
      <c r="T4576" s="3" t="n">
        <v>0.0081</v>
      </c>
    </row>
    <row r="4577" customFormat="false" ht="15" hidden="false" customHeight="true" outlineLevel="0" collapsed="false">
      <c r="A4577" s="3" t="s">
        <v>5745</v>
      </c>
      <c r="B4577" s="3" t="s">
        <v>2011</v>
      </c>
      <c r="C4577" s="3" t="s">
        <v>126</v>
      </c>
      <c r="D4577" s="3" t="s">
        <v>75</v>
      </c>
      <c r="E4577" s="3" t="s">
        <v>39</v>
      </c>
      <c r="F4577" s="3" t="s">
        <v>25</v>
      </c>
      <c r="G4577" s="3" t="s">
        <v>63</v>
      </c>
      <c r="H4577" s="3" t="s">
        <v>77</v>
      </c>
      <c r="I4577" s="3" t="s">
        <v>85</v>
      </c>
      <c r="J4577" s="3" t="n">
        <v>32</v>
      </c>
      <c r="K4577" s="3" t="n">
        <v>1211.67</v>
      </c>
      <c r="L4577" s="3" t="n">
        <v>38773.44</v>
      </c>
      <c r="M4577" s="3" t="n">
        <v>0.1381</v>
      </c>
      <c r="N4577" s="3" t="n">
        <v>5354.61</v>
      </c>
      <c r="O4577" s="3" t="n">
        <v>33418.83</v>
      </c>
      <c r="P4577" s="3" t="n">
        <v>26365.94</v>
      </c>
      <c r="Q4577" s="3" t="n">
        <v>7052.89</v>
      </c>
      <c r="R4577" s="3" t="n">
        <v>0.211</v>
      </c>
      <c r="S4577" s="3" t="n">
        <v>0.1286</v>
      </c>
      <c r="T4577" s="3" t="n">
        <v>0.0095</v>
      </c>
    </row>
    <row r="4578" customFormat="false" ht="15" hidden="false" customHeight="true" outlineLevel="0" collapsed="false">
      <c r="A4578" s="3" t="s">
        <v>5746</v>
      </c>
      <c r="B4578" s="3" t="s">
        <v>5747</v>
      </c>
      <c r="C4578" s="3" t="s">
        <v>126</v>
      </c>
      <c r="D4578" s="3" t="s">
        <v>54</v>
      </c>
      <c r="E4578" s="3" t="s">
        <v>24</v>
      </c>
      <c r="F4578" s="3" t="s">
        <v>40</v>
      </c>
      <c r="G4578" s="3" t="s">
        <v>63</v>
      </c>
      <c r="H4578" s="3" t="s">
        <v>27</v>
      </c>
      <c r="I4578" s="3" t="s">
        <v>117</v>
      </c>
      <c r="J4578" s="3" t="n">
        <v>13</v>
      </c>
      <c r="K4578" s="3" t="n">
        <v>30201.32</v>
      </c>
      <c r="L4578" s="3" t="n">
        <v>392617.16</v>
      </c>
      <c r="M4578" s="3" t="n">
        <v>0.0476</v>
      </c>
      <c r="N4578" s="3" t="n">
        <v>18688.58</v>
      </c>
      <c r="O4578" s="3" t="n">
        <v>373928.58</v>
      </c>
      <c r="P4578" s="3" t="n">
        <v>243422.64</v>
      </c>
      <c r="Q4578" s="3" t="n">
        <v>130505.94</v>
      </c>
      <c r="R4578" s="3" t="n">
        <v>0.349</v>
      </c>
      <c r="S4578" s="3" t="n">
        <v>0.0403</v>
      </c>
      <c r="T4578" s="3" t="n">
        <v>0.0073</v>
      </c>
    </row>
    <row r="4579" customFormat="false" ht="15" hidden="false" customHeight="true" outlineLevel="0" collapsed="false">
      <c r="A4579" s="3" t="s">
        <v>5748</v>
      </c>
      <c r="B4579" s="3" t="s">
        <v>683</v>
      </c>
      <c r="C4579" s="3" t="s">
        <v>60</v>
      </c>
      <c r="D4579" s="3" t="s">
        <v>103</v>
      </c>
      <c r="E4579" s="3" t="s">
        <v>24</v>
      </c>
      <c r="F4579" s="3" t="s">
        <v>62</v>
      </c>
      <c r="G4579" s="3" t="s">
        <v>116</v>
      </c>
      <c r="H4579" s="3" t="s">
        <v>42</v>
      </c>
      <c r="I4579" s="3" t="s">
        <v>134</v>
      </c>
      <c r="J4579" s="3" t="n">
        <v>10</v>
      </c>
      <c r="K4579" s="3" t="n">
        <v>2449.45</v>
      </c>
      <c r="L4579" s="3" t="n">
        <v>24494.5</v>
      </c>
      <c r="M4579" s="3" t="n">
        <v>0.1081</v>
      </c>
      <c r="N4579" s="3" t="n">
        <v>2647.86</v>
      </c>
      <c r="O4579" s="3" t="n">
        <v>21846.64</v>
      </c>
      <c r="P4579" s="3" t="n">
        <v>13471.98</v>
      </c>
      <c r="Q4579" s="3" t="n">
        <v>8374.66</v>
      </c>
      <c r="R4579" s="3" t="n">
        <v>0.3833</v>
      </c>
      <c r="S4579" s="3" t="n">
        <v>0.1134</v>
      </c>
      <c r="T4579" s="3" t="n">
        <v>-0.0053</v>
      </c>
    </row>
    <row r="4580" customFormat="false" ht="15" hidden="false" customHeight="true" outlineLevel="0" collapsed="false">
      <c r="A4580" s="3" t="s">
        <v>5749</v>
      </c>
      <c r="B4580" s="3" t="s">
        <v>738</v>
      </c>
      <c r="C4580" s="3" t="s">
        <v>37</v>
      </c>
      <c r="D4580" s="3" t="s">
        <v>69</v>
      </c>
      <c r="E4580" s="3" t="s">
        <v>39</v>
      </c>
      <c r="F4580" s="3" t="s">
        <v>70</v>
      </c>
      <c r="G4580" s="3" t="s">
        <v>116</v>
      </c>
      <c r="H4580" s="3" t="s">
        <v>56</v>
      </c>
      <c r="I4580" s="3" t="s">
        <v>57</v>
      </c>
      <c r="J4580" s="3" t="n">
        <v>24</v>
      </c>
      <c r="K4580" s="3" t="n">
        <v>15809.42</v>
      </c>
      <c r="L4580" s="3" t="n">
        <v>379426.08</v>
      </c>
      <c r="M4580" s="3" t="n">
        <v>0.1009</v>
      </c>
      <c r="N4580" s="3" t="n">
        <v>38284.09</v>
      </c>
      <c r="O4580" s="3" t="n">
        <v>341141.99</v>
      </c>
      <c r="P4580" s="3" t="n">
        <v>227655.65</v>
      </c>
      <c r="Q4580" s="3" t="n">
        <v>113486.34</v>
      </c>
      <c r="R4580" s="3" t="n">
        <v>0.3327</v>
      </c>
      <c r="S4580" s="3" t="n">
        <v>0.089</v>
      </c>
      <c r="T4580" s="3" t="n">
        <v>0.0119</v>
      </c>
    </row>
    <row r="4581" customFormat="false" ht="15" hidden="false" customHeight="true" outlineLevel="0" collapsed="false">
      <c r="A4581" s="3" t="s">
        <v>5750</v>
      </c>
      <c r="B4581" s="3" t="s">
        <v>1740</v>
      </c>
      <c r="C4581" s="3" t="s">
        <v>22</v>
      </c>
      <c r="D4581" s="3" t="s">
        <v>75</v>
      </c>
      <c r="E4581" s="3" t="s">
        <v>39</v>
      </c>
      <c r="F4581" s="3" t="s">
        <v>25</v>
      </c>
      <c r="G4581" s="3" t="s">
        <v>84</v>
      </c>
      <c r="H4581" s="3" t="s">
        <v>42</v>
      </c>
      <c r="I4581" s="3" t="s">
        <v>43</v>
      </c>
      <c r="J4581" s="3" t="n">
        <v>24</v>
      </c>
      <c r="K4581" s="3" t="n">
        <v>1687.44</v>
      </c>
      <c r="L4581" s="3" t="n">
        <v>40498.56</v>
      </c>
      <c r="M4581" s="3" t="n">
        <v>0.1334</v>
      </c>
      <c r="N4581" s="3" t="n">
        <v>5402.51</v>
      </c>
      <c r="O4581" s="3" t="n">
        <v>35096.05</v>
      </c>
      <c r="P4581" s="3" t="n">
        <v>22274.21</v>
      </c>
      <c r="Q4581" s="3" t="n">
        <v>12821.84</v>
      </c>
      <c r="R4581" s="3" t="n">
        <v>0.3653</v>
      </c>
      <c r="S4581" s="3" t="n">
        <v>0.1271</v>
      </c>
      <c r="T4581" s="3" t="n">
        <v>0.0063</v>
      </c>
    </row>
    <row r="4582" customFormat="false" ht="15" hidden="false" customHeight="true" outlineLevel="0" collapsed="false">
      <c r="A4582" s="3" t="s">
        <v>5751</v>
      </c>
      <c r="B4582" s="3" t="s">
        <v>573</v>
      </c>
      <c r="C4582" s="3" t="s">
        <v>60</v>
      </c>
      <c r="D4582" s="3" t="s">
        <v>54</v>
      </c>
      <c r="E4582" s="3" t="s">
        <v>24</v>
      </c>
      <c r="F4582" s="3" t="s">
        <v>40</v>
      </c>
      <c r="G4582" s="3" t="s">
        <v>26</v>
      </c>
      <c r="H4582" s="3" t="s">
        <v>56</v>
      </c>
      <c r="I4582" s="3" t="s">
        <v>188</v>
      </c>
      <c r="J4582" s="3" t="n">
        <v>11</v>
      </c>
      <c r="K4582" s="3" t="n">
        <v>2211.91</v>
      </c>
      <c r="L4582" s="3" t="n">
        <v>24331.01</v>
      </c>
      <c r="M4582" s="3" t="n">
        <v>0.0535</v>
      </c>
      <c r="N4582" s="3" t="n">
        <v>1301.71</v>
      </c>
      <c r="O4582" s="3" t="n">
        <v>23029.3</v>
      </c>
      <c r="P4582" s="3" t="n">
        <v>14598.61</v>
      </c>
      <c r="Q4582" s="3" t="n">
        <v>8430.69</v>
      </c>
      <c r="R4582" s="3" t="n">
        <v>0.3661</v>
      </c>
      <c r="S4582" s="3" t="n">
        <v>0.0491</v>
      </c>
      <c r="T4582" s="3" t="n">
        <v>0.0044</v>
      </c>
    </row>
    <row r="4583" customFormat="false" ht="15" hidden="false" customHeight="true" outlineLevel="0" collapsed="false">
      <c r="A4583" s="3" t="s">
        <v>5752</v>
      </c>
      <c r="B4583" s="3" t="s">
        <v>99</v>
      </c>
      <c r="C4583" s="3" t="s">
        <v>93</v>
      </c>
      <c r="D4583" s="3" t="s">
        <v>69</v>
      </c>
      <c r="E4583" s="3" t="s">
        <v>39</v>
      </c>
      <c r="F4583" s="3" t="s">
        <v>70</v>
      </c>
      <c r="G4583" s="3" t="s">
        <v>26</v>
      </c>
      <c r="H4583" s="3" t="s">
        <v>42</v>
      </c>
      <c r="I4583" s="3" t="s">
        <v>43</v>
      </c>
      <c r="J4583" s="3" t="n">
        <v>43</v>
      </c>
      <c r="K4583" s="3" t="n">
        <v>2823.86</v>
      </c>
      <c r="L4583" s="3" t="n">
        <v>121425.98</v>
      </c>
      <c r="M4583" s="3" t="n">
        <v>0.0609</v>
      </c>
      <c r="N4583" s="3" t="n">
        <v>7394.84</v>
      </c>
      <c r="O4583" s="3" t="n">
        <v>114031.14</v>
      </c>
      <c r="P4583" s="3" t="n">
        <v>66784.29</v>
      </c>
      <c r="Q4583" s="3" t="n">
        <v>47246.85</v>
      </c>
      <c r="R4583" s="3" t="n">
        <v>0.4143</v>
      </c>
      <c r="S4583" s="3" t="n">
        <v>0.0584</v>
      </c>
      <c r="T4583" s="3" t="n">
        <v>0.0025</v>
      </c>
    </row>
    <row r="4584" customFormat="false" ht="15" hidden="false" customHeight="true" outlineLevel="0" collapsed="false">
      <c r="A4584" s="3" t="s">
        <v>5753</v>
      </c>
      <c r="B4584" s="3" t="s">
        <v>345</v>
      </c>
      <c r="C4584" s="3" t="s">
        <v>60</v>
      </c>
      <c r="D4584" s="3" t="s">
        <v>61</v>
      </c>
      <c r="E4584" s="3" t="s">
        <v>33</v>
      </c>
      <c r="F4584" s="3" t="s">
        <v>62</v>
      </c>
      <c r="G4584" s="3" t="s">
        <v>63</v>
      </c>
      <c r="H4584" s="3" t="s">
        <v>64</v>
      </c>
      <c r="I4584" s="3" t="s">
        <v>108</v>
      </c>
      <c r="J4584" s="3" t="n">
        <v>29</v>
      </c>
      <c r="K4584" s="3" t="n">
        <v>7228.76</v>
      </c>
      <c r="L4584" s="3" t="n">
        <v>209634.04</v>
      </c>
      <c r="M4584" s="3" t="n">
        <v>0.0424</v>
      </c>
      <c r="N4584" s="3" t="n">
        <v>8888.48</v>
      </c>
      <c r="O4584" s="3" t="n">
        <v>200745.56</v>
      </c>
      <c r="P4584" s="3" t="n">
        <v>121587.74</v>
      </c>
      <c r="Q4584" s="3" t="n">
        <v>79157.82</v>
      </c>
      <c r="R4584" s="3" t="n">
        <v>0.3943</v>
      </c>
      <c r="S4584" s="3" t="n">
        <v>0.0451</v>
      </c>
      <c r="T4584" s="3" t="n">
        <v>-0.0027</v>
      </c>
    </row>
    <row r="4585" customFormat="false" ht="15" hidden="false" customHeight="true" outlineLevel="0" collapsed="false">
      <c r="A4585" s="3" t="s">
        <v>5754</v>
      </c>
      <c r="B4585" s="3" t="s">
        <v>788</v>
      </c>
      <c r="C4585" s="3" t="s">
        <v>68</v>
      </c>
      <c r="D4585" s="3" t="s">
        <v>75</v>
      </c>
      <c r="E4585" s="3" t="s">
        <v>39</v>
      </c>
      <c r="F4585" s="3" t="s">
        <v>25</v>
      </c>
      <c r="G4585" s="3" t="s">
        <v>26</v>
      </c>
      <c r="H4585" s="3" t="s">
        <v>77</v>
      </c>
      <c r="I4585" s="3" t="s">
        <v>78</v>
      </c>
      <c r="J4585" s="3" t="n">
        <v>19</v>
      </c>
      <c r="K4585" s="3" t="n">
        <v>3261.81</v>
      </c>
      <c r="L4585" s="3" t="n">
        <v>61974.39</v>
      </c>
      <c r="M4585" s="3" t="n">
        <v>0.1409</v>
      </c>
      <c r="N4585" s="3" t="n">
        <v>8732.19</v>
      </c>
      <c r="O4585" s="3" t="n">
        <v>53242.2</v>
      </c>
      <c r="P4585" s="3" t="n">
        <v>42142.59</v>
      </c>
      <c r="Q4585" s="3" t="n">
        <v>11099.61</v>
      </c>
      <c r="R4585" s="3" t="n">
        <v>0.2085</v>
      </c>
      <c r="S4585" s="3" t="n">
        <v>0.1462</v>
      </c>
      <c r="T4585" s="3" t="n">
        <v>-0.0053</v>
      </c>
    </row>
    <row r="4586" customFormat="false" ht="15" hidden="false" customHeight="true" outlineLevel="0" collapsed="false">
      <c r="A4586" s="3" t="s">
        <v>5755</v>
      </c>
      <c r="B4586" s="3" t="s">
        <v>422</v>
      </c>
      <c r="C4586" s="3" t="s">
        <v>93</v>
      </c>
      <c r="D4586" s="3" t="s">
        <v>61</v>
      </c>
      <c r="E4586" s="3" t="s">
        <v>33</v>
      </c>
      <c r="F4586" s="3" t="s">
        <v>62</v>
      </c>
      <c r="G4586" s="3" t="s">
        <v>76</v>
      </c>
      <c r="H4586" s="3" t="s">
        <v>56</v>
      </c>
      <c r="I4586" s="3" t="s">
        <v>121</v>
      </c>
      <c r="J4586" s="3" t="n">
        <v>35</v>
      </c>
      <c r="K4586" s="3" t="n">
        <v>14197.06</v>
      </c>
      <c r="L4586" s="3" t="n">
        <v>496897.1</v>
      </c>
      <c r="M4586" s="3" t="n">
        <v>0.0785</v>
      </c>
      <c r="N4586" s="3" t="n">
        <v>39006.42</v>
      </c>
      <c r="O4586" s="3" t="n">
        <v>457890.68</v>
      </c>
      <c r="P4586" s="3" t="n">
        <v>298138.26</v>
      </c>
      <c r="Q4586" s="3" t="n">
        <v>159752.42</v>
      </c>
      <c r="R4586" s="3" t="n">
        <v>0.3489</v>
      </c>
      <c r="S4586" s="3" t="n">
        <v>0.0805</v>
      </c>
      <c r="T4586" s="3" t="n">
        <v>-0.002</v>
      </c>
    </row>
    <row r="4587" customFormat="false" ht="15" hidden="false" customHeight="true" outlineLevel="0" collapsed="false">
      <c r="A4587" s="3" t="s">
        <v>5756</v>
      </c>
      <c r="B4587" s="3" t="s">
        <v>742</v>
      </c>
      <c r="C4587" s="3" t="s">
        <v>113</v>
      </c>
      <c r="D4587" s="3" t="s">
        <v>38</v>
      </c>
      <c r="E4587" s="3" t="s">
        <v>39</v>
      </c>
      <c r="F4587" s="3" t="s">
        <v>40</v>
      </c>
      <c r="G4587" s="3" t="s">
        <v>76</v>
      </c>
      <c r="H4587" s="3" t="s">
        <v>64</v>
      </c>
      <c r="I4587" s="3" t="s">
        <v>145</v>
      </c>
      <c r="J4587" s="3" t="n">
        <v>13</v>
      </c>
      <c r="K4587" s="3" t="n">
        <v>8463.87</v>
      </c>
      <c r="L4587" s="3" t="n">
        <v>110030.31</v>
      </c>
      <c r="M4587" s="3" t="n">
        <v>0.0694</v>
      </c>
      <c r="N4587" s="3" t="n">
        <v>7636.1</v>
      </c>
      <c r="O4587" s="3" t="n">
        <v>102394.21</v>
      </c>
      <c r="P4587" s="3" t="n">
        <v>63817.58</v>
      </c>
      <c r="Q4587" s="3" t="n">
        <v>38576.63</v>
      </c>
      <c r="R4587" s="3" t="n">
        <v>0.3767</v>
      </c>
      <c r="S4587" s="3" t="n">
        <v>0.0642</v>
      </c>
      <c r="T4587" s="3" t="n">
        <v>0.0052</v>
      </c>
    </row>
    <row r="4588" customFormat="false" ht="15" hidden="false" customHeight="true" outlineLevel="0" collapsed="false">
      <c r="A4588" s="3" t="s">
        <v>5757</v>
      </c>
      <c r="B4588" s="3" t="s">
        <v>440</v>
      </c>
      <c r="C4588" s="3" t="s">
        <v>53</v>
      </c>
      <c r="D4588" s="3" t="s">
        <v>103</v>
      </c>
      <c r="E4588" s="3" t="s">
        <v>24</v>
      </c>
      <c r="F4588" s="3" t="s">
        <v>62</v>
      </c>
      <c r="G4588" s="3" t="s">
        <v>26</v>
      </c>
      <c r="H4588" s="3" t="s">
        <v>77</v>
      </c>
      <c r="I4588" s="3" t="s">
        <v>131</v>
      </c>
      <c r="J4588" s="3" t="n">
        <v>26</v>
      </c>
      <c r="K4588" s="3" t="n">
        <v>4801.27</v>
      </c>
      <c r="L4588" s="3" t="n">
        <v>124833.02</v>
      </c>
      <c r="M4588" s="3" t="n">
        <v>0.0504</v>
      </c>
      <c r="N4588" s="3" t="n">
        <v>6291.58</v>
      </c>
      <c r="O4588" s="3" t="n">
        <v>118541.44</v>
      </c>
      <c r="P4588" s="3" t="n">
        <v>84886.45</v>
      </c>
      <c r="Q4588" s="3" t="n">
        <v>33654.99</v>
      </c>
      <c r="R4588" s="3" t="n">
        <v>0.2839</v>
      </c>
      <c r="S4588" s="3" t="n">
        <v>0.0511</v>
      </c>
      <c r="T4588" s="3" t="n">
        <v>-0.0007</v>
      </c>
    </row>
    <row r="4589" customFormat="false" ht="15" hidden="false" customHeight="true" outlineLevel="0" collapsed="false">
      <c r="A4589" s="3" t="s">
        <v>5758</v>
      </c>
      <c r="B4589" s="3" t="s">
        <v>1575</v>
      </c>
      <c r="C4589" s="3" t="s">
        <v>113</v>
      </c>
      <c r="D4589" s="3" t="s">
        <v>38</v>
      </c>
      <c r="E4589" s="3" t="s">
        <v>39</v>
      </c>
      <c r="F4589" s="3" t="s">
        <v>40</v>
      </c>
      <c r="G4589" s="3" t="s">
        <v>34</v>
      </c>
      <c r="H4589" s="3" t="s">
        <v>27</v>
      </c>
      <c r="I4589" s="3" t="s">
        <v>50</v>
      </c>
      <c r="J4589" s="3" t="n">
        <v>28</v>
      </c>
      <c r="K4589" s="3" t="n">
        <v>20938.81</v>
      </c>
      <c r="L4589" s="3" t="n">
        <v>586286.68</v>
      </c>
      <c r="M4589" s="3" t="n">
        <v>0.1207</v>
      </c>
      <c r="N4589" s="3" t="n">
        <v>70764.8</v>
      </c>
      <c r="O4589" s="3" t="n">
        <v>515521.88</v>
      </c>
      <c r="P4589" s="3" t="n">
        <v>363497.74</v>
      </c>
      <c r="Q4589" s="3" t="n">
        <v>152024.14</v>
      </c>
      <c r="R4589" s="3" t="n">
        <v>0.2949</v>
      </c>
      <c r="S4589" s="3" t="n">
        <v>0.1242</v>
      </c>
      <c r="T4589" s="3" t="n">
        <v>-0.0035</v>
      </c>
    </row>
    <row r="4590" customFormat="false" ht="15" hidden="false" customHeight="true" outlineLevel="0" collapsed="false">
      <c r="A4590" s="3" t="s">
        <v>5759</v>
      </c>
      <c r="B4590" s="3" t="s">
        <v>513</v>
      </c>
      <c r="C4590" s="3" t="s">
        <v>120</v>
      </c>
      <c r="D4590" s="3" t="s">
        <v>32</v>
      </c>
      <c r="E4590" s="3" t="s">
        <v>33</v>
      </c>
      <c r="F4590" s="3" t="s">
        <v>25</v>
      </c>
      <c r="G4590" s="3" t="s">
        <v>63</v>
      </c>
      <c r="H4590" s="3" t="s">
        <v>64</v>
      </c>
      <c r="I4590" s="3" t="s">
        <v>65</v>
      </c>
      <c r="J4590" s="3" t="n">
        <v>46</v>
      </c>
      <c r="K4590" s="3" t="n">
        <v>4110.98</v>
      </c>
      <c r="L4590" s="3" t="n">
        <v>189105.08</v>
      </c>
      <c r="M4590" s="3" t="n">
        <v>0.1221</v>
      </c>
      <c r="N4590" s="3" t="n">
        <v>23089.73</v>
      </c>
      <c r="O4590" s="3" t="n">
        <v>166015.35</v>
      </c>
      <c r="P4590" s="3" t="n">
        <v>109680.95</v>
      </c>
      <c r="Q4590" s="3" t="n">
        <v>56334.4</v>
      </c>
      <c r="R4590" s="3" t="n">
        <v>0.3393</v>
      </c>
      <c r="S4590" s="3" t="n">
        <v>0.1154</v>
      </c>
      <c r="T4590" s="3" t="n">
        <v>0.0067</v>
      </c>
    </row>
    <row r="4591" customFormat="false" ht="15" hidden="false" customHeight="true" outlineLevel="0" collapsed="false">
      <c r="A4591" s="3" t="s">
        <v>5760</v>
      </c>
      <c r="B4591" s="3" t="s">
        <v>1617</v>
      </c>
      <c r="C4591" s="3" t="s">
        <v>113</v>
      </c>
      <c r="D4591" s="3" t="s">
        <v>38</v>
      </c>
      <c r="E4591" s="3" t="s">
        <v>39</v>
      </c>
      <c r="F4591" s="3" t="s">
        <v>40</v>
      </c>
      <c r="G4591" s="3" t="s">
        <v>34</v>
      </c>
      <c r="H4591" s="3" t="s">
        <v>27</v>
      </c>
      <c r="I4591" s="3" t="s">
        <v>50</v>
      </c>
      <c r="J4591" s="3" t="n">
        <v>14</v>
      </c>
      <c r="K4591" s="3" t="n">
        <v>17677.03</v>
      </c>
      <c r="L4591" s="3" t="n">
        <v>247478.42</v>
      </c>
      <c r="M4591" s="3" t="n">
        <v>0.0991</v>
      </c>
      <c r="N4591" s="3" t="n">
        <v>24525.11</v>
      </c>
      <c r="O4591" s="3" t="n">
        <v>222953.31</v>
      </c>
      <c r="P4591" s="3" t="n">
        <v>153436.62</v>
      </c>
      <c r="Q4591" s="3" t="n">
        <v>69516.69</v>
      </c>
      <c r="R4591" s="3" t="n">
        <v>0.3118</v>
      </c>
      <c r="S4591" s="3" t="n">
        <v>0.0852</v>
      </c>
      <c r="T4591" s="3" t="n">
        <v>0.0139</v>
      </c>
    </row>
    <row r="4592" customFormat="false" ht="15" hidden="false" customHeight="true" outlineLevel="0" collapsed="false">
      <c r="A4592" s="3" t="s">
        <v>5761</v>
      </c>
      <c r="B4592" s="3" t="s">
        <v>1080</v>
      </c>
      <c r="C4592" s="3" t="s">
        <v>156</v>
      </c>
      <c r="D4592" s="3" t="s">
        <v>23</v>
      </c>
      <c r="E4592" s="3" t="s">
        <v>24</v>
      </c>
      <c r="F4592" s="3" t="s">
        <v>25</v>
      </c>
      <c r="G4592" s="3" t="s">
        <v>26</v>
      </c>
      <c r="H4592" s="3" t="s">
        <v>42</v>
      </c>
      <c r="I4592" s="3" t="s">
        <v>72</v>
      </c>
      <c r="J4592" s="3" t="n">
        <v>2</v>
      </c>
      <c r="K4592" s="3" t="n">
        <v>835.43</v>
      </c>
      <c r="L4592" s="3" t="n">
        <v>1670.86</v>
      </c>
      <c r="M4592" s="3" t="n">
        <v>0.1075</v>
      </c>
      <c r="N4592" s="3" t="n">
        <v>179.62</v>
      </c>
      <c r="O4592" s="3" t="n">
        <v>1491.24</v>
      </c>
      <c r="P4592" s="3" t="n">
        <v>918.97</v>
      </c>
      <c r="Q4592" s="3" t="n">
        <v>572.27</v>
      </c>
      <c r="R4592" s="3" t="n">
        <v>0.3838</v>
      </c>
      <c r="S4592" s="3" t="n">
        <v>0.0911</v>
      </c>
      <c r="T4592" s="3" t="n">
        <v>0.0164</v>
      </c>
    </row>
    <row r="4593" customFormat="false" ht="15" hidden="false" customHeight="true" outlineLevel="0" collapsed="false">
      <c r="A4593" s="3" t="s">
        <v>5762</v>
      </c>
      <c r="B4593" s="3" t="s">
        <v>477</v>
      </c>
      <c r="C4593" s="3" t="s">
        <v>46</v>
      </c>
      <c r="D4593" s="3" t="s">
        <v>47</v>
      </c>
      <c r="E4593" s="3" t="s">
        <v>48</v>
      </c>
      <c r="F4593" s="3" t="s">
        <v>25</v>
      </c>
      <c r="G4593" s="3" t="s">
        <v>116</v>
      </c>
      <c r="H4593" s="3" t="s">
        <v>64</v>
      </c>
      <c r="I4593" s="3" t="s">
        <v>65</v>
      </c>
      <c r="J4593" s="3" t="n">
        <v>15</v>
      </c>
      <c r="K4593" s="3" t="n">
        <v>10841.74</v>
      </c>
      <c r="L4593" s="3" t="n">
        <v>162626.1</v>
      </c>
      <c r="M4593" s="3" t="n">
        <v>0.2115</v>
      </c>
      <c r="N4593" s="3" t="n">
        <v>34395.42</v>
      </c>
      <c r="O4593" s="3" t="n">
        <v>128230.68</v>
      </c>
      <c r="P4593" s="3" t="n">
        <v>94323.14</v>
      </c>
      <c r="Q4593" s="3" t="n">
        <v>33907.54</v>
      </c>
      <c r="R4593" s="3" t="n">
        <v>0.2644</v>
      </c>
      <c r="S4593" s="3" t="n">
        <v>0.2298</v>
      </c>
      <c r="T4593" s="3" t="n">
        <v>-0.0183</v>
      </c>
    </row>
    <row r="4594" customFormat="false" ht="15" hidden="false" customHeight="true" outlineLevel="0" collapsed="false">
      <c r="A4594" s="3" t="s">
        <v>5763</v>
      </c>
      <c r="B4594" s="3" t="s">
        <v>1987</v>
      </c>
      <c r="C4594" s="3" t="s">
        <v>93</v>
      </c>
      <c r="D4594" s="3" t="s">
        <v>61</v>
      </c>
      <c r="E4594" s="3" t="s">
        <v>33</v>
      </c>
      <c r="F4594" s="3" t="s">
        <v>62</v>
      </c>
      <c r="G4594" s="3" t="s">
        <v>76</v>
      </c>
      <c r="H4594" s="3" t="s">
        <v>27</v>
      </c>
      <c r="I4594" s="3" t="s">
        <v>50</v>
      </c>
      <c r="J4594" s="3" t="n">
        <v>43</v>
      </c>
      <c r="K4594" s="3" t="n">
        <v>32796.59</v>
      </c>
      <c r="L4594" s="3" t="n">
        <v>1410253.37</v>
      </c>
      <c r="M4594" s="3" t="n">
        <v>0.0747</v>
      </c>
      <c r="N4594" s="3" t="n">
        <v>105345.93</v>
      </c>
      <c r="O4594" s="3" t="n">
        <v>1304907.44</v>
      </c>
      <c r="P4594" s="3" t="n">
        <v>874357.09</v>
      </c>
      <c r="Q4594" s="3" t="n">
        <v>430550.35</v>
      </c>
      <c r="R4594" s="3" t="n">
        <v>0.3299</v>
      </c>
      <c r="S4594" s="3" t="n">
        <v>0.072</v>
      </c>
      <c r="T4594" s="3" t="n">
        <v>0.0027</v>
      </c>
    </row>
    <row r="4595" customFormat="false" ht="15" hidden="false" customHeight="true" outlineLevel="0" collapsed="false">
      <c r="A4595" s="3" t="s">
        <v>5764</v>
      </c>
      <c r="B4595" s="3" t="s">
        <v>1969</v>
      </c>
      <c r="C4595" s="3" t="s">
        <v>22</v>
      </c>
      <c r="D4595" s="3" t="s">
        <v>61</v>
      </c>
      <c r="E4595" s="3" t="s">
        <v>33</v>
      </c>
      <c r="F4595" s="3" t="s">
        <v>62</v>
      </c>
      <c r="G4595" s="3" t="s">
        <v>34</v>
      </c>
      <c r="H4595" s="3" t="s">
        <v>42</v>
      </c>
      <c r="I4595" s="3" t="s">
        <v>134</v>
      </c>
      <c r="J4595" s="3" t="n">
        <v>6</v>
      </c>
      <c r="K4595" s="3" t="n">
        <v>1410.32</v>
      </c>
      <c r="L4595" s="3" t="n">
        <v>8461.92</v>
      </c>
      <c r="M4595" s="3" t="n">
        <v>0.1162</v>
      </c>
      <c r="N4595" s="3" t="n">
        <v>983.28</v>
      </c>
      <c r="O4595" s="3" t="n">
        <v>7478.64</v>
      </c>
      <c r="P4595" s="3" t="n">
        <v>4654.06</v>
      </c>
      <c r="Q4595" s="3" t="n">
        <v>2824.58</v>
      </c>
      <c r="R4595" s="3" t="n">
        <v>0.3777</v>
      </c>
      <c r="S4595" s="3" t="n">
        <v>0.0937</v>
      </c>
      <c r="T4595" s="3" t="n">
        <v>0.0225</v>
      </c>
    </row>
    <row r="4596" customFormat="false" ht="15" hidden="false" customHeight="true" outlineLevel="0" collapsed="false">
      <c r="A4596" s="3" t="s">
        <v>5765</v>
      </c>
      <c r="B4596" s="3" t="s">
        <v>2489</v>
      </c>
      <c r="C4596" s="3" t="s">
        <v>22</v>
      </c>
      <c r="D4596" s="3" t="s">
        <v>47</v>
      </c>
      <c r="E4596" s="3" t="s">
        <v>48</v>
      </c>
      <c r="F4596" s="3" t="s">
        <v>25</v>
      </c>
      <c r="G4596" s="3" t="s">
        <v>100</v>
      </c>
      <c r="H4596" s="3" t="s">
        <v>77</v>
      </c>
      <c r="I4596" s="3" t="s">
        <v>131</v>
      </c>
      <c r="J4596" s="3" t="n">
        <v>12</v>
      </c>
      <c r="K4596" s="3" t="n">
        <v>3217.15</v>
      </c>
      <c r="L4596" s="3" t="n">
        <v>38605.8</v>
      </c>
      <c r="M4596" s="3" t="n">
        <v>0.1122</v>
      </c>
      <c r="N4596" s="3" t="n">
        <v>4331.57</v>
      </c>
      <c r="O4596" s="3" t="n">
        <v>34274.23</v>
      </c>
      <c r="P4596" s="3" t="n">
        <v>26251.94</v>
      </c>
      <c r="Q4596" s="3" t="n">
        <v>8022.29</v>
      </c>
      <c r="R4596" s="3" t="n">
        <v>0.2341</v>
      </c>
      <c r="S4596" s="3" t="n">
        <v>0.0995</v>
      </c>
      <c r="T4596" s="3" t="n">
        <v>0.0127</v>
      </c>
    </row>
    <row r="4597" customFormat="false" ht="15" hidden="false" customHeight="true" outlineLevel="0" collapsed="false">
      <c r="A4597" s="3" t="s">
        <v>5766</v>
      </c>
      <c r="B4597" s="3" t="s">
        <v>2339</v>
      </c>
      <c r="C4597" s="3" t="s">
        <v>120</v>
      </c>
      <c r="D4597" s="3" t="s">
        <v>32</v>
      </c>
      <c r="E4597" s="3" t="s">
        <v>33</v>
      </c>
      <c r="F4597" s="3" t="s">
        <v>25</v>
      </c>
      <c r="G4597" s="3" t="s">
        <v>71</v>
      </c>
      <c r="H4597" s="3" t="s">
        <v>64</v>
      </c>
      <c r="I4597" s="3" t="s">
        <v>90</v>
      </c>
      <c r="J4597" s="3" t="n">
        <v>10</v>
      </c>
      <c r="K4597" s="3" t="n">
        <v>4571.3</v>
      </c>
      <c r="L4597" s="3" t="n">
        <v>45713</v>
      </c>
      <c r="M4597" s="3" t="n">
        <v>0.1617</v>
      </c>
      <c r="N4597" s="3" t="n">
        <v>7391.79</v>
      </c>
      <c r="O4597" s="3" t="n">
        <v>38321.21</v>
      </c>
      <c r="P4597" s="3" t="n">
        <v>26513.54</v>
      </c>
      <c r="Q4597" s="3" t="n">
        <v>11807.67</v>
      </c>
      <c r="R4597" s="3" t="n">
        <v>0.3081</v>
      </c>
      <c r="S4597" s="3" t="n">
        <v>0.1364</v>
      </c>
      <c r="T4597" s="3" t="n">
        <v>0.0253</v>
      </c>
    </row>
    <row r="4598" customFormat="false" ht="15" hidden="false" customHeight="true" outlineLevel="0" collapsed="false">
      <c r="A4598" s="3" t="s">
        <v>5767</v>
      </c>
      <c r="B4598" s="3" t="s">
        <v>251</v>
      </c>
      <c r="C4598" s="3" t="s">
        <v>120</v>
      </c>
      <c r="D4598" s="3" t="s">
        <v>103</v>
      </c>
      <c r="E4598" s="3" t="s">
        <v>24</v>
      </c>
      <c r="F4598" s="3" t="s">
        <v>62</v>
      </c>
      <c r="G4598" s="3" t="s">
        <v>26</v>
      </c>
      <c r="H4598" s="3" t="s">
        <v>27</v>
      </c>
      <c r="I4598" s="3" t="s">
        <v>94</v>
      </c>
      <c r="J4598" s="3" t="n">
        <v>28</v>
      </c>
      <c r="K4598" s="3" t="n">
        <v>12685.34</v>
      </c>
      <c r="L4598" s="3" t="n">
        <v>355189.52</v>
      </c>
      <c r="M4598" s="3" t="n">
        <v>0.0781</v>
      </c>
      <c r="N4598" s="3" t="n">
        <v>27740.3</v>
      </c>
      <c r="O4598" s="3" t="n">
        <v>327449.22</v>
      </c>
      <c r="P4598" s="3" t="n">
        <v>220217.5</v>
      </c>
      <c r="Q4598" s="3" t="n">
        <v>107231.72</v>
      </c>
      <c r="R4598" s="3" t="n">
        <v>0.3275</v>
      </c>
      <c r="S4598" s="3" t="n">
        <v>0.0846</v>
      </c>
      <c r="T4598" s="3" t="n">
        <v>-0.0065</v>
      </c>
    </row>
    <row r="4599" customFormat="false" ht="15" hidden="false" customHeight="true" outlineLevel="0" collapsed="false">
      <c r="A4599" s="3" t="s">
        <v>5768</v>
      </c>
      <c r="B4599" s="3" t="s">
        <v>1219</v>
      </c>
      <c r="C4599" s="3" t="s">
        <v>156</v>
      </c>
      <c r="D4599" s="3" t="s">
        <v>69</v>
      </c>
      <c r="E4599" s="3" t="s">
        <v>39</v>
      </c>
      <c r="F4599" s="3" t="s">
        <v>70</v>
      </c>
      <c r="G4599" s="3" t="s">
        <v>63</v>
      </c>
      <c r="H4599" s="3" t="s">
        <v>42</v>
      </c>
      <c r="I4599" s="3" t="s">
        <v>43</v>
      </c>
      <c r="J4599" s="3" t="n">
        <v>4</v>
      </c>
      <c r="K4599" s="3" t="n">
        <v>938.8</v>
      </c>
      <c r="L4599" s="3" t="n">
        <v>3755.2</v>
      </c>
      <c r="M4599" s="3" t="n">
        <v>0.0565</v>
      </c>
      <c r="N4599" s="3" t="n">
        <v>212.17</v>
      </c>
      <c r="O4599" s="3" t="n">
        <v>3543.03</v>
      </c>
      <c r="P4599" s="3" t="n">
        <v>2065.36</v>
      </c>
      <c r="Q4599" s="3" t="n">
        <v>1477.67</v>
      </c>
      <c r="R4599" s="3" t="n">
        <v>0.4171</v>
      </c>
      <c r="S4599" s="3" t="n">
        <v>0.0465</v>
      </c>
      <c r="T4599" s="3" t="n">
        <v>0.01</v>
      </c>
    </row>
    <row r="4600" customFormat="false" ht="15" hidden="false" customHeight="true" outlineLevel="0" collapsed="false">
      <c r="A4600" s="3" t="s">
        <v>5769</v>
      </c>
      <c r="B4600" s="3" t="s">
        <v>1792</v>
      </c>
      <c r="C4600" s="3" t="s">
        <v>68</v>
      </c>
      <c r="D4600" s="3" t="s">
        <v>83</v>
      </c>
      <c r="E4600" s="3" t="s">
        <v>48</v>
      </c>
      <c r="F4600" s="3" t="s">
        <v>62</v>
      </c>
      <c r="G4600" s="3" t="s">
        <v>84</v>
      </c>
      <c r="H4600" s="3" t="s">
        <v>56</v>
      </c>
      <c r="I4600" s="3" t="s">
        <v>121</v>
      </c>
      <c r="J4600" s="3" t="n">
        <v>2</v>
      </c>
      <c r="K4600" s="3" t="n">
        <v>16771.67</v>
      </c>
      <c r="L4600" s="3" t="n">
        <v>33543.34</v>
      </c>
      <c r="M4600" s="3" t="n">
        <v>0.0497</v>
      </c>
      <c r="N4600" s="3" t="n">
        <v>1667.1</v>
      </c>
      <c r="O4600" s="3" t="n">
        <v>31876.24</v>
      </c>
      <c r="P4600" s="3" t="n">
        <v>20126</v>
      </c>
      <c r="Q4600" s="3" t="n">
        <v>11750.24</v>
      </c>
      <c r="R4600" s="3" t="n">
        <v>0.3686</v>
      </c>
      <c r="S4600" s="3" t="n">
        <v>0.0407</v>
      </c>
      <c r="T4600" s="3" t="n">
        <v>0.009</v>
      </c>
    </row>
    <row r="4601" customFormat="false" ht="15" hidden="false" customHeight="true" outlineLevel="0" collapsed="false">
      <c r="A4601" s="3" t="s">
        <v>5770</v>
      </c>
      <c r="B4601" s="3" t="s">
        <v>613</v>
      </c>
      <c r="C4601" s="3" t="s">
        <v>31</v>
      </c>
      <c r="D4601" s="3" t="s">
        <v>38</v>
      </c>
      <c r="E4601" s="3" t="s">
        <v>39</v>
      </c>
      <c r="F4601" s="3" t="s">
        <v>40</v>
      </c>
      <c r="G4601" s="3" t="s">
        <v>71</v>
      </c>
      <c r="H4601" s="3" t="s">
        <v>56</v>
      </c>
      <c r="I4601" s="3" t="s">
        <v>57</v>
      </c>
      <c r="J4601" s="3" t="n">
        <v>28</v>
      </c>
      <c r="K4601" s="3" t="n">
        <v>7661.09</v>
      </c>
      <c r="L4601" s="3" t="n">
        <v>214510.52</v>
      </c>
      <c r="M4601" s="3" t="n">
        <v>0.0565</v>
      </c>
      <c r="N4601" s="3" t="n">
        <v>12119.84</v>
      </c>
      <c r="O4601" s="3" t="n">
        <v>202390.68</v>
      </c>
      <c r="P4601" s="3" t="n">
        <v>128706.31</v>
      </c>
      <c r="Q4601" s="3" t="n">
        <v>73684.37</v>
      </c>
      <c r="R4601" s="3" t="n">
        <v>0.3641</v>
      </c>
      <c r="S4601" s="3" t="n">
        <v>0.0611</v>
      </c>
      <c r="T4601" s="3" t="n">
        <v>-0.0046</v>
      </c>
    </row>
    <row r="4602" customFormat="false" ht="15" hidden="false" customHeight="true" outlineLevel="0" collapsed="false">
      <c r="A4602" s="3" t="s">
        <v>5771</v>
      </c>
      <c r="B4602" s="3" t="s">
        <v>3455</v>
      </c>
      <c r="C4602" s="3" t="s">
        <v>60</v>
      </c>
      <c r="D4602" s="3" t="s">
        <v>32</v>
      </c>
      <c r="E4602" s="3" t="s">
        <v>33</v>
      </c>
      <c r="F4602" s="3" t="s">
        <v>25</v>
      </c>
      <c r="G4602" s="3" t="s">
        <v>63</v>
      </c>
      <c r="H4602" s="3" t="s">
        <v>56</v>
      </c>
      <c r="I4602" s="3" t="s">
        <v>188</v>
      </c>
      <c r="J4602" s="3" t="n">
        <v>49</v>
      </c>
      <c r="K4602" s="3" t="n">
        <v>10837.52</v>
      </c>
      <c r="L4602" s="3" t="n">
        <v>531038.48</v>
      </c>
      <c r="M4602" s="3" t="n">
        <v>0.164</v>
      </c>
      <c r="N4602" s="3" t="n">
        <v>87090.31</v>
      </c>
      <c r="O4602" s="3" t="n">
        <v>443948.17</v>
      </c>
      <c r="P4602" s="3" t="n">
        <v>318623.09</v>
      </c>
      <c r="Q4602" s="3" t="n">
        <v>125325.08</v>
      </c>
      <c r="R4602" s="3" t="n">
        <v>0.2823</v>
      </c>
      <c r="S4602" s="3" t="n">
        <v>0.1368</v>
      </c>
      <c r="T4602" s="3" t="n">
        <v>0.0272</v>
      </c>
    </row>
    <row r="4603" customFormat="false" ht="15" hidden="false" customHeight="true" outlineLevel="0" collapsed="false">
      <c r="A4603" s="3" t="s">
        <v>5772</v>
      </c>
      <c r="B4603" s="3" t="s">
        <v>3911</v>
      </c>
      <c r="C4603" s="3" t="s">
        <v>22</v>
      </c>
      <c r="D4603" s="3" t="s">
        <v>32</v>
      </c>
      <c r="E4603" s="3" t="s">
        <v>33</v>
      </c>
      <c r="F4603" s="3" t="s">
        <v>25</v>
      </c>
      <c r="G4603" s="3" t="s">
        <v>84</v>
      </c>
      <c r="H4603" s="3" t="s">
        <v>77</v>
      </c>
      <c r="I4603" s="3" t="s">
        <v>131</v>
      </c>
      <c r="J4603" s="3" t="n">
        <v>4</v>
      </c>
      <c r="K4603" s="3" t="n">
        <v>5931.07</v>
      </c>
      <c r="L4603" s="3" t="n">
        <v>23724.28</v>
      </c>
      <c r="M4603" s="3" t="n">
        <v>0.1742</v>
      </c>
      <c r="N4603" s="3" t="n">
        <v>4132.77</v>
      </c>
      <c r="O4603" s="3" t="n">
        <v>19591.51</v>
      </c>
      <c r="P4603" s="3" t="n">
        <v>16132.51</v>
      </c>
      <c r="Q4603" s="3" t="n">
        <v>3459</v>
      </c>
      <c r="R4603" s="3" t="n">
        <v>0.1766</v>
      </c>
      <c r="S4603" s="3" t="n">
        <v>0.1876</v>
      </c>
      <c r="T4603" s="3" t="n">
        <v>-0.0134</v>
      </c>
    </row>
    <row r="4604" customFormat="false" ht="15" hidden="false" customHeight="true" outlineLevel="0" collapsed="false">
      <c r="A4604" s="3" t="s">
        <v>5773</v>
      </c>
      <c r="B4604" s="3" t="s">
        <v>965</v>
      </c>
      <c r="C4604" s="3" t="s">
        <v>22</v>
      </c>
      <c r="D4604" s="3" t="s">
        <v>69</v>
      </c>
      <c r="E4604" s="3" t="s">
        <v>39</v>
      </c>
      <c r="F4604" s="3" t="s">
        <v>70</v>
      </c>
      <c r="G4604" s="3" t="s">
        <v>34</v>
      </c>
      <c r="H4604" s="3" t="s">
        <v>56</v>
      </c>
      <c r="I4604" s="3" t="s">
        <v>188</v>
      </c>
      <c r="J4604" s="3" t="n">
        <v>39</v>
      </c>
      <c r="K4604" s="3" t="n">
        <v>11905.93</v>
      </c>
      <c r="L4604" s="3" t="n">
        <v>464331.27</v>
      </c>
      <c r="M4604" s="3" t="n">
        <v>0.1009</v>
      </c>
      <c r="N4604" s="3" t="n">
        <v>46851.03</v>
      </c>
      <c r="O4604" s="3" t="n">
        <v>417480.24</v>
      </c>
      <c r="P4604" s="3" t="n">
        <v>278598.76</v>
      </c>
      <c r="Q4604" s="3" t="n">
        <v>138881.48</v>
      </c>
      <c r="R4604" s="3" t="n">
        <v>0.3327</v>
      </c>
      <c r="S4604" s="3" t="n">
        <v>0.091</v>
      </c>
      <c r="T4604" s="3" t="n">
        <v>0.0099</v>
      </c>
    </row>
    <row r="4605" customFormat="false" ht="15" hidden="false" customHeight="true" outlineLevel="0" collapsed="false">
      <c r="A4605" s="3" t="s">
        <v>5774</v>
      </c>
      <c r="B4605" s="3" t="s">
        <v>948</v>
      </c>
      <c r="C4605" s="3" t="s">
        <v>60</v>
      </c>
      <c r="D4605" s="3" t="s">
        <v>97</v>
      </c>
      <c r="E4605" s="3" t="s">
        <v>48</v>
      </c>
      <c r="F4605" s="3" t="s">
        <v>40</v>
      </c>
      <c r="G4605" s="3" t="s">
        <v>63</v>
      </c>
      <c r="H4605" s="3" t="s">
        <v>77</v>
      </c>
      <c r="I4605" s="3" t="s">
        <v>131</v>
      </c>
      <c r="J4605" s="3" t="n">
        <v>31</v>
      </c>
      <c r="K4605" s="3" t="n">
        <v>5021.24</v>
      </c>
      <c r="L4605" s="3" t="n">
        <v>155658.44</v>
      </c>
      <c r="M4605" s="3" t="n">
        <v>0.0304</v>
      </c>
      <c r="N4605" s="3" t="n">
        <v>4732.02</v>
      </c>
      <c r="O4605" s="3" t="n">
        <v>150926.42</v>
      </c>
      <c r="P4605" s="3" t="n">
        <v>105847.74</v>
      </c>
      <c r="Q4605" s="3" t="n">
        <v>45078.68</v>
      </c>
      <c r="R4605" s="3" t="n">
        <v>0.2987</v>
      </c>
      <c r="S4605" s="3" t="n">
        <v>0.0333</v>
      </c>
      <c r="T4605" s="3" t="n">
        <v>-0.0029</v>
      </c>
    </row>
    <row r="4606" customFormat="false" ht="15" hidden="false" customHeight="true" outlineLevel="0" collapsed="false">
      <c r="A4606" s="3" t="s">
        <v>5775</v>
      </c>
      <c r="B4606" s="3" t="s">
        <v>3200</v>
      </c>
      <c r="C4606" s="3" t="s">
        <v>68</v>
      </c>
      <c r="D4606" s="3" t="s">
        <v>54</v>
      </c>
      <c r="E4606" s="3" t="s">
        <v>24</v>
      </c>
      <c r="F4606" s="3" t="s">
        <v>40</v>
      </c>
      <c r="G4606" s="3" t="s">
        <v>100</v>
      </c>
      <c r="H4606" s="3" t="s">
        <v>77</v>
      </c>
      <c r="I4606" s="3" t="s">
        <v>78</v>
      </c>
      <c r="J4606" s="3" t="n">
        <v>42</v>
      </c>
      <c r="K4606" s="3" t="n">
        <v>5161.56</v>
      </c>
      <c r="L4606" s="3" t="n">
        <v>216785.52</v>
      </c>
      <c r="M4606" s="3" t="n">
        <v>0.0524</v>
      </c>
      <c r="N4606" s="3" t="n">
        <v>11359.56</v>
      </c>
      <c r="O4606" s="3" t="n">
        <v>205425.96</v>
      </c>
      <c r="P4606" s="3" t="n">
        <v>147414.15</v>
      </c>
      <c r="Q4606" s="3" t="n">
        <v>58011.81</v>
      </c>
      <c r="R4606" s="3" t="n">
        <v>0.2824</v>
      </c>
      <c r="S4606" s="3" t="n">
        <v>0.0532</v>
      </c>
      <c r="T4606" s="3" t="n">
        <v>-0.0008</v>
      </c>
    </row>
    <row r="4607" customFormat="false" ht="15" hidden="false" customHeight="true" outlineLevel="0" collapsed="false">
      <c r="A4607" s="3" t="s">
        <v>5776</v>
      </c>
      <c r="B4607" s="3" t="s">
        <v>889</v>
      </c>
      <c r="C4607" s="3" t="s">
        <v>37</v>
      </c>
      <c r="D4607" s="3" t="s">
        <v>107</v>
      </c>
      <c r="E4607" s="3" t="s">
        <v>33</v>
      </c>
      <c r="F4607" s="3" t="s">
        <v>70</v>
      </c>
      <c r="G4607" s="3" t="s">
        <v>116</v>
      </c>
      <c r="H4607" s="3" t="s">
        <v>56</v>
      </c>
      <c r="I4607" s="3" t="s">
        <v>188</v>
      </c>
      <c r="J4607" s="3" t="n">
        <v>30</v>
      </c>
      <c r="K4607" s="3" t="n">
        <v>5696.58</v>
      </c>
      <c r="L4607" s="3" t="n">
        <v>170897.4</v>
      </c>
      <c r="M4607" s="3" t="n">
        <v>0.0661</v>
      </c>
      <c r="N4607" s="3" t="n">
        <v>11296.32</v>
      </c>
      <c r="O4607" s="3" t="n">
        <v>159601.08</v>
      </c>
      <c r="P4607" s="3" t="n">
        <v>102538.44</v>
      </c>
      <c r="Q4607" s="3" t="n">
        <v>57062.64</v>
      </c>
      <c r="R4607" s="3" t="n">
        <v>0.3575</v>
      </c>
      <c r="S4607" s="3" t="n">
        <v>0.0715</v>
      </c>
      <c r="T4607" s="3" t="n">
        <v>-0.0054</v>
      </c>
    </row>
    <row r="4608" customFormat="false" ht="15" hidden="false" customHeight="true" outlineLevel="0" collapsed="false">
      <c r="A4608" s="3" t="s">
        <v>5777</v>
      </c>
      <c r="B4608" s="3" t="s">
        <v>1887</v>
      </c>
      <c r="C4608" s="3" t="s">
        <v>53</v>
      </c>
      <c r="D4608" s="3" t="s">
        <v>75</v>
      </c>
      <c r="E4608" s="3" t="s">
        <v>39</v>
      </c>
      <c r="F4608" s="3" t="s">
        <v>25</v>
      </c>
      <c r="G4608" s="3" t="s">
        <v>41</v>
      </c>
      <c r="H4608" s="3" t="s">
        <v>56</v>
      </c>
      <c r="I4608" s="3" t="s">
        <v>188</v>
      </c>
      <c r="J4608" s="3" t="n">
        <v>30</v>
      </c>
      <c r="K4608" s="3" t="n">
        <v>4162.94</v>
      </c>
      <c r="L4608" s="3" t="n">
        <v>124888.2</v>
      </c>
      <c r="M4608" s="3" t="n">
        <v>0.1683</v>
      </c>
      <c r="N4608" s="3" t="n">
        <v>21018.68</v>
      </c>
      <c r="O4608" s="3" t="n">
        <v>103869.52</v>
      </c>
      <c r="P4608" s="3" t="n">
        <v>74932.92</v>
      </c>
      <c r="Q4608" s="3" t="n">
        <v>28936.6</v>
      </c>
      <c r="R4608" s="3" t="n">
        <v>0.2786</v>
      </c>
      <c r="S4608" s="3" t="n">
        <v>0.1365</v>
      </c>
      <c r="T4608" s="3" t="n">
        <v>0.0318</v>
      </c>
    </row>
    <row r="4609" customFormat="false" ht="15" hidden="false" customHeight="true" outlineLevel="0" collapsed="false">
      <c r="A4609" s="3" t="s">
        <v>5778</v>
      </c>
      <c r="B4609" s="3" t="s">
        <v>177</v>
      </c>
      <c r="C4609" s="3" t="s">
        <v>126</v>
      </c>
      <c r="D4609" s="3" t="s">
        <v>54</v>
      </c>
      <c r="E4609" s="3" t="s">
        <v>24</v>
      </c>
      <c r="F4609" s="3" t="s">
        <v>40</v>
      </c>
      <c r="G4609" s="3" t="s">
        <v>71</v>
      </c>
      <c r="H4609" s="3" t="s">
        <v>56</v>
      </c>
      <c r="I4609" s="3" t="s">
        <v>121</v>
      </c>
      <c r="J4609" s="3" t="n">
        <v>44</v>
      </c>
      <c r="K4609" s="3" t="n">
        <v>5981.14</v>
      </c>
      <c r="L4609" s="3" t="n">
        <v>263170.16</v>
      </c>
      <c r="M4609" s="3" t="n">
        <v>0.0775</v>
      </c>
      <c r="N4609" s="3" t="n">
        <v>20395.69</v>
      </c>
      <c r="O4609" s="3" t="n">
        <v>242774.47</v>
      </c>
      <c r="P4609" s="3" t="n">
        <v>157902.1</v>
      </c>
      <c r="Q4609" s="3" t="n">
        <v>84872.37</v>
      </c>
      <c r="R4609" s="3" t="n">
        <v>0.3496</v>
      </c>
      <c r="S4609" s="3" t="n">
        <v>0.0734</v>
      </c>
      <c r="T4609" s="3" t="n">
        <v>0.0041</v>
      </c>
    </row>
    <row r="4610" customFormat="false" ht="15" hidden="false" customHeight="true" outlineLevel="0" collapsed="false">
      <c r="A4610" s="3" t="s">
        <v>5779</v>
      </c>
      <c r="B4610" s="3" t="s">
        <v>5148</v>
      </c>
      <c r="C4610" s="3" t="s">
        <v>126</v>
      </c>
      <c r="D4610" s="3" t="s">
        <v>103</v>
      </c>
      <c r="E4610" s="3" t="s">
        <v>24</v>
      </c>
      <c r="F4610" s="3" t="s">
        <v>62</v>
      </c>
      <c r="G4610" s="3" t="s">
        <v>71</v>
      </c>
      <c r="H4610" s="3" t="s">
        <v>42</v>
      </c>
      <c r="I4610" s="3" t="s">
        <v>43</v>
      </c>
      <c r="J4610" s="3" t="n">
        <v>35</v>
      </c>
      <c r="K4610" s="3" t="n">
        <v>798.61</v>
      </c>
      <c r="L4610" s="3" t="n">
        <v>27951.35</v>
      </c>
      <c r="M4610" s="3" t="n">
        <v>0.0501</v>
      </c>
      <c r="N4610" s="3" t="n">
        <v>1400.36</v>
      </c>
      <c r="O4610" s="3" t="n">
        <v>26550.99</v>
      </c>
      <c r="P4610" s="3" t="n">
        <v>15373.24</v>
      </c>
      <c r="Q4610" s="3" t="n">
        <v>11177.75</v>
      </c>
      <c r="R4610" s="3" t="n">
        <v>0.421</v>
      </c>
      <c r="S4610" s="3" t="n">
        <v>0.0455</v>
      </c>
      <c r="T4610" s="3" t="n">
        <v>0.0046</v>
      </c>
    </row>
    <row r="4611" customFormat="false" ht="15" hidden="false" customHeight="true" outlineLevel="0" collapsed="false">
      <c r="A4611" s="3" t="s">
        <v>5780</v>
      </c>
      <c r="B4611" s="3" t="s">
        <v>1123</v>
      </c>
      <c r="C4611" s="3" t="s">
        <v>126</v>
      </c>
      <c r="D4611" s="3" t="s">
        <v>54</v>
      </c>
      <c r="E4611" s="3" t="s">
        <v>24</v>
      </c>
      <c r="F4611" s="3" t="s">
        <v>40</v>
      </c>
      <c r="G4611" s="3" t="s">
        <v>104</v>
      </c>
      <c r="H4611" s="3" t="s">
        <v>77</v>
      </c>
      <c r="I4611" s="3" t="s">
        <v>85</v>
      </c>
      <c r="J4611" s="3" t="n">
        <v>41</v>
      </c>
      <c r="K4611" s="3" t="n">
        <v>1475.67</v>
      </c>
      <c r="L4611" s="3" t="n">
        <v>60502.47</v>
      </c>
      <c r="M4611" s="3" t="n">
        <v>0.1145</v>
      </c>
      <c r="N4611" s="3" t="n">
        <v>6927.53</v>
      </c>
      <c r="O4611" s="3" t="n">
        <v>53574.94</v>
      </c>
      <c r="P4611" s="3" t="n">
        <v>41141.68</v>
      </c>
      <c r="Q4611" s="3" t="n">
        <v>12433.26</v>
      </c>
      <c r="R4611" s="3" t="n">
        <v>0.2321</v>
      </c>
      <c r="S4611" s="3" t="n">
        <v>0.1175</v>
      </c>
      <c r="T4611" s="3" t="n">
        <v>-0.003</v>
      </c>
    </row>
    <row r="4612" customFormat="false" ht="15" hidden="false" customHeight="true" outlineLevel="0" collapsed="false">
      <c r="A4612" s="3" t="s">
        <v>5781</v>
      </c>
      <c r="B4612" s="3" t="s">
        <v>3015</v>
      </c>
      <c r="C4612" s="3" t="s">
        <v>37</v>
      </c>
      <c r="D4612" s="3" t="s">
        <v>69</v>
      </c>
      <c r="E4612" s="3" t="s">
        <v>39</v>
      </c>
      <c r="F4612" s="3" t="s">
        <v>70</v>
      </c>
      <c r="G4612" s="3" t="s">
        <v>55</v>
      </c>
      <c r="H4612" s="3" t="s">
        <v>77</v>
      </c>
      <c r="I4612" s="3" t="s">
        <v>78</v>
      </c>
      <c r="J4612" s="3" t="n">
        <v>16</v>
      </c>
      <c r="K4612" s="3" t="n">
        <v>5212.02</v>
      </c>
      <c r="L4612" s="3" t="n">
        <v>83392.32</v>
      </c>
      <c r="M4612" s="3" t="n">
        <v>0.0539</v>
      </c>
      <c r="N4612" s="3" t="n">
        <v>4494.85</v>
      </c>
      <c r="O4612" s="3" t="n">
        <v>78897.47</v>
      </c>
      <c r="P4612" s="3" t="n">
        <v>56706.78</v>
      </c>
      <c r="Q4612" s="3" t="n">
        <v>22190.69</v>
      </c>
      <c r="R4612" s="3" t="n">
        <v>0.2813</v>
      </c>
      <c r="S4612" s="3" t="n">
        <v>0.0489</v>
      </c>
      <c r="T4612" s="3" t="n">
        <v>0.005</v>
      </c>
    </row>
    <row r="4613" customFormat="false" ht="15" hidden="false" customHeight="true" outlineLevel="0" collapsed="false">
      <c r="A4613" s="3" t="s">
        <v>5782</v>
      </c>
      <c r="B4613" s="3" t="s">
        <v>4028</v>
      </c>
      <c r="C4613" s="3" t="s">
        <v>156</v>
      </c>
      <c r="D4613" s="3" t="s">
        <v>23</v>
      </c>
      <c r="E4613" s="3" t="s">
        <v>24</v>
      </c>
      <c r="F4613" s="3" t="s">
        <v>25</v>
      </c>
      <c r="G4613" s="3" t="s">
        <v>104</v>
      </c>
      <c r="H4613" s="3" t="s">
        <v>42</v>
      </c>
      <c r="I4613" s="3" t="s">
        <v>72</v>
      </c>
      <c r="J4613" s="3" t="n">
        <v>22</v>
      </c>
      <c r="K4613" s="3" t="n">
        <v>1480.5</v>
      </c>
      <c r="L4613" s="3" t="n">
        <v>32571</v>
      </c>
      <c r="M4613" s="3" t="n">
        <v>0.1748</v>
      </c>
      <c r="N4613" s="3" t="n">
        <v>5693.41</v>
      </c>
      <c r="O4613" s="3" t="n">
        <v>26877.59</v>
      </c>
      <c r="P4613" s="3" t="n">
        <v>17914.05</v>
      </c>
      <c r="Q4613" s="3" t="n">
        <v>8963.54</v>
      </c>
      <c r="R4613" s="3" t="n">
        <v>0.3335</v>
      </c>
      <c r="S4613" s="3" t="n">
        <v>0.1857</v>
      </c>
      <c r="T4613" s="3" t="n">
        <v>-0.0109</v>
      </c>
    </row>
    <row r="4614" customFormat="false" ht="15" hidden="false" customHeight="true" outlineLevel="0" collapsed="false">
      <c r="A4614" s="3" t="s">
        <v>5783</v>
      </c>
      <c r="B4614" s="3" t="s">
        <v>335</v>
      </c>
      <c r="C4614" s="3" t="s">
        <v>31</v>
      </c>
      <c r="D4614" s="3" t="s">
        <v>83</v>
      </c>
      <c r="E4614" s="3" t="s">
        <v>48</v>
      </c>
      <c r="F4614" s="3" t="s">
        <v>62</v>
      </c>
      <c r="G4614" s="3" t="s">
        <v>55</v>
      </c>
      <c r="H4614" s="3" t="s">
        <v>77</v>
      </c>
      <c r="I4614" s="3" t="s">
        <v>131</v>
      </c>
      <c r="J4614" s="3" t="n">
        <v>47</v>
      </c>
      <c r="K4614" s="3" t="n">
        <v>3989.07</v>
      </c>
      <c r="L4614" s="3" t="n">
        <v>187486.29</v>
      </c>
      <c r="M4614" s="3" t="n">
        <v>0.0394</v>
      </c>
      <c r="N4614" s="3" t="n">
        <v>7386.96</v>
      </c>
      <c r="O4614" s="3" t="n">
        <v>180099.33</v>
      </c>
      <c r="P4614" s="3" t="n">
        <v>127490.68</v>
      </c>
      <c r="Q4614" s="3" t="n">
        <v>52608.65</v>
      </c>
      <c r="R4614" s="3" t="n">
        <v>0.2921</v>
      </c>
      <c r="S4614" s="3" t="n">
        <v>0.0409</v>
      </c>
      <c r="T4614" s="3" t="n">
        <v>-0.0015</v>
      </c>
    </row>
    <row r="4615" customFormat="false" ht="15" hidden="false" customHeight="true" outlineLevel="0" collapsed="false">
      <c r="A4615" s="3" t="s">
        <v>5784</v>
      </c>
      <c r="B4615" s="3" t="s">
        <v>239</v>
      </c>
      <c r="C4615" s="3" t="s">
        <v>126</v>
      </c>
      <c r="D4615" s="3" t="s">
        <v>61</v>
      </c>
      <c r="E4615" s="3" t="s">
        <v>33</v>
      </c>
      <c r="F4615" s="3" t="s">
        <v>62</v>
      </c>
      <c r="G4615" s="3" t="s">
        <v>49</v>
      </c>
      <c r="H4615" s="3" t="s">
        <v>27</v>
      </c>
      <c r="I4615" s="3" t="s">
        <v>117</v>
      </c>
      <c r="J4615" s="3" t="n">
        <v>46</v>
      </c>
      <c r="K4615" s="3" t="n">
        <v>39724.06</v>
      </c>
      <c r="L4615" s="3" t="n">
        <v>1827306.76</v>
      </c>
      <c r="M4615" s="3" t="n">
        <v>0.055</v>
      </c>
      <c r="N4615" s="3" t="n">
        <v>100501.87</v>
      </c>
      <c r="O4615" s="3" t="n">
        <v>1726804.89</v>
      </c>
      <c r="P4615" s="3" t="n">
        <v>1132930.19</v>
      </c>
      <c r="Q4615" s="3" t="n">
        <v>593874.7</v>
      </c>
      <c r="R4615" s="3" t="n">
        <v>0.3439</v>
      </c>
      <c r="S4615" s="3" t="n">
        <v>0.0472</v>
      </c>
      <c r="T4615" s="3" t="n">
        <v>0.0078</v>
      </c>
    </row>
    <row r="4616" customFormat="false" ht="15" hidden="false" customHeight="true" outlineLevel="0" collapsed="false">
      <c r="A4616" s="3" t="s">
        <v>5785</v>
      </c>
      <c r="B4616" s="3" t="s">
        <v>2618</v>
      </c>
      <c r="C4616" s="3" t="s">
        <v>120</v>
      </c>
      <c r="D4616" s="3" t="s">
        <v>69</v>
      </c>
      <c r="E4616" s="3" t="s">
        <v>39</v>
      </c>
      <c r="F4616" s="3" t="s">
        <v>70</v>
      </c>
      <c r="G4616" s="3" t="s">
        <v>71</v>
      </c>
      <c r="H4616" s="3" t="s">
        <v>27</v>
      </c>
      <c r="I4616" s="3" t="s">
        <v>50</v>
      </c>
      <c r="J4616" s="3" t="n">
        <v>27</v>
      </c>
      <c r="K4616" s="3" t="n">
        <v>21459.71</v>
      </c>
      <c r="L4616" s="3" t="n">
        <v>579412.17</v>
      </c>
      <c r="M4616" s="3" t="n">
        <v>0.0432</v>
      </c>
      <c r="N4616" s="3" t="n">
        <v>25030.61</v>
      </c>
      <c r="O4616" s="3" t="n">
        <v>554381.56</v>
      </c>
      <c r="P4616" s="3" t="n">
        <v>359235.55</v>
      </c>
      <c r="Q4616" s="3" t="n">
        <v>195146.01</v>
      </c>
      <c r="R4616" s="3" t="n">
        <v>0.352</v>
      </c>
      <c r="S4616" s="3" t="n">
        <v>0.0352</v>
      </c>
      <c r="T4616" s="3" t="n">
        <v>0.008</v>
      </c>
    </row>
    <row r="4617" customFormat="false" ht="15" hidden="false" customHeight="true" outlineLevel="0" collapsed="false">
      <c r="A4617" s="3" t="s">
        <v>5786</v>
      </c>
      <c r="B4617" s="3" t="s">
        <v>1060</v>
      </c>
      <c r="C4617" s="3" t="s">
        <v>113</v>
      </c>
      <c r="D4617" s="3" t="s">
        <v>54</v>
      </c>
      <c r="E4617" s="3" t="s">
        <v>24</v>
      </c>
      <c r="F4617" s="3" t="s">
        <v>40</v>
      </c>
      <c r="G4617" s="3" t="s">
        <v>116</v>
      </c>
      <c r="H4617" s="3" t="s">
        <v>77</v>
      </c>
      <c r="I4617" s="3" t="s">
        <v>131</v>
      </c>
      <c r="J4617" s="3" t="n">
        <v>44</v>
      </c>
      <c r="K4617" s="3" t="n">
        <v>5455.95</v>
      </c>
      <c r="L4617" s="3" t="n">
        <v>240061.8</v>
      </c>
      <c r="M4617" s="3" t="n">
        <v>0.0968</v>
      </c>
      <c r="N4617" s="3" t="n">
        <v>23237.98</v>
      </c>
      <c r="O4617" s="3" t="n">
        <v>216823.82</v>
      </c>
      <c r="P4617" s="3" t="n">
        <v>163242.02</v>
      </c>
      <c r="Q4617" s="3" t="n">
        <v>53581.8</v>
      </c>
      <c r="R4617" s="3" t="n">
        <v>0.2471</v>
      </c>
      <c r="S4617" s="3" t="n">
        <v>0.087</v>
      </c>
      <c r="T4617" s="3" t="n">
        <v>0.0098</v>
      </c>
    </row>
    <row r="4618" customFormat="false" ht="15" hidden="false" customHeight="true" outlineLevel="0" collapsed="false">
      <c r="A4618" s="3" t="s">
        <v>5787</v>
      </c>
      <c r="B4618" s="3" t="s">
        <v>2097</v>
      </c>
      <c r="C4618" s="3" t="s">
        <v>46</v>
      </c>
      <c r="D4618" s="3" t="s">
        <v>32</v>
      </c>
      <c r="E4618" s="3" t="s">
        <v>33</v>
      </c>
      <c r="F4618" s="3" t="s">
        <v>25</v>
      </c>
      <c r="G4618" s="3" t="s">
        <v>41</v>
      </c>
      <c r="H4618" s="3" t="s">
        <v>77</v>
      </c>
      <c r="I4618" s="3" t="s">
        <v>131</v>
      </c>
      <c r="J4618" s="3" t="n">
        <v>25</v>
      </c>
      <c r="K4618" s="3" t="n">
        <v>5085.37</v>
      </c>
      <c r="L4618" s="3" t="n">
        <v>127134.25</v>
      </c>
      <c r="M4618" s="3" t="n">
        <v>0.1412</v>
      </c>
      <c r="N4618" s="3" t="n">
        <v>17951.36</v>
      </c>
      <c r="O4618" s="3" t="n">
        <v>109182.89</v>
      </c>
      <c r="P4618" s="3" t="n">
        <v>86451.29</v>
      </c>
      <c r="Q4618" s="3" t="n">
        <v>22731.6</v>
      </c>
      <c r="R4618" s="3" t="n">
        <v>0.2082</v>
      </c>
      <c r="S4618" s="3" t="n">
        <v>0.1444</v>
      </c>
      <c r="T4618" s="3" t="n">
        <v>-0.0032</v>
      </c>
    </row>
    <row r="4619" customFormat="false" ht="15" hidden="false" customHeight="true" outlineLevel="0" collapsed="false">
      <c r="A4619" s="3" t="s">
        <v>5788</v>
      </c>
      <c r="B4619" s="3" t="s">
        <v>1697</v>
      </c>
      <c r="C4619" s="3" t="s">
        <v>60</v>
      </c>
      <c r="D4619" s="3" t="s">
        <v>75</v>
      </c>
      <c r="E4619" s="3" t="s">
        <v>39</v>
      </c>
      <c r="F4619" s="3" t="s">
        <v>25</v>
      </c>
      <c r="G4619" s="3" t="s">
        <v>34</v>
      </c>
      <c r="H4619" s="3" t="s">
        <v>77</v>
      </c>
      <c r="I4619" s="3" t="s">
        <v>78</v>
      </c>
      <c r="J4619" s="3" t="n">
        <v>25</v>
      </c>
      <c r="K4619" s="3" t="n">
        <v>2309.29</v>
      </c>
      <c r="L4619" s="3" t="n">
        <v>57732.25</v>
      </c>
      <c r="M4619" s="3" t="n">
        <v>0.1209</v>
      </c>
      <c r="N4619" s="3" t="n">
        <v>6979.83</v>
      </c>
      <c r="O4619" s="3" t="n">
        <v>50752.42</v>
      </c>
      <c r="P4619" s="3" t="n">
        <v>39257.93</v>
      </c>
      <c r="Q4619" s="3" t="n">
        <v>11494.49</v>
      </c>
      <c r="R4619" s="3" t="n">
        <v>0.2265</v>
      </c>
      <c r="S4619" s="3" t="n">
        <v>0.1036</v>
      </c>
      <c r="T4619" s="3" t="n">
        <v>0.0173</v>
      </c>
    </row>
    <row r="4620" customFormat="false" ht="15" hidden="false" customHeight="true" outlineLevel="0" collapsed="false">
      <c r="A4620" s="3" t="s">
        <v>5789</v>
      </c>
      <c r="B4620" s="3" t="s">
        <v>1038</v>
      </c>
      <c r="C4620" s="3" t="s">
        <v>53</v>
      </c>
      <c r="D4620" s="3" t="s">
        <v>32</v>
      </c>
      <c r="E4620" s="3" t="s">
        <v>33</v>
      </c>
      <c r="F4620" s="3" t="s">
        <v>25</v>
      </c>
      <c r="G4620" s="3" t="s">
        <v>116</v>
      </c>
      <c r="H4620" s="3" t="s">
        <v>27</v>
      </c>
      <c r="I4620" s="3" t="s">
        <v>173</v>
      </c>
      <c r="J4620" s="3" t="n">
        <v>8</v>
      </c>
      <c r="K4620" s="3" t="n">
        <v>30115.13</v>
      </c>
      <c r="L4620" s="3" t="n">
        <v>240921.04</v>
      </c>
      <c r="M4620" s="3" t="n">
        <v>0.1793</v>
      </c>
      <c r="N4620" s="3" t="n">
        <v>43197.14</v>
      </c>
      <c r="O4620" s="3" t="n">
        <v>197723.9</v>
      </c>
      <c r="P4620" s="3" t="n">
        <v>149371.04</v>
      </c>
      <c r="Q4620" s="3" t="n">
        <v>48352.86</v>
      </c>
      <c r="R4620" s="3" t="n">
        <v>0.2445</v>
      </c>
      <c r="S4620" s="3" t="n">
        <v>0.1459</v>
      </c>
      <c r="T4620" s="3" t="n">
        <v>0.0334</v>
      </c>
    </row>
    <row r="4621" customFormat="false" ht="15" hidden="false" customHeight="true" outlineLevel="0" collapsed="false">
      <c r="A4621" s="3" t="s">
        <v>5790</v>
      </c>
      <c r="B4621" s="3" t="s">
        <v>1080</v>
      </c>
      <c r="C4621" s="3" t="s">
        <v>156</v>
      </c>
      <c r="D4621" s="3" t="s">
        <v>61</v>
      </c>
      <c r="E4621" s="3" t="s">
        <v>33</v>
      </c>
      <c r="F4621" s="3" t="s">
        <v>62</v>
      </c>
      <c r="G4621" s="3" t="s">
        <v>71</v>
      </c>
      <c r="H4621" s="3" t="s">
        <v>56</v>
      </c>
      <c r="I4621" s="3" t="s">
        <v>121</v>
      </c>
      <c r="J4621" s="3" t="n">
        <v>2</v>
      </c>
      <c r="K4621" s="3" t="n">
        <v>11162.52</v>
      </c>
      <c r="L4621" s="3" t="n">
        <v>22325.04</v>
      </c>
      <c r="M4621" s="3" t="n">
        <v>0.0577</v>
      </c>
      <c r="N4621" s="3" t="n">
        <v>1288.15</v>
      </c>
      <c r="O4621" s="3" t="n">
        <v>21036.89</v>
      </c>
      <c r="P4621" s="3" t="n">
        <v>13395.02</v>
      </c>
      <c r="Q4621" s="3" t="n">
        <v>7641.87</v>
      </c>
      <c r="R4621" s="3" t="n">
        <v>0.3633</v>
      </c>
      <c r="S4621" s="3" t="n">
        <v>0.0463</v>
      </c>
      <c r="T4621" s="3" t="n">
        <v>0.0114</v>
      </c>
    </row>
    <row r="4622" customFormat="false" ht="15" hidden="false" customHeight="true" outlineLevel="0" collapsed="false">
      <c r="A4622" s="3" t="s">
        <v>5791</v>
      </c>
      <c r="B4622" s="3" t="s">
        <v>4284</v>
      </c>
      <c r="C4622" s="3" t="s">
        <v>46</v>
      </c>
      <c r="D4622" s="3" t="s">
        <v>103</v>
      </c>
      <c r="E4622" s="3" t="s">
        <v>24</v>
      </c>
      <c r="F4622" s="3" t="s">
        <v>62</v>
      </c>
      <c r="G4622" s="3" t="s">
        <v>34</v>
      </c>
      <c r="H4622" s="3" t="s">
        <v>77</v>
      </c>
      <c r="I4622" s="3" t="s">
        <v>78</v>
      </c>
      <c r="J4622" s="3" t="n">
        <v>11</v>
      </c>
      <c r="K4622" s="3" t="n">
        <v>4260.9</v>
      </c>
      <c r="L4622" s="3" t="n">
        <v>46869.9</v>
      </c>
      <c r="M4622" s="3" t="n">
        <v>0.13</v>
      </c>
      <c r="N4622" s="3" t="n">
        <v>6093.09</v>
      </c>
      <c r="O4622" s="3" t="n">
        <v>40776.81</v>
      </c>
      <c r="P4622" s="3" t="n">
        <v>31871.53</v>
      </c>
      <c r="Q4622" s="3" t="n">
        <v>8905.28</v>
      </c>
      <c r="R4622" s="3" t="n">
        <v>0.2184</v>
      </c>
      <c r="S4622" s="3" t="n">
        <v>0.1274</v>
      </c>
      <c r="T4622" s="3" t="n">
        <v>0.0026</v>
      </c>
    </row>
    <row r="4623" customFormat="false" ht="15" hidden="false" customHeight="true" outlineLevel="0" collapsed="false">
      <c r="A4623" s="3" t="s">
        <v>5792</v>
      </c>
      <c r="B4623" s="3" t="s">
        <v>3768</v>
      </c>
      <c r="C4623" s="3" t="s">
        <v>156</v>
      </c>
      <c r="D4623" s="3" t="s">
        <v>61</v>
      </c>
      <c r="E4623" s="3" t="s">
        <v>33</v>
      </c>
      <c r="F4623" s="3" t="s">
        <v>62</v>
      </c>
      <c r="G4623" s="3" t="s">
        <v>34</v>
      </c>
      <c r="H4623" s="3" t="s">
        <v>77</v>
      </c>
      <c r="I4623" s="3" t="s">
        <v>78</v>
      </c>
      <c r="J4623" s="3" t="n">
        <v>17</v>
      </c>
      <c r="K4623" s="3" t="n">
        <v>2935.25</v>
      </c>
      <c r="L4623" s="3" t="n">
        <v>49899.25</v>
      </c>
      <c r="M4623" s="3" t="n">
        <v>0.0816</v>
      </c>
      <c r="N4623" s="3" t="n">
        <v>4071.78</v>
      </c>
      <c r="O4623" s="3" t="n">
        <v>45827.47</v>
      </c>
      <c r="P4623" s="3" t="n">
        <v>33931.49</v>
      </c>
      <c r="Q4623" s="3" t="n">
        <v>11895.98</v>
      </c>
      <c r="R4623" s="3" t="n">
        <v>0.2596</v>
      </c>
      <c r="S4623" s="3" t="n">
        <v>0.0689</v>
      </c>
      <c r="T4623" s="3" t="n">
        <v>0.0127</v>
      </c>
    </row>
    <row r="4624" customFormat="false" ht="15" hidden="false" customHeight="true" outlineLevel="0" collapsed="false">
      <c r="A4624" s="3" t="s">
        <v>5793</v>
      </c>
      <c r="B4624" s="3" t="s">
        <v>153</v>
      </c>
      <c r="C4624" s="3" t="s">
        <v>31</v>
      </c>
      <c r="D4624" s="3" t="s">
        <v>75</v>
      </c>
      <c r="E4624" s="3" t="s">
        <v>39</v>
      </c>
      <c r="F4624" s="3" t="s">
        <v>25</v>
      </c>
      <c r="G4624" s="3" t="s">
        <v>84</v>
      </c>
      <c r="H4624" s="3" t="s">
        <v>56</v>
      </c>
      <c r="I4624" s="3" t="s">
        <v>57</v>
      </c>
      <c r="J4624" s="3" t="n">
        <v>4</v>
      </c>
      <c r="K4624" s="3" t="n">
        <v>17907.96</v>
      </c>
      <c r="L4624" s="3" t="n">
        <v>71631.84</v>
      </c>
      <c r="M4624" s="3" t="n">
        <v>0.116</v>
      </c>
      <c r="N4624" s="3" t="n">
        <v>8309.29</v>
      </c>
      <c r="O4624" s="3" t="n">
        <v>63322.55</v>
      </c>
      <c r="P4624" s="3" t="n">
        <v>42979.1</v>
      </c>
      <c r="Q4624" s="3" t="n">
        <v>20343.45</v>
      </c>
      <c r="R4624" s="3" t="n">
        <v>0.3213</v>
      </c>
      <c r="S4624" s="3" t="n">
        <v>0.0935</v>
      </c>
      <c r="T4624" s="3" t="n">
        <v>0.0225</v>
      </c>
    </row>
    <row r="4625" customFormat="false" ht="15" hidden="false" customHeight="true" outlineLevel="0" collapsed="false">
      <c r="A4625" s="3" t="s">
        <v>5794</v>
      </c>
      <c r="B4625" s="3" t="s">
        <v>179</v>
      </c>
      <c r="C4625" s="3" t="s">
        <v>126</v>
      </c>
      <c r="D4625" s="3" t="s">
        <v>54</v>
      </c>
      <c r="E4625" s="3" t="s">
        <v>24</v>
      </c>
      <c r="F4625" s="3" t="s">
        <v>40</v>
      </c>
      <c r="G4625" s="3" t="s">
        <v>34</v>
      </c>
      <c r="H4625" s="3" t="s">
        <v>56</v>
      </c>
      <c r="I4625" s="3" t="s">
        <v>188</v>
      </c>
      <c r="J4625" s="3" t="n">
        <v>29</v>
      </c>
      <c r="K4625" s="3" t="n">
        <v>7861.32</v>
      </c>
      <c r="L4625" s="3" t="n">
        <v>227978.28</v>
      </c>
      <c r="M4625" s="3" t="n">
        <v>0.0835</v>
      </c>
      <c r="N4625" s="3" t="n">
        <v>19036.19</v>
      </c>
      <c r="O4625" s="3" t="n">
        <v>208942.09</v>
      </c>
      <c r="P4625" s="3" t="n">
        <v>136786.97</v>
      </c>
      <c r="Q4625" s="3" t="n">
        <v>72155.12</v>
      </c>
      <c r="R4625" s="3" t="n">
        <v>0.3453</v>
      </c>
      <c r="S4625" s="3" t="n">
        <v>0.0813</v>
      </c>
      <c r="T4625" s="3" t="n">
        <v>0.0022</v>
      </c>
    </row>
    <row r="4626" customFormat="false" ht="15" hidden="false" customHeight="true" outlineLevel="0" collapsed="false">
      <c r="A4626" s="3" t="s">
        <v>5795</v>
      </c>
      <c r="B4626" s="3" t="s">
        <v>1933</v>
      </c>
      <c r="C4626" s="3" t="s">
        <v>68</v>
      </c>
      <c r="D4626" s="3" t="s">
        <v>103</v>
      </c>
      <c r="E4626" s="3" t="s">
        <v>24</v>
      </c>
      <c r="F4626" s="3" t="s">
        <v>62</v>
      </c>
      <c r="G4626" s="3" t="s">
        <v>84</v>
      </c>
      <c r="H4626" s="3" t="s">
        <v>77</v>
      </c>
      <c r="I4626" s="3" t="s">
        <v>131</v>
      </c>
      <c r="J4626" s="3" t="n">
        <v>10</v>
      </c>
      <c r="K4626" s="3" t="n">
        <v>2818.23</v>
      </c>
      <c r="L4626" s="3" t="n">
        <v>28182.3</v>
      </c>
      <c r="M4626" s="3" t="n">
        <v>0.0364</v>
      </c>
      <c r="N4626" s="3" t="n">
        <v>1025.84</v>
      </c>
      <c r="O4626" s="3" t="n">
        <v>27156.46</v>
      </c>
      <c r="P4626" s="3" t="n">
        <v>19163.96</v>
      </c>
      <c r="Q4626" s="3" t="n">
        <v>7992.5</v>
      </c>
      <c r="R4626" s="3" t="n">
        <v>0.2943</v>
      </c>
      <c r="S4626" s="3" t="n">
        <v>0.0386</v>
      </c>
      <c r="T4626" s="3" t="n">
        <v>-0.0022</v>
      </c>
    </row>
    <row r="4627" customFormat="false" ht="15" hidden="false" customHeight="true" outlineLevel="0" collapsed="false">
      <c r="A4627" s="3" t="s">
        <v>5796</v>
      </c>
      <c r="B4627" s="3" t="s">
        <v>1795</v>
      </c>
      <c r="C4627" s="3" t="s">
        <v>46</v>
      </c>
      <c r="D4627" s="3" t="s">
        <v>38</v>
      </c>
      <c r="E4627" s="3" t="s">
        <v>39</v>
      </c>
      <c r="F4627" s="3" t="s">
        <v>40</v>
      </c>
      <c r="G4627" s="3" t="s">
        <v>26</v>
      </c>
      <c r="H4627" s="3" t="s">
        <v>56</v>
      </c>
      <c r="I4627" s="3" t="s">
        <v>57</v>
      </c>
      <c r="J4627" s="3" t="n">
        <v>50</v>
      </c>
      <c r="K4627" s="3" t="n">
        <v>14678.08</v>
      </c>
      <c r="L4627" s="3" t="n">
        <v>733904</v>
      </c>
      <c r="M4627" s="3" t="n">
        <v>0.0474</v>
      </c>
      <c r="N4627" s="3" t="n">
        <v>34787.05</v>
      </c>
      <c r="O4627" s="3" t="n">
        <v>699116.95</v>
      </c>
      <c r="P4627" s="3" t="n">
        <v>440342.4</v>
      </c>
      <c r="Q4627" s="3" t="n">
        <v>258774.55</v>
      </c>
      <c r="R4627" s="3" t="n">
        <v>0.3701</v>
      </c>
      <c r="S4627" s="3" t="n">
        <v>0.0519</v>
      </c>
      <c r="T4627" s="3" t="n">
        <v>-0.0045</v>
      </c>
    </row>
    <row r="4628" customFormat="false" ht="15" hidden="false" customHeight="true" outlineLevel="0" collapsed="false">
      <c r="A4628" s="3" t="s">
        <v>5797</v>
      </c>
      <c r="B4628" s="3" t="s">
        <v>2618</v>
      </c>
      <c r="C4628" s="3" t="s">
        <v>120</v>
      </c>
      <c r="D4628" s="3" t="s">
        <v>103</v>
      </c>
      <c r="E4628" s="3" t="s">
        <v>24</v>
      </c>
      <c r="F4628" s="3" t="s">
        <v>62</v>
      </c>
      <c r="G4628" s="3" t="s">
        <v>100</v>
      </c>
      <c r="H4628" s="3" t="s">
        <v>56</v>
      </c>
      <c r="I4628" s="3" t="s">
        <v>57</v>
      </c>
      <c r="J4628" s="3" t="n">
        <v>34</v>
      </c>
      <c r="K4628" s="3" t="n">
        <v>11991.14</v>
      </c>
      <c r="L4628" s="3" t="n">
        <v>407698.76</v>
      </c>
      <c r="M4628" s="3" t="n">
        <v>0.0597</v>
      </c>
      <c r="N4628" s="3" t="n">
        <v>24339.62</v>
      </c>
      <c r="O4628" s="3" t="n">
        <v>383359.14</v>
      </c>
      <c r="P4628" s="3" t="n">
        <v>244619.26</v>
      </c>
      <c r="Q4628" s="3" t="n">
        <v>138739.88</v>
      </c>
      <c r="R4628" s="3" t="n">
        <v>0.3619</v>
      </c>
      <c r="S4628" s="3" t="n">
        <v>0.055</v>
      </c>
      <c r="T4628" s="3" t="n">
        <v>0.0047</v>
      </c>
    </row>
    <row r="4629" customFormat="false" ht="15" hidden="false" customHeight="true" outlineLevel="0" collapsed="false">
      <c r="A4629" s="3" t="s">
        <v>5798</v>
      </c>
      <c r="B4629" s="3" t="s">
        <v>183</v>
      </c>
      <c r="C4629" s="3" t="s">
        <v>120</v>
      </c>
      <c r="D4629" s="3" t="s">
        <v>97</v>
      </c>
      <c r="E4629" s="3" t="s">
        <v>48</v>
      </c>
      <c r="F4629" s="3" t="s">
        <v>40</v>
      </c>
      <c r="G4629" s="3" t="s">
        <v>116</v>
      </c>
      <c r="H4629" s="3" t="s">
        <v>56</v>
      </c>
      <c r="I4629" s="3" t="s">
        <v>188</v>
      </c>
      <c r="J4629" s="3" t="n">
        <v>7</v>
      </c>
      <c r="K4629" s="3" t="n">
        <v>9637.61</v>
      </c>
      <c r="L4629" s="3" t="n">
        <v>67463.27</v>
      </c>
      <c r="M4629" s="3" t="n">
        <v>0.1041</v>
      </c>
      <c r="N4629" s="3" t="n">
        <v>7022.93</v>
      </c>
      <c r="O4629" s="3" t="n">
        <v>60440.34</v>
      </c>
      <c r="P4629" s="3" t="n">
        <v>40477.96</v>
      </c>
      <c r="Q4629" s="3" t="n">
        <v>19962.38</v>
      </c>
      <c r="R4629" s="3" t="n">
        <v>0.3303</v>
      </c>
      <c r="S4629" s="3" t="n">
        <v>0.0854</v>
      </c>
      <c r="T4629" s="3" t="n">
        <v>0.0187</v>
      </c>
    </row>
    <row r="4630" customFormat="false" ht="15" hidden="false" customHeight="true" outlineLevel="0" collapsed="false">
      <c r="A4630" s="3" t="s">
        <v>5799</v>
      </c>
      <c r="B4630" s="3" t="s">
        <v>1268</v>
      </c>
      <c r="C4630" s="3" t="s">
        <v>31</v>
      </c>
      <c r="D4630" s="3" t="s">
        <v>75</v>
      </c>
      <c r="E4630" s="3" t="s">
        <v>39</v>
      </c>
      <c r="F4630" s="3" t="s">
        <v>25</v>
      </c>
      <c r="G4630" s="3" t="s">
        <v>41</v>
      </c>
      <c r="H4630" s="3" t="s">
        <v>42</v>
      </c>
      <c r="I4630" s="3" t="s">
        <v>43</v>
      </c>
      <c r="J4630" s="3" t="n">
        <v>33</v>
      </c>
      <c r="K4630" s="3" t="n">
        <v>1524.67</v>
      </c>
      <c r="L4630" s="3" t="n">
        <v>50314.11</v>
      </c>
      <c r="M4630" s="3" t="n">
        <v>0.1469</v>
      </c>
      <c r="N4630" s="3" t="n">
        <v>7391.14</v>
      </c>
      <c r="O4630" s="3" t="n">
        <v>42922.97</v>
      </c>
      <c r="P4630" s="3" t="n">
        <v>27672.76</v>
      </c>
      <c r="Q4630" s="3" t="n">
        <v>15250.21</v>
      </c>
      <c r="R4630" s="3" t="n">
        <v>0.3553</v>
      </c>
      <c r="S4630" s="3" t="n">
        <v>0.1369</v>
      </c>
      <c r="T4630" s="3" t="n">
        <v>0.01</v>
      </c>
    </row>
    <row r="4631" customFormat="false" ht="15" hidden="false" customHeight="true" outlineLevel="0" collapsed="false">
      <c r="A4631" s="3" t="s">
        <v>5800</v>
      </c>
      <c r="B4631" s="3" t="s">
        <v>4897</v>
      </c>
      <c r="C4631" s="3" t="s">
        <v>53</v>
      </c>
      <c r="D4631" s="3" t="s">
        <v>61</v>
      </c>
      <c r="E4631" s="3" t="s">
        <v>33</v>
      </c>
      <c r="F4631" s="3" t="s">
        <v>62</v>
      </c>
      <c r="G4631" s="3" t="s">
        <v>116</v>
      </c>
      <c r="H4631" s="3" t="s">
        <v>64</v>
      </c>
      <c r="I4631" s="3" t="s">
        <v>90</v>
      </c>
      <c r="J4631" s="3" t="n">
        <v>31</v>
      </c>
      <c r="K4631" s="3" t="n">
        <v>11307.8</v>
      </c>
      <c r="L4631" s="3" t="n">
        <v>350541.8</v>
      </c>
      <c r="M4631" s="3" t="n">
        <v>0.1302</v>
      </c>
      <c r="N4631" s="3" t="n">
        <v>45640.54</v>
      </c>
      <c r="O4631" s="3" t="n">
        <v>304901.26</v>
      </c>
      <c r="P4631" s="3" t="n">
        <v>203314.24</v>
      </c>
      <c r="Q4631" s="3" t="n">
        <v>101587.02</v>
      </c>
      <c r="R4631" s="3" t="n">
        <v>0.3332</v>
      </c>
      <c r="S4631" s="3" t="n">
        <v>0.1077</v>
      </c>
      <c r="T4631" s="3" t="n">
        <v>0.0225</v>
      </c>
    </row>
    <row r="4632" customFormat="false" ht="15" hidden="false" customHeight="true" outlineLevel="0" collapsed="false">
      <c r="A4632" s="3" t="s">
        <v>5801</v>
      </c>
      <c r="B4632" s="3" t="s">
        <v>4987</v>
      </c>
      <c r="C4632" s="3" t="s">
        <v>93</v>
      </c>
      <c r="D4632" s="3" t="s">
        <v>32</v>
      </c>
      <c r="E4632" s="3" t="s">
        <v>33</v>
      </c>
      <c r="F4632" s="3" t="s">
        <v>25</v>
      </c>
      <c r="G4632" s="3" t="s">
        <v>55</v>
      </c>
      <c r="H4632" s="3" t="s">
        <v>77</v>
      </c>
      <c r="I4632" s="3" t="s">
        <v>78</v>
      </c>
      <c r="J4632" s="3" t="n">
        <v>21</v>
      </c>
      <c r="K4632" s="3" t="n">
        <v>2741.65</v>
      </c>
      <c r="L4632" s="3" t="n">
        <v>57574.65</v>
      </c>
      <c r="M4632" s="3" t="n">
        <v>0.1462</v>
      </c>
      <c r="N4632" s="3" t="n">
        <v>8417.41</v>
      </c>
      <c r="O4632" s="3" t="n">
        <v>49157.24</v>
      </c>
      <c r="P4632" s="3" t="n">
        <v>39150.76</v>
      </c>
      <c r="Q4632" s="3" t="n">
        <v>10006.48</v>
      </c>
      <c r="R4632" s="3" t="n">
        <v>0.2036</v>
      </c>
      <c r="S4632" s="3" t="n">
        <v>0.1494</v>
      </c>
      <c r="T4632" s="3" t="n">
        <v>-0.0032</v>
      </c>
    </row>
    <row r="4633" customFormat="false" ht="15" hidden="false" customHeight="true" outlineLevel="0" collapsed="false">
      <c r="A4633" s="3" t="s">
        <v>5802</v>
      </c>
      <c r="B4633" s="3" t="s">
        <v>2924</v>
      </c>
      <c r="C4633" s="3" t="s">
        <v>120</v>
      </c>
      <c r="D4633" s="3" t="s">
        <v>32</v>
      </c>
      <c r="E4633" s="3" t="s">
        <v>33</v>
      </c>
      <c r="F4633" s="3" t="s">
        <v>25</v>
      </c>
      <c r="G4633" s="3" t="s">
        <v>104</v>
      </c>
      <c r="H4633" s="3" t="s">
        <v>64</v>
      </c>
      <c r="I4633" s="3" t="s">
        <v>145</v>
      </c>
      <c r="J4633" s="3" t="n">
        <v>42</v>
      </c>
      <c r="K4633" s="3" t="n">
        <v>11035.03</v>
      </c>
      <c r="L4633" s="3" t="n">
        <v>463471.26</v>
      </c>
      <c r="M4633" s="3" t="n">
        <v>0.166</v>
      </c>
      <c r="N4633" s="3" t="n">
        <v>76936.23</v>
      </c>
      <c r="O4633" s="3" t="n">
        <v>386535.03</v>
      </c>
      <c r="P4633" s="3" t="n">
        <v>268813.33</v>
      </c>
      <c r="Q4633" s="3" t="n">
        <v>117721.7</v>
      </c>
      <c r="R4633" s="3" t="n">
        <v>0.3046</v>
      </c>
      <c r="S4633" s="3" t="n">
        <v>0.1558</v>
      </c>
      <c r="T4633" s="3" t="n">
        <v>0.0102</v>
      </c>
    </row>
    <row r="4634" customFormat="false" ht="15" hidden="false" customHeight="true" outlineLevel="0" collapsed="false">
      <c r="A4634" s="3" t="s">
        <v>5803</v>
      </c>
      <c r="B4634" s="3" t="s">
        <v>670</v>
      </c>
      <c r="C4634" s="3" t="s">
        <v>113</v>
      </c>
      <c r="D4634" s="3" t="s">
        <v>47</v>
      </c>
      <c r="E4634" s="3" t="s">
        <v>48</v>
      </c>
      <c r="F4634" s="3" t="s">
        <v>25</v>
      </c>
      <c r="G4634" s="3" t="s">
        <v>71</v>
      </c>
      <c r="H4634" s="3" t="s">
        <v>27</v>
      </c>
      <c r="I4634" s="3" t="s">
        <v>117</v>
      </c>
      <c r="J4634" s="3" t="n">
        <v>8</v>
      </c>
      <c r="K4634" s="3" t="n">
        <v>36058.82</v>
      </c>
      <c r="L4634" s="3" t="n">
        <v>288470.56</v>
      </c>
      <c r="M4634" s="3" t="n">
        <v>0.0852</v>
      </c>
      <c r="N4634" s="3" t="n">
        <v>24577.69</v>
      </c>
      <c r="O4634" s="3" t="n">
        <v>263892.87</v>
      </c>
      <c r="P4634" s="3" t="n">
        <v>178851.75</v>
      </c>
      <c r="Q4634" s="3" t="n">
        <v>85041.12</v>
      </c>
      <c r="R4634" s="3" t="n">
        <v>0.3223</v>
      </c>
      <c r="S4634" s="3" t="n">
        <v>0.0818</v>
      </c>
      <c r="T4634" s="3" t="n">
        <v>0.0034</v>
      </c>
    </row>
    <row r="4635" customFormat="false" ht="15" hidden="false" customHeight="true" outlineLevel="0" collapsed="false">
      <c r="A4635" s="3" t="s">
        <v>5804</v>
      </c>
      <c r="B4635" s="3" t="s">
        <v>1790</v>
      </c>
      <c r="C4635" s="3" t="s">
        <v>53</v>
      </c>
      <c r="D4635" s="3" t="s">
        <v>61</v>
      </c>
      <c r="E4635" s="3" t="s">
        <v>33</v>
      </c>
      <c r="F4635" s="3" t="s">
        <v>62</v>
      </c>
      <c r="G4635" s="3" t="s">
        <v>71</v>
      </c>
      <c r="H4635" s="3" t="s">
        <v>56</v>
      </c>
      <c r="I4635" s="3" t="s">
        <v>121</v>
      </c>
      <c r="J4635" s="3" t="n">
        <v>11</v>
      </c>
      <c r="K4635" s="3" t="n">
        <v>3405.57</v>
      </c>
      <c r="L4635" s="3" t="n">
        <v>37461.27</v>
      </c>
      <c r="M4635" s="3" t="n">
        <v>0.0315</v>
      </c>
      <c r="N4635" s="3" t="n">
        <v>1180.03</v>
      </c>
      <c r="O4635" s="3" t="n">
        <v>36281.24</v>
      </c>
      <c r="P4635" s="3" t="n">
        <v>22476.76</v>
      </c>
      <c r="Q4635" s="3" t="n">
        <v>13804.48</v>
      </c>
      <c r="R4635" s="3" t="n">
        <v>0.3805</v>
      </c>
      <c r="S4635" s="3" t="n">
        <v>0.0343</v>
      </c>
      <c r="T4635" s="3" t="n">
        <v>-0.0028</v>
      </c>
    </row>
    <row r="4636" customFormat="false" ht="15" hidden="false" customHeight="true" outlineLevel="0" collapsed="false">
      <c r="A4636" s="3" t="s">
        <v>5805</v>
      </c>
      <c r="B4636" s="3" t="s">
        <v>2747</v>
      </c>
      <c r="C4636" s="3" t="s">
        <v>156</v>
      </c>
      <c r="D4636" s="3" t="s">
        <v>83</v>
      </c>
      <c r="E4636" s="3" t="s">
        <v>48</v>
      </c>
      <c r="F4636" s="3" t="s">
        <v>62</v>
      </c>
      <c r="G4636" s="3" t="s">
        <v>49</v>
      </c>
      <c r="H4636" s="3" t="s">
        <v>56</v>
      </c>
      <c r="I4636" s="3" t="s">
        <v>57</v>
      </c>
      <c r="J4636" s="3" t="n">
        <v>28</v>
      </c>
      <c r="K4636" s="3" t="n">
        <v>17280.3</v>
      </c>
      <c r="L4636" s="3" t="n">
        <v>483848.4</v>
      </c>
      <c r="M4636" s="3" t="n">
        <v>0.043</v>
      </c>
      <c r="N4636" s="3" t="n">
        <v>20805.48</v>
      </c>
      <c r="O4636" s="3" t="n">
        <v>463042.92</v>
      </c>
      <c r="P4636" s="3" t="n">
        <v>290309.04</v>
      </c>
      <c r="Q4636" s="3" t="n">
        <v>172733.88</v>
      </c>
      <c r="R4636" s="3" t="n">
        <v>0.373</v>
      </c>
      <c r="S4636" s="3" t="n">
        <v>0.0352</v>
      </c>
      <c r="T4636" s="3" t="n">
        <v>0.0078</v>
      </c>
    </row>
    <row r="4637" customFormat="false" ht="15" hidden="false" customHeight="true" outlineLevel="0" collapsed="false">
      <c r="A4637" s="3" t="s">
        <v>5806</v>
      </c>
      <c r="B4637" s="3" t="s">
        <v>260</v>
      </c>
      <c r="C4637" s="3" t="s">
        <v>31</v>
      </c>
      <c r="D4637" s="3" t="s">
        <v>61</v>
      </c>
      <c r="E4637" s="3" t="s">
        <v>33</v>
      </c>
      <c r="F4637" s="3" t="s">
        <v>62</v>
      </c>
      <c r="G4637" s="3" t="s">
        <v>41</v>
      </c>
      <c r="H4637" s="3" t="s">
        <v>42</v>
      </c>
      <c r="I4637" s="3" t="s">
        <v>134</v>
      </c>
      <c r="J4637" s="3" t="n">
        <v>47</v>
      </c>
      <c r="K4637" s="3" t="n">
        <v>3234.01</v>
      </c>
      <c r="L4637" s="3" t="n">
        <v>151998.47</v>
      </c>
      <c r="M4637" s="3" t="n">
        <v>0.0886</v>
      </c>
      <c r="N4637" s="3" t="n">
        <v>13467.06</v>
      </c>
      <c r="O4637" s="3" t="n">
        <v>138531.41</v>
      </c>
      <c r="P4637" s="3" t="n">
        <v>83599.16</v>
      </c>
      <c r="Q4637" s="3" t="n">
        <v>54932.25</v>
      </c>
      <c r="R4637" s="3" t="n">
        <v>0.3965</v>
      </c>
      <c r="S4637" s="3" t="n">
        <v>0.0856</v>
      </c>
      <c r="T4637" s="3" t="n">
        <v>0.003</v>
      </c>
    </row>
    <row r="4638" customFormat="false" ht="15" hidden="false" customHeight="true" outlineLevel="0" collapsed="false">
      <c r="A4638" s="3" t="s">
        <v>5807</v>
      </c>
      <c r="B4638" s="3" t="s">
        <v>166</v>
      </c>
      <c r="C4638" s="3" t="s">
        <v>22</v>
      </c>
      <c r="D4638" s="3" t="s">
        <v>75</v>
      </c>
      <c r="E4638" s="3" t="s">
        <v>39</v>
      </c>
      <c r="F4638" s="3" t="s">
        <v>25</v>
      </c>
      <c r="G4638" s="3" t="s">
        <v>116</v>
      </c>
      <c r="H4638" s="3" t="s">
        <v>42</v>
      </c>
      <c r="I4638" s="3" t="s">
        <v>43</v>
      </c>
      <c r="J4638" s="3" t="n">
        <v>18</v>
      </c>
      <c r="K4638" s="3" t="n">
        <v>1974.01</v>
      </c>
      <c r="L4638" s="3" t="n">
        <v>35532.18</v>
      </c>
      <c r="M4638" s="3" t="n">
        <v>0.1682</v>
      </c>
      <c r="N4638" s="3" t="n">
        <v>5976.51</v>
      </c>
      <c r="O4638" s="3" t="n">
        <v>29555.67</v>
      </c>
      <c r="P4638" s="3" t="n">
        <v>19542.7</v>
      </c>
      <c r="Q4638" s="3" t="n">
        <v>10012.97</v>
      </c>
      <c r="R4638" s="3" t="n">
        <v>0.3388</v>
      </c>
      <c r="S4638" s="3" t="n">
        <v>0.1767</v>
      </c>
      <c r="T4638" s="3" t="n">
        <v>-0.0085</v>
      </c>
    </row>
    <row r="4639" customFormat="false" ht="15" hidden="false" customHeight="true" outlineLevel="0" collapsed="false">
      <c r="A4639" s="3" t="s">
        <v>5808</v>
      </c>
      <c r="B4639" s="3" t="s">
        <v>3463</v>
      </c>
      <c r="C4639" s="3" t="s">
        <v>68</v>
      </c>
      <c r="D4639" s="3" t="s">
        <v>54</v>
      </c>
      <c r="E4639" s="3" t="s">
        <v>24</v>
      </c>
      <c r="F4639" s="3" t="s">
        <v>40</v>
      </c>
      <c r="G4639" s="3" t="s">
        <v>76</v>
      </c>
      <c r="H4639" s="3" t="s">
        <v>77</v>
      </c>
      <c r="I4639" s="3" t="s">
        <v>78</v>
      </c>
      <c r="J4639" s="3" t="n">
        <v>28</v>
      </c>
      <c r="K4639" s="3" t="n">
        <v>4362.62</v>
      </c>
      <c r="L4639" s="3" t="n">
        <v>122153.36</v>
      </c>
      <c r="M4639" s="3" t="n">
        <v>0.0372</v>
      </c>
      <c r="N4639" s="3" t="n">
        <v>4544.1</v>
      </c>
      <c r="O4639" s="3" t="n">
        <v>117609.26</v>
      </c>
      <c r="P4639" s="3" t="n">
        <v>83064.28</v>
      </c>
      <c r="Q4639" s="3" t="n">
        <v>34544.98</v>
      </c>
      <c r="R4639" s="3" t="n">
        <v>0.2937</v>
      </c>
      <c r="S4639" s="3" t="n">
        <v>0.0314</v>
      </c>
      <c r="T4639" s="3" t="n">
        <v>0.0058</v>
      </c>
    </row>
    <row r="4640" customFormat="false" ht="15" hidden="false" customHeight="true" outlineLevel="0" collapsed="false">
      <c r="A4640" s="3" t="s">
        <v>5809</v>
      </c>
      <c r="B4640" s="3" t="s">
        <v>3292</v>
      </c>
      <c r="C4640" s="3" t="s">
        <v>31</v>
      </c>
      <c r="D4640" s="3" t="s">
        <v>69</v>
      </c>
      <c r="E4640" s="3" t="s">
        <v>39</v>
      </c>
      <c r="F4640" s="3" t="s">
        <v>70</v>
      </c>
      <c r="G4640" s="3" t="s">
        <v>76</v>
      </c>
      <c r="H4640" s="3" t="s">
        <v>27</v>
      </c>
      <c r="I4640" s="3" t="s">
        <v>173</v>
      </c>
      <c r="J4640" s="3" t="n">
        <v>5</v>
      </c>
      <c r="K4640" s="3" t="n">
        <v>12041.47</v>
      </c>
      <c r="L4640" s="3" t="n">
        <v>60207.35</v>
      </c>
      <c r="M4640" s="3" t="n">
        <v>0.0698</v>
      </c>
      <c r="N4640" s="3" t="n">
        <v>4202.47</v>
      </c>
      <c r="O4640" s="3" t="n">
        <v>56004.88</v>
      </c>
      <c r="P4640" s="3" t="n">
        <v>37328.56</v>
      </c>
      <c r="Q4640" s="3" t="n">
        <v>18676.32</v>
      </c>
      <c r="R4640" s="3" t="n">
        <v>0.3335</v>
      </c>
      <c r="S4640" s="3" t="n">
        <v>0.0751</v>
      </c>
      <c r="T4640" s="3" t="n">
        <v>-0.0053</v>
      </c>
    </row>
    <row r="4641" customFormat="false" ht="15" hidden="false" customHeight="true" outlineLevel="0" collapsed="false">
      <c r="A4641" s="3" t="s">
        <v>5810</v>
      </c>
      <c r="B4641" s="3" t="s">
        <v>386</v>
      </c>
      <c r="C4641" s="3" t="s">
        <v>37</v>
      </c>
      <c r="D4641" s="3" t="s">
        <v>54</v>
      </c>
      <c r="E4641" s="3" t="s">
        <v>24</v>
      </c>
      <c r="F4641" s="3" t="s">
        <v>40</v>
      </c>
      <c r="G4641" s="3" t="s">
        <v>34</v>
      </c>
      <c r="H4641" s="3" t="s">
        <v>77</v>
      </c>
      <c r="I4641" s="3" t="s">
        <v>131</v>
      </c>
      <c r="J4641" s="3" t="n">
        <v>39</v>
      </c>
      <c r="K4641" s="3" t="n">
        <v>3688.89</v>
      </c>
      <c r="L4641" s="3" t="n">
        <v>143866.71</v>
      </c>
      <c r="M4641" s="3" t="n">
        <v>0.0944</v>
      </c>
      <c r="N4641" s="3" t="n">
        <v>13581.02</v>
      </c>
      <c r="O4641" s="3" t="n">
        <v>130285.69</v>
      </c>
      <c r="P4641" s="3" t="n">
        <v>97829.36</v>
      </c>
      <c r="Q4641" s="3" t="n">
        <v>32456.33</v>
      </c>
      <c r="R4641" s="3" t="n">
        <v>0.2491</v>
      </c>
      <c r="S4641" s="3" t="n">
        <v>0.0929</v>
      </c>
      <c r="T4641" s="3" t="n">
        <v>0.0015</v>
      </c>
    </row>
    <row r="4642" customFormat="false" ht="15" hidden="false" customHeight="true" outlineLevel="0" collapsed="false">
      <c r="A4642" s="3" t="s">
        <v>5811</v>
      </c>
      <c r="B4642" s="3" t="s">
        <v>2662</v>
      </c>
      <c r="C4642" s="3" t="s">
        <v>68</v>
      </c>
      <c r="D4642" s="3" t="s">
        <v>69</v>
      </c>
      <c r="E4642" s="3" t="s">
        <v>39</v>
      </c>
      <c r="F4642" s="3" t="s">
        <v>70</v>
      </c>
      <c r="G4642" s="3" t="s">
        <v>63</v>
      </c>
      <c r="H4642" s="3" t="s">
        <v>42</v>
      </c>
      <c r="I4642" s="3" t="s">
        <v>72</v>
      </c>
      <c r="J4642" s="3" t="n">
        <v>10</v>
      </c>
      <c r="K4642" s="3" t="n">
        <v>1868.19</v>
      </c>
      <c r="L4642" s="3" t="n">
        <v>18681.9</v>
      </c>
      <c r="M4642" s="3" t="n">
        <v>0.0332</v>
      </c>
      <c r="N4642" s="3" t="n">
        <v>620.24</v>
      </c>
      <c r="O4642" s="3" t="n">
        <v>18061.66</v>
      </c>
      <c r="P4642" s="3" t="n">
        <v>10275.05</v>
      </c>
      <c r="Q4642" s="3" t="n">
        <v>7786.61</v>
      </c>
      <c r="R4642" s="3" t="n">
        <v>0.4311</v>
      </c>
      <c r="S4642" s="3" t="n">
        <v>0.0294</v>
      </c>
      <c r="T4642" s="3" t="n">
        <v>0.0038</v>
      </c>
    </row>
    <row r="4643" customFormat="false" ht="15" hidden="false" customHeight="true" outlineLevel="0" collapsed="false">
      <c r="A4643" s="3" t="s">
        <v>5812</v>
      </c>
      <c r="B4643" s="3" t="s">
        <v>80</v>
      </c>
      <c r="C4643" s="3" t="s">
        <v>37</v>
      </c>
      <c r="D4643" s="3" t="s">
        <v>54</v>
      </c>
      <c r="E4643" s="3" t="s">
        <v>24</v>
      </c>
      <c r="F4643" s="3" t="s">
        <v>40</v>
      </c>
      <c r="G4643" s="3" t="s">
        <v>34</v>
      </c>
      <c r="H4643" s="3" t="s">
        <v>42</v>
      </c>
      <c r="I4643" s="3" t="s">
        <v>43</v>
      </c>
      <c r="J4643" s="3" t="n">
        <v>28</v>
      </c>
      <c r="K4643" s="3" t="n">
        <v>844.92</v>
      </c>
      <c r="L4643" s="3" t="n">
        <v>23657.76</v>
      </c>
      <c r="M4643" s="3" t="n">
        <v>0.0984</v>
      </c>
      <c r="N4643" s="3" t="n">
        <v>2327.92</v>
      </c>
      <c r="O4643" s="3" t="n">
        <v>21329.84</v>
      </c>
      <c r="P4643" s="3" t="n">
        <v>13011.77</v>
      </c>
      <c r="Q4643" s="3" t="n">
        <v>8318.07</v>
      </c>
      <c r="R4643" s="3" t="n">
        <v>0.39</v>
      </c>
      <c r="S4643" s="3" t="n">
        <v>0.079</v>
      </c>
      <c r="T4643" s="3" t="n">
        <v>0.0194</v>
      </c>
    </row>
    <row r="4644" customFormat="false" ht="15" hidden="false" customHeight="true" outlineLevel="0" collapsed="false">
      <c r="A4644" s="3" t="s">
        <v>5813</v>
      </c>
      <c r="B4644" s="3" t="s">
        <v>3925</v>
      </c>
      <c r="C4644" s="3" t="s">
        <v>120</v>
      </c>
      <c r="D4644" s="3" t="s">
        <v>32</v>
      </c>
      <c r="E4644" s="3" t="s">
        <v>33</v>
      </c>
      <c r="F4644" s="3" t="s">
        <v>25</v>
      </c>
      <c r="G4644" s="3" t="s">
        <v>76</v>
      </c>
      <c r="H4644" s="3" t="s">
        <v>42</v>
      </c>
      <c r="I4644" s="3" t="s">
        <v>72</v>
      </c>
      <c r="J4644" s="3" t="n">
        <v>45</v>
      </c>
      <c r="K4644" s="3" t="n">
        <v>861.9</v>
      </c>
      <c r="L4644" s="3" t="n">
        <v>38785.5</v>
      </c>
      <c r="M4644" s="3" t="n">
        <v>0.1521</v>
      </c>
      <c r="N4644" s="3" t="n">
        <v>5899.27</v>
      </c>
      <c r="O4644" s="3" t="n">
        <v>32886.23</v>
      </c>
      <c r="P4644" s="3" t="n">
        <v>21332.03</v>
      </c>
      <c r="Q4644" s="3" t="n">
        <v>11554.2</v>
      </c>
      <c r="R4644" s="3" t="n">
        <v>0.3513</v>
      </c>
      <c r="S4644" s="3" t="n">
        <v>0.1642</v>
      </c>
      <c r="T4644" s="3" t="n">
        <v>-0.0121</v>
      </c>
    </row>
    <row r="4645" customFormat="false" ht="15" hidden="false" customHeight="true" outlineLevel="0" collapsed="false">
      <c r="A4645" s="3" t="s">
        <v>5814</v>
      </c>
      <c r="B4645" s="3" t="s">
        <v>678</v>
      </c>
      <c r="C4645" s="3" t="s">
        <v>156</v>
      </c>
      <c r="D4645" s="3" t="s">
        <v>23</v>
      </c>
      <c r="E4645" s="3" t="s">
        <v>24</v>
      </c>
      <c r="F4645" s="3" t="s">
        <v>25</v>
      </c>
      <c r="G4645" s="3" t="s">
        <v>63</v>
      </c>
      <c r="H4645" s="3" t="s">
        <v>42</v>
      </c>
      <c r="I4645" s="3" t="s">
        <v>72</v>
      </c>
      <c r="J4645" s="3" t="n">
        <v>16</v>
      </c>
      <c r="K4645" s="3" t="n">
        <v>3099.91</v>
      </c>
      <c r="L4645" s="3" t="n">
        <v>49598.56</v>
      </c>
      <c r="M4645" s="3" t="n">
        <v>0.1622</v>
      </c>
      <c r="N4645" s="3" t="n">
        <v>8044.89</v>
      </c>
      <c r="O4645" s="3" t="n">
        <v>41553.67</v>
      </c>
      <c r="P4645" s="3" t="n">
        <v>27279.21</v>
      </c>
      <c r="Q4645" s="3" t="n">
        <v>14274.46</v>
      </c>
      <c r="R4645" s="3" t="n">
        <v>0.3435</v>
      </c>
      <c r="S4645" s="3" t="n">
        <v>0.1758</v>
      </c>
      <c r="T4645" s="3" t="n">
        <v>-0.0136</v>
      </c>
    </row>
    <row r="4646" customFormat="false" ht="15" hidden="false" customHeight="true" outlineLevel="0" collapsed="false">
      <c r="A4646" s="3" t="s">
        <v>5815</v>
      </c>
      <c r="B4646" s="3" t="s">
        <v>2330</v>
      </c>
      <c r="C4646" s="3" t="s">
        <v>37</v>
      </c>
      <c r="D4646" s="3" t="s">
        <v>107</v>
      </c>
      <c r="E4646" s="3" t="s">
        <v>33</v>
      </c>
      <c r="F4646" s="3" t="s">
        <v>70</v>
      </c>
      <c r="G4646" s="3" t="s">
        <v>104</v>
      </c>
      <c r="H4646" s="3" t="s">
        <v>56</v>
      </c>
      <c r="I4646" s="3" t="s">
        <v>121</v>
      </c>
      <c r="J4646" s="3" t="n">
        <v>35</v>
      </c>
      <c r="K4646" s="3" t="n">
        <v>12223.59</v>
      </c>
      <c r="L4646" s="3" t="n">
        <v>427825.65</v>
      </c>
      <c r="M4646" s="3" t="n">
        <v>0.1048</v>
      </c>
      <c r="N4646" s="3" t="n">
        <v>44836.13</v>
      </c>
      <c r="O4646" s="3" t="n">
        <v>382989.52</v>
      </c>
      <c r="P4646" s="3" t="n">
        <v>256695.39</v>
      </c>
      <c r="Q4646" s="3" t="n">
        <v>126294.13</v>
      </c>
      <c r="R4646" s="3" t="n">
        <v>0.3298</v>
      </c>
      <c r="S4646" s="3" t="n">
        <v>0.0981</v>
      </c>
      <c r="T4646" s="3" t="n">
        <v>0.0067</v>
      </c>
    </row>
    <row r="4647" customFormat="false" ht="15" hidden="false" customHeight="true" outlineLevel="0" collapsed="false">
      <c r="A4647" s="3" t="s">
        <v>5816</v>
      </c>
      <c r="B4647" s="3" t="s">
        <v>989</v>
      </c>
      <c r="C4647" s="3" t="s">
        <v>120</v>
      </c>
      <c r="D4647" s="3" t="s">
        <v>47</v>
      </c>
      <c r="E4647" s="3" t="s">
        <v>48</v>
      </c>
      <c r="F4647" s="3" t="s">
        <v>25</v>
      </c>
      <c r="G4647" s="3" t="s">
        <v>100</v>
      </c>
      <c r="H4647" s="3" t="s">
        <v>27</v>
      </c>
      <c r="I4647" s="3" t="s">
        <v>28</v>
      </c>
      <c r="J4647" s="3" t="n">
        <v>34</v>
      </c>
      <c r="K4647" s="3" t="n">
        <v>33623.3</v>
      </c>
      <c r="L4647" s="3" t="n">
        <v>1143192.2</v>
      </c>
      <c r="M4647" s="3" t="n">
        <v>0.0825</v>
      </c>
      <c r="N4647" s="3" t="n">
        <v>94313.36</v>
      </c>
      <c r="O4647" s="3" t="n">
        <v>1048878.84</v>
      </c>
      <c r="P4647" s="3" t="n">
        <v>708779.16</v>
      </c>
      <c r="Q4647" s="3" t="n">
        <v>340099.68</v>
      </c>
      <c r="R4647" s="3" t="n">
        <v>0.3243</v>
      </c>
      <c r="S4647" s="3" t="n">
        <v>0.0832</v>
      </c>
      <c r="T4647" s="3" t="n">
        <v>-0.0007</v>
      </c>
    </row>
    <row r="4648" customFormat="false" ht="15" hidden="false" customHeight="true" outlineLevel="0" collapsed="false">
      <c r="A4648" s="3" t="s">
        <v>5817</v>
      </c>
      <c r="B4648" s="3" t="s">
        <v>349</v>
      </c>
      <c r="C4648" s="3" t="s">
        <v>126</v>
      </c>
      <c r="D4648" s="3" t="s">
        <v>103</v>
      </c>
      <c r="E4648" s="3" t="s">
        <v>24</v>
      </c>
      <c r="F4648" s="3" t="s">
        <v>62</v>
      </c>
      <c r="G4648" s="3" t="s">
        <v>76</v>
      </c>
      <c r="H4648" s="3" t="s">
        <v>42</v>
      </c>
      <c r="I4648" s="3" t="s">
        <v>72</v>
      </c>
      <c r="J4648" s="3" t="n">
        <v>32</v>
      </c>
      <c r="K4648" s="3" t="n">
        <v>2209.59</v>
      </c>
      <c r="L4648" s="3" t="n">
        <v>70706.88</v>
      </c>
      <c r="M4648" s="3" t="n">
        <v>0.042</v>
      </c>
      <c r="N4648" s="3" t="n">
        <v>2969.69</v>
      </c>
      <c r="O4648" s="3" t="n">
        <v>67737.19</v>
      </c>
      <c r="P4648" s="3" t="n">
        <v>38888.78</v>
      </c>
      <c r="Q4648" s="3" t="n">
        <v>28848.41</v>
      </c>
      <c r="R4648" s="3" t="n">
        <v>0.4259</v>
      </c>
      <c r="S4648" s="3" t="n">
        <v>0.0425</v>
      </c>
      <c r="T4648" s="3" t="n">
        <v>-0.0005</v>
      </c>
    </row>
    <row r="4649" customFormat="false" ht="15" hidden="false" customHeight="true" outlineLevel="0" collapsed="false">
      <c r="A4649" s="3" t="s">
        <v>5818</v>
      </c>
      <c r="B4649" s="3" t="s">
        <v>2789</v>
      </c>
      <c r="C4649" s="3" t="s">
        <v>31</v>
      </c>
      <c r="D4649" s="3" t="s">
        <v>103</v>
      </c>
      <c r="E4649" s="3" t="s">
        <v>24</v>
      </c>
      <c r="F4649" s="3" t="s">
        <v>62</v>
      </c>
      <c r="G4649" s="3" t="s">
        <v>34</v>
      </c>
      <c r="H4649" s="3" t="s">
        <v>56</v>
      </c>
      <c r="I4649" s="3" t="s">
        <v>57</v>
      </c>
      <c r="J4649" s="3" t="n">
        <v>39</v>
      </c>
      <c r="K4649" s="3" t="n">
        <v>8912.31</v>
      </c>
      <c r="L4649" s="3" t="n">
        <v>347580.09</v>
      </c>
      <c r="M4649" s="3" t="n">
        <v>0.0776</v>
      </c>
      <c r="N4649" s="3" t="n">
        <v>26972.21</v>
      </c>
      <c r="O4649" s="3" t="n">
        <v>320607.88</v>
      </c>
      <c r="P4649" s="3" t="n">
        <v>208548.05</v>
      </c>
      <c r="Q4649" s="3" t="n">
        <v>112059.83</v>
      </c>
      <c r="R4649" s="3" t="n">
        <v>0.3495</v>
      </c>
      <c r="S4649" s="3" t="n">
        <v>0.0738</v>
      </c>
      <c r="T4649" s="3" t="n">
        <v>0.0038</v>
      </c>
    </row>
    <row r="4650" customFormat="false" ht="15" hidden="false" customHeight="true" outlineLevel="0" collapsed="false">
      <c r="A4650" s="3" t="s">
        <v>5819</v>
      </c>
      <c r="B4650" s="3" t="s">
        <v>3960</v>
      </c>
      <c r="C4650" s="3" t="s">
        <v>22</v>
      </c>
      <c r="D4650" s="3" t="s">
        <v>103</v>
      </c>
      <c r="E4650" s="3" t="s">
        <v>24</v>
      </c>
      <c r="F4650" s="3" t="s">
        <v>62</v>
      </c>
      <c r="G4650" s="3" t="s">
        <v>34</v>
      </c>
      <c r="H4650" s="3" t="s">
        <v>64</v>
      </c>
      <c r="I4650" s="3" t="s">
        <v>145</v>
      </c>
      <c r="J4650" s="3" t="n">
        <v>45</v>
      </c>
      <c r="K4650" s="3" t="n">
        <v>3688.53</v>
      </c>
      <c r="L4650" s="3" t="n">
        <v>165983.85</v>
      </c>
      <c r="M4650" s="3" t="n">
        <v>0.1087</v>
      </c>
      <c r="N4650" s="3" t="n">
        <v>18042.44</v>
      </c>
      <c r="O4650" s="3" t="n">
        <v>147941.41</v>
      </c>
      <c r="P4650" s="3" t="n">
        <v>96270.63</v>
      </c>
      <c r="Q4650" s="3" t="n">
        <v>51670.78</v>
      </c>
      <c r="R4650" s="3" t="n">
        <v>0.3493</v>
      </c>
      <c r="S4650" s="3" t="n">
        <v>0.0952</v>
      </c>
      <c r="T4650" s="3" t="n">
        <v>0.0135</v>
      </c>
    </row>
    <row r="4651" customFormat="false" ht="15" hidden="false" customHeight="true" outlineLevel="0" collapsed="false">
      <c r="A4651" s="3" t="s">
        <v>5820</v>
      </c>
      <c r="B4651" s="3" t="s">
        <v>1637</v>
      </c>
      <c r="C4651" s="3" t="s">
        <v>46</v>
      </c>
      <c r="D4651" s="3" t="s">
        <v>32</v>
      </c>
      <c r="E4651" s="3" t="s">
        <v>33</v>
      </c>
      <c r="F4651" s="3" t="s">
        <v>25</v>
      </c>
      <c r="G4651" s="3" t="s">
        <v>84</v>
      </c>
      <c r="H4651" s="3" t="s">
        <v>56</v>
      </c>
      <c r="I4651" s="3" t="s">
        <v>188</v>
      </c>
      <c r="J4651" s="3" t="n">
        <v>48</v>
      </c>
      <c r="K4651" s="3" t="n">
        <v>2296.66</v>
      </c>
      <c r="L4651" s="3" t="n">
        <v>110239.68</v>
      </c>
      <c r="M4651" s="3" t="n">
        <v>0.102</v>
      </c>
      <c r="N4651" s="3" t="n">
        <v>11244.45</v>
      </c>
      <c r="O4651" s="3" t="n">
        <v>98995.23</v>
      </c>
      <c r="P4651" s="3" t="n">
        <v>66143.81</v>
      </c>
      <c r="Q4651" s="3" t="n">
        <v>32851.42</v>
      </c>
      <c r="R4651" s="3" t="n">
        <v>0.3318</v>
      </c>
      <c r="S4651" s="3" t="n">
        <v>0.0986</v>
      </c>
      <c r="T4651" s="3" t="n">
        <v>0.0034</v>
      </c>
    </row>
    <row r="4652" customFormat="false" ht="15" hidden="false" customHeight="true" outlineLevel="0" collapsed="false">
      <c r="A4652" s="3" t="s">
        <v>5821</v>
      </c>
      <c r="B4652" s="3" t="s">
        <v>1048</v>
      </c>
      <c r="C4652" s="3" t="s">
        <v>156</v>
      </c>
      <c r="D4652" s="3" t="s">
        <v>97</v>
      </c>
      <c r="E4652" s="3" t="s">
        <v>48</v>
      </c>
      <c r="F4652" s="3" t="s">
        <v>40</v>
      </c>
      <c r="G4652" s="3" t="s">
        <v>71</v>
      </c>
      <c r="H4652" s="3" t="s">
        <v>77</v>
      </c>
      <c r="I4652" s="3" t="s">
        <v>78</v>
      </c>
      <c r="J4652" s="3" t="n">
        <v>40</v>
      </c>
      <c r="K4652" s="3" t="n">
        <v>1285.68</v>
      </c>
      <c r="L4652" s="3" t="n">
        <v>51427.2</v>
      </c>
      <c r="M4652" s="3" t="n">
        <v>0.0479</v>
      </c>
      <c r="N4652" s="3" t="n">
        <v>2463.36</v>
      </c>
      <c r="O4652" s="3" t="n">
        <v>48963.84</v>
      </c>
      <c r="P4652" s="3" t="n">
        <v>34970.5</v>
      </c>
      <c r="Q4652" s="3" t="n">
        <v>13993.34</v>
      </c>
      <c r="R4652" s="3" t="n">
        <v>0.2858</v>
      </c>
      <c r="S4652" s="3" t="n">
        <v>0.043</v>
      </c>
      <c r="T4652" s="3" t="n">
        <v>0.0049</v>
      </c>
    </row>
    <row r="4653" customFormat="false" ht="15" hidden="false" customHeight="true" outlineLevel="0" collapsed="false">
      <c r="A4653" s="3" t="s">
        <v>5822</v>
      </c>
      <c r="B4653" s="3" t="s">
        <v>4398</v>
      </c>
      <c r="C4653" s="3" t="s">
        <v>53</v>
      </c>
      <c r="D4653" s="3" t="s">
        <v>23</v>
      </c>
      <c r="E4653" s="3" t="s">
        <v>24</v>
      </c>
      <c r="F4653" s="3" t="s">
        <v>25</v>
      </c>
      <c r="G4653" s="3" t="s">
        <v>55</v>
      </c>
      <c r="H4653" s="3" t="s">
        <v>42</v>
      </c>
      <c r="I4653" s="3" t="s">
        <v>43</v>
      </c>
      <c r="J4653" s="3" t="n">
        <v>37</v>
      </c>
      <c r="K4653" s="3" t="n">
        <v>1725.35</v>
      </c>
      <c r="L4653" s="3" t="n">
        <v>63837.95</v>
      </c>
      <c r="M4653" s="3" t="n">
        <v>0.0831</v>
      </c>
      <c r="N4653" s="3" t="n">
        <v>5304.93</v>
      </c>
      <c r="O4653" s="3" t="n">
        <v>58533.02</v>
      </c>
      <c r="P4653" s="3" t="n">
        <v>35110.87</v>
      </c>
      <c r="Q4653" s="3" t="n">
        <v>23422.15</v>
      </c>
      <c r="R4653" s="3" t="n">
        <v>0.4002</v>
      </c>
      <c r="S4653" s="3" t="n">
        <v>0.0776</v>
      </c>
      <c r="T4653" s="3" t="n">
        <v>0.0055</v>
      </c>
    </row>
    <row r="4654" customFormat="false" ht="15" hidden="false" customHeight="true" outlineLevel="0" collapsed="false">
      <c r="A4654" s="3" t="s">
        <v>5823</v>
      </c>
      <c r="B4654" s="3" t="s">
        <v>3029</v>
      </c>
      <c r="C4654" s="3" t="s">
        <v>60</v>
      </c>
      <c r="D4654" s="3" t="s">
        <v>75</v>
      </c>
      <c r="E4654" s="3" t="s">
        <v>39</v>
      </c>
      <c r="F4654" s="3" t="s">
        <v>25</v>
      </c>
      <c r="G4654" s="3" t="s">
        <v>100</v>
      </c>
      <c r="H4654" s="3" t="s">
        <v>77</v>
      </c>
      <c r="I4654" s="3" t="s">
        <v>78</v>
      </c>
      <c r="J4654" s="3" t="n">
        <v>14</v>
      </c>
      <c r="K4654" s="3" t="n">
        <v>1438.21</v>
      </c>
      <c r="L4654" s="3" t="n">
        <v>20134.94</v>
      </c>
      <c r="M4654" s="3" t="n">
        <v>0.1556</v>
      </c>
      <c r="N4654" s="3" t="n">
        <v>3133</v>
      </c>
      <c r="O4654" s="3" t="n">
        <v>17001.94</v>
      </c>
      <c r="P4654" s="3" t="n">
        <v>13691.76</v>
      </c>
      <c r="Q4654" s="3" t="n">
        <v>3310.18</v>
      </c>
      <c r="R4654" s="3" t="n">
        <v>0.1947</v>
      </c>
      <c r="S4654" s="3" t="n">
        <v>0.1379</v>
      </c>
      <c r="T4654" s="3" t="n">
        <v>0.0177</v>
      </c>
    </row>
    <row r="4655" customFormat="false" ht="15" hidden="false" customHeight="true" outlineLevel="0" collapsed="false">
      <c r="A4655" s="3" t="s">
        <v>5824</v>
      </c>
      <c r="B4655" s="3" t="s">
        <v>285</v>
      </c>
      <c r="C4655" s="3" t="s">
        <v>46</v>
      </c>
      <c r="D4655" s="3" t="s">
        <v>47</v>
      </c>
      <c r="E4655" s="3" t="s">
        <v>48</v>
      </c>
      <c r="F4655" s="3" t="s">
        <v>25</v>
      </c>
      <c r="G4655" s="3" t="s">
        <v>55</v>
      </c>
      <c r="H4655" s="3" t="s">
        <v>27</v>
      </c>
      <c r="I4655" s="3" t="s">
        <v>28</v>
      </c>
      <c r="J4655" s="3" t="n">
        <v>18</v>
      </c>
      <c r="K4655" s="3" t="n">
        <v>19082.54</v>
      </c>
      <c r="L4655" s="3" t="n">
        <v>343485.72</v>
      </c>
      <c r="M4655" s="3" t="n">
        <v>0.127</v>
      </c>
      <c r="N4655" s="3" t="n">
        <v>43622.69</v>
      </c>
      <c r="O4655" s="3" t="n">
        <v>299863.03</v>
      </c>
      <c r="P4655" s="3" t="n">
        <v>212961.15</v>
      </c>
      <c r="Q4655" s="3" t="n">
        <v>86901.88</v>
      </c>
      <c r="R4655" s="3" t="n">
        <v>0.2898</v>
      </c>
      <c r="S4655" s="3" t="n">
        <v>0.1083</v>
      </c>
      <c r="T4655" s="3" t="n">
        <v>0.0187</v>
      </c>
    </row>
    <row r="4656" customFormat="false" ht="15" hidden="false" customHeight="true" outlineLevel="0" collapsed="false">
      <c r="A4656" s="3" t="s">
        <v>5825</v>
      </c>
      <c r="B4656" s="3" t="s">
        <v>1751</v>
      </c>
      <c r="C4656" s="3" t="s">
        <v>22</v>
      </c>
      <c r="D4656" s="3" t="s">
        <v>83</v>
      </c>
      <c r="E4656" s="3" t="s">
        <v>48</v>
      </c>
      <c r="F4656" s="3" t="s">
        <v>62</v>
      </c>
      <c r="G4656" s="3" t="s">
        <v>55</v>
      </c>
      <c r="H4656" s="3" t="s">
        <v>56</v>
      </c>
      <c r="I4656" s="3" t="s">
        <v>121</v>
      </c>
      <c r="J4656" s="3" t="n">
        <v>35</v>
      </c>
      <c r="K4656" s="3" t="n">
        <v>2414.88</v>
      </c>
      <c r="L4656" s="3" t="n">
        <v>84520.8</v>
      </c>
      <c r="M4656" s="3" t="n">
        <v>0.0798</v>
      </c>
      <c r="N4656" s="3" t="n">
        <v>6744.76</v>
      </c>
      <c r="O4656" s="3" t="n">
        <v>77776.04</v>
      </c>
      <c r="P4656" s="3" t="n">
        <v>50712.48</v>
      </c>
      <c r="Q4656" s="3" t="n">
        <v>27063.56</v>
      </c>
      <c r="R4656" s="3" t="n">
        <v>0.348</v>
      </c>
      <c r="S4656" s="3" t="n">
        <v>0.0733</v>
      </c>
      <c r="T4656" s="3" t="n">
        <v>0.0065</v>
      </c>
    </row>
    <row r="4657" customFormat="false" ht="15" hidden="false" customHeight="true" outlineLevel="0" collapsed="false">
      <c r="A4657" s="3" t="s">
        <v>5826</v>
      </c>
      <c r="B4657" s="3" t="s">
        <v>647</v>
      </c>
      <c r="C4657" s="3" t="s">
        <v>60</v>
      </c>
      <c r="D4657" s="3" t="s">
        <v>69</v>
      </c>
      <c r="E4657" s="3" t="s">
        <v>39</v>
      </c>
      <c r="F4657" s="3" t="s">
        <v>70</v>
      </c>
      <c r="G4657" s="3" t="s">
        <v>41</v>
      </c>
      <c r="H4657" s="3" t="s">
        <v>27</v>
      </c>
      <c r="I4657" s="3" t="s">
        <v>28</v>
      </c>
      <c r="J4657" s="3" t="n">
        <v>8</v>
      </c>
      <c r="K4657" s="3" t="n">
        <v>38720.85</v>
      </c>
      <c r="L4657" s="3" t="n">
        <v>309766.8</v>
      </c>
      <c r="M4657" s="3" t="n">
        <v>0.0963</v>
      </c>
      <c r="N4657" s="3" t="n">
        <v>29830.54</v>
      </c>
      <c r="O4657" s="3" t="n">
        <v>279936.26</v>
      </c>
      <c r="P4657" s="3" t="n">
        <v>192055.42</v>
      </c>
      <c r="Q4657" s="3" t="n">
        <v>87880.84</v>
      </c>
      <c r="R4657" s="3" t="n">
        <v>0.3139</v>
      </c>
      <c r="S4657" s="3" t="n">
        <v>0.1024</v>
      </c>
      <c r="T4657" s="3" t="n">
        <v>-0.0061</v>
      </c>
    </row>
    <row r="4658" customFormat="false" ht="15" hidden="false" customHeight="true" outlineLevel="0" collapsed="false">
      <c r="A4658" s="3" t="s">
        <v>5827</v>
      </c>
      <c r="B4658" s="3" t="s">
        <v>3715</v>
      </c>
      <c r="C4658" s="3" t="s">
        <v>156</v>
      </c>
      <c r="D4658" s="3" t="s">
        <v>75</v>
      </c>
      <c r="E4658" s="3" t="s">
        <v>39</v>
      </c>
      <c r="F4658" s="3" t="s">
        <v>25</v>
      </c>
      <c r="G4658" s="3" t="s">
        <v>34</v>
      </c>
      <c r="H4658" s="3" t="s">
        <v>64</v>
      </c>
      <c r="I4658" s="3" t="s">
        <v>108</v>
      </c>
      <c r="J4658" s="3" t="n">
        <v>12</v>
      </c>
      <c r="K4658" s="3" t="n">
        <v>11600.14</v>
      </c>
      <c r="L4658" s="3" t="n">
        <v>139201.68</v>
      </c>
      <c r="M4658" s="3" t="n">
        <v>0.1508</v>
      </c>
      <c r="N4658" s="3" t="n">
        <v>20991.61</v>
      </c>
      <c r="O4658" s="3" t="n">
        <v>118210.07</v>
      </c>
      <c r="P4658" s="3" t="n">
        <v>80736.97</v>
      </c>
      <c r="Q4658" s="3" t="n">
        <v>37473.1</v>
      </c>
      <c r="R4658" s="3" t="n">
        <v>0.317</v>
      </c>
      <c r="S4658" s="3" t="n">
        <v>0.158</v>
      </c>
      <c r="T4658" s="3" t="n">
        <v>-0.0072</v>
      </c>
    </row>
    <row r="4659" customFormat="false" ht="15" hidden="false" customHeight="true" outlineLevel="0" collapsed="false">
      <c r="A4659" s="3" t="s">
        <v>5828</v>
      </c>
      <c r="B4659" s="3" t="s">
        <v>831</v>
      </c>
      <c r="C4659" s="3" t="s">
        <v>120</v>
      </c>
      <c r="D4659" s="3" t="s">
        <v>97</v>
      </c>
      <c r="E4659" s="3" t="s">
        <v>48</v>
      </c>
      <c r="F4659" s="3" t="s">
        <v>40</v>
      </c>
      <c r="G4659" s="3" t="s">
        <v>63</v>
      </c>
      <c r="H4659" s="3" t="s">
        <v>64</v>
      </c>
      <c r="I4659" s="3" t="s">
        <v>145</v>
      </c>
      <c r="J4659" s="3" t="n">
        <v>12</v>
      </c>
      <c r="K4659" s="3" t="n">
        <v>4109.58</v>
      </c>
      <c r="L4659" s="3" t="n">
        <v>49314.96</v>
      </c>
      <c r="M4659" s="3" t="n">
        <v>0.0645</v>
      </c>
      <c r="N4659" s="3" t="n">
        <v>3180.81</v>
      </c>
      <c r="O4659" s="3" t="n">
        <v>46134.15</v>
      </c>
      <c r="P4659" s="3" t="n">
        <v>28602.68</v>
      </c>
      <c r="Q4659" s="3" t="n">
        <v>17531.47</v>
      </c>
      <c r="R4659" s="3" t="n">
        <v>0.38</v>
      </c>
      <c r="S4659" s="3" t="n">
        <v>0.0701</v>
      </c>
      <c r="T4659" s="3" t="n">
        <v>-0.0056</v>
      </c>
    </row>
    <row r="4660" customFormat="false" ht="15" hidden="false" customHeight="true" outlineLevel="0" collapsed="false">
      <c r="A4660" s="3" t="s">
        <v>5829</v>
      </c>
      <c r="B4660" s="3" t="s">
        <v>5246</v>
      </c>
      <c r="C4660" s="3" t="s">
        <v>68</v>
      </c>
      <c r="D4660" s="3" t="s">
        <v>54</v>
      </c>
      <c r="E4660" s="3" t="s">
        <v>24</v>
      </c>
      <c r="F4660" s="3" t="s">
        <v>40</v>
      </c>
      <c r="G4660" s="3" t="s">
        <v>76</v>
      </c>
      <c r="H4660" s="3" t="s">
        <v>27</v>
      </c>
      <c r="I4660" s="3" t="s">
        <v>117</v>
      </c>
      <c r="J4660" s="3" t="n">
        <v>32</v>
      </c>
      <c r="K4660" s="3" t="n">
        <v>33317.04</v>
      </c>
      <c r="L4660" s="3" t="n">
        <v>1066145.28</v>
      </c>
      <c r="M4660" s="3" t="n">
        <v>0.0626</v>
      </c>
      <c r="N4660" s="3" t="n">
        <v>66740.69</v>
      </c>
      <c r="O4660" s="3" t="n">
        <v>999404.59</v>
      </c>
      <c r="P4660" s="3" t="n">
        <v>661010.07</v>
      </c>
      <c r="Q4660" s="3" t="n">
        <v>338394.52</v>
      </c>
      <c r="R4660" s="3" t="n">
        <v>0.3386</v>
      </c>
      <c r="S4660" s="3" t="n">
        <v>0.0537</v>
      </c>
      <c r="T4660" s="3" t="n">
        <v>0.0089</v>
      </c>
    </row>
    <row r="4661" customFormat="false" ht="15" hidden="false" customHeight="true" outlineLevel="0" collapsed="false">
      <c r="A4661" s="3" t="s">
        <v>5830</v>
      </c>
      <c r="B4661" s="3" t="s">
        <v>295</v>
      </c>
      <c r="C4661" s="3" t="s">
        <v>113</v>
      </c>
      <c r="D4661" s="3" t="s">
        <v>69</v>
      </c>
      <c r="E4661" s="3" t="s">
        <v>39</v>
      </c>
      <c r="F4661" s="3" t="s">
        <v>70</v>
      </c>
      <c r="G4661" s="3" t="s">
        <v>84</v>
      </c>
      <c r="H4661" s="3" t="s">
        <v>42</v>
      </c>
      <c r="I4661" s="3" t="s">
        <v>72</v>
      </c>
      <c r="J4661" s="3" t="n">
        <v>32</v>
      </c>
      <c r="K4661" s="3" t="n">
        <v>1313.83</v>
      </c>
      <c r="L4661" s="3" t="n">
        <v>42042.56</v>
      </c>
      <c r="M4661" s="3" t="n">
        <v>0.0731</v>
      </c>
      <c r="N4661" s="3" t="n">
        <v>3073.31</v>
      </c>
      <c r="O4661" s="3" t="n">
        <v>38969.25</v>
      </c>
      <c r="P4661" s="3" t="n">
        <v>23123.41</v>
      </c>
      <c r="Q4661" s="3" t="n">
        <v>15845.84</v>
      </c>
      <c r="R4661" s="3" t="n">
        <v>0.4066</v>
      </c>
      <c r="S4661" s="3" t="n">
        <v>0.0784</v>
      </c>
      <c r="T4661" s="3" t="n">
        <v>-0.0053</v>
      </c>
    </row>
    <row r="4662" customFormat="false" ht="15" hidden="false" customHeight="true" outlineLevel="0" collapsed="false">
      <c r="A4662" s="3" t="s">
        <v>5831</v>
      </c>
      <c r="B4662" s="3" t="s">
        <v>1978</v>
      </c>
      <c r="C4662" s="3" t="s">
        <v>53</v>
      </c>
      <c r="D4662" s="3" t="s">
        <v>61</v>
      </c>
      <c r="E4662" s="3" t="s">
        <v>33</v>
      </c>
      <c r="F4662" s="3" t="s">
        <v>62</v>
      </c>
      <c r="G4662" s="3" t="s">
        <v>41</v>
      </c>
      <c r="H4662" s="3" t="s">
        <v>42</v>
      </c>
      <c r="I4662" s="3" t="s">
        <v>72</v>
      </c>
      <c r="J4662" s="3" t="n">
        <v>17</v>
      </c>
      <c r="K4662" s="3" t="n">
        <v>541.53</v>
      </c>
      <c r="L4662" s="3" t="n">
        <v>9206.01</v>
      </c>
      <c r="M4662" s="3" t="n">
        <v>0.0768</v>
      </c>
      <c r="N4662" s="3" t="n">
        <v>707.02</v>
      </c>
      <c r="O4662" s="3" t="n">
        <v>8498.99</v>
      </c>
      <c r="P4662" s="3" t="n">
        <v>5063.31</v>
      </c>
      <c r="Q4662" s="3" t="n">
        <v>3435.68</v>
      </c>
      <c r="R4662" s="3" t="n">
        <v>0.4042</v>
      </c>
      <c r="S4662" s="3" t="n">
        <v>0.0821</v>
      </c>
      <c r="T4662" s="3" t="n">
        <v>-0.0053</v>
      </c>
    </row>
    <row r="4663" customFormat="false" ht="15" hidden="false" customHeight="true" outlineLevel="0" collapsed="false">
      <c r="A4663" s="3" t="s">
        <v>5832</v>
      </c>
      <c r="B4663" s="3" t="s">
        <v>292</v>
      </c>
      <c r="C4663" s="3" t="s">
        <v>126</v>
      </c>
      <c r="D4663" s="3" t="s">
        <v>54</v>
      </c>
      <c r="E4663" s="3" t="s">
        <v>24</v>
      </c>
      <c r="F4663" s="3" t="s">
        <v>40</v>
      </c>
      <c r="G4663" s="3" t="s">
        <v>71</v>
      </c>
      <c r="H4663" s="3" t="s">
        <v>27</v>
      </c>
      <c r="I4663" s="3" t="s">
        <v>50</v>
      </c>
      <c r="J4663" s="3" t="n">
        <v>5</v>
      </c>
      <c r="K4663" s="3" t="n">
        <v>24261.92</v>
      </c>
      <c r="L4663" s="3" t="n">
        <v>121309.6</v>
      </c>
      <c r="M4663" s="3" t="n">
        <v>0.0609</v>
      </c>
      <c r="N4663" s="3" t="n">
        <v>7387.75</v>
      </c>
      <c r="O4663" s="3" t="n">
        <v>113921.85</v>
      </c>
      <c r="P4663" s="3" t="n">
        <v>75211.95</v>
      </c>
      <c r="Q4663" s="3" t="n">
        <v>38709.9</v>
      </c>
      <c r="R4663" s="3" t="n">
        <v>0.3398</v>
      </c>
      <c r="S4663" s="3" t="n">
        <v>0.0513</v>
      </c>
      <c r="T4663" s="3" t="n">
        <v>0.0096</v>
      </c>
    </row>
    <row r="4664" customFormat="false" ht="15" hidden="false" customHeight="true" outlineLevel="0" collapsed="false">
      <c r="A4664" s="3" t="s">
        <v>5833</v>
      </c>
      <c r="B4664" s="3" t="s">
        <v>3715</v>
      </c>
      <c r="C4664" s="3" t="s">
        <v>156</v>
      </c>
      <c r="D4664" s="3" t="s">
        <v>32</v>
      </c>
      <c r="E4664" s="3" t="s">
        <v>33</v>
      </c>
      <c r="F4664" s="3" t="s">
        <v>25</v>
      </c>
      <c r="G4664" s="3" t="s">
        <v>41</v>
      </c>
      <c r="H4664" s="3" t="s">
        <v>42</v>
      </c>
      <c r="I4664" s="3" t="s">
        <v>72</v>
      </c>
      <c r="J4664" s="3" t="n">
        <v>22</v>
      </c>
      <c r="K4664" s="3" t="n">
        <v>2820.81</v>
      </c>
      <c r="L4664" s="3" t="n">
        <v>62057.82</v>
      </c>
      <c r="M4664" s="3" t="n">
        <v>0.1965</v>
      </c>
      <c r="N4664" s="3" t="n">
        <v>12194.36</v>
      </c>
      <c r="O4664" s="3" t="n">
        <v>49863.46</v>
      </c>
      <c r="P4664" s="3" t="n">
        <v>34131.8</v>
      </c>
      <c r="Q4664" s="3" t="n">
        <v>15731.66</v>
      </c>
      <c r="R4664" s="3" t="n">
        <v>0.3155</v>
      </c>
      <c r="S4664" s="3" t="n">
        <v>0.2082</v>
      </c>
      <c r="T4664" s="3" t="n">
        <v>-0.0117</v>
      </c>
    </row>
    <row r="4665" customFormat="false" ht="15" hidden="false" customHeight="true" outlineLevel="0" collapsed="false">
      <c r="A4665" s="3" t="s">
        <v>5834</v>
      </c>
      <c r="B4665" s="3" t="s">
        <v>5246</v>
      </c>
      <c r="C4665" s="3" t="s">
        <v>68</v>
      </c>
      <c r="D4665" s="3" t="s">
        <v>38</v>
      </c>
      <c r="E4665" s="3" t="s">
        <v>39</v>
      </c>
      <c r="F4665" s="3" t="s">
        <v>40</v>
      </c>
      <c r="G4665" s="3" t="s">
        <v>26</v>
      </c>
      <c r="H4665" s="3" t="s">
        <v>42</v>
      </c>
      <c r="I4665" s="3" t="s">
        <v>134</v>
      </c>
      <c r="J4665" s="3" t="n">
        <v>44</v>
      </c>
      <c r="K4665" s="3" t="n">
        <v>3469.35</v>
      </c>
      <c r="L4665" s="3" t="n">
        <v>152651.4</v>
      </c>
      <c r="M4665" s="3" t="n">
        <v>0.0574</v>
      </c>
      <c r="N4665" s="3" t="n">
        <v>8762.19</v>
      </c>
      <c r="O4665" s="3" t="n">
        <v>143889.21</v>
      </c>
      <c r="P4665" s="3" t="n">
        <v>83958.27</v>
      </c>
      <c r="Q4665" s="3" t="n">
        <v>59930.94</v>
      </c>
      <c r="R4665" s="3" t="n">
        <v>0.4165</v>
      </c>
      <c r="S4665" s="3" t="n">
        <v>0.0564</v>
      </c>
      <c r="T4665" s="3" t="n">
        <v>0.001</v>
      </c>
    </row>
    <row r="4666" customFormat="false" ht="15" hidden="false" customHeight="true" outlineLevel="0" collapsed="false">
      <c r="A4666" s="3" t="s">
        <v>5835</v>
      </c>
      <c r="B4666" s="3" t="s">
        <v>366</v>
      </c>
      <c r="C4666" s="3" t="s">
        <v>93</v>
      </c>
      <c r="D4666" s="3" t="s">
        <v>97</v>
      </c>
      <c r="E4666" s="3" t="s">
        <v>48</v>
      </c>
      <c r="F4666" s="3" t="s">
        <v>40</v>
      </c>
      <c r="G4666" s="3" t="s">
        <v>63</v>
      </c>
      <c r="H4666" s="3" t="s">
        <v>56</v>
      </c>
      <c r="I4666" s="3" t="s">
        <v>188</v>
      </c>
      <c r="J4666" s="3" t="n">
        <v>12</v>
      </c>
      <c r="K4666" s="3" t="n">
        <v>6726.13</v>
      </c>
      <c r="L4666" s="3" t="n">
        <v>80713.56</v>
      </c>
      <c r="M4666" s="3" t="n">
        <v>0.0544</v>
      </c>
      <c r="N4666" s="3" t="n">
        <v>4390.82</v>
      </c>
      <c r="O4666" s="3" t="n">
        <v>76322.74</v>
      </c>
      <c r="P4666" s="3" t="n">
        <v>48428.14</v>
      </c>
      <c r="Q4666" s="3" t="n">
        <v>27894.6</v>
      </c>
      <c r="R4666" s="3" t="n">
        <v>0.3655</v>
      </c>
      <c r="S4666" s="3" t="n">
        <v>0.0531</v>
      </c>
      <c r="T4666" s="3" t="n">
        <v>0.0013</v>
      </c>
    </row>
    <row r="4667" customFormat="false" ht="15" hidden="false" customHeight="true" outlineLevel="0" collapsed="false">
      <c r="A4667" s="3" t="s">
        <v>5836</v>
      </c>
      <c r="B4667" s="3" t="s">
        <v>5837</v>
      </c>
      <c r="C4667" s="3" t="s">
        <v>22</v>
      </c>
      <c r="D4667" s="3" t="s">
        <v>83</v>
      </c>
      <c r="E4667" s="3" t="s">
        <v>48</v>
      </c>
      <c r="F4667" s="3" t="s">
        <v>62</v>
      </c>
      <c r="G4667" s="3" t="s">
        <v>100</v>
      </c>
      <c r="H4667" s="3" t="s">
        <v>64</v>
      </c>
      <c r="I4667" s="3" t="s">
        <v>108</v>
      </c>
      <c r="J4667" s="3" t="n">
        <v>7</v>
      </c>
      <c r="K4667" s="3" t="n">
        <v>9494.94</v>
      </c>
      <c r="L4667" s="3" t="n">
        <v>66464.58</v>
      </c>
      <c r="M4667" s="3" t="n">
        <v>0.0511</v>
      </c>
      <c r="N4667" s="3" t="n">
        <v>3396.34</v>
      </c>
      <c r="O4667" s="3" t="n">
        <v>63068.24</v>
      </c>
      <c r="P4667" s="3" t="n">
        <v>38549.46</v>
      </c>
      <c r="Q4667" s="3" t="n">
        <v>24518.78</v>
      </c>
      <c r="R4667" s="3" t="n">
        <v>0.3888</v>
      </c>
      <c r="S4667" s="3" t="n">
        <v>0.0428</v>
      </c>
      <c r="T4667" s="3" t="n">
        <v>0.0083</v>
      </c>
    </row>
    <row r="4668" customFormat="false" ht="15" hidden="false" customHeight="true" outlineLevel="0" collapsed="false">
      <c r="A4668" s="3" t="s">
        <v>5838</v>
      </c>
      <c r="B4668" s="3" t="s">
        <v>496</v>
      </c>
      <c r="C4668" s="3" t="s">
        <v>113</v>
      </c>
      <c r="D4668" s="3" t="s">
        <v>75</v>
      </c>
      <c r="E4668" s="3" t="s">
        <v>39</v>
      </c>
      <c r="F4668" s="3" t="s">
        <v>25</v>
      </c>
      <c r="G4668" s="3" t="s">
        <v>49</v>
      </c>
      <c r="H4668" s="3" t="s">
        <v>27</v>
      </c>
      <c r="I4668" s="3" t="s">
        <v>117</v>
      </c>
      <c r="J4668" s="3" t="n">
        <v>43</v>
      </c>
      <c r="K4668" s="3" t="n">
        <v>11317.4</v>
      </c>
      <c r="L4668" s="3" t="n">
        <v>486648.2</v>
      </c>
      <c r="M4668" s="3" t="n">
        <v>0.1203</v>
      </c>
      <c r="N4668" s="3" t="n">
        <v>58543.78</v>
      </c>
      <c r="O4668" s="3" t="n">
        <v>428104.42</v>
      </c>
      <c r="P4668" s="3" t="n">
        <v>301721.88</v>
      </c>
      <c r="Q4668" s="3" t="n">
        <v>126382.54</v>
      </c>
      <c r="R4668" s="3" t="n">
        <v>0.2952</v>
      </c>
      <c r="S4668" s="3" t="n">
        <v>0.0981</v>
      </c>
      <c r="T4668" s="3" t="n">
        <v>0.0222</v>
      </c>
    </row>
    <row r="4669" customFormat="false" ht="15" hidden="false" customHeight="true" outlineLevel="0" collapsed="false">
      <c r="A4669" s="3" t="s">
        <v>5839</v>
      </c>
      <c r="B4669" s="3" t="s">
        <v>4658</v>
      </c>
      <c r="C4669" s="3" t="s">
        <v>126</v>
      </c>
      <c r="D4669" s="3" t="s">
        <v>32</v>
      </c>
      <c r="E4669" s="3" t="s">
        <v>33</v>
      </c>
      <c r="F4669" s="3" t="s">
        <v>25</v>
      </c>
      <c r="G4669" s="3" t="s">
        <v>34</v>
      </c>
      <c r="H4669" s="3" t="s">
        <v>77</v>
      </c>
      <c r="I4669" s="3" t="s">
        <v>78</v>
      </c>
      <c r="J4669" s="3" t="n">
        <v>49</v>
      </c>
      <c r="K4669" s="3" t="n">
        <v>2990.19</v>
      </c>
      <c r="L4669" s="3" t="n">
        <v>146519.31</v>
      </c>
      <c r="M4669" s="3" t="n">
        <v>0.1485</v>
      </c>
      <c r="N4669" s="3" t="n">
        <v>21758.12</v>
      </c>
      <c r="O4669" s="3" t="n">
        <v>124761.19</v>
      </c>
      <c r="P4669" s="3" t="n">
        <v>99633.13</v>
      </c>
      <c r="Q4669" s="3" t="n">
        <v>25128.06</v>
      </c>
      <c r="R4669" s="3" t="n">
        <v>0.2014</v>
      </c>
      <c r="S4669" s="3" t="n">
        <v>0.1613</v>
      </c>
      <c r="T4669" s="3" t="n">
        <v>-0.0128</v>
      </c>
    </row>
    <row r="4670" customFormat="false" ht="15" hidden="false" customHeight="true" outlineLevel="0" collapsed="false">
      <c r="A4670" s="3" t="s">
        <v>5840</v>
      </c>
      <c r="B4670" s="3" t="s">
        <v>2269</v>
      </c>
      <c r="C4670" s="3" t="s">
        <v>60</v>
      </c>
      <c r="D4670" s="3" t="s">
        <v>54</v>
      </c>
      <c r="E4670" s="3" t="s">
        <v>24</v>
      </c>
      <c r="F4670" s="3" t="s">
        <v>40</v>
      </c>
      <c r="G4670" s="3" t="s">
        <v>34</v>
      </c>
      <c r="H4670" s="3" t="s">
        <v>27</v>
      </c>
      <c r="I4670" s="3" t="s">
        <v>117</v>
      </c>
      <c r="J4670" s="3" t="n">
        <v>47</v>
      </c>
      <c r="K4670" s="3" t="n">
        <v>12461.88</v>
      </c>
      <c r="L4670" s="3" t="n">
        <v>585708.36</v>
      </c>
      <c r="M4670" s="3" t="n">
        <v>0.0654</v>
      </c>
      <c r="N4670" s="3" t="n">
        <v>38305.33</v>
      </c>
      <c r="O4670" s="3" t="n">
        <v>547403.03</v>
      </c>
      <c r="P4670" s="3" t="n">
        <v>363139.18</v>
      </c>
      <c r="Q4670" s="3" t="n">
        <v>184263.85</v>
      </c>
      <c r="R4670" s="3" t="n">
        <v>0.3366</v>
      </c>
      <c r="S4670" s="3" t="n">
        <v>0.0701</v>
      </c>
      <c r="T4670" s="3" t="n">
        <v>-0.0047</v>
      </c>
    </row>
    <row r="4671" customFormat="false" ht="15" hidden="false" customHeight="true" outlineLevel="0" collapsed="false">
      <c r="A4671" s="3" t="s">
        <v>5841</v>
      </c>
      <c r="B4671" s="3" t="s">
        <v>3361</v>
      </c>
      <c r="C4671" s="3" t="s">
        <v>93</v>
      </c>
      <c r="D4671" s="3" t="s">
        <v>107</v>
      </c>
      <c r="E4671" s="3" t="s">
        <v>33</v>
      </c>
      <c r="F4671" s="3" t="s">
        <v>70</v>
      </c>
      <c r="G4671" s="3" t="s">
        <v>100</v>
      </c>
      <c r="H4671" s="3" t="s">
        <v>77</v>
      </c>
      <c r="I4671" s="3" t="s">
        <v>131</v>
      </c>
      <c r="J4671" s="3" t="n">
        <v>46</v>
      </c>
      <c r="K4671" s="3" t="n">
        <v>4812.52</v>
      </c>
      <c r="L4671" s="3" t="n">
        <v>221375.92</v>
      </c>
      <c r="M4671" s="3" t="n">
        <v>0.073</v>
      </c>
      <c r="N4671" s="3" t="n">
        <v>16160.44</v>
      </c>
      <c r="O4671" s="3" t="n">
        <v>205215.48</v>
      </c>
      <c r="P4671" s="3" t="n">
        <v>150535.63</v>
      </c>
      <c r="Q4671" s="3" t="n">
        <v>54679.85</v>
      </c>
      <c r="R4671" s="3" t="n">
        <v>0.2665</v>
      </c>
      <c r="S4671" s="3" t="n">
        <v>0.0597</v>
      </c>
      <c r="T4671" s="3" t="n">
        <v>0.0133</v>
      </c>
    </row>
    <row r="4672" customFormat="false" ht="15" hidden="false" customHeight="true" outlineLevel="0" collapsed="false">
      <c r="A4672" s="3" t="s">
        <v>5842</v>
      </c>
      <c r="B4672" s="3" t="s">
        <v>392</v>
      </c>
      <c r="C4672" s="3" t="s">
        <v>68</v>
      </c>
      <c r="D4672" s="3" t="s">
        <v>97</v>
      </c>
      <c r="E4672" s="3" t="s">
        <v>48</v>
      </c>
      <c r="F4672" s="3" t="s">
        <v>40</v>
      </c>
      <c r="G4672" s="3" t="s">
        <v>34</v>
      </c>
      <c r="H4672" s="3" t="s">
        <v>56</v>
      </c>
      <c r="I4672" s="3" t="s">
        <v>57</v>
      </c>
      <c r="J4672" s="3" t="n">
        <v>7</v>
      </c>
      <c r="K4672" s="3" t="n">
        <v>11356.27</v>
      </c>
      <c r="L4672" s="3" t="n">
        <v>79493.89</v>
      </c>
      <c r="M4672" s="3" t="n">
        <v>0.0629</v>
      </c>
      <c r="N4672" s="3" t="n">
        <v>5000.17</v>
      </c>
      <c r="O4672" s="3" t="n">
        <v>74493.72</v>
      </c>
      <c r="P4672" s="3" t="n">
        <v>47696.33</v>
      </c>
      <c r="Q4672" s="3" t="n">
        <v>26797.39</v>
      </c>
      <c r="R4672" s="3" t="n">
        <v>0.3597</v>
      </c>
      <c r="S4672" s="3" t="n">
        <v>0.0687</v>
      </c>
      <c r="T4672" s="3" t="n">
        <v>-0.0058</v>
      </c>
    </row>
    <row r="4673" customFormat="false" ht="15" hidden="false" customHeight="true" outlineLevel="0" collapsed="false">
      <c r="A4673" s="3" t="s">
        <v>5843</v>
      </c>
      <c r="B4673" s="3" t="s">
        <v>2258</v>
      </c>
      <c r="C4673" s="3" t="s">
        <v>120</v>
      </c>
      <c r="D4673" s="3" t="s">
        <v>107</v>
      </c>
      <c r="E4673" s="3" t="s">
        <v>33</v>
      </c>
      <c r="F4673" s="3" t="s">
        <v>70</v>
      </c>
      <c r="G4673" s="3" t="s">
        <v>34</v>
      </c>
      <c r="H4673" s="3" t="s">
        <v>77</v>
      </c>
      <c r="I4673" s="3" t="s">
        <v>85</v>
      </c>
      <c r="J4673" s="3" t="n">
        <v>11</v>
      </c>
      <c r="K4673" s="3" t="n">
        <v>3502.68</v>
      </c>
      <c r="L4673" s="3" t="n">
        <v>38529.48</v>
      </c>
      <c r="M4673" s="3" t="n">
        <v>0.0942</v>
      </c>
      <c r="N4673" s="3" t="n">
        <v>3629.48</v>
      </c>
      <c r="O4673" s="3" t="n">
        <v>34900</v>
      </c>
      <c r="P4673" s="3" t="n">
        <v>26200.05</v>
      </c>
      <c r="Q4673" s="3" t="n">
        <v>8699.95</v>
      </c>
      <c r="R4673" s="3" t="n">
        <v>0.2493</v>
      </c>
      <c r="S4673" s="3" t="n">
        <v>0.0873</v>
      </c>
      <c r="T4673" s="3" t="n">
        <v>0.0069</v>
      </c>
    </row>
    <row r="4674" customFormat="false" ht="15" hidden="false" customHeight="true" outlineLevel="0" collapsed="false">
      <c r="A4674" s="3" t="s">
        <v>5844</v>
      </c>
      <c r="B4674" s="3" t="s">
        <v>1575</v>
      </c>
      <c r="C4674" s="3" t="s">
        <v>113</v>
      </c>
      <c r="D4674" s="3" t="s">
        <v>97</v>
      </c>
      <c r="E4674" s="3" t="s">
        <v>48</v>
      </c>
      <c r="F4674" s="3" t="s">
        <v>40</v>
      </c>
      <c r="G4674" s="3" t="s">
        <v>41</v>
      </c>
      <c r="H4674" s="3" t="s">
        <v>56</v>
      </c>
      <c r="I4674" s="3" t="s">
        <v>188</v>
      </c>
      <c r="J4674" s="3" t="n">
        <v>4</v>
      </c>
      <c r="K4674" s="3" t="n">
        <v>8012.55</v>
      </c>
      <c r="L4674" s="3" t="n">
        <v>32050.2</v>
      </c>
      <c r="M4674" s="3" t="n">
        <v>0.1005</v>
      </c>
      <c r="N4674" s="3" t="n">
        <v>3221.05</v>
      </c>
      <c r="O4674" s="3" t="n">
        <v>28829.15</v>
      </c>
      <c r="P4674" s="3" t="n">
        <v>19230.12</v>
      </c>
      <c r="Q4674" s="3" t="n">
        <v>9599.03</v>
      </c>
      <c r="R4674" s="3" t="n">
        <v>0.333</v>
      </c>
      <c r="S4674" s="3" t="n">
        <v>0.0938</v>
      </c>
      <c r="T4674" s="3" t="n">
        <v>0.0067</v>
      </c>
    </row>
    <row r="4675" customFormat="false" ht="15" hidden="false" customHeight="true" outlineLevel="0" collapsed="false">
      <c r="A4675" s="3" t="s">
        <v>5845</v>
      </c>
      <c r="B4675" s="3" t="s">
        <v>4066</v>
      </c>
      <c r="C4675" s="3" t="s">
        <v>53</v>
      </c>
      <c r="D4675" s="3" t="s">
        <v>103</v>
      </c>
      <c r="E4675" s="3" t="s">
        <v>24</v>
      </c>
      <c r="F4675" s="3" t="s">
        <v>62</v>
      </c>
      <c r="G4675" s="3" t="s">
        <v>34</v>
      </c>
      <c r="H4675" s="3" t="s">
        <v>27</v>
      </c>
      <c r="I4675" s="3" t="s">
        <v>94</v>
      </c>
      <c r="J4675" s="3" t="n">
        <v>29</v>
      </c>
      <c r="K4675" s="3" t="n">
        <v>10384.42</v>
      </c>
      <c r="L4675" s="3" t="n">
        <v>301148.18</v>
      </c>
      <c r="M4675" s="3" t="n">
        <v>0.1042</v>
      </c>
      <c r="N4675" s="3" t="n">
        <v>31379.64</v>
      </c>
      <c r="O4675" s="3" t="n">
        <v>269768.54</v>
      </c>
      <c r="P4675" s="3" t="n">
        <v>186711.87</v>
      </c>
      <c r="Q4675" s="3" t="n">
        <v>83056.67</v>
      </c>
      <c r="R4675" s="3" t="n">
        <v>0.3079</v>
      </c>
      <c r="S4675" s="3" t="n">
        <v>0.1002</v>
      </c>
      <c r="T4675" s="3" t="n">
        <v>0.004</v>
      </c>
    </row>
    <row r="4676" customFormat="false" ht="15" hidden="false" customHeight="true" outlineLevel="0" collapsed="false">
      <c r="A4676" s="3" t="s">
        <v>5846</v>
      </c>
      <c r="B4676" s="3" t="s">
        <v>4389</v>
      </c>
      <c r="C4676" s="3" t="s">
        <v>53</v>
      </c>
      <c r="D4676" s="3" t="s">
        <v>69</v>
      </c>
      <c r="E4676" s="3" t="s">
        <v>39</v>
      </c>
      <c r="F4676" s="3" t="s">
        <v>70</v>
      </c>
      <c r="G4676" s="3" t="s">
        <v>76</v>
      </c>
      <c r="H4676" s="3" t="s">
        <v>77</v>
      </c>
      <c r="I4676" s="3" t="s">
        <v>85</v>
      </c>
      <c r="J4676" s="3" t="n">
        <v>29</v>
      </c>
      <c r="K4676" s="3" t="n">
        <v>5926.11</v>
      </c>
      <c r="L4676" s="3" t="n">
        <v>171857.19</v>
      </c>
      <c r="M4676" s="3" t="n">
        <v>0.0744</v>
      </c>
      <c r="N4676" s="3" t="n">
        <v>12786.17</v>
      </c>
      <c r="O4676" s="3" t="n">
        <v>159071.02</v>
      </c>
      <c r="P4676" s="3" t="n">
        <v>116862.89</v>
      </c>
      <c r="Q4676" s="3" t="n">
        <v>42208.13</v>
      </c>
      <c r="R4676" s="3" t="n">
        <v>0.2653</v>
      </c>
      <c r="S4676" s="3" t="n">
        <v>0.0717</v>
      </c>
      <c r="T4676" s="3" t="n">
        <v>0.0027</v>
      </c>
    </row>
    <row r="4677" customFormat="false" ht="15" hidden="false" customHeight="true" outlineLevel="0" collapsed="false">
      <c r="A4677" s="3" t="s">
        <v>5847</v>
      </c>
      <c r="B4677" s="3" t="s">
        <v>302</v>
      </c>
      <c r="C4677" s="3" t="s">
        <v>46</v>
      </c>
      <c r="D4677" s="3" t="s">
        <v>61</v>
      </c>
      <c r="E4677" s="3" t="s">
        <v>33</v>
      </c>
      <c r="F4677" s="3" t="s">
        <v>62</v>
      </c>
      <c r="G4677" s="3" t="s">
        <v>84</v>
      </c>
      <c r="H4677" s="3" t="s">
        <v>64</v>
      </c>
      <c r="I4677" s="3" t="s">
        <v>108</v>
      </c>
      <c r="J4677" s="3" t="n">
        <v>17</v>
      </c>
      <c r="K4677" s="3" t="n">
        <v>3550.8</v>
      </c>
      <c r="L4677" s="3" t="n">
        <v>60363.6</v>
      </c>
      <c r="M4677" s="3" t="n">
        <v>0.0587</v>
      </c>
      <c r="N4677" s="3" t="n">
        <v>3543.34</v>
      </c>
      <c r="O4677" s="3" t="n">
        <v>56820.26</v>
      </c>
      <c r="P4677" s="3" t="n">
        <v>35010.89</v>
      </c>
      <c r="Q4677" s="3" t="n">
        <v>21809.37</v>
      </c>
      <c r="R4677" s="3" t="n">
        <v>0.3838</v>
      </c>
      <c r="S4677" s="3" t="n">
        <v>0.05</v>
      </c>
      <c r="T4677" s="3" t="n">
        <v>0.0087</v>
      </c>
    </row>
    <row r="4678" customFormat="false" ht="15" hidden="false" customHeight="true" outlineLevel="0" collapsed="false">
      <c r="A4678" s="3" t="s">
        <v>5848</v>
      </c>
      <c r="B4678" s="3" t="s">
        <v>2330</v>
      </c>
      <c r="C4678" s="3" t="s">
        <v>37</v>
      </c>
      <c r="D4678" s="3" t="s">
        <v>103</v>
      </c>
      <c r="E4678" s="3" t="s">
        <v>24</v>
      </c>
      <c r="F4678" s="3" t="s">
        <v>62</v>
      </c>
      <c r="G4678" s="3" t="s">
        <v>104</v>
      </c>
      <c r="H4678" s="3" t="s">
        <v>42</v>
      </c>
      <c r="I4678" s="3" t="s">
        <v>134</v>
      </c>
      <c r="J4678" s="3" t="n">
        <v>32</v>
      </c>
      <c r="K4678" s="3" t="n">
        <v>2038.67</v>
      </c>
      <c r="L4678" s="3" t="n">
        <v>65237.44</v>
      </c>
      <c r="M4678" s="3" t="n">
        <v>0.0947</v>
      </c>
      <c r="N4678" s="3" t="n">
        <v>6177.99</v>
      </c>
      <c r="O4678" s="3" t="n">
        <v>59059.45</v>
      </c>
      <c r="P4678" s="3" t="n">
        <v>35880.59</v>
      </c>
      <c r="Q4678" s="3" t="n">
        <v>23178.86</v>
      </c>
      <c r="R4678" s="3" t="n">
        <v>0.3925</v>
      </c>
      <c r="S4678" s="3" t="n">
        <v>0.1017</v>
      </c>
      <c r="T4678" s="3" t="n">
        <v>-0.007</v>
      </c>
    </row>
    <row r="4679" customFormat="false" ht="15" hidden="false" customHeight="true" outlineLevel="0" collapsed="false">
      <c r="A4679" s="3" t="s">
        <v>5849</v>
      </c>
      <c r="B4679" s="3" t="s">
        <v>1799</v>
      </c>
      <c r="C4679" s="3" t="s">
        <v>120</v>
      </c>
      <c r="D4679" s="3" t="s">
        <v>103</v>
      </c>
      <c r="E4679" s="3" t="s">
        <v>24</v>
      </c>
      <c r="F4679" s="3" t="s">
        <v>62</v>
      </c>
      <c r="G4679" s="3" t="s">
        <v>100</v>
      </c>
      <c r="H4679" s="3" t="s">
        <v>42</v>
      </c>
      <c r="I4679" s="3" t="s">
        <v>72</v>
      </c>
      <c r="J4679" s="3" t="n">
        <v>14</v>
      </c>
      <c r="K4679" s="3" t="n">
        <v>2315.75</v>
      </c>
      <c r="L4679" s="3" t="n">
        <v>32420.5</v>
      </c>
      <c r="M4679" s="3" t="n">
        <v>0.0759</v>
      </c>
      <c r="N4679" s="3" t="n">
        <v>2460.72</v>
      </c>
      <c r="O4679" s="3" t="n">
        <v>29959.78</v>
      </c>
      <c r="P4679" s="3" t="n">
        <v>17831.28</v>
      </c>
      <c r="Q4679" s="3" t="n">
        <v>12128.5</v>
      </c>
      <c r="R4679" s="3" t="n">
        <v>0.4048</v>
      </c>
      <c r="S4679" s="3" t="n">
        <v>0.0759</v>
      </c>
      <c r="T4679" s="3" t="n">
        <v>0</v>
      </c>
    </row>
    <row r="4680" customFormat="false" ht="15" hidden="false" customHeight="true" outlineLevel="0" collapsed="false">
      <c r="A4680" s="3" t="s">
        <v>5850</v>
      </c>
      <c r="B4680" s="3" t="s">
        <v>3764</v>
      </c>
      <c r="C4680" s="3" t="s">
        <v>22</v>
      </c>
      <c r="D4680" s="3" t="s">
        <v>107</v>
      </c>
      <c r="E4680" s="3" t="s">
        <v>33</v>
      </c>
      <c r="F4680" s="3" t="s">
        <v>70</v>
      </c>
      <c r="G4680" s="3" t="s">
        <v>41</v>
      </c>
      <c r="H4680" s="3" t="s">
        <v>27</v>
      </c>
      <c r="I4680" s="3" t="s">
        <v>94</v>
      </c>
      <c r="J4680" s="3" t="n">
        <v>48</v>
      </c>
      <c r="K4680" s="3" t="n">
        <v>26068.82</v>
      </c>
      <c r="L4680" s="3" t="n">
        <v>1251303.36</v>
      </c>
      <c r="M4680" s="3" t="n">
        <v>0.1013</v>
      </c>
      <c r="N4680" s="3" t="n">
        <v>126757.03</v>
      </c>
      <c r="O4680" s="3" t="n">
        <v>1124546.33</v>
      </c>
      <c r="P4680" s="3" t="n">
        <v>775808.08</v>
      </c>
      <c r="Q4680" s="3" t="n">
        <v>348738.25</v>
      </c>
      <c r="R4680" s="3" t="n">
        <v>0.3101</v>
      </c>
      <c r="S4680" s="3" t="n">
        <v>0.1055</v>
      </c>
      <c r="T4680" s="3" t="n">
        <v>-0.0042</v>
      </c>
    </row>
    <row r="4681" customFormat="false" ht="15" hidden="false" customHeight="true" outlineLevel="0" collapsed="false">
      <c r="A4681" s="3" t="s">
        <v>5851</v>
      </c>
      <c r="B4681" s="3" t="s">
        <v>413</v>
      </c>
      <c r="C4681" s="3" t="s">
        <v>68</v>
      </c>
      <c r="D4681" s="3" t="s">
        <v>75</v>
      </c>
      <c r="E4681" s="3" t="s">
        <v>39</v>
      </c>
      <c r="F4681" s="3" t="s">
        <v>25</v>
      </c>
      <c r="G4681" s="3" t="s">
        <v>84</v>
      </c>
      <c r="H4681" s="3" t="s">
        <v>56</v>
      </c>
      <c r="I4681" s="3" t="s">
        <v>57</v>
      </c>
      <c r="J4681" s="3" t="n">
        <v>36</v>
      </c>
      <c r="K4681" s="3" t="n">
        <v>9699.92</v>
      </c>
      <c r="L4681" s="3" t="n">
        <v>349197.12</v>
      </c>
      <c r="M4681" s="3" t="n">
        <v>0.1851</v>
      </c>
      <c r="N4681" s="3" t="n">
        <v>64636.39</v>
      </c>
      <c r="O4681" s="3" t="n">
        <v>284560.73</v>
      </c>
      <c r="P4681" s="3" t="n">
        <v>209518.27</v>
      </c>
      <c r="Q4681" s="3" t="n">
        <v>75042.46</v>
      </c>
      <c r="R4681" s="3" t="n">
        <v>0.2637</v>
      </c>
      <c r="S4681" s="3" t="n">
        <v>0.1751</v>
      </c>
      <c r="T4681" s="3" t="n">
        <v>0.01</v>
      </c>
    </row>
    <row r="4682" customFormat="false" ht="15" hidden="false" customHeight="true" outlineLevel="0" collapsed="false">
      <c r="A4682" s="3" t="s">
        <v>5852</v>
      </c>
      <c r="B4682" s="3" t="s">
        <v>1386</v>
      </c>
      <c r="C4682" s="3" t="s">
        <v>53</v>
      </c>
      <c r="D4682" s="3" t="s">
        <v>103</v>
      </c>
      <c r="E4682" s="3" t="s">
        <v>24</v>
      </c>
      <c r="F4682" s="3" t="s">
        <v>62</v>
      </c>
      <c r="G4682" s="3" t="s">
        <v>116</v>
      </c>
      <c r="H4682" s="3" t="s">
        <v>64</v>
      </c>
      <c r="I4682" s="3" t="s">
        <v>90</v>
      </c>
      <c r="J4682" s="3" t="n">
        <v>28</v>
      </c>
      <c r="K4682" s="3" t="n">
        <v>11928.94</v>
      </c>
      <c r="L4682" s="3" t="n">
        <v>334010.32</v>
      </c>
      <c r="M4682" s="3" t="n">
        <v>0.0925</v>
      </c>
      <c r="N4682" s="3" t="n">
        <v>30895.95</v>
      </c>
      <c r="O4682" s="3" t="n">
        <v>303114.37</v>
      </c>
      <c r="P4682" s="3" t="n">
        <v>193725.99</v>
      </c>
      <c r="Q4682" s="3" t="n">
        <v>109388.38</v>
      </c>
      <c r="R4682" s="3" t="n">
        <v>0.3609</v>
      </c>
      <c r="S4682" s="3" t="n">
        <v>0.08</v>
      </c>
      <c r="T4682" s="3" t="n">
        <v>0.0125</v>
      </c>
    </row>
    <row r="4683" customFormat="false" ht="15" hidden="false" customHeight="true" outlineLevel="0" collapsed="false">
      <c r="A4683" s="3" t="s">
        <v>5853</v>
      </c>
      <c r="B4683" s="3" t="s">
        <v>781</v>
      </c>
      <c r="C4683" s="3" t="s">
        <v>31</v>
      </c>
      <c r="D4683" s="3" t="s">
        <v>32</v>
      </c>
      <c r="E4683" s="3" t="s">
        <v>33</v>
      </c>
      <c r="F4683" s="3" t="s">
        <v>25</v>
      </c>
      <c r="G4683" s="3" t="s">
        <v>63</v>
      </c>
      <c r="H4683" s="3" t="s">
        <v>77</v>
      </c>
      <c r="I4683" s="3" t="s">
        <v>131</v>
      </c>
      <c r="J4683" s="3" t="n">
        <v>44</v>
      </c>
      <c r="K4683" s="3" t="n">
        <v>3172.63</v>
      </c>
      <c r="L4683" s="3" t="n">
        <v>139595.72</v>
      </c>
      <c r="M4683" s="3" t="n">
        <v>0.1195</v>
      </c>
      <c r="N4683" s="3" t="n">
        <v>16681.69</v>
      </c>
      <c r="O4683" s="3" t="n">
        <v>122914.03</v>
      </c>
      <c r="P4683" s="3" t="n">
        <v>94925.09</v>
      </c>
      <c r="Q4683" s="3" t="n">
        <v>27988.94</v>
      </c>
      <c r="R4683" s="3" t="n">
        <v>0.2277</v>
      </c>
      <c r="S4683" s="3" t="n">
        <v>0.1032</v>
      </c>
      <c r="T4683" s="3" t="n">
        <v>0.0163</v>
      </c>
    </row>
    <row r="4684" customFormat="false" ht="15" hidden="false" customHeight="true" outlineLevel="0" collapsed="false">
      <c r="A4684" s="3" t="s">
        <v>5854</v>
      </c>
      <c r="B4684" s="3" t="s">
        <v>183</v>
      </c>
      <c r="C4684" s="3" t="s">
        <v>120</v>
      </c>
      <c r="D4684" s="3" t="s">
        <v>69</v>
      </c>
      <c r="E4684" s="3" t="s">
        <v>39</v>
      </c>
      <c r="F4684" s="3" t="s">
        <v>70</v>
      </c>
      <c r="G4684" s="3" t="s">
        <v>55</v>
      </c>
      <c r="H4684" s="3" t="s">
        <v>27</v>
      </c>
      <c r="I4684" s="3" t="s">
        <v>28</v>
      </c>
      <c r="J4684" s="3" t="n">
        <v>5</v>
      </c>
      <c r="K4684" s="3" t="n">
        <v>33240.55</v>
      </c>
      <c r="L4684" s="3" t="n">
        <v>166202.75</v>
      </c>
      <c r="M4684" s="3" t="n">
        <v>0.0659</v>
      </c>
      <c r="N4684" s="3" t="n">
        <v>10952.76</v>
      </c>
      <c r="O4684" s="3" t="n">
        <v>155249.99</v>
      </c>
      <c r="P4684" s="3" t="n">
        <v>103045.71</v>
      </c>
      <c r="Q4684" s="3" t="n">
        <v>52204.28</v>
      </c>
      <c r="R4684" s="3" t="n">
        <v>0.3363</v>
      </c>
      <c r="S4684" s="3" t="n">
        <v>0.0725</v>
      </c>
      <c r="T4684" s="3" t="n">
        <v>-0.0066</v>
      </c>
    </row>
    <row r="4685" customFormat="false" ht="15" hidden="false" customHeight="true" outlineLevel="0" collapsed="false">
      <c r="A4685" s="3" t="s">
        <v>5855</v>
      </c>
      <c r="B4685" s="3" t="s">
        <v>326</v>
      </c>
      <c r="C4685" s="3" t="s">
        <v>113</v>
      </c>
      <c r="D4685" s="3" t="s">
        <v>38</v>
      </c>
      <c r="E4685" s="3" t="s">
        <v>39</v>
      </c>
      <c r="F4685" s="3" t="s">
        <v>40</v>
      </c>
      <c r="G4685" s="3" t="s">
        <v>26</v>
      </c>
      <c r="H4685" s="3" t="s">
        <v>42</v>
      </c>
      <c r="I4685" s="3" t="s">
        <v>134</v>
      </c>
      <c r="J4685" s="3" t="n">
        <v>39</v>
      </c>
      <c r="K4685" s="3" t="n">
        <v>1270.77</v>
      </c>
      <c r="L4685" s="3" t="n">
        <v>49560.03</v>
      </c>
      <c r="M4685" s="3" t="n">
        <v>0.0422</v>
      </c>
      <c r="N4685" s="3" t="n">
        <v>2091.43</v>
      </c>
      <c r="O4685" s="3" t="n">
        <v>47468.6</v>
      </c>
      <c r="P4685" s="3" t="n">
        <v>27258.02</v>
      </c>
      <c r="Q4685" s="3" t="n">
        <v>20210.58</v>
      </c>
      <c r="R4685" s="3" t="n">
        <v>0.4258</v>
      </c>
      <c r="S4685" s="3" t="n">
        <v>0.043</v>
      </c>
      <c r="T4685" s="3" t="n">
        <v>-0.0008</v>
      </c>
    </row>
    <row r="4686" customFormat="false" ht="15" hidden="false" customHeight="true" outlineLevel="0" collapsed="false">
      <c r="A4686" s="3" t="s">
        <v>5856</v>
      </c>
      <c r="B4686" s="3" t="s">
        <v>2645</v>
      </c>
      <c r="C4686" s="3" t="s">
        <v>156</v>
      </c>
      <c r="D4686" s="3" t="s">
        <v>69</v>
      </c>
      <c r="E4686" s="3" t="s">
        <v>39</v>
      </c>
      <c r="F4686" s="3" t="s">
        <v>70</v>
      </c>
      <c r="G4686" s="3" t="s">
        <v>104</v>
      </c>
      <c r="H4686" s="3" t="s">
        <v>42</v>
      </c>
      <c r="I4686" s="3" t="s">
        <v>72</v>
      </c>
      <c r="J4686" s="3" t="n">
        <v>32</v>
      </c>
      <c r="K4686" s="3" t="n">
        <v>1306.28</v>
      </c>
      <c r="L4686" s="3" t="n">
        <v>41800.96</v>
      </c>
      <c r="M4686" s="3" t="n">
        <v>0.12</v>
      </c>
      <c r="N4686" s="3" t="n">
        <v>5016.12</v>
      </c>
      <c r="O4686" s="3" t="n">
        <v>36784.84</v>
      </c>
      <c r="P4686" s="3" t="n">
        <v>22990.53</v>
      </c>
      <c r="Q4686" s="3" t="n">
        <v>13794.31</v>
      </c>
      <c r="R4686" s="3" t="n">
        <v>0.375</v>
      </c>
      <c r="S4686" s="3" t="n">
        <v>0.1239</v>
      </c>
      <c r="T4686" s="3" t="n">
        <v>-0.0039</v>
      </c>
    </row>
    <row r="4687" customFormat="false" ht="15" hidden="false" customHeight="true" outlineLevel="0" collapsed="false">
      <c r="A4687" s="3" t="s">
        <v>5857</v>
      </c>
      <c r="B4687" s="3" t="s">
        <v>306</v>
      </c>
      <c r="C4687" s="3" t="s">
        <v>60</v>
      </c>
      <c r="D4687" s="3" t="s">
        <v>69</v>
      </c>
      <c r="E4687" s="3" t="s">
        <v>39</v>
      </c>
      <c r="F4687" s="3" t="s">
        <v>70</v>
      </c>
      <c r="G4687" s="3" t="s">
        <v>71</v>
      </c>
      <c r="H4687" s="3" t="s">
        <v>77</v>
      </c>
      <c r="I4687" s="3" t="s">
        <v>85</v>
      </c>
      <c r="J4687" s="3" t="n">
        <v>2</v>
      </c>
      <c r="K4687" s="3" t="n">
        <v>4330.23</v>
      </c>
      <c r="L4687" s="3" t="n">
        <v>8660.46</v>
      </c>
      <c r="M4687" s="3" t="n">
        <v>0.0507</v>
      </c>
      <c r="N4687" s="3" t="n">
        <v>439.09</v>
      </c>
      <c r="O4687" s="3" t="n">
        <v>8221.37</v>
      </c>
      <c r="P4687" s="3" t="n">
        <v>5889.11</v>
      </c>
      <c r="Q4687" s="3" t="n">
        <v>2332.26</v>
      </c>
      <c r="R4687" s="3" t="n">
        <v>0.2837</v>
      </c>
      <c r="S4687" s="3" t="n">
        <v>0.0539</v>
      </c>
      <c r="T4687" s="3" t="n">
        <v>-0.0032</v>
      </c>
    </row>
    <row r="4688" customFormat="false" ht="15" hidden="false" customHeight="true" outlineLevel="0" collapsed="false">
      <c r="A4688" s="3" t="s">
        <v>5858</v>
      </c>
      <c r="B4688" s="3" t="s">
        <v>3990</v>
      </c>
      <c r="C4688" s="3" t="s">
        <v>113</v>
      </c>
      <c r="D4688" s="3" t="s">
        <v>32</v>
      </c>
      <c r="E4688" s="3" t="s">
        <v>33</v>
      </c>
      <c r="F4688" s="3" t="s">
        <v>25</v>
      </c>
      <c r="G4688" s="3" t="s">
        <v>100</v>
      </c>
      <c r="H4688" s="3" t="s">
        <v>42</v>
      </c>
      <c r="I4688" s="3" t="s">
        <v>134</v>
      </c>
      <c r="J4688" s="3" t="n">
        <v>31</v>
      </c>
      <c r="K4688" s="3" t="n">
        <v>953.57</v>
      </c>
      <c r="L4688" s="3" t="n">
        <v>29560.67</v>
      </c>
      <c r="M4688" s="3" t="n">
        <v>0.0849</v>
      </c>
      <c r="N4688" s="3" t="n">
        <v>2509.7</v>
      </c>
      <c r="O4688" s="3" t="n">
        <v>27050.97</v>
      </c>
      <c r="P4688" s="3" t="n">
        <v>16258.37</v>
      </c>
      <c r="Q4688" s="3" t="n">
        <v>10792.6</v>
      </c>
      <c r="R4688" s="3" t="n">
        <v>0.399</v>
      </c>
      <c r="S4688" s="3" t="n">
        <v>0.089</v>
      </c>
      <c r="T4688" s="3" t="n">
        <v>-0.0041</v>
      </c>
    </row>
    <row r="4689" customFormat="false" ht="15" hidden="false" customHeight="true" outlineLevel="0" collapsed="false">
      <c r="A4689" s="3" t="s">
        <v>5859</v>
      </c>
      <c r="B4689" s="3" t="s">
        <v>625</v>
      </c>
      <c r="C4689" s="3" t="s">
        <v>53</v>
      </c>
      <c r="D4689" s="3" t="s">
        <v>83</v>
      </c>
      <c r="E4689" s="3" t="s">
        <v>48</v>
      </c>
      <c r="F4689" s="3" t="s">
        <v>62</v>
      </c>
      <c r="G4689" s="3" t="s">
        <v>76</v>
      </c>
      <c r="H4689" s="3" t="s">
        <v>42</v>
      </c>
      <c r="I4689" s="3" t="s">
        <v>43</v>
      </c>
      <c r="J4689" s="3" t="n">
        <v>18</v>
      </c>
      <c r="K4689" s="3" t="n">
        <v>2010.6</v>
      </c>
      <c r="L4689" s="3" t="n">
        <v>36190.8</v>
      </c>
      <c r="M4689" s="3" t="n">
        <v>0.0766</v>
      </c>
      <c r="N4689" s="3" t="n">
        <v>2772.22</v>
      </c>
      <c r="O4689" s="3" t="n">
        <v>33418.58</v>
      </c>
      <c r="P4689" s="3" t="n">
        <v>19904.94</v>
      </c>
      <c r="Q4689" s="3" t="n">
        <v>13513.64</v>
      </c>
      <c r="R4689" s="3" t="n">
        <v>0.4044</v>
      </c>
      <c r="S4689" s="3" t="n">
        <v>0.0647</v>
      </c>
      <c r="T4689" s="3" t="n">
        <v>0.0119</v>
      </c>
    </row>
    <row r="4690" customFormat="false" ht="15" hidden="false" customHeight="true" outlineLevel="0" collapsed="false">
      <c r="A4690" s="3" t="s">
        <v>5860</v>
      </c>
      <c r="B4690" s="3" t="s">
        <v>1293</v>
      </c>
      <c r="C4690" s="3" t="s">
        <v>156</v>
      </c>
      <c r="D4690" s="3" t="s">
        <v>103</v>
      </c>
      <c r="E4690" s="3" t="s">
        <v>24</v>
      </c>
      <c r="F4690" s="3" t="s">
        <v>62</v>
      </c>
      <c r="G4690" s="3" t="s">
        <v>49</v>
      </c>
      <c r="H4690" s="3" t="s">
        <v>27</v>
      </c>
      <c r="I4690" s="3" t="s">
        <v>173</v>
      </c>
      <c r="J4690" s="3" t="n">
        <v>37</v>
      </c>
      <c r="K4690" s="3" t="n">
        <v>34703.3</v>
      </c>
      <c r="L4690" s="3" t="n">
        <v>1284022.1</v>
      </c>
      <c r="M4690" s="3" t="n">
        <v>0.063</v>
      </c>
      <c r="N4690" s="3" t="n">
        <v>80893.39</v>
      </c>
      <c r="O4690" s="3" t="n">
        <v>1203128.71</v>
      </c>
      <c r="P4690" s="3" t="n">
        <v>796093.7</v>
      </c>
      <c r="Q4690" s="3" t="n">
        <v>407035.01</v>
      </c>
      <c r="R4690" s="3" t="n">
        <v>0.3383</v>
      </c>
      <c r="S4690" s="3" t="n">
        <v>0.0568</v>
      </c>
      <c r="T4690" s="3" t="n">
        <v>0.0062</v>
      </c>
    </row>
    <row r="4691" customFormat="false" ht="15" hidden="false" customHeight="true" outlineLevel="0" collapsed="false">
      <c r="A4691" s="3" t="s">
        <v>5861</v>
      </c>
      <c r="B4691" s="3" t="s">
        <v>382</v>
      </c>
      <c r="C4691" s="3" t="s">
        <v>93</v>
      </c>
      <c r="D4691" s="3" t="s">
        <v>69</v>
      </c>
      <c r="E4691" s="3" t="s">
        <v>39</v>
      </c>
      <c r="F4691" s="3" t="s">
        <v>70</v>
      </c>
      <c r="G4691" s="3" t="s">
        <v>55</v>
      </c>
      <c r="H4691" s="3" t="s">
        <v>77</v>
      </c>
      <c r="I4691" s="3" t="s">
        <v>78</v>
      </c>
      <c r="J4691" s="3" t="n">
        <v>9</v>
      </c>
      <c r="K4691" s="3" t="n">
        <v>4251.53</v>
      </c>
      <c r="L4691" s="3" t="n">
        <v>38263.77</v>
      </c>
      <c r="M4691" s="3" t="n">
        <v>0.0312</v>
      </c>
      <c r="N4691" s="3" t="n">
        <v>1193.83</v>
      </c>
      <c r="O4691" s="3" t="n">
        <v>37069.94</v>
      </c>
      <c r="P4691" s="3" t="n">
        <v>26019.36</v>
      </c>
      <c r="Q4691" s="3" t="n">
        <v>11050.58</v>
      </c>
      <c r="R4691" s="3" t="n">
        <v>0.2981</v>
      </c>
      <c r="S4691" s="3" t="n">
        <v>0.0342</v>
      </c>
      <c r="T4691" s="3" t="n">
        <v>-0.003</v>
      </c>
    </row>
    <row r="4692" customFormat="false" ht="15" hidden="false" customHeight="true" outlineLevel="0" collapsed="false">
      <c r="A4692" s="3" t="s">
        <v>5862</v>
      </c>
      <c r="B4692" s="3" t="s">
        <v>2919</v>
      </c>
      <c r="C4692" s="3" t="s">
        <v>156</v>
      </c>
      <c r="D4692" s="3" t="s">
        <v>97</v>
      </c>
      <c r="E4692" s="3" t="s">
        <v>48</v>
      </c>
      <c r="F4692" s="3" t="s">
        <v>40</v>
      </c>
      <c r="G4692" s="3" t="s">
        <v>49</v>
      </c>
      <c r="H4692" s="3" t="s">
        <v>27</v>
      </c>
      <c r="I4692" s="3" t="s">
        <v>94</v>
      </c>
      <c r="J4692" s="3" t="n">
        <v>43</v>
      </c>
      <c r="K4692" s="3" t="n">
        <v>23253.95</v>
      </c>
      <c r="L4692" s="3" t="n">
        <v>999919.85</v>
      </c>
      <c r="M4692" s="3" t="n">
        <v>0.0785</v>
      </c>
      <c r="N4692" s="3" t="n">
        <v>78493.71</v>
      </c>
      <c r="O4692" s="3" t="n">
        <v>921426.14</v>
      </c>
      <c r="P4692" s="3" t="n">
        <v>619950.31</v>
      </c>
      <c r="Q4692" s="3" t="n">
        <v>301475.83</v>
      </c>
      <c r="R4692" s="3" t="n">
        <v>0.3272</v>
      </c>
      <c r="S4692" s="3" t="n">
        <v>0.0827</v>
      </c>
      <c r="T4692" s="3" t="n">
        <v>-0.0042</v>
      </c>
    </row>
    <row r="4693" customFormat="false" ht="15" hidden="false" customHeight="true" outlineLevel="0" collapsed="false">
      <c r="A4693" s="3" t="s">
        <v>5863</v>
      </c>
      <c r="B4693" s="3" t="s">
        <v>3757</v>
      </c>
      <c r="C4693" s="3" t="s">
        <v>31</v>
      </c>
      <c r="D4693" s="3" t="s">
        <v>103</v>
      </c>
      <c r="E4693" s="3" t="s">
        <v>24</v>
      </c>
      <c r="F4693" s="3" t="s">
        <v>62</v>
      </c>
      <c r="G4693" s="3" t="s">
        <v>100</v>
      </c>
      <c r="H4693" s="3" t="s">
        <v>42</v>
      </c>
      <c r="I4693" s="3" t="s">
        <v>43</v>
      </c>
      <c r="J4693" s="3" t="n">
        <v>39</v>
      </c>
      <c r="K4693" s="3" t="n">
        <v>845.51</v>
      </c>
      <c r="L4693" s="3" t="n">
        <v>32974.89</v>
      </c>
      <c r="M4693" s="3" t="n">
        <v>0.0677</v>
      </c>
      <c r="N4693" s="3" t="n">
        <v>2232.4</v>
      </c>
      <c r="O4693" s="3" t="n">
        <v>30742.49</v>
      </c>
      <c r="P4693" s="3" t="n">
        <v>18136.19</v>
      </c>
      <c r="Q4693" s="3" t="n">
        <v>12606.3</v>
      </c>
      <c r="R4693" s="3" t="n">
        <v>0.4101</v>
      </c>
      <c r="S4693" s="3" t="n">
        <v>0.0651</v>
      </c>
      <c r="T4693" s="3" t="n">
        <v>0.0026</v>
      </c>
    </row>
    <row r="4694" customFormat="false" ht="15" hidden="false" customHeight="true" outlineLevel="0" collapsed="false">
      <c r="A4694" s="3" t="s">
        <v>5864</v>
      </c>
      <c r="B4694" s="3" t="s">
        <v>410</v>
      </c>
      <c r="C4694" s="3" t="s">
        <v>22</v>
      </c>
      <c r="D4694" s="3" t="s">
        <v>97</v>
      </c>
      <c r="E4694" s="3" t="s">
        <v>48</v>
      </c>
      <c r="F4694" s="3" t="s">
        <v>40</v>
      </c>
      <c r="G4694" s="3" t="s">
        <v>49</v>
      </c>
      <c r="H4694" s="3" t="s">
        <v>42</v>
      </c>
      <c r="I4694" s="3" t="s">
        <v>134</v>
      </c>
      <c r="J4694" s="3" t="n">
        <v>46</v>
      </c>
      <c r="K4694" s="3" t="n">
        <v>2024.02</v>
      </c>
      <c r="L4694" s="3" t="n">
        <v>93104.92</v>
      </c>
      <c r="M4694" s="3" t="n">
        <v>0.0523</v>
      </c>
      <c r="N4694" s="3" t="n">
        <v>4869.39</v>
      </c>
      <c r="O4694" s="3" t="n">
        <v>88235.53</v>
      </c>
      <c r="P4694" s="3" t="n">
        <v>51207.71</v>
      </c>
      <c r="Q4694" s="3" t="n">
        <v>37027.82</v>
      </c>
      <c r="R4694" s="3" t="n">
        <v>0.4196</v>
      </c>
      <c r="S4694" s="3" t="n">
        <v>0.0548</v>
      </c>
      <c r="T4694" s="3" t="n">
        <v>-0.0025</v>
      </c>
    </row>
    <row r="4695" customFormat="false" ht="15" hidden="false" customHeight="true" outlineLevel="0" collapsed="false">
      <c r="A4695" s="3" t="s">
        <v>5865</v>
      </c>
      <c r="B4695" s="3" t="s">
        <v>1338</v>
      </c>
      <c r="C4695" s="3" t="s">
        <v>46</v>
      </c>
      <c r="D4695" s="3" t="s">
        <v>83</v>
      </c>
      <c r="E4695" s="3" t="s">
        <v>48</v>
      </c>
      <c r="F4695" s="3" t="s">
        <v>62</v>
      </c>
      <c r="G4695" s="3" t="s">
        <v>41</v>
      </c>
      <c r="H4695" s="3" t="s">
        <v>42</v>
      </c>
      <c r="I4695" s="3" t="s">
        <v>134</v>
      </c>
      <c r="J4695" s="3" t="n">
        <v>21</v>
      </c>
      <c r="K4695" s="3" t="n">
        <v>617.66</v>
      </c>
      <c r="L4695" s="3" t="n">
        <v>12970.86</v>
      </c>
      <c r="M4695" s="3" t="n">
        <v>0.1001</v>
      </c>
      <c r="N4695" s="3" t="n">
        <v>1298.38</v>
      </c>
      <c r="O4695" s="3" t="n">
        <v>11672.48</v>
      </c>
      <c r="P4695" s="3" t="n">
        <v>7133.97</v>
      </c>
      <c r="Q4695" s="3" t="n">
        <v>4538.51</v>
      </c>
      <c r="R4695" s="3" t="n">
        <v>0.3888</v>
      </c>
      <c r="S4695" s="3" t="n">
        <v>0.1072</v>
      </c>
      <c r="T4695" s="3" t="n">
        <v>-0.0071</v>
      </c>
    </row>
    <row r="4696" customFormat="false" ht="15" hidden="false" customHeight="true" outlineLevel="0" collapsed="false">
      <c r="A4696" s="3" t="s">
        <v>5866</v>
      </c>
      <c r="B4696" s="3" t="s">
        <v>2846</v>
      </c>
      <c r="C4696" s="3" t="s">
        <v>60</v>
      </c>
      <c r="D4696" s="3" t="s">
        <v>103</v>
      </c>
      <c r="E4696" s="3" t="s">
        <v>24</v>
      </c>
      <c r="F4696" s="3" t="s">
        <v>62</v>
      </c>
      <c r="G4696" s="3" t="s">
        <v>84</v>
      </c>
      <c r="H4696" s="3" t="s">
        <v>42</v>
      </c>
      <c r="I4696" s="3" t="s">
        <v>134</v>
      </c>
      <c r="J4696" s="3" t="n">
        <v>18</v>
      </c>
      <c r="K4696" s="3" t="n">
        <v>3291.48</v>
      </c>
      <c r="L4696" s="3" t="n">
        <v>59246.64</v>
      </c>
      <c r="M4696" s="3" t="n">
        <v>0.0305</v>
      </c>
      <c r="N4696" s="3" t="n">
        <v>1807.02</v>
      </c>
      <c r="O4696" s="3" t="n">
        <v>57439.62</v>
      </c>
      <c r="P4696" s="3" t="n">
        <v>32585.65</v>
      </c>
      <c r="Q4696" s="3" t="n">
        <v>24853.97</v>
      </c>
      <c r="R4696" s="3" t="n">
        <v>0.4327</v>
      </c>
      <c r="S4696" s="3" t="n">
        <v>0.0248</v>
      </c>
      <c r="T4696" s="3" t="n">
        <v>0.0057</v>
      </c>
    </row>
    <row r="4697" customFormat="false" ht="15" hidden="false" customHeight="true" outlineLevel="0" collapsed="false">
      <c r="A4697" s="3" t="s">
        <v>5867</v>
      </c>
      <c r="B4697" s="3" t="s">
        <v>556</v>
      </c>
      <c r="C4697" s="3" t="s">
        <v>53</v>
      </c>
      <c r="D4697" s="3" t="s">
        <v>97</v>
      </c>
      <c r="E4697" s="3" t="s">
        <v>48</v>
      </c>
      <c r="F4697" s="3" t="s">
        <v>40</v>
      </c>
      <c r="G4697" s="3" t="s">
        <v>84</v>
      </c>
      <c r="H4697" s="3" t="s">
        <v>77</v>
      </c>
      <c r="I4697" s="3" t="s">
        <v>85</v>
      </c>
      <c r="J4697" s="3" t="n">
        <v>39</v>
      </c>
      <c r="K4697" s="3" t="n">
        <v>5034.68</v>
      </c>
      <c r="L4697" s="3" t="n">
        <v>196352.52</v>
      </c>
      <c r="M4697" s="3" t="n">
        <v>0.0668</v>
      </c>
      <c r="N4697" s="3" t="n">
        <v>13116.35</v>
      </c>
      <c r="O4697" s="3" t="n">
        <v>183236.17</v>
      </c>
      <c r="P4697" s="3" t="n">
        <v>133519.71</v>
      </c>
      <c r="Q4697" s="3" t="n">
        <v>49716.46</v>
      </c>
      <c r="R4697" s="3" t="n">
        <v>0.2713</v>
      </c>
      <c r="S4697" s="3" t="n">
        <v>0.0542</v>
      </c>
      <c r="T4697" s="3" t="n">
        <v>0.0126</v>
      </c>
    </row>
    <row r="4698" customFormat="false" ht="15" hidden="false" customHeight="true" outlineLevel="0" collapsed="false">
      <c r="A4698" s="3" t="s">
        <v>5868</v>
      </c>
      <c r="B4698" s="3" t="s">
        <v>965</v>
      </c>
      <c r="C4698" s="3" t="s">
        <v>22</v>
      </c>
      <c r="D4698" s="3" t="s">
        <v>32</v>
      </c>
      <c r="E4698" s="3" t="s">
        <v>33</v>
      </c>
      <c r="F4698" s="3" t="s">
        <v>25</v>
      </c>
      <c r="G4698" s="3" t="s">
        <v>76</v>
      </c>
      <c r="H4698" s="3" t="s">
        <v>27</v>
      </c>
      <c r="I4698" s="3" t="s">
        <v>117</v>
      </c>
      <c r="J4698" s="3" t="n">
        <v>6</v>
      </c>
      <c r="K4698" s="3" t="n">
        <v>35651.05</v>
      </c>
      <c r="L4698" s="3" t="n">
        <v>213906.3</v>
      </c>
      <c r="M4698" s="3" t="n">
        <v>0.0878</v>
      </c>
      <c r="N4698" s="3" t="n">
        <v>18780.97</v>
      </c>
      <c r="O4698" s="3" t="n">
        <v>195125.33</v>
      </c>
      <c r="P4698" s="3" t="n">
        <v>132621.91</v>
      </c>
      <c r="Q4698" s="3" t="n">
        <v>62503.42</v>
      </c>
      <c r="R4698" s="3" t="n">
        <v>0.3203</v>
      </c>
      <c r="S4698" s="3" t="n">
        <v>0.0805</v>
      </c>
      <c r="T4698" s="3" t="n">
        <v>0.0073</v>
      </c>
    </row>
    <row r="4699" customFormat="false" ht="15" hidden="false" customHeight="true" outlineLevel="0" collapsed="false">
      <c r="A4699" s="3" t="s">
        <v>5869</v>
      </c>
      <c r="B4699" s="3" t="s">
        <v>2837</v>
      </c>
      <c r="C4699" s="3" t="s">
        <v>68</v>
      </c>
      <c r="D4699" s="3" t="s">
        <v>83</v>
      </c>
      <c r="E4699" s="3" t="s">
        <v>48</v>
      </c>
      <c r="F4699" s="3" t="s">
        <v>62</v>
      </c>
      <c r="G4699" s="3" t="s">
        <v>116</v>
      </c>
      <c r="H4699" s="3" t="s">
        <v>27</v>
      </c>
      <c r="I4699" s="3" t="s">
        <v>94</v>
      </c>
      <c r="J4699" s="3" t="n">
        <v>18</v>
      </c>
      <c r="K4699" s="3" t="n">
        <v>34972.93</v>
      </c>
      <c r="L4699" s="3" t="n">
        <v>629512.74</v>
      </c>
      <c r="M4699" s="3" t="n">
        <v>0.112</v>
      </c>
      <c r="N4699" s="3" t="n">
        <v>70505.43</v>
      </c>
      <c r="O4699" s="3" t="n">
        <v>559007.31</v>
      </c>
      <c r="P4699" s="3" t="n">
        <v>390297.9</v>
      </c>
      <c r="Q4699" s="3" t="n">
        <v>168709.41</v>
      </c>
      <c r="R4699" s="3" t="n">
        <v>0.3018</v>
      </c>
      <c r="S4699" s="3" t="n">
        <v>0.0983</v>
      </c>
      <c r="T4699" s="3" t="n">
        <v>0.0137</v>
      </c>
    </row>
    <row r="4700" customFormat="false" ht="15" hidden="false" customHeight="true" outlineLevel="0" collapsed="false">
      <c r="A4700" s="3" t="s">
        <v>5870</v>
      </c>
      <c r="B4700" s="3" t="s">
        <v>4530</v>
      </c>
      <c r="C4700" s="3" t="s">
        <v>46</v>
      </c>
      <c r="D4700" s="3" t="s">
        <v>32</v>
      </c>
      <c r="E4700" s="3" t="s">
        <v>33</v>
      </c>
      <c r="F4700" s="3" t="s">
        <v>25</v>
      </c>
      <c r="G4700" s="3" t="s">
        <v>76</v>
      </c>
      <c r="H4700" s="3" t="s">
        <v>27</v>
      </c>
      <c r="I4700" s="3" t="s">
        <v>28</v>
      </c>
      <c r="J4700" s="3" t="n">
        <v>19</v>
      </c>
      <c r="K4700" s="3" t="n">
        <v>9197.12</v>
      </c>
      <c r="L4700" s="3" t="n">
        <v>174745.28</v>
      </c>
      <c r="M4700" s="3" t="n">
        <v>0.1261</v>
      </c>
      <c r="N4700" s="3" t="n">
        <v>22035.38</v>
      </c>
      <c r="O4700" s="3" t="n">
        <v>152709.9</v>
      </c>
      <c r="P4700" s="3" t="n">
        <v>108342.07</v>
      </c>
      <c r="Q4700" s="3" t="n">
        <v>44367.83</v>
      </c>
      <c r="R4700" s="3" t="n">
        <v>0.2905</v>
      </c>
      <c r="S4700" s="3" t="n">
        <v>0.1104</v>
      </c>
      <c r="T4700" s="3" t="n">
        <v>0.0157</v>
      </c>
    </row>
    <row r="4701" customFormat="false" ht="15" hidden="false" customHeight="true" outlineLevel="0" collapsed="false">
      <c r="A4701" s="3" t="s">
        <v>5871</v>
      </c>
      <c r="B4701" s="3" t="s">
        <v>931</v>
      </c>
      <c r="C4701" s="3" t="s">
        <v>46</v>
      </c>
      <c r="D4701" s="3" t="s">
        <v>83</v>
      </c>
      <c r="E4701" s="3" t="s">
        <v>48</v>
      </c>
      <c r="F4701" s="3" t="s">
        <v>62</v>
      </c>
      <c r="G4701" s="3" t="s">
        <v>34</v>
      </c>
      <c r="H4701" s="3" t="s">
        <v>77</v>
      </c>
      <c r="I4701" s="3" t="s">
        <v>85</v>
      </c>
      <c r="J4701" s="3" t="n">
        <v>35</v>
      </c>
      <c r="K4701" s="3" t="n">
        <v>2619.32</v>
      </c>
      <c r="L4701" s="3" t="n">
        <v>91676.2</v>
      </c>
      <c r="M4701" s="3" t="n">
        <v>0.1045</v>
      </c>
      <c r="N4701" s="3" t="n">
        <v>9580.16</v>
      </c>
      <c r="O4701" s="3" t="n">
        <v>82096.04</v>
      </c>
      <c r="P4701" s="3" t="n">
        <v>62339.82</v>
      </c>
      <c r="Q4701" s="3" t="n">
        <v>19756.22</v>
      </c>
      <c r="R4701" s="3" t="n">
        <v>0.2406</v>
      </c>
      <c r="S4701" s="3" t="n">
        <v>0.0964</v>
      </c>
      <c r="T4701" s="3" t="n">
        <v>0.0081</v>
      </c>
    </row>
    <row r="4702" customFormat="false" ht="15" hidden="false" customHeight="true" outlineLevel="0" collapsed="false">
      <c r="A4702" s="3" t="s">
        <v>5872</v>
      </c>
      <c r="B4702" s="3" t="s">
        <v>3560</v>
      </c>
      <c r="C4702" s="3" t="s">
        <v>60</v>
      </c>
      <c r="D4702" s="3" t="s">
        <v>54</v>
      </c>
      <c r="E4702" s="3" t="s">
        <v>24</v>
      </c>
      <c r="F4702" s="3" t="s">
        <v>40</v>
      </c>
      <c r="G4702" s="3" t="s">
        <v>55</v>
      </c>
      <c r="H4702" s="3" t="s">
        <v>56</v>
      </c>
      <c r="I4702" s="3" t="s">
        <v>121</v>
      </c>
      <c r="J4702" s="3" t="n">
        <v>19</v>
      </c>
      <c r="K4702" s="3" t="n">
        <v>4271.51</v>
      </c>
      <c r="L4702" s="3" t="n">
        <v>81158.69</v>
      </c>
      <c r="M4702" s="3" t="n">
        <v>0.0498</v>
      </c>
      <c r="N4702" s="3" t="n">
        <v>4041.7</v>
      </c>
      <c r="O4702" s="3" t="n">
        <v>77116.99</v>
      </c>
      <c r="P4702" s="3" t="n">
        <v>48695.21</v>
      </c>
      <c r="Q4702" s="3" t="n">
        <v>28421.78</v>
      </c>
      <c r="R4702" s="3" t="n">
        <v>0.3686</v>
      </c>
      <c r="S4702" s="3" t="n">
        <v>0.0446</v>
      </c>
      <c r="T4702" s="3" t="n">
        <v>0.0052</v>
      </c>
    </row>
    <row r="4703" customFormat="false" ht="15" hidden="false" customHeight="true" outlineLevel="0" collapsed="false">
      <c r="A4703" s="3" t="s">
        <v>5873</v>
      </c>
      <c r="B4703" s="3" t="s">
        <v>2029</v>
      </c>
      <c r="C4703" s="3" t="s">
        <v>68</v>
      </c>
      <c r="D4703" s="3" t="s">
        <v>47</v>
      </c>
      <c r="E4703" s="3" t="s">
        <v>48</v>
      </c>
      <c r="F4703" s="3" t="s">
        <v>25</v>
      </c>
      <c r="G4703" s="3" t="s">
        <v>34</v>
      </c>
      <c r="H4703" s="3" t="s">
        <v>27</v>
      </c>
      <c r="I4703" s="3" t="s">
        <v>28</v>
      </c>
      <c r="J4703" s="3" t="n">
        <v>45</v>
      </c>
      <c r="K4703" s="3" t="n">
        <v>24971.02</v>
      </c>
      <c r="L4703" s="3" t="n">
        <v>1123695.9</v>
      </c>
      <c r="M4703" s="3" t="n">
        <v>0.1432</v>
      </c>
      <c r="N4703" s="3" t="n">
        <v>160913.25</v>
      </c>
      <c r="O4703" s="3" t="n">
        <v>962782.65</v>
      </c>
      <c r="P4703" s="3" t="n">
        <v>696691.46</v>
      </c>
      <c r="Q4703" s="3" t="n">
        <v>266091.19</v>
      </c>
      <c r="R4703" s="3" t="n">
        <v>0.2764</v>
      </c>
      <c r="S4703" s="3" t="n">
        <v>0.1194</v>
      </c>
      <c r="T4703" s="3" t="n">
        <v>0.0238</v>
      </c>
    </row>
    <row r="4704" customFormat="false" ht="15" hidden="false" customHeight="true" outlineLevel="0" collapsed="false">
      <c r="A4704" s="3" t="s">
        <v>5874</v>
      </c>
      <c r="B4704" s="3" t="s">
        <v>645</v>
      </c>
      <c r="C4704" s="3" t="s">
        <v>120</v>
      </c>
      <c r="D4704" s="3" t="s">
        <v>23</v>
      </c>
      <c r="E4704" s="3" t="s">
        <v>24</v>
      </c>
      <c r="F4704" s="3" t="s">
        <v>25</v>
      </c>
      <c r="G4704" s="3" t="s">
        <v>49</v>
      </c>
      <c r="H4704" s="3" t="s">
        <v>27</v>
      </c>
      <c r="I4704" s="3" t="s">
        <v>173</v>
      </c>
      <c r="J4704" s="3" t="n">
        <v>43</v>
      </c>
      <c r="K4704" s="3" t="n">
        <v>13660.25</v>
      </c>
      <c r="L4704" s="3" t="n">
        <v>587390.75</v>
      </c>
      <c r="M4704" s="3" t="n">
        <v>0.1332</v>
      </c>
      <c r="N4704" s="3" t="n">
        <v>78240.45</v>
      </c>
      <c r="O4704" s="3" t="n">
        <v>509150.3</v>
      </c>
      <c r="P4704" s="3" t="n">
        <v>364182.27</v>
      </c>
      <c r="Q4704" s="3" t="n">
        <v>144968.03</v>
      </c>
      <c r="R4704" s="3" t="n">
        <v>0.2847</v>
      </c>
      <c r="S4704" s="3" t="n">
        <v>0.1213</v>
      </c>
      <c r="T4704" s="3" t="n">
        <v>0.0119</v>
      </c>
    </row>
    <row r="4705" customFormat="false" ht="15" hidden="false" customHeight="true" outlineLevel="0" collapsed="false">
      <c r="A4705" s="3" t="s">
        <v>5875</v>
      </c>
      <c r="B4705" s="3" t="s">
        <v>384</v>
      </c>
      <c r="C4705" s="3" t="s">
        <v>31</v>
      </c>
      <c r="D4705" s="3" t="s">
        <v>103</v>
      </c>
      <c r="E4705" s="3" t="s">
        <v>24</v>
      </c>
      <c r="F4705" s="3" t="s">
        <v>62</v>
      </c>
      <c r="G4705" s="3" t="s">
        <v>76</v>
      </c>
      <c r="H4705" s="3" t="s">
        <v>56</v>
      </c>
      <c r="I4705" s="3" t="s">
        <v>188</v>
      </c>
      <c r="J4705" s="3" t="n">
        <v>22</v>
      </c>
      <c r="K4705" s="3" t="n">
        <v>5844.23</v>
      </c>
      <c r="L4705" s="3" t="n">
        <v>128573.06</v>
      </c>
      <c r="M4705" s="3" t="n">
        <v>0.077</v>
      </c>
      <c r="N4705" s="3" t="n">
        <v>9900.13</v>
      </c>
      <c r="O4705" s="3" t="n">
        <v>118672.93</v>
      </c>
      <c r="P4705" s="3" t="n">
        <v>77143.84</v>
      </c>
      <c r="Q4705" s="3" t="n">
        <v>41529.09</v>
      </c>
      <c r="R4705" s="3" t="n">
        <v>0.3499</v>
      </c>
      <c r="S4705" s="3" t="n">
        <v>0.0817</v>
      </c>
      <c r="T4705" s="3" t="n">
        <v>-0.0047</v>
      </c>
    </row>
    <row r="4706" customFormat="false" ht="15" hidden="false" customHeight="true" outlineLevel="0" collapsed="false">
      <c r="A4706" s="3" t="s">
        <v>5876</v>
      </c>
      <c r="B4706" s="3" t="s">
        <v>1987</v>
      </c>
      <c r="C4706" s="3" t="s">
        <v>93</v>
      </c>
      <c r="D4706" s="3" t="s">
        <v>61</v>
      </c>
      <c r="E4706" s="3" t="s">
        <v>33</v>
      </c>
      <c r="F4706" s="3" t="s">
        <v>62</v>
      </c>
      <c r="G4706" s="3" t="s">
        <v>116</v>
      </c>
      <c r="H4706" s="3" t="s">
        <v>77</v>
      </c>
      <c r="I4706" s="3" t="s">
        <v>78</v>
      </c>
      <c r="J4706" s="3" t="n">
        <v>44</v>
      </c>
      <c r="K4706" s="3" t="n">
        <v>4233.38</v>
      </c>
      <c r="L4706" s="3" t="n">
        <v>186268.72</v>
      </c>
      <c r="M4706" s="3" t="n">
        <v>0.1017</v>
      </c>
      <c r="N4706" s="3" t="n">
        <v>18943.53</v>
      </c>
      <c r="O4706" s="3" t="n">
        <v>167325.19</v>
      </c>
      <c r="P4706" s="3" t="n">
        <v>126662.73</v>
      </c>
      <c r="Q4706" s="3" t="n">
        <v>40662.46</v>
      </c>
      <c r="R4706" s="3" t="n">
        <v>0.243</v>
      </c>
      <c r="S4706" s="3" t="n">
        <v>0.1075</v>
      </c>
      <c r="T4706" s="3" t="n">
        <v>-0.0058</v>
      </c>
    </row>
    <row r="4707" customFormat="false" ht="15" hidden="false" customHeight="true" outlineLevel="0" collapsed="false">
      <c r="A4707" s="3" t="s">
        <v>5877</v>
      </c>
      <c r="B4707" s="3" t="s">
        <v>5542</v>
      </c>
      <c r="C4707" s="3" t="s">
        <v>60</v>
      </c>
      <c r="D4707" s="3" t="s">
        <v>97</v>
      </c>
      <c r="E4707" s="3" t="s">
        <v>48</v>
      </c>
      <c r="F4707" s="3" t="s">
        <v>40</v>
      </c>
      <c r="G4707" s="3" t="s">
        <v>116</v>
      </c>
      <c r="H4707" s="3" t="s">
        <v>77</v>
      </c>
      <c r="I4707" s="3" t="s">
        <v>131</v>
      </c>
      <c r="J4707" s="3" t="n">
        <v>45</v>
      </c>
      <c r="K4707" s="3" t="n">
        <v>4204.05</v>
      </c>
      <c r="L4707" s="3" t="n">
        <v>189182.25</v>
      </c>
      <c r="M4707" s="3" t="n">
        <v>0.1073</v>
      </c>
      <c r="N4707" s="3" t="n">
        <v>20299.26</v>
      </c>
      <c r="O4707" s="3" t="n">
        <v>168882.99</v>
      </c>
      <c r="P4707" s="3" t="n">
        <v>128643.93</v>
      </c>
      <c r="Q4707" s="3" t="n">
        <v>40239.06</v>
      </c>
      <c r="R4707" s="3" t="n">
        <v>0.2383</v>
      </c>
      <c r="S4707" s="3" t="n">
        <v>0.1084</v>
      </c>
      <c r="T4707" s="3" t="n">
        <v>-0.0011</v>
      </c>
    </row>
    <row r="4708" customFormat="false" ht="15" hidden="false" customHeight="true" outlineLevel="0" collapsed="false">
      <c r="A4708" s="3" t="s">
        <v>5878</v>
      </c>
      <c r="B4708" s="3" t="s">
        <v>3368</v>
      </c>
      <c r="C4708" s="3" t="s">
        <v>46</v>
      </c>
      <c r="D4708" s="3" t="s">
        <v>61</v>
      </c>
      <c r="E4708" s="3" t="s">
        <v>33</v>
      </c>
      <c r="F4708" s="3" t="s">
        <v>62</v>
      </c>
      <c r="G4708" s="3" t="s">
        <v>63</v>
      </c>
      <c r="H4708" s="3" t="s">
        <v>56</v>
      </c>
      <c r="I4708" s="3" t="s">
        <v>57</v>
      </c>
      <c r="J4708" s="3" t="n">
        <v>11</v>
      </c>
      <c r="K4708" s="3" t="n">
        <v>9548.96</v>
      </c>
      <c r="L4708" s="3" t="n">
        <v>105038.56</v>
      </c>
      <c r="M4708" s="3" t="n">
        <v>0.0481</v>
      </c>
      <c r="N4708" s="3" t="n">
        <v>5052.35</v>
      </c>
      <c r="O4708" s="3" t="n">
        <v>99986.21</v>
      </c>
      <c r="P4708" s="3" t="n">
        <v>63023.14</v>
      </c>
      <c r="Q4708" s="3" t="n">
        <v>36963.07</v>
      </c>
      <c r="R4708" s="3" t="n">
        <v>0.3697</v>
      </c>
      <c r="S4708" s="3" t="n">
        <v>0.0399</v>
      </c>
      <c r="T4708" s="3" t="n">
        <v>0.0082</v>
      </c>
    </row>
    <row r="4709" customFormat="false" ht="15" hidden="false" customHeight="true" outlineLevel="0" collapsed="false">
      <c r="A4709" s="3" t="s">
        <v>5879</v>
      </c>
      <c r="B4709" s="3" t="s">
        <v>2665</v>
      </c>
      <c r="C4709" s="3" t="s">
        <v>68</v>
      </c>
      <c r="D4709" s="3" t="s">
        <v>107</v>
      </c>
      <c r="E4709" s="3" t="s">
        <v>33</v>
      </c>
      <c r="F4709" s="3" t="s">
        <v>70</v>
      </c>
      <c r="G4709" s="3" t="s">
        <v>76</v>
      </c>
      <c r="H4709" s="3" t="s">
        <v>42</v>
      </c>
      <c r="I4709" s="3" t="s">
        <v>134</v>
      </c>
      <c r="J4709" s="3" t="n">
        <v>27</v>
      </c>
      <c r="K4709" s="3" t="n">
        <v>1829.04</v>
      </c>
      <c r="L4709" s="3" t="n">
        <v>49384.08</v>
      </c>
      <c r="M4709" s="3" t="n">
        <v>0.0441</v>
      </c>
      <c r="N4709" s="3" t="n">
        <v>2177.84</v>
      </c>
      <c r="O4709" s="3" t="n">
        <v>47206.24</v>
      </c>
      <c r="P4709" s="3" t="n">
        <v>27161.24</v>
      </c>
      <c r="Q4709" s="3" t="n">
        <v>20045</v>
      </c>
      <c r="R4709" s="3" t="n">
        <v>0.4246</v>
      </c>
      <c r="S4709" s="3" t="n">
        <v>0.0434</v>
      </c>
      <c r="T4709" s="3" t="n">
        <v>0.0007</v>
      </c>
    </row>
    <row r="4710" customFormat="false" ht="15" hidden="false" customHeight="true" outlineLevel="0" collapsed="false">
      <c r="A4710" s="3" t="s">
        <v>5880</v>
      </c>
      <c r="B4710" s="3" t="s">
        <v>1299</v>
      </c>
      <c r="C4710" s="3" t="s">
        <v>22</v>
      </c>
      <c r="D4710" s="3" t="s">
        <v>75</v>
      </c>
      <c r="E4710" s="3" t="s">
        <v>39</v>
      </c>
      <c r="F4710" s="3" t="s">
        <v>25</v>
      </c>
      <c r="G4710" s="3" t="s">
        <v>76</v>
      </c>
      <c r="H4710" s="3" t="s">
        <v>42</v>
      </c>
      <c r="I4710" s="3" t="s">
        <v>72</v>
      </c>
      <c r="J4710" s="3" t="n">
        <v>43</v>
      </c>
      <c r="K4710" s="3" t="n">
        <v>793.99</v>
      </c>
      <c r="L4710" s="3" t="n">
        <v>34141.57</v>
      </c>
      <c r="M4710" s="3" t="n">
        <v>0.1119</v>
      </c>
      <c r="N4710" s="3" t="n">
        <v>3820.44</v>
      </c>
      <c r="O4710" s="3" t="n">
        <v>30321.13</v>
      </c>
      <c r="P4710" s="3" t="n">
        <v>18777.86</v>
      </c>
      <c r="Q4710" s="3" t="n">
        <v>11543.27</v>
      </c>
      <c r="R4710" s="3" t="n">
        <v>0.3807</v>
      </c>
      <c r="S4710" s="3" t="n">
        <v>0.1187</v>
      </c>
      <c r="T4710" s="3" t="n">
        <v>-0.0068</v>
      </c>
    </row>
    <row r="4711" customFormat="false" ht="15" hidden="false" customHeight="true" outlineLevel="0" collapsed="false">
      <c r="A4711" s="3" t="s">
        <v>5881</v>
      </c>
      <c r="B4711" s="3" t="s">
        <v>2019</v>
      </c>
      <c r="C4711" s="3" t="s">
        <v>68</v>
      </c>
      <c r="D4711" s="3" t="s">
        <v>69</v>
      </c>
      <c r="E4711" s="3" t="s">
        <v>39</v>
      </c>
      <c r="F4711" s="3" t="s">
        <v>70</v>
      </c>
      <c r="G4711" s="3" t="s">
        <v>41</v>
      </c>
      <c r="H4711" s="3" t="s">
        <v>77</v>
      </c>
      <c r="I4711" s="3" t="s">
        <v>85</v>
      </c>
      <c r="J4711" s="3" t="n">
        <v>48</v>
      </c>
      <c r="K4711" s="3" t="n">
        <v>2504.91</v>
      </c>
      <c r="L4711" s="3" t="n">
        <v>120235.68</v>
      </c>
      <c r="M4711" s="3" t="n">
        <v>0.0953</v>
      </c>
      <c r="N4711" s="3" t="n">
        <v>11458.46</v>
      </c>
      <c r="O4711" s="3" t="n">
        <v>108777.22</v>
      </c>
      <c r="P4711" s="3" t="n">
        <v>81760.26</v>
      </c>
      <c r="Q4711" s="3" t="n">
        <v>27016.96</v>
      </c>
      <c r="R4711" s="3" t="n">
        <v>0.2484</v>
      </c>
      <c r="S4711" s="3" t="n">
        <v>0.1029</v>
      </c>
      <c r="T4711" s="3" t="n">
        <v>-0.0076</v>
      </c>
    </row>
    <row r="4712" customFormat="false" ht="15" hidden="false" customHeight="true" outlineLevel="0" collapsed="false">
      <c r="A4712" s="3" t="s">
        <v>5882</v>
      </c>
      <c r="B4712" s="3" t="s">
        <v>3294</v>
      </c>
      <c r="C4712" s="3" t="s">
        <v>53</v>
      </c>
      <c r="D4712" s="3" t="s">
        <v>38</v>
      </c>
      <c r="E4712" s="3" t="s">
        <v>39</v>
      </c>
      <c r="F4712" s="3" t="s">
        <v>40</v>
      </c>
      <c r="G4712" s="3" t="s">
        <v>26</v>
      </c>
      <c r="H4712" s="3" t="s">
        <v>64</v>
      </c>
      <c r="I4712" s="3" t="s">
        <v>90</v>
      </c>
      <c r="J4712" s="3" t="n">
        <v>37</v>
      </c>
      <c r="K4712" s="3" t="n">
        <v>9453.36</v>
      </c>
      <c r="L4712" s="3" t="n">
        <v>349774.32</v>
      </c>
      <c r="M4712" s="3" t="n">
        <v>0.0346</v>
      </c>
      <c r="N4712" s="3" t="n">
        <v>12102.19</v>
      </c>
      <c r="O4712" s="3" t="n">
        <v>337672.13</v>
      </c>
      <c r="P4712" s="3" t="n">
        <v>202869.11</v>
      </c>
      <c r="Q4712" s="3" t="n">
        <v>134803.02</v>
      </c>
      <c r="R4712" s="3" t="n">
        <v>0.3992</v>
      </c>
      <c r="S4712" s="3" t="n">
        <v>0.0372</v>
      </c>
      <c r="T4712" s="3" t="n">
        <v>-0.0026</v>
      </c>
    </row>
    <row r="4713" customFormat="false" ht="15" hidden="false" customHeight="true" outlineLevel="0" collapsed="false">
      <c r="A4713" s="3" t="s">
        <v>5883</v>
      </c>
      <c r="B4713" s="3" t="s">
        <v>1884</v>
      </c>
      <c r="C4713" s="3" t="s">
        <v>126</v>
      </c>
      <c r="D4713" s="3" t="s">
        <v>54</v>
      </c>
      <c r="E4713" s="3" t="s">
        <v>24</v>
      </c>
      <c r="F4713" s="3" t="s">
        <v>40</v>
      </c>
      <c r="G4713" s="3" t="s">
        <v>76</v>
      </c>
      <c r="H4713" s="3" t="s">
        <v>56</v>
      </c>
      <c r="I4713" s="3" t="s">
        <v>121</v>
      </c>
      <c r="J4713" s="3" t="n">
        <v>1</v>
      </c>
      <c r="K4713" s="3" t="n">
        <v>2320.24</v>
      </c>
      <c r="L4713" s="3" t="n">
        <v>2320.24</v>
      </c>
      <c r="M4713" s="3" t="n">
        <v>0.0587</v>
      </c>
      <c r="N4713" s="3" t="n">
        <v>136.2</v>
      </c>
      <c r="O4713" s="3" t="n">
        <v>2184.04</v>
      </c>
      <c r="P4713" s="3" t="n">
        <v>1392.14</v>
      </c>
      <c r="Q4713" s="3" t="n">
        <v>791.9</v>
      </c>
      <c r="R4713" s="3" t="n">
        <v>0.3626</v>
      </c>
      <c r="S4713" s="3" t="n">
        <v>0.0538</v>
      </c>
      <c r="T4713" s="3" t="n">
        <v>0.0049</v>
      </c>
    </row>
    <row r="4714" customFormat="false" ht="15" hidden="false" customHeight="true" outlineLevel="0" collapsed="false">
      <c r="A4714" s="3" t="s">
        <v>5884</v>
      </c>
      <c r="B4714" s="3" t="s">
        <v>3296</v>
      </c>
      <c r="C4714" s="3" t="s">
        <v>68</v>
      </c>
      <c r="D4714" s="3" t="s">
        <v>107</v>
      </c>
      <c r="E4714" s="3" t="s">
        <v>33</v>
      </c>
      <c r="F4714" s="3" t="s">
        <v>70</v>
      </c>
      <c r="G4714" s="3" t="s">
        <v>34</v>
      </c>
      <c r="H4714" s="3" t="s">
        <v>42</v>
      </c>
      <c r="I4714" s="3" t="s">
        <v>134</v>
      </c>
      <c r="J4714" s="3" t="n">
        <v>38</v>
      </c>
      <c r="K4714" s="3" t="n">
        <v>3586.89</v>
      </c>
      <c r="L4714" s="3" t="n">
        <v>136301.82</v>
      </c>
      <c r="M4714" s="3" t="n">
        <v>0.0877</v>
      </c>
      <c r="N4714" s="3" t="n">
        <v>11953.67</v>
      </c>
      <c r="O4714" s="3" t="n">
        <v>124348.15</v>
      </c>
      <c r="P4714" s="3" t="n">
        <v>74966</v>
      </c>
      <c r="Q4714" s="3" t="n">
        <v>49382.15</v>
      </c>
      <c r="R4714" s="3" t="n">
        <v>0.3971</v>
      </c>
      <c r="S4714" s="3" t="n">
        <v>0.0832</v>
      </c>
      <c r="T4714" s="3" t="n">
        <v>0.0045</v>
      </c>
    </row>
    <row r="4715" customFormat="false" ht="15" hidden="false" customHeight="true" outlineLevel="0" collapsed="false">
      <c r="A4715" s="3" t="s">
        <v>5885</v>
      </c>
      <c r="B4715" s="3" t="s">
        <v>4601</v>
      </c>
      <c r="C4715" s="3" t="s">
        <v>53</v>
      </c>
      <c r="D4715" s="3" t="s">
        <v>32</v>
      </c>
      <c r="E4715" s="3" t="s">
        <v>33</v>
      </c>
      <c r="F4715" s="3" t="s">
        <v>25</v>
      </c>
      <c r="G4715" s="3" t="s">
        <v>84</v>
      </c>
      <c r="H4715" s="3" t="s">
        <v>77</v>
      </c>
      <c r="I4715" s="3" t="s">
        <v>131</v>
      </c>
      <c r="J4715" s="3" t="n">
        <v>41</v>
      </c>
      <c r="K4715" s="3" t="n">
        <v>3107.03</v>
      </c>
      <c r="L4715" s="3" t="n">
        <v>127388.23</v>
      </c>
      <c r="M4715" s="3" t="n">
        <v>0.1419</v>
      </c>
      <c r="N4715" s="3" t="n">
        <v>18076.39</v>
      </c>
      <c r="O4715" s="3" t="n">
        <v>109311.84</v>
      </c>
      <c r="P4715" s="3" t="n">
        <v>86624</v>
      </c>
      <c r="Q4715" s="3" t="n">
        <v>22687.84</v>
      </c>
      <c r="R4715" s="3" t="n">
        <v>0.2076</v>
      </c>
      <c r="S4715" s="3" t="n">
        <v>0.1498</v>
      </c>
      <c r="T4715" s="3" t="n">
        <v>-0.0079</v>
      </c>
    </row>
    <row r="4716" customFormat="false" ht="15" hidden="false" customHeight="true" outlineLevel="0" collapsed="false">
      <c r="A4716" s="3" t="s">
        <v>5886</v>
      </c>
      <c r="B4716" s="3" t="s">
        <v>2267</v>
      </c>
      <c r="C4716" s="3" t="s">
        <v>60</v>
      </c>
      <c r="D4716" s="3" t="s">
        <v>83</v>
      </c>
      <c r="E4716" s="3" t="s">
        <v>48</v>
      </c>
      <c r="F4716" s="3" t="s">
        <v>62</v>
      </c>
      <c r="G4716" s="3" t="s">
        <v>100</v>
      </c>
      <c r="H4716" s="3" t="s">
        <v>64</v>
      </c>
      <c r="I4716" s="3" t="s">
        <v>90</v>
      </c>
      <c r="J4716" s="3" t="n">
        <v>16</v>
      </c>
      <c r="K4716" s="3" t="n">
        <v>3407.58</v>
      </c>
      <c r="L4716" s="3" t="n">
        <v>54521.28</v>
      </c>
      <c r="M4716" s="3" t="n">
        <v>0.0437</v>
      </c>
      <c r="N4716" s="3" t="n">
        <v>2382.58</v>
      </c>
      <c r="O4716" s="3" t="n">
        <v>52138.7</v>
      </c>
      <c r="P4716" s="3" t="n">
        <v>31622.34</v>
      </c>
      <c r="Q4716" s="3" t="n">
        <v>20516.36</v>
      </c>
      <c r="R4716" s="3" t="n">
        <v>0.3935</v>
      </c>
      <c r="S4716" s="3" t="n">
        <v>0.0396</v>
      </c>
      <c r="T4716" s="3" t="n">
        <v>0.0041</v>
      </c>
    </row>
    <row r="4717" customFormat="false" ht="15" hidden="false" customHeight="true" outlineLevel="0" collapsed="false">
      <c r="A4717" s="3" t="s">
        <v>5887</v>
      </c>
      <c r="B4717" s="3" t="s">
        <v>1590</v>
      </c>
      <c r="C4717" s="3" t="s">
        <v>93</v>
      </c>
      <c r="D4717" s="3" t="s">
        <v>38</v>
      </c>
      <c r="E4717" s="3" t="s">
        <v>39</v>
      </c>
      <c r="F4717" s="3" t="s">
        <v>40</v>
      </c>
      <c r="G4717" s="3" t="s">
        <v>84</v>
      </c>
      <c r="H4717" s="3" t="s">
        <v>27</v>
      </c>
      <c r="I4717" s="3" t="s">
        <v>94</v>
      </c>
      <c r="J4717" s="3" t="n">
        <v>9</v>
      </c>
      <c r="K4717" s="3" t="n">
        <v>11923.82</v>
      </c>
      <c r="L4717" s="3" t="n">
        <v>107314.38</v>
      </c>
      <c r="M4717" s="3" t="n">
        <v>0.0723</v>
      </c>
      <c r="N4717" s="3" t="n">
        <v>7758.83</v>
      </c>
      <c r="O4717" s="3" t="n">
        <v>99555.55</v>
      </c>
      <c r="P4717" s="3" t="n">
        <v>66534.92</v>
      </c>
      <c r="Q4717" s="3" t="n">
        <v>33020.63</v>
      </c>
      <c r="R4717" s="3" t="n">
        <v>0.3317</v>
      </c>
      <c r="S4717" s="3" t="n">
        <v>0.0645</v>
      </c>
      <c r="T4717" s="3" t="n">
        <v>0.0078</v>
      </c>
    </row>
    <row r="4718" customFormat="false" ht="15" hidden="false" customHeight="true" outlineLevel="0" collapsed="false">
      <c r="A4718" s="3" t="s">
        <v>5888</v>
      </c>
      <c r="B4718" s="3" t="s">
        <v>140</v>
      </c>
      <c r="C4718" s="3" t="s">
        <v>22</v>
      </c>
      <c r="D4718" s="3" t="s">
        <v>47</v>
      </c>
      <c r="E4718" s="3" t="s">
        <v>48</v>
      </c>
      <c r="F4718" s="3" t="s">
        <v>25</v>
      </c>
      <c r="G4718" s="3" t="s">
        <v>63</v>
      </c>
      <c r="H4718" s="3" t="s">
        <v>77</v>
      </c>
      <c r="I4718" s="3" t="s">
        <v>78</v>
      </c>
      <c r="J4718" s="3" t="n">
        <v>26</v>
      </c>
      <c r="K4718" s="3" t="n">
        <v>4532.16</v>
      </c>
      <c r="L4718" s="3" t="n">
        <v>117836.16</v>
      </c>
      <c r="M4718" s="3" t="n">
        <v>0.163</v>
      </c>
      <c r="N4718" s="3" t="n">
        <v>19207.29</v>
      </c>
      <c r="O4718" s="3" t="n">
        <v>98628.87</v>
      </c>
      <c r="P4718" s="3" t="n">
        <v>80128.59</v>
      </c>
      <c r="Q4718" s="3" t="n">
        <v>18500.28</v>
      </c>
      <c r="R4718" s="3" t="n">
        <v>0.1876</v>
      </c>
      <c r="S4718" s="3" t="n">
        <v>0.1592</v>
      </c>
      <c r="T4718" s="3" t="n">
        <v>0.0038</v>
      </c>
    </row>
    <row r="4719" customFormat="false" ht="15" hidden="false" customHeight="true" outlineLevel="0" collapsed="false">
      <c r="A4719" s="3" t="s">
        <v>5889</v>
      </c>
      <c r="B4719" s="3" t="s">
        <v>151</v>
      </c>
      <c r="C4719" s="3" t="s">
        <v>113</v>
      </c>
      <c r="D4719" s="3" t="s">
        <v>38</v>
      </c>
      <c r="E4719" s="3" t="s">
        <v>39</v>
      </c>
      <c r="F4719" s="3" t="s">
        <v>40</v>
      </c>
      <c r="G4719" s="3" t="s">
        <v>41</v>
      </c>
      <c r="H4719" s="3" t="s">
        <v>64</v>
      </c>
      <c r="I4719" s="3" t="s">
        <v>145</v>
      </c>
      <c r="J4719" s="3" t="n">
        <v>17</v>
      </c>
      <c r="K4719" s="3" t="n">
        <v>6424.93</v>
      </c>
      <c r="L4719" s="3" t="n">
        <v>109223.81</v>
      </c>
      <c r="M4719" s="3" t="n">
        <v>0.0794</v>
      </c>
      <c r="N4719" s="3" t="n">
        <v>8672.37</v>
      </c>
      <c r="O4719" s="3" t="n">
        <v>100551.44</v>
      </c>
      <c r="P4719" s="3" t="n">
        <v>63349.81</v>
      </c>
      <c r="Q4719" s="3" t="n">
        <v>37201.63</v>
      </c>
      <c r="R4719" s="3" t="n">
        <v>0.37</v>
      </c>
      <c r="S4719" s="3" t="n">
        <v>0.0662</v>
      </c>
      <c r="T4719" s="3" t="n">
        <v>0.0132</v>
      </c>
    </row>
    <row r="4720" customFormat="false" ht="15" hidden="false" customHeight="true" outlineLevel="0" collapsed="false">
      <c r="A4720" s="3" t="s">
        <v>5890</v>
      </c>
      <c r="B4720" s="3" t="s">
        <v>4683</v>
      </c>
      <c r="C4720" s="3" t="s">
        <v>120</v>
      </c>
      <c r="D4720" s="3" t="s">
        <v>47</v>
      </c>
      <c r="E4720" s="3" t="s">
        <v>48</v>
      </c>
      <c r="F4720" s="3" t="s">
        <v>25</v>
      </c>
      <c r="G4720" s="3" t="s">
        <v>104</v>
      </c>
      <c r="H4720" s="3" t="s">
        <v>56</v>
      </c>
      <c r="I4720" s="3" t="s">
        <v>57</v>
      </c>
      <c r="J4720" s="3" t="n">
        <v>23</v>
      </c>
      <c r="K4720" s="3" t="n">
        <v>10495.16</v>
      </c>
      <c r="L4720" s="3" t="n">
        <v>241388.68</v>
      </c>
      <c r="M4720" s="3" t="n">
        <v>0.1924</v>
      </c>
      <c r="N4720" s="3" t="n">
        <v>46443.18</v>
      </c>
      <c r="O4720" s="3" t="n">
        <v>194945.5</v>
      </c>
      <c r="P4720" s="3" t="n">
        <v>144833.21</v>
      </c>
      <c r="Q4720" s="3" t="n">
        <v>50112.29</v>
      </c>
      <c r="R4720" s="3" t="n">
        <v>0.2571</v>
      </c>
      <c r="S4720" s="3" t="n">
        <v>0.1554</v>
      </c>
      <c r="T4720" s="3" t="n">
        <v>0.037</v>
      </c>
    </row>
    <row r="4721" customFormat="false" ht="15" hidden="false" customHeight="true" outlineLevel="0" collapsed="false">
      <c r="A4721" s="3" t="s">
        <v>5891</v>
      </c>
      <c r="B4721" s="3" t="s">
        <v>639</v>
      </c>
      <c r="C4721" s="3" t="s">
        <v>31</v>
      </c>
      <c r="D4721" s="3" t="s">
        <v>103</v>
      </c>
      <c r="E4721" s="3" t="s">
        <v>24</v>
      </c>
      <c r="F4721" s="3" t="s">
        <v>62</v>
      </c>
      <c r="G4721" s="3" t="s">
        <v>34</v>
      </c>
      <c r="H4721" s="3" t="s">
        <v>77</v>
      </c>
      <c r="I4721" s="3" t="s">
        <v>85</v>
      </c>
      <c r="J4721" s="3" t="n">
        <v>47</v>
      </c>
      <c r="K4721" s="3" t="n">
        <v>5023.22</v>
      </c>
      <c r="L4721" s="3" t="n">
        <v>236091.34</v>
      </c>
      <c r="M4721" s="3" t="n">
        <v>0.1064</v>
      </c>
      <c r="N4721" s="3" t="n">
        <v>25120.12</v>
      </c>
      <c r="O4721" s="3" t="n">
        <v>210971.22</v>
      </c>
      <c r="P4721" s="3" t="n">
        <v>160542.11</v>
      </c>
      <c r="Q4721" s="3" t="n">
        <v>50429.11</v>
      </c>
      <c r="R4721" s="3" t="n">
        <v>0.239</v>
      </c>
      <c r="S4721" s="3" t="n">
        <v>0.1006</v>
      </c>
      <c r="T4721" s="3" t="n">
        <v>0.0058</v>
      </c>
    </row>
    <row r="4722" customFormat="false" ht="15" hidden="false" customHeight="true" outlineLevel="0" collapsed="false">
      <c r="A4722" s="3" t="s">
        <v>5892</v>
      </c>
      <c r="B4722" s="3" t="s">
        <v>1029</v>
      </c>
      <c r="C4722" s="3" t="s">
        <v>126</v>
      </c>
      <c r="D4722" s="3" t="s">
        <v>23</v>
      </c>
      <c r="E4722" s="3" t="s">
        <v>24</v>
      </c>
      <c r="F4722" s="3" t="s">
        <v>25</v>
      </c>
      <c r="G4722" s="3" t="s">
        <v>84</v>
      </c>
      <c r="H4722" s="3" t="s">
        <v>42</v>
      </c>
      <c r="I4722" s="3" t="s">
        <v>134</v>
      </c>
      <c r="J4722" s="3" t="n">
        <v>31</v>
      </c>
      <c r="K4722" s="3" t="n">
        <v>2171.14</v>
      </c>
      <c r="L4722" s="3" t="n">
        <v>67305.34</v>
      </c>
      <c r="M4722" s="3" t="n">
        <v>0.1954</v>
      </c>
      <c r="N4722" s="3" t="n">
        <v>13151.46</v>
      </c>
      <c r="O4722" s="3" t="n">
        <v>54153.88</v>
      </c>
      <c r="P4722" s="3" t="n">
        <v>37017.94</v>
      </c>
      <c r="Q4722" s="3" t="n">
        <v>17135.94</v>
      </c>
      <c r="R4722" s="3" t="n">
        <v>0.3164</v>
      </c>
      <c r="S4722" s="3" t="n">
        <v>0.1583</v>
      </c>
      <c r="T4722" s="3" t="n">
        <v>0.0371</v>
      </c>
    </row>
    <row r="4723" customFormat="false" ht="15" hidden="false" customHeight="true" outlineLevel="0" collapsed="false">
      <c r="A4723" s="3" t="s">
        <v>5893</v>
      </c>
      <c r="B4723" s="3" t="s">
        <v>2561</v>
      </c>
      <c r="C4723" s="3" t="s">
        <v>46</v>
      </c>
      <c r="D4723" s="3" t="s">
        <v>83</v>
      </c>
      <c r="E4723" s="3" t="s">
        <v>48</v>
      </c>
      <c r="F4723" s="3" t="s">
        <v>62</v>
      </c>
      <c r="G4723" s="3" t="s">
        <v>41</v>
      </c>
      <c r="H4723" s="3" t="s">
        <v>77</v>
      </c>
      <c r="I4723" s="3" t="s">
        <v>131</v>
      </c>
      <c r="J4723" s="3" t="n">
        <v>48</v>
      </c>
      <c r="K4723" s="3" t="n">
        <v>5852.46</v>
      </c>
      <c r="L4723" s="3" t="n">
        <v>280918.08</v>
      </c>
      <c r="M4723" s="3" t="n">
        <v>0.0543</v>
      </c>
      <c r="N4723" s="3" t="n">
        <v>15253.85</v>
      </c>
      <c r="O4723" s="3" t="n">
        <v>265664.23</v>
      </c>
      <c r="P4723" s="3" t="n">
        <v>191024.29</v>
      </c>
      <c r="Q4723" s="3" t="n">
        <v>74639.94</v>
      </c>
      <c r="R4723" s="3" t="n">
        <v>0.281</v>
      </c>
      <c r="S4723" s="3" t="n">
        <v>0.0592</v>
      </c>
      <c r="T4723" s="3" t="n">
        <v>-0.0049</v>
      </c>
    </row>
    <row r="4724" customFormat="false" ht="15" hidden="false" customHeight="true" outlineLevel="0" collapsed="false">
      <c r="A4724" s="3" t="s">
        <v>5894</v>
      </c>
      <c r="B4724" s="3" t="s">
        <v>2535</v>
      </c>
      <c r="C4724" s="3" t="s">
        <v>37</v>
      </c>
      <c r="D4724" s="3" t="s">
        <v>54</v>
      </c>
      <c r="E4724" s="3" t="s">
        <v>24</v>
      </c>
      <c r="F4724" s="3" t="s">
        <v>40</v>
      </c>
      <c r="G4724" s="3" t="s">
        <v>104</v>
      </c>
      <c r="H4724" s="3" t="s">
        <v>56</v>
      </c>
      <c r="I4724" s="3" t="s">
        <v>57</v>
      </c>
      <c r="J4724" s="3" t="n">
        <v>40</v>
      </c>
      <c r="K4724" s="3" t="n">
        <v>12238.39</v>
      </c>
      <c r="L4724" s="3" t="n">
        <v>489535.6</v>
      </c>
      <c r="M4724" s="3" t="n">
        <v>0.1197</v>
      </c>
      <c r="N4724" s="3" t="n">
        <v>58597.41</v>
      </c>
      <c r="O4724" s="3" t="n">
        <v>430938.19</v>
      </c>
      <c r="P4724" s="3" t="n">
        <v>293721.36</v>
      </c>
      <c r="Q4724" s="3" t="n">
        <v>137216.83</v>
      </c>
      <c r="R4724" s="3" t="n">
        <v>0.3184</v>
      </c>
      <c r="S4724" s="3" t="n">
        <v>0.1122</v>
      </c>
      <c r="T4724" s="3" t="n">
        <v>0.0075</v>
      </c>
    </row>
    <row r="4725" customFormat="false" ht="15" hidden="false" customHeight="true" outlineLevel="0" collapsed="false">
      <c r="A4725" s="3" t="s">
        <v>5895</v>
      </c>
      <c r="B4725" s="3" t="s">
        <v>349</v>
      </c>
      <c r="C4725" s="3" t="s">
        <v>126</v>
      </c>
      <c r="D4725" s="3" t="s">
        <v>103</v>
      </c>
      <c r="E4725" s="3" t="s">
        <v>24</v>
      </c>
      <c r="F4725" s="3" t="s">
        <v>62</v>
      </c>
      <c r="G4725" s="3" t="s">
        <v>63</v>
      </c>
      <c r="H4725" s="3" t="s">
        <v>64</v>
      </c>
      <c r="I4725" s="3" t="s">
        <v>145</v>
      </c>
      <c r="J4725" s="3" t="n">
        <v>14</v>
      </c>
      <c r="K4725" s="3" t="n">
        <v>11940.25</v>
      </c>
      <c r="L4725" s="3" t="n">
        <v>167163.5</v>
      </c>
      <c r="M4725" s="3" t="n">
        <v>0.0545</v>
      </c>
      <c r="N4725" s="3" t="n">
        <v>9110.41</v>
      </c>
      <c r="O4725" s="3" t="n">
        <v>158053.09</v>
      </c>
      <c r="P4725" s="3" t="n">
        <v>96954.83</v>
      </c>
      <c r="Q4725" s="3" t="n">
        <v>61098.26</v>
      </c>
      <c r="R4725" s="3" t="n">
        <v>0.3866</v>
      </c>
      <c r="S4725" s="3" t="n">
        <v>0.0589</v>
      </c>
      <c r="T4725" s="3" t="n">
        <v>-0.0044</v>
      </c>
    </row>
    <row r="4726" customFormat="false" ht="15" hidden="false" customHeight="true" outlineLevel="0" collapsed="false">
      <c r="A4726" s="3" t="s">
        <v>5896</v>
      </c>
      <c r="B4726" s="3" t="s">
        <v>424</v>
      </c>
      <c r="C4726" s="3" t="s">
        <v>93</v>
      </c>
      <c r="D4726" s="3" t="s">
        <v>107</v>
      </c>
      <c r="E4726" s="3" t="s">
        <v>33</v>
      </c>
      <c r="F4726" s="3" t="s">
        <v>70</v>
      </c>
      <c r="G4726" s="3" t="s">
        <v>49</v>
      </c>
      <c r="H4726" s="3" t="s">
        <v>42</v>
      </c>
      <c r="I4726" s="3" t="s">
        <v>134</v>
      </c>
      <c r="J4726" s="3" t="n">
        <v>46</v>
      </c>
      <c r="K4726" s="3" t="n">
        <v>3063.97</v>
      </c>
      <c r="L4726" s="3" t="n">
        <v>140942.62</v>
      </c>
      <c r="M4726" s="3" t="n">
        <v>0.0635</v>
      </c>
      <c r="N4726" s="3" t="n">
        <v>8949.86</v>
      </c>
      <c r="O4726" s="3" t="n">
        <v>131992.76</v>
      </c>
      <c r="P4726" s="3" t="n">
        <v>77518.44</v>
      </c>
      <c r="Q4726" s="3" t="n">
        <v>54474.32</v>
      </c>
      <c r="R4726" s="3" t="n">
        <v>0.4127</v>
      </c>
      <c r="S4726" s="3" t="n">
        <v>0.0582</v>
      </c>
      <c r="T4726" s="3" t="n">
        <v>0.0053</v>
      </c>
    </row>
    <row r="4727" customFormat="false" ht="15" hidden="false" customHeight="true" outlineLevel="0" collapsed="false">
      <c r="A4727" s="3" t="s">
        <v>5897</v>
      </c>
      <c r="B4727" s="3" t="s">
        <v>2875</v>
      </c>
      <c r="C4727" s="3" t="s">
        <v>37</v>
      </c>
      <c r="D4727" s="3" t="s">
        <v>23</v>
      </c>
      <c r="E4727" s="3" t="s">
        <v>24</v>
      </c>
      <c r="F4727" s="3" t="s">
        <v>25</v>
      </c>
      <c r="G4727" s="3" t="s">
        <v>34</v>
      </c>
      <c r="H4727" s="3" t="s">
        <v>77</v>
      </c>
      <c r="I4727" s="3" t="s">
        <v>131</v>
      </c>
      <c r="J4727" s="3" t="n">
        <v>45</v>
      </c>
      <c r="K4727" s="3" t="n">
        <v>5174.76</v>
      </c>
      <c r="L4727" s="3" t="n">
        <v>232864.2</v>
      </c>
      <c r="M4727" s="3" t="n">
        <v>0.1466</v>
      </c>
      <c r="N4727" s="3" t="n">
        <v>34137.89</v>
      </c>
      <c r="O4727" s="3" t="n">
        <v>198726.31</v>
      </c>
      <c r="P4727" s="3" t="n">
        <v>158347.66</v>
      </c>
      <c r="Q4727" s="3" t="n">
        <v>40378.65</v>
      </c>
      <c r="R4727" s="3" t="n">
        <v>0.2032</v>
      </c>
      <c r="S4727" s="3" t="n">
        <v>0.1185</v>
      </c>
      <c r="T4727" s="3" t="n">
        <v>0.0281</v>
      </c>
    </row>
    <row r="4728" customFormat="false" ht="15" hidden="false" customHeight="true" outlineLevel="0" collapsed="false">
      <c r="A4728" s="3" t="s">
        <v>5898</v>
      </c>
      <c r="B4728" s="3" t="s">
        <v>463</v>
      </c>
      <c r="C4728" s="3" t="s">
        <v>120</v>
      </c>
      <c r="D4728" s="3" t="s">
        <v>38</v>
      </c>
      <c r="E4728" s="3" t="s">
        <v>39</v>
      </c>
      <c r="F4728" s="3" t="s">
        <v>40</v>
      </c>
      <c r="G4728" s="3" t="s">
        <v>104</v>
      </c>
      <c r="H4728" s="3" t="s">
        <v>42</v>
      </c>
      <c r="I4728" s="3" t="s">
        <v>43</v>
      </c>
      <c r="J4728" s="3" t="n">
        <v>11</v>
      </c>
      <c r="K4728" s="3" t="n">
        <v>2900.39</v>
      </c>
      <c r="L4728" s="3" t="n">
        <v>31904.29</v>
      </c>
      <c r="M4728" s="3" t="n">
        <v>0.1029</v>
      </c>
      <c r="N4728" s="3" t="n">
        <v>3282.95</v>
      </c>
      <c r="O4728" s="3" t="n">
        <v>28621.34</v>
      </c>
      <c r="P4728" s="3" t="n">
        <v>17547.36</v>
      </c>
      <c r="Q4728" s="3" t="n">
        <v>11073.98</v>
      </c>
      <c r="R4728" s="3" t="n">
        <v>0.3869</v>
      </c>
      <c r="S4728" s="3" t="n">
        <v>0.0986</v>
      </c>
      <c r="T4728" s="3" t="n">
        <v>0.0043</v>
      </c>
    </row>
    <row r="4729" customFormat="false" ht="15" hidden="false" customHeight="true" outlineLevel="0" collapsed="false">
      <c r="A4729" s="3" t="s">
        <v>5899</v>
      </c>
      <c r="B4729" s="3" t="s">
        <v>2428</v>
      </c>
      <c r="C4729" s="3" t="s">
        <v>68</v>
      </c>
      <c r="D4729" s="3" t="s">
        <v>97</v>
      </c>
      <c r="E4729" s="3" t="s">
        <v>48</v>
      </c>
      <c r="F4729" s="3" t="s">
        <v>40</v>
      </c>
      <c r="G4729" s="3" t="s">
        <v>63</v>
      </c>
      <c r="H4729" s="3" t="s">
        <v>64</v>
      </c>
      <c r="I4729" s="3" t="s">
        <v>90</v>
      </c>
      <c r="J4729" s="3" t="n">
        <v>44</v>
      </c>
      <c r="K4729" s="3" t="n">
        <v>8146.06</v>
      </c>
      <c r="L4729" s="3" t="n">
        <v>358426.64</v>
      </c>
      <c r="M4729" s="3" t="n">
        <v>0.0554</v>
      </c>
      <c r="N4729" s="3" t="n">
        <v>19856.84</v>
      </c>
      <c r="O4729" s="3" t="n">
        <v>338569.8</v>
      </c>
      <c r="P4729" s="3" t="n">
        <v>207887.45</v>
      </c>
      <c r="Q4729" s="3" t="n">
        <v>130682.35</v>
      </c>
      <c r="R4729" s="3" t="n">
        <v>0.386</v>
      </c>
      <c r="S4729" s="3" t="n">
        <v>0.0453</v>
      </c>
      <c r="T4729" s="3" t="n">
        <v>0.0101</v>
      </c>
    </row>
    <row r="4730" customFormat="false" ht="15" hidden="false" customHeight="true" outlineLevel="0" collapsed="false">
      <c r="A4730" s="3" t="s">
        <v>5900</v>
      </c>
      <c r="B4730" s="3" t="s">
        <v>2789</v>
      </c>
      <c r="C4730" s="3" t="s">
        <v>31</v>
      </c>
      <c r="D4730" s="3" t="s">
        <v>97</v>
      </c>
      <c r="E4730" s="3" t="s">
        <v>48</v>
      </c>
      <c r="F4730" s="3" t="s">
        <v>40</v>
      </c>
      <c r="G4730" s="3" t="s">
        <v>76</v>
      </c>
      <c r="H4730" s="3" t="s">
        <v>56</v>
      </c>
      <c r="I4730" s="3" t="s">
        <v>121</v>
      </c>
      <c r="J4730" s="3" t="n">
        <v>11</v>
      </c>
      <c r="K4730" s="3" t="n">
        <v>15463.93</v>
      </c>
      <c r="L4730" s="3" t="n">
        <v>170103.23</v>
      </c>
      <c r="M4730" s="3" t="n">
        <v>0.0668</v>
      </c>
      <c r="N4730" s="3" t="n">
        <v>11362.9</v>
      </c>
      <c r="O4730" s="3" t="n">
        <v>158740.33</v>
      </c>
      <c r="P4730" s="3" t="n">
        <v>102061.94</v>
      </c>
      <c r="Q4730" s="3" t="n">
        <v>56678.39</v>
      </c>
      <c r="R4730" s="3" t="n">
        <v>0.3571</v>
      </c>
      <c r="S4730" s="3" t="n">
        <v>0.0698</v>
      </c>
      <c r="T4730" s="3" t="n">
        <v>-0.003</v>
      </c>
    </row>
    <row r="4731" customFormat="false" ht="15" hidden="false" customHeight="true" outlineLevel="0" collapsed="false">
      <c r="A4731" s="3" t="s">
        <v>5901</v>
      </c>
      <c r="B4731" s="3" t="s">
        <v>461</v>
      </c>
      <c r="C4731" s="3" t="s">
        <v>93</v>
      </c>
      <c r="D4731" s="3" t="s">
        <v>32</v>
      </c>
      <c r="E4731" s="3" t="s">
        <v>33</v>
      </c>
      <c r="F4731" s="3" t="s">
        <v>25</v>
      </c>
      <c r="G4731" s="3" t="s">
        <v>63</v>
      </c>
      <c r="H4731" s="3" t="s">
        <v>64</v>
      </c>
      <c r="I4731" s="3" t="s">
        <v>90</v>
      </c>
      <c r="J4731" s="3" t="n">
        <v>35</v>
      </c>
      <c r="K4731" s="3" t="n">
        <v>10298.61</v>
      </c>
      <c r="L4731" s="3" t="n">
        <v>360451.35</v>
      </c>
      <c r="M4731" s="3" t="n">
        <v>0.1225</v>
      </c>
      <c r="N4731" s="3" t="n">
        <v>44155.29</v>
      </c>
      <c r="O4731" s="3" t="n">
        <v>316296.06</v>
      </c>
      <c r="P4731" s="3" t="n">
        <v>209061.78</v>
      </c>
      <c r="Q4731" s="3" t="n">
        <v>107234.28</v>
      </c>
      <c r="R4731" s="3" t="n">
        <v>0.339</v>
      </c>
      <c r="S4731" s="3" t="n">
        <v>0.1139</v>
      </c>
      <c r="T4731" s="3" t="n">
        <v>0.0086</v>
      </c>
    </row>
    <row r="4732" customFormat="false" ht="15" hidden="false" customHeight="true" outlineLevel="0" collapsed="false">
      <c r="A4732" s="3" t="s">
        <v>5902</v>
      </c>
      <c r="B4732" s="3" t="s">
        <v>3018</v>
      </c>
      <c r="C4732" s="3" t="s">
        <v>126</v>
      </c>
      <c r="D4732" s="3" t="s">
        <v>54</v>
      </c>
      <c r="E4732" s="3" t="s">
        <v>24</v>
      </c>
      <c r="F4732" s="3" t="s">
        <v>40</v>
      </c>
      <c r="G4732" s="3" t="s">
        <v>41</v>
      </c>
      <c r="H4732" s="3" t="s">
        <v>42</v>
      </c>
      <c r="I4732" s="3" t="s">
        <v>72</v>
      </c>
      <c r="J4732" s="3" t="n">
        <v>50</v>
      </c>
      <c r="K4732" s="3" t="n">
        <v>2744.99</v>
      </c>
      <c r="L4732" s="3" t="n">
        <v>137249.5</v>
      </c>
      <c r="M4732" s="3" t="n">
        <v>0.113</v>
      </c>
      <c r="N4732" s="3" t="n">
        <v>15509.19</v>
      </c>
      <c r="O4732" s="3" t="n">
        <v>121740.31</v>
      </c>
      <c r="P4732" s="3" t="n">
        <v>75487.23</v>
      </c>
      <c r="Q4732" s="3" t="n">
        <v>46253.08</v>
      </c>
      <c r="R4732" s="3" t="n">
        <v>0.3799</v>
      </c>
      <c r="S4732" s="3" t="n">
        <v>0.097</v>
      </c>
      <c r="T4732" s="3" t="n">
        <v>0.016</v>
      </c>
    </row>
    <row r="4733" customFormat="false" ht="15" hidden="false" customHeight="true" outlineLevel="0" collapsed="false">
      <c r="A4733" s="3" t="s">
        <v>5903</v>
      </c>
      <c r="B4733" s="3" t="s">
        <v>4282</v>
      </c>
      <c r="C4733" s="3" t="s">
        <v>31</v>
      </c>
      <c r="D4733" s="3" t="s">
        <v>103</v>
      </c>
      <c r="E4733" s="3" t="s">
        <v>24</v>
      </c>
      <c r="F4733" s="3" t="s">
        <v>62</v>
      </c>
      <c r="G4733" s="3" t="s">
        <v>84</v>
      </c>
      <c r="H4733" s="3" t="s">
        <v>27</v>
      </c>
      <c r="I4733" s="3" t="s">
        <v>28</v>
      </c>
      <c r="J4733" s="3" t="n">
        <v>26</v>
      </c>
      <c r="K4733" s="3" t="n">
        <v>27301.03</v>
      </c>
      <c r="L4733" s="3" t="n">
        <v>709826.78</v>
      </c>
      <c r="M4733" s="3" t="n">
        <v>0.0701</v>
      </c>
      <c r="N4733" s="3" t="n">
        <v>49758.86</v>
      </c>
      <c r="O4733" s="3" t="n">
        <v>660067.92</v>
      </c>
      <c r="P4733" s="3" t="n">
        <v>440092.6</v>
      </c>
      <c r="Q4733" s="3" t="n">
        <v>219975.32</v>
      </c>
      <c r="R4733" s="3" t="n">
        <v>0.3333</v>
      </c>
      <c r="S4733" s="3" t="n">
        <v>0.0635</v>
      </c>
      <c r="T4733" s="3" t="n">
        <v>0.0066</v>
      </c>
    </row>
    <row r="4734" customFormat="false" ht="15" hidden="false" customHeight="true" outlineLevel="0" collapsed="false">
      <c r="A4734" s="3" t="s">
        <v>5904</v>
      </c>
      <c r="B4734" s="3" t="s">
        <v>1837</v>
      </c>
      <c r="C4734" s="3" t="s">
        <v>120</v>
      </c>
      <c r="D4734" s="3" t="s">
        <v>83</v>
      </c>
      <c r="E4734" s="3" t="s">
        <v>48</v>
      </c>
      <c r="F4734" s="3" t="s">
        <v>62</v>
      </c>
      <c r="G4734" s="3" t="s">
        <v>71</v>
      </c>
      <c r="H4734" s="3" t="s">
        <v>77</v>
      </c>
      <c r="I4734" s="3" t="s">
        <v>78</v>
      </c>
      <c r="J4734" s="3" t="n">
        <v>9</v>
      </c>
      <c r="K4734" s="3" t="n">
        <v>3722.41</v>
      </c>
      <c r="L4734" s="3" t="n">
        <v>33501.69</v>
      </c>
      <c r="M4734" s="3" t="n">
        <v>0.0439</v>
      </c>
      <c r="N4734" s="3" t="n">
        <v>1470.72</v>
      </c>
      <c r="O4734" s="3" t="n">
        <v>32030.97</v>
      </c>
      <c r="P4734" s="3" t="n">
        <v>22781.15</v>
      </c>
      <c r="Q4734" s="3" t="n">
        <v>9249.82</v>
      </c>
      <c r="R4734" s="3" t="n">
        <v>0.2888</v>
      </c>
      <c r="S4734" s="3" t="n">
        <v>0.0407</v>
      </c>
      <c r="T4734" s="3" t="n">
        <v>0.0032</v>
      </c>
    </row>
    <row r="4735" customFormat="false" ht="15" hidden="false" customHeight="true" outlineLevel="0" collapsed="false">
      <c r="A4735" s="3" t="s">
        <v>5905</v>
      </c>
      <c r="B4735" s="3" t="s">
        <v>1684</v>
      </c>
      <c r="C4735" s="3" t="s">
        <v>31</v>
      </c>
      <c r="D4735" s="3" t="s">
        <v>54</v>
      </c>
      <c r="E4735" s="3" t="s">
        <v>24</v>
      </c>
      <c r="F4735" s="3" t="s">
        <v>40</v>
      </c>
      <c r="G4735" s="3" t="s">
        <v>55</v>
      </c>
      <c r="H4735" s="3" t="s">
        <v>56</v>
      </c>
      <c r="I4735" s="3" t="s">
        <v>188</v>
      </c>
      <c r="J4735" s="3" t="n">
        <v>13</v>
      </c>
      <c r="K4735" s="3" t="n">
        <v>3787.14</v>
      </c>
      <c r="L4735" s="3" t="n">
        <v>49232.82</v>
      </c>
      <c r="M4735" s="3" t="n">
        <v>0.0772</v>
      </c>
      <c r="N4735" s="3" t="n">
        <v>3800.77</v>
      </c>
      <c r="O4735" s="3" t="n">
        <v>45432.05</v>
      </c>
      <c r="P4735" s="3" t="n">
        <v>29539.69</v>
      </c>
      <c r="Q4735" s="3" t="n">
        <v>15892.36</v>
      </c>
      <c r="R4735" s="3" t="n">
        <v>0.3498</v>
      </c>
      <c r="S4735" s="3" t="n">
        <v>0.0753</v>
      </c>
      <c r="T4735" s="3" t="n">
        <v>0.0019</v>
      </c>
    </row>
    <row r="4736" customFormat="false" ht="15" hidden="false" customHeight="true" outlineLevel="0" collapsed="false">
      <c r="A4736" s="3" t="s">
        <v>5906</v>
      </c>
      <c r="B4736" s="3" t="s">
        <v>449</v>
      </c>
      <c r="C4736" s="3" t="s">
        <v>22</v>
      </c>
      <c r="D4736" s="3" t="s">
        <v>32</v>
      </c>
      <c r="E4736" s="3" t="s">
        <v>33</v>
      </c>
      <c r="F4736" s="3" t="s">
        <v>25</v>
      </c>
      <c r="G4736" s="3" t="s">
        <v>49</v>
      </c>
      <c r="H4736" s="3" t="s">
        <v>77</v>
      </c>
      <c r="I4736" s="3" t="s">
        <v>131</v>
      </c>
      <c r="J4736" s="3" t="n">
        <v>23</v>
      </c>
      <c r="K4736" s="3" t="n">
        <v>4115.45</v>
      </c>
      <c r="L4736" s="3" t="n">
        <v>94655.35</v>
      </c>
      <c r="M4736" s="3" t="n">
        <v>0.1029</v>
      </c>
      <c r="N4736" s="3" t="n">
        <v>9740.04</v>
      </c>
      <c r="O4736" s="3" t="n">
        <v>84915.31</v>
      </c>
      <c r="P4736" s="3" t="n">
        <v>64365.64</v>
      </c>
      <c r="Q4736" s="3" t="n">
        <v>20549.67</v>
      </c>
      <c r="R4736" s="3" t="n">
        <v>0.242</v>
      </c>
      <c r="S4736" s="3" t="n">
        <v>0.093</v>
      </c>
      <c r="T4736" s="3" t="n">
        <v>0.0099</v>
      </c>
    </row>
    <row r="4737" customFormat="false" ht="15" hidden="false" customHeight="true" outlineLevel="0" collapsed="false">
      <c r="A4737" s="3" t="s">
        <v>5907</v>
      </c>
      <c r="B4737" s="3" t="s">
        <v>2299</v>
      </c>
      <c r="C4737" s="3" t="s">
        <v>22</v>
      </c>
      <c r="D4737" s="3" t="s">
        <v>38</v>
      </c>
      <c r="E4737" s="3" t="s">
        <v>39</v>
      </c>
      <c r="F4737" s="3" t="s">
        <v>40</v>
      </c>
      <c r="G4737" s="3" t="s">
        <v>104</v>
      </c>
      <c r="H4737" s="3" t="s">
        <v>77</v>
      </c>
      <c r="I4737" s="3" t="s">
        <v>85</v>
      </c>
      <c r="J4737" s="3" t="n">
        <v>33</v>
      </c>
      <c r="K4737" s="3" t="n">
        <v>3505.72</v>
      </c>
      <c r="L4737" s="3" t="n">
        <v>115688.76</v>
      </c>
      <c r="M4737" s="3" t="n">
        <v>0.0592</v>
      </c>
      <c r="N4737" s="3" t="n">
        <v>6848.77</v>
      </c>
      <c r="O4737" s="3" t="n">
        <v>108839.99</v>
      </c>
      <c r="P4737" s="3" t="n">
        <v>78668.36</v>
      </c>
      <c r="Q4737" s="3" t="n">
        <v>30171.63</v>
      </c>
      <c r="R4737" s="3" t="n">
        <v>0.2772</v>
      </c>
      <c r="S4737" s="3" t="n">
        <v>0.0478</v>
      </c>
      <c r="T4737" s="3" t="n">
        <v>0.0114</v>
      </c>
    </row>
    <row r="4738" customFormat="false" ht="15" hidden="false" customHeight="true" outlineLevel="0" collapsed="false">
      <c r="A4738" s="3" t="s">
        <v>5908</v>
      </c>
      <c r="B4738" s="3" t="s">
        <v>4209</v>
      </c>
      <c r="C4738" s="3" t="s">
        <v>60</v>
      </c>
      <c r="D4738" s="3" t="s">
        <v>61</v>
      </c>
      <c r="E4738" s="3" t="s">
        <v>33</v>
      </c>
      <c r="F4738" s="3" t="s">
        <v>62</v>
      </c>
      <c r="G4738" s="3" t="s">
        <v>26</v>
      </c>
      <c r="H4738" s="3" t="s">
        <v>64</v>
      </c>
      <c r="I4738" s="3" t="s">
        <v>108</v>
      </c>
      <c r="J4738" s="3" t="n">
        <v>48</v>
      </c>
      <c r="K4738" s="3" t="n">
        <v>5770.87</v>
      </c>
      <c r="L4738" s="3" t="n">
        <v>277001.76</v>
      </c>
      <c r="M4738" s="3" t="n">
        <v>0.059</v>
      </c>
      <c r="N4738" s="3" t="n">
        <v>16343.1</v>
      </c>
      <c r="O4738" s="3" t="n">
        <v>260658.66</v>
      </c>
      <c r="P4738" s="3" t="n">
        <v>160661.02</v>
      </c>
      <c r="Q4738" s="3" t="n">
        <v>99997.64</v>
      </c>
      <c r="R4738" s="3" t="n">
        <v>0.3836</v>
      </c>
      <c r="S4738" s="3" t="n">
        <v>0.0509</v>
      </c>
      <c r="T4738" s="3" t="n">
        <v>0.0081</v>
      </c>
    </row>
    <row r="4739" customFormat="false" ht="15" hidden="false" customHeight="true" outlineLevel="0" collapsed="false">
      <c r="A4739" s="3" t="s">
        <v>5909</v>
      </c>
      <c r="B4739" s="3" t="s">
        <v>125</v>
      </c>
      <c r="C4739" s="3" t="s">
        <v>126</v>
      </c>
      <c r="D4739" s="3" t="s">
        <v>83</v>
      </c>
      <c r="E4739" s="3" t="s">
        <v>48</v>
      </c>
      <c r="F4739" s="3" t="s">
        <v>62</v>
      </c>
      <c r="G4739" s="3" t="s">
        <v>41</v>
      </c>
      <c r="H4739" s="3" t="s">
        <v>42</v>
      </c>
      <c r="I4739" s="3" t="s">
        <v>43</v>
      </c>
      <c r="J4739" s="3" t="n">
        <v>28</v>
      </c>
      <c r="K4739" s="3" t="n">
        <v>3409.21</v>
      </c>
      <c r="L4739" s="3" t="n">
        <v>95457.88</v>
      </c>
      <c r="M4739" s="3" t="n">
        <v>0.1074</v>
      </c>
      <c r="N4739" s="3" t="n">
        <v>10252.18</v>
      </c>
      <c r="O4739" s="3" t="n">
        <v>85205.7</v>
      </c>
      <c r="P4739" s="3" t="n">
        <v>52501.83</v>
      </c>
      <c r="Q4739" s="3" t="n">
        <v>32703.87</v>
      </c>
      <c r="R4739" s="3" t="n">
        <v>0.3838</v>
      </c>
      <c r="S4739" s="3" t="n">
        <v>0.106</v>
      </c>
      <c r="T4739" s="3" t="n">
        <v>0.0014</v>
      </c>
    </row>
    <row r="4740" customFormat="false" ht="15" hidden="false" customHeight="true" outlineLevel="0" collapsed="false">
      <c r="A4740" s="3" t="s">
        <v>5910</v>
      </c>
      <c r="B4740" s="3" t="s">
        <v>1533</v>
      </c>
      <c r="C4740" s="3" t="s">
        <v>120</v>
      </c>
      <c r="D4740" s="3" t="s">
        <v>61</v>
      </c>
      <c r="E4740" s="3" t="s">
        <v>33</v>
      </c>
      <c r="F4740" s="3" t="s">
        <v>62</v>
      </c>
      <c r="G4740" s="3" t="s">
        <v>116</v>
      </c>
      <c r="H4740" s="3" t="s">
        <v>56</v>
      </c>
      <c r="I4740" s="3" t="s">
        <v>188</v>
      </c>
      <c r="J4740" s="3" t="n">
        <v>44</v>
      </c>
      <c r="K4740" s="3" t="n">
        <v>13147.26</v>
      </c>
      <c r="L4740" s="3" t="n">
        <v>578479.44</v>
      </c>
      <c r="M4740" s="3" t="n">
        <v>0.093</v>
      </c>
      <c r="N4740" s="3" t="n">
        <v>53798.59</v>
      </c>
      <c r="O4740" s="3" t="n">
        <v>524680.85</v>
      </c>
      <c r="P4740" s="3" t="n">
        <v>347087.66</v>
      </c>
      <c r="Q4740" s="3" t="n">
        <v>177593.19</v>
      </c>
      <c r="R4740" s="3" t="n">
        <v>0.3385</v>
      </c>
      <c r="S4740" s="3" t="n">
        <v>0.0777</v>
      </c>
      <c r="T4740" s="3" t="n">
        <v>0.0153</v>
      </c>
    </row>
    <row r="4741" customFormat="false" ht="15" hidden="false" customHeight="true" outlineLevel="0" collapsed="false">
      <c r="A4741" s="3" t="s">
        <v>5911</v>
      </c>
      <c r="B4741" s="3" t="s">
        <v>513</v>
      </c>
      <c r="C4741" s="3" t="s">
        <v>120</v>
      </c>
      <c r="D4741" s="3" t="s">
        <v>97</v>
      </c>
      <c r="E4741" s="3" t="s">
        <v>48</v>
      </c>
      <c r="F4741" s="3" t="s">
        <v>40</v>
      </c>
      <c r="G4741" s="3" t="s">
        <v>63</v>
      </c>
      <c r="H4741" s="3" t="s">
        <v>64</v>
      </c>
      <c r="I4741" s="3" t="s">
        <v>145</v>
      </c>
      <c r="J4741" s="3" t="n">
        <v>3</v>
      </c>
      <c r="K4741" s="3" t="n">
        <v>11110.01</v>
      </c>
      <c r="L4741" s="3" t="n">
        <v>33330.03</v>
      </c>
      <c r="M4741" s="3" t="n">
        <v>0.0424</v>
      </c>
      <c r="N4741" s="3" t="n">
        <v>1413.19</v>
      </c>
      <c r="O4741" s="3" t="n">
        <v>31916.84</v>
      </c>
      <c r="P4741" s="3" t="n">
        <v>19331.42</v>
      </c>
      <c r="Q4741" s="3" t="n">
        <v>12585.42</v>
      </c>
      <c r="R4741" s="3" t="n">
        <v>0.3943</v>
      </c>
      <c r="S4741" s="3" t="n">
        <v>0.0408</v>
      </c>
      <c r="T4741" s="3" t="n">
        <v>0.0016</v>
      </c>
    </row>
    <row r="4742" customFormat="false" ht="15" hidden="false" customHeight="true" outlineLevel="0" collapsed="false">
      <c r="A4742" s="3" t="s">
        <v>5912</v>
      </c>
      <c r="B4742" s="3" t="s">
        <v>663</v>
      </c>
      <c r="C4742" s="3" t="s">
        <v>22</v>
      </c>
      <c r="D4742" s="3" t="s">
        <v>107</v>
      </c>
      <c r="E4742" s="3" t="s">
        <v>33</v>
      </c>
      <c r="F4742" s="3" t="s">
        <v>70</v>
      </c>
      <c r="G4742" s="3" t="s">
        <v>116</v>
      </c>
      <c r="H4742" s="3" t="s">
        <v>77</v>
      </c>
      <c r="I4742" s="3" t="s">
        <v>85</v>
      </c>
      <c r="J4742" s="3" t="n">
        <v>23</v>
      </c>
      <c r="K4742" s="3" t="n">
        <v>2463.2</v>
      </c>
      <c r="L4742" s="3" t="n">
        <v>56653.6</v>
      </c>
      <c r="M4742" s="3" t="n">
        <v>0.0833</v>
      </c>
      <c r="N4742" s="3" t="n">
        <v>4719.24</v>
      </c>
      <c r="O4742" s="3" t="n">
        <v>51934.36</v>
      </c>
      <c r="P4742" s="3" t="n">
        <v>38524.45</v>
      </c>
      <c r="Q4742" s="3" t="n">
        <v>13409.91</v>
      </c>
      <c r="R4742" s="3" t="n">
        <v>0.2582</v>
      </c>
      <c r="S4742" s="3" t="n">
        <v>0.083</v>
      </c>
      <c r="T4742" s="3" t="n">
        <v>0.0003</v>
      </c>
    </row>
    <row r="4743" customFormat="false" ht="15" hidden="false" customHeight="true" outlineLevel="0" collapsed="false">
      <c r="A4743" s="3" t="s">
        <v>5913</v>
      </c>
      <c r="B4743" s="3" t="s">
        <v>3612</v>
      </c>
      <c r="C4743" s="3" t="s">
        <v>46</v>
      </c>
      <c r="D4743" s="3" t="s">
        <v>32</v>
      </c>
      <c r="E4743" s="3" t="s">
        <v>33</v>
      </c>
      <c r="F4743" s="3" t="s">
        <v>25</v>
      </c>
      <c r="G4743" s="3" t="s">
        <v>55</v>
      </c>
      <c r="H4743" s="3" t="s">
        <v>64</v>
      </c>
      <c r="I4743" s="3" t="s">
        <v>108</v>
      </c>
      <c r="J4743" s="3" t="n">
        <v>48</v>
      </c>
      <c r="K4743" s="3" t="n">
        <v>10322.41</v>
      </c>
      <c r="L4743" s="3" t="n">
        <v>495475.68</v>
      </c>
      <c r="M4743" s="3" t="n">
        <v>0.1985</v>
      </c>
      <c r="N4743" s="3" t="n">
        <v>98351.92</v>
      </c>
      <c r="O4743" s="3" t="n">
        <v>397123.76</v>
      </c>
      <c r="P4743" s="3" t="n">
        <v>287375.89</v>
      </c>
      <c r="Q4743" s="3" t="n">
        <v>109747.87</v>
      </c>
      <c r="R4743" s="3" t="n">
        <v>0.2764</v>
      </c>
      <c r="S4743" s="3" t="n">
        <v>0.2174</v>
      </c>
      <c r="T4743" s="3" t="n">
        <v>-0.0189</v>
      </c>
    </row>
    <row r="4744" customFormat="false" ht="15" hidden="false" customHeight="true" outlineLevel="0" collapsed="false">
      <c r="A4744" s="3" t="s">
        <v>5914</v>
      </c>
      <c r="B4744" s="3" t="s">
        <v>2586</v>
      </c>
      <c r="C4744" s="3" t="s">
        <v>113</v>
      </c>
      <c r="D4744" s="3" t="s">
        <v>23</v>
      </c>
      <c r="E4744" s="3" t="s">
        <v>24</v>
      </c>
      <c r="F4744" s="3" t="s">
        <v>25</v>
      </c>
      <c r="G4744" s="3" t="s">
        <v>55</v>
      </c>
      <c r="H4744" s="3" t="s">
        <v>77</v>
      </c>
      <c r="I4744" s="3" t="s">
        <v>85</v>
      </c>
      <c r="J4744" s="3" t="n">
        <v>14</v>
      </c>
      <c r="K4744" s="3" t="n">
        <v>2418.28</v>
      </c>
      <c r="L4744" s="3" t="n">
        <v>33855.92</v>
      </c>
      <c r="M4744" s="3" t="n">
        <v>0.1729</v>
      </c>
      <c r="N4744" s="3" t="n">
        <v>5853.69</v>
      </c>
      <c r="O4744" s="3" t="n">
        <v>28002.23</v>
      </c>
      <c r="P4744" s="3" t="n">
        <v>23022.03</v>
      </c>
      <c r="Q4744" s="3" t="n">
        <v>4980.2</v>
      </c>
      <c r="R4744" s="3" t="n">
        <v>0.1779</v>
      </c>
      <c r="S4744" s="3" t="n">
        <v>0.1672</v>
      </c>
      <c r="T4744" s="3" t="n">
        <v>0.0057</v>
      </c>
    </row>
    <row r="4745" customFormat="false" ht="15" hidden="false" customHeight="true" outlineLevel="0" collapsed="false">
      <c r="A4745" s="3" t="s">
        <v>5915</v>
      </c>
      <c r="B4745" s="3" t="s">
        <v>1762</v>
      </c>
      <c r="C4745" s="3" t="s">
        <v>68</v>
      </c>
      <c r="D4745" s="3" t="s">
        <v>69</v>
      </c>
      <c r="E4745" s="3" t="s">
        <v>39</v>
      </c>
      <c r="F4745" s="3" t="s">
        <v>70</v>
      </c>
      <c r="G4745" s="3" t="s">
        <v>71</v>
      </c>
      <c r="H4745" s="3" t="s">
        <v>77</v>
      </c>
      <c r="I4745" s="3" t="s">
        <v>78</v>
      </c>
      <c r="J4745" s="3" t="n">
        <v>19</v>
      </c>
      <c r="K4745" s="3" t="n">
        <v>4780.09</v>
      </c>
      <c r="L4745" s="3" t="n">
        <v>90821.71</v>
      </c>
      <c r="M4745" s="3" t="n">
        <v>0.0743</v>
      </c>
      <c r="N4745" s="3" t="n">
        <v>6748.05</v>
      </c>
      <c r="O4745" s="3" t="n">
        <v>84073.66</v>
      </c>
      <c r="P4745" s="3" t="n">
        <v>61758.76</v>
      </c>
      <c r="Q4745" s="3" t="n">
        <v>22314.9</v>
      </c>
      <c r="R4745" s="3" t="n">
        <v>0.2654</v>
      </c>
      <c r="S4745" s="3" t="n">
        <v>0.0706</v>
      </c>
      <c r="T4745" s="3" t="n">
        <v>0.0037</v>
      </c>
    </row>
    <row r="4746" customFormat="false" ht="15" hidden="false" customHeight="true" outlineLevel="0" collapsed="false">
      <c r="A4746" s="3" t="s">
        <v>5916</v>
      </c>
      <c r="B4746" s="3" t="s">
        <v>74</v>
      </c>
      <c r="C4746" s="3" t="s">
        <v>37</v>
      </c>
      <c r="D4746" s="3" t="s">
        <v>47</v>
      </c>
      <c r="E4746" s="3" t="s">
        <v>48</v>
      </c>
      <c r="F4746" s="3" t="s">
        <v>25</v>
      </c>
      <c r="G4746" s="3" t="s">
        <v>26</v>
      </c>
      <c r="H4746" s="3" t="s">
        <v>64</v>
      </c>
      <c r="I4746" s="3" t="s">
        <v>90</v>
      </c>
      <c r="J4746" s="3" t="n">
        <v>20</v>
      </c>
      <c r="K4746" s="3" t="n">
        <v>7314.07</v>
      </c>
      <c r="L4746" s="3" t="n">
        <v>146281.4</v>
      </c>
      <c r="M4746" s="3" t="n">
        <v>0.1518</v>
      </c>
      <c r="N4746" s="3" t="n">
        <v>22205.52</v>
      </c>
      <c r="O4746" s="3" t="n">
        <v>124075.88</v>
      </c>
      <c r="P4746" s="3" t="n">
        <v>84843.21</v>
      </c>
      <c r="Q4746" s="3" t="n">
        <v>39232.67</v>
      </c>
      <c r="R4746" s="3" t="n">
        <v>0.3162</v>
      </c>
      <c r="S4746" s="3" t="n">
        <v>0.1239</v>
      </c>
      <c r="T4746" s="3" t="n">
        <v>0.0279</v>
      </c>
    </row>
    <row r="4747" customFormat="false" ht="15" hidden="false" customHeight="true" outlineLevel="0" collapsed="false">
      <c r="A4747" s="3" t="s">
        <v>5917</v>
      </c>
      <c r="B4747" s="3" t="s">
        <v>410</v>
      </c>
      <c r="C4747" s="3" t="s">
        <v>22</v>
      </c>
      <c r="D4747" s="3" t="s">
        <v>69</v>
      </c>
      <c r="E4747" s="3" t="s">
        <v>39</v>
      </c>
      <c r="F4747" s="3" t="s">
        <v>70</v>
      </c>
      <c r="G4747" s="3" t="s">
        <v>84</v>
      </c>
      <c r="H4747" s="3" t="s">
        <v>27</v>
      </c>
      <c r="I4747" s="3" t="s">
        <v>117</v>
      </c>
      <c r="J4747" s="3" t="n">
        <v>9</v>
      </c>
      <c r="K4747" s="3" t="n">
        <v>23196.74</v>
      </c>
      <c r="L4747" s="3" t="n">
        <v>208770.66</v>
      </c>
      <c r="M4747" s="3" t="n">
        <v>0.0642</v>
      </c>
      <c r="N4747" s="3" t="n">
        <v>13403.08</v>
      </c>
      <c r="O4747" s="3" t="n">
        <v>195367.58</v>
      </c>
      <c r="P4747" s="3" t="n">
        <v>129437.81</v>
      </c>
      <c r="Q4747" s="3" t="n">
        <v>65929.77</v>
      </c>
      <c r="R4747" s="3" t="n">
        <v>0.3375</v>
      </c>
      <c r="S4747" s="3" t="n">
        <v>0.0705</v>
      </c>
      <c r="T4747" s="3" t="n">
        <v>-0.0063</v>
      </c>
    </row>
    <row r="4748" customFormat="false" ht="15" hidden="false" customHeight="true" outlineLevel="0" collapsed="false">
      <c r="A4748" s="3" t="s">
        <v>5918</v>
      </c>
      <c r="B4748" s="3" t="s">
        <v>523</v>
      </c>
      <c r="C4748" s="3" t="s">
        <v>37</v>
      </c>
      <c r="D4748" s="3" t="s">
        <v>38</v>
      </c>
      <c r="E4748" s="3" t="s">
        <v>39</v>
      </c>
      <c r="F4748" s="3" t="s">
        <v>40</v>
      </c>
      <c r="G4748" s="3" t="s">
        <v>63</v>
      </c>
      <c r="H4748" s="3" t="s">
        <v>64</v>
      </c>
      <c r="I4748" s="3" t="s">
        <v>65</v>
      </c>
      <c r="J4748" s="3" t="n">
        <v>3</v>
      </c>
      <c r="K4748" s="3" t="n">
        <v>4425.45</v>
      </c>
      <c r="L4748" s="3" t="n">
        <v>13276.35</v>
      </c>
      <c r="M4748" s="3" t="n">
        <v>0.0774</v>
      </c>
      <c r="N4748" s="3" t="n">
        <v>1027.59</v>
      </c>
      <c r="O4748" s="3" t="n">
        <v>12248.76</v>
      </c>
      <c r="P4748" s="3" t="n">
        <v>7700.28</v>
      </c>
      <c r="Q4748" s="3" t="n">
        <v>4548.48</v>
      </c>
      <c r="R4748" s="3" t="n">
        <v>0.3713</v>
      </c>
      <c r="S4748" s="3" t="n">
        <v>0.0701</v>
      </c>
      <c r="T4748" s="3" t="n">
        <v>0.0073</v>
      </c>
    </row>
    <row r="4749" customFormat="false" ht="15" hidden="false" customHeight="true" outlineLevel="0" collapsed="false">
      <c r="A4749" s="3" t="s">
        <v>5919</v>
      </c>
      <c r="B4749" s="3" t="s">
        <v>1426</v>
      </c>
      <c r="C4749" s="3" t="s">
        <v>126</v>
      </c>
      <c r="D4749" s="3" t="s">
        <v>75</v>
      </c>
      <c r="E4749" s="3" t="s">
        <v>39</v>
      </c>
      <c r="F4749" s="3" t="s">
        <v>25</v>
      </c>
      <c r="G4749" s="3" t="s">
        <v>55</v>
      </c>
      <c r="H4749" s="3" t="s">
        <v>77</v>
      </c>
      <c r="I4749" s="3" t="s">
        <v>78</v>
      </c>
      <c r="J4749" s="3" t="n">
        <v>18</v>
      </c>
      <c r="K4749" s="3" t="n">
        <v>4110.36</v>
      </c>
      <c r="L4749" s="3" t="n">
        <v>73986.48</v>
      </c>
      <c r="M4749" s="3" t="n">
        <v>0.1655</v>
      </c>
      <c r="N4749" s="3" t="n">
        <v>12244.76</v>
      </c>
      <c r="O4749" s="3" t="n">
        <v>61741.72</v>
      </c>
      <c r="P4749" s="3" t="n">
        <v>50310.81</v>
      </c>
      <c r="Q4749" s="3" t="n">
        <v>11430.91</v>
      </c>
      <c r="R4749" s="3" t="n">
        <v>0.1851</v>
      </c>
      <c r="S4749" s="3" t="n">
        <v>0.1659</v>
      </c>
      <c r="T4749" s="3" t="n">
        <v>-0.0004</v>
      </c>
    </row>
    <row r="4750" customFormat="false" ht="15" hidden="false" customHeight="true" outlineLevel="0" collapsed="false">
      <c r="A4750" s="3" t="s">
        <v>5920</v>
      </c>
      <c r="B4750" s="3" t="s">
        <v>1229</v>
      </c>
      <c r="C4750" s="3" t="s">
        <v>93</v>
      </c>
      <c r="D4750" s="3" t="s">
        <v>97</v>
      </c>
      <c r="E4750" s="3" t="s">
        <v>48</v>
      </c>
      <c r="F4750" s="3" t="s">
        <v>40</v>
      </c>
      <c r="G4750" s="3" t="s">
        <v>26</v>
      </c>
      <c r="H4750" s="3" t="s">
        <v>56</v>
      </c>
      <c r="I4750" s="3" t="s">
        <v>188</v>
      </c>
      <c r="J4750" s="3" t="n">
        <v>26</v>
      </c>
      <c r="K4750" s="3" t="n">
        <v>9453.65</v>
      </c>
      <c r="L4750" s="3" t="n">
        <v>245794.9</v>
      </c>
      <c r="M4750" s="3" t="n">
        <v>0.0777</v>
      </c>
      <c r="N4750" s="3" t="n">
        <v>19098.26</v>
      </c>
      <c r="O4750" s="3" t="n">
        <v>226696.64</v>
      </c>
      <c r="P4750" s="3" t="n">
        <v>147476.94</v>
      </c>
      <c r="Q4750" s="3" t="n">
        <v>79219.7</v>
      </c>
      <c r="R4750" s="3" t="n">
        <v>0.3495</v>
      </c>
      <c r="S4750" s="3" t="n">
        <v>0.0799</v>
      </c>
      <c r="T4750" s="3" t="n">
        <v>-0.0022</v>
      </c>
    </row>
    <row r="4751" customFormat="false" ht="15" hidden="false" customHeight="true" outlineLevel="0" collapsed="false">
      <c r="A4751" s="3" t="s">
        <v>5921</v>
      </c>
      <c r="B4751" s="3" t="s">
        <v>2146</v>
      </c>
      <c r="C4751" s="3" t="s">
        <v>126</v>
      </c>
      <c r="D4751" s="3" t="s">
        <v>83</v>
      </c>
      <c r="E4751" s="3" t="s">
        <v>48</v>
      </c>
      <c r="F4751" s="3" t="s">
        <v>62</v>
      </c>
      <c r="G4751" s="3" t="s">
        <v>26</v>
      </c>
      <c r="H4751" s="3" t="s">
        <v>56</v>
      </c>
      <c r="I4751" s="3" t="s">
        <v>188</v>
      </c>
      <c r="J4751" s="3" t="n">
        <v>43</v>
      </c>
      <c r="K4751" s="3" t="n">
        <v>10163.21</v>
      </c>
      <c r="L4751" s="3" t="n">
        <v>437018.03</v>
      </c>
      <c r="M4751" s="3" t="n">
        <v>0.0563</v>
      </c>
      <c r="N4751" s="3" t="n">
        <v>24604.12</v>
      </c>
      <c r="O4751" s="3" t="n">
        <v>412413.91</v>
      </c>
      <c r="P4751" s="3" t="n">
        <v>262210.82</v>
      </c>
      <c r="Q4751" s="3" t="n">
        <v>150203.09</v>
      </c>
      <c r="R4751" s="3" t="n">
        <v>0.3642</v>
      </c>
      <c r="S4751" s="3" t="n">
        <v>0.0596</v>
      </c>
      <c r="T4751" s="3" t="n">
        <v>-0.0033</v>
      </c>
    </row>
    <row r="4752" customFormat="false" ht="15" hidden="false" customHeight="true" outlineLevel="0" collapsed="false">
      <c r="A4752" s="3" t="s">
        <v>5922</v>
      </c>
      <c r="B4752" s="3" t="s">
        <v>2428</v>
      </c>
      <c r="C4752" s="3" t="s">
        <v>68</v>
      </c>
      <c r="D4752" s="3" t="s">
        <v>61</v>
      </c>
      <c r="E4752" s="3" t="s">
        <v>33</v>
      </c>
      <c r="F4752" s="3" t="s">
        <v>62</v>
      </c>
      <c r="G4752" s="3" t="s">
        <v>84</v>
      </c>
      <c r="H4752" s="3" t="s">
        <v>64</v>
      </c>
      <c r="I4752" s="3" t="s">
        <v>90</v>
      </c>
      <c r="J4752" s="3" t="n">
        <v>32</v>
      </c>
      <c r="K4752" s="3" t="n">
        <v>4491.67</v>
      </c>
      <c r="L4752" s="3" t="n">
        <v>143733.44</v>
      </c>
      <c r="M4752" s="3" t="n">
        <v>0.054</v>
      </c>
      <c r="N4752" s="3" t="n">
        <v>7761.61</v>
      </c>
      <c r="O4752" s="3" t="n">
        <v>135971.83</v>
      </c>
      <c r="P4752" s="3" t="n">
        <v>83365.4</v>
      </c>
      <c r="Q4752" s="3" t="n">
        <v>52606.43</v>
      </c>
      <c r="R4752" s="3" t="n">
        <v>0.3869</v>
      </c>
      <c r="S4752" s="3" t="n">
        <v>0.056</v>
      </c>
      <c r="T4752" s="3" t="n">
        <v>-0.002</v>
      </c>
    </row>
    <row r="4753" customFormat="false" ht="15" hidden="false" customHeight="true" outlineLevel="0" collapsed="false">
      <c r="A4753" s="3" t="s">
        <v>5923</v>
      </c>
      <c r="B4753" s="3" t="s">
        <v>2332</v>
      </c>
      <c r="C4753" s="3" t="s">
        <v>46</v>
      </c>
      <c r="D4753" s="3" t="s">
        <v>47</v>
      </c>
      <c r="E4753" s="3" t="s">
        <v>48</v>
      </c>
      <c r="F4753" s="3" t="s">
        <v>25</v>
      </c>
      <c r="G4753" s="3" t="s">
        <v>104</v>
      </c>
      <c r="H4753" s="3" t="s">
        <v>56</v>
      </c>
      <c r="I4753" s="3" t="s">
        <v>188</v>
      </c>
      <c r="J4753" s="3" t="n">
        <v>29</v>
      </c>
      <c r="K4753" s="3" t="n">
        <v>6713.02</v>
      </c>
      <c r="L4753" s="3" t="n">
        <v>194677.58</v>
      </c>
      <c r="M4753" s="3" t="n">
        <v>0.2101</v>
      </c>
      <c r="N4753" s="3" t="n">
        <v>40901.76</v>
      </c>
      <c r="O4753" s="3" t="n">
        <v>153775.82</v>
      </c>
      <c r="P4753" s="3" t="n">
        <v>116806.55</v>
      </c>
      <c r="Q4753" s="3" t="n">
        <v>36969.27</v>
      </c>
      <c r="R4753" s="3" t="n">
        <v>0.2404</v>
      </c>
      <c r="S4753" s="3" t="n">
        <v>0.2227</v>
      </c>
      <c r="T4753" s="3" t="n">
        <v>-0.0126</v>
      </c>
    </row>
    <row r="4754" customFormat="false" ht="15" hidden="false" customHeight="true" outlineLevel="0" collapsed="false">
      <c r="A4754" s="3" t="s">
        <v>5924</v>
      </c>
      <c r="B4754" s="3" t="s">
        <v>887</v>
      </c>
      <c r="C4754" s="3" t="s">
        <v>68</v>
      </c>
      <c r="D4754" s="3" t="s">
        <v>47</v>
      </c>
      <c r="E4754" s="3" t="s">
        <v>48</v>
      </c>
      <c r="F4754" s="3" t="s">
        <v>25</v>
      </c>
      <c r="G4754" s="3" t="s">
        <v>26</v>
      </c>
      <c r="H4754" s="3" t="s">
        <v>42</v>
      </c>
      <c r="I4754" s="3" t="s">
        <v>43</v>
      </c>
      <c r="J4754" s="3" t="n">
        <v>48</v>
      </c>
      <c r="K4754" s="3" t="n">
        <v>1485.94</v>
      </c>
      <c r="L4754" s="3" t="n">
        <v>71325.12</v>
      </c>
      <c r="M4754" s="3" t="n">
        <v>0.1035</v>
      </c>
      <c r="N4754" s="3" t="n">
        <v>7382.15</v>
      </c>
      <c r="O4754" s="3" t="n">
        <v>63942.97</v>
      </c>
      <c r="P4754" s="3" t="n">
        <v>39228.82</v>
      </c>
      <c r="Q4754" s="3" t="n">
        <v>24714.15</v>
      </c>
      <c r="R4754" s="3" t="n">
        <v>0.3865</v>
      </c>
      <c r="S4754" s="3" t="n">
        <v>0.0843</v>
      </c>
      <c r="T4754" s="3" t="n">
        <v>0.0192</v>
      </c>
    </row>
    <row r="4755" customFormat="false" ht="15" hidden="false" customHeight="true" outlineLevel="0" collapsed="false">
      <c r="A4755" s="3" t="s">
        <v>5925</v>
      </c>
      <c r="B4755" s="3" t="s">
        <v>699</v>
      </c>
      <c r="C4755" s="3" t="s">
        <v>22</v>
      </c>
      <c r="D4755" s="3" t="s">
        <v>32</v>
      </c>
      <c r="E4755" s="3" t="s">
        <v>33</v>
      </c>
      <c r="F4755" s="3" t="s">
        <v>25</v>
      </c>
      <c r="G4755" s="3" t="s">
        <v>76</v>
      </c>
      <c r="H4755" s="3" t="s">
        <v>42</v>
      </c>
      <c r="I4755" s="3" t="s">
        <v>43</v>
      </c>
      <c r="J4755" s="3" t="n">
        <v>1</v>
      </c>
      <c r="K4755" s="3" t="n">
        <v>771.23</v>
      </c>
      <c r="L4755" s="3" t="n">
        <v>771.23</v>
      </c>
      <c r="M4755" s="3" t="n">
        <v>0.1012</v>
      </c>
      <c r="N4755" s="3" t="n">
        <v>78.05</v>
      </c>
      <c r="O4755" s="3" t="n">
        <v>693.18</v>
      </c>
      <c r="P4755" s="3" t="n">
        <v>424.18</v>
      </c>
      <c r="Q4755" s="3" t="n">
        <v>269</v>
      </c>
      <c r="R4755" s="3" t="n">
        <v>0.3881</v>
      </c>
      <c r="S4755" s="3" t="n">
        <v>0.085</v>
      </c>
      <c r="T4755" s="3" t="n">
        <v>0.0162</v>
      </c>
    </row>
    <row r="4756" customFormat="false" ht="15" hidden="false" customHeight="true" outlineLevel="0" collapsed="false">
      <c r="A4756" s="3" t="s">
        <v>5926</v>
      </c>
      <c r="B4756" s="3" t="s">
        <v>260</v>
      </c>
      <c r="C4756" s="3" t="s">
        <v>31</v>
      </c>
      <c r="D4756" s="3" t="s">
        <v>54</v>
      </c>
      <c r="E4756" s="3" t="s">
        <v>24</v>
      </c>
      <c r="F4756" s="3" t="s">
        <v>40</v>
      </c>
      <c r="G4756" s="3" t="s">
        <v>84</v>
      </c>
      <c r="H4756" s="3" t="s">
        <v>64</v>
      </c>
      <c r="I4756" s="3" t="s">
        <v>108</v>
      </c>
      <c r="J4756" s="3" t="n">
        <v>12</v>
      </c>
      <c r="K4756" s="3" t="n">
        <v>3506.06</v>
      </c>
      <c r="L4756" s="3" t="n">
        <v>42072.72</v>
      </c>
      <c r="M4756" s="3" t="n">
        <v>0.0511</v>
      </c>
      <c r="N4756" s="3" t="n">
        <v>2149.92</v>
      </c>
      <c r="O4756" s="3" t="n">
        <v>39922.8</v>
      </c>
      <c r="P4756" s="3" t="n">
        <v>24402.18</v>
      </c>
      <c r="Q4756" s="3" t="n">
        <v>15520.62</v>
      </c>
      <c r="R4756" s="3" t="n">
        <v>0.3888</v>
      </c>
      <c r="S4756" s="3" t="n">
        <v>0.049</v>
      </c>
      <c r="T4756" s="3" t="n">
        <v>0.0021</v>
      </c>
    </row>
    <row r="4757" customFormat="false" ht="15" hidden="false" customHeight="true" outlineLevel="0" collapsed="false">
      <c r="A4757" s="3" t="s">
        <v>5927</v>
      </c>
      <c r="B4757" s="3" t="s">
        <v>3655</v>
      </c>
      <c r="C4757" s="3" t="s">
        <v>22</v>
      </c>
      <c r="D4757" s="3" t="s">
        <v>61</v>
      </c>
      <c r="E4757" s="3" t="s">
        <v>33</v>
      </c>
      <c r="F4757" s="3" t="s">
        <v>62</v>
      </c>
      <c r="G4757" s="3" t="s">
        <v>63</v>
      </c>
      <c r="H4757" s="3" t="s">
        <v>42</v>
      </c>
      <c r="I4757" s="3" t="s">
        <v>72</v>
      </c>
      <c r="J4757" s="3" t="n">
        <v>23</v>
      </c>
      <c r="K4757" s="3" t="n">
        <v>1277.06</v>
      </c>
      <c r="L4757" s="3" t="n">
        <v>29372.38</v>
      </c>
      <c r="M4757" s="3" t="n">
        <v>0.0459</v>
      </c>
      <c r="N4757" s="3" t="n">
        <v>1348.19</v>
      </c>
      <c r="O4757" s="3" t="n">
        <v>28024.19</v>
      </c>
      <c r="P4757" s="3" t="n">
        <v>16154.81</v>
      </c>
      <c r="Q4757" s="3" t="n">
        <v>11869.38</v>
      </c>
      <c r="R4757" s="3" t="n">
        <v>0.4235</v>
      </c>
      <c r="S4757" s="3" t="n">
        <v>0.0447</v>
      </c>
      <c r="T4757" s="3" t="n">
        <v>0.0012</v>
      </c>
    </row>
    <row r="4758" customFormat="false" ht="15" hidden="false" customHeight="true" outlineLevel="0" collapsed="false">
      <c r="A4758" s="3" t="s">
        <v>5928</v>
      </c>
      <c r="B4758" s="3" t="s">
        <v>635</v>
      </c>
      <c r="C4758" s="3" t="s">
        <v>68</v>
      </c>
      <c r="D4758" s="3" t="s">
        <v>103</v>
      </c>
      <c r="E4758" s="3" t="s">
        <v>24</v>
      </c>
      <c r="F4758" s="3" t="s">
        <v>62</v>
      </c>
      <c r="G4758" s="3" t="s">
        <v>71</v>
      </c>
      <c r="H4758" s="3" t="s">
        <v>64</v>
      </c>
      <c r="I4758" s="3" t="s">
        <v>65</v>
      </c>
      <c r="J4758" s="3" t="n">
        <v>8</v>
      </c>
      <c r="K4758" s="3" t="n">
        <v>3715.14</v>
      </c>
      <c r="L4758" s="3" t="n">
        <v>29721.12</v>
      </c>
      <c r="M4758" s="3" t="n">
        <v>0.066</v>
      </c>
      <c r="N4758" s="3" t="n">
        <v>1961.59</v>
      </c>
      <c r="O4758" s="3" t="n">
        <v>27759.53</v>
      </c>
      <c r="P4758" s="3" t="n">
        <v>17238.25</v>
      </c>
      <c r="Q4758" s="3" t="n">
        <v>10521.28</v>
      </c>
      <c r="R4758" s="3" t="n">
        <v>0.379</v>
      </c>
      <c r="S4758" s="3" t="n">
        <v>0.0588</v>
      </c>
      <c r="T4758" s="3" t="n">
        <v>0.0072</v>
      </c>
    </row>
    <row r="4759" customFormat="false" ht="15" hidden="false" customHeight="true" outlineLevel="0" collapsed="false">
      <c r="A4759" s="3" t="s">
        <v>5929</v>
      </c>
      <c r="B4759" s="3" t="s">
        <v>1554</v>
      </c>
      <c r="C4759" s="3" t="s">
        <v>22</v>
      </c>
      <c r="D4759" s="3" t="s">
        <v>47</v>
      </c>
      <c r="E4759" s="3" t="s">
        <v>48</v>
      </c>
      <c r="F4759" s="3" t="s">
        <v>25</v>
      </c>
      <c r="G4759" s="3" t="s">
        <v>116</v>
      </c>
      <c r="H4759" s="3" t="s">
        <v>77</v>
      </c>
      <c r="I4759" s="3" t="s">
        <v>131</v>
      </c>
      <c r="J4759" s="3" t="n">
        <v>31</v>
      </c>
      <c r="K4759" s="3" t="n">
        <v>5100.54</v>
      </c>
      <c r="L4759" s="3" t="n">
        <v>158116.74</v>
      </c>
      <c r="M4759" s="3" t="n">
        <v>0.1245</v>
      </c>
      <c r="N4759" s="3" t="n">
        <v>19685.53</v>
      </c>
      <c r="O4759" s="3" t="n">
        <v>138431.21</v>
      </c>
      <c r="P4759" s="3" t="n">
        <v>107519.38</v>
      </c>
      <c r="Q4759" s="3" t="n">
        <v>30911.83</v>
      </c>
      <c r="R4759" s="3" t="n">
        <v>0.2233</v>
      </c>
      <c r="S4759" s="3" t="n">
        <v>0.1364</v>
      </c>
      <c r="T4759" s="3" t="n">
        <v>-0.0119</v>
      </c>
    </row>
    <row r="4760" customFormat="false" ht="15" hidden="false" customHeight="true" outlineLevel="0" collapsed="false">
      <c r="A4760" s="3" t="s">
        <v>5930</v>
      </c>
      <c r="B4760" s="3" t="s">
        <v>168</v>
      </c>
      <c r="C4760" s="3" t="s">
        <v>156</v>
      </c>
      <c r="D4760" s="3" t="s">
        <v>97</v>
      </c>
      <c r="E4760" s="3" t="s">
        <v>48</v>
      </c>
      <c r="F4760" s="3" t="s">
        <v>40</v>
      </c>
      <c r="G4760" s="3" t="s">
        <v>55</v>
      </c>
      <c r="H4760" s="3" t="s">
        <v>77</v>
      </c>
      <c r="I4760" s="3" t="s">
        <v>78</v>
      </c>
      <c r="J4760" s="3" t="n">
        <v>29</v>
      </c>
      <c r="K4760" s="3" t="n">
        <v>2114.68</v>
      </c>
      <c r="L4760" s="3" t="n">
        <v>61325.72</v>
      </c>
      <c r="M4760" s="3" t="n">
        <v>0.048</v>
      </c>
      <c r="N4760" s="3" t="n">
        <v>2943.63</v>
      </c>
      <c r="O4760" s="3" t="n">
        <v>58382.09</v>
      </c>
      <c r="P4760" s="3" t="n">
        <v>41701.49</v>
      </c>
      <c r="Q4760" s="3" t="n">
        <v>16680.6</v>
      </c>
      <c r="R4760" s="3" t="n">
        <v>0.2857</v>
      </c>
      <c r="S4760" s="3" t="n">
        <v>0.0499</v>
      </c>
      <c r="T4760" s="3" t="n">
        <v>-0.0019</v>
      </c>
    </row>
    <row r="4761" customFormat="false" ht="15" hidden="false" customHeight="true" outlineLevel="0" collapsed="false">
      <c r="A4761" s="3" t="s">
        <v>5931</v>
      </c>
      <c r="B4761" s="3" t="s">
        <v>4263</v>
      </c>
      <c r="C4761" s="3" t="s">
        <v>31</v>
      </c>
      <c r="D4761" s="3" t="s">
        <v>69</v>
      </c>
      <c r="E4761" s="3" t="s">
        <v>39</v>
      </c>
      <c r="F4761" s="3" t="s">
        <v>70</v>
      </c>
      <c r="G4761" s="3" t="s">
        <v>116</v>
      </c>
      <c r="H4761" s="3" t="s">
        <v>27</v>
      </c>
      <c r="I4761" s="3" t="s">
        <v>117</v>
      </c>
      <c r="J4761" s="3" t="n">
        <v>45</v>
      </c>
      <c r="K4761" s="3" t="n">
        <v>30580.58</v>
      </c>
      <c r="L4761" s="3" t="n">
        <v>1376126.1</v>
      </c>
      <c r="M4761" s="3" t="n">
        <v>0.1339</v>
      </c>
      <c r="N4761" s="3" t="n">
        <v>184263.28</v>
      </c>
      <c r="O4761" s="3" t="n">
        <v>1191862.82</v>
      </c>
      <c r="P4761" s="3" t="n">
        <v>853198.18</v>
      </c>
      <c r="Q4761" s="3" t="n">
        <v>338664.64</v>
      </c>
      <c r="R4761" s="3" t="n">
        <v>0.2841</v>
      </c>
      <c r="S4761" s="3" t="n">
        <v>0.1157</v>
      </c>
      <c r="T4761" s="3" t="n">
        <v>0.0182</v>
      </c>
    </row>
    <row r="4762" customFormat="false" ht="15" hidden="false" customHeight="true" outlineLevel="0" collapsed="false">
      <c r="A4762" s="3" t="s">
        <v>5932</v>
      </c>
      <c r="B4762" s="3" t="s">
        <v>187</v>
      </c>
      <c r="C4762" s="3" t="s">
        <v>156</v>
      </c>
      <c r="D4762" s="3" t="s">
        <v>69</v>
      </c>
      <c r="E4762" s="3" t="s">
        <v>39</v>
      </c>
      <c r="F4762" s="3" t="s">
        <v>70</v>
      </c>
      <c r="G4762" s="3" t="s">
        <v>71</v>
      </c>
      <c r="H4762" s="3" t="s">
        <v>64</v>
      </c>
      <c r="I4762" s="3" t="s">
        <v>90</v>
      </c>
      <c r="J4762" s="3" t="n">
        <v>6</v>
      </c>
      <c r="K4762" s="3" t="n">
        <v>8930.69</v>
      </c>
      <c r="L4762" s="3" t="n">
        <v>53584.14</v>
      </c>
      <c r="M4762" s="3" t="n">
        <v>0.0721</v>
      </c>
      <c r="N4762" s="3" t="n">
        <v>3863.42</v>
      </c>
      <c r="O4762" s="3" t="n">
        <v>49720.72</v>
      </c>
      <c r="P4762" s="3" t="n">
        <v>31078.8</v>
      </c>
      <c r="Q4762" s="3" t="n">
        <v>18641.92</v>
      </c>
      <c r="R4762" s="3" t="n">
        <v>0.3749</v>
      </c>
      <c r="S4762" s="3" t="n">
        <v>0.0598</v>
      </c>
      <c r="T4762" s="3" t="n">
        <v>0.0123</v>
      </c>
    </row>
    <row r="4763" customFormat="false" ht="15" hidden="false" customHeight="true" outlineLevel="0" collapsed="false">
      <c r="A4763" s="3" t="s">
        <v>5933</v>
      </c>
      <c r="B4763" s="3" t="s">
        <v>147</v>
      </c>
      <c r="C4763" s="3" t="s">
        <v>60</v>
      </c>
      <c r="D4763" s="3" t="s">
        <v>54</v>
      </c>
      <c r="E4763" s="3" t="s">
        <v>24</v>
      </c>
      <c r="F4763" s="3" t="s">
        <v>40</v>
      </c>
      <c r="G4763" s="3" t="s">
        <v>63</v>
      </c>
      <c r="H4763" s="3" t="s">
        <v>56</v>
      </c>
      <c r="I4763" s="3" t="s">
        <v>188</v>
      </c>
      <c r="J4763" s="3" t="n">
        <v>36</v>
      </c>
      <c r="K4763" s="3" t="n">
        <v>4503.76</v>
      </c>
      <c r="L4763" s="3" t="n">
        <v>162135.36</v>
      </c>
      <c r="M4763" s="3" t="n">
        <v>0.0608</v>
      </c>
      <c r="N4763" s="3" t="n">
        <v>9857.83</v>
      </c>
      <c r="O4763" s="3" t="n">
        <v>152277.53</v>
      </c>
      <c r="P4763" s="3" t="n">
        <v>97281.22</v>
      </c>
      <c r="Q4763" s="3" t="n">
        <v>54996.31</v>
      </c>
      <c r="R4763" s="3" t="n">
        <v>0.3612</v>
      </c>
      <c r="S4763" s="3" t="n">
        <v>0.0654</v>
      </c>
      <c r="T4763" s="3" t="n">
        <v>-0.0046</v>
      </c>
    </row>
    <row r="4764" customFormat="false" ht="15" hidden="false" customHeight="true" outlineLevel="0" collapsed="false">
      <c r="A4764" s="3" t="s">
        <v>5934</v>
      </c>
      <c r="B4764" s="3" t="s">
        <v>2789</v>
      </c>
      <c r="C4764" s="3" t="s">
        <v>31</v>
      </c>
      <c r="D4764" s="3" t="s">
        <v>75</v>
      </c>
      <c r="E4764" s="3" t="s">
        <v>39</v>
      </c>
      <c r="F4764" s="3" t="s">
        <v>25</v>
      </c>
      <c r="G4764" s="3" t="s">
        <v>104</v>
      </c>
      <c r="H4764" s="3" t="s">
        <v>42</v>
      </c>
      <c r="I4764" s="3" t="s">
        <v>43</v>
      </c>
      <c r="J4764" s="3" t="n">
        <v>14</v>
      </c>
      <c r="K4764" s="3" t="n">
        <v>1955.75</v>
      </c>
      <c r="L4764" s="3" t="n">
        <v>27380.5</v>
      </c>
      <c r="M4764" s="3" t="n">
        <v>0.1768</v>
      </c>
      <c r="N4764" s="3" t="n">
        <v>4840.87</v>
      </c>
      <c r="O4764" s="3" t="n">
        <v>22539.63</v>
      </c>
      <c r="P4764" s="3" t="n">
        <v>15059.28</v>
      </c>
      <c r="Q4764" s="3" t="n">
        <v>7480.35</v>
      </c>
      <c r="R4764" s="3" t="n">
        <v>0.3319</v>
      </c>
      <c r="S4764" s="3" t="n">
        <v>0.1906</v>
      </c>
      <c r="T4764" s="3" t="n">
        <v>-0.0138</v>
      </c>
    </row>
    <row r="4765" customFormat="false" ht="15" hidden="false" customHeight="true" outlineLevel="0" collapsed="false">
      <c r="A4765" s="3" t="s">
        <v>5935</v>
      </c>
      <c r="B4765" s="3" t="s">
        <v>1238</v>
      </c>
      <c r="C4765" s="3" t="s">
        <v>126</v>
      </c>
      <c r="D4765" s="3" t="s">
        <v>32</v>
      </c>
      <c r="E4765" s="3" t="s">
        <v>33</v>
      </c>
      <c r="F4765" s="3" t="s">
        <v>25</v>
      </c>
      <c r="G4765" s="3" t="s">
        <v>116</v>
      </c>
      <c r="H4765" s="3" t="s">
        <v>64</v>
      </c>
      <c r="I4765" s="3" t="s">
        <v>145</v>
      </c>
      <c r="J4765" s="3" t="n">
        <v>18</v>
      </c>
      <c r="K4765" s="3" t="n">
        <v>11782.65</v>
      </c>
      <c r="L4765" s="3" t="n">
        <v>212087.7</v>
      </c>
      <c r="M4765" s="3" t="n">
        <v>0.1475</v>
      </c>
      <c r="N4765" s="3" t="n">
        <v>31282.94</v>
      </c>
      <c r="O4765" s="3" t="n">
        <v>180804.76</v>
      </c>
      <c r="P4765" s="3" t="n">
        <v>123010.87</v>
      </c>
      <c r="Q4765" s="3" t="n">
        <v>57793.89</v>
      </c>
      <c r="R4765" s="3" t="n">
        <v>0.3196</v>
      </c>
      <c r="S4765" s="3" t="n">
        <v>0.1547</v>
      </c>
      <c r="T4765" s="3" t="n">
        <v>-0.0072</v>
      </c>
    </row>
    <row r="4766" customFormat="false" ht="15" hidden="false" customHeight="true" outlineLevel="0" collapsed="false">
      <c r="A4766" s="3" t="s">
        <v>5936</v>
      </c>
      <c r="B4766" s="3" t="s">
        <v>1492</v>
      </c>
      <c r="C4766" s="3" t="s">
        <v>37</v>
      </c>
      <c r="D4766" s="3" t="s">
        <v>61</v>
      </c>
      <c r="E4766" s="3" t="s">
        <v>33</v>
      </c>
      <c r="F4766" s="3" t="s">
        <v>62</v>
      </c>
      <c r="G4766" s="3" t="s">
        <v>26</v>
      </c>
      <c r="H4766" s="3" t="s">
        <v>27</v>
      </c>
      <c r="I4766" s="3" t="s">
        <v>94</v>
      </c>
      <c r="J4766" s="3" t="n">
        <v>3</v>
      </c>
      <c r="K4766" s="3" t="n">
        <v>35309.35</v>
      </c>
      <c r="L4766" s="3" t="n">
        <v>105928.05</v>
      </c>
      <c r="M4766" s="3" t="n">
        <v>0.0778</v>
      </c>
      <c r="N4766" s="3" t="n">
        <v>8241.2</v>
      </c>
      <c r="O4766" s="3" t="n">
        <v>97686.85</v>
      </c>
      <c r="P4766" s="3" t="n">
        <v>65675.39</v>
      </c>
      <c r="Q4766" s="3" t="n">
        <v>32011.46</v>
      </c>
      <c r="R4766" s="3" t="n">
        <v>0.3277</v>
      </c>
      <c r="S4766" s="3" t="n">
        <v>0.0635</v>
      </c>
      <c r="T4766" s="3" t="n">
        <v>0.0143</v>
      </c>
    </row>
    <row r="4767" customFormat="false" ht="15" hidden="false" customHeight="true" outlineLevel="0" collapsed="false">
      <c r="A4767" s="3" t="s">
        <v>5937</v>
      </c>
      <c r="B4767" s="3" t="s">
        <v>160</v>
      </c>
      <c r="C4767" s="3" t="s">
        <v>31</v>
      </c>
      <c r="D4767" s="3" t="s">
        <v>103</v>
      </c>
      <c r="E4767" s="3" t="s">
        <v>24</v>
      </c>
      <c r="F4767" s="3" t="s">
        <v>62</v>
      </c>
      <c r="G4767" s="3" t="s">
        <v>26</v>
      </c>
      <c r="H4767" s="3" t="s">
        <v>64</v>
      </c>
      <c r="I4767" s="3" t="s">
        <v>65</v>
      </c>
      <c r="J4767" s="3" t="n">
        <v>21</v>
      </c>
      <c r="K4767" s="3" t="n">
        <v>4012.55</v>
      </c>
      <c r="L4767" s="3" t="n">
        <v>84263.55</v>
      </c>
      <c r="M4767" s="3" t="n">
        <v>0.0606</v>
      </c>
      <c r="N4767" s="3" t="n">
        <v>5106.37</v>
      </c>
      <c r="O4767" s="3" t="n">
        <v>79157.18</v>
      </c>
      <c r="P4767" s="3" t="n">
        <v>48872.86</v>
      </c>
      <c r="Q4767" s="3" t="n">
        <v>30284.32</v>
      </c>
      <c r="R4767" s="3" t="n">
        <v>0.3826</v>
      </c>
      <c r="S4767" s="3" t="n">
        <v>0.0495</v>
      </c>
      <c r="T4767" s="3" t="n">
        <v>0.0111</v>
      </c>
    </row>
    <row r="4768" customFormat="false" ht="15" hidden="false" customHeight="true" outlineLevel="0" collapsed="false">
      <c r="A4768" s="3" t="s">
        <v>5938</v>
      </c>
      <c r="B4768" s="3" t="s">
        <v>5246</v>
      </c>
      <c r="C4768" s="3" t="s">
        <v>68</v>
      </c>
      <c r="D4768" s="3" t="s">
        <v>75</v>
      </c>
      <c r="E4768" s="3" t="s">
        <v>39</v>
      </c>
      <c r="F4768" s="3" t="s">
        <v>25</v>
      </c>
      <c r="G4768" s="3" t="s">
        <v>55</v>
      </c>
      <c r="H4768" s="3" t="s">
        <v>77</v>
      </c>
      <c r="I4768" s="3" t="s">
        <v>78</v>
      </c>
      <c r="J4768" s="3" t="n">
        <v>45</v>
      </c>
      <c r="K4768" s="3" t="n">
        <v>4946.2</v>
      </c>
      <c r="L4768" s="3" t="n">
        <v>222579</v>
      </c>
      <c r="M4768" s="3" t="n">
        <v>0.1769</v>
      </c>
      <c r="N4768" s="3" t="n">
        <v>39374.23</v>
      </c>
      <c r="O4768" s="3" t="n">
        <v>183204.77</v>
      </c>
      <c r="P4768" s="3" t="n">
        <v>151353.72</v>
      </c>
      <c r="Q4768" s="3" t="n">
        <v>31851.05</v>
      </c>
      <c r="R4768" s="3" t="n">
        <v>0.1739</v>
      </c>
      <c r="S4768" s="3" t="n">
        <v>0.1944</v>
      </c>
      <c r="T4768" s="3" t="n">
        <v>-0.0175</v>
      </c>
    </row>
    <row r="4769" customFormat="false" ht="15" hidden="false" customHeight="true" outlineLevel="0" collapsed="false">
      <c r="A4769" s="3" t="s">
        <v>5939</v>
      </c>
      <c r="B4769" s="3" t="s">
        <v>162</v>
      </c>
      <c r="C4769" s="3" t="s">
        <v>37</v>
      </c>
      <c r="D4769" s="3" t="s">
        <v>38</v>
      </c>
      <c r="E4769" s="3" t="s">
        <v>39</v>
      </c>
      <c r="F4769" s="3" t="s">
        <v>40</v>
      </c>
      <c r="G4769" s="3" t="s">
        <v>104</v>
      </c>
      <c r="H4769" s="3" t="s">
        <v>77</v>
      </c>
      <c r="I4769" s="3" t="s">
        <v>78</v>
      </c>
      <c r="J4769" s="3" t="n">
        <v>17</v>
      </c>
      <c r="K4769" s="3" t="n">
        <v>5267.26</v>
      </c>
      <c r="L4769" s="3" t="n">
        <v>89543.42</v>
      </c>
      <c r="M4769" s="3" t="n">
        <v>0.1293</v>
      </c>
      <c r="N4769" s="3" t="n">
        <v>11577.96</v>
      </c>
      <c r="O4769" s="3" t="n">
        <v>77965.46</v>
      </c>
      <c r="P4769" s="3" t="n">
        <v>60889.53</v>
      </c>
      <c r="Q4769" s="3" t="n">
        <v>17075.93</v>
      </c>
      <c r="R4769" s="3" t="n">
        <v>0.219</v>
      </c>
      <c r="S4769" s="3" t="n">
        <v>0.1181</v>
      </c>
      <c r="T4769" s="3" t="n">
        <v>0.0112</v>
      </c>
    </row>
    <row r="4770" customFormat="false" ht="15" hidden="false" customHeight="true" outlineLevel="0" collapsed="false">
      <c r="A4770" s="3" t="s">
        <v>5940</v>
      </c>
      <c r="B4770" s="3" t="s">
        <v>2510</v>
      </c>
      <c r="C4770" s="3" t="s">
        <v>53</v>
      </c>
      <c r="D4770" s="3" t="s">
        <v>103</v>
      </c>
      <c r="E4770" s="3" t="s">
        <v>24</v>
      </c>
      <c r="F4770" s="3" t="s">
        <v>62</v>
      </c>
      <c r="G4770" s="3" t="s">
        <v>104</v>
      </c>
      <c r="H4770" s="3" t="s">
        <v>77</v>
      </c>
      <c r="I4770" s="3" t="s">
        <v>78</v>
      </c>
      <c r="J4770" s="3" t="n">
        <v>11</v>
      </c>
      <c r="K4770" s="3" t="n">
        <v>5219.48</v>
      </c>
      <c r="L4770" s="3" t="n">
        <v>57414.28</v>
      </c>
      <c r="M4770" s="3" t="n">
        <v>0.075</v>
      </c>
      <c r="N4770" s="3" t="n">
        <v>4306.07</v>
      </c>
      <c r="O4770" s="3" t="n">
        <v>53108.21</v>
      </c>
      <c r="P4770" s="3" t="n">
        <v>39041.71</v>
      </c>
      <c r="Q4770" s="3" t="n">
        <v>14066.5</v>
      </c>
      <c r="R4770" s="3" t="n">
        <v>0.2649</v>
      </c>
      <c r="S4770" s="3" t="n">
        <v>0.077</v>
      </c>
      <c r="T4770" s="3" t="n">
        <v>-0.002</v>
      </c>
    </row>
    <row r="4771" customFormat="false" ht="15" hidden="false" customHeight="true" outlineLevel="0" collapsed="false">
      <c r="A4771" s="3" t="s">
        <v>5941</v>
      </c>
      <c r="B4771" s="3" t="s">
        <v>3187</v>
      </c>
      <c r="C4771" s="3" t="s">
        <v>68</v>
      </c>
      <c r="D4771" s="3" t="s">
        <v>47</v>
      </c>
      <c r="E4771" s="3" t="s">
        <v>48</v>
      </c>
      <c r="F4771" s="3" t="s">
        <v>25</v>
      </c>
      <c r="G4771" s="3" t="s">
        <v>71</v>
      </c>
      <c r="H4771" s="3" t="s">
        <v>56</v>
      </c>
      <c r="I4771" s="3" t="s">
        <v>57</v>
      </c>
      <c r="J4771" s="3" t="n">
        <v>33</v>
      </c>
      <c r="K4771" s="3" t="n">
        <v>13938.59</v>
      </c>
      <c r="L4771" s="3" t="n">
        <v>459973.47</v>
      </c>
      <c r="M4771" s="3" t="n">
        <v>0.0995</v>
      </c>
      <c r="N4771" s="3" t="n">
        <v>45767.36</v>
      </c>
      <c r="O4771" s="3" t="n">
        <v>414206.11</v>
      </c>
      <c r="P4771" s="3" t="n">
        <v>275984.08</v>
      </c>
      <c r="Q4771" s="3" t="n">
        <v>138222.03</v>
      </c>
      <c r="R4771" s="3" t="n">
        <v>0.3337</v>
      </c>
      <c r="S4771" s="3" t="n">
        <v>0.0897</v>
      </c>
      <c r="T4771" s="3" t="n">
        <v>0.0098</v>
      </c>
    </row>
    <row r="4772" customFormat="false" ht="15" hidden="false" customHeight="true" outlineLevel="0" collapsed="false">
      <c r="A4772" s="3" t="s">
        <v>5942</v>
      </c>
      <c r="B4772" s="3" t="s">
        <v>119</v>
      </c>
      <c r="C4772" s="3" t="s">
        <v>120</v>
      </c>
      <c r="D4772" s="3" t="s">
        <v>54</v>
      </c>
      <c r="E4772" s="3" t="s">
        <v>24</v>
      </c>
      <c r="F4772" s="3" t="s">
        <v>40</v>
      </c>
      <c r="G4772" s="3" t="s">
        <v>41</v>
      </c>
      <c r="H4772" s="3" t="s">
        <v>27</v>
      </c>
      <c r="I4772" s="3" t="s">
        <v>94</v>
      </c>
      <c r="J4772" s="3" t="n">
        <v>32</v>
      </c>
      <c r="K4772" s="3" t="n">
        <v>23956.57</v>
      </c>
      <c r="L4772" s="3" t="n">
        <v>766610.24</v>
      </c>
      <c r="M4772" s="3" t="n">
        <v>0.0601</v>
      </c>
      <c r="N4772" s="3" t="n">
        <v>46073.28</v>
      </c>
      <c r="O4772" s="3" t="n">
        <v>720536.96</v>
      </c>
      <c r="P4772" s="3" t="n">
        <v>475298.35</v>
      </c>
      <c r="Q4772" s="3" t="n">
        <v>245238.61</v>
      </c>
      <c r="R4772" s="3" t="n">
        <v>0.3404</v>
      </c>
      <c r="S4772" s="3" t="n">
        <v>0.055</v>
      </c>
      <c r="T4772" s="3" t="n">
        <v>0.0051</v>
      </c>
    </row>
    <row r="4773" customFormat="false" ht="15" hidden="false" customHeight="true" outlineLevel="0" collapsed="false">
      <c r="A4773" s="3" t="s">
        <v>5943</v>
      </c>
      <c r="B4773" s="3" t="s">
        <v>1050</v>
      </c>
      <c r="C4773" s="3" t="s">
        <v>93</v>
      </c>
      <c r="D4773" s="3" t="s">
        <v>103</v>
      </c>
      <c r="E4773" s="3" t="s">
        <v>24</v>
      </c>
      <c r="F4773" s="3" t="s">
        <v>62</v>
      </c>
      <c r="G4773" s="3" t="s">
        <v>116</v>
      </c>
      <c r="H4773" s="3" t="s">
        <v>56</v>
      </c>
      <c r="I4773" s="3" t="s">
        <v>188</v>
      </c>
      <c r="J4773" s="3" t="n">
        <v>43</v>
      </c>
      <c r="K4773" s="3" t="n">
        <v>11080.36</v>
      </c>
      <c r="L4773" s="3" t="n">
        <v>476455.48</v>
      </c>
      <c r="M4773" s="3" t="n">
        <v>0.1025</v>
      </c>
      <c r="N4773" s="3" t="n">
        <v>48836.69</v>
      </c>
      <c r="O4773" s="3" t="n">
        <v>427618.79</v>
      </c>
      <c r="P4773" s="3" t="n">
        <v>285873.29</v>
      </c>
      <c r="Q4773" s="3" t="n">
        <v>141745.5</v>
      </c>
      <c r="R4773" s="3" t="n">
        <v>0.3315</v>
      </c>
      <c r="S4773" s="3" t="n">
        <v>0.0833</v>
      </c>
      <c r="T4773" s="3" t="n">
        <v>0.0192</v>
      </c>
    </row>
    <row r="4774" customFormat="false" ht="15" hidden="false" customHeight="true" outlineLevel="0" collapsed="false">
      <c r="A4774" s="3" t="s">
        <v>5944</v>
      </c>
      <c r="B4774" s="3" t="s">
        <v>1031</v>
      </c>
      <c r="C4774" s="3" t="s">
        <v>126</v>
      </c>
      <c r="D4774" s="3" t="s">
        <v>75</v>
      </c>
      <c r="E4774" s="3" t="s">
        <v>39</v>
      </c>
      <c r="F4774" s="3" t="s">
        <v>25</v>
      </c>
      <c r="G4774" s="3" t="s">
        <v>26</v>
      </c>
      <c r="H4774" s="3" t="s">
        <v>77</v>
      </c>
      <c r="I4774" s="3" t="s">
        <v>78</v>
      </c>
      <c r="J4774" s="3" t="n">
        <v>21</v>
      </c>
      <c r="K4774" s="3" t="n">
        <v>3832.33</v>
      </c>
      <c r="L4774" s="3" t="n">
        <v>80478.93</v>
      </c>
      <c r="M4774" s="3" t="n">
        <v>0.1354</v>
      </c>
      <c r="N4774" s="3" t="n">
        <v>10896.85</v>
      </c>
      <c r="O4774" s="3" t="n">
        <v>69582.08</v>
      </c>
      <c r="P4774" s="3" t="n">
        <v>54725.67</v>
      </c>
      <c r="Q4774" s="3" t="n">
        <v>14856.41</v>
      </c>
      <c r="R4774" s="3" t="n">
        <v>0.2135</v>
      </c>
      <c r="S4774" s="3" t="n">
        <v>0.112</v>
      </c>
      <c r="T4774" s="3" t="n">
        <v>0.0234</v>
      </c>
    </row>
    <row r="4775" customFormat="false" ht="15" hidden="false" customHeight="true" outlineLevel="0" collapsed="false">
      <c r="A4775" s="3" t="s">
        <v>5945</v>
      </c>
      <c r="B4775" s="3" t="s">
        <v>445</v>
      </c>
      <c r="C4775" s="3" t="s">
        <v>68</v>
      </c>
      <c r="D4775" s="3" t="s">
        <v>54</v>
      </c>
      <c r="E4775" s="3" t="s">
        <v>24</v>
      </c>
      <c r="F4775" s="3" t="s">
        <v>40</v>
      </c>
      <c r="G4775" s="3" t="s">
        <v>41</v>
      </c>
      <c r="H4775" s="3" t="s">
        <v>42</v>
      </c>
      <c r="I4775" s="3" t="s">
        <v>72</v>
      </c>
      <c r="J4775" s="3" t="n">
        <v>17</v>
      </c>
      <c r="K4775" s="3" t="n">
        <v>2684.46</v>
      </c>
      <c r="L4775" s="3" t="n">
        <v>45635.82</v>
      </c>
      <c r="M4775" s="3" t="n">
        <v>0.1182</v>
      </c>
      <c r="N4775" s="3" t="n">
        <v>5394.15</v>
      </c>
      <c r="O4775" s="3" t="n">
        <v>40241.67</v>
      </c>
      <c r="P4775" s="3" t="n">
        <v>25099.7</v>
      </c>
      <c r="Q4775" s="3" t="n">
        <v>15141.97</v>
      </c>
      <c r="R4775" s="3" t="n">
        <v>0.3763</v>
      </c>
      <c r="S4775" s="3" t="n">
        <v>0.1226</v>
      </c>
      <c r="T4775" s="3" t="n">
        <v>-0.0044</v>
      </c>
    </row>
    <row r="4776" customFormat="false" ht="15" hidden="false" customHeight="true" outlineLevel="0" collapsed="false">
      <c r="A4776" s="3" t="s">
        <v>5946</v>
      </c>
      <c r="B4776" s="3" t="s">
        <v>3881</v>
      </c>
      <c r="C4776" s="3" t="s">
        <v>68</v>
      </c>
      <c r="D4776" s="3" t="s">
        <v>32</v>
      </c>
      <c r="E4776" s="3" t="s">
        <v>33</v>
      </c>
      <c r="F4776" s="3" t="s">
        <v>25</v>
      </c>
      <c r="G4776" s="3" t="s">
        <v>104</v>
      </c>
      <c r="H4776" s="3" t="s">
        <v>56</v>
      </c>
      <c r="I4776" s="3" t="s">
        <v>121</v>
      </c>
      <c r="J4776" s="3" t="n">
        <v>3</v>
      </c>
      <c r="K4776" s="3" t="n">
        <v>13199.64</v>
      </c>
      <c r="L4776" s="3" t="n">
        <v>39598.92</v>
      </c>
      <c r="M4776" s="3" t="n">
        <v>0.1679</v>
      </c>
      <c r="N4776" s="3" t="n">
        <v>6648.66</v>
      </c>
      <c r="O4776" s="3" t="n">
        <v>32950.26</v>
      </c>
      <c r="P4776" s="3" t="n">
        <v>23759.35</v>
      </c>
      <c r="Q4776" s="3" t="n">
        <v>9190.91</v>
      </c>
      <c r="R4776" s="3" t="n">
        <v>0.2789</v>
      </c>
      <c r="S4776" s="3" t="n">
        <v>0.1674</v>
      </c>
      <c r="T4776" s="3" t="n">
        <v>0.0005</v>
      </c>
    </row>
    <row r="4777" customFormat="false" ht="15" hidden="false" customHeight="true" outlineLevel="0" collapsed="false">
      <c r="A4777" s="3" t="s">
        <v>5947</v>
      </c>
      <c r="B4777" s="3" t="s">
        <v>4965</v>
      </c>
      <c r="C4777" s="3" t="s">
        <v>22</v>
      </c>
      <c r="D4777" s="3" t="s">
        <v>75</v>
      </c>
      <c r="E4777" s="3" t="s">
        <v>39</v>
      </c>
      <c r="F4777" s="3" t="s">
        <v>25</v>
      </c>
      <c r="G4777" s="3" t="s">
        <v>76</v>
      </c>
      <c r="H4777" s="3" t="s">
        <v>77</v>
      </c>
      <c r="I4777" s="3" t="s">
        <v>85</v>
      </c>
      <c r="J4777" s="3" t="n">
        <v>29</v>
      </c>
      <c r="K4777" s="3" t="n">
        <v>5413.28</v>
      </c>
      <c r="L4777" s="3" t="n">
        <v>156985.12</v>
      </c>
      <c r="M4777" s="3" t="n">
        <v>0.0836</v>
      </c>
      <c r="N4777" s="3" t="n">
        <v>13123.96</v>
      </c>
      <c r="O4777" s="3" t="n">
        <v>143861.16</v>
      </c>
      <c r="P4777" s="3" t="n">
        <v>106749.88</v>
      </c>
      <c r="Q4777" s="3" t="n">
        <v>37111.28</v>
      </c>
      <c r="R4777" s="3" t="n">
        <v>0.258</v>
      </c>
      <c r="S4777" s="3" t="n">
        <v>0.0772</v>
      </c>
      <c r="T4777" s="3" t="n">
        <v>0.0064</v>
      </c>
    </row>
    <row r="4778" customFormat="false" ht="15" hidden="false" customHeight="true" outlineLevel="0" collapsed="false">
      <c r="A4778" s="3" t="s">
        <v>5948</v>
      </c>
      <c r="B4778" s="3" t="s">
        <v>1110</v>
      </c>
      <c r="C4778" s="3" t="s">
        <v>46</v>
      </c>
      <c r="D4778" s="3" t="s">
        <v>38</v>
      </c>
      <c r="E4778" s="3" t="s">
        <v>39</v>
      </c>
      <c r="F4778" s="3" t="s">
        <v>40</v>
      </c>
      <c r="G4778" s="3" t="s">
        <v>76</v>
      </c>
      <c r="H4778" s="3" t="s">
        <v>56</v>
      </c>
      <c r="I4778" s="3" t="s">
        <v>188</v>
      </c>
      <c r="J4778" s="3" t="n">
        <v>1</v>
      </c>
      <c r="K4778" s="3" t="n">
        <v>4397.88</v>
      </c>
      <c r="L4778" s="3" t="n">
        <v>4397.88</v>
      </c>
      <c r="M4778" s="3" t="n">
        <v>0.0523</v>
      </c>
      <c r="N4778" s="3" t="n">
        <v>230.01</v>
      </c>
      <c r="O4778" s="3" t="n">
        <v>4167.87</v>
      </c>
      <c r="P4778" s="3" t="n">
        <v>2638.73</v>
      </c>
      <c r="Q4778" s="3" t="n">
        <v>1529.14</v>
      </c>
      <c r="R4778" s="3" t="n">
        <v>0.3669</v>
      </c>
      <c r="S4778" s="3" t="n">
        <v>0.0522</v>
      </c>
      <c r="T4778" s="3" t="n">
        <v>0.0001</v>
      </c>
    </row>
    <row r="4779" customFormat="false" ht="15" hidden="false" customHeight="true" outlineLevel="0" collapsed="false">
      <c r="A4779" s="3" t="s">
        <v>5949</v>
      </c>
      <c r="B4779" s="3" t="s">
        <v>432</v>
      </c>
      <c r="C4779" s="3" t="s">
        <v>31</v>
      </c>
      <c r="D4779" s="3" t="s">
        <v>61</v>
      </c>
      <c r="E4779" s="3" t="s">
        <v>33</v>
      </c>
      <c r="F4779" s="3" t="s">
        <v>62</v>
      </c>
      <c r="G4779" s="3" t="s">
        <v>104</v>
      </c>
      <c r="H4779" s="3" t="s">
        <v>77</v>
      </c>
      <c r="I4779" s="3" t="s">
        <v>85</v>
      </c>
      <c r="J4779" s="3" t="n">
        <v>35</v>
      </c>
      <c r="K4779" s="3" t="n">
        <v>1411.64</v>
      </c>
      <c r="L4779" s="3" t="n">
        <v>49407.4</v>
      </c>
      <c r="M4779" s="3" t="n">
        <v>0.0645</v>
      </c>
      <c r="N4779" s="3" t="n">
        <v>3186.78</v>
      </c>
      <c r="O4779" s="3" t="n">
        <v>46220.62</v>
      </c>
      <c r="P4779" s="3" t="n">
        <v>33597.03</v>
      </c>
      <c r="Q4779" s="3" t="n">
        <v>12623.59</v>
      </c>
      <c r="R4779" s="3" t="n">
        <v>0.2731</v>
      </c>
      <c r="S4779" s="3" t="n">
        <v>0.0585</v>
      </c>
      <c r="T4779" s="3" t="n">
        <v>0.006</v>
      </c>
    </row>
    <row r="4780" customFormat="false" ht="15" hidden="false" customHeight="true" outlineLevel="0" collapsed="false">
      <c r="A4780" s="3" t="s">
        <v>5950</v>
      </c>
      <c r="B4780" s="3" t="s">
        <v>620</v>
      </c>
      <c r="C4780" s="3" t="s">
        <v>120</v>
      </c>
      <c r="D4780" s="3" t="s">
        <v>83</v>
      </c>
      <c r="E4780" s="3" t="s">
        <v>48</v>
      </c>
      <c r="F4780" s="3" t="s">
        <v>62</v>
      </c>
      <c r="G4780" s="3" t="s">
        <v>55</v>
      </c>
      <c r="H4780" s="3" t="s">
        <v>64</v>
      </c>
      <c r="I4780" s="3" t="s">
        <v>108</v>
      </c>
      <c r="J4780" s="3" t="n">
        <v>30</v>
      </c>
      <c r="K4780" s="3" t="n">
        <v>9734.14</v>
      </c>
      <c r="L4780" s="3" t="n">
        <v>292024.2</v>
      </c>
      <c r="M4780" s="3" t="n">
        <v>0.0496</v>
      </c>
      <c r="N4780" s="3" t="n">
        <v>14484.4</v>
      </c>
      <c r="O4780" s="3" t="n">
        <v>277539.8</v>
      </c>
      <c r="P4780" s="3" t="n">
        <v>169374.04</v>
      </c>
      <c r="Q4780" s="3" t="n">
        <v>108165.76</v>
      </c>
      <c r="R4780" s="3" t="n">
        <v>0.3897</v>
      </c>
      <c r="S4780" s="3" t="n">
        <v>0.0498</v>
      </c>
      <c r="T4780" s="3" t="n">
        <v>-0.0002</v>
      </c>
    </row>
    <row r="4781" customFormat="false" ht="15" hidden="false" customHeight="true" outlineLevel="0" collapsed="false">
      <c r="A4781" s="3" t="s">
        <v>5951</v>
      </c>
      <c r="B4781" s="3" t="s">
        <v>5246</v>
      </c>
      <c r="C4781" s="3" t="s">
        <v>68</v>
      </c>
      <c r="D4781" s="3" t="s">
        <v>103</v>
      </c>
      <c r="E4781" s="3" t="s">
        <v>24</v>
      </c>
      <c r="F4781" s="3" t="s">
        <v>62</v>
      </c>
      <c r="G4781" s="3" t="s">
        <v>84</v>
      </c>
      <c r="H4781" s="3" t="s">
        <v>42</v>
      </c>
      <c r="I4781" s="3" t="s">
        <v>43</v>
      </c>
      <c r="J4781" s="3" t="n">
        <v>21</v>
      </c>
      <c r="K4781" s="3" t="n">
        <v>3242</v>
      </c>
      <c r="L4781" s="3" t="n">
        <v>68082</v>
      </c>
      <c r="M4781" s="3" t="n">
        <v>0.0319</v>
      </c>
      <c r="N4781" s="3" t="n">
        <v>2171.82</v>
      </c>
      <c r="O4781" s="3" t="n">
        <v>65910.18</v>
      </c>
      <c r="P4781" s="3" t="n">
        <v>37445.1</v>
      </c>
      <c r="Q4781" s="3" t="n">
        <v>28465.08</v>
      </c>
      <c r="R4781" s="3" t="n">
        <v>0.4319</v>
      </c>
      <c r="S4781" s="3" t="n">
        <v>0.0296</v>
      </c>
      <c r="T4781" s="3" t="n">
        <v>0.0023</v>
      </c>
    </row>
    <row r="4782" customFormat="false" ht="15" hidden="false" customHeight="true" outlineLevel="0" collapsed="false">
      <c r="A4782" s="3" t="s">
        <v>5952</v>
      </c>
      <c r="B4782" s="3" t="s">
        <v>398</v>
      </c>
      <c r="C4782" s="3" t="s">
        <v>93</v>
      </c>
      <c r="D4782" s="3" t="s">
        <v>61</v>
      </c>
      <c r="E4782" s="3" t="s">
        <v>33</v>
      </c>
      <c r="F4782" s="3" t="s">
        <v>62</v>
      </c>
      <c r="G4782" s="3" t="s">
        <v>116</v>
      </c>
      <c r="H4782" s="3" t="s">
        <v>77</v>
      </c>
      <c r="I4782" s="3" t="s">
        <v>78</v>
      </c>
      <c r="J4782" s="3" t="n">
        <v>35</v>
      </c>
      <c r="K4782" s="3" t="n">
        <v>4609.72</v>
      </c>
      <c r="L4782" s="3" t="n">
        <v>161340.2</v>
      </c>
      <c r="M4782" s="3" t="n">
        <v>0.0942</v>
      </c>
      <c r="N4782" s="3" t="n">
        <v>15198.25</v>
      </c>
      <c r="O4782" s="3" t="n">
        <v>146141.95</v>
      </c>
      <c r="P4782" s="3" t="n">
        <v>109711.34</v>
      </c>
      <c r="Q4782" s="3" t="n">
        <v>36430.61</v>
      </c>
      <c r="R4782" s="3" t="n">
        <v>0.2493</v>
      </c>
      <c r="S4782" s="3" t="n">
        <v>0.1012</v>
      </c>
      <c r="T4782" s="3" t="n">
        <v>-0.007</v>
      </c>
    </row>
    <row r="4783" customFormat="false" ht="15" hidden="false" customHeight="true" outlineLevel="0" collapsed="false">
      <c r="A4783" s="3" t="s">
        <v>5953</v>
      </c>
      <c r="B4783" s="3" t="s">
        <v>1198</v>
      </c>
      <c r="C4783" s="3" t="s">
        <v>31</v>
      </c>
      <c r="D4783" s="3" t="s">
        <v>107</v>
      </c>
      <c r="E4783" s="3" t="s">
        <v>33</v>
      </c>
      <c r="F4783" s="3" t="s">
        <v>70</v>
      </c>
      <c r="G4783" s="3" t="s">
        <v>100</v>
      </c>
      <c r="H4783" s="3" t="s">
        <v>42</v>
      </c>
      <c r="I4783" s="3" t="s">
        <v>43</v>
      </c>
      <c r="J4783" s="3" t="n">
        <v>24</v>
      </c>
      <c r="K4783" s="3" t="n">
        <v>1493.82</v>
      </c>
      <c r="L4783" s="3" t="n">
        <v>35851.68</v>
      </c>
      <c r="M4783" s="3" t="n">
        <v>0.0481</v>
      </c>
      <c r="N4783" s="3" t="n">
        <v>1724.47</v>
      </c>
      <c r="O4783" s="3" t="n">
        <v>34127.21</v>
      </c>
      <c r="P4783" s="3" t="n">
        <v>19718.42</v>
      </c>
      <c r="Q4783" s="3" t="n">
        <v>14408.79</v>
      </c>
      <c r="R4783" s="3" t="n">
        <v>0.4222</v>
      </c>
      <c r="S4783" s="3" t="n">
        <v>0.04</v>
      </c>
      <c r="T4783" s="3" t="n">
        <v>0.0081</v>
      </c>
    </row>
    <row r="4784" customFormat="false" ht="15" hidden="false" customHeight="true" outlineLevel="0" collapsed="false">
      <c r="A4784" s="3" t="s">
        <v>5954</v>
      </c>
      <c r="B4784" s="3" t="s">
        <v>1322</v>
      </c>
      <c r="C4784" s="3" t="s">
        <v>120</v>
      </c>
      <c r="D4784" s="3" t="s">
        <v>23</v>
      </c>
      <c r="E4784" s="3" t="s">
        <v>24</v>
      </c>
      <c r="F4784" s="3" t="s">
        <v>25</v>
      </c>
      <c r="G4784" s="3" t="s">
        <v>84</v>
      </c>
      <c r="H4784" s="3" t="s">
        <v>77</v>
      </c>
      <c r="I4784" s="3" t="s">
        <v>78</v>
      </c>
      <c r="J4784" s="3" t="n">
        <v>28</v>
      </c>
      <c r="K4784" s="3" t="n">
        <v>5035.9</v>
      </c>
      <c r="L4784" s="3" t="n">
        <v>141005.2</v>
      </c>
      <c r="M4784" s="3" t="n">
        <v>0.1019</v>
      </c>
      <c r="N4784" s="3" t="n">
        <v>14368.43</v>
      </c>
      <c r="O4784" s="3" t="n">
        <v>126636.77</v>
      </c>
      <c r="P4784" s="3" t="n">
        <v>95883.54</v>
      </c>
      <c r="Q4784" s="3" t="n">
        <v>30753.23</v>
      </c>
      <c r="R4784" s="3" t="n">
        <v>0.2428</v>
      </c>
      <c r="S4784" s="3" t="n">
        <v>0.1</v>
      </c>
      <c r="T4784" s="3" t="n">
        <v>0.0019</v>
      </c>
    </row>
    <row r="4785" customFormat="false" ht="15" hidden="false" customHeight="true" outlineLevel="0" collapsed="false">
      <c r="A4785" s="3" t="s">
        <v>5955</v>
      </c>
      <c r="B4785" s="3" t="s">
        <v>573</v>
      </c>
      <c r="C4785" s="3" t="s">
        <v>60</v>
      </c>
      <c r="D4785" s="3" t="s">
        <v>75</v>
      </c>
      <c r="E4785" s="3" t="s">
        <v>39</v>
      </c>
      <c r="F4785" s="3" t="s">
        <v>25</v>
      </c>
      <c r="G4785" s="3" t="s">
        <v>76</v>
      </c>
      <c r="H4785" s="3" t="s">
        <v>64</v>
      </c>
      <c r="I4785" s="3" t="s">
        <v>108</v>
      </c>
      <c r="J4785" s="3" t="n">
        <v>8</v>
      </c>
      <c r="K4785" s="3" t="n">
        <v>8275.75</v>
      </c>
      <c r="L4785" s="3" t="n">
        <v>66206</v>
      </c>
      <c r="M4785" s="3" t="n">
        <v>0.0838</v>
      </c>
      <c r="N4785" s="3" t="n">
        <v>5548.06</v>
      </c>
      <c r="O4785" s="3" t="n">
        <v>60657.94</v>
      </c>
      <c r="P4785" s="3" t="n">
        <v>38399.48</v>
      </c>
      <c r="Q4785" s="3" t="n">
        <v>22258.46</v>
      </c>
      <c r="R4785" s="3" t="n">
        <v>0.367</v>
      </c>
      <c r="S4785" s="3" t="n">
        <v>0.0698</v>
      </c>
      <c r="T4785" s="3" t="n">
        <v>0.014</v>
      </c>
    </row>
    <row r="4786" customFormat="false" ht="15" hidden="false" customHeight="true" outlineLevel="0" collapsed="false">
      <c r="A4786" s="3" t="s">
        <v>5956</v>
      </c>
      <c r="B4786" s="3" t="s">
        <v>1335</v>
      </c>
      <c r="C4786" s="3" t="s">
        <v>93</v>
      </c>
      <c r="D4786" s="3" t="s">
        <v>75</v>
      </c>
      <c r="E4786" s="3" t="s">
        <v>39</v>
      </c>
      <c r="F4786" s="3" t="s">
        <v>25</v>
      </c>
      <c r="G4786" s="3" t="s">
        <v>26</v>
      </c>
      <c r="H4786" s="3" t="s">
        <v>77</v>
      </c>
      <c r="I4786" s="3" t="s">
        <v>131</v>
      </c>
      <c r="J4786" s="3" t="n">
        <v>32</v>
      </c>
      <c r="K4786" s="3" t="n">
        <v>2945.01</v>
      </c>
      <c r="L4786" s="3" t="n">
        <v>94240.32</v>
      </c>
      <c r="M4786" s="3" t="n">
        <v>0.1124</v>
      </c>
      <c r="N4786" s="3" t="n">
        <v>10592.61</v>
      </c>
      <c r="O4786" s="3" t="n">
        <v>83647.71</v>
      </c>
      <c r="P4786" s="3" t="n">
        <v>64083.42</v>
      </c>
      <c r="Q4786" s="3" t="n">
        <v>19564.29</v>
      </c>
      <c r="R4786" s="3" t="n">
        <v>0.2339</v>
      </c>
      <c r="S4786" s="3" t="n">
        <v>0.1207</v>
      </c>
      <c r="T4786" s="3" t="n">
        <v>-0.0083</v>
      </c>
    </row>
    <row r="4787" customFormat="false" ht="15" hidden="false" customHeight="true" outlineLevel="0" collapsed="false">
      <c r="A4787" s="3" t="s">
        <v>5957</v>
      </c>
      <c r="B4787" s="3" t="s">
        <v>3067</v>
      </c>
      <c r="C4787" s="3" t="s">
        <v>22</v>
      </c>
      <c r="D4787" s="3" t="s">
        <v>54</v>
      </c>
      <c r="E4787" s="3" t="s">
        <v>24</v>
      </c>
      <c r="F4787" s="3" t="s">
        <v>40</v>
      </c>
      <c r="G4787" s="3" t="s">
        <v>71</v>
      </c>
      <c r="H4787" s="3" t="s">
        <v>27</v>
      </c>
      <c r="I4787" s="3" t="s">
        <v>94</v>
      </c>
      <c r="J4787" s="3" t="n">
        <v>11</v>
      </c>
      <c r="K4787" s="3" t="n">
        <v>26439.45</v>
      </c>
      <c r="L4787" s="3" t="n">
        <v>290833.95</v>
      </c>
      <c r="M4787" s="3" t="n">
        <v>0.0643</v>
      </c>
      <c r="N4787" s="3" t="n">
        <v>18700.62</v>
      </c>
      <c r="O4787" s="3" t="n">
        <v>272133.33</v>
      </c>
      <c r="P4787" s="3" t="n">
        <v>180317.05</v>
      </c>
      <c r="Q4787" s="3" t="n">
        <v>91816.28</v>
      </c>
      <c r="R4787" s="3" t="n">
        <v>0.3374</v>
      </c>
      <c r="S4787" s="3" t="n">
        <v>0.0581</v>
      </c>
      <c r="T4787" s="3" t="n">
        <v>0.0062</v>
      </c>
    </row>
    <row r="4788" customFormat="false" ht="15" hidden="false" customHeight="true" outlineLevel="0" collapsed="false">
      <c r="A4788" s="3" t="s">
        <v>5958</v>
      </c>
      <c r="B4788" s="3" t="s">
        <v>1522</v>
      </c>
      <c r="C4788" s="3" t="s">
        <v>68</v>
      </c>
      <c r="D4788" s="3" t="s">
        <v>38</v>
      </c>
      <c r="E4788" s="3" t="s">
        <v>39</v>
      </c>
      <c r="F4788" s="3" t="s">
        <v>40</v>
      </c>
      <c r="G4788" s="3" t="s">
        <v>26</v>
      </c>
      <c r="H4788" s="3" t="s">
        <v>42</v>
      </c>
      <c r="I4788" s="3" t="s">
        <v>134</v>
      </c>
      <c r="J4788" s="3" t="n">
        <v>50</v>
      </c>
      <c r="K4788" s="3" t="n">
        <v>2128.63</v>
      </c>
      <c r="L4788" s="3" t="n">
        <v>106431.5</v>
      </c>
      <c r="M4788" s="3" t="n">
        <v>0.0496</v>
      </c>
      <c r="N4788" s="3" t="n">
        <v>5279</v>
      </c>
      <c r="O4788" s="3" t="n">
        <v>101152.5</v>
      </c>
      <c r="P4788" s="3" t="n">
        <v>58537.33</v>
      </c>
      <c r="Q4788" s="3" t="n">
        <v>42615.17</v>
      </c>
      <c r="R4788" s="3" t="n">
        <v>0.4213</v>
      </c>
      <c r="S4788" s="3" t="n">
        <v>0.0543</v>
      </c>
      <c r="T4788" s="3" t="n">
        <v>-0.0047</v>
      </c>
    </row>
    <row r="4789" customFormat="false" ht="15" hidden="false" customHeight="true" outlineLevel="0" collapsed="false">
      <c r="A4789" s="3" t="s">
        <v>5959</v>
      </c>
      <c r="B4789" s="3" t="s">
        <v>390</v>
      </c>
      <c r="C4789" s="3" t="s">
        <v>120</v>
      </c>
      <c r="D4789" s="3" t="s">
        <v>107</v>
      </c>
      <c r="E4789" s="3" t="s">
        <v>33</v>
      </c>
      <c r="F4789" s="3" t="s">
        <v>70</v>
      </c>
      <c r="G4789" s="3" t="s">
        <v>41</v>
      </c>
      <c r="H4789" s="3" t="s">
        <v>27</v>
      </c>
      <c r="I4789" s="3" t="s">
        <v>28</v>
      </c>
      <c r="J4789" s="3" t="n">
        <v>11</v>
      </c>
      <c r="K4789" s="3" t="n">
        <v>29477.54</v>
      </c>
      <c r="L4789" s="3" t="n">
        <v>324252.94</v>
      </c>
      <c r="M4789" s="3" t="n">
        <v>0.0833</v>
      </c>
      <c r="N4789" s="3" t="n">
        <v>27010.27</v>
      </c>
      <c r="O4789" s="3" t="n">
        <v>297242.67</v>
      </c>
      <c r="P4789" s="3" t="n">
        <v>201036.82</v>
      </c>
      <c r="Q4789" s="3" t="n">
        <v>96205.85</v>
      </c>
      <c r="R4789" s="3" t="n">
        <v>0.3237</v>
      </c>
      <c r="S4789" s="3" t="n">
        <v>0.0682</v>
      </c>
      <c r="T4789" s="3" t="n">
        <v>0.0151</v>
      </c>
    </row>
    <row r="4790" customFormat="false" ht="15" hidden="false" customHeight="true" outlineLevel="0" collapsed="false">
      <c r="A4790" s="3" t="s">
        <v>5960</v>
      </c>
      <c r="B4790" s="3" t="s">
        <v>724</v>
      </c>
      <c r="C4790" s="3" t="s">
        <v>60</v>
      </c>
      <c r="D4790" s="3" t="s">
        <v>69</v>
      </c>
      <c r="E4790" s="3" t="s">
        <v>39</v>
      </c>
      <c r="F4790" s="3" t="s">
        <v>70</v>
      </c>
      <c r="G4790" s="3" t="s">
        <v>26</v>
      </c>
      <c r="H4790" s="3" t="s">
        <v>77</v>
      </c>
      <c r="I4790" s="3" t="s">
        <v>131</v>
      </c>
      <c r="J4790" s="3" t="n">
        <v>36</v>
      </c>
      <c r="K4790" s="3" t="n">
        <v>1269.88</v>
      </c>
      <c r="L4790" s="3" t="n">
        <v>45715.68</v>
      </c>
      <c r="M4790" s="3" t="n">
        <v>0.057</v>
      </c>
      <c r="N4790" s="3" t="n">
        <v>2605.79</v>
      </c>
      <c r="O4790" s="3" t="n">
        <v>43109.89</v>
      </c>
      <c r="P4790" s="3" t="n">
        <v>31086.66</v>
      </c>
      <c r="Q4790" s="3" t="n">
        <v>12023.23</v>
      </c>
      <c r="R4790" s="3" t="n">
        <v>0.2789</v>
      </c>
      <c r="S4790" s="3" t="n">
        <v>0.0517</v>
      </c>
      <c r="T4790" s="3" t="n">
        <v>0.0053</v>
      </c>
    </row>
    <row r="4791" customFormat="false" ht="15" hidden="false" customHeight="true" outlineLevel="0" collapsed="false">
      <c r="A4791" s="3" t="s">
        <v>5961</v>
      </c>
      <c r="B4791" s="3" t="s">
        <v>587</v>
      </c>
      <c r="C4791" s="3" t="s">
        <v>46</v>
      </c>
      <c r="D4791" s="3" t="s">
        <v>23</v>
      </c>
      <c r="E4791" s="3" t="s">
        <v>24</v>
      </c>
      <c r="F4791" s="3" t="s">
        <v>25</v>
      </c>
      <c r="G4791" s="3" t="s">
        <v>63</v>
      </c>
      <c r="H4791" s="3" t="s">
        <v>27</v>
      </c>
      <c r="I4791" s="3" t="s">
        <v>28</v>
      </c>
      <c r="J4791" s="3" t="n">
        <v>11</v>
      </c>
      <c r="K4791" s="3" t="n">
        <v>35999.83</v>
      </c>
      <c r="L4791" s="3" t="n">
        <v>395998.13</v>
      </c>
      <c r="M4791" s="3" t="n">
        <v>0.1647</v>
      </c>
      <c r="N4791" s="3" t="n">
        <v>65220.89</v>
      </c>
      <c r="O4791" s="3" t="n">
        <v>330777.24</v>
      </c>
      <c r="P4791" s="3" t="n">
        <v>245518.84</v>
      </c>
      <c r="Q4791" s="3" t="n">
        <v>85258.4</v>
      </c>
      <c r="R4791" s="3" t="n">
        <v>0.2578</v>
      </c>
      <c r="S4791" s="3" t="n">
        <v>0.1673</v>
      </c>
      <c r="T4791" s="3" t="n">
        <v>-0.0026</v>
      </c>
    </row>
    <row r="4792" customFormat="false" ht="15" hidden="false" customHeight="true" outlineLevel="0" collapsed="false">
      <c r="A4792" s="3" t="s">
        <v>5962</v>
      </c>
      <c r="B4792" s="3" t="s">
        <v>2240</v>
      </c>
      <c r="C4792" s="3" t="s">
        <v>120</v>
      </c>
      <c r="D4792" s="3" t="s">
        <v>83</v>
      </c>
      <c r="E4792" s="3" t="s">
        <v>48</v>
      </c>
      <c r="F4792" s="3" t="s">
        <v>62</v>
      </c>
      <c r="G4792" s="3" t="s">
        <v>49</v>
      </c>
      <c r="H4792" s="3" t="s">
        <v>27</v>
      </c>
      <c r="I4792" s="3" t="s">
        <v>117</v>
      </c>
      <c r="J4792" s="3" t="n">
        <v>40</v>
      </c>
      <c r="K4792" s="3" t="n">
        <v>37666.5</v>
      </c>
      <c r="L4792" s="3" t="n">
        <v>1506660</v>
      </c>
      <c r="M4792" s="3" t="n">
        <v>0.0476</v>
      </c>
      <c r="N4792" s="3" t="n">
        <v>71717.02</v>
      </c>
      <c r="O4792" s="3" t="n">
        <v>1434942.98</v>
      </c>
      <c r="P4792" s="3" t="n">
        <v>934129.2</v>
      </c>
      <c r="Q4792" s="3" t="n">
        <v>500813.78</v>
      </c>
      <c r="R4792" s="3" t="n">
        <v>0.349</v>
      </c>
      <c r="S4792" s="3" t="n">
        <v>0.0426</v>
      </c>
      <c r="T4792" s="3" t="n">
        <v>0.005</v>
      </c>
    </row>
    <row r="4793" customFormat="false" ht="15" hidden="false" customHeight="true" outlineLevel="0" collapsed="false">
      <c r="A4793" s="3" t="s">
        <v>5963</v>
      </c>
      <c r="B4793" s="3" t="s">
        <v>1023</v>
      </c>
      <c r="C4793" s="3" t="s">
        <v>37</v>
      </c>
      <c r="D4793" s="3" t="s">
        <v>47</v>
      </c>
      <c r="E4793" s="3" t="s">
        <v>48</v>
      </c>
      <c r="F4793" s="3" t="s">
        <v>25</v>
      </c>
      <c r="G4793" s="3" t="s">
        <v>116</v>
      </c>
      <c r="H4793" s="3" t="s">
        <v>77</v>
      </c>
      <c r="I4793" s="3" t="s">
        <v>78</v>
      </c>
      <c r="J4793" s="3" t="n">
        <v>27</v>
      </c>
      <c r="K4793" s="3" t="n">
        <v>3290.85</v>
      </c>
      <c r="L4793" s="3" t="n">
        <v>88852.95</v>
      </c>
      <c r="M4793" s="3" t="n">
        <v>0.1784</v>
      </c>
      <c r="N4793" s="3" t="n">
        <v>15851.37</v>
      </c>
      <c r="O4793" s="3" t="n">
        <v>73001.58</v>
      </c>
      <c r="P4793" s="3" t="n">
        <v>60420.01</v>
      </c>
      <c r="Q4793" s="3" t="n">
        <v>12581.57</v>
      </c>
      <c r="R4793" s="3" t="n">
        <v>0.1723</v>
      </c>
      <c r="S4793" s="3" t="n">
        <v>0.1717</v>
      </c>
      <c r="T4793" s="3" t="n">
        <v>0.0067</v>
      </c>
    </row>
    <row r="4794" customFormat="false" ht="15" hidden="false" customHeight="true" outlineLevel="0" collapsed="false">
      <c r="A4794" s="3" t="s">
        <v>5964</v>
      </c>
      <c r="B4794" s="3" t="s">
        <v>1738</v>
      </c>
      <c r="C4794" s="3" t="s">
        <v>113</v>
      </c>
      <c r="D4794" s="3" t="s">
        <v>47</v>
      </c>
      <c r="E4794" s="3" t="s">
        <v>48</v>
      </c>
      <c r="F4794" s="3" t="s">
        <v>25</v>
      </c>
      <c r="G4794" s="3" t="s">
        <v>104</v>
      </c>
      <c r="H4794" s="3" t="s">
        <v>64</v>
      </c>
      <c r="I4794" s="3" t="s">
        <v>90</v>
      </c>
      <c r="J4794" s="3" t="n">
        <v>24</v>
      </c>
      <c r="K4794" s="3" t="n">
        <v>4194.78</v>
      </c>
      <c r="L4794" s="3" t="n">
        <v>100674.72</v>
      </c>
      <c r="M4794" s="3" t="n">
        <v>0.1916</v>
      </c>
      <c r="N4794" s="3" t="n">
        <v>19289.28</v>
      </c>
      <c r="O4794" s="3" t="n">
        <v>81385.44</v>
      </c>
      <c r="P4794" s="3" t="n">
        <v>58391.34</v>
      </c>
      <c r="Q4794" s="3" t="n">
        <v>22994.1</v>
      </c>
      <c r="R4794" s="3" t="n">
        <v>0.2825</v>
      </c>
      <c r="S4794" s="3" t="n">
        <v>0.2066</v>
      </c>
      <c r="T4794" s="3" t="n">
        <v>-0.015</v>
      </c>
    </row>
    <row r="4795" customFormat="false" ht="15" hidden="false" customHeight="true" outlineLevel="0" collapsed="false">
      <c r="A4795" s="3" t="s">
        <v>5965</v>
      </c>
      <c r="B4795" s="3" t="s">
        <v>200</v>
      </c>
      <c r="C4795" s="3" t="s">
        <v>156</v>
      </c>
      <c r="D4795" s="3" t="s">
        <v>32</v>
      </c>
      <c r="E4795" s="3" t="s">
        <v>33</v>
      </c>
      <c r="F4795" s="3" t="s">
        <v>25</v>
      </c>
      <c r="G4795" s="3" t="s">
        <v>41</v>
      </c>
      <c r="H4795" s="3" t="s">
        <v>56</v>
      </c>
      <c r="I4795" s="3" t="s">
        <v>188</v>
      </c>
      <c r="J4795" s="3" t="n">
        <v>18</v>
      </c>
      <c r="K4795" s="3" t="n">
        <v>7219.63</v>
      </c>
      <c r="L4795" s="3" t="n">
        <v>129953.34</v>
      </c>
      <c r="M4795" s="3" t="n">
        <v>0.2122</v>
      </c>
      <c r="N4795" s="3" t="n">
        <v>27576.1</v>
      </c>
      <c r="O4795" s="3" t="n">
        <v>102377.24</v>
      </c>
      <c r="P4795" s="3" t="n">
        <v>77972</v>
      </c>
      <c r="Q4795" s="3" t="n">
        <v>24405.24</v>
      </c>
      <c r="R4795" s="3" t="n">
        <v>0.2384</v>
      </c>
      <c r="S4795" s="3" t="n">
        <v>0.1944</v>
      </c>
      <c r="T4795" s="3" t="n">
        <v>0.0178</v>
      </c>
    </row>
    <row r="4796" customFormat="false" ht="15" hidden="false" customHeight="true" outlineLevel="0" collapsed="false">
      <c r="A4796" s="3" t="s">
        <v>5966</v>
      </c>
      <c r="B4796" s="3" t="s">
        <v>2428</v>
      </c>
      <c r="C4796" s="3" t="s">
        <v>68</v>
      </c>
      <c r="D4796" s="3" t="s">
        <v>54</v>
      </c>
      <c r="E4796" s="3" t="s">
        <v>24</v>
      </c>
      <c r="F4796" s="3" t="s">
        <v>40</v>
      </c>
      <c r="G4796" s="3" t="s">
        <v>84</v>
      </c>
      <c r="H4796" s="3" t="s">
        <v>27</v>
      </c>
      <c r="I4796" s="3" t="s">
        <v>94</v>
      </c>
      <c r="J4796" s="3" t="n">
        <v>30</v>
      </c>
      <c r="K4796" s="3" t="n">
        <v>25892.79</v>
      </c>
      <c r="L4796" s="3" t="n">
        <v>776783.7</v>
      </c>
      <c r="M4796" s="3" t="n">
        <v>0.071</v>
      </c>
      <c r="N4796" s="3" t="n">
        <v>55151.64</v>
      </c>
      <c r="O4796" s="3" t="n">
        <v>721632.06</v>
      </c>
      <c r="P4796" s="3" t="n">
        <v>481605.89</v>
      </c>
      <c r="Q4796" s="3" t="n">
        <v>240026.17</v>
      </c>
      <c r="R4796" s="3" t="n">
        <v>0.3326</v>
      </c>
      <c r="S4796" s="3" t="n">
        <v>0.0762</v>
      </c>
      <c r="T4796" s="3" t="n">
        <v>-0.0052</v>
      </c>
    </row>
    <row r="4797" customFormat="false" ht="15" hidden="false" customHeight="true" outlineLevel="0" collapsed="false">
      <c r="A4797" s="3" t="s">
        <v>5967</v>
      </c>
      <c r="B4797" s="3" t="s">
        <v>876</v>
      </c>
      <c r="C4797" s="3" t="s">
        <v>37</v>
      </c>
      <c r="D4797" s="3" t="s">
        <v>107</v>
      </c>
      <c r="E4797" s="3" t="s">
        <v>33</v>
      </c>
      <c r="F4797" s="3" t="s">
        <v>70</v>
      </c>
      <c r="G4797" s="3" t="s">
        <v>116</v>
      </c>
      <c r="H4797" s="3" t="s">
        <v>64</v>
      </c>
      <c r="I4797" s="3" t="s">
        <v>145</v>
      </c>
      <c r="J4797" s="3" t="n">
        <v>4</v>
      </c>
      <c r="K4797" s="3" t="n">
        <v>9792.02</v>
      </c>
      <c r="L4797" s="3" t="n">
        <v>39168.08</v>
      </c>
      <c r="M4797" s="3" t="n">
        <v>0.0995</v>
      </c>
      <c r="N4797" s="3" t="n">
        <v>3897.22</v>
      </c>
      <c r="O4797" s="3" t="n">
        <v>35270.86</v>
      </c>
      <c r="P4797" s="3" t="n">
        <v>22717.49</v>
      </c>
      <c r="Q4797" s="3" t="n">
        <v>12553.37</v>
      </c>
      <c r="R4797" s="3" t="n">
        <v>0.3559</v>
      </c>
      <c r="S4797" s="3" t="n">
        <v>0.0957</v>
      </c>
      <c r="T4797" s="3" t="n">
        <v>0.0038</v>
      </c>
    </row>
    <row r="4798" customFormat="false" ht="15" hidden="false" customHeight="true" outlineLevel="0" collapsed="false">
      <c r="A4798" s="3" t="s">
        <v>5968</v>
      </c>
      <c r="B4798" s="3" t="s">
        <v>206</v>
      </c>
      <c r="C4798" s="3" t="s">
        <v>156</v>
      </c>
      <c r="D4798" s="3" t="s">
        <v>107</v>
      </c>
      <c r="E4798" s="3" t="s">
        <v>33</v>
      </c>
      <c r="F4798" s="3" t="s">
        <v>70</v>
      </c>
      <c r="G4798" s="3" t="s">
        <v>26</v>
      </c>
      <c r="H4798" s="3" t="s">
        <v>42</v>
      </c>
      <c r="I4798" s="3" t="s">
        <v>43</v>
      </c>
      <c r="J4798" s="3" t="n">
        <v>37</v>
      </c>
      <c r="K4798" s="3" t="n">
        <v>3143.36</v>
      </c>
      <c r="L4798" s="3" t="n">
        <v>116304.32</v>
      </c>
      <c r="M4798" s="3" t="n">
        <v>0.0416</v>
      </c>
      <c r="N4798" s="3" t="n">
        <v>4838.26</v>
      </c>
      <c r="O4798" s="3" t="n">
        <v>111466.06</v>
      </c>
      <c r="P4798" s="3" t="n">
        <v>63967.38</v>
      </c>
      <c r="Q4798" s="3" t="n">
        <v>47498.68</v>
      </c>
      <c r="R4798" s="3" t="n">
        <v>0.4261</v>
      </c>
      <c r="S4798" s="3" t="n">
        <v>0.0427</v>
      </c>
      <c r="T4798" s="3" t="n">
        <v>-0.0011</v>
      </c>
    </row>
    <row r="4799" customFormat="false" ht="15" hidden="false" customHeight="true" outlineLevel="0" collapsed="false">
      <c r="A4799" s="3" t="s">
        <v>5969</v>
      </c>
      <c r="B4799" s="3" t="s">
        <v>704</v>
      </c>
      <c r="C4799" s="3" t="s">
        <v>156</v>
      </c>
      <c r="D4799" s="3" t="s">
        <v>54</v>
      </c>
      <c r="E4799" s="3" t="s">
        <v>24</v>
      </c>
      <c r="F4799" s="3" t="s">
        <v>40</v>
      </c>
      <c r="G4799" s="3" t="s">
        <v>34</v>
      </c>
      <c r="H4799" s="3" t="s">
        <v>77</v>
      </c>
      <c r="I4799" s="3" t="s">
        <v>131</v>
      </c>
      <c r="J4799" s="3" t="n">
        <v>21</v>
      </c>
      <c r="K4799" s="3" t="n">
        <v>4567.5</v>
      </c>
      <c r="L4799" s="3" t="n">
        <v>95917.5</v>
      </c>
      <c r="M4799" s="3" t="n">
        <v>0.1204</v>
      </c>
      <c r="N4799" s="3" t="n">
        <v>11548.47</v>
      </c>
      <c r="O4799" s="3" t="n">
        <v>84369.03</v>
      </c>
      <c r="P4799" s="3" t="n">
        <v>65223.9</v>
      </c>
      <c r="Q4799" s="3" t="n">
        <v>19145.13</v>
      </c>
      <c r="R4799" s="3" t="n">
        <v>0.2269</v>
      </c>
      <c r="S4799" s="3" t="n">
        <v>0.1219</v>
      </c>
      <c r="T4799" s="3" t="n">
        <v>-0.0015</v>
      </c>
    </row>
    <row r="4800" customFormat="false" ht="15" hidden="false" customHeight="true" outlineLevel="0" collapsed="false">
      <c r="A4800" s="3" t="s">
        <v>5970</v>
      </c>
      <c r="B4800" s="3" t="s">
        <v>2524</v>
      </c>
      <c r="C4800" s="3" t="s">
        <v>46</v>
      </c>
      <c r="D4800" s="3" t="s">
        <v>38</v>
      </c>
      <c r="E4800" s="3" t="s">
        <v>39</v>
      </c>
      <c r="F4800" s="3" t="s">
        <v>40</v>
      </c>
      <c r="G4800" s="3" t="s">
        <v>63</v>
      </c>
      <c r="H4800" s="3" t="s">
        <v>77</v>
      </c>
      <c r="I4800" s="3" t="s">
        <v>131</v>
      </c>
      <c r="J4800" s="3" t="n">
        <v>44</v>
      </c>
      <c r="K4800" s="3" t="n">
        <v>2524.41</v>
      </c>
      <c r="L4800" s="3" t="n">
        <v>111074.04</v>
      </c>
      <c r="M4800" s="3" t="n">
        <v>0.0422</v>
      </c>
      <c r="N4800" s="3" t="n">
        <v>4687.32</v>
      </c>
      <c r="O4800" s="3" t="n">
        <v>106386.72</v>
      </c>
      <c r="P4800" s="3" t="n">
        <v>75530.35</v>
      </c>
      <c r="Q4800" s="3" t="n">
        <v>30856.37</v>
      </c>
      <c r="R4800" s="3" t="n">
        <v>0.29</v>
      </c>
      <c r="S4800" s="3" t="n">
        <v>0.0417</v>
      </c>
      <c r="T4800" s="3" t="n">
        <v>0.0005</v>
      </c>
    </row>
    <row r="4801" customFormat="false" ht="15" hidden="false" customHeight="true" outlineLevel="0" collapsed="false">
      <c r="A4801" s="3" t="s">
        <v>5971</v>
      </c>
      <c r="B4801" s="3" t="s">
        <v>1960</v>
      </c>
      <c r="C4801" s="3" t="s">
        <v>53</v>
      </c>
      <c r="D4801" s="3" t="s">
        <v>32</v>
      </c>
      <c r="E4801" s="3" t="s">
        <v>33</v>
      </c>
      <c r="F4801" s="3" t="s">
        <v>25</v>
      </c>
      <c r="G4801" s="3" t="s">
        <v>84</v>
      </c>
      <c r="H4801" s="3" t="s">
        <v>42</v>
      </c>
      <c r="I4801" s="3" t="s">
        <v>134</v>
      </c>
      <c r="J4801" s="3" t="n">
        <v>4</v>
      </c>
      <c r="K4801" s="3" t="n">
        <v>3592.52</v>
      </c>
      <c r="L4801" s="3" t="n">
        <v>14370.08</v>
      </c>
      <c r="M4801" s="3" t="n">
        <v>0.1775</v>
      </c>
      <c r="N4801" s="3" t="n">
        <v>2550.69</v>
      </c>
      <c r="O4801" s="3" t="n">
        <v>11819.39</v>
      </c>
      <c r="P4801" s="3" t="n">
        <v>7903.54</v>
      </c>
      <c r="Q4801" s="3" t="n">
        <v>3915.85</v>
      </c>
      <c r="R4801" s="3" t="n">
        <v>0.3313</v>
      </c>
      <c r="S4801" s="3" t="n">
        <v>0.1451</v>
      </c>
      <c r="T4801" s="3" t="n">
        <v>0.0324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W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1" width="14"/>
  </cols>
  <sheetData>
    <row r="1" customFormat="false" ht="15" hidden="false" customHeight="true" outlineLevel="0" collapsed="false">
      <c r="A1" s="2" t="s">
        <v>5972</v>
      </c>
      <c r="B1" s="2" t="s">
        <v>5973</v>
      </c>
      <c r="C1" s="2" t="s">
        <v>5974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5975</v>
      </c>
      <c r="K1" s="2" t="s">
        <v>5976</v>
      </c>
      <c r="L1" s="2" t="s">
        <v>12</v>
      </c>
      <c r="M1" s="2" t="s">
        <v>5977</v>
      </c>
      <c r="N1" s="2" t="s">
        <v>5978</v>
      </c>
      <c r="O1" s="2" t="s">
        <v>5979</v>
      </c>
      <c r="P1" s="2" t="s">
        <v>5980</v>
      </c>
      <c r="Q1" s="2" t="s">
        <v>5981</v>
      </c>
      <c r="R1" s="2" t="s">
        <v>5982</v>
      </c>
      <c r="S1" s="2" t="s">
        <v>5983</v>
      </c>
      <c r="T1" s="2" t="s">
        <v>5984</v>
      </c>
      <c r="U1" s="2" t="s">
        <v>5985</v>
      </c>
      <c r="V1" s="2" t="s">
        <v>5986</v>
      </c>
      <c r="W1" s="2" t="s">
        <v>5987</v>
      </c>
    </row>
    <row r="2" customFormat="false" ht="15" hidden="false" customHeight="true" outlineLevel="0" collapsed="false">
      <c r="A2" s="3" t="s">
        <v>5988</v>
      </c>
      <c r="B2" s="3" t="s">
        <v>160</v>
      </c>
      <c r="C2" s="3" t="s">
        <v>99</v>
      </c>
      <c r="D2" s="3" t="s">
        <v>61</v>
      </c>
      <c r="E2" s="3" t="s">
        <v>33</v>
      </c>
      <c r="F2" s="3" t="s">
        <v>62</v>
      </c>
      <c r="G2" s="3" t="s">
        <v>41</v>
      </c>
      <c r="H2" s="3" t="s">
        <v>77</v>
      </c>
      <c r="I2" s="3" t="s">
        <v>85</v>
      </c>
      <c r="J2" s="3" t="s">
        <v>5989</v>
      </c>
      <c r="K2" s="3" t="n">
        <v>1463150.12</v>
      </c>
      <c r="L2" s="3" t="n">
        <v>0.2165</v>
      </c>
      <c r="M2" s="3" t="n">
        <v>1146378.12</v>
      </c>
      <c r="N2" s="3" t="n">
        <v>410484.98</v>
      </c>
      <c r="O2" s="3" t="n">
        <v>0.3581</v>
      </c>
      <c r="P2" s="3" t="n">
        <v>0.244</v>
      </c>
      <c r="Q2" s="3" t="n">
        <v>279716.26</v>
      </c>
      <c r="R2" s="3" t="n">
        <v>168</v>
      </c>
      <c r="S2" s="3" t="n">
        <v>3</v>
      </c>
      <c r="T2" s="3" t="n">
        <v>1.4</v>
      </c>
      <c r="U2" s="3"/>
      <c r="V2" s="3" t="n">
        <v>5.54</v>
      </c>
      <c r="W2" s="3" t="s">
        <v>5990</v>
      </c>
    </row>
    <row r="3" customFormat="false" ht="15" hidden="false" customHeight="true" outlineLevel="0" collapsed="false">
      <c r="A3" s="3" t="s">
        <v>5991</v>
      </c>
      <c r="B3" s="3" t="s">
        <v>1966</v>
      </c>
      <c r="C3" s="3" t="s">
        <v>543</v>
      </c>
      <c r="D3" s="3" t="s">
        <v>32</v>
      </c>
      <c r="E3" s="3" t="s">
        <v>33</v>
      </c>
      <c r="F3" s="3" t="s">
        <v>25</v>
      </c>
      <c r="G3" s="3" t="s">
        <v>76</v>
      </c>
      <c r="H3" s="3" t="s">
        <v>56</v>
      </c>
      <c r="I3" s="3" t="s">
        <v>188</v>
      </c>
      <c r="J3" s="3" t="s">
        <v>5992</v>
      </c>
      <c r="K3" s="3" t="n">
        <v>71703.68</v>
      </c>
      <c r="L3" s="3" t="n">
        <v>0.1865</v>
      </c>
      <c r="M3" s="3" t="n">
        <v>58330.94</v>
      </c>
      <c r="N3" s="3" t="n">
        <v>18079.96</v>
      </c>
      <c r="O3" s="3" t="n">
        <v>0.31</v>
      </c>
      <c r="P3" s="3" t="n">
        <v>0.741</v>
      </c>
      <c r="Q3" s="3" t="n">
        <v>43223.23</v>
      </c>
      <c r="R3" s="3" t="n">
        <v>79</v>
      </c>
      <c r="S3" s="3" t="n">
        <v>9.9</v>
      </c>
      <c r="T3" s="3" t="n">
        <v>6</v>
      </c>
      <c r="U3" s="3"/>
      <c r="V3" s="3" t="n">
        <v>6.44</v>
      </c>
      <c r="W3" s="3" t="s">
        <v>5990</v>
      </c>
    </row>
    <row r="4" customFormat="false" ht="15" hidden="false" customHeight="true" outlineLevel="0" collapsed="false">
      <c r="A4" s="3" t="s">
        <v>5993</v>
      </c>
      <c r="B4" s="3" t="s">
        <v>2275</v>
      </c>
      <c r="C4" s="3" t="s">
        <v>5994</v>
      </c>
      <c r="D4" s="3" t="s">
        <v>32</v>
      </c>
      <c r="E4" s="3" t="s">
        <v>33</v>
      </c>
      <c r="F4" s="3" t="s">
        <v>25</v>
      </c>
      <c r="G4" s="3" t="s">
        <v>34</v>
      </c>
      <c r="H4" s="3" t="s">
        <v>42</v>
      </c>
      <c r="I4" s="3" t="s">
        <v>72</v>
      </c>
      <c r="J4" s="3" t="s">
        <v>5989</v>
      </c>
      <c r="K4" s="3" t="n">
        <v>2111562.26</v>
      </c>
      <c r="L4" s="3" t="n">
        <v>0.249</v>
      </c>
      <c r="M4" s="3" t="n">
        <v>1585783.26</v>
      </c>
      <c r="N4" s="3" t="n">
        <v>590169.49</v>
      </c>
      <c r="O4" s="3" t="n">
        <v>0.3722</v>
      </c>
      <c r="P4" s="3" t="n">
        <v>0.292</v>
      </c>
      <c r="Q4" s="3" t="n">
        <v>463048.71</v>
      </c>
      <c r="R4" s="3" t="n">
        <v>131</v>
      </c>
      <c r="S4" s="3" t="n">
        <v>6.7</v>
      </c>
      <c r="T4" s="3" t="n">
        <v>4.5</v>
      </c>
      <c r="U4" s="3"/>
      <c r="V4" s="3" t="n">
        <v>5.83</v>
      </c>
      <c r="W4" s="3" t="s">
        <v>5990</v>
      </c>
    </row>
    <row r="5" customFormat="false" ht="15" hidden="false" customHeight="true" outlineLevel="0" collapsed="false">
      <c r="A5" s="3" t="s">
        <v>5995</v>
      </c>
      <c r="B5" s="3" t="s">
        <v>2253</v>
      </c>
      <c r="C5" s="3" t="s">
        <v>1811</v>
      </c>
      <c r="D5" s="3" t="s">
        <v>75</v>
      </c>
      <c r="E5" s="3" t="s">
        <v>39</v>
      </c>
      <c r="F5" s="3" t="s">
        <v>25</v>
      </c>
      <c r="G5" s="3" t="s">
        <v>116</v>
      </c>
      <c r="H5" s="3" t="s">
        <v>27</v>
      </c>
      <c r="I5" s="3" t="s">
        <v>117</v>
      </c>
      <c r="J5" s="3" t="s">
        <v>5996</v>
      </c>
      <c r="K5" s="3" t="n">
        <v>2546553.62</v>
      </c>
      <c r="L5" s="3" t="n">
        <v>0.0574</v>
      </c>
      <c r="M5" s="3" t="n">
        <v>2400381.44</v>
      </c>
      <c r="N5" s="3" t="n">
        <v>814577.72</v>
      </c>
      <c r="O5" s="3" t="n">
        <v>0.3394</v>
      </c>
      <c r="P5" s="3" t="n">
        <v>0.956</v>
      </c>
      <c r="Q5" s="3" t="n">
        <v>2294764.66</v>
      </c>
      <c r="R5" s="3" t="n">
        <v>90</v>
      </c>
      <c r="S5" s="3" t="n">
        <v>9.3</v>
      </c>
      <c r="T5" s="3" t="n">
        <v>6.5</v>
      </c>
      <c r="U5" s="3"/>
      <c r="V5" s="3" t="n">
        <v>7.5</v>
      </c>
      <c r="W5" s="3" t="s">
        <v>5997</v>
      </c>
    </row>
    <row r="6" customFormat="false" ht="15" hidden="false" customHeight="true" outlineLevel="0" collapsed="false">
      <c r="A6" s="3" t="s">
        <v>5998</v>
      </c>
      <c r="B6" s="3" t="s">
        <v>3990</v>
      </c>
      <c r="C6" s="3" t="s">
        <v>356</v>
      </c>
      <c r="D6" s="3" t="s">
        <v>38</v>
      </c>
      <c r="E6" s="3" t="s">
        <v>39</v>
      </c>
      <c r="F6" s="3" t="s">
        <v>40</v>
      </c>
      <c r="G6" s="3" t="s">
        <v>71</v>
      </c>
      <c r="H6" s="3" t="s">
        <v>77</v>
      </c>
      <c r="I6" s="3" t="s">
        <v>85</v>
      </c>
      <c r="J6" s="3" t="s">
        <v>5999</v>
      </c>
      <c r="K6" s="3" t="n">
        <v>3219709.08</v>
      </c>
      <c r="L6" s="3" t="n">
        <v>0.1828</v>
      </c>
      <c r="M6" s="3" t="n">
        <v>2631146.26</v>
      </c>
      <c r="N6" s="3" t="n">
        <v>881539.77</v>
      </c>
      <c r="O6" s="3" t="n">
        <v>0.335</v>
      </c>
      <c r="P6" s="3" t="n">
        <v>0.445</v>
      </c>
      <c r="Q6" s="3" t="n">
        <v>1170860.09</v>
      </c>
      <c r="R6" s="3" t="n">
        <v>68</v>
      </c>
      <c r="S6" s="3" t="n">
        <v>2.6</v>
      </c>
      <c r="T6" s="3" t="n">
        <v>9.8</v>
      </c>
      <c r="U6" s="3"/>
      <c r="V6" s="3" t="n">
        <v>4.25</v>
      </c>
      <c r="W6" s="3" t="s">
        <v>6000</v>
      </c>
    </row>
    <row r="7" customFormat="false" ht="15" hidden="false" customHeight="true" outlineLevel="0" collapsed="false">
      <c r="A7" s="3" t="s">
        <v>6001</v>
      </c>
      <c r="B7" s="3" t="s">
        <v>805</v>
      </c>
      <c r="C7" s="3" t="s">
        <v>509</v>
      </c>
      <c r="D7" s="3" t="s">
        <v>103</v>
      </c>
      <c r="E7" s="3" t="s">
        <v>24</v>
      </c>
      <c r="F7" s="3" t="s">
        <v>62</v>
      </c>
      <c r="G7" s="3" t="s">
        <v>116</v>
      </c>
      <c r="H7" s="3" t="s">
        <v>64</v>
      </c>
      <c r="I7" s="3" t="s">
        <v>90</v>
      </c>
      <c r="J7" s="3" t="s">
        <v>5989</v>
      </c>
      <c r="K7" s="3" t="n">
        <v>3688016.5</v>
      </c>
      <c r="L7" s="3" t="n">
        <v>0.2686</v>
      </c>
      <c r="M7" s="3" t="n">
        <v>2697415.27</v>
      </c>
      <c r="N7" s="3" t="n">
        <v>1010180.45</v>
      </c>
      <c r="O7" s="3" t="n">
        <v>0.3745</v>
      </c>
      <c r="P7" s="3" t="n">
        <v>0.299</v>
      </c>
      <c r="Q7" s="3" t="n">
        <v>806527.17</v>
      </c>
      <c r="R7" s="3" t="n">
        <v>87</v>
      </c>
      <c r="S7" s="3" t="n">
        <v>1.7</v>
      </c>
      <c r="T7" s="3" t="n">
        <v>8.1</v>
      </c>
      <c r="U7" s="3"/>
      <c r="V7" s="3" t="n">
        <v>3.87</v>
      </c>
      <c r="W7" s="3" t="s">
        <v>6000</v>
      </c>
    </row>
    <row r="8" customFormat="false" ht="15" hidden="false" customHeight="true" outlineLevel="0" collapsed="false">
      <c r="A8" s="3" t="s">
        <v>6002</v>
      </c>
      <c r="B8" s="3" t="s">
        <v>3818</v>
      </c>
      <c r="C8" s="3" t="s">
        <v>1023</v>
      </c>
      <c r="D8" s="3" t="s">
        <v>103</v>
      </c>
      <c r="E8" s="3" t="s">
        <v>24</v>
      </c>
      <c r="F8" s="3" t="s">
        <v>62</v>
      </c>
      <c r="G8" s="3" t="s">
        <v>71</v>
      </c>
      <c r="H8" s="3" t="s">
        <v>77</v>
      </c>
      <c r="I8" s="3" t="s">
        <v>85</v>
      </c>
      <c r="J8" s="3" t="s">
        <v>6003</v>
      </c>
      <c r="K8" s="3" t="n">
        <v>3177113.45</v>
      </c>
      <c r="L8" s="3" t="n">
        <v>0.1599</v>
      </c>
      <c r="M8" s="3" t="n">
        <v>2669093.01</v>
      </c>
      <c r="N8" s="3" t="n">
        <v>899801.79</v>
      </c>
      <c r="O8" s="3" t="n">
        <v>0.3371</v>
      </c>
      <c r="P8" s="3" t="n">
        <v>0.147</v>
      </c>
      <c r="Q8" s="3" t="n">
        <v>392356.67</v>
      </c>
      <c r="R8" s="3" t="n">
        <v>56</v>
      </c>
      <c r="S8" s="3" t="n">
        <v>2.1</v>
      </c>
      <c r="T8" s="3" t="n">
        <v>5.3</v>
      </c>
      <c r="U8" s="3"/>
      <c r="V8" s="3" t="n">
        <v>5.03</v>
      </c>
      <c r="W8" s="3" t="s">
        <v>5990</v>
      </c>
    </row>
    <row r="9" customFormat="false" ht="15" hidden="false" customHeight="true" outlineLevel="0" collapsed="false">
      <c r="A9" s="3" t="s">
        <v>6004</v>
      </c>
      <c r="B9" s="3" t="s">
        <v>1238</v>
      </c>
      <c r="C9" s="3" t="s">
        <v>2694</v>
      </c>
      <c r="D9" s="3" t="s">
        <v>103</v>
      </c>
      <c r="E9" s="3" t="s">
        <v>24</v>
      </c>
      <c r="F9" s="3" t="s">
        <v>62</v>
      </c>
      <c r="G9" s="3" t="s">
        <v>76</v>
      </c>
      <c r="H9" s="3" t="s">
        <v>77</v>
      </c>
      <c r="I9" s="3" t="s">
        <v>131</v>
      </c>
      <c r="J9" s="3" t="s">
        <v>5999</v>
      </c>
      <c r="K9" s="3" t="n">
        <v>3031329.67</v>
      </c>
      <c r="L9" s="3" t="n">
        <v>0.2914</v>
      </c>
      <c r="M9" s="3" t="n">
        <v>2148000.2</v>
      </c>
      <c r="N9" s="3" t="n">
        <v>922767.49</v>
      </c>
      <c r="O9" s="3" t="n">
        <v>0.4296</v>
      </c>
      <c r="P9" s="3" t="n">
        <v>0.45</v>
      </c>
      <c r="Q9" s="3" t="n">
        <v>966600.09</v>
      </c>
      <c r="R9" s="3" t="n">
        <v>42</v>
      </c>
      <c r="S9" s="3" t="n">
        <v>5.9</v>
      </c>
      <c r="T9" s="3" t="n">
        <v>5</v>
      </c>
      <c r="U9" s="3"/>
      <c r="V9" s="3" t="n">
        <v>5.62</v>
      </c>
      <c r="W9" s="3" t="s">
        <v>5990</v>
      </c>
    </row>
    <row r="10" customFormat="false" ht="15" hidden="false" customHeight="true" outlineLevel="0" collapsed="false">
      <c r="A10" s="3" t="s">
        <v>6005</v>
      </c>
      <c r="B10" s="3" t="s">
        <v>1240</v>
      </c>
      <c r="C10" s="3" t="s">
        <v>219</v>
      </c>
      <c r="D10" s="3" t="s">
        <v>97</v>
      </c>
      <c r="E10" s="3" t="s">
        <v>48</v>
      </c>
      <c r="F10" s="3" t="s">
        <v>40</v>
      </c>
      <c r="G10" s="3" t="s">
        <v>71</v>
      </c>
      <c r="H10" s="3" t="s">
        <v>27</v>
      </c>
      <c r="I10" s="3" t="s">
        <v>50</v>
      </c>
      <c r="J10" s="3" t="s">
        <v>5996</v>
      </c>
      <c r="K10" s="3" t="n">
        <v>2414083.91</v>
      </c>
      <c r="L10" s="3" t="n">
        <v>0.1587</v>
      </c>
      <c r="M10" s="3" t="n">
        <v>2030968.79</v>
      </c>
      <c r="N10" s="3" t="n">
        <v>961856.22</v>
      </c>
      <c r="O10" s="3" t="n">
        <v>0.4736</v>
      </c>
      <c r="P10" s="3" t="n">
        <v>1</v>
      </c>
      <c r="Q10" s="3" t="n">
        <v>2030968.79</v>
      </c>
      <c r="R10" s="3" t="n">
        <v>17</v>
      </c>
      <c r="S10" s="3" t="n">
        <v>5</v>
      </c>
      <c r="T10" s="3" t="n">
        <v>3.5</v>
      </c>
      <c r="U10" s="3"/>
      <c r="V10" s="3" t="n">
        <v>6.9</v>
      </c>
      <c r="W10" s="3" t="s">
        <v>5997</v>
      </c>
    </row>
    <row r="11" customFormat="false" ht="15" hidden="false" customHeight="true" outlineLevel="0" collapsed="false">
      <c r="A11" s="3" t="s">
        <v>6006</v>
      </c>
      <c r="B11" s="3" t="s">
        <v>128</v>
      </c>
      <c r="C11" s="3" t="s">
        <v>1564</v>
      </c>
      <c r="D11" s="3" t="s">
        <v>47</v>
      </c>
      <c r="E11" s="3" t="s">
        <v>48</v>
      </c>
      <c r="F11" s="3" t="s">
        <v>25</v>
      </c>
      <c r="G11" s="3" t="s">
        <v>116</v>
      </c>
      <c r="H11" s="3" t="s">
        <v>42</v>
      </c>
      <c r="I11" s="3" t="s">
        <v>43</v>
      </c>
      <c r="J11" s="3" t="s">
        <v>5999</v>
      </c>
      <c r="K11" s="3" t="n">
        <v>2272652.87</v>
      </c>
      <c r="L11" s="3" t="n">
        <v>0.1516</v>
      </c>
      <c r="M11" s="3" t="n">
        <v>1928118.69</v>
      </c>
      <c r="N11" s="3" t="n">
        <v>776571</v>
      </c>
      <c r="O11" s="3" t="n">
        <v>0.4028</v>
      </c>
      <c r="P11" s="3" t="n">
        <v>0.461</v>
      </c>
      <c r="Q11" s="3" t="n">
        <v>888862.72</v>
      </c>
      <c r="R11" s="3" t="n">
        <v>167</v>
      </c>
      <c r="S11" s="3" t="n">
        <v>5.4</v>
      </c>
      <c r="T11" s="3" t="n">
        <v>7</v>
      </c>
      <c r="U11" s="3"/>
      <c r="V11" s="3" t="n">
        <v>6.17</v>
      </c>
      <c r="W11" s="3" t="s">
        <v>5990</v>
      </c>
    </row>
    <row r="12" customFormat="false" ht="15" hidden="false" customHeight="true" outlineLevel="0" collapsed="false">
      <c r="A12" s="3" t="s">
        <v>6007</v>
      </c>
      <c r="B12" s="3" t="s">
        <v>4045</v>
      </c>
      <c r="C12" s="3" t="s">
        <v>3972</v>
      </c>
      <c r="D12" s="3" t="s">
        <v>47</v>
      </c>
      <c r="E12" s="3" t="s">
        <v>48</v>
      </c>
      <c r="F12" s="3" t="s">
        <v>25</v>
      </c>
      <c r="G12" s="3" t="s">
        <v>41</v>
      </c>
      <c r="H12" s="3" t="s">
        <v>42</v>
      </c>
      <c r="I12" s="3" t="s">
        <v>72</v>
      </c>
      <c r="J12" s="3" t="s">
        <v>5999</v>
      </c>
      <c r="K12" s="3" t="n">
        <v>1750834.28</v>
      </c>
      <c r="L12" s="3" t="n">
        <v>0.2635</v>
      </c>
      <c r="M12" s="3" t="n">
        <v>1289489.45</v>
      </c>
      <c r="N12" s="3" t="n">
        <v>580350.46</v>
      </c>
      <c r="O12" s="3" t="n">
        <v>0.4501</v>
      </c>
      <c r="P12" s="3" t="n">
        <v>0.479</v>
      </c>
      <c r="Q12" s="3" t="n">
        <v>617665.45</v>
      </c>
      <c r="R12" s="3" t="n">
        <v>157</v>
      </c>
      <c r="S12" s="3" t="n">
        <v>4.6</v>
      </c>
      <c r="T12" s="3" t="n">
        <v>2.6</v>
      </c>
      <c r="U12" s="3"/>
      <c r="V12" s="3" t="n">
        <v>6.06</v>
      </c>
      <c r="W12" s="3" t="s">
        <v>5990</v>
      </c>
    </row>
    <row r="13" customFormat="false" ht="15" hidden="false" customHeight="true" outlineLevel="0" collapsed="false">
      <c r="A13" s="3" t="s">
        <v>6008</v>
      </c>
      <c r="B13" s="3" t="s">
        <v>102</v>
      </c>
      <c r="C13" s="3" t="s">
        <v>392</v>
      </c>
      <c r="D13" s="3" t="s">
        <v>75</v>
      </c>
      <c r="E13" s="3" t="s">
        <v>39</v>
      </c>
      <c r="F13" s="3" t="s">
        <v>25</v>
      </c>
      <c r="G13" s="3" t="s">
        <v>104</v>
      </c>
      <c r="H13" s="3" t="s">
        <v>56</v>
      </c>
      <c r="I13" s="3" t="s">
        <v>121</v>
      </c>
      <c r="J13" s="3" t="s">
        <v>6009</v>
      </c>
      <c r="K13" s="3" t="n">
        <v>851985.2</v>
      </c>
      <c r="L13" s="3" t="n">
        <v>0.2957</v>
      </c>
      <c r="M13" s="3" t="n">
        <v>600053.18</v>
      </c>
      <c r="N13" s="3" t="n">
        <v>237618.24</v>
      </c>
      <c r="O13" s="3" t="n">
        <v>0.396</v>
      </c>
      <c r="P13" s="3" t="n">
        <v>0</v>
      </c>
      <c r="Q13" s="3" t="n">
        <v>0</v>
      </c>
      <c r="R13" s="3" t="n">
        <v>83</v>
      </c>
      <c r="S13" s="3" t="n">
        <v>7</v>
      </c>
      <c r="T13" s="3" t="n">
        <v>1.9</v>
      </c>
      <c r="U13" s="3" t="s">
        <v>6010</v>
      </c>
      <c r="V13" s="3" t="n">
        <v>6.07</v>
      </c>
      <c r="W13" s="3" t="s">
        <v>5990</v>
      </c>
    </row>
    <row r="14" customFormat="false" ht="15" hidden="false" customHeight="true" outlineLevel="0" collapsed="false">
      <c r="A14" s="3" t="s">
        <v>6011</v>
      </c>
      <c r="B14" s="3" t="s">
        <v>3940</v>
      </c>
      <c r="C14" s="3" t="s">
        <v>194</v>
      </c>
      <c r="D14" s="3" t="s">
        <v>61</v>
      </c>
      <c r="E14" s="3" t="s">
        <v>33</v>
      </c>
      <c r="F14" s="3" t="s">
        <v>62</v>
      </c>
      <c r="G14" s="3" t="s">
        <v>84</v>
      </c>
      <c r="H14" s="3" t="s">
        <v>64</v>
      </c>
      <c r="I14" s="3" t="s">
        <v>108</v>
      </c>
      <c r="J14" s="3" t="s">
        <v>5996</v>
      </c>
      <c r="K14" s="3" t="n">
        <v>4642691.48</v>
      </c>
      <c r="L14" s="3" t="n">
        <v>0.1893</v>
      </c>
      <c r="M14" s="3" t="n">
        <v>3763829.98</v>
      </c>
      <c r="N14" s="3" t="n">
        <v>1301592.9</v>
      </c>
      <c r="O14" s="3" t="n">
        <v>0.3458</v>
      </c>
      <c r="P14" s="3" t="n">
        <v>1</v>
      </c>
      <c r="Q14" s="3" t="n">
        <v>3763829.98</v>
      </c>
      <c r="R14" s="3" t="n">
        <v>69</v>
      </c>
      <c r="S14" s="3" t="n">
        <v>6.5</v>
      </c>
      <c r="T14" s="3" t="n">
        <v>8.2</v>
      </c>
      <c r="U14" s="3"/>
      <c r="V14" s="3" t="n">
        <v>5.52</v>
      </c>
      <c r="W14" s="3" t="s">
        <v>5990</v>
      </c>
    </row>
    <row r="15" customFormat="false" ht="15" hidden="false" customHeight="true" outlineLevel="0" collapsed="false">
      <c r="A15" s="3" t="s">
        <v>6012</v>
      </c>
      <c r="B15" s="3" t="s">
        <v>952</v>
      </c>
      <c r="C15" s="3" t="s">
        <v>575</v>
      </c>
      <c r="D15" s="3" t="s">
        <v>107</v>
      </c>
      <c r="E15" s="3" t="s">
        <v>33</v>
      </c>
      <c r="F15" s="3" t="s">
        <v>70</v>
      </c>
      <c r="G15" s="3" t="s">
        <v>63</v>
      </c>
      <c r="H15" s="3" t="s">
        <v>56</v>
      </c>
      <c r="I15" s="3" t="s">
        <v>121</v>
      </c>
      <c r="J15" s="3" t="s">
        <v>5989</v>
      </c>
      <c r="K15" s="3" t="n">
        <v>1822850</v>
      </c>
      <c r="L15" s="3" t="n">
        <v>0.2703</v>
      </c>
      <c r="M15" s="3" t="n">
        <v>1330133.65</v>
      </c>
      <c r="N15" s="3" t="n">
        <v>525880.15</v>
      </c>
      <c r="O15" s="3" t="n">
        <v>0.3954</v>
      </c>
      <c r="P15" s="3" t="n">
        <v>0.219</v>
      </c>
      <c r="Q15" s="3" t="n">
        <v>291299.27</v>
      </c>
      <c r="R15" s="3" t="n">
        <v>121</v>
      </c>
      <c r="S15" s="3" t="n">
        <v>4.7</v>
      </c>
      <c r="T15" s="3" t="n">
        <v>4.9</v>
      </c>
      <c r="U15" s="3"/>
      <c r="V15" s="3" t="n">
        <v>5.27</v>
      </c>
      <c r="W15" s="3" t="s">
        <v>5990</v>
      </c>
    </row>
    <row r="16" customFormat="false" ht="15" hidden="false" customHeight="true" outlineLevel="0" collapsed="false">
      <c r="A16" s="3" t="s">
        <v>6013</v>
      </c>
      <c r="B16" s="3" t="s">
        <v>1980</v>
      </c>
      <c r="C16" s="3" t="s">
        <v>3118</v>
      </c>
      <c r="D16" s="3" t="s">
        <v>61</v>
      </c>
      <c r="E16" s="3" t="s">
        <v>33</v>
      </c>
      <c r="F16" s="3" t="s">
        <v>62</v>
      </c>
      <c r="G16" s="3" t="s">
        <v>49</v>
      </c>
      <c r="H16" s="3" t="s">
        <v>27</v>
      </c>
      <c r="I16" s="3" t="s">
        <v>117</v>
      </c>
      <c r="J16" s="3" t="s">
        <v>5999</v>
      </c>
      <c r="K16" s="3" t="n">
        <v>2511326.17</v>
      </c>
      <c r="L16" s="3" t="n">
        <v>0.2104</v>
      </c>
      <c r="M16" s="3" t="n">
        <v>1982943.14</v>
      </c>
      <c r="N16" s="3" t="n">
        <v>931267.14</v>
      </c>
      <c r="O16" s="3" t="n">
        <v>0.4696</v>
      </c>
      <c r="P16" s="3" t="n">
        <v>0.449</v>
      </c>
      <c r="Q16" s="3" t="n">
        <v>890341.47</v>
      </c>
      <c r="R16" s="3" t="n">
        <v>65</v>
      </c>
      <c r="S16" s="3" t="n">
        <v>9.3</v>
      </c>
      <c r="T16" s="3" t="n">
        <v>7.4</v>
      </c>
      <c r="U16" s="3"/>
      <c r="V16" s="3" t="n">
        <v>6.96</v>
      </c>
      <c r="W16" s="3" t="s">
        <v>5997</v>
      </c>
    </row>
    <row r="17" customFormat="false" ht="15" hidden="false" customHeight="true" outlineLevel="0" collapsed="false">
      <c r="A17" s="3" t="s">
        <v>6014</v>
      </c>
      <c r="B17" s="3" t="s">
        <v>1307</v>
      </c>
      <c r="C17" s="3" t="s">
        <v>112</v>
      </c>
      <c r="D17" s="3" t="s">
        <v>38</v>
      </c>
      <c r="E17" s="3" t="s">
        <v>39</v>
      </c>
      <c r="F17" s="3" t="s">
        <v>40</v>
      </c>
      <c r="G17" s="3" t="s">
        <v>41</v>
      </c>
      <c r="H17" s="3" t="s">
        <v>64</v>
      </c>
      <c r="I17" s="3" t="s">
        <v>90</v>
      </c>
      <c r="J17" s="3" t="s">
        <v>5999</v>
      </c>
      <c r="K17" s="3" t="n">
        <v>3153138.21</v>
      </c>
      <c r="L17" s="3" t="n">
        <v>0.051</v>
      </c>
      <c r="M17" s="3" t="n">
        <v>2992328.16</v>
      </c>
      <c r="N17" s="3" t="n">
        <v>1197656.19</v>
      </c>
      <c r="O17" s="3" t="n">
        <v>0.4002</v>
      </c>
      <c r="P17" s="3" t="n">
        <v>0.415</v>
      </c>
      <c r="Q17" s="3" t="n">
        <v>1241816.19</v>
      </c>
      <c r="R17" s="3" t="n">
        <v>33</v>
      </c>
      <c r="S17" s="3" t="n">
        <v>4.9</v>
      </c>
      <c r="T17" s="3" t="n">
        <v>8.8</v>
      </c>
      <c r="U17" s="3"/>
      <c r="V17" s="3" t="n">
        <v>6.59</v>
      </c>
      <c r="W17" s="3" t="s">
        <v>5997</v>
      </c>
    </row>
    <row r="18" customFormat="false" ht="15" hidden="false" customHeight="true" outlineLevel="0" collapsed="false">
      <c r="A18" s="3" t="s">
        <v>6015</v>
      </c>
      <c r="B18" s="3" t="s">
        <v>4100</v>
      </c>
      <c r="C18" s="3" t="s">
        <v>3434</v>
      </c>
      <c r="D18" s="3" t="s">
        <v>47</v>
      </c>
      <c r="E18" s="3" t="s">
        <v>48</v>
      </c>
      <c r="F18" s="3" t="s">
        <v>25</v>
      </c>
      <c r="G18" s="3" t="s">
        <v>63</v>
      </c>
      <c r="H18" s="3" t="s">
        <v>27</v>
      </c>
      <c r="I18" s="3" t="s">
        <v>94</v>
      </c>
      <c r="J18" s="3" t="s">
        <v>6003</v>
      </c>
      <c r="K18" s="3" t="n">
        <v>3044098.52</v>
      </c>
      <c r="L18" s="3" t="n">
        <v>0.0591</v>
      </c>
      <c r="M18" s="3" t="n">
        <v>2864192.3</v>
      </c>
      <c r="N18" s="3" t="n">
        <v>855205.14</v>
      </c>
      <c r="O18" s="3" t="n">
        <v>0.2986</v>
      </c>
      <c r="P18" s="3" t="n">
        <v>0.055</v>
      </c>
      <c r="Q18" s="3" t="n">
        <v>157530.58</v>
      </c>
      <c r="R18" s="3" t="n">
        <v>15</v>
      </c>
      <c r="S18" s="3" t="n">
        <v>2</v>
      </c>
      <c r="T18" s="3" t="n">
        <v>4.5</v>
      </c>
      <c r="U18" s="3"/>
      <c r="V18" s="3" t="n">
        <v>5.63</v>
      </c>
      <c r="W18" s="3" t="s">
        <v>5990</v>
      </c>
    </row>
    <row r="19" customFormat="false" ht="15" hidden="false" customHeight="true" outlineLevel="0" collapsed="false">
      <c r="A19" s="3" t="s">
        <v>6016</v>
      </c>
      <c r="B19" s="3" t="s">
        <v>347</v>
      </c>
      <c r="C19" s="3" t="s">
        <v>2057</v>
      </c>
      <c r="D19" s="3" t="s">
        <v>23</v>
      </c>
      <c r="E19" s="3" t="s">
        <v>24</v>
      </c>
      <c r="F19" s="3" t="s">
        <v>25</v>
      </c>
      <c r="G19" s="3" t="s">
        <v>76</v>
      </c>
      <c r="H19" s="3" t="s">
        <v>56</v>
      </c>
      <c r="I19" s="3" t="s">
        <v>57</v>
      </c>
      <c r="J19" s="3" t="s">
        <v>5999</v>
      </c>
      <c r="K19" s="3" t="n">
        <v>1589360.18</v>
      </c>
      <c r="L19" s="3" t="n">
        <v>0.2301</v>
      </c>
      <c r="M19" s="3" t="n">
        <v>1223648.4</v>
      </c>
      <c r="N19" s="3" t="n">
        <v>577869.44</v>
      </c>
      <c r="O19" s="3" t="n">
        <v>0.4723</v>
      </c>
      <c r="P19" s="3" t="n">
        <v>0.489</v>
      </c>
      <c r="Q19" s="3" t="n">
        <v>598364.07</v>
      </c>
      <c r="R19" s="3" t="n">
        <v>135</v>
      </c>
      <c r="S19" s="3" t="n">
        <v>8.8</v>
      </c>
      <c r="T19" s="3" t="n">
        <v>8.7</v>
      </c>
      <c r="U19" s="3"/>
      <c r="V19" s="3" t="n">
        <v>6.47</v>
      </c>
      <c r="W19" s="3" t="s">
        <v>5990</v>
      </c>
    </row>
    <row r="20" customFormat="false" ht="15" hidden="false" customHeight="true" outlineLevel="0" collapsed="false">
      <c r="A20" s="3" t="s">
        <v>6017</v>
      </c>
      <c r="B20" s="3" t="s">
        <v>1084</v>
      </c>
      <c r="C20" s="3" t="s">
        <v>6018</v>
      </c>
      <c r="D20" s="3" t="s">
        <v>75</v>
      </c>
      <c r="E20" s="3" t="s">
        <v>39</v>
      </c>
      <c r="F20" s="3" t="s">
        <v>25</v>
      </c>
      <c r="G20" s="3" t="s">
        <v>76</v>
      </c>
      <c r="H20" s="3" t="s">
        <v>77</v>
      </c>
      <c r="I20" s="3" t="s">
        <v>85</v>
      </c>
      <c r="J20" s="3" t="s">
        <v>5996</v>
      </c>
      <c r="K20" s="3" t="n">
        <v>3271539.49</v>
      </c>
      <c r="L20" s="3" t="n">
        <v>0.0891</v>
      </c>
      <c r="M20" s="3" t="n">
        <v>2980045.32</v>
      </c>
      <c r="N20" s="3" t="n">
        <v>940349.13</v>
      </c>
      <c r="O20" s="3" t="n">
        <v>0.3155</v>
      </c>
      <c r="P20" s="3" t="n">
        <v>0.968</v>
      </c>
      <c r="Q20" s="3" t="n">
        <v>2884683.87</v>
      </c>
      <c r="R20" s="3" t="n">
        <v>94</v>
      </c>
      <c r="S20" s="3" t="n">
        <v>7.4</v>
      </c>
      <c r="T20" s="3" t="n">
        <v>4.1</v>
      </c>
      <c r="U20" s="3"/>
      <c r="V20" s="3" t="n">
        <v>6.93</v>
      </c>
      <c r="W20" s="3" t="s">
        <v>5997</v>
      </c>
    </row>
    <row r="21" customFormat="false" ht="15" hidden="false" customHeight="true" outlineLevel="0" collapsed="false">
      <c r="A21" s="3" t="s">
        <v>6019</v>
      </c>
      <c r="B21" s="3" t="s">
        <v>1287</v>
      </c>
      <c r="C21" s="3" t="s">
        <v>2584</v>
      </c>
      <c r="D21" s="3" t="s">
        <v>23</v>
      </c>
      <c r="E21" s="3" t="s">
        <v>24</v>
      </c>
      <c r="F21" s="3" t="s">
        <v>25</v>
      </c>
      <c r="G21" s="3" t="s">
        <v>100</v>
      </c>
      <c r="H21" s="3" t="s">
        <v>56</v>
      </c>
      <c r="I21" s="3" t="s">
        <v>121</v>
      </c>
      <c r="J21" s="3" t="s">
        <v>6009</v>
      </c>
      <c r="K21" s="3" t="n">
        <v>2315858.58</v>
      </c>
      <c r="L21" s="3" t="n">
        <v>0.2827</v>
      </c>
      <c r="M21" s="3" t="n">
        <v>1661165.36</v>
      </c>
      <c r="N21" s="3" t="n">
        <v>731741.5</v>
      </c>
      <c r="O21" s="3" t="n">
        <v>0.4405</v>
      </c>
      <c r="P21" s="3" t="n">
        <v>0</v>
      </c>
      <c r="Q21" s="3" t="n">
        <v>0</v>
      </c>
      <c r="R21" s="3" t="n">
        <v>64</v>
      </c>
      <c r="S21" s="3" t="n">
        <v>4.7</v>
      </c>
      <c r="T21" s="3" t="n">
        <v>4.6</v>
      </c>
      <c r="U21" s="3" t="s">
        <v>6020</v>
      </c>
      <c r="V21" s="3" t="n">
        <v>5.56</v>
      </c>
      <c r="W21" s="3" t="s">
        <v>5990</v>
      </c>
    </row>
    <row r="22" customFormat="false" ht="15" hidden="false" customHeight="true" outlineLevel="0" collapsed="false">
      <c r="A22" s="3" t="s">
        <v>6021</v>
      </c>
      <c r="B22" s="3" t="s">
        <v>3685</v>
      </c>
      <c r="C22" s="3" t="s">
        <v>1034</v>
      </c>
      <c r="D22" s="3" t="s">
        <v>38</v>
      </c>
      <c r="E22" s="3" t="s">
        <v>39</v>
      </c>
      <c r="F22" s="3" t="s">
        <v>40</v>
      </c>
      <c r="G22" s="3" t="s">
        <v>26</v>
      </c>
      <c r="H22" s="3" t="s">
        <v>27</v>
      </c>
      <c r="I22" s="3" t="s">
        <v>28</v>
      </c>
      <c r="J22" s="3" t="s">
        <v>5999</v>
      </c>
      <c r="K22" s="3" t="n">
        <v>3154631.17</v>
      </c>
      <c r="L22" s="3" t="n">
        <v>0.2197</v>
      </c>
      <c r="M22" s="3" t="n">
        <v>2461558.7</v>
      </c>
      <c r="N22" s="3" t="n">
        <v>982646.19</v>
      </c>
      <c r="O22" s="3" t="n">
        <v>0.3992</v>
      </c>
      <c r="P22" s="3" t="n">
        <v>0.481</v>
      </c>
      <c r="Q22" s="3" t="n">
        <v>1184009.73</v>
      </c>
      <c r="R22" s="3" t="n">
        <v>44</v>
      </c>
      <c r="S22" s="3" t="n">
        <v>1.8</v>
      </c>
      <c r="T22" s="3" t="n">
        <v>7</v>
      </c>
      <c r="U22" s="3"/>
      <c r="V22" s="3" t="n">
        <v>4.69</v>
      </c>
      <c r="W22" s="3" t="s">
        <v>6000</v>
      </c>
    </row>
    <row r="23" customFormat="false" ht="15" hidden="false" customHeight="true" outlineLevel="0" collapsed="false">
      <c r="A23" s="3" t="s">
        <v>6022</v>
      </c>
      <c r="B23" s="3" t="s">
        <v>3232</v>
      </c>
      <c r="C23" s="3" t="s">
        <v>1582</v>
      </c>
      <c r="D23" s="3" t="s">
        <v>54</v>
      </c>
      <c r="E23" s="3" t="s">
        <v>24</v>
      </c>
      <c r="F23" s="3" t="s">
        <v>40</v>
      </c>
      <c r="G23" s="3" t="s">
        <v>49</v>
      </c>
      <c r="H23" s="3" t="s">
        <v>27</v>
      </c>
      <c r="I23" s="3" t="s">
        <v>117</v>
      </c>
      <c r="J23" s="3" t="s">
        <v>6003</v>
      </c>
      <c r="K23" s="3" t="n">
        <v>161112.54</v>
      </c>
      <c r="L23" s="3" t="n">
        <v>0.1174</v>
      </c>
      <c r="M23" s="3" t="n">
        <v>142197.93</v>
      </c>
      <c r="N23" s="3" t="n">
        <v>64054.62</v>
      </c>
      <c r="O23" s="3" t="n">
        <v>0.4505</v>
      </c>
      <c r="P23" s="3" t="n">
        <v>0.141</v>
      </c>
      <c r="Q23" s="3" t="n">
        <v>20049.91</v>
      </c>
      <c r="R23" s="3" t="n">
        <v>121</v>
      </c>
      <c r="S23" s="3" t="n">
        <v>3.3</v>
      </c>
      <c r="T23" s="3" t="n">
        <v>3.8</v>
      </c>
      <c r="U23" s="3"/>
      <c r="V23" s="3" t="n">
        <v>6.78</v>
      </c>
      <c r="W23" s="3" t="s">
        <v>5997</v>
      </c>
    </row>
    <row r="24" customFormat="false" ht="15" hidden="false" customHeight="true" outlineLevel="0" collapsed="false">
      <c r="A24" s="3" t="s">
        <v>6023</v>
      </c>
      <c r="B24" s="3" t="s">
        <v>1060</v>
      </c>
      <c r="C24" s="3" t="s">
        <v>1771</v>
      </c>
      <c r="D24" s="3" t="s">
        <v>38</v>
      </c>
      <c r="E24" s="3" t="s">
        <v>39</v>
      </c>
      <c r="F24" s="3" t="s">
        <v>40</v>
      </c>
      <c r="G24" s="3" t="s">
        <v>63</v>
      </c>
      <c r="H24" s="3" t="s">
        <v>42</v>
      </c>
      <c r="I24" s="3" t="s">
        <v>72</v>
      </c>
      <c r="J24" s="3" t="s">
        <v>5999</v>
      </c>
      <c r="K24" s="3" t="n">
        <v>4592187.54</v>
      </c>
      <c r="L24" s="3" t="n">
        <v>0.2184</v>
      </c>
      <c r="M24" s="3" t="n">
        <v>3589253.78</v>
      </c>
      <c r="N24" s="3" t="n">
        <v>1066338.36</v>
      </c>
      <c r="O24" s="3" t="n">
        <v>0.2971</v>
      </c>
      <c r="P24" s="3" t="n">
        <v>0.497</v>
      </c>
      <c r="Q24" s="3" t="n">
        <v>1783859.13</v>
      </c>
      <c r="R24" s="3" t="n">
        <v>95</v>
      </c>
      <c r="S24" s="3" t="n">
        <v>3.6</v>
      </c>
      <c r="T24" s="3" t="n">
        <v>9</v>
      </c>
      <c r="U24" s="3"/>
      <c r="V24" s="3" t="n">
        <v>4.03</v>
      </c>
      <c r="W24" s="3" t="s">
        <v>6000</v>
      </c>
    </row>
    <row r="25" customFormat="false" ht="15" hidden="false" customHeight="true" outlineLevel="0" collapsed="false">
      <c r="A25" s="3" t="s">
        <v>6024</v>
      </c>
      <c r="B25" s="3" t="s">
        <v>362</v>
      </c>
      <c r="C25" s="3" t="s">
        <v>3612</v>
      </c>
      <c r="D25" s="3" t="s">
        <v>23</v>
      </c>
      <c r="E25" s="3" t="s">
        <v>24</v>
      </c>
      <c r="F25" s="3" t="s">
        <v>25</v>
      </c>
      <c r="G25" s="3" t="s">
        <v>116</v>
      </c>
      <c r="H25" s="3" t="s">
        <v>42</v>
      </c>
      <c r="I25" s="3" t="s">
        <v>43</v>
      </c>
      <c r="J25" s="3" t="s">
        <v>6009</v>
      </c>
      <c r="K25" s="3" t="n">
        <v>123625.4</v>
      </c>
      <c r="L25" s="3" t="n">
        <v>0.1771</v>
      </c>
      <c r="M25" s="3" t="n">
        <v>101731.34</v>
      </c>
      <c r="N25" s="3" t="n">
        <v>34565.88</v>
      </c>
      <c r="O25" s="3" t="n">
        <v>0.3398</v>
      </c>
      <c r="P25" s="3" t="n">
        <v>0.022</v>
      </c>
      <c r="Q25" s="3" t="n">
        <v>2238.09</v>
      </c>
      <c r="R25" s="3" t="n">
        <v>63</v>
      </c>
      <c r="S25" s="3" t="n">
        <v>9.8</v>
      </c>
      <c r="T25" s="3" t="n">
        <v>9.6</v>
      </c>
      <c r="U25" s="3" t="s">
        <v>6025</v>
      </c>
      <c r="V25" s="3" t="n">
        <v>6.2</v>
      </c>
      <c r="W25" s="3" t="s">
        <v>5990</v>
      </c>
    </row>
    <row r="26" customFormat="false" ht="15" hidden="false" customHeight="true" outlineLevel="0" collapsed="false">
      <c r="A26" s="3" t="s">
        <v>6026</v>
      </c>
      <c r="B26" s="3" t="s">
        <v>1029</v>
      </c>
      <c r="C26" s="3" t="s">
        <v>196</v>
      </c>
      <c r="D26" s="3" t="s">
        <v>97</v>
      </c>
      <c r="E26" s="3" t="s">
        <v>48</v>
      </c>
      <c r="F26" s="3" t="s">
        <v>40</v>
      </c>
      <c r="G26" s="3" t="s">
        <v>49</v>
      </c>
      <c r="H26" s="3" t="s">
        <v>77</v>
      </c>
      <c r="I26" s="3" t="s">
        <v>78</v>
      </c>
      <c r="J26" s="3" t="s">
        <v>5992</v>
      </c>
      <c r="K26" s="3" t="n">
        <v>4506295.77</v>
      </c>
      <c r="L26" s="3" t="n">
        <v>0.1734</v>
      </c>
      <c r="M26" s="3" t="n">
        <v>3724904.08</v>
      </c>
      <c r="N26" s="3" t="n">
        <v>1552221.56</v>
      </c>
      <c r="O26" s="3" t="n">
        <v>0.4167</v>
      </c>
      <c r="P26" s="3" t="n">
        <v>0.676</v>
      </c>
      <c r="Q26" s="3" t="n">
        <v>2518035.16</v>
      </c>
      <c r="R26" s="3" t="n">
        <v>29</v>
      </c>
      <c r="S26" s="3" t="n">
        <v>1.6</v>
      </c>
      <c r="T26" s="3" t="n">
        <v>4.1</v>
      </c>
      <c r="U26" s="3"/>
      <c r="V26" s="3" t="n">
        <v>5.59</v>
      </c>
      <c r="W26" s="3" t="s">
        <v>5990</v>
      </c>
    </row>
    <row r="27" customFormat="false" ht="15" hidden="false" customHeight="true" outlineLevel="0" collapsed="false">
      <c r="A27" s="3" t="s">
        <v>6027</v>
      </c>
      <c r="B27" s="3" t="s">
        <v>2379</v>
      </c>
      <c r="C27" s="3" t="s">
        <v>454</v>
      </c>
      <c r="D27" s="3" t="s">
        <v>103</v>
      </c>
      <c r="E27" s="3" t="s">
        <v>24</v>
      </c>
      <c r="F27" s="3" t="s">
        <v>62</v>
      </c>
      <c r="G27" s="3" t="s">
        <v>34</v>
      </c>
      <c r="H27" s="3" t="s">
        <v>64</v>
      </c>
      <c r="I27" s="3" t="s">
        <v>108</v>
      </c>
      <c r="J27" s="3" t="s">
        <v>6003</v>
      </c>
      <c r="K27" s="3" t="n">
        <v>4318044.6</v>
      </c>
      <c r="L27" s="3" t="n">
        <v>0.1498</v>
      </c>
      <c r="M27" s="3" t="n">
        <v>3671201.52</v>
      </c>
      <c r="N27" s="3" t="n">
        <v>1070945.81</v>
      </c>
      <c r="O27" s="3" t="n">
        <v>0.2917</v>
      </c>
      <c r="P27" s="3" t="n">
        <v>0.141</v>
      </c>
      <c r="Q27" s="3" t="n">
        <v>517639.41</v>
      </c>
      <c r="R27" s="3" t="n">
        <v>19</v>
      </c>
      <c r="S27" s="3" t="n">
        <v>3.2</v>
      </c>
      <c r="T27" s="3" t="n">
        <v>9.7</v>
      </c>
      <c r="U27" s="3"/>
      <c r="V27" s="3" t="n">
        <v>4.37</v>
      </c>
      <c r="W27" s="3" t="s">
        <v>6000</v>
      </c>
    </row>
    <row r="28" customFormat="false" ht="15" hidden="false" customHeight="true" outlineLevel="0" collapsed="false">
      <c r="A28" s="3" t="s">
        <v>6028</v>
      </c>
      <c r="B28" s="3" t="s">
        <v>2071</v>
      </c>
      <c r="C28" s="3" t="s">
        <v>811</v>
      </c>
      <c r="D28" s="3" t="s">
        <v>75</v>
      </c>
      <c r="E28" s="3" t="s">
        <v>39</v>
      </c>
      <c r="F28" s="3" t="s">
        <v>25</v>
      </c>
      <c r="G28" s="3" t="s">
        <v>84</v>
      </c>
      <c r="H28" s="3" t="s">
        <v>56</v>
      </c>
      <c r="I28" s="3" t="s">
        <v>57</v>
      </c>
      <c r="J28" s="3" t="s">
        <v>5996</v>
      </c>
      <c r="K28" s="3" t="n">
        <v>1509815.99</v>
      </c>
      <c r="L28" s="3" t="n">
        <v>0.2436</v>
      </c>
      <c r="M28" s="3" t="n">
        <v>1142024.81</v>
      </c>
      <c r="N28" s="3" t="n">
        <v>496263.81</v>
      </c>
      <c r="O28" s="3" t="n">
        <v>0.4345</v>
      </c>
      <c r="P28" s="3" t="n">
        <v>1</v>
      </c>
      <c r="Q28" s="3" t="n">
        <v>1142024.81</v>
      </c>
      <c r="R28" s="3" t="n">
        <v>165</v>
      </c>
      <c r="S28" s="3" t="n">
        <v>4.1</v>
      </c>
      <c r="T28" s="3" t="n">
        <v>5.1</v>
      </c>
      <c r="U28" s="3"/>
      <c r="V28" s="3" t="n">
        <v>5.63</v>
      </c>
      <c r="W28" s="3" t="s">
        <v>5990</v>
      </c>
    </row>
    <row r="29" customFormat="false" ht="15" hidden="false" customHeight="true" outlineLevel="0" collapsed="false">
      <c r="A29" s="3" t="s">
        <v>6029</v>
      </c>
      <c r="B29" s="3" t="s">
        <v>3757</v>
      </c>
      <c r="C29" s="3" t="s">
        <v>245</v>
      </c>
      <c r="D29" s="3" t="s">
        <v>47</v>
      </c>
      <c r="E29" s="3" t="s">
        <v>48</v>
      </c>
      <c r="F29" s="3" t="s">
        <v>25</v>
      </c>
      <c r="G29" s="3" t="s">
        <v>71</v>
      </c>
      <c r="H29" s="3" t="s">
        <v>77</v>
      </c>
      <c r="I29" s="3" t="s">
        <v>85</v>
      </c>
      <c r="J29" s="3" t="s">
        <v>5996</v>
      </c>
      <c r="K29" s="3" t="n">
        <v>4396866.69</v>
      </c>
      <c r="L29" s="3" t="n">
        <v>0.0634</v>
      </c>
      <c r="M29" s="3" t="n">
        <v>4118105.34</v>
      </c>
      <c r="N29" s="3" t="n">
        <v>1155444.32</v>
      </c>
      <c r="O29" s="3" t="n">
        <v>0.2806</v>
      </c>
      <c r="P29" s="3" t="n">
        <v>0.963</v>
      </c>
      <c r="Q29" s="3" t="n">
        <v>3965735.44</v>
      </c>
      <c r="R29" s="3" t="n">
        <v>130</v>
      </c>
      <c r="S29" s="3" t="n">
        <v>6.7</v>
      </c>
      <c r="T29" s="3" t="n">
        <v>7.9</v>
      </c>
      <c r="U29" s="3"/>
      <c r="V29" s="3" t="n">
        <v>6.13</v>
      </c>
      <c r="W29" s="3" t="s">
        <v>5990</v>
      </c>
    </row>
    <row r="30" customFormat="false" ht="15" hidden="false" customHeight="true" outlineLevel="0" collapsed="false">
      <c r="A30" s="3" t="s">
        <v>6030</v>
      </c>
      <c r="B30" s="3" t="s">
        <v>1621</v>
      </c>
      <c r="C30" s="3" t="s">
        <v>6031</v>
      </c>
      <c r="D30" s="3" t="s">
        <v>97</v>
      </c>
      <c r="E30" s="3" t="s">
        <v>48</v>
      </c>
      <c r="F30" s="3" t="s">
        <v>40</v>
      </c>
      <c r="G30" s="3" t="s">
        <v>84</v>
      </c>
      <c r="H30" s="3" t="s">
        <v>42</v>
      </c>
      <c r="I30" s="3" t="s">
        <v>72</v>
      </c>
      <c r="J30" s="3" t="s">
        <v>5989</v>
      </c>
      <c r="K30" s="3" t="n">
        <v>4345868.33</v>
      </c>
      <c r="L30" s="3" t="n">
        <v>0.2347</v>
      </c>
      <c r="M30" s="3" t="n">
        <v>3325893.03</v>
      </c>
      <c r="N30" s="3" t="n">
        <v>1257231.13</v>
      </c>
      <c r="O30" s="3" t="n">
        <v>0.378</v>
      </c>
      <c r="P30" s="3" t="n">
        <v>0.21</v>
      </c>
      <c r="Q30" s="3" t="n">
        <v>698437.54</v>
      </c>
      <c r="R30" s="3" t="n">
        <v>89</v>
      </c>
      <c r="S30" s="3" t="n">
        <v>8.2</v>
      </c>
      <c r="T30" s="3" t="n">
        <v>4.7</v>
      </c>
      <c r="U30" s="3"/>
      <c r="V30" s="3" t="n">
        <v>6.33</v>
      </c>
      <c r="W30" s="3" t="s">
        <v>5990</v>
      </c>
    </row>
    <row r="31" customFormat="false" ht="15" hidden="false" customHeight="true" outlineLevel="0" collapsed="false">
      <c r="A31" s="3" t="s">
        <v>6032</v>
      </c>
      <c r="B31" s="3" t="s">
        <v>659</v>
      </c>
      <c r="C31" s="3" t="s">
        <v>6033</v>
      </c>
      <c r="D31" s="3" t="s">
        <v>23</v>
      </c>
      <c r="E31" s="3" t="s">
        <v>24</v>
      </c>
      <c r="F31" s="3" t="s">
        <v>25</v>
      </c>
      <c r="G31" s="3" t="s">
        <v>104</v>
      </c>
      <c r="H31" s="3" t="s">
        <v>27</v>
      </c>
      <c r="I31" s="3" t="s">
        <v>28</v>
      </c>
      <c r="J31" s="3" t="s">
        <v>5992</v>
      </c>
      <c r="K31" s="3" t="n">
        <v>2239348.14</v>
      </c>
      <c r="L31" s="3" t="n">
        <v>0.1229</v>
      </c>
      <c r="M31" s="3" t="n">
        <v>1964132.25</v>
      </c>
      <c r="N31" s="3" t="n">
        <v>556127.47</v>
      </c>
      <c r="O31" s="3" t="n">
        <v>0.2831</v>
      </c>
      <c r="P31" s="3" t="n">
        <v>0.667</v>
      </c>
      <c r="Q31" s="3" t="n">
        <v>1310076.21</v>
      </c>
      <c r="R31" s="3" t="n">
        <v>144</v>
      </c>
      <c r="S31" s="3" t="n">
        <v>6.1</v>
      </c>
      <c r="T31" s="3" t="n">
        <v>1.6</v>
      </c>
      <c r="U31" s="3"/>
      <c r="V31" s="3" t="n">
        <v>6.46</v>
      </c>
      <c r="W31" s="3" t="s">
        <v>5990</v>
      </c>
    </row>
    <row r="32" customFormat="false" ht="15" hidden="false" customHeight="true" outlineLevel="0" collapsed="false">
      <c r="A32" s="3" t="s">
        <v>6034</v>
      </c>
      <c r="B32" s="3" t="s">
        <v>6035</v>
      </c>
      <c r="C32" s="3" t="s">
        <v>6036</v>
      </c>
      <c r="D32" s="3" t="s">
        <v>23</v>
      </c>
      <c r="E32" s="3" t="s">
        <v>24</v>
      </c>
      <c r="F32" s="3" t="s">
        <v>25</v>
      </c>
      <c r="G32" s="3" t="s">
        <v>116</v>
      </c>
      <c r="H32" s="3" t="s">
        <v>42</v>
      </c>
      <c r="I32" s="3" t="s">
        <v>43</v>
      </c>
      <c r="J32" s="3" t="s">
        <v>5989</v>
      </c>
      <c r="K32" s="3" t="n">
        <v>676904.71</v>
      </c>
      <c r="L32" s="3" t="n">
        <v>0.1389</v>
      </c>
      <c r="M32" s="3" t="n">
        <v>582882.65</v>
      </c>
      <c r="N32" s="3" t="n">
        <v>239138.85</v>
      </c>
      <c r="O32" s="3" t="n">
        <v>0.4103</v>
      </c>
      <c r="P32" s="3" t="n">
        <v>0.297</v>
      </c>
      <c r="Q32" s="3" t="n">
        <v>173116.15</v>
      </c>
      <c r="R32" s="3" t="n">
        <v>134</v>
      </c>
      <c r="S32" s="3" t="n">
        <v>1.5</v>
      </c>
      <c r="T32" s="3" t="n">
        <v>9.3</v>
      </c>
      <c r="U32" s="3"/>
      <c r="V32" s="3" t="n">
        <v>5.01</v>
      </c>
      <c r="W32" s="3" t="s">
        <v>5990</v>
      </c>
    </row>
    <row r="33" customFormat="false" ht="15" hidden="false" customHeight="true" outlineLevel="0" collapsed="false">
      <c r="A33" s="3" t="s">
        <v>6037</v>
      </c>
      <c r="B33" s="3" t="s">
        <v>270</v>
      </c>
      <c r="C33" s="3" t="s">
        <v>1586</v>
      </c>
      <c r="D33" s="3" t="s">
        <v>75</v>
      </c>
      <c r="E33" s="3" t="s">
        <v>39</v>
      </c>
      <c r="F33" s="3" t="s">
        <v>25</v>
      </c>
      <c r="G33" s="3" t="s">
        <v>55</v>
      </c>
      <c r="H33" s="3" t="s">
        <v>42</v>
      </c>
      <c r="I33" s="3" t="s">
        <v>72</v>
      </c>
      <c r="J33" s="3" t="s">
        <v>6003</v>
      </c>
      <c r="K33" s="3" t="n">
        <v>1744817.36</v>
      </c>
      <c r="L33" s="3" t="n">
        <v>0.1409</v>
      </c>
      <c r="M33" s="3" t="n">
        <v>1498972.59</v>
      </c>
      <c r="N33" s="3" t="n">
        <v>550496.58</v>
      </c>
      <c r="O33" s="3" t="n">
        <v>0.3672</v>
      </c>
      <c r="P33" s="3" t="n">
        <v>0.086</v>
      </c>
      <c r="Q33" s="3" t="n">
        <v>128911.64</v>
      </c>
      <c r="R33" s="3" t="n">
        <v>36</v>
      </c>
      <c r="S33" s="3" t="n">
        <v>8.6</v>
      </c>
      <c r="T33" s="3" t="n">
        <v>5.8</v>
      </c>
      <c r="U33" s="3"/>
      <c r="V33" s="3" t="n">
        <v>6.97</v>
      </c>
      <c r="W33" s="3" t="s">
        <v>5997</v>
      </c>
    </row>
    <row r="34" customFormat="false" ht="15" hidden="false" customHeight="true" outlineLevel="0" collapsed="false">
      <c r="A34" s="3" t="s">
        <v>6038</v>
      </c>
      <c r="B34" s="3" t="s">
        <v>905</v>
      </c>
      <c r="C34" s="3" t="s">
        <v>2426</v>
      </c>
      <c r="D34" s="3" t="s">
        <v>54</v>
      </c>
      <c r="E34" s="3" t="s">
        <v>24</v>
      </c>
      <c r="F34" s="3" t="s">
        <v>40</v>
      </c>
      <c r="G34" s="3" t="s">
        <v>71</v>
      </c>
      <c r="H34" s="3" t="s">
        <v>64</v>
      </c>
      <c r="I34" s="3" t="s">
        <v>145</v>
      </c>
      <c r="J34" s="3" t="s">
        <v>6009</v>
      </c>
      <c r="K34" s="3" t="n">
        <v>4466577.41</v>
      </c>
      <c r="L34" s="3" t="n">
        <v>0.1376</v>
      </c>
      <c r="M34" s="3" t="n">
        <v>3851976.36</v>
      </c>
      <c r="N34" s="3" t="n">
        <v>1758830.59</v>
      </c>
      <c r="O34" s="3" t="n">
        <v>0.4566</v>
      </c>
      <c r="P34" s="3" t="n">
        <v>0</v>
      </c>
      <c r="Q34" s="3" t="n">
        <v>0</v>
      </c>
      <c r="R34" s="3" t="n">
        <v>71</v>
      </c>
      <c r="S34" s="3" t="n">
        <v>9.3</v>
      </c>
      <c r="T34" s="3" t="n">
        <v>3.5</v>
      </c>
      <c r="U34" s="3"/>
      <c r="V34" s="3" t="n">
        <v>8.15</v>
      </c>
      <c r="W34" s="3" t="s">
        <v>5997</v>
      </c>
    </row>
    <row r="35" customFormat="false" ht="15" hidden="false" customHeight="true" outlineLevel="0" collapsed="false">
      <c r="A35" s="3" t="s">
        <v>6039</v>
      </c>
      <c r="B35" s="3" t="s">
        <v>1982</v>
      </c>
      <c r="C35" s="3" t="s">
        <v>2820</v>
      </c>
      <c r="D35" s="3" t="s">
        <v>83</v>
      </c>
      <c r="E35" s="3" t="s">
        <v>48</v>
      </c>
      <c r="F35" s="3" t="s">
        <v>62</v>
      </c>
      <c r="G35" s="3" t="s">
        <v>104</v>
      </c>
      <c r="H35" s="3" t="s">
        <v>27</v>
      </c>
      <c r="I35" s="3" t="s">
        <v>94</v>
      </c>
      <c r="J35" s="3" t="s">
        <v>5999</v>
      </c>
      <c r="K35" s="3" t="n">
        <v>3278948.07</v>
      </c>
      <c r="L35" s="3" t="n">
        <v>0.0678</v>
      </c>
      <c r="M35" s="3" t="n">
        <v>3056635.39</v>
      </c>
      <c r="N35" s="3" t="n">
        <v>1018624.79</v>
      </c>
      <c r="O35" s="3" t="n">
        <v>0.3333</v>
      </c>
      <c r="P35" s="3" t="n">
        <v>0.461</v>
      </c>
      <c r="Q35" s="3" t="n">
        <v>1409108.91</v>
      </c>
      <c r="R35" s="3" t="n">
        <v>98</v>
      </c>
      <c r="S35" s="3" t="n">
        <v>3.6</v>
      </c>
      <c r="T35" s="3" t="n">
        <v>3.9</v>
      </c>
      <c r="U35" s="3"/>
      <c r="V35" s="3" t="n">
        <v>6.33</v>
      </c>
      <c r="W35" s="3" t="s">
        <v>5990</v>
      </c>
    </row>
    <row r="36" customFormat="false" ht="15" hidden="false" customHeight="true" outlineLevel="0" collapsed="false">
      <c r="A36" s="3" t="s">
        <v>6040</v>
      </c>
      <c r="B36" s="3" t="s">
        <v>239</v>
      </c>
      <c r="C36" s="3" t="s">
        <v>1090</v>
      </c>
      <c r="D36" s="3" t="s">
        <v>83</v>
      </c>
      <c r="E36" s="3" t="s">
        <v>48</v>
      </c>
      <c r="F36" s="3" t="s">
        <v>62</v>
      </c>
      <c r="G36" s="3" t="s">
        <v>71</v>
      </c>
      <c r="H36" s="3" t="s">
        <v>56</v>
      </c>
      <c r="I36" s="3" t="s">
        <v>121</v>
      </c>
      <c r="J36" s="3" t="s">
        <v>6009</v>
      </c>
      <c r="K36" s="3" t="n">
        <v>4291569.56</v>
      </c>
      <c r="L36" s="3" t="n">
        <v>0.2048</v>
      </c>
      <c r="M36" s="3" t="n">
        <v>3412656.11</v>
      </c>
      <c r="N36" s="3" t="n">
        <v>1131345.54</v>
      </c>
      <c r="O36" s="3" t="n">
        <v>0.3315</v>
      </c>
      <c r="P36" s="3" t="n">
        <v>0</v>
      </c>
      <c r="Q36" s="3" t="n">
        <v>0</v>
      </c>
      <c r="R36" s="3" t="n">
        <v>45</v>
      </c>
      <c r="S36" s="3" t="n">
        <v>2.5</v>
      </c>
      <c r="T36" s="3" t="n">
        <v>6.7</v>
      </c>
      <c r="U36" s="3" t="s">
        <v>6041</v>
      </c>
      <c r="V36" s="3" t="n">
        <v>4.51</v>
      </c>
      <c r="W36" s="3" t="s">
        <v>6000</v>
      </c>
    </row>
    <row r="37" customFormat="false" ht="15" hidden="false" customHeight="true" outlineLevel="0" collapsed="false">
      <c r="A37" s="3" t="s">
        <v>6042</v>
      </c>
      <c r="B37" s="3" t="s">
        <v>1884</v>
      </c>
      <c r="C37" s="3" t="s">
        <v>1870</v>
      </c>
      <c r="D37" s="3" t="s">
        <v>75</v>
      </c>
      <c r="E37" s="3" t="s">
        <v>39</v>
      </c>
      <c r="F37" s="3" t="s">
        <v>25</v>
      </c>
      <c r="G37" s="3" t="s">
        <v>71</v>
      </c>
      <c r="H37" s="3" t="s">
        <v>77</v>
      </c>
      <c r="I37" s="3" t="s">
        <v>78</v>
      </c>
      <c r="J37" s="3" t="s">
        <v>5989</v>
      </c>
      <c r="K37" s="3" t="n">
        <v>4862013.65</v>
      </c>
      <c r="L37" s="3" t="n">
        <v>0.1777</v>
      </c>
      <c r="M37" s="3" t="n">
        <v>3998033.82</v>
      </c>
      <c r="N37" s="3" t="n">
        <v>1663713.03</v>
      </c>
      <c r="O37" s="3" t="n">
        <v>0.4161</v>
      </c>
      <c r="P37" s="3" t="n">
        <v>0.297</v>
      </c>
      <c r="Q37" s="3" t="n">
        <v>1187416.04</v>
      </c>
      <c r="R37" s="3" t="n">
        <v>140</v>
      </c>
      <c r="S37" s="3" t="n">
        <v>5.5</v>
      </c>
      <c r="T37" s="3" t="n">
        <v>3</v>
      </c>
      <c r="U37" s="3"/>
      <c r="V37" s="3" t="n">
        <v>6.67</v>
      </c>
      <c r="W37" s="3" t="s">
        <v>5997</v>
      </c>
    </row>
    <row r="38" customFormat="false" ht="15" hidden="false" customHeight="true" outlineLevel="0" collapsed="false">
      <c r="A38" s="3" t="s">
        <v>6043</v>
      </c>
      <c r="B38" s="3" t="s">
        <v>4712</v>
      </c>
      <c r="C38" s="3" t="s">
        <v>2569</v>
      </c>
      <c r="D38" s="3" t="s">
        <v>83</v>
      </c>
      <c r="E38" s="3" t="s">
        <v>48</v>
      </c>
      <c r="F38" s="3" t="s">
        <v>62</v>
      </c>
      <c r="G38" s="3" t="s">
        <v>84</v>
      </c>
      <c r="H38" s="3" t="s">
        <v>77</v>
      </c>
      <c r="I38" s="3" t="s">
        <v>131</v>
      </c>
      <c r="J38" s="3" t="s">
        <v>6003</v>
      </c>
      <c r="K38" s="3" t="n">
        <v>4285882.74</v>
      </c>
      <c r="L38" s="3" t="n">
        <v>0.161</v>
      </c>
      <c r="M38" s="3" t="n">
        <v>3595855.62</v>
      </c>
      <c r="N38" s="3" t="n">
        <v>1278890.48</v>
      </c>
      <c r="O38" s="3" t="n">
        <v>0.3557</v>
      </c>
      <c r="P38" s="3" t="n">
        <v>0.114</v>
      </c>
      <c r="Q38" s="3" t="n">
        <v>409927.54</v>
      </c>
      <c r="R38" s="3" t="n">
        <v>19</v>
      </c>
      <c r="S38" s="3" t="n">
        <v>9.4</v>
      </c>
      <c r="T38" s="3" t="n">
        <v>4.5</v>
      </c>
      <c r="U38" s="3"/>
      <c r="V38" s="3" t="n">
        <v>7.09</v>
      </c>
      <c r="W38" s="3" t="s">
        <v>5997</v>
      </c>
    </row>
    <row r="39" customFormat="false" ht="15" hidden="false" customHeight="true" outlineLevel="0" collapsed="false">
      <c r="A39" s="3" t="s">
        <v>6044</v>
      </c>
      <c r="B39" s="3" t="s">
        <v>475</v>
      </c>
      <c r="C39" s="3" t="s">
        <v>1163</v>
      </c>
      <c r="D39" s="3" t="s">
        <v>69</v>
      </c>
      <c r="E39" s="3" t="s">
        <v>39</v>
      </c>
      <c r="F39" s="3" t="s">
        <v>70</v>
      </c>
      <c r="G39" s="3" t="s">
        <v>63</v>
      </c>
      <c r="H39" s="3" t="s">
        <v>64</v>
      </c>
      <c r="I39" s="3" t="s">
        <v>90</v>
      </c>
      <c r="J39" s="3" t="s">
        <v>5989</v>
      </c>
      <c r="K39" s="3" t="n">
        <v>1314084.84</v>
      </c>
      <c r="L39" s="3" t="n">
        <v>0.2142</v>
      </c>
      <c r="M39" s="3" t="n">
        <v>1032607.87</v>
      </c>
      <c r="N39" s="3" t="n">
        <v>338079.15</v>
      </c>
      <c r="O39" s="3" t="n">
        <v>0.3274</v>
      </c>
      <c r="P39" s="3" t="n">
        <v>0.243</v>
      </c>
      <c r="Q39" s="3" t="n">
        <v>250923.71</v>
      </c>
      <c r="R39" s="3" t="n">
        <v>47</v>
      </c>
      <c r="S39" s="3" t="n">
        <v>5.1</v>
      </c>
      <c r="T39" s="3" t="n">
        <v>1</v>
      </c>
      <c r="U39" s="3"/>
      <c r="V39" s="3" t="n">
        <v>5.9</v>
      </c>
      <c r="W39" s="3" t="s">
        <v>5990</v>
      </c>
    </row>
    <row r="40" customFormat="false" ht="15" hidden="false" customHeight="true" outlineLevel="0" collapsed="false">
      <c r="A40" s="3" t="s">
        <v>6045</v>
      </c>
      <c r="B40" s="3" t="s">
        <v>3784</v>
      </c>
      <c r="C40" s="3" t="s">
        <v>6046</v>
      </c>
      <c r="D40" s="3" t="s">
        <v>83</v>
      </c>
      <c r="E40" s="3" t="s">
        <v>48</v>
      </c>
      <c r="F40" s="3" t="s">
        <v>62</v>
      </c>
      <c r="G40" s="3" t="s">
        <v>104</v>
      </c>
      <c r="H40" s="3" t="s">
        <v>56</v>
      </c>
      <c r="I40" s="3" t="s">
        <v>121</v>
      </c>
      <c r="J40" s="3" t="s">
        <v>5989</v>
      </c>
      <c r="K40" s="3" t="n">
        <v>2480888.75</v>
      </c>
      <c r="L40" s="3" t="n">
        <v>0.1703</v>
      </c>
      <c r="M40" s="3" t="n">
        <v>2058393.4</v>
      </c>
      <c r="N40" s="3" t="n">
        <v>732165.65</v>
      </c>
      <c r="O40" s="3" t="n">
        <v>0.3557</v>
      </c>
      <c r="P40" s="3" t="n">
        <v>0.244</v>
      </c>
      <c r="Q40" s="3" t="n">
        <v>502247.99</v>
      </c>
      <c r="R40" s="3" t="n">
        <v>75</v>
      </c>
      <c r="S40" s="3" t="n">
        <v>9.3</v>
      </c>
      <c r="T40" s="3" t="n">
        <v>5.5</v>
      </c>
      <c r="U40" s="3"/>
      <c r="V40" s="3" t="n">
        <v>6.84</v>
      </c>
      <c r="W40" s="3" t="s">
        <v>5997</v>
      </c>
    </row>
    <row r="41" customFormat="false" ht="15" hidden="false" customHeight="true" outlineLevel="0" collapsed="false">
      <c r="A41" s="3" t="s">
        <v>6047</v>
      </c>
      <c r="B41" s="3" t="s">
        <v>960</v>
      </c>
      <c r="C41" s="3" t="s">
        <v>854</v>
      </c>
      <c r="D41" s="3" t="s">
        <v>23</v>
      </c>
      <c r="E41" s="3" t="s">
        <v>24</v>
      </c>
      <c r="F41" s="3" t="s">
        <v>25</v>
      </c>
      <c r="G41" s="3" t="s">
        <v>26</v>
      </c>
      <c r="H41" s="3" t="s">
        <v>42</v>
      </c>
      <c r="I41" s="3" t="s">
        <v>43</v>
      </c>
      <c r="J41" s="3" t="s">
        <v>6009</v>
      </c>
      <c r="K41" s="3" t="n">
        <v>994515.95</v>
      </c>
      <c r="L41" s="3" t="n">
        <v>0.1972</v>
      </c>
      <c r="M41" s="3" t="n">
        <v>798397.4</v>
      </c>
      <c r="N41" s="3" t="n">
        <v>313824.77</v>
      </c>
      <c r="O41" s="3" t="n">
        <v>0.3931</v>
      </c>
      <c r="P41" s="3" t="n">
        <v>0.007</v>
      </c>
      <c r="Q41" s="3" t="n">
        <v>5588.78</v>
      </c>
      <c r="R41" s="3" t="n">
        <v>113</v>
      </c>
      <c r="S41" s="3" t="n">
        <v>2</v>
      </c>
      <c r="T41" s="3" t="n">
        <v>5.7</v>
      </c>
      <c r="U41" s="3" t="s">
        <v>6010</v>
      </c>
      <c r="V41" s="3" t="n">
        <v>5.04</v>
      </c>
      <c r="W41" s="3" t="s">
        <v>5990</v>
      </c>
    </row>
    <row r="42" customFormat="false" ht="15" hidden="false" customHeight="true" outlineLevel="0" collapsed="false">
      <c r="A42" s="3" t="s">
        <v>6048</v>
      </c>
      <c r="B42" s="3" t="s">
        <v>6049</v>
      </c>
      <c r="C42" s="3" t="s">
        <v>3292</v>
      </c>
      <c r="D42" s="3" t="s">
        <v>54</v>
      </c>
      <c r="E42" s="3" t="s">
        <v>24</v>
      </c>
      <c r="F42" s="3" t="s">
        <v>40</v>
      </c>
      <c r="G42" s="3" t="s">
        <v>71</v>
      </c>
      <c r="H42" s="3" t="s">
        <v>42</v>
      </c>
      <c r="I42" s="3" t="s">
        <v>43</v>
      </c>
      <c r="J42" s="3" t="s">
        <v>5996</v>
      </c>
      <c r="K42" s="3" t="n">
        <v>2749469.43</v>
      </c>
      <c r="L42" s="3" t="n">
        <v>0.1061</v>
      </c>
      <c r="M42" s="3" t="n">
        <v>2457750.72</v>
      </c>
      <c r="N42" s="3" t="n">
        <v>930533.04</v>
      </c>
      <c r="O42" s="3" t="n">
        <v>0.3786</v>
      </c>
      <c r="P42" s="3" t="n">
        <v>1</v>
      </c>
      <c r="Q42" s="3" t="n">
        <v>2457750.72</v>
      </c>
      <c r="R42" s="3" t="n">
        <v>129</v>
      </c>
      <c r="S42" s="3" t="n">
        <v>9</v>
      </c>
      <c r="T42" s="3" t="n">
        <v>2.4</v>
      </c>
      <c r="U42" s="3"/>
      <c r="V42" s="3" t="n">
        <v>7.95</v>
      </c>
      <c r="W42" s="3" t="s">
        <v>5997</v>
      </c>
    </row>
    <row r="43" customFormat="false" ht="15" hidden="false" customHeight="true" outlineLevel="0" collapsed="false">
      <c r="A43" s="3" t="s">
        <v>6050</v>
      </c>
      <c r="B43" s="3" t="s">
        <v>204</v>
      </c>
      <c r="C43" s="3" t="s">
        <v>613</v>
      </c>
      <c r="D43" s="3" t="s">
        <v>75</v>
      </c>
      <c r="E43" s="3" t="s">
        <v>39</v>
      </c>
      <c r="F43" s="3" t="s">
        <v>25</v>
      </c>
      <c r="G43" s="3" t="s">
        <v>26</v>
      </c>
      <c r="H43" s="3" t="s">
        <v>77</v>
      </c>
      <c r="I43" s="3" t="s">
        <v>131</v>
      </c>
      <c r="J43" s="3" t="s">
        <v>5992</v>
      </c>
      <c r="K43" s="3" t="n">
        <v>548013.52</v>
      </c>
      <c r="L43" s="3" t="n">
        <v>0.2508</v>
      </c>
      <c r="M43" s="3" t="n">
        <v>410571.73</v>
      </c>
      <c r="N43" s="3" t="n">
        <v>168178.19</v>
      </c>
      <c r="O43" s="3" t="n">
        <v>0.4096</v>
      </c>
      <c r="P43" s="3" t="n">
        <v>0.722</v>
      </c>
      <c r="Q43" s="3" t="n">
        <v>296432.79</v>
      </c>
      <c r="R43" s="3" t="n">
        <v>168</v>
      </c>
      <c r="S43" s="3" t="n">
        <v>3.8</v>
      </c>
      <c r="T43" s="3" t="n">
        <v>5.3</v>
      </c>
      <c r="U43" s="3"/>
      <c r="V43" s="3" t="n">
        <v>5.24</v>
      </c>
      <c r="W43" s="3" t="s">
        <v>5990</v>
      </c>
    </row>
    <row r="44" customFormat="false" ht="15" hidden="false" customHeight="true" outlineLevel="0" collapsed="false">
      <c r="A44" s="3" t="s">
        <v>6051</v>
      </c>
      <c r="B44" s="3" t="s">
        <v>443</v>
      </c>
      <c r="C44" s="3" t="s">
        <v>2330</v>
      </c>
      <c r="D44" s="3" t="s">
        <v>54</v>
      </c>
      <c r="E44" s="3" t="s">
        <v>24</v>
      </c>
      <c r="F44" s="3" t="s">
        <v>40</v>
      </c>
      <c r="G44" s="3" t="s">
        <v>26</v>
      </c>
      <c r="H44" s="3" t="s">
        <v>77</v>
      </c>
      <c r="I44" s="3" t="s">
        <v>85</v>
      </c>
      <c r="J44" s="3" t="s">
        <v>6009</v>
      </c>
      <c r="K44" s="3" t="n">
        <v>4790821.49</v>
      </c>
      <c r="L44" s="3" t="n">
        <v>0.1403</v>
      </c>
      <c r="M44" s="3" t="n">
        <v>4118669.23</v>
      </c>
      <c r="N44" s="3" t="n">
        <v>1703899.41</v>
      </c>
      <c r="O44" s="3" t="n">
        <v>0.4137</v>
      </c>
      <c r="P44" s="3" t="n">
        <v>0.046</v>
      </c>
      <c r="Q44" s="3" t="n">
        <v>189458.78</v>
      </c>
      <c r="R44" s="3" t="n">
        <v>63</v>
      </c>
      <c r="S44" s="3" t="n">
        <v>1.6</v>
      </c>
      <c r="T44" s="3" t="n">
        <v>6.8</v>
      </c>
      <c r="U44" s="3" t="s">
        <v>6025</v>
      </c>
      <c r="V44" s="3" t="n">
        <v>5.43</v>
      </c>
      <c r="W44" s="3" t="s">
        <v>5990</v>
      </c>
    </row>
    <row r="45" customFormat="false" ht="15" hidden="false" customHeight="true" outlineLevel="0" collapsed="false">
      <c r="A45" s="3" t="s">
        <v>6052</v>
      </c>
      <c r="B45" s="3" t="s">
        <v>133</v>
      </c>
      <c r="C45" s="3" t="s">
        <v>6053</v>
      </c>
      <c r="D45" s="3" t="s">
        <v>69</v>
      </c>
      <c r="E45" s="3" t="s">
        <v>39</v>
      </c>
      <c r="F45" s="3" t="s">
        <v>70</v>
      </c>
      <c r="G45" s="3" t="s">
        <v>71</v>
      </c>
      <c r="H45" s="3" t="s">
        <v>27</v>
      </c>
      <c r="I45" s="3" t="s">
        <v>117</v>
      </c>
      <c r="J45" s="3" t="s">
        <v>5989</v>
      </c>
      <c r="K45" s="3" t="n">
        <v>2500763.85</v>
      </c>
      <c r="L45" s="3" t="n">
        <v>0.2742</v>
      </c>
      <c r="M45" s="3" t="n">
        <v>1815054.4</v>
      </c>
      <c r="N45" s="3" t="n">
        <v>551827.79</v>
      </c>
      <c r="O45" s="3" t="n">
        <v>0.304</v>
      </c>
      <c r="P45" s="3" t="n">
        <v>0.275</v>
      </c>
      <c r="Q45" s="3" t="n">
        <v>499139.96</v>
      </c>
      <c r="R45" s="3" t="n">
        <v>122</v>
      </c>
      <c r="S45" s="3" t="n">
        <v>8.7</v>
      </c>
      <c r="T45" s="3" t="n">
        <v>4.4</v>
      </c>
      <c r="U45" s="3"/>
      <c r="V45" s="3" t="n">
        <v>5.62</v>
      </c>
      <c r="W45" s="3" t="s">
        <v>5990</v>
      </c>
    </row>
    <row r="46" customFormat="false" ht="15" hidden="false" customHeight="true" outlineLevel="0" collapsed="false">
      <c r="A46" s="3" t="s">
        <v>6054</v>
      </c>
      <c r="B46" s="3" t="s">
        <v>192</v>
      </c>
      <c r="C46" s="3" t="s">
        <v>730</v>
      </c>
      <c r="D46" s="3" t="s">
        <v>23</v>
      </c>
      <c r="E46" s="3" t="s">
        <v>24</v>
      </c>
      <c r="F46" s="3" t="s">
        <v>25</v>
      </c>
      <c r="G46" s="3" t="s">
        <v>116</v>
      </c>
      <c r="H46" s="3" t="s">
        <v>27</v>
      </c>
      <c r="I46" s="3" t="s">
        <v>117</v>
      </c>
      <c r="J46" s="3" t="s">
        <v>5996</v>
      </c>
      <c r="K46" s="3" t="n">
        <v>4018767.37</v>
      </c>
      <c r="L46" s="3" t="n">
        <v>0.2465</v>
      </c>
      <c r="M46" s="3" t="n">
        <v>3028141.21</v>
      </c>
      <c r="N46" s="3" t="n">
        <v>1349624.45</v>
      </c>
      <c r="O46" s="3" t="n">
        <v>0.4457</v>
      </c>
      <c r="P46" s="3" t="n">
        <v>0.981</v>
      </c>
      <c r="Q46" s="3" t="n">
        <v>2970606.53</v>
      </c>
      <c r="R46" s="3" t="n">
        <v>122</v>
      </c>
      <c r="S46" s="3" t="n">
        <v>6.5</v>
      </c>
      <c r="T46" s="3" t="n">
        <v>6.1</v>
      </c>
      <c r="U46" s="3"/>
      <c r="V46" s="3" t="n">
        <v>6.12</v>
      </c>
      <c r="W46" s="3" t="s">
        <v>5990</v>
      </c>
    </row>
    <row r="47" customFormat="false" ht="15" hidden="false" customHeight="true" outlineLevel="0" collapsed="false">
      <c r="A47" s="3" t="s">
        <v>6055</v>
      </c>
      <c r="B47" s="3" t="s">
        <v>2750</v>
      </c>
      <c r="C47" s="3" t="s">
        <v>110</v>
      </c>
      <c r="D47" s="3" t="s">
        <v>107</v>
      </c>
      <c r="E47" s="3" t="s">
        <v>33</v>
      </c>
      <c r="F47" s="3" t="s">
        <v>70</v>
      </c>
      <c r="G47" s="3" t="s">
        <v>104</v>
      </c>
      <c r="H47" s="3" t="s">
        <v>77</v>
      </c>
      <c r="I47" s="3" t="s">
        <v>131</v>
      </c>
      <c r="J47" s="3" t="s">
        <v>5999</v>
      </c>
      <c r="K47" s="3" t="n">
        <v>3200672.69</v>
      </c>
      <c r="L47" s="3" t="n">
        <v>0.2856</v>
      </c>
      <c r="M47" s="3" t="n">
        <v>2286560.57</v>
      </c>
      <c r="N47" s="3" t="n">
        <v>993599.83</v>
      </c>
      <c r="O47" s="3" t="n">
        <v>0.4345</v>
      </c>
      <c r="P47" s="3" t="n">
        <v>0.487</v>
      </c>
      <c r="Q47" s="3" t="n">
        <v>1113555</v>
      </c>
      <c r="R47" s="3" t="n">
        <v>27</v>
      </c>
      <c r="S47" s="3" t="n">
        <v>8.1</v>
      </c>
      <c r="T47" s="3" t="n">
        <v>2.7</v>
      </c>
      <c r="U47" s="3"/>
      <c r="V47" s="3" t="n">
        <v>6.64</v>
      </c>
      <c r="W47" s="3" t="s">
        <v>5997</v>
      </c>
    </row>
    <row r="48" customFormat="false" ht="15" hidden="false" customHeight="true" outlineLevel="0" collapsed="false">
      <c r="A48" s="3" t="s">
        <v>6056</v>
      </c>
      <c r="B48" s="3" t="s">
        <v>984</v>
      </c>
      <c r="C48" s="3" t="s">
        <v>6057</v>
      </c>
      <c r="D48" s="3" t="s">
        <v>38</v>
      </c>
      <c r="E48" s="3" t="s">
        <v>39</v>
      </c>
      <c r="F48" s="3" t="s">
        <v>40</v>
      </c>
      <c r="G48" s="3" t="s">
        <v>34</v>
      </c>
      <c r="H48" s="3" t="s">
        <v>27</v>
      </c>
      <c r="I48" s="3" t="s">
        <v>50</v>
      </c>
      <c r="J48" s="3" t="s">
        <v>5996</v>
      </c>
      <c r="K48" s="3" t="n">
        <v>4181690.59</v>
      </c>
      <c r="L48" s="3" t="n">
        <v>0.1458</v>
      </c>
      <c r="M48" s="3" t="n">
        <v>3572000.1</v>
      </c>
      <c r="N48" s="3" t="n">
        <v>1287290.04</v>
      </c>
      <c r="O48" s="3" t="n">
        <v>0.3604</v>
      </c>
      <c r="P48" s="3" t="n">
        <v>0.997</v>
      </c>
      <c r="Q48" s="3" t="n">
        <v>3561284.1</v>
      </c>
      <c r="R48" s="3" t="n">
        <v>156</v>
      </c>
      <c r="S48" s="3" t="n">
        <v>6.2</v>
      </c>
      <c r="T48" s="3" t="n">
        <v>8.5</v>
      </c>
      <c r="U48" s="3"/>
      <c r="V48" s="3" t="n">
        <v>5.85</v>
      </c>
      <c r="W48" s="3" t="s">
        <v>5990</v>
      </c>
    </row>
    <row r="49" customFormat="false" ht="15" hidden="false" customHeight="true" outlineLevel="0" collapsed="false">
      <c r="A49" s="3" t="s">
        <v>6058</v>
      </c>
      <c r="B49" s="3" t="s">
        <v>1952</v>
      </c>
      <c r="C49" s="3" t="s">
        <v>452</v>
      </c>
      <c r="D49" s="3" t="s">
        <v>75</v>
      </c>
      <c r="E49" s="3" t="s">
        <v>39</v>
      </c>
      <c r="F49" s="3" t="s">
        <v>25</v>
      </c>
      <c r="G49" s="3" t="s">
        <v>71</v>
      </c>
      <c r="H49" s="3" t="s">
        <v>77</v>
      </c>
      <c r="I49" s="3" t="s">
        <v>78</v>
      </c>
      <c r="J49" s="3" t="s">
        <v>5996</v>
      </c>
      <c r="K49" s="3" t="n">
        <v>1954759.96</v>
      </c>
      <c r="L49" s="3" t="n">
        <v>0.0968</v>
      </c>
      <c r="M49" s="3" t="n">
        <v>1765539.2</v>
      </c>
      <c r="N49" s="3" t="n">
        <v>707902.75</v>
      </c>
      <c r="O49" s="3" t="n">
        <v>0.401</v>
      </c>
      <c r="P49" s="3" t="n">
        <v>0.998</v>
      </c>
      <c r="Q49" s="3" t="n">
        <v>1762008.12</v>
      </c>
      <c r="R49" s="3" t="n">
        <v>170</v>
      </c>
      <c r="S49" s="3" t="n">
        <v>2.7</v>
      </c>
      <c r="T49" s="3" t="n">
        <v>1.7</v>
      </c>
      <c r="U49" s="3"/>
      <c r="V49" s="3" t="n">
        <v>6.73</v>
      </c>
      <c r="W49" s="3" t="s">
        <v>5997</v>
      </c>
    </row>
    <row r="50" customFormat="false" ht="15" hidden="false" customHeight="true" outlineLevel="0" collapsed="false">
      <c r="A50" s="3" t="s">
        <v>6059</v>
      </c>
      <c r="B50" s="3" t="s">
        <v>1889</v>
      </c>
      <c r="C50" s="3" t="s">
        <v>3665</v>
      </c>
      <c r="D50" s="3" t="s">
        <v>103</v>
      </c>
      <c r="E50" s="3" t="s">
        <v>24</v>
      </c>
      <c r="F50" s="3" t="s">
        <v>62</v>
      </c>
      <c r="G50" s="3" t="s">
        <v>34</v>
      </c>
      <c r="H50" s="3" t="s">
        <v>64</v>
      </c>
      <c r="I50" s="3" t="s">
        <v>145</v>
      </c>
      <c r="J50" s="3" t="s">
        <v>5992</v>
      </c>
      <c r="K50" s="3" t="n">
        <v>713288.73</v>
      </c>
      <c r="L50" s="3" t="n">
        <v>0.2141</v>
      </c>
      <c r="M50" s="3" t="n">
        <v>560573.61</v>
      </c>
      <c r="N50" s="3" t="n">
        <v>219243.37</v>
      </c>
      <c r="O50" s="3" t="n">
        <v>0.3911</v>
      </c>
      <c r="P50" s="3" t="n">
        <v>0.669</v>
      </c>
      <c r="Q50" s="3" t="n">
        <v>375023.75</v>
      </c>
      <c r="R50" s="3" t="n">
        <v>168</v>
      </c>
      <c r="S50" s="3" t="n">
        <v>1.9</v>
      </c>
      <c r="T50" s="3" t="n">
        <v>8.8</v>
      </c>
      <c r="U50" s="3"/>
      <c r="V50" s="3" t="n">
        <v>4.42</v>
      </c>
      <c r="W50" s="3" t="s">
        <v>6000</v>
      </c>
    </row>
    <row r="51" customFormat="false" ht="15" hidden="false" customHeight="true" outlineLevel="0" collapsed="false">
      <c r="A51" s="3" t="s">
        <v>6060</v>
      </c>
      <c r="B51" s="3" t="s">
        <v>3118</v>
      </c>
      <c r="C51" s="3" t="s">
        <v>160</v>
      </c>
      <c r="D51" s="3" t="s">
        <v>54</v>
      </c>
      <c r="E51" s="3" t="s">
        <v>24</v>
      </c>
      <c r="F51" s="3" t="s">
        <v>40</v>
      </c>
      <c r="G51" s="3" t="s">
        <v>55</v>
      </c>
      <c r="H51" s="3" t="s">
        <v>42</v>
      </c>
      <c r="I51" s="3" t="s">
        <v>72</v>
      </c>
      <c r="J51" s="3" t="s">
        <v>5989</v>
      </c>
      <c r="K51" s="3" t="n">
        <v>3925843.21</v>
      </c>
      <c r="L51" s="3" t="n">
        <v>0.0788</v>
      </c>
      <c r="M51" s="3" t="n">
        <v>3616486.77</v>
      </c>
      <c r="N51" s="3" t="n">
        <v>1224918.04</v>
      </c>
      <c r="O51" s="3" t="n">
        <v>0.3387</v>
      </c>
      <c r="P51" s="3" t="n">
        <v>0.232</v>
      </c>
      <c r="Q51" s="3" t="n">
        <v>839024.93</v>
      </c>
      <c r="R51" s="3" t="n">
        <v>83</v>
      </c>
      <c r="S51" s="3" t="n">
        <v>7.1</v>
      </c>
      <c r="T51" s="3" t="n">
        <v>9.7</v>
      </c>
      <c r="U51" s="3"/>
      <c r="V51" s="3" t="n">
        <v>6.29</v>
      </c>
      <c r="W51" s="3" t="s">
        <v>5990</v>
      </c>
    </row>
    <row r="52" customFormat="false" ht="15" hidden="false" customHeight="true" outlineLevel="0" collapsed="false">
      <c r="A52" s="3" t="s">
        <v>6061</v>
      </c>
      <c r="B52" s="3" t="s">
        <v>1065</v>
      </c>
      <c r="C52" s="3" t="s">
        <v>1548</v>
      </c>
      <c r="D52" s="3" t="s">
        <v>23</v>
      </c>
      <c r="E52" s="3" t="s">
        <v>24</v>
      </c>
      <c r="F52" s="3" t="s">
        <v>25</v>
      </c>
      <c r="G52" s="3" t="s">
        <v>71</v>
      </c>
      <c r="H52" s="3" t="s">
        <v>77</v>
      </c>
      <c r="I52" s="3" t="s">
        <v>131</v>
      </c>
      <c r="J52" s="3" t="s">
        <v>5989</v>
      </c>
      <c r="K52" s="3" t="n">
        <v>1052414.6</v>
      </c>
      <c r="L52" s="3" t="n">
        <v>0.1195</v>
      </c>
      <c r="M52" s="3" t="n">
        <v>926651.06</v>
      </c>
      <c r="N52" s="3" t="n">
        <v>265790.45</v>
      </c>
      <c r="O52" s="3" t="n">
        <v>0.2868</v>
      </c>
      <c r="P52" s="3" t="n">
        <v>0.245</v>
      </c>
      <c r="Q52" s="3" t="n">
        <v>227029.51</v>
      </c>
      <c r="R52" s="3" t="n">
        <v>140</v>
      </c>
      <c r="S52" s="3" t="n">
        <v>7</v>
      </c>
      <c r="T52" s="3" t="n">
        <v>8.6</v>
      </c>
      <c r="U52" s="3"/>
      <c r="V52" s="3" t="n">
        <v>5.7</v>
      </c>
      <c r="W52" s="3" t="s">
        <v>5990</v>
      </c>
    </row>
    <row r="53" customFormat="false" ht="15" hidden="false" customHeight="true" outlineLevel="0" collapsed="false">
      <c r="A53" s="3" t="s">
        <v>6062</v>
      </c>
      <c r="B53" s="3" t="s">
        <v>398</v>
      </c>
      <c r="C53" s="3" t="s">
        <v>194</v>
      </c>
      <c r="D53" s="3" t="s">
        <v>83</v>
      </c>
      <c r="E53" s="3" t="s">
        <v>48</v>
      </c>
      <c r="F53" s="3" t="s">
        <v>62</v>
      </c>
      <c r="G53" s="3" t="s">
        <v>100</v>
      </c>
      <c r="H53" s="3" t="s">
        <v>64</v>
      </c>
      <c r="I53" s="3" t="s">
        <v>90</v>
      </c>
      <c r="J53" s="3" t="s">
        <v>5999</v>
      </c>
      <c r="K53" s="3" t="n">
        <v>3252931.04</v>
      </c>
      <c r="L53" s="3" t="n">
        <v>0.0647</v>
      </c>
      <c r="M53" s="3" t="n">
        <v>3042466.4</v>
      </c>
      <c r="N53" s="3" t="n">
        <v>1050316.42</v>
      </c>
      <c r="O53" s="3" t="n">
        <v>0.3452</v>
      </c>
      <c r="P53" s="3" t="n">
        <v>0.435</v>
      </c>
      <c r="Q53" s="3" t="n">
        <v>1323472.88</v>
      </c>
      <c r="R53" s="3" t="n">
        <v>53</v>
      </c>
      <c r="S53" s="3" t="n">
        <v>6.8</v>
      </c>
      <c r="T53" s="3" t="n">
        <v>2.1</v>
      </c>
      <c r="U53" s="3"/>
      <c r="V53" s="3" t="n">
        <v>7.53</v>
      </c>
      <c r="W53" s="3" t="s">
        <v>5997</v>
      </c>
    </row>
    <row r="54" customFormat="false" ht="15" hidden="false" customHeight="true" outlineLevel="0" collapsed="false">
      <c r="A54" s="3" t="s">
        <v>6063</v>
      </c>
      <c r="B54" s="3" t="s">
        <v>1398</v>
      </c>
      <c r="C54" s="3" t="s">
        <v>921</v>
      </c>
      <c r="D54" s="3" t="s">
        <v>32</v>
      </c>
      <c r="E54" s="3" t="s">
        <v>33</v>
      </c>
      <c r="F54" s="3" t="s">
        <v>25</v>
      </c>
      <c r="G54" s="3" t="s">
        <v>71</v>
      </c>
      <c r="H54" s="3" t="s">
        <v>64</v>
      </c>
      <c r="I54" s="3" t="s">
        <v>65</v>
      </c>
      <c r="J54" s="3" t="s">
        <v>5992</v>
      </c>
      <c r="K54" s="3" t="n">
        <v>2292008.87</v>
      </c>
      <c r="L54" s="3" t="n">
        <v>0.2993</v>
      </c>
      <c r="M54" s="3" t="n">
        <v>1606010.62</v>
      </c>
      <c r="N54" s="3" t="n">
        <v>617716.01</v>
      </c>
      <c r="O54" s="3" t="n">
        <v>0.3846</v>
      </c>
      <c r="P54" s="3" t="n">
        <v>0.677</v>
      </c>
      <c r="Q54" s="3" t="n">
        <v>1087269.19</v>
      </c>
      <c r="R54" s="3" t="n">
        <v>40</v>
      </c>
      <c r="S54" s="3" t="n">
        <v>8.5</v>
      </c>
      <c r="T54" s="3" t="n">
        <v>4.4</v>
      </c>
      <c r="U54" s="3"/>
      <c r="V54" s="3" t="n">
        <v>5.94</v>
      </c>
      <c r="W54" s="3" t="s">
        <v>5990</v>
      </c>
    </row>
    <row r="55" customFormat="false" ht="15" hidden="false" customHeight="true" outlineLevel="0" collapsed="false">
      <c r="A55" s="3" t="s">
        <v>6064</v>
      </c>
      <c r="B55" s="3" t="s">
        <v>210</v>
      </c>
      <c r="C55" s="3" t="s">
        <v>1971</v>
      </c>
      <c r="D55" s="3" t="s">
        <v>47</v>
      </c>
      <c r="E55" s="3" t="s">
        <v>48</v>
      </c>
      <c r="F55" s="3" t="s">
        <v>25</v>
      </c>
      <c r="G55" s="3" t="s">
        <v>63</v>
      </c>
      <c r="H55" s="3" t="s">
        <v>27</v>
      </c>
      <c r="I55" s="3" t="s">
        <v>94</v>
      </c>
      <c r="J55" s="3" t="s">
        <v>5996</v>
      </c>
      <c r="K55" s="3" t="n">
        <v>3654580.37</v>
      </c>
      <c r="L55" s="3" t="n">
        <v>0.2216</v>
      </c>
      <c r="M55" s="3" t="n">
        <v>2844725.36</v>
      </c>
      <c r="N55" s="3" t="n">
        <v>912473.7</v>
      </c>
      <c r="O55" s="3" t="n">
        <v>0.3208</v>
      </c>
      <c r="P55" s="3" t="n">
        <v>0.955</v>
      </c>
      <c r="Q55" s="3" t="n">
        <v>2716712.72</v>
      </c>
      <c r="R55" s="3" t="n">
        <v>99</v>
      </c>
      <c r="S55" s="3" t="n">
        <v>3.4</v>
      </c>
      <c r="T55" s="3" t="n">
        <v>3.4</v>
      </c>
      <c r="U55" s="3"/>
      <c r="V55" s="3" t="n">
        <v>4.97</v>
      </c>
      <c r="W55" s="3" t="s">
        <v>6000</v>
      </c>
    </row>
    <row r="56" customFormat="false" ht="15" hidden="false" customHeight="true" outlineLevel="0" collapsed="false">
      <c r="A56" s="3" t="s">
        <v>6065</v>
      </c>
      <c r="B56" s="3" t="s">
        <v>958</v>
      </c>
      <c r="C56" s="3" t="s">
        <v>1662</v>
      </c>
      <c r="D56" s="3" t="s">
        <v>32</v>
      </c>
      <c r="E56" s="3" t="s">
        <v>33</v>
      </c>
      <c r="F56" s="3" t="s">
        <v>25</v>
      </c>
      <c r="G56" s="3" t="s">
        <v>41</v>
      </c>
      <c r="H56" s="3" t="s">
        <v>27</v>
      </c>
      <c r="I56" s="3" t="s">
        <v>28</v>
      </c>
      <c r="J56" s="3" t="s">
        <v>5999</v>
      </c>
      <c r="K56" s="3" t="n">
        <v>1891594.97</v>
      </c>
      <c r="L56" s="3" t="n">
        <v>0.1634</v>
      </c>
      <c r="M56" s="3" t="n">
        <v>1582508.35</v>
      </c>
      <c r="N56" s="3" t="n">
        <v>539829.81</v>
      </c>
      <c r="O56" s="3" t="n">
        <v>0.3411</v>
      </c>
      <c r="P56" s="3" t="n">
        <v>0.442</v>
      </c>
      <c r="Q56" s="3" t="n">
        <v>699468.69</v>
      </c>
      <c r="R56" s="3" t="n">
        <v>108</v>
      </c>
      <c r="S56" s="3" t="n">
        <v>6.8</v>
      </c>
      <c r="T56" s="3" t="n">
        <v>7.9</v>
      </c>
      <c r="U56" s="3"/>
      <c r="V56" s="3" t="n">
        <v>5.82</v>
      </c>
      <c r="W56" s="3" t="s">
        <v>5990</v>
      </c>
    </row>
    <row r="57" customFormat="false" ht="15" hidden="false" customHeight="true" outlineLevel="0" collapsed="false">
      <c r="A57" s="3" t="s">
        <v>6066</v>
      </c>
      <c r="B57" s="3" t="s">
        <v>6067</v>
      </c>
      <c r="C57" s="3" t="s">
        <v>543</v>
      </c>
      <c r="D57" s="3" t="s">
        <v>47</v>
      </c>
      <c r="E57" s="3" t="s">
        <v>48</v>
      </c>
      <c r="F57" s="3" t="s">
        <v>25</v>
      </c>
      <c r="G57" s="3" t="s">
        <v>84</v>
      </c>
      <c r="H57" s="3" t="s">
        <v>42</v>
      </c>
      <c r="I57" s="3" t="s">
        <v>72</v>
      </c>
      <c r="J57" s="3" t="s">
        <v>5996</v>
      </c>
      <c r="K57" s="3" t="n">
        <v>3639331.58</v>
      </c>
      <c r="L57" s="3" t="n">
        <v>0.197</v>
      </c>
      <c r="M57" s="3" t="n">
        <v>2922383.26</v>
      </c>
      <c r="N57" s="3" t="n">
        <v>1124178.15</v>
      </c>
      <c r="O57" s="3" t="n">
        <v>0.3847</v>
      </c>
      <c r="P57" s="3" t="n">
        <v>1</v>
      </c>
      <c r="Q57" s="3" t="n">
        <v>2922383.26</v>
      </c>
      <c r="R57" s="3" t="n">
        <v>35</v>
      </c>
      <c r="S57" s="3" t="n">
        <v>4</v>
      </c>
      <c r="T57" s="3" t="n">
        <v>4.9</v>
      </c>
      <c r="U57" s="3"/>
      <c r="V57" s="3" t="n">
        <v>5.59</v>
      </c>
      <c r="W57" s="3" t="s">
        <v>5990</v>
      </c>
    </row>
    <row r="58" customFormat="false" ht="15" hidden="false" customHeight="true" outlineLevel="0" collapsed="false">
      <c r="A58" s="3" t="s">
        <v>6068</v>
      </c>
      <c r="B58" s="3" t="s">
        <v>5062</v>
      </c>
      <c r="C58" s="3" t="s">
        <v>602</v>
      </c>
      <c r="D58" s="3" t="s">
        <v>103</v>
      </c>
      <c r="E58" s="3" t="s">
        <v>24</v>
      </c>
      <c r="F58" s="3" t="s">
        <v>62</v>
      </c>
      <c r="G58" s="3" t="s">
        <v>26</v>
      </c>
      <c r="H58" s="3" t="s">
        <v>56</v>
      </c>
      <c r="I58" s="3" t="s">
        <v>188</v>
      </c>
      <c r="J58" s="3" t="s">
        <v>5989</v>
      </c>
      <c r="K58" s="3" t="n">
        <v>1256130.85</v>
      </c>
      <c r="L58" s="3" t="n">
        <v>0.203</v>
      </c>
      <c r="M58" s="3" t="n">
        <v>1001136.29</v>
      </c>
      <c r="N58" s="3" t="n">
        <v>421085.08</v>
      </c>
      <c r="O58" s="3" t="n">
        <v>0.4206</v>
      </c>
      <c r="P58" s="3" t="n">
        <v>0.212</v>
      </c>
      <c r="Q58" s="3" t="n">
        <v>212240.89</v>
      </c>
      <c r="R58" s="3" t="n">
        <v>61</v>
      </c>
      <c r="S58" s="3" t="n">
        <v>7.3</v>
      </c>
      <c r="T58" s="3" t="n">
        <v>6.7</v>
      </c>
      <c r="U58" s="3"/>
      <c r="V58" s="3" t="n">
        <v>6.38</v>
      </c>
      <c r="W58" s="3" t="s">
        <v>5990</v>
      </c>
    </row>
    <row r="59" customFormat="false" ht="15" hidden="false" customHeight="true" outlineLevel="0" collapsed="false">
      <c r="A59" s="3" t="s">
        <v>6069</v>
      </c>
      <c r="B59" s="3" t="s">
        <v>3877</v>
      </c>
      <c r="C59" s="3" t="s">
        <v>4389</v>
      </c>
      <c r="D59" s="3" t="s">
        <v>47</v>
      </c>
      <c r="E59" s="3" t="s">
        <v>48</v>
      </c>
      <c r="F59" s="3" t="s">
        <v>25</v>
      </c>
      <c r="G59" s="3" t="s">
        <v>49</v>
      </c>
      <c r="H59" s="3" t="s">
        <v>27</v>
      </c>
      <c r="I59" s="3" t="s">
        <v>173</v>
      </c>
      <c r="J59" s="3" t="s">
        <v>5989</v>
      </c>
      <c r="K59" s="3" t="n">
        <v>4195389.77</v>
      </c>
      <c r="L59" s="3" t="n">
        <v>0.1657</v>
      </c>
      <c r="M59" s="3" t="n">
        <v>3500213.69</v>
      </c>
      <c r="N59" s="3" t="n">
        <v>1094614.49</v>
      </c>
      <c r="O59" s="3" t="n">
        <v>0.3127</v>
      </c>
      <c r="P59" s="3" t="n">
        <v>0.22</v>
      </c>
      <c r="Q59" s="3" t="n">
        <v>770047.01</v>
      </c>
      <c r="R59" s="3" t="n">
        <v>96</v>
      </c>
      <c r="S59" s="3" t="n">
        <v>8.9</v>
      </c>
      <c r="T59" s="3" t="n">
        <v>3.7</v>
      </c>
      <c r="U59" s="3"/>
      <c r="V59" s="3" t="n">
        <v>6.71</v>
      </c>
      <c r="W59" s="3" t="s">
        <v>5997</v>
      </c>
    </row>
    <row r="60" customFormat="false" ht="15" hidden="false" customHeight="true" outlineLevel="0" collapsed="false">
      <c r="A60" s="3" t="s">
        <v>6070</v>
      </c>
      <c r="B60" s="3" t="s">
        <v>1398</v>
      </c>
      <c r="C60" s="3" t="s">
        <v>5083</v>
      </c>
      <c r="D60" s="3" t="s">
        <v>107</v>
      </c>
      <c r="E60" s="3" t="s">
        <v>33</v>
      </c>
      <c r="F60" s="3" t="s">
        <v>70</v>
      </c>
      <c r="G60" s="3" t="s">
        <v>84</v>
      </c>
      <c r="H60" s="3" t="s">
        <v>56</v>
      </c>
      <c r="I60" s="3" t="s">
        <v>188</v>
      </c>
      <c r="J60" s="3" t="s">
        <v>5996</v>
      </c>
      <c r="K60" s="3" t="n">
        <v>397994.16</v>
      </c>
      <c r="L60" s="3" t="n">
        <v>0.2727</v>
      </c>
      <c r="M60" s="3" t="n">
        <v>289461.15</v>
      </c>
      <c r="N60" s="3" t="n">
        <v>114750.45</v>
      </c>
      <c r="O60" s="3" t="n">
        <v>0.3964</v>
      </c>
      <c r="P60" s="3" t="n">
        <v>0.956</v>
      </c>
      <c r="Q60" s="3" t="n">
        <v>276724.86</v>
      </c>
      <c r="R60" s="3" t="n">
        <v>65</v>
      </c>
      <c r="S60" s="3" t="n">
        <v>6.2</v>
      </c>
      <c r="T60" s="3" t="n">
        <v>6.8</v>
      </c>
      <c r="U60" s="3"/>
      <c r="V60" s="3" t="n">
        <v>5.34</v>
      </c>
      <c r="W60" s="3" t="s">
        <v>5990</v>
      </c>
    </row>
    <row r="61" customFormat="false" ht="15" hidden="false" customHeight="true" outlineLevel="0" collapsed="false">
      <c r="A61" s="3" t="s">
        <v>6071</v>
      </c>
      <c r="B61" s="3" t="s">
        <v>6035</v>
      </c>
      <c r="C61" s="3" t="s">
        <v>5015</v>
      </c>
      <c r="D61" s="3" t="s">
        <v>61</v>
      </c>
      <c r="E61" s="3" t="s">
        <v>33</v>
      </c>
      <c r="F61" s="3" t="s">
        <v>62</v>
      </c>
      <c r="G61" s="3" t="s">
        <v>84</v>
      </c>
      <c r="H61" s="3" t="s">
        <v>42</v>
      </c>
      <c r="I61" s="3" t="s">
        <v>43</v>
      </c>
      <c r="J61" s="3" t="s">
        <v>6003</v>
      </c>
      <c r="K61" s="3" t="n">
        <v>4219031.23</v>
      </c>
      <c r="L61" s="3" t="n">
        <v>0.158</v>
      </c>
      <c r="M61" s="3" t="n">
        <v>3552424.3</v>
      </c>
      <c r="N61" s="3" t="n">
        <v>1618656.89</v>
      </c>
      <c r="O61" s="3" t="n">
        <v>0.4556</v>
      </c>
      <c r="P61" s="3" t="n">
        <v>0.072</v>
      </c>
      <c r="Q61" s="3" t="n">
        <v>255774.55</v>
      </c>
      <c r="R61" s="3" t="n">
        <v>27</v>
      </c>
      <c r="S61" s="3" t="n">
        <v>8.6</v>
      </c>
      <c r="T61" s="3" t="n">
        <v>5.1</v>
      </c>
      <c r="U61" s="3"/>
      <c r="V61" s="3" t="n">
        <v>7.56</v>
      </c>
      <c r="W61" s="3" t="s">
        <v>5997</v>
      </c>
    </row>
    <row r="62" customFormat="false" ht="15" hidden="false" customHeight="true" outlineLevel="0" collapsed="false">
      <c r="A62" s="3" t="s">
        <v>6072</v>
      </c>
      <c r="B62" s="3" t="s">
        <v>452</v>
      </c>
      <c r="C62" s="3" t="s">
        <v>6073</v>
      </c>
      <c r="D62" s="3" t="s">
        <v>103</v>
      </c>
      <c r="E62" s="3" t="s">
        <v>24</v>
      </c>
      <c r="F62" s="3" t="s">
        <v>62</v>
      </c>
      <c r="G62" s="3" t="s">
        <v>76</v>
      </c>
      <c r="H62" s="3" t="s">
        <v>56</v>
      </c>
      <c r="I62" s="3" t="s">
        <v>188</v>
      </c>
      <c r="J62" s="3" t="s">
        <v>6003</v>
      </c>
      <c r="K62" s="3" t="n">
        <v>2327599.74</v>
      </c>
      <c r="L62" s="3" t="n">
        <v>0.26</v>
      </c>
      <c r="M62" s="3" t="n">
        <v>1722423.81</v>
      </c>
      <c r="N62" s="3" t="n">
        <v>606367.1</v>
      </c>
      <c r="O62" s="3" t="n">
        <v>0.352</v>
      </c>
      <c r="P62" s="3" t="n">
        <v>0.094</v>
      </c>
      <c r="Q62" s="3" t="n">
        <v>161907.84</v>
      </c>
      <c r="R62" s="3" t="n">
        <v>134</v>
      </c>
      <c r="S62" s="3" t="n">
        <v>4.9</v>
      </c>
      <c r="T62" s="3" t="n">
        <v>2.8</v>
      </c>
      <c r="U62" s="3"/>
      <c r="V62" s="3" t="n">
        <v>5.36</v>
      </c>
      <c r="W62" s="3" t="s">
        <v>5990</v>
      </c>
    </row>
    <row r="63" customFormat="false" ht="15" hidden="false" customHeight="true" outlineLevel="0" collapsed="false">
      <c r="A63" s="3" t="s">
        <v>6074</v>
      </c>
      <c r="B63" s="3" t="s">
        <v>4594</v>
      </c>
      <c r="C63" s="3" t="s">
        <v>110</v>
      </c>
      <c r="D63" s="3" t="s">
        <v>38</v>
      </c>
      <c r="E63" s="3" t="s">
        <v>39</v>
      </c>
      <c r="F63" s="3" t="s">
        <v>40</v>
      </c>
      <c r="G63" s="3" t="s">
        <v>63</v>
      </c>
      <c r="H63" s="3" t="s">
        <v>56</v>
      </c>
      <c r="I63" s="3" t="s">
        <v>57</v>
      </c>
      <c r="J63" s="3" t="s">
        <v>5999</v>
      </c>
      <c r="K63" s="3" t="n">
        <v>2860187.13</v>
      </c>
      <c r="L63" s="3" t="n">
        <v>0.2055</v>
      </c>
      <c r="M63" s="3" t="n">
        <v>2272418.67</v>
      </c>
      <c r="N63" s="3" t="n">
        <v>784848.11</v>
      </c>
      <c r="O63" s="3" t="n">
        <v>0.3454</v>
      </c>
      <c r="P63" s="3" t="n">
        <v>0.427</v>
      </c>
      <c r="Q63" s="3" t="n">
        <v>970322.77</v>
      </c>
      <c r="R63" s="3" t="n">
        <v>132</v>
      </c>
      <c r="S63" s="3" t="n">
        <v>4.8</v>
      </c>
      <c r="T63" s="3" t="n">
        <v>1.6</v>
      </c>
      <c r="U63" s="3"/>
      <c r="V63" s="3" t="n">
        <v>5.96</v>
      </c>
      <c r="W63" s="3" t="s">
        <v>5990</v>
      </c>
    </row>
    <row r="64" customFormat="false" ht="15" hidden="false" customHeight="true" outlineLevel="0" collapsed="false">
      <c r="A64" s="3" t="s">
        <v>6075</v>
      </c>
      <c r="B64" s="3" t="s">
        <v>3158</v>
      </c>
      <c r="C64" s="3" t="s">
        <v>4987</v>
      </c>
      <c r="D64" s="3" t="s">
        <v>75</v>
      </c>
      <c r="E64" s="3" t="s">
        <v>39</v>
      </c>
      <c r="F64" s="3" t="s">
        <v>25</v>
      </c>
      <c r="G64" s="3" t="s">
        <v>104</v>
      </c>
      <c r="H64" s="3" t="s">
        <v>64</v>
      </c>
      <c r="I64" s="3" t="s">
        <v>108</v>
      </c>
      <c r="J64" s="3" t="s">
        <v>5992</v>
      </c>
      <c r="K64" s="3" t="n">
        <v>3767248.48</v>
      </c>
      <c r="L64" s="3" t="n">
        <v>0.1853</v>
      </c>
      <c r="M64" s="3" t="n">
        <v>3069177.34</v>
      </c>
      <c r="N64" s="3" t="n">
        <v>1282320.48</v>
      </c>
      <c r="O64" s="3" t="n">
        <v>0.4178</v>
      </c>
      <c r="P64" s="3" t="n">
        <v>0.735</v>
      </c>
      <c r="Q64" s="3" t="n">
        <v>2255845.34</v>
      </c>
      <c r="R64" s="3" t="n">
        <v>129</v>
      </c>
      <c r="S64" s="3" t="n">
        <v>5.9</v>
      </c>
      <c r="T64" s="3" t="n">
        <v>9.2</v>
      </c>
      <c r="U64" s="3"/>
      <c r="V64" s="3" t="n">
        <v>5.8</v>
      </c>
      <c r="W64" s="3" t="s">
        <v>5990</v>
      </c>
    </row>
    <row r="65" customFormat="false" ht="15" hidden="false" customHeight="true" outlineLevel="0" collapsed="false">
      <c r="A65" s="3" t="s">
        <v>6076</v>
      </c>
      <c r="B65" s="3" t="s">
        <v>2820</v>
      </c>
      <c r="C65" s="3" t="s">
        <v>6077</v>
      </c>
      <c r="D65" s="3" t="s">
        <v>75</v>
      </c>
      <c r="E65" s="3" t="s">
        <v>39</v>
      </c>
      <c r="F65" s="3" t="s">
        <v>25</v>
      </c>
      <c r="G65" s="3" t="s">
        <v>84</v>
      </c>
      <c r="H65" s="3" t="s">
        <v>42</v>
      </c>
      <c r="I65" s="3" t="s">
        <v>43</v>
      </c>
      <c r="J65" s="3" t="s">
        <v>5999</v>
      </c>
      <c r="K65" s="3" t="n">
        <v>2046176.02</v>
      </c>
      <c r="L65" s="3" t="n">
        <v>0.1828</v>
      </c>
      <c r="M65" s="3" t="n">
        <v>1672135.04</v>
      </c>
      <c r="N65" s="3" t="n">
        <v>671626.91</v>
      </c>
      <c r="O65" s="3" t="n">
        <v>0.4017</v>
      </c>
      <c r="P65" s="3" t="n">
        <v>0.5</v>
      </c>
      <c r="Q65" s="3" t="n">
        <v>836067.52</v>
      </c>
      <c r="R65" s="3" t="n">
        <v>124</v>
      </c>
      <c r="S65" s="3" t="n">
        <v>5</v>
      </c>
      <c r="T65" s="3" t="n">
        <v>3.3</v>
      </c>
      <c r="U65" s="3"/>
      <c r="V65" s="3" t="n">
        <v>6.34</v>
      </c>
      <c r="W65" s="3" t="s">
        <v>5990</v>
      </c>
    </row>
    <row r="66" customFormat="false" ht="15" hidden="false" customHeight="true" outlineLevel="0" collapsed="false">
      <c r="A66" s="3" t="s">
        <v>6078</v>
      </c>
      <c r="B66" s="3" t="s">
        <v>1588</v>
      </c>
      <c r="C66" s="3" t="s">
        <v>208</v>
      </c>
      <c r="D66" s="3" t="s">
        <v>107</v>
      </c>
      <c r="E66" s="3" t="s">
        <v>33</v>
      </c>
      <c r="F66" s="3" t="s">
        <v>70</v>
      </c>
      <c r="G66" s="3" t="s">
        <v>104</v>
      </c>
      <c r="H66" s="3" t="s">
        <v>64</v>
      </c>
      <c r="I66" s="3" t="s">
        <v>108</v>
      </c>
      <c r="J66" s="3" t="s">
        <v>5996</v>
      </c>
      <c r="K66" s="3" t="n">
        <v>4727929.65</v>
      </c>
      <c r="L66" s="3" t="n">
        <v>0.1925</v>
      </c>
      <c r="M66" s="3" t="n">
        <v>3817803.19</v>
      </c>
      <c r="N66" s="3" t="n">
        <v>1496369.23</v>
      </c>
      <c r="O66" s="3" t="n">
        <v>0.3919</v>
      </c>
      <c r="P66" s="3" t="n">
        <v>0.999</v>
      </c>
      <c r="Q66" s="3" t="n">
        <v>3813985.39</v>
      </c>
      <c r="R66" s="3" t="n">
        <v>79</v>
      </c>
      <c r="S66" s="3" t="n">
        <v>4</v>
      </c>
      <c r="T66" s="3" t="n">
        <v>9.9</v>
      </c>
      <c r="U66" s="3"/>
      <c r="V66" s="3" t="n">
        <v>4.96</v>
      </c>
      <c r="W66" s="3" t="s">
        <v>6000</v>
      </c>
    </row>
    <row r="67" customFormat="false" ht="15" hidden="false" customHeight="true" outlineLevel="0" collapsed="false">
      <c r="A67" s="3" t="s">
        <v>6079</v>
      </c>
      <c r="B67" s="3" t="s">
        <v>1350</v>
      </c>
      <c r="C67" s="3" t="s">
        <v>2621</v>
      </c>
      <c r="D67" s="3" t="s">
        <v>32</v>
      </c>
      <c r="E67" s="3" t="s">
        <v>33</v>
      </c>
      <c r="F67" s="3" t="s">
        <v>25</v>
      </c>
      <c r="G67" s="3" t="s">
        <v>34</v>
      </c>
      <c r="H67" s="3" t="s">
        <v>27</v>
      </c>
      <c r="I67" s="3" t="s">
        <v>117</v>
      </c>
      <c r="J67" s="3" t="s">
        <v>5999</v>
      </c>
      <c r="K67" s="3" t="n">
        <v>4296582.15</v>
      </c>
      <c r="L67" s="3" t="n">
        <v>0.2317</v>
      </c>
      <c r="M67" s="3" t="n">
        <v>3301064.07</v>
      </c>
      <c r="N67" s="3" t="n">
        <v>1526511.88</v>
      </c>
      <c r="O67" s="3" t="n">
        <v>0.4624</v>
      </c>
      <c r="P67" s="3" t="n">
        <v>0.445</v>
      </c>
      <c r="Q67" s="3" t="n">
        <v>1468973.51</v>
      </c>
      <c r="R67" s="3" t="n">
        <v>111</v>
      </c>
      <c r="S67" s="3" t="n">
        <v>7.6</v>
      </c>
      <c r="T67" s="3" t="n">
        <v>9.7</v>
      </c>
      <c r="U67" s="3"/>
      <c r="V67" s="3" t="n">
        <v>6.02</v>
      </c>
      <c r="W67" s="3" t="s">
        <v>5990</v>
      </c>
    </row>
    <row r="68" customFormat="false" ht="15" hidden="false" customHeight="true" outlineLevel="0" collapsed="false">
      <c r="A68" s="3" t="s">
        <v>6080</v>
      </c>
      <c r="B68" s="3" t="s">
        <v>162</v>
      </c>
      <c r="C68" s="3" t="s">
        <v>1505</v>
      </c>
      <c r="D68" s="3" t="s">
        <v>54</v>
      </c>
      <c r="E68" s="3" t="s">
        <v>24</v>
      </c>
      <c r="F68" s="3" t="s">
        <v>40</v>
      </c>
      <c r="G68" s="3" t="s">
        <v>41</v>
      </c>
      <c r="H68" s="3" t="s">
        <v>27</v>
      </c>
      <c r="I68" s="3" t="s">
        <v>94</v>
      </c>
      <c r="J68" s="3" t="s">
        <v>6009</v>
      </c>
      <c r="K68" s="3" t="n">
        <v>953428.54</v>
      </c>
      <c r="L68" s="3" t="n">
        <v>0.1234</v>
      </c>
      <c r="M68" s="3" t="n">
        <v>835775.46</v>
      </c>
      <c r="N68" s="3" t="n">
        <v>262054.95</v>
      </c>
      <c r="O68" s="3" t="n">
        <v>0.3135</v>
      </c>
      <c r="P68" s="3" t="n">
        <v>0.014</v>
      </c>
      <c r="Q68" s="3" t="n">
        <v>11700.86</v>
      </c>
      <c r="R68" s="3" t="n">
        <v>169</v>
      </c>
      <c r="S68" s="3" t="n">
        <v>8.5</v>
      </c>
      <c r="T68" s="3" t="n">
        <v>8.3</v>
      </c>
      <c r="U68" s="3" t="s">
        <v>6041</v>
      </c>
      <c r="V68" s="3" t="n">
        <v>6.3</v>
      </c>
      <c r="W68" s="3" t="s">
        <v>5990</v>
      </c>
    </row>
    <row r="69" customFormat="false" ht="15" hidden="false" customHeight="true" outlineLevel="0" collapsed="false">
      <c r="A69" s="3" t="s">
        <v>6081</v>
      </c>
      <c r="B69" s="3" t="s">
        <v>1610</v>
      </c>
      <c r="C69" s="3" t="s">
        <v>177</v>
      </c>
      <c r="D69" s="3" t="s">
        <v>23</v>
      </c>
      <c r="E69" s="3" t="s">
        <v>24</v>
      </c>
      <c r="F69" s="3" t="s">
        <v>25</v>
      </c>
      <c r="G69" s="3" t="s">
        <v>116</v>
      </c>
      <c r="H69" s="3" t="s">
        <v>64</v>
      </c>
      <c r="I69" s="3" t="s">
        <v>90</v>
      </c>
      <c r="J69" s="3" t="s">
        <v>5999</v>
      </c>
      <c r="K69" s="3" t="n">
        <v>1663959.33</v>
      </c>
      <c r="L69" s="3" t="n">
        <v>0.192</v>
      </c>
      <c r="M69" s="3" t="n">
        <v>1344479.14</v>
      </c>
      <c r="N69" s="3" t="n">
        <v>465160.78</v>
      </c>
      <c r="O69" s="3" t="n">
        <v>0.346</v>
      </c>
      <c r="P69" s="3" t="n">
        <v>0.466</v>
      </c>
      <c r="Q69" s="3" t="n">
        <v>626527.28</v>
      </c>
      <c r="R69" s="3" t="n">
        <v>69</v>
      </c>
      <c r="S69" s="3" t="n">
        <v>4.4</v>
      </c>
      <c r="T69" s="3" t="n">
        <v>6.1</v>
      </c>
      <c r="U69" s="3"/>
      <c r="V69" s="3" t="n">
        <v>5.28</v>
      </c>
      <c r="W69" s="3" t="s">
        <v>5990</v>
      </c>
    </row>
    <row r="70" customFormat="false" ht="15" hidden="false" customHeight="true" outlineLevel="0" collapsed="false">
      <c r="A70" s="3" t="s">
        <v>6082</v>
      </c>
      <c r="B70" s="3" t="s">
        <v>874</v>
      </c>
      <c r="C70" s="3" t="s">
        <v>1610</v>
      </c>
      <c r="D70" s="3" t="s">
        <v>23</v>
      </c>
      <c r="E70" s="3" t="s">
        <v>24</v>
      </c>
      <c r="F70" s="3" t="s">
        <v>25</v>
      </c>
      <c r="G70" s="3" t="s">
        <v>100</v>
      </c>
      <c r="H70" s="3" t="s">
        <v>64</v>
      </c>
      <c r="I70" s="3" t="s">
        <v>90</v>
      </c>
      <c r="J70" s="3" t="s">
        <v>6003</v>
      </c>
      <c r="K70" s="3" t="n">
        <v>1152422.13</v>
      </c>
      <c r="L70" s="3" t="n">
        <v>0.2705</v>
      </c>
      <c r="M70" s="3" t="n">
        <v>840691.94</v>
      </c>
      <c r="N70" s="3" t="n">
        <v>264031.32</v>
      </c>
      <c r="O70" s="3" t="n">
        <v>0.3141</v>
      </c>
      <c r="P70" s="3" t="n">
        <v>0.061</v>
      </c>
      <c r="Q70" s="3" t="n">
        <v>51282.21</v>
      </c>
      <c r="R70" s="3" t="n">
        <v>107</v>
      </c>
      <c r="S70" s="3" t="n">
        <v>7.5</v>
      </c>
      <c r="T70" s="3" t="n">
        <v>7.4</v>
      </c>
      <c r="U70" s="3"/>
      <c r="V70" s="3" t="n">
        <v>4.96</v>
      </c>
      <c r="W70" s="3" t="s">
        <v>6000</v>
      </c>
    </row>
    <row r="71" customFormat="false" ht="15" hidden="false" customHeight="true" outlineLevel="0" collapsed="false">
      <c r="A71" s="3" t="s">
        <v>6083</v>
      </c>
      <c r="B71" s="3" t="s">
        <v>854</v>
      </c>
      <c r="C71" s="3" t="s">
        <v>2524</v>
      </c>
      <c r="D71" s="3" t="s">
        <v>47</v>
      </c>
      <c r="E71" s="3" t="s">
        <v>48</v>
      </c>
      <c r="F71" s="3" t="s">
        <v>25</v>
      </c>
      <c r="G71" s="3" t="s">
        <v>104</v>
      </c>
      <c r="H71" s="3" t="s">
        <v>56</v>
      </c>
      <c r="I71" s="3" t="s">
        <v>188</v>
      </c>
      <c r="J71" s="3" t="s">
        <v>5989</v>
      </c>
      <c r="K71" s="3" t="n">
        <v>2228484.8</v>
      </c>
      <c r="L71" s="3" t="n">
        <v>0.062</v>
      </c>
      <c r="M71" s="3" t="n">
        <v>2090318.74</v>
      </c>
      <c r="N71" s="3" t="n">
        <v>822662.14</v>
      </c>
      <c r="O71" s="3" t="n">
        <v>0.3936</v>
      </c>
      <c r="P71" s="3" t="n">
        <v>0.26</v>
      </c>
      <c r="Q71" s="3" t="n">
        <v>543482.87</v>
      </c>
      <c r="R71" s="3" t="n">
        <v>86</v>
      </c>
      <c r="S71" s="3" t="n">
        <v>1.5</v>
      </c>
      <c r="T71" s="3" t="n">
        <v>4.1</v>
      </c>
      <c r="U71" s="3"/>
      <c r="V71" s="3" t="n">
        <v>6.28</v>
      </c>
      <c r="W71" s="3" t="s">
        <v>5990</v>
      </c>
    </row>
    <row r="72" customFormat="false" ht="15" hidden="false" customHeight="true" outlineLevel="0" collapsed="false">
      <c r="A72" s="3" t="s">
        <v>6084</v>
      </c>
      <c r="B72" s="3" t="s">
        <v>2218</v>
      </c>
      <c r="C72" s="3" t="s">
        <v>6046</v>
      </c>
      <c r="D72" s="3" t="s">
        <v>107</v>
      </c>
      <c r="E72" s="3" t="s">
        <v>33</v>
      </c>
      <c r="F72" s="3" t="s">
        <v>70</v>
      </c>
      <c r="G72" s="3" t="s">
        <v>116</v>
      </c>
      <c r="H72" s="3" t="s">
        <v>27</v>
      </c>
      <c r="I72" s="3" t="s">
        <v>50</v>
      </c>
      <c r="J72" s="3" t="s">
        <v>5992</v>
      </c>
      <c r="K72" s="3" t="n">
        <v>1152557.46</v>
      </c>
      <c r="L72" s="3" t="n">
        <v>0.1137</v>
      </c>
      <c r="M72" s="3" t="n">
        <v>1021511.68</v>
      </c>
      <c r="N72" s="3" t="n">
        <v>458512.92</v>
      </c>
      <c r="O72" s="3" t="n">
        <v>0.4489</v>
      </c>
      <c r="P72" s="3" t="n">
        <v>0.739</v>
      </c>
      <c r="Q72" s="3" t="n">
        <v>754897.13</v>
      </c>
      <c r="R72" s="3" t="n">
        <v>158</v>
      </c>
      <c r="S72" s="3" t="n">
        <v>10</v>
      </c>
      <c r="T72" s="3" t="n">
        <v>7.3</v>
      </c>
      <c r="U72" s="3"/>
      <c r="V72" s="3" t="n">
        <v>7.96</v>
      </c>
      <c r="W72" s="3" t="s">
        <v>5997</v>
      </c>
    </row>
    <row r="73" customFormat="false" ht="15" hidden="false" customHeight="true" outlineLevel="0" collapsed="false">
      <c r="A73" s="3" t="s">
        <v>6085</v>
      </c>
      <c r="B73" s="3" t="s">
        <v>1684</v>
      </c>
      <c r="C73" s="3" t="s">
        <v>99</v>
      </c>
      <c r="D73" s="3" t="s">
        <v>61</v>
      </c>
      <c r="E73" s="3" t="s">
        <v>33</v>
      </c>
      <c r="F73" s="3" t="s">
        <v>62</v>
      </c>
      <c r="G73" s="3" t="s">
        <v>41</v>
      </c>
      <c r="H73" s="3" t="s">
        <v>56</v>
      </c>
      <c r="I73" s="3" t="s">
        <v>121</v>
      </c>
      <c r="J73" s="3" t="s">
        <v>5999</v>
      </c>
      <c r="K73" s="3" t="n">
        <v>4217138.26</v>
      </c>
      <c r="L73" s="3" t="n">
        <v>0.1991</v>
      </c>
      <c r="M73" s="3" t="n">
        <v>3377506.03</v>
      </c>
      <c r="N73" s="3" t="n">
        <v>1606943.95</v>
      </c>
      <c r="O73" s="3" t="n">
        <v>0.4758</v>
      </c>
      <c r="P73" s="3" t="n">
        <v>0.496</v>
      </c>
      <c r="Q73" s="3" t="n">
        <v>1675242.99</v>
      </c>
      <c r="R73" s="3" t="n">
        <v>123</v>
      </c>
      <c r="S73" s="3" t="n">
        <v>1.4</v>
      </c>
      <c r="T73" s="3" t="n">
        <v>4.8</v>
      </c>
      <c r="U73" s="3"/>
      <c r="V73" s="3" t="n">
        <v>5.48</v>
      </c>
      <c r="W73" s="3" t="s">
        <v>5990</v>
      </c>
    </row>
    <row r="74" customFormat="false" ht="15" hidden="false" customHeight="true" outlineLevel="0" collapsed="false">
      <c r="A74" s="3" t="s">
        <v>6086</v>
      </c>
      <c r="B74" s="3" t="s">
        <v>2524</v>
      </c>
      <c r="C74" s="3" t="s">
        <v>5062</v>
      </c>
      <c r="D74" s="3" t="s">
        <v>107</v>
      </c>
      <c r="E74" s="3" t="s">
        <v>33</v>
      </c>
      <c r="F74" s="3" t="s">
        <v>70</v>
      </c>
      <c r="G74" s="3" t="s">
        <v>76</v>
      </c>
      <c r="H74" s="3" t="s">
        <v>27</v>
      </c>
      <c r="I74" s="3" t="s">
        <v>50</v>
      </c>
      <c r="J74" s="3" t="s">
        <v>5996</v>
      </c>
      <c r="K74" s="3" t="n">
        <v>2173051.69</v>
      </c>
      <c r="L74" s="3" t="n">
        <v>0.2097</v>
      </c>
      <c r="M74" s="3" t="n">
        <v>1717362.75</v>
      </c>
      <c r="N74" s="3" t="n">
        <v>525139.69</v>
      </c>
      <c r="O74" s="3" t="n">
        <v>0.3058</v>
      </c>
      <c r="P74" s="3" t="n">
        <v>0.96</v>
      </c>
      <c r="Q74" s="3" t="n">
        <v>1648668.24</v>
      </c>
      <c r="R74" s="3" t="n">
        <v>38</v>
      </c>
      <c r="S74" s="3" t="n">
        <v>7.8</v>
      </c>
      <c r="T74" s="3" t="n">
        <v>7.2</v>
      </c>
      <c r="U74" s="3"/>
      <c r="V74" s="3" t="n">
        <v>5.5</v>
      </c>
      <c r="W74" s="3" t="s">
        <v>5990</v>
      </c>
    </row>
    <row r="75" customFormat="false" ht="15" hidden="false" customHeight="true" outlineLevel="0" collapsed="false">
      <c r="A75" s="3" t="s">
        <v>6087</v>
      </c>
      <c r="B75" s="3" t="s">
        <v>370</v>
      </c>
      <c r="C75" s="3" t="s">
        <v>2230</v>
      </c>
      <c r="D75" s="3" t="s">
        <v>38</v>
      </c>
      <c r="E75" s="3" t="s">
        <v>39</v>
      </c>
      <c r="F75" s="3" t="s">
        <v>40</v>
      </c>
      <c r="G75" s="3" t="s">
        <v>104</v>
      </c>
      <c r="H75" s="3" t="s">
        <v>42</v>
      </c>
      <c r="I75" s="3" t="s">
        <v>43</v>
      </c>
      <c r="J75" s="3" t="s">
        <v>5999</v>
      </c>
      <c r="K75" s="3" t="n">
        <v>4333883.78</v>
      </c>
      <c r="L75" s="3" t="n">
        <v>0.0625</v>
      </c>
      <c r="M75" s="3" t="n">
        <v>4063016.04</v>
      </c>
      <c r="N75" s="3" t="n">
        <v>1162777.49</v>
      </c>
      <c r="O75" s="3" t="n">
        <v>0.2862</v>
      </c>
      <c r="P75" s="3" t="n">
        <v>0.474</v>
      </c>
      <c r="Q75" s="3" t="n">
        <v>1925869.6</v>
      </c>
      <c r="R75" s="3" t="n">
        <v>146</v>
      </c>
      <c r="S75" s="3" t="n">
        <v>4.1</v>
      </c>
      <c r="T75" s="3" t="n">
        <v>2.4</v>
      </c>
      <c r="U75" s="3"/>
      <c r="V75" s="3" t="n">
        <v>6.38</v>
      </c>
      <c r="W75" s="3" t="s">
        <v>5990</v>
      </c>
    </row>
    <row r="76" customFormat="false" ht="15" hidden="false" customHeight="true" outlineLevel="0" collapsed="false">
      <c r="A76" s="3" t="s">
        <v>6088</v>
      </c>
      <c r="B76" s="3" t="s">
        <v>6057</v>
      </c>
      <c r="C76" s="3" t="s">
        <v>160</v>
      </c>
      <c r="D76" s="3" t="s">
        <v>23</v>
      </c>
      <c r="E76" s="3" t="s">
        <v>24</v>
      </c>
      <c r="F76" s="3" t="s">
        <v>25</v>
      </c>
      <c r="G76" s="3" t="s">
        <v>55</v>
      </c>
      <c r="H76" s="3" t="s">
        <v>27</v>
      </c>
      <c r="I76" s="3" t="s">
        <v>50</v>
      </c>
      <c r="J76" s="3" t="s">
        <v>5992</v>
      </c>
      <c r="K76" s="3" t="n">
        <v>2448410.85</v>
      </c>
      <c r="L76" s="3" t="n">
        <v>0.221</v>
      </c>
      <c r="M76" s="3" t="n">
        <v>1907312.05</v>
      </c>
      <c r="N76" s="3" t="n">
        <v>543595.51</v>
      </c>
      <c r="O76" s="3" t="n">
        <v>0.285</v>
      </c>
      <c r="P76" s="3" t="n">
        <v>0.668</v>
      </c>
      <c r="Q76" s="3" t="n">
        <v>1274084.45</v>
      </c>
      <c r="R76" s="3" t="n">
        <v>137</v>
      </c>
      <c r="S76" s="3" t="n">
        <v>10</v>
      </c>
      <c r="T76" s="3" t="n">
        <v>1.3</v>
      </c>
      <c r="U76" s="3"/>
      <c r="V76" s="3" t="n">
        <v>6.66</v>
      </c>
      <c r="W76" s="3" t="s">
        <v>5997</v>
      </c>
    </row>
    <row r="77" customFormat="false" ht="15" hidden="false" customHeight="true" outlineLevel="0" collapsed="false">
      <c r="A77" s="3" t="s">
        <v>6089</v>
      </c>
      <c r="B77" s="3" t="s">
        <v>738</v>
      </c>
      <c r="C77" s="3" t="s">
        <v>1227</v>
      </c>
      <c r="D77" s="3" t="s">
        <v>32</v>
      </c>
      <c r="E77" s="3" t="s">
        <v>33</v>
      </c>
      <c r="F77" s="3" t="s">
        <v>25</v>
      </c>
      <c r="G77" s="3" t="s">
        <v>49</v>
      </c>
      <c r="H77" s="3" t="s">
        <v>64</v>
      </c>
      <c r="I77" s="3" t="s">
        <v>65</v>
      </c>
      <c r="J77" s="3" t="s">
        <v>6003</v>
      </c>
      <c r="K77" s="3" t="n">
        <v>3942565.68</v>
      </c>
      <c r="L77" s="3" t="n">
        <v>0.2662</v>
      </c>
      <c r="M77" s="3" t="n">
        <v>2893054.7</v>
      </c>
      <c r="N77" s="3" t="n">
        <v>1335223.44</v>
      </c>
      <c r="O77" s="3" t="n">
        <v>0.4615</v>
      </c>
      <c r="P77" s="3" t="n">
        <v>0.106</v>
      </c>
      <c r="Q77" s="3" t="n">
        <v>306663.8</v>
      </c>
      <c r="R77" s="3" t="n">
        <v>164</v>
      </c>
      <c r="S77" s="3" t="n">
        <v>4.9</v>
      </c>
      <c r="T77" s="3" t="n">
        <v>8</v>
      </c>
      <c r="U77" s="3"/>
      <c r="V77" s="3" t="n">
        <v>5.3</v>
      </c>
      <c r="W77" s="3" t="s">
        <v>5990</v>
      </c>
    </row>
    <row r="78" customFormat="false" ht="15" hidden="false" customHeight="true" outlineLevel="0" collapsed="false">
      <c r="A78" s="3" t="s">
        <v>6090</v>
      </c>
      <c r="B78" s="3" t="s">
        <v>3665</v>
      </c>
      <c r="C78" s="3" t="s">
        <v>1792</v>
      </c>
      <c r="D78" s="3" t="s">
        <v>23</v>
      </c>
      <c r="E78" s="3" t="s">
        <v>24</v>
      </c>
      <c r="F78" s="3" t="s">
        <v>25</v>
      </c>
      <c r="G78" s="3" t="s">
        <v>76</v>
      </c>
      <c r="H78" s="3" t="s">
        <v>42</v>
      </c>
      <c r="I78" s="3" t="s">
        <v>72</v>
      </c>
      <c r="J78" s="3" t="s">
        <v>5992</v>
      </c>
      <c r="K78" s="3" t="n">
        <v>2367819.07</v>
      </c>
      <c r="L78" s="3" t="n">
        <v>0.116</v>
      </c>
      <c r="M78" s="3" t="n">
        <v>2093152.06</v>
      </c>
      <c r="N78" s="3" t="n">
        <v>602953.59</v>
      </c>
      <c r="O78" s="3" t="n">
        <v>0.2881</v>
      </c>
      <c r="P78" s="3" t="n">
        <v>0.709</v>
      </c>
      <c r="Q78" s="3" t="n">
        <v>1484044.81</v>
      </c>
      <c r="R78" s="3" t="n">
        <v>83</v>
      </c>
      <c r="S78" s="3" t="n">
        <v>8.6</v>
      </c>
      <c r="T78" s="3" t="n">
        <v>8.8</v>
      </c>
      <c r="U78" s="3"/>
      <c r="V78" s="3" t="n">
        <v>6.09</v>
      </c>
      <c r="W78" s="3" t="s">
        <v>5990</v>
      </c>
    </row>
    <row r="79" customFormat="false" ht="15" hidden="false" customHeight="true" outlineLevel="0" collapsed="false">
      <c r="A79" s="3" t="s">
        <v>6091</v>
      </c>
      <c r="B79" s="3" t="s">
        <v>486</v>
      </c>
      <c r="C79" s="3" t="s">
        <v>639</v>
      </c>
      <c r="D79" s="3" t="s">
        <v>69</v>
      </c>
      <c r="E79" s="3" t="s">
        <v>39</v>
      </c>
      <c r="F79" s="3" t="s">
        <v>70</v>
      </c>
      <c r="G79" s="3" t="s">
        <v>116</v>
      </c>
      <c r="H79" s="3" t="s">
        <v>64</v>
      </c>
      <c r="I79" s="3" t="s">
        <v>145</v>
      </c>
      <c r="J79" s="3" t="s">
        <v>5992</v>
      </c>
      <c r="K79" s="3" t="n">
        <v>237598.74</v>
      </c>
      <c r="L79" s="3" t="n">
        <v>0.0525</v>
      </c>
      <c r="M79" s="3" t="n">
        <v>225124.81</v>
      </c>
      <c r="N79" s="3" t="n">
        <v>69298.86</v>
      </c>
      <c r="O79" s="3" t="n">
        <v>0.3078</v>
      </c>
      <c r="P79" s="3" t="n">
        <v>0.671</v>
      </c>
      <c r="Q79" s="3" t="n">
        <v>151058.75</v>
      </c>
      <c r="R79" s="3" t="n">
        <v>73</v>
      </c>
      <c r="S79" s="3" t="n">
        <v>9.4</v>
      </c>
      <c r="T79" s="3" t="n">
        <v>8.5</v>
      </c>
      <c r="U79" s="3"/>
      <c r="V79" s="3" t="n">
        <v>7</v>
      </c>
      <c r="W79" s="3" t="s">
        <v>5997</v>
      </c>
    </row>
    <row r="80" customFormat="false" ht="15" hidden="false" customHeight="true" outlineLevel="0" collapsed="false">
      <c r="A80" s="3" t="s">
        <v>6092</v>
      </c>
      <c r="B80" s="3" t="s">
        <v>4960</v>
      </c>
      <c r="C80" s="3" t="s">
        <v>6093</v>
      </c>
      <c r="D80" s="3" t="s">
        <v>75</v>
      </c>
      <c r="E80" s="3" t="s">
        <v>39</v>
      </c>
      <c r="F80" s="3" t="s">
        <v>25</v>
      </c>
      <c r="G80" s="3" t="s">
        <v>26</v>
      </c>
      <c r="H80" s="3" t="s">
        <v>77</v>
      </c>
      <c r="I80" s="3" t="s">
        <v>78</v>
      </c>
      <c r="J80" s="3" t="s">
        <v>5996</v>
      </c>
      <c r="K80" s="3" t="n">
        <v>321582.11</v>
      </c>
      <c r="L80" s="3" t="n">
        <v>0.1318</v>
      </c>
      <c r="M80" s="3" t="n">
        <v>279197.59</v>
      </c>
      <c r="N80" s="3" t="n">
        <v>116931.08</v>
      </c>
      <c r="O80" s="3" t="n">
        <v>0.4188</v>
      </c>
      <c r="P80" s="3" t="n">
        <v>0.992</v>
      </c>
      <c r="Q80" s="3" t="n">
        <v>276964.01</v>
      </c>
      <c r="R80" s="3" t="n">
        <v>56</v>
      </c>
      <c r="S80" s="3" t="n">
        <v>2.6</v>
      </c>
      <c r="T80" s="3" t="n">
        <v>6.6</v>
      </c>
      <c r="U80" s="3"/>
      <c r="V80" s="3" t="n">
        <v>5.81</v>
      </c>
      <c r="W80" s="3" t="s">
        <v>5990</v>
      </c>
    </row>
    <row r="81" customFormat="false" ht="15" hidden="false" customHeight="true" outlineLevel="0" collapsed="false">
      <c r="A81" s="3" t="s">
        <v>6094</v>
      </c>
      <c r="B81" s="3" t="s">
        <v>1735</v>
      </c>
      <c r="C81" s="3" t="s">
        <v>440</v>
      </c>
      <c r="D81" s="3" t="s">
        <v>97</v>
      </c>
      <c r="E81" s="3" t="s">
        <v>48</v>
      </c>
      <c r="F81" s="3" t="s">
        <v>40</v>
      </c>
      <c r="G81" s="3" t="s">
        <v>49</v>
      </c>
      <c r="H81" s="3" t="s">
        <v>42</v>
      </c>
      <c r="I81" s="3" t="s">
        <v>72</v>
      </c>
      <c r="J81" s="3" t="s">
        <v>5989</v>
      </c>
      <c r="K81" s="3" t="n">
        <v>3485917.56</v>
      </c>
      <c r="L81" s="3" t="n">
        <v>0.114</v>
      </c>
      <c r="M81" s="3" t="n">
        <v>3088522.96</v>
      </c>
      <c r="N81" s="3" t="n">
        <v>995838.74</v>
      </c>
      <c r="O81" s="3" t="n">
        <v>0.3224</v>
      </c>
      <c r="P81" s="3" t="n">
        <v>0.252</v>
      </c>
      <c r="Q81" s="3" t="n">
        <v>778307.79</v>
      </c>
      <c r="R81" s="3" t="n">
        <v>75</v>
      </c>
      <c r="S81" s="3" t="n">
        <v>1</v>
      </c>
      <c r="T81" s="3" t="n">
        <v>2.1</v>
      </c>
      <c r="U81" s="3"/>
      <c r="V81" s="3" t="n">
        <v>5.51</v>
      </c>
      <c r="W81" s="3" t="s">
        <v>5990</v>
      </c>
    </row>
    <row r="82" customFormat="false" ht="15" hidden="false" customHeight="true" outlineLevel="0" collapsed="false">
      <c r="A82" s="3" t="s">
        <v>6095</v>
      </c>
      <c r="B82" s="3" t="s">
        <v>1285</v>
      </c>
      <c r="C82" s="3" t="s">
        <v>3966</v>
      </c>
      <c r="D82" s="3" t="s">
        <v>23</v>
      </c>
      <c r="E82" s="3" t="s">
        <v>24</v>
      </c>
      <c r="F82" s="3" t="s">
        <v>25</v>
      </c>
      <c r="G82" s="3" t="s">
        <v>63</v>
      </c>
      <c r="H82" s="3" t="s">
        <v>42</v>
      </c>
      <c r="I82" s="3" t="s">
        <v>134</v>
      </c>
      <c r="J82" s="3" t="s">
        <v>5992</v>
      </c>
      <c r="K82" s="3" t="n">
        <v>3904450.24</v>
      </c>
      <c r="L82" s="3" t="n">
        <v>0.2181</v>
      </c>
      <c r="M82" s="3" t="n">
        <v>3052889.64</v>
      </c>
      <c r="N82" s="3" t="n">
        <v>1239071.61</v>
      </c>
      <c r="O82" s="3" t="n">
        <v>0.4059</v>
      </c>
      <c r="P82" s="3" t="n">
        <v>0.712</v>
      </c>
      <c r="Q82" s="3" t="n">
        <v>2173657.42</v>
      </c>
      <c r="R82" s="3" t="n">
        <v>67</v>
      </c>
      <c r="S82" s="3" t="n">
        <v>7.9</v>
      </c>
      <c r="T82" s="3" t="n">
        <v>4.3</v>
      </c>
      <c r="U82" s="3"/>
      <c r="V82" s="3" t="n">
        <v>6.66</v>
      </c>
      <c r="W82" s="3" t="s">
        <v>5997</v>
      </c>
    </row>
    <row r="83" customFormat="false" ht="15" hidden="false" customHeight="true" outlineLevel="0" collapsed="false">
      <c r="A83" s="3" t="s">
        <v>6096</v>
      </c>
      <c r="B83" s="3" t="s">
        <v>149</v>
      </c>
      <c r="C83" s="3" t="s">
        <v>2330</v>
      </c>
      <c r="D83" s="3" t="s">
        <v>103</v>
      </c>
      <c r="E83" s="3" t="s">
        <v>24</v>
      </c>
      <c r="F83" s="3" t="s">
        <v>62</v>
      </c>
      <c r="G83" s="3" t="s">
        <v>34</v>
      </c>
      <c r="H83" s="3" t="s">
        <v>64</v>
      </c>
      <c r="I83" s="3" t="s">
        <v>108</v>
      </c>
      <c r="J83" s="3" t="s">
        <v>5999</v>
      </c>
      <c r="K83" s="3" t="n">
        <v>118927.3</v>
      </c>
      <c r="L83" s="3" t="n">
        <v>0.2395</v>
      </c>
      <c r="M83" s="3" t="n">
        <v>90444.21</v>
      </c>
      <c r="N83" s="3" t="n">
        <v>32382.76</v>
      </c>
      <c r="O83" s="3" t="n">
        <v>0.358</v>
      </c>
      <c r="P83" s="3" t="n">
        <v>0.446</v>
      </c>
      <c r="Q83" s="3" t="n">
        <v>40338.12</v>
      </c>
      <c r="R83" s="3" t="n">
        <v>44</v>
      </c>
      <c r="S83" s="3" t="n">
        <v>9.1</v>
      </c>
      <c r="T83" s="3" t="n">
        <v>8.3</v>
      </c>
      <c r="U83" s="3"/>
      <c r="V83" s="3" t="n">
        <v>5.83</v>
      </c>
      <c r="W83" s="3" t="s">
        <v>5990</v>
      </c>
    </row>
    <row r="84" customFormat="false" ht="15" hidden="false" customHeight="true" outlineLevel="0" collapsed="false">
      <c r="A84" s="3" t="s">
        <v>6097</v>
      </c>
      <c r="B84" s="3" t="s">
        <v>1383</v>
      </c>
      <c r="C84" s="3" t="s">
        <v>30</v>
      </c>
      <c r="D84" s="3" t="s">
        <v>75</v>
      </c>
      <c r="E84" s="3" t="s">
        <v>39</v>
      </c>
      <c r="F84" s="3" t="s">
        <v>25</v>
      </c>
      <c r="G84" s="3" t="s">
        <v>76</v>
      </c>
      <c r="H84" s="3" t="s">
        <v>64</v>
      </c>
      <c r="I84" s="3" t="s">
        <v>108</v>
      </c>
      <c r="J84" s="3" t="s">
        <v>5989</v>
      </c>
      <c r="K84" s="3" t="n">
        <v>3508412.15</v>
      </c>
      <c r="L84" s="3" t="n">
        <v>0.074</v>
      </c>
      <c r="M84" s="3" t="n">
        <v>3248789.65</v>
      </c>
      <c r="N84" s="3" t="n">
        <v>1426532.92</v>
      </c>
      <c r="O84" s="3" t="n">
        <v>0.4391</v>
      </c>
      <c r="P84" s="3" t="n">
        <v>0.279</v>
      </c>
      <c r="Q84" s="3" t="n">
        <v>906412.31</v>
      </c>
      <c r="R84" s="3" t="n">
        <v>137</v>
      </c>
      <c r="S84" s="3" t="n">
        <v>9</v>
      </c>
      <c r="T84" s="3" t="n">
        <v>3.9</v>
      </c>
      <c r="U84" s="3"/>
      <c r="V84" s="3" t="n">
        <v>8.47</v>
      </c>
      <c r="W84" s="3" t="s">
        <v>5997</v>
      </c>
    </row>
    <row r="85" customFormat="false" ht="15" hidden="false" customHeight="true" outlineLevel="0" collapsed="false">
      <c r="A85" s="3" t="s">
        <v>6098</v>
      </c>
      <c r="B85" s="3" t="s">
        <v>1327</v>
      </c>
      <c r="C85" s="3" t="s">
        <v>615</v>
      </c>
      <c r="D85" s="3" t="s">
        <v>47</v>
      </c>
      <c r="E85" s="3" t="s">
        <v>48</v>
      </c>
      <c r="F85" s="3" t="s">
        <v>25</v>
      </c>
      <c r="G85" s="3" t="s">
        <v>84</v>
      </c>
      <c r="H85" s="3" t="s">
        <v>64</v>
      </c>
      <c r="I85" s="3" t="s">
        <v>65</v>
      </c>
      <c r="J85" s="3" t="s">
        <v>5989</v>
      </c>
      <c r="K85" s="3" t="n">
        <v>1152319.91</v>
      </c>
      <c r="L85" s="3" t="n">
        <v>0.0548</v>
      </c>
      <c r="M85" s="3" t="n">
        <v>1089172.78</v>
      </c>
      <c r="N85" s="3" t="n">
        <v>431243.39</v>
      </c>
      <c r="O85" s="3" t="n">
        <v>0.3959</v>
      </c>
      <c r="P85" s="3" t="n">
        <v>0.277</v>
      </c>
      <c r="Q85" s="3" t="n">
        <v>301700.86</v>
      </c>
      <c r="R85" s="3" t="n">
        <v>97</v>
      </c>
      <c r="S85" s="3" t="n">
        <v>7.5</v>
      </c>
      <c r="T85" s="3" t="n">
        <v>1.4</v>
      </c>
      <c r="U85" s="3"/>
      <c r="V85" s="3" t="n">
        <v>8.29</v>
      </c>
      <c r="W85" s="3" t="s">
        <v>5997</v>
      </c>
    </row>
    <row r="86" customFormat="false" ht="15" hidden="false" customHeight="true" outlineLevel="0" collapsed="false">
      <c r="A86" s="3" t="s">
        <v>6099</v>
      </c>
      <c r="B86" s="3" t="s">
        <v>260</v>
      </c>
      <c r="C86" s="3" t="s">
        <v>3187</v>
      </c>
      <c r="D86" s="3" t="s">
        <v>54</v>
      </c>
      <c r="E86" s="3" t="s">
        <v>24</v>
      </c>
      <c r="F86" s="3" t="s">
        <v>40</v>
      </c>
      <c r="G86" s="3" t="s">
        <v>55</v>
      </c>
      <c r="H86" s="3" t="s">
        <v>56</v>
      </c>
      <c r="I86" s="3" t="s">
        <v>188</v>
      </c>
      <c r="J86" s="3" t="s">
        <v>5996</v>
      </c>
      <c r="K86" s="3" t="n">
        <v>256252.4</v>
      </c>
      <c r="L86" s="3" t="n">
        <v>0.2645</v>
      </c>
      <c r="M86" s="3" t="n">
        <v>188473.64</v>
      </c>
      <c r="N86" s="3" t="n">
        <v>70072.47</v>
      </c>
      <c r="O86" s="3" t="n">
        <v>0.3718</v>
      </c>
      <c r="P86" s="3" t="n">
        <v>0.969</v>
      </c>
      <c r="Q86" s="3" t="n">
        <v>182630.96</v>
      </c>
      <c r="R86" s="3" t="n">
        <v>111</v>
      </c>
      <c r="S86" s="3" t="n">
        <v>7.6</v>
      </c>
      <c r="T86" s="3" t="n">
        <v>5.7</v>
      </c>
      <c r="U86" s="3"/>
      <c r="V86" s="3" t="n">
        <v>5.75</v>
      </c>
      <c r="W86" s="3" t="s">
        <v>5990</v>
      </c>
    </row>
    <row r="87" customFormat="false" ht="15" hidden="false" customHeight="true" outlineLevel="0" collapsed="false">
      <c r="A87" s="3" t="s">
        <v>6100</v>
      </c>
      <c r="B87" s="3" t="s">
        <v>5015</v>
      </c>
      <c r="C87" s="3" t="s">
        <v>6101</v>
      </c>
      <c r="D87" s="3" t="s">
        <v>97</v>
      </c>
      <c r="E87" s="3" t="s">
        <v>48</v>
      </c>
      <c r="F87" s="3" t="s">
        <v>40</v>
      </c>
      <c r="G87" s="3" t="s">
        <v>26</v>
      </c>
      <c r="H87" s="3" t="s">
        <v>64</v>
      </c>
      <c r="I87" s="3" t="s">
        <v>108</v>
      </c>
      <c r="J87" s="3" t="s">
        <v>5996</v>
      </c>
      <c r="K87" s="3" t="n">
        <v>165325.4</v>
      </c>
      <c r="L87" s="3" t="n">
        <v>0.1569</v>
      </c>
      <c r="M87" s="3" t="n">
        <v>139385.84</v>
      </c>
      <c r="N87" s="3" t="n">
        <v>45922.71</v>
      </c>
      <c r="O87" s="3" t="n">
        <v>0.3295</v>
      </c>
      <c r="P87" s="3" t="n">
        <v>0.986</v>
      </c>
      <c r="Q87" s="3" t="n">
        <v>137434.44</v>
      </c>
      <c r="R87" s="3" t="n">
        <v>177</v>
      </c>
      <c r="S87" s="3" t="n">
        <v>5.6</v>
      </c>
      <c r="T87" s="3" t="n">
        <v>5.2</v>
      </c>
      <c r="U87" s="3"/>
      <c r="V87" s="3" t="n">
        <v>5.87</v>
      </c>
      <c r="W87" s="3" t="s">
        <v>5990</v>
      </c>
    </row>
    <row r="88" customFormat="false" ht="15" hidden="false" customHeight="true" outlineLevel="0" collapsed="false">
      <c r="A88" s="3" t="s">
        <v>6102</v>
      </c>
      <c r="B88" s="3" t="s">
        <v>1055</v>
      </c>
      <c r="C88" s="3" t="s">
        <v>4806</v>
      </c>
      <c r="D88" s="3" t="s">
        <v>69</v>
      </c>
      <c r="E88" s="3" t="s">
        <v>39</v>
      </c>
      <c r="F88" s="3" t="s">
        <v>70</v>
      </c>
      <c r="G88" s="3" t="s">
        <v>100</v>
      </c>
      <c r="H88" s="3" t="s">
        <v>77</v>
      </c>
      <c r="I88" s="3" t="s">
        <v>131</v>
      </c>
      <c r="J88" s="3" t="s">
        <v>6003</v>
      </c>
      <c r="K88" s="3" t="n">
        <v>1792698</v>
      </c>
      <c r="L88" s="3" t="n">
        <v>0.0832</v>
      </c>
      <c r="M88" s="3" t="n">
        <v>1643545.53</v>
      </c>
      <c r="N88" s="3" t="n">
        <v>566550.45</v>
      </c>
      <c r="O88" s="3" t="n">
        <v>0.3447</v>
      </c>
      <c r="P88" s="3" t="n">
        <v>0.126</v>
      </c>
      <c r="Q88" s="3" t="n">
        <v>207086.74</v>
      </c>
      <c r="R88" s="3" t="n">
        <v>50</v>
      </c>
      <c r="S88" s="3" t="n">
        <v>9.4</v>
      </c>
      <c r="T88" s="3" t="n">
        <v>7</v>
      </c>
      <c r="U88" s="3"/>
      <c r="V88" s="3" t="n">
        <v>7.3</v>
      </c>
      <c r="W88" s="3" t="s">
        <v>5997</v>
      </c>
    </row>
    <row r="89" customFormat="false" ht="15" hidden="false" customHeight="true" outlineLevel="0" collapsed="false">
      <c r="A89" s="3" t="s">
        <v>6103</v>
      </c>
      <c r="B89" s="3" t="s">
        <v>2142</v>
      </c>
      <c r="C89" s="3" t="s">
        <v>3158</v>
      </c>
      <c r="D89" s="3" t="s">
        <v>47</v>
      </c>
      <c r="E89" s="3" t="s">
        <v>48</v>
      </c>
      <c r="F89" s="3" t="s">
        <v>25</v>
      </c>
      <c r="G89" s="3" t="s">
        <v>104</v>
      </c>
      <c r="H89" s="3" t="s">
        <v>77</v>
      </c>
      <c r="I89" s="3" t="s">
        <v>78</v>
      </c>
      <c r="J89" s="3" t="s">
        <v>6003</v>
      </c>
      <c r="K89" s="3" t="n">
        <v>1881957.16</v>
      </c>
      <c r="L89" s="3" t="n">
        <v>0.2625</v>
      </c>
      <c r="M89" s="3" t="n">
        <v>1387943.41</v>
      </c>
      <c r="N89" s="3" t="n">
        <v>489691.25</v>
      </c>
      <c r="O89" s="3" t="n">
        <v>0.3528</v>
      </c>
      <c r="P89" s="3" t="n">
        <v>0.149</v>
      </c>
      <c r="Q89" s="3" t="n">
        <v>206803.57</v>
      </c>
      <c r="R89" s="3" t="n">
        <v>20</v>
      </c>
      <c r="S89" s="3" t="n">
        <v>2.9</v>
      </c>
      <c r="T89" s="3" t="n">
        <v>3.7</v>
      </c>
      <c r="U89" s="3"/>
      <c r="V89" s="3" t="n">
        <v>4.7</v>
      </c>
      <c r="W89" s="3" t="s">
        <v>6000</v>
      </c>
    </row>
    <row r="90" customFormat="false" ht="15" hidden="false" customHeight="true" outlineLevel="0" collapsed="false">
      <c r="A90" s="3" t="s">
        <v>6104</v>
      </c>
      <c r="B90" s="3" t="s">
        <v>392</v>
      </c>
      <c r="C90" s="3" t="s">
        <v>6105</v>
      </c>
      <c r="D90" s="3" t="s">
        <v>61</v>
      </c>
      <c r="E90" s="3" t="s">
        <v>33</v>
      </c>
      <c r="F90" s="3" t="s">
        <v>62</v>
      </c>
      <c r="G90" s="3" t="s">
        <v>84</v>
      </c>
      <c r="H90" s="3" t="s">
        <v>42</v>
      </c>
      <c r="I90" s="3" t="s">
        <v>134</v>
      </c>
      <c r="J90" s="3" t="s">
        <v>6009</v>
      </c>
      <c r="K90" s="3" t="n">
        <v>3797742.57</v>
      </c>
      <c r="L90" s="3" t="n">
        <v>0.2628</v>
      </c>
      <c r="M90" s="3" t="n">
        <v>2799695.82</v>
      </c>
      <c r="N90" s="3" t="n">
        <v>1038787.89</v>
      </c>
      <c r="O90" s="3" t="n">
        <v>0.371</v>
      </c>
      <c r="P90" s="3" t="n">
        <v>0</v>
      </c>
      <c r="Q90" s="3" t="n">
        <v>0</v>
      </c>
      <c r="R90" s="3" t="n">
        <v>121</v>
      </c>
      <c r="S90" s="3" t="n">
        <v>5.4</v>
      </c>
      <c r="T90" s="3" t="n">
        <v>3.1</v>
      </c>
      <c r="U90" s="3" t="s">
        <v>6020</v>
      </c>
      <c r="V90" s="3" t="n">
        <v>5.55</v>
      </c>
      <c r="W90" s="3" t="s">
        <v>5990</v>
      </c>
    </row>
    <row r="91" customFormat="false" ht="15" hidden="false" customHeight="true" outlineLevel="0" collapsed="false">
      <c r="A91" s="3" t="s">
        <v>6106</v>
      </c>
      <c r="B91" s="3" t="s">
        <v>1712</v>
      </c>
      <c r="C91" s="3" t="s">
        <v>1110</v>
      </c>
      <c r="D91" s="3" t="s">
        <v>38</v>
      </c>
      <c r="E91" s="3" t="s">
        <v>39</v>
      </c>
      <c r="F91" s="3" t="s">
        <v>40</v>
      </c>
      <c r="G91" s="3" t="s">
        <v>84</v>
      </c>
      <c r="H91" s="3" t="s">
        <v>56</v>
      </c>
      <c r="I91" s="3" t="s">
        <v>121</v>
      </c>
      <c r="J91" s="3" t="s">
        <v>6003</v>
      </c>
      <c r="K91" s="3" t="n">
        <v>203571.68</v>
      </c>
      <c r="L91" s="3" t="n">
        <v>0.2522</v>
      </c>
      <c r="M91" s="3" t="n">
        <v>152230.9</v>
      </c>
      <c r="N91" s="3" t="n">
        <v>43504.79</v>
      </c>
      <c r="O91" s="3" t="n">
        <v>0.2858</v>
      </c>
      <c r="P91" s="3" t="n">
        <v>0.101</v>
      </c>
      <c r="Q91" s="3" t="n">
        <v>15375.32</v>
      </c>
      <c r="R91" s="3" t="n">
        <v>77</v>
      </c>
      <c r="S91" s="3" t="n">
        <v>5.9</v>
      </c>
      <c r="T91" s="3" t="n">
        <v>6.2</v>
      </c>
      <c r="U91" s="3"/>
      <c r="V91" s="3" t="n">
        <v>4.69</v>
      </c>
      <c r="W91" s="3" t="s">
        <v>6000</v>
      </c>
    </row>
    <row r="92" customFormat="false" ht="15" hidden="false" customHeight="true" outlineLevel="0" collapsed="false">
      <c r="A92" s="3" t="s">
        <v>6107</v>
      </c>
      <c r="B92" s="3" t="s">
        <v>1987</v>
      </c>
      <c r="C92" s="3" t="s">
        <v>6108</v>
      </c>
      <c r="D92" s="3" t="s">
        <v>97</v>
      </c>
      <c r="E92" s="3" t="s">
        <v>48</v>
      </c>
      <c r="F92" s="3" t="s">
        <v>40</v>
      </c>
      <c r="G92" s="3" t="s">
        <v>26</v>
      </c>
      <c r="H92" s="3" t="s">
        <v>27</v>
      </c>
      <c r="I92" s="3" t="s">
        <v>117</v>
      </c>
      <c r="J92" s="3" t="s">
        <v>5989</v>
      </c>
      <c r="K92" s="3" t="n">
        <v>3924964.86</v>
      </c>
      <c r="L92" s="3" t="n">
        <v>0.1058</v>
      </c>
      <c r="M92" s="3" t="n">
        <v>3509703.58</v>
      </c>
      <c r="N92" s="3" t="n">
        <v>1222103.87</v>
      </c>
      <c r="O92" s="3" t="n">
        <v>0.3482</v>
      </c>
      <c r="P92" s="3" t="n">
        <v>0.28</v>
      </c>
      <c r="Q92" s="3" t="n">
        <v>982717</v>
      </c>
      <c r="R92" s="3" t="n">
        <v>113</v>
      </c>
      <c r="S92" s="3" t="n">
        <v>4</v>
      </c>
      <c r="T92" s="3" t="n">
        <v>7.2</v>
      </c>
      <c r="U92" s="3"/>
      <c r="V92" s="3" t="n">
        <v>5.74</v>
      </c>
      <c r="W92" s="3" t="s">
        <v>5990</v>
      </c>
    </row>
    <row r="93" customFormat="false" ht="15" hidden="false" customHeight="true" outlineLevel="0" collapsed="false">
      <c r="A93" s="3" t="s">
        <v>6109</v>
      </c>
      <c r="B93" s="3" t="s">
        <v>1265</v>
      </c>
      <c r="C93" s="3" t="s">
        <v>302</v>
      </c>
      <c r="D93" s="3" t="s">
        <v>103</v>
      </c>
      <c r="E93" s="3" t="s">
        <v>24</v>
      </c>
      <c r="F93" s="3" t="s">
        <v>62</v>
      </c>
      <c r="G93" s="3" t="s">
        <v>63</v>
      </c>
      <c r="H93" s="3" t="s">
        <v>64</v>
      </c>
      <c r="I93" s="3" t="s">
        <v>90</v>
      </c>
      <c r="J93" s="3" t="s">
        <v>5989</v>
      </c>
      <c r="K93" s="3" t="n">
        <v>1476332.91</v>
      </c>
      <c r="L93" s="3" t="n">
        <v>0.0784</v>
      </c>
      <c r="M93" s="3" t="n">
        <v>1360588.41</v>
      </c>
      <c r="N93" s="3" t="n">
        <v>482665.05</v>
      </c>
      <c r="O93" s="3" t="n">
        <v>0.3547</v>
      </c>
      <c r="P93" s="3" t="n">
        <v>0.294</v>
      </c>
      <c r="Q93" s="3" t="n">
        <v>400012.99</v>
      </c>
      <c r="R93" s="3" t="n">
        <v>53</v>
      </c>
      <c r="S93" s="3" t="n">
        <v>2.4</v>
      </c>
      <c r="T93" s="3" t="n">
        <v>5.9</v>
      </c>
      <c r="U93" s="3"/>
      <c r="V93" s="3" t="n">
        <v>5.83</v>
      </c>
      <c r="W93" s="3" t="s">
        <v>5990</v>
      </c>
    </row>
    <row r="94" customFormat="false" ht="15" hidden="false" customHeight="true" outlineLevel="0" collapsed="false">
      <c r="A94" s="3" t="s">
        <v>6110</v>
      </c>
      <c r="B94" s="3" t="s">
        <v>1229</v>
      </c>
      <c r="C94" s="3" t="s">
        <v>3648</v>
      </c>
      <c r="D94" s="3" t="s">
        <v>23</v>
      </c>
      <c r="E94" s="3" t="s">
        <v>24</v>
      </c>
      <c r="F94" s="3" t="s">
        <v>25</v>
      </c>
      <c r="G94" s="3" t="s">
        <v>63</v>
      </c>
      <c r="H94" s="3" t="s">
        <v>64</v>
      </c>
      <c r="I94" s="3" t="s">
        <v>145</v>
      </c>
      <c r="J94" s="3" t="s">
        <v>5996</v>
      </c>
      <c r="K94" s="3" t="n">
        <v>3399205.72</v>
      </c>
      <c r="L94" s="3" t="n">
        <v>0.25</v>
      </c>
      <c r="M94" s="3" t="n">
        <v>2549404.29</v>
      </c>
      <c r="N94" s="3" t="n">
        <v>1156659.32</v>
      </c>
      <c r="O94" s="3" t="n">
        <v>0.4537</v>
      </c>
      <c r="P94" s="3" t="n">
        <v>0.962</v>
      </c>
      <c r="Q94" s="3" t="n">
        <v>2452526.93</v>
      </c>
      <c r="R94" s="3" t="n">
        <v>112</v>
      </c>
      <c r="S94" s="3" t="n">
        <v>5.7</v>
      </c>
      <c r="T94" s="3" t="n">
        <v>5</v>
      </c>
      <c r="U94" s="3"/>
      <c r="V94" s="3" t="n">
        <v>6.1</v>
      </c>
      <c r="W94" s="3" t="s">
        <v>5990</v>
      </c>
    </row>
    <row r="95" customFormat="false" ht="15" hidden="false" customHeight="true" outlineLevel="0" collapsed="false">
      <c r="A95" s="3" t="s">
        <v>6111</v>
      </c>
      <c r="B95" s="3" t="s">
        <v>4078</v>
      </c>
      <c r="C95" s="3" t="s">
        <v>1251</v>
      </c>
      <c r="D95" s="3" t="s">
        <v>107</v>
      </c>
      <c r="E95" s="3" t="s">
        <v>33</v>
      </c>
      <c r="F95" s="3" t="s">
        <v>70</v>
      </c>
      <c r="G95" s="3" t="s">
        <v>26</v>
      </c>
      <c r="H95" s="3" t="s">
        <v>77</v>
      </c>
      <c r="I95" s="3" t="s">
        <v>131</v>
      </c>
      <c r="J95" s="3" t="s">
        <v>5999</v>
      </c>
      <c r="K95" s="3" t="n">
        <v>2983475.78</v>
      </c>
      <c r="L95" s="3" t="n">
        <v>0.213</v>
      </c>
      <c r="M95" s="3" t="n">
        <v>2347995.44</v>
      </c>
      <c r="N95" s="3" t="n">
        <v>842830.49</v>
      </c>
      <c r="O95" s="3" t="n">
        <v>0.359</v>
      </c>
      <c r="P95" s="3" t="n">
        <v>0.407</v>
      </c>
      <c r="Q95" s="3" t="n">
        <v>955634.14</v>
      </c>
      <c r="R95" s="3" t="n">
        <v>101</v>
      </c>
      <c r="S95" s="3" t="n">
        <v>9.6</v>
      </c>
      <c r="T95" s="3" t="n">
        <v>6.9</v>
      </c>
      <c r="U95" s="3"/>
      <c r="V95" s="3" t="n">
        <v>6.39</v>
      </c>
      <c r="W95" s="3" t="s">
        <v>5990</v>
      </c>
    </row>
    <row r="96" customFormat="false" ht="15" hidden="false" customHeight="true" outlineLevel="0" collapsed="false">
      <c r="A96" s="3" t="s">
        <v>6112</v>
      </c>
      <c r="B96" s="3" t="s">
        <v>1204</v>
      </c>
      <c r="C96" s="3" t="s">
        <v>215</v>
      </c>
      <c r="D96" s="3" t="s">
        <v>107</v>
      </c>
      <c r="E96" s="3" t="s">
        <v>33</v>
      </c>
      <c r="F96" s="3" t="s">
        <v>70</v>
      </c>
      <c r="G96" s="3" t="s">
        <v>55</v>
      </c>
      <c r="H96" s="3" t="s">
        <v>64</v>
      </c>
      <c r="I96" s="3" t="s">
        <v>108</v>
      </c>
      <c r="J96" s="3" t="s">
        <v>5989</v>
      </c>
      <c r="K96" s="3" t="n">
        <v>1936612.36</v>
      </c>
      <c r="L96" s="3" t="n">
        <v>0.2936</v>
      </c>
      <c r="M96" s="3" t="n">
        <v>1368022.97</v>
      </c>
      <c r="N96" s="3" t="n">
        <v>515389.88</v>
      </c>
      <c r="O96" s="3" t="n">
        <v>0.3767</v>
      </c>
      <c r="P96" s="3" t="n">
        <v>0.231</v>
      </c>
      <c r="Q96" s="3" t="n">
        <v>316013.31</v>
      </c>
      <c r="R96" s="3" t="n">
        <v>17</v>
      </c>
      <c r="S96" s="3" t="n">
        <v>2.7</v>
      </c>
      <c r="T96" s="3" t="n">
        <v>5.6</v>
      </c>
      <c r="U96" s="3"/>
      <c r="V96" s="3" t="n">
        <v>4.33</v>
      </c>
      <c r="W96" s="3" t="s">
        <v>6000</v>
      </c>
    </row>
    <row r="97" customFormat="false" ht="15" hidden="false" customHeight="true" outlineLevel="0" collapsed="false">
      <c r="A97" s="3" t="s">
        <v>6113</v>
      </c>
      <c r="B97" s="3" t="s">
        <v>521</v>
      </c>
      <c r="C97" s="3" t="s">
        <v>1347</v>
      </c>
      <c r="D97" s="3" t="s">
        <v>97</v>
      </c>
      <c r="E97" s="3" t="s">
        <v>48</v>
      </c>
      <c r="F97" s="3" t="s">
        <v>40</v>
      </c>
      <c r="G97" s="3" t="s">
        <v>104</v>
      </c>
      <c r="H97" s="3" t="s">
        <v>77</v>
      </c>
      <c r="I97" s="3" t="s">
        <v>131</v>
      </c>
      <c r="J97" s="3" t="s">
        <v>5989</v>
      </c>
      <c r="K97" s="3" t="n">
        <v>3272095.81</v>
      </c>
      <c r="L97" s="3" t="n">
        <v>0.2085</v>
      </c>
      <c r="M97" s="3" t="n">
        <v>2589863.83</v>
      </c>
      <c r="N97" s="3" t="n">
        <v>1056512.1</v>
      </c>
      <c r="O97" s="3" t="n">
        <v>0.4079</v>
      </c>
      <c r="P97" s="3" t="n">
        <v>0.265</v>
      </c>
      <c r="Q97" s="3" t="n">
        <v>686313.91</v>
      </c>
      <c r="R97" s="3" t="n">
        <v>99</v>
      </c>
      <c r="S97" s="3" t="n">
        <v>6.9</v>
      </c>
      <c r="T97" s="3" t="n">
        <v>4.7</v>
      </c>
      <c r="U97" s="3"/>
      <c r="V97" s="3" t="n">
        <v>6.48</v>
      </c>
      <c r="W97" s="3" t="s">
        <v>5990</v>
      </c>
    </row>
    <row r="98" customFormat="false" ht="15" hidden="false" customHeight="true" outlineLevel="0" collapsed="false">
      <c r="A98" s="3" t="s">
        <v>6114</v>
      </c>
      <c r="B98" s="3" t="s">
        <v>456</v>
      </c>
      <c r="C98" s="3" t="s">
        <v>477</v>
      </c>
      <c r="D98" s="3" t="s">
        <v>75</v>
      </c>
      <c r="E98" s="3" t="s">
        <v>39</v>
      </c>
      <c r="F98" s="3" t="s">
        <v>25</v>
      </c>
      <c r="G98" s="3" t="s">
        <v>104</v>
      </c>
      <c r="H98" s="3" t="s">
        <v>42</v>
      </c>
      <c r="I98" s="3" t="s">
        <v>72</v>
      </c>
      <c r="J98" s="3" t="s">
        <v>5996</v>
      </c>
      <c r="K98" s="3" t="n">
        <v>1947430.94</v>
      </c>
      <c r="L98" s="3" t="n">
        <v>0.125</v>
      </c>
      <c r="M98" s="3" t="n">
        <v>1704002.07</v>
      </c>
      <c r="N98" s="3" t="n">
        <v>770150.56</v>
      </c>
      <c r="O98" s="3" t="n">
        <v>0.452</v>
      </c>
      <c r="P98" s="3" t="n">
        <v>1</v>
      </c>
      <c r="Q98" s="3" t="n">
        <v>1704002.07</v>
      </c>
      <c r="R98" s="3" t="n">
        <v>57</v>
      </c>
      <c r="S98" s="3" t="n">
        <v>5.9</v>
      </c>
      <c r="T98" s="3" t="n">
        <v>6.2</v>
      </c>
      <c r="U98" s="3"/>
      <c r="V98" s="3" t="n">
        <v>7</v>
      </c>
      <c r="W98" s="3" t="s">
        <v>5997</v>
      </c>
    </row>
    <row r="99" customFormat="false" ht="15" hidden="false" customHeight="true" outlineLevel="0" collapsed="false">
      <c r="A99" s="3" t="s">
        <v>6115</v>
      </c>
      <c r="B99" s="3" t="s">
        <v>295</v>
      </c>
      <c r="C99" s="3" t="s">
        <v>625</v>
      </c>
      <c r="D99" s="3" t="s">
        <v>32</v>
      </c>
      <c r="E99" s="3" t="s">
        <v>33</v>
      </c>
      <c r="F99" s="3" t="s">
        <v>25</v>
      </c>
      <c r="G99" s="3" t="s">
        <v>100</v>
      </c>
      <c r="H99" s="3" t="s">
        <v>56</v>
      </c>
      <c r="I99" s="3" t="s">
        <v>121</v>
      </c>
      <c r="J99" s="3" t="s">
        <v>6009</v>
      </c>
      <c r="K99" s="3" t="n">
        <v>3824507.01</v>
      </c>
      <c r="L99" s="3" t="n">
        <v>0.1813</v>
      </c>
      <c r="M99" s="3" t="n">
        <v>3131123.89</v>
      </c>
      <c r="N99" s="3" t="n">
        <v>1445475.75</v>
      </c>
      <c r="O99" s="3" t="n">
        <v>0.4616</v>
      </c>
      <c r="P99" s="3" t="n">
        <v>0</v>
      </c>
      <c r="Q99" s="3" t="n">
        <v>0</v>
      </c>
      <c r="R99" s="3" t="n">
        <v>131</v>
      </c>
      <c r="S99" s="3" t="n">
        <v>6.4</v>
      </c>
      <c r="T99" s="3" t="n">
        <v>2.6</v>
      </c>
      <c r="U99" s="3" t="s">
        <v>6116</v>
      </c>
      <c r="V99" s="3" t="n">
        <v>7.21</v>
      </c>
      <c r="W99" s="3" t="s">
        <v>5997</v>
      </c>
    </row>
    <row r="100" customFormat="false" ht="15" hidden="false" customHeight="true" outlineLevel="0" collapsed="false">
      <c r="A100" s="3" t="s">
        <v>6117</v>
      </c>
      <c r="B100" s="3" t="s">
        <v>3048</v>
      </c>
      <c r="C100" s="3" t="s">
        <v>2910</v>
      </c>
      <c r="D100" s="3" t="s">
        <v>97</v>
      </c>
      <c r="E100" s="3" t="s">
        <v>48</v>
      </c>
      <c r="F100" s="3" t="s">
        <v>40</v>
      </c>
      <c r="G100" s="3" t="s">
        <v>34</v>
      </c>
      <c r="H100" s="3" t="s">
        <v>77</v>
      </c>
      <c r="I100" s="3" t="s">
        <v>131</v>
      </c>
      <c r="J100" s="3" t="s">
        <v>5996</v>
      </c>
      <c r="K100" s="3" t="n">
        <v>2099280.09</v>
      </c>
      <c r="L100" s="3" t="n">
        <v>0.0573</v>
      </c>
      <c r="M100" s="3" t="n">
        <v>1978991.34</v>
      </c>
      <c r="N100" s="3" t="n">
        <v>692586.15</v>
      </c>
      <c r="O100" s="3" t="n">
        <v>0.35</v>
      </c>
      <c r="P100" s="3" t="n">
        <v>0.979</v>
      </c>
      <c r="Q100" s="3" t="n">
        <v>1937432.52</v>
      </c>
      <c r="R100" s="3" t="n">
        <v>143</v>
      </c>
      <c r="S100" s="3" t="n">
        <v>8</v>
      </c>
      <c r="T100" s="3" t="n">
        <v>3.4</v>
      </c>
      <c r="U100" s="3"/>
      <c r="V100" s="3" t="n">
        <v>7.75</v>
      </c>
      <c r="W100" s="3" t="s">
        <v>5997</v>
      </c>
    </row>
    <row r="101" customFormat="false" ht="15" hidden="false" customHeight="true" outlineLevel="0" collapsed="false">
      <c r="A101" s="3" t="s">
        <v>6118</v>
      </c>
      <c r="B101" s="3" t="s">
        <v>432</v>
      </c>
      <c r="C101" s="3" t="s">
        <v>3174</v>
      </c>
      <c r="D101" s="3" t="s">
        <v>83</v>
      </c>
      <c r="E101" s="3" t="s">
        <v>48</v>
      </c>
      <c r="F101" s="3" t="s">
        <v>62</v>
      </c>
      <c r="G101" s="3" t="s">
        <v>34</v>
      </c>
      <c r="H101" s="3" t="s">
        <v>64</v>
      </c>
      <c r="I101" s="3" t="s">
        <v>65</v>
      </c>
      <c r="J101" s="3" t="s">
        <v>5989</v>
      </c>
      <c r="K101" s="3" t="n">
        <v>4301471.58</v>
      </c>
      <c r="L101" s="3" t="n">
        <v>0.2285</v>
      </c>
      <c r="M101" s="3" t="n">
        <v>3318585.32</v>
      </c>
      <c r="N101" s="3" t="n">
        <v>1264811.78</v>
      </c>
      <c r="O101" s="3" t="n">
        <v>0.3811</v>
      </c>
      <c r="P101" s="3" t="n">
        <v>0.221</v>
      </c>
      <c r="Q101" s="3" t="n">
        <v>733407.36</v>
      </c>
      <c r="R101" s="3" t="n">
        <v>120</v>
      </c>
      <c r="S101" s="3" t="n">
        <v>6</v>
      </c>
      <c r="T101" s="3" t="n">
        <v>9.6</v>
      </c>
      <c r="U101" s="3"/>
      <c r="V101" s="3" t="n">
        <v>5.13</v>
      </c>
      <c r="W101" s="3" t="s">
        <v>5990</v>
      </c>
    </row>
    <row r="102" customFormat="false" ht="15" hidden="false" customHeight="true" outlineLevel="0" collapsed="false">
      <c r="A102" s="3" t="s">
        <v>6119</v>
      </c>
      <c r="B102" s="3" t="s">
        <v>1424</v>
      </c>
      <c r="C102" s="3" t="s">
        <v>1964</v>
      </c>
      <c r="D102" s="3" t="s">
        <v>61</v>
      </c>
      <c r="E102" s="3" t="s">
        <v>33</v>
      </c>
      <c r="F102" s="3" t="s">
        <v>62</v>
      </c>
      <c r="G102" s="3" t="s">
        <v>71</v>
      </c>
      <c r="H102" s="3" t="s">
        <v>56</v>
      </c>
      <c r="I102" s="3" t="s">
        <v>188</v>
      </c>
      <c r="J102" s="3" t="s">
        <v>6009</v>
      </c>
      <c r="K102" s="3" t="n">
        <v>321367.19</v>
      </c>
      <c r="L102" s="3" t="n">
        <v>0.1261</v>
      </c>
      <c r="M102" s="3" t="n">
        <v>280842.79</v>
      </c>
      <c r="N102" s="3" t="n">
        <v>106019.45</v>
      </c>
      <c r="O102" s="3" t="n">
        <v>0.3775</v>
      </c>
      <c r="P102" s="3" t="n">
        <v>0</v>
      </c>
      <c r="Q102" s="3" t="n">
        <v>0</v>
      </c>
      <c r="R102" s="3" t="n">
        <v>75</v>
      </c>
      <c r="S102" s="3" t="n">
        <v>6.3</v>
      </c>
      <c r="T102" s="3" t="n">
        <v>5.2</v>
      </c>
      <c r="U102" s="3" t="s">
        <v>6020</v>
      </c>
      <c r="V102" s="3" t="n">
        <v>6.68</v>
      </c>
      <c r="W102" s="3" t="s">
        <v>5997</v>
      </c>
    </row>
    <row r="103" customFormat="false" ht="15" hidden="false" customHeight="true" outlineLevel="0" collapsed="false">
      <c r="A103" s="3" t="s">
        <v>6120</v>
      </c>
      <c r="B103" s="3" t="s">
        <v>2395</v>
      </c>
      <c r="C103" s="3" t="s">
        <v>1575</v>
      </c>
      <c r="D103" s="3" t="s">
        <v>103</v>
      </c>
      <c r="E103" s="3" t="s">
        <v>24</v>
      </c>
      <c r="F103" s="3" t="s">
        <v>62</v>
      </c>
      <c r="G103" s="3" t="s">
        <v>26</v>
      </c>
      <c r="H103" s="3" t="s">
        <v>77</v>
      </c>
      <c r="I103" s="3" t="s">
        <v>85</v>
      </c>
      <c r="J103" s="3" t="s">
        <v>5996</v>
      </c>
      <c r="K103" s="3" t="n">
        <v>924053.8</v>
      </c>
      <c r="L103" s="3" t="n">
        <v>0.1888</v>
      </c>
      <c r="M103" s="3" t="n">
        <v>749592.44</v>
      </c>
      <c r="N103" s="3" t="n">
        <v>276428.79</v>
      </c>
      <c r="O103" s="3" t="n">
        <v>0.3688</v>
      </c>
      <c r="P103" s="3" t="n">
        <v>1</v>
      </c>
      <c r="Q103" s="3" t="n">
        <v>749592.44</v>
      </c>
      <c r="R103" s="3" t="n">
        <v>30</v>
      </c>
      <c r="S103" s="3" t="n">
        <v>8.6</v>
      </c>
      <c r="T103" s="3" t="n">
        <v>5.3</v>
      </c>
      <c r="U103" s="3"/>
      <c r="V103" s="3" t="n">
        <v>6.65</v>
      </c>
      <c r="W103" s="3" t="s">
        <v>5997</v>
      </c>
    </row>
    <row r="104" customFormat="false" ht="15" hidden="false" customHeight="true" outlineLevel="0" collapsed="false">
      <c r="A104" s="3" t="s">
        <v>6121</v>
      </c>
      <c r="B104" s="3" t="s">
        <v>991</v>
      </c>
      <c r="C104" s="3" t="s">
        <v>3292</v>
      </c>
      <c r="D104" s="3" t="s">
        <v>83</v>
      </c>
      <c r="E104" s="3" t="s">
        <v>48</v>
      </c>
      <c r="F104" s="3" t="s">
        <v>62</v>
      </c>
      <c r="G104" s="3" t="s">
        <v>26</v>
      </c>
      <c r="H104" s="3" t="s">
        <v>64</v>
      </c>
      <c r="I104" s="3" t="s">
        <v>65</v>
      </c>
      <c r="J104" s="3" t="s">
        <v>6009</v>
      </c>
      <c r="K104" s="3" t="n">
        <v>4459055.8</v>
      </c>
      <c r="L104" s="3" t="n">
        <v>0.0762</v>
      </c>
      <c r="M104" s="3" t="n">
        <v>4119275.75</v>
      </c>
      <c r="N104" s="3" t="n">
        <v>1845856.44</v>
      </c>
      <c r="O104" s="3" t="n">
        <v>0.4481</v>
      </c>
      <c r="P104" s="3" t="n">
        <v>0.012</v>
      </c>
      <c r="Q104" s="3" t="n">
        <v>49431.31</v>
      </c>
      <c r="R104" s="3" t="n">
        <v>105</v>
      </c>
      <c r="S104" s="3" t="n">
        <v>5</v>
      </c>
      <c r="T104" s="3" t="n">
        <v>4.5</v>
      </c>
      <c r="U104" s="3" t="s">
        <v>6116</v>
      </c>
      <c r="V104" s="3" t="n">
        <v>7.45</v>
      </c>
      <c r="W104" s="3" t="s">
        <v>5997</v>
      </c>
    </row>
    <row r="105" customFormat="false" ht="15" hidden="false" customHeight="true" outlineLevel="0" collapsed="false">
      <c r="A105" s="3" t="s">
        <v>6122</v>
      </c>
      <c r="B105" s="3" t="s">
        <v>2610</v>
      </c>
      <c r="C105" s="3" t="s">
        <v>1486</v>
      </c>
      <c r="D105" s="3" t="s">
        <v>32</v>
      </c>
      <c r="E105" s="3" t="s">
        <v>33</v>
      </c>
      <c r="F105" s="3" t="s">
        <v>25</v>
      </c>
      <c r="G105" s="3" t="s">
        <v>116</v>
      </c>
      <c r="H105" s="3" t="s">
        <v>64</v>
      </c>
      <c r="I105" s="3" t="s">
        <v>108</v>
      </c>
      <c r="J105" s="3" t="s">
        <v>5989</v>
      </c>
      <c r="K105" s="3" t="n">
        <v>2472140.34</v>
      </c>
      <c r="L105" s="3" t="n">
        <v>0.0783</v>
      </c>
      <c r="M105" s="3" t="n">
        <v>2278571.75</v>
      </c>
      <c r="N105" s="3" t="n">
        <v>735271.77</v>
      </c>
      <c r="O105" s="3" t="n">
        <v>0.3227</v>
      </c>
      <c r="P105" s="3" t="n">
        <v>0.218</v>
      </c>
      <c r="Q105" s="3" t="n">
        <v>496728.64</v>
      </c>
      <c r="R105" s="3" t="n">
        <v>92</v>
      </c>
      <c r="S105" s="3" t="n">
        <v>3.2</v>
      </c>
      <c r="T105" s="3" t="n">
        <v>2.3</v>
      </c>
      <c r="U105" s="3"/>
      <c r="V105" s="3" t="n">
        <v>6.33</v>
      </c>
      <c r="W105" s="3" t="s">
        <v>5990</v>
      </c>
    </row>
    <row r="106" customFormat="false" ht="15" hidden="false" customHeight="true" outlineLevel="0" collapsed="false">
      <c r="A106" s="3" t="s">
        <v>6123</v>
      </c>
      <c r="B106" s="3" t="s">
        <v>2280</v>
      </c>
      <c r="C106" s="3" t="s">
        <v>1065</v>
      </c>
      <c r="D106" s="3" t="s">
        <v>103</v>
      </c>
      <c r="E106" s="3" t="s">
        <v>24</v>
      </c>
      <c r="F106" s="3" t="s">
        <v>62</v>
      </c>
      <c r="G106" s="3" t="s">
        <v>100</v>
      </c>
      <c r="H106" s="3" t="s">
        <v>56</v>
      </c>
      <c r="I106" s="3" t="s">
        <v>121</v>
      </c>
      <c r="J106" s="3" t="s">
        <v>6003</v>
      </c>
      <c r="K106" s="3" t="n">
        <v>442808.27</v>
      </c>
      <c r="L106" s="3" t="n">
        <v>0.1294</v>
      </c>
      <c r="M106" s="3" t="n">
        <v>385508.88</v>
      </c>
      <c r="N106" s="3" t="n">
        <v>122444.57</v>
      </c>
      <c r="O106" s="3" t="n">
        <v>0.3176</v>
      </c>
      <c r="P106" s="3" t="n">
        <v>0.072</v>
      </c>
      <c r="Q106" s="3" t="n">
        <v>27756.64</v>
      </c>
      <c r="R106" s="3" t="n">
        <v>120</v>
      </c>
      <c r="S106" s="3" t="n">
        <v>8.7</v>
      </c>
      <c r="T106" s="3" t="n">
        <v>2</v>
      </c>
      <c r="U106" s="3"/>
      <c r="V106" s="3" t="n">
        <v>7.29</v>
      </c>
      <c r="W106" s="3" t="s">
        <v>5997</v>
      </c>
    </row>
    <row r="107" customFormat="false" ht="15" hidden="false" customHeight="true" outlineLevel="0" collapsed="false">
      <c r="A107" s="3" t="s">
        <v>6124</v>
      </c>
      <c r="B107" s="3" t="s">
        <v>1174</v>
      </c>
      <c r="C107" s="3" t="s">
        <v>413</v>
      </c>
      <c r="D107" s="3" t="s">
        <v>103</v>
      </c>
      <c r="E107" s="3" t="s">
        <v>24</v>
      </c>
      <c r="F107" s="3" t="s">
        <v>62</v>
      </c>
      <c r="G107" s="3" t="s">
        <v>41</v>
      </c>
      <c r="H107" s="3" t="s">
        <v>64</v>
      </c>
      <c r="I107" s="3" t="s">
        <v>90</v>
      </c>
      <c r="J107" s="3" t="s">
        <v>5996</v>
      </c>
      <c r="K107" s="3" t="n">
        <v>492682.6</v>
      </c>
      <c r="L107" s="3" t="n">
        <v>0.272</v>
      </c>
      <c r="M107" s="3" t="n">
        <v>358672.93</v>
      </c>
      <c r="N107" s="3" t="n">
        <v>164779.91</v>
      </c>
      <c r="O107" s="3" t="n">
        <v>0.4594</v>
      </c>
      <c r="P107" s="3" t="n">
        <v>0.973</v>
      </c>
      <c r="Q107" s="3" t="n">
        <v>348988.76</v>
      </c>
      <c r="R107" s="3" t="n">
        <v>102</v>
      </c>
      <c r="S107" s="3" t="n">
        <v>9.4</v>
      </c>
      <c r="T107" s="3" t="n">
        <v>1.2</v>
      </c>
      <c r="U107" s="3"/>
      <c r="V107" s="3" t="n">
        <v>7.4</v>
      </c>
      <c r="W107" s="3" t="s">
        <v>5997</v>
      </c>
    </row>
    <row r="108" customFormat="false" ht="15" hidden="false" customHeight="true" outlineLevel="0" collapsed="false">
      <c r="A108" s="3" t="s">
        <v>6125</v>
      </c>
      <c r="B108" s="3" t="s">
        <v>6126</v>
      </c>
      <c r="C108" s="3" t="s">
        <v>850</v>
      </c>
      <c r="D108" s="3" t="s">
        <v>61</v>
      </c>
      <c r="E108" s="3" t="s">
        <v>33</v>
      </c>
      <c r="F108" s="3" t="s">
        <v>62</v>
      </c>
      <c r="G108" s="3" t="s">
        <v>71</v>
      </c>
      <c r="H108" s="3" t="s">
        <v>77</v>
      </c>
      <c r="I108" s="3" t="s">
        <v>85</v>
      </c>
      <c r="J108" s="3" t="s">
        <v>5996</v>
      </c>
      <c r="K108" s="3" t="n">
        <v>3800800.72</v>
      </c>
      <c r="L108" s="3" t="n">
        <v>0.0661</v>
      </c>
      <c r="M108" s="3" t="n">
        <v>3549567.79</v>
      </c>
      <c r="N108" s="3" t="n">
        <v>1421987.12</v>
      </c>
      <c r="O108" s="3" t="n">
        <v>0.4006</v>
      </c>
      <c r="P108" s="3" t="n">
        <v>0.966</v>
      </c>
      <c r="Q108" s="3" t="n">
        <v>3428882.49</v>
      </c>
      <c r="R108" s="3" t="n">
        <v>57</v>
      </c>
      <c r="S108" s="3" t="n">
        <v>5.9</v>
      </c>
      <c r="T108" s="3" t="n">
        <v>1.2</v>
      </c>
      <c r="U108" s="3"/>
      <c r="V108" s="3" t="n">
        <v>7.86</v>
      </c>
      <c r="W108" s="3" t="s">
        <v>5997</v>
      </c>
    </row>
    <row r="109" customFormat="false" ht="15" hidden="false" customHeight="true" outlineLevel="0" collapsed="false">
      <c r="A109" s="3" t="s">
        <v>6127</v>
      </c>
      <c r="B109" s="3" t="s">
        <v>1735</v>
      </c>
      <c r="C109" s="3" t="s">
        <v>1090</v>
      </c>
      <c r="D109" s="3" t="s">
        <v>69</v>
      </c>
      <c r="E109" s="3" t="s">
        <v>39</v>
      </c>
      <c r="F109" s="3" t="s">
        <v>70</v>
      </c>
      <c r="G109" s="3" t="s">
        <v>41</v>
      </c>
      <c r="H109" s="3" t="s">
        <v>77</v>
      </c>
      <c r="I109" s="3" t="s">
        <v>131</v>
      </c>
      <c r="J109" s="3" t="s">
        <v>6003</v>
      </c>
      <c r="K109" s="3" t="n">
        <v>2850141.72</v>
      </c>
      <c r="L109" s="3" t="n">
        <v>0.2718</v>
      </c>
      <c r="M109" s="3" t="n">
        <v>2075473.2</v>
      </c>
      <c r="N109" s="3" t="n">
        <v>627765.59</v>
      </c>
      <c r="O109" s="3" t="n">
        <v>0.3025</v>
      </c>
      <c r="P109" s="3" t="n">
        <v>0.081</v>
      </c>
      <c r="Q109" s="3" t="n">
        <v>168113.33</v>
      </c>
      <c r="R109" s="3" t="n">
        <v>166</v>
      </c>
      <c r="S109" s="3" t="n">
        <v>1.7</v>
      </c>
      <c r="T109" s="3" t="n">
        <v>9.2</v>
      </c>
      <c r="U109" s="3"/>
      <c r="V109" s="3" t="n">
        <v>3.11</v>
      </c>
      <c r="W109" s="3" t="s">
        <v>6000</v>
      </c>
    </row>
    <row r="110" customFormat="false" ht="15" hidden="false" customHeight="true" outlineLevel="0" collapsed="false">
      <c r="A110" s="3" t="s">
        <v>6128</v>
      </c>
      <c r="B110" s="3" t="s">
        <v>939</v>
      </c>
      <c r="C110" s="3" t="s">
        <v>726</v>
      </c>
      <c r="D110" s="3" t="s">
        <v>54</v>
      </c>
      <c r="E110" s="3" t="s">
        <v>24</v>
      </c>
      <c r="F110" s="3" t="s">
        <v>40</v>
      </c>
      <c r="G110" s="3" t="s">
        <v>63</v>
      </c>
      <c r="H110" s="3" t="s">
        <v>77</v>
      </c>
      <c r="I110" s="3" t="s">
        <v>85</v>
      </c>
      <c r="J110" s="3" t="s">
        <v>6003</v>
      </c>
      <c r="K110" s="3" t="n">
        <v>3537359.01</v>
      </c>
      <c r="L110" s="3" t="n">
        <v>0.254</v>
      </c>
      <c r="M110" s="3" t="n">
        <v>2638869.82</v>
      </c>
      <c r="N110" s="3" t="n">
        <v>1247734.32</v>
      </c>
      <c r="O110" s="3" t="n">
        <v>0.4728</v>
      </c>
      <c r="P110" s="3" t="n">
        <v>0.064</v>
      </c>
      <c r="Q110" s="3" t="n">
        <v>168887.67</v>
      </c>
      <c r="R110" s="3" t="n">
        <v>140</v>
      </c>
      <c r="S110" s="3" t="n">
        <v>5.4</v>
      </c>
      <c r="T110" s="3" t="n">
        <v>1.3</v>
      </c>
      <c r="U110" s="3"/>
      <c r="V110" s="3" t="n">
        <v>6.53</v>
      </c>
      <c r="W110" s="3" t="s">
        <v>5997</v>
      </c>
    </row>
    <row r="111" customFormat="false" ht="15" hidden="false" customHeight="true" outlineLevel="0" collapsed="false">
      <c r="A111" s="3" t="s">
        <v>6129</v>
      </c>
      <c r="B111" s="3" t="s">
        <v>585</v>
      </c>
      <c r="C111" s="3" t="s">
        <v>854</v>
      </c>
      <c r="D111" s="3" t="s">
        <v>97</v>
      </c>
      <c r="E111" s="3" t="s">
        <v>48</v>
      </c>
      <c r="F111" s="3" t="s">
        <v>40</v>
      </c>
      <c r="G111" s="3" t="s">
        <v>104</v>
      </c>
      <c r="H111" s="3" t="s">
        <v>42</v>
      </c>
      <c r="I111" s="3" t="s">
        <v>134</v>
      </c>
      <c r="J111" s="3" t="s">
        <v>5996</v>
      </c>
      <c r="K111" s="3" t="n">
        <v>2878474</v>
      </c>
      <c r="L111" s="3" t="n">
        <v>0.1879</v>
      </c>
      <c r="M111" s="3" t="n">
        <v>2337608.74</v>
      </c>
      <c r="N111" s="3" t="n">
        <v>919192.19</v>
      </c>
      <c r="O111" s="3" t="n">
        <v>0.3932</v>
      </c>
      <c r="P111" s="3" t="n">
        <v>0.973</v>
      </c>
      <c r="Q111" s="3" t="n">
        <v>2274493.3</v>
      </c>
      <c r="R111" s="3" t="n">
        <v>103</v>
      </c>
      <c r="S111" s="3" t="n">
        <v>9.6</v>
      </c>
      <c r="T111" s="3" t="n">
        <v>4.3</v>
      </c>
      <c r="U111" s="3"/>
      <c r="V111" s="3" t="n">
        <v>7.22</v>
      </c>
      <c r="W111" s="3" t="s">
        <v>5997</v>
      </c>
    </row>
    <row r="112" customFormat="false" ht="15" hidden="false" customHeight="true" outlineLevel="0" collapsed="false">
      <c r="A112" s="3" t="s">
        <v>6130</v>
      </c>
      <c r="B112" s="3" t="s">
        <v>1582</v>
      </c>
      <c r="C112" s="3" t="s">
        <v>2029</v>
      </c>
      <c r="D112" s="3" t="s">
        <v>61</v>
      </c>
      <c r="E112" s="3" t="s">
        <v>33</v>
      </c>
      <c r="F112" s="3" t="s">
        <v>62</v>
      </c>
      <c r="G112" s="3" t="s">
        <v>41</v>
      </c>
      <c r="H112" s="3" t="s">
        <v>77</v>
      </c>
      <c r="I112" s="3" t="s">
        <v>85</v>
      </c>
      <c r="J112" s="3" t="s">
        <v>5999</v>
      </c>
      <c r="K112" s="3" t="n">
        <v>1661020.07</v>
      </c>
      <c r="L112" s="3" t="n">
        <v>0.0671</v>
      </c>
      <c r="M112" s="3" t="n">
        <v>1549565.62</v>
      </c>
      <c r="N112" s="3" t="n">
        <v>647002.78</v>
      </c>
      <c r="O112" s="3" t="n">
        <v>0.4175</v>
      </c>
      <c r="P112" s="3" t="n">
        <v>0.438</v>
      </c>
      <c r="Q112" s="3" t="n">
        <v>678709.74</v>
      </c>
      <c r="R112" s="3" t="n">
        <v>83</v>
      </c>
      <c r="S112" s="3" t="n">
        <v>2.1</v>
      </c>
      <c r="T112" s="3" t="n">
        <v>3.2</v>
      </c>
      <c r="U112" s="3"/>
      <c r="V112" s="3" t="n">
        <v>6.75</v>
      </c>
      <c r="W112" s="3" t="s">
        <v>5997</v>
      </c>
    </row>
    <row r="113" customFormat="false" ht="15" hidden="false" customHeight="true" outlineLevel="0" collapsed="false">
      <c r="A113" s="3" t="s">
        <v>6131</v>
      </c>
      <c r="B113" s="3" t="s">
        <v>475</v>
      </c>
      <c r="C113" s="3" t="s">
        <v>2006</v>
      </c>
      <c r="D113" s="3" t="s">
        <v>103</v>
      </c>
      <c r="E113" s="3" t="s">
        <v>24</v>
      </c>
      <c r="F113" s="3" t="s">
        <v>62</v>
      </c>
      <c r="G113" s="3" t="s">
        <v>116</v>
      </c>
      <c r="H113" s="3" t="s">
        <v>27</v>
      </c>
      <c r="I113" s="3" t="s">
        <v>50</v>
      </c>
      <c r="J113" s="3" t="s">
        <v>5989</v>
      </c>
      <c r="K113" s="3" t="n">
        <v>3304756.03</v>
      </c>
      <c r="L113" s="3" t="n">
        <v>0.0573</v>
      </c>
      <c r="M113" s="3" t="n">
        <v>3115393.51</v>
      </c>
      <c r="N113" s="3" t="n">
        <v>1248770.61</v>
      </c>
      <c r="O113" s="3" t="n">
        <v>0.4008</v>
      </c>
      <c r="P113" s="3" t="n">
        <v>0.286</v>
      </c>
      <c r="Q113" s="3" t="n">
        <v>891002.54</v>
      </c>
      <c r="R113" s="3" t="n">
        <v>28</v>
      </c>
      <c r="S113" s="3" t="n">
        <v>9.4</v>
      </c>
      <c r="T113" s="3" t="n">
        <v>8.5</v>
      </c>
      <c r="U113" s="3"/>
      <c r="V113" s="3" t="n">
        <v>7.71</v>
      </c>
      <c r="W113" s="3" t="s">
        <v>5997</v>
      </c>
    </row>
    <row r="114" customFormat="false" ht="15" hidden="false" customHeight="true" outlineLevel="0" collapsed="false">
      <c r="A114" s="3" t="s">
        <v>6132</v>
      </c>
      <c r="B114" s="3" t="s">
        <v>1345</v>
      </c>
      <c r="C114" s="3" t="s">
        <v>6133</v>
      </c>
      <c r="D114" s="3" t="s">
        <v>75</v>
      </c>
      <c r="E114" s="3" t="s">
        <v>39</v>
      </c>
      <c r="F114" s="3" t="s">
        <v>25</v>
      </c>
      <c r="G114" s="3" t="s">
        <v>84</v>
      </c>
      <c r="H114" s="3" t="s">
        <v>42</v>
      </c>
      <c r="I114" s="3" t="s">
        <v>43</v>
      </c>
      <c r="J114" s="3" t="s">
        <v>5999</v>
      </c>
      <c r="K114" s="3" t="n">
        <v>3206740.23</v>
      </c>
      <c r="L114" s="3" t="n">
        <v>0.1004</v>
      </c>
      <c r="M114" s="3" t="n">
        <v>2884783.51</v>
      </c>
      <c r="N114" s="3" t="n">
        <v>1057525.19</v>
      </c>
      <c r="O114" s="3" t="n">
        <v>0.3666</v>
      </c>
      <c r="P114" s="3" t="n">
        <v>0.441</v>
      </c>
      <c r="Q114" s="3" t="n">
        <v>1272189.53</v>
      </c>
      <c r="R114" s="3" t="n">
        <v>121</v>
      </c>
      <c r="S114" s="3" t="n">
        <v>3.1</v>
      </c>
      <c r="T114" s="3" t="n">
        <v>6.1</v>
      </c>
      <c r="U114" s="3"/>
      <c r="V114" s="3" t="n">
        <v>5.87</v>
      </c>
      <c r="W114" s="3" t="s">
        <v>5990</v>
      </c>
    </row>
    <row r="115" customFormat="false" ht="15" hidden="false" customHeight="true" outlineLevel="0" collapsed="false">
      <c r="A115" s="3" t="s">
        <v>6134</v>
      </c>
      <c r="B115" s="3" t="s">
        <v>258</v>
      </c>
      <c r="C115" s="3" t="s">
        <v>3687</v>
      </c>
      <c r="D115" s="3" t="s">
        <v>69</v>
      </c>
      <c r="E115" s="3" t="s">
        <v>39</v>
      </c>
      <c r="F115" s="3" t="s">
        <v>70</v>
      </c>
      <c r="G115" s="3" t="s">
        <v>71</v>
      </c>
      <c r="H115" s="3" t="s">
        <v>77</v>
      </c>
      <c r="I115" s="3" t="s">
        <v>131</v>
      </c>
      <c r="J115" s="3" t="s">
        <v>6009</v>
      </c>
      <c r="K115" s="3" t="n">
        <v>4781893.04</v>
      </c>
      <c r="L115" s="3" t="n">
        <v>0.1405</v>
      </c>
      <c r="M115" s="3" t="n">
        <v>4110037.07</v>
      </c>
      <c r="N115" s="3" t="n">
        <v>1744340.5</v>
      </c>
      <c r="O115" s="3" t="n">
        <v>0.4244</v>
      </c>
      <c r="P115" s="3" t="n">
        <v>0</v>
      </c>
      <c r="Q115" s="3" t="n">
        <v>0</v>
      </c>
      <c r="R115" s="3" t="n">
        <v>168</v>
      </c>
      <c r="S115" s="3" t="n">
        <v>3.9</v>
      </c>
      <c r="T115" s="3" t="n">
        <v>5.5</v>
      </c>
      <c r="U115" s="3"/>
      <c r="V115" s="3" t="n">
        <v>6.26</v>
      </c>
      <c r="W115" s="3" t="s">
        <v>5990</v>
      </c>
    </row>
    <row r="116" customFormat="false" ht="15" hidden="false" customHeight="true" outlineLevel="0" collapsed="false">
      <c r="A116" s="3" t="s">
        <v>6135</v>
      </c>
      <c r="B116" s="3" t="s">
        <v>210</v>
      </c>
      <c r="C116" s="3" t="s">
        <v>1123</v>
      </c>
      <c r="D116" s="3" t="s">
        <v>32</v>
      </c>
      <c r="E116" s="3" t="s">
        <v>33</v>
      </c>
      <c r="F116" s="3" t="s">
        <v>25</v>
      </c>
      <c r="G116" s="3" t="s">
        <v>76</v>
      </c>
      <c r="H116" s="3" t="s">
        <v>27</v>
      </c>
      <c r="I116" s="3" t="s">
        <v>94</v>
      </c>
      <c r="J116" s="3" t="s">
        <v>6003</v>
      </c>
      <c r="K116" s="3" t="n">
        <v>750984</v>
      </c>
      <c r="L116" s="3" t="n">
        <v>0.1443</v>
      </c>
      <c r="M116" s="3" t="n">
        <v>642617.01</v>
      </c>
      <c r="N116" s="3" t="n">
        <v>262113.23</v>
      </c>
      <c r="O116" s="3" t="n">
        <v>0.4079</v>
      </c>
      <c r="P116" s="3" t="n">
        <v>0.093</v>
      </c>
      <c r="Q116" s="3" t="n">
        <v>59763.38</v>
      </c>
      <c r="R116" s="3" t="n">
        <v>93</v>
      </c>
      <c r="S116" s="3" t="n">
        <v>3.2</v>
      </c>
      <c r="T116" s="3" t="n">
        <v>2.1</v>
      </c>
      <c r="U116" s="3"/>
      <c r="V116" s="3" t="n">
        <v>6.47</v>
      </c>
      <c r="W116" s="3" t="s">
        <v>5990</v>
      </c>
    </row>
    <row r="117" customFormat="false" ht="15" hidden="false" customHeight="true" outlineLevel="0" collapsed="false">
      <c r="A117" s="3" t="s">
        <v>6136</v>
      </c>
      <c r="B117" s="3" t="s">
        <v>4530</v>
      </c>
      <c r="C117" s="3" t="s">
        <v>952</v>
      </c>
      <c r="D117" s="3" t="s">
        <v>47</v>
      </c>
      <c r="E117" s="3" t="s">
        <v>48</v>
      </c>
      <c r="F117" s="3" t="s">
        <v>25</v>
      </c>
      <c r="G117" s="3" t="s">
        <v>104</v>
      </c>
      <c r="H117" s="3" t="s">
        <v>42</v>
      </c>
      <c r="I117" s="3" t="s">
        <v>43</v>
      </c>
      <c r="J117" s="3" t="s">
        <v>5989</v>
      </c>
      <c r="K117" s="3" t="n">
        <v>1315588.08</v>
      </c>
      <c r="L117" s="3" t="n">
        <v>0.2083</v>
      </c>
      <c r="M117" s="3" t="n">
        <v>1041551.08</v>
      </c>
      <c r="N117" s="3" t="n">
        <v>294677.27</v>
      </c>
      <c r="O117" s="3" t="n">
        <v>0.2829</v>
      </c>
      <c r="P117" s="3" t="n">
        <v>0.272</v>
      </c>
      <c r="Q117" s="3" t="n">
        <v>283301.89</v>
      </c>
      <c r="R117" s="3" t="n">
        <v>144</v>
      </c>
      <c r="S117" s="3" t="n">
        <v>7.5</v>
      </c>
      <c r="T117" s="3" t="n">
        <v>9.6</v>
      </c>
      <c r="U117" s="3"/>
      <c r="V117" s="3" t="n">
        <v>4.91</v>
      </c>
      <c r="W117" s="3" t="s">
        <v>6000</v>
      </c>
    </row>
    <row r="118" customFormat="false" ht="15" hidden="false" customHeight="true" outlineLevel="0" collapsed="false">
      <c r="A118" s="3" t="s">
        <v>6137</v>
      </c>
      <c r="B118" s="3" t="s">
        <v>2586</v>
      </c>
      <c r="C118" s="3" t="s">
        <v>1560</v>
      </c>
      <c r="D118" s="3" t="s">
        <v>47</v>
      </c>
      <c r="E118" s="3" t="s">
        <v>48</v>
      </c>
      <c r="F118" s="3" t="s">
        <v>25</v>
      </c>
      <c r="G118" s="3" t="s">
        <v>41</v>
      </c>
      <c r="H118" s="3" t="s">
        <v>42</v>
      </c>
      <c r="I118" s="3" t="s">
        <v>72</v>
      </c>
      <c r="J118" s="3" t="s">
        <v>6003</v>
      </c>
      <c r="K118" s="3" t="n">
        <v>2534922.34</v>
      </c>
      <c r="L118" s="3" t="n">
        <v>0.2407</v>
      </c>
      <c r="M118" s="3" t="n">
        <v>1924766.53</v>
      </c>
      <c r="N118" s="3" t="n">
        <v>571710.57</v>
      </c>
      <c r="O118" s="3" t="n">
        <v>0.297</v>
      </c>
      <c r="P118" s="3" t="n">
        <v>0.071</v>
      </c>
      <c r="Q118" s="3" t="n">
        <v>136658.42</v>
      </c>
      <c r="R118" s="3" t="n">
        <v>49</v>
      </c>
      <c r="S118" s="3" t="n">
        <v>1</v>
      </c>
      <c r="T118" s="3" t="n">
        <v>4.4</v>
      </c>
      <c r="U118" s="3"/>
      <c r="V118" s="3" t="n">
        <v>3.9</v>
      </c>
      <c r="W118" s="3" t="s">
        <v>6000</v>
      </c>
    </row>
    <row r="119" customFormat="false" ht="15" hidden="false" customHeight="true" outlineLevel="0" collapsed="false">
      <c r="A119" s="3" t="s">
        <v>6138</v>
      </c>
      <c r="B119" s="3" t="s">
        <v>3203</v>
      </c>
      <c r="C119" s="3" t="s">
        <v>1933</v>
      </c>
      <c r="D119" s="3" t="s">
        <v>103</v>
      </c>
      <c r="E119" s="3" t="s">
        <v>24</v>
      </c>
      <c r="F119" s="3" t="s">
        <v>62</v>
      </c>
      <c r="G119" s="3" t="s">
        <v>100</v>
      </c>
      <c r="H119" s="3" t="s">
        <v>27</v>
      </c>
      <c r="I119" s="3" t="s">
        <v>94</v>
      </c>
      <c r="J119" s="3" t="s">
        <v>5992</v>
      </c>
      <c r="K119" s="3" t="n">
        <v>3039795.55</v>
      </c>
      <c r="L119" s="3" t="n">
        <v>0.1515</v>
      </c>
      <c r="M119" s="3" t="n">
        <v>2579266.52</v>
      </c>
      <c r="N119" s="3" t="n">
        <v>1229885.5</v>
      </c>
      <c r="O119" s="3" t="n">
        <v>0.4768</v>
      </c>
      <c r="P119" s="3" t="n">
        <v>0.735</v>
      </c>
      <c r="Q119" s="3" t="n">
        <v>1895760.89</v>
      </c>
      <c r="R119" s="3" t="n">
        <v>42</v>
      </c>
      <c r="S119" s="3" t="n">
        <v>7.9</v>
      </c>
      <c r="T119" s="3" t="n">
        <v>1.3</v>
      </c>
      <c r="U119" s="3"/>
      <c r="V119" s="3" t="n">
        <v>8.03</v>
      </c>
      <c r="W119" s="3" t="s">
        <v>5997</v>
      </c>
    </row>
    <row r="120" customFormat="false" ht="15" hidden="false" customHeight="true" outlineLevel="0" collapsed="false">
      <c r="A120" s="3" t="s">
        <v>6139</v>
      </c>
      <c r="B120" s="3" t="s">
        <v>2586</v>
      </c>
      <c r="C120" s="3" t="s">
        <v>304</v>
      </c>
      <c r="D120" s="3" t="s">
        <v>103</v>
      </c>
      <c r="E120" s="3" t="s">
        <v>24</v>
      </c>
      <c r="F120" s="3" t="s">
        <v>62</v>
      </c>
      <c r="G120" s="3" t="s">
        <v>41</v>
      </c>
      <c r="H120" s="3" t="s">
        <v>27</v>
      </c>
      <c r="I120" s="3" t="s">
        <v>94</v>
      </c>
      <c r="J120" s="3" t="s">
        <v>5999</v>
      </c>
      <c r="K120" s="3" t="n">
        <v>4522852.54</v>
      </c>
      <c r="L120" s="3" t="n">
        <v>0.1683</v>
      </c>
      <c r="M120" s="3" t="n">
        <v>3761656.46</v>
      </c>
      <c r="N120" s="3" t="n">
        <v>1539029.46</v>
      </c>
      <c r="O120" s="3" t="n">
        <v>0.4091</v>
      </c>
      <c r="P120" s="3" t="n">
        <v>0.44</v>
      </c>
      <c r="Q120" s="3" t="n">
        <v>1655128.84</v>
      </c>
      <c r="R120" s="3" t="n">
        <v>85</v>
      </c>
      <c r="S120" s="3" t="n">
        <v>9</v>
      </c>
      <c r="T120" s="3" t="n">
        <v>6.8</v>
      </c>
      <c r="U120" s="3"/>
      <c r="V120" s="3" t="n">
        <v>7.02</v>
      </c>
      <c r="W120" s="3" t="s">
        <v>5997</v>
      </c>
    </row>
    <row r="121" customFormat="false" ht="15" hidden="false" customHeight="true" outlineLevel="0" collapsed="false">
      <c r="A121" s="3" t="s">
        <v>6140</v>
      </c>
      <c r="B121" s="3" t="s">
        <v>3196</v>
      </c>
      <c r="C121" s="3" t="s">
        <v>6141</v>
      </c>
      <c r="D121" s="3" t="s">
        <v>23</v>
      </c>
      <c r="E121" s="3" t="s">
        <v>24</v>
      </c>
      <c r="F121" s="3" t="s">
        <v>25</v>
      </c>
      <c r="G121" s="3" t="s">
        <v>34</v>
      </c>
      <c r="H121" s="3" t="s">
        <v>64</v>
      </c>
      <c r="I121" s="3" t="s">
        <v>145</v>
      </c>
      <c r="J121" s="3" t="s">
        <v>5996</v>
      </c>
      <c r="K121" s="3" t="n">
        <v>3385647.95</v>
      </c>
      <c r="L121" s="3" t="n">
        <v>0.1364</v>
      </c>
      <c r="M121" s="3" t="n">
        <v>2923845.57</v>
      </c>
      <c r="N121" s="3" t="n">
        <v>1088880.28</v>
      </c>
      <c r="O121" s="3" t="n">
        <v>0.3724</v>
      </c>
      <c r="P121" s="3" t="n">
        <v>1</v>
      </c>
      <c r="Q121" s="3" t="n">
        <v>2923845.57</v>
      </c>
      <c r="R121" s="3" t="n">
        <v>156</v>
      </c>
      <c r="S121" s="3" t="n">
        <v>6.8</v>
      </c>
      <c r="T121" s="3" t="n">
        <v>8.1</v>
      </c>
      <c r="U121" s="3"/>
      <c r="V121" s="3" t="n">
        <v>6.27</v>
      </c>
      <c r="W121" s="3" t="s">
        <v>5990</v>
      </c>
    </row>
    <row r="122" customFormat="false" ht="15" hidden="false" customHeight="true" outlineLevel="0" collapsed="false">
      <c r="A122" s="3" t="s">
        <v>6142</v>
      </c>
      <c r="B122" s="3" t="s">
        <v>1572</v>
      </c>
      <c r="C122" s="3" t="s">
        <v>1984</v>
      </c>
      <c r="D122" s="3" t="s">
        <v>75</v>
      </c>
      <c r="E122" s="3" t="s">
        <v>39</v>
      </c>
      <c r="F122" s="3" t="s">
        <v>25</v>
      </c>
      <c r="G122" s="3" t="s">
        <v>104</v>
      </c>
      <c r="H122" s="3" t="s">
        <v>27</v>
      </c>
      <c r="I122" s="3" t="s">
        <v>117</v>
      </c>
      <c r="J122" s="3" t="s">
        <v>5989</v>
      </c>
      <c r="K122" s="3" t="n">
        <v>4850684.35</v>
      </c>
      <c r="L122" s="3" t="n">
        <v>0.1889</v>
      </c>
      <c r="M122" s="3" t="n">
        <v>3934390.08</v>
      </c>
      <c r="N122" s="3" t="n">
        <v>1505949.34</v>
      </c>
      <c r="O122" s="3" t="n">
        <v>0.3828</v>
      </c>
      <c r="P122" s="3" t="n">
        <v>0.238</v>
      </c>
      <c r="Q122" s="3" t="n">
        <v>936384.84</v>
      </c>
      <c r="R122" s="3" t="n">
        <v>72</v>
      </c>
      <c r="S122" s="3" t="n">
        <v>7.1</v>
      </c>
      <c r="T122" s="3" t="n">
        <v>3</v>
      </c>
      <c r="U122" s="3"/>
      <c r="V122" s="3" t="n">
        <v>6.72</v>
      </c>
      <c r="W122" s="3" t="s">
        <v>5997</v>
      </c>
    </row>
    <row r="123" customFormat="false" ht="15" hidden="false" customHeight="true" outlineLevel="0" collapsed="false">
      <c r="A123" s="3" t="s">
        <v>6143</v>
      </c>
      <c r="B123" s="3" t="s">
        <v>3158</v>
      </c>
      <c r="C123" s="3" t="s">
        <v>1840</v>
      </c>
      <c r="D123" s="3" t="s">
        <v>83</v>
      </c>
      <c r="E123" s="3" t="s">
        <v>48</v>
      </c>
      <c r="F123" s="3" t="s">
        <v>62</v>
      </c>
      <c r="G123" s="3" t="s">
        <v>116</v>
      </c>
      <c r="H123" s="3" t="s">
        <v>77</v>
      </c>
      <c r="I123" s="3" t="s">
        <v>78</v>
      </c>
      <c r="J123" s="3" t="s">
        <v>5989</v>
      </c>
      <c r="K123" s="3" t="n">
        <v>3936715</v>
      </c>
      <c r="L123" s="3" t="n">
        <v>0.2306</v>
      </c>
      <c r="M123" s="3" t="n">
        <v>3028908.52</v>
      </c>
      <c r="N123" s="3" t="n">
        <v>1023350.23</v>
      </c>
      <c r="O123" s="3" t="n">
        <v>0.3379</v>
      </c>
      <c r="P123" s="3" t="n">
        <v>0.269</v>
      </c>
      <c r="Q123" s="3" t="n">
        <v>814776.39</v>
      </c>
      <c r="R123" s="3" t="n">
        <v>43</v>
      </c>
      <c r="S123" s="3" t="n">
        <v>6.2</v>
      </c>
      <c r="T123" s="3" t="n">
        <v>4.9</v>
      </c>
      <c r="U123" s="3"/>
      <c r="V123" s="3" t="n">
        <v>5.51</v>
      </c>
      <c r="W123" s="3" t="s">
        <v>5990</v>
      </c>
    </row>
    <row r="124" customFormat="false" ht="15" hidden="false" customHeight="true" outlineLevel="0" collapsed="false">
      <c r="A124" s="3" t="s">
        <v>6144</v>
      </c>
      <c r="B124" s="3" t="s">
        <v>2218</v>
      </c>
      <c r="C124" s="3" t="s">
        <v>999</v>
      </c>
      <c r="D124" s="3" t="s">
        <v>54</v>
      </c>
      <c r="E124" s="3" t="s">
        <v>24</v>
      </c>
      <c r="F124" s="3" t="s">
        <v>40</v>
      </c>
      <c r="G124" s="3" t="s">
        <v>116</v>
      </c>
      <c r="H124" s="3" t="s">
        <v>42</v>
      </c>
      <c r="I124" s="3" t="s">
        <v>43</v>
      </c>
      <c r="J124" s="3" t="s">
        <v>5996</v>
      </c>
      <c r="K124" s="3" t="n">
        <v>1848473.38</v>
      </c>
      <c r="L124" s="3" t="n">
        <v>0.1421</v>
      </c>
      <c r="M124" s="3" t="n">
        <v>1585805.31</v>
      </c>
      <c r="N124" s="3" t="n">
        <v>756325.87</v>
      </c>
      <c r="O124" s="3" t="n">
        <v>0.4769</v>
      </c>
      <c r="P124" s="3" t="n">
        <v>0.955</v>
      </c>
      <c r="Q124" s="3" t="n">
        <v>1514444.07</v>
      </c>
      <c r="R124" s="3" t="n">
        <v>27</v>
      </c>
      <c r="S124" s="3" t="n">
        <v>6.7</v>
      </c>
      <c r="T124" s="3" t="n">
        <v>9.1</v>
      </c>
      <c r="U124" s="3"/>
      <c r="V124" s="3" t="n">
        <v>6.63</v>
      </c>
      <c r="W124" s="3" t="s">
        <v>5997</v>
      </c>
    </row>
    <row r="125" customFormat="false" ht="15" hidden="false" customHeight="true" outlineLevel="0" collapsed="false">
      <c r="A125" s="3" t="s">
        <v>6145</v>
      </c>
      <c r="B125" s="3" t="s">
        <v>2613</v>
      </c>
      <c r="C125" s="3" t="s">
        <v>358</v>
      </c>
      <c r="D125" s="3" t="s">
        <v>47</v>
      </c>
      <c r="E125" s="3" t="s">
        <v>48</v>
      </c>
      <c r="F125" s="3" t="s">
        <v>25</v>
      </c>
      <c r="G125" s="3" t="s">
        <v>76</v>
      </c>
      <c r="H125" s="3" t="s">
        <v>56</v>
      </c>
      <c r="I125" s="3" t="s">
        <v>57</v>
      </c>
      <c r="J125" s="3" t="s">
        <v>5999</v>
      </c>
      <c r="K125" s="3" t="n">
        <v>4870716.27</v>
      </c>
      <c r="L125" s="3" t="n">
        <v>0.1562</v>
      </c>
      <c r="M125" s="3" t="n">
        <v>4109910.39</v>
      </c>
      <c r="N125" s="3" t="n">
        <v>1218679.33</v>
      </c>
      <c r="O125" s="3" t="n">
        <v>0.2965</v>
      </c>
      <c r="P125" s="3" t="n">
        <v>0.469</v>
      </c>
      <c r="Q125" s="3" t="n">
        <v>1927547.97</v>
      </c>
      <c r="R125" s="3" t="n">
        <v>128</v>
      </c>
      <c r="S125" s="3" t="n">
        <v>6.3</v>
      </c>
      <c r="T125" s="3" t="n">
        <v>2.8</v>
      </c>
      <c r="U125" s="3"/>
      <c r="V125" s="3" t="n">
        <v>6.17</v>
      </c>
      <c r="W125" s="3" t="s">
        <v>5990</v>
      </c>
    </row>
    <row r="126" customFormat="false" ht="15" hidden="false" customHeight="true" outlineLevel="0" collapsed="false">
      <c r="A126" s="3" t="s">
        <v>6146</v>
      </c>
      <c r="B126" s="3" t="s">
        <v>4712</v>
      </c>
      <c r="C126" s="3" t="s">
        <v>6141</v>
      </c>
      <c r="D126" s="3" t="s">
        <v>23</v>
      </c>
      <c r="E126" s="3" t="s">
        <v>24</v>
      </c>
      <c r="F126" s="3" t="s">
        <v>25</v>
      </c>
      <c r="G126" s="3" t="s">
        <v>55</v>
      </c>
      <c r="H126" s="3" t="s">
        <v>27</v>
      </c>
      <c r="I126" s="3" t="s">
        <v>28</v>
      </c>
      <c r="J126" s="3" t="s">
        <v>6003</v>
      </c>
      <c r="K126" s="3" t="n">
        <v>2627503.8</v>
      </c>
      <c r="L126" s="3" t="n">
        <v>0.0899</v>
      </c>
      <c r="M126" s="3" t="n">
        <v>2391291.21</v>
      </c>
      <c r="N126" s="3" t="n">
        <v>993150.3</v>
      </c>
      <c r="O126" s="3" t="n">
        <v>0.4153</v>
      </c>
      <c r="P126" s="3" t="n">
        <v>0.062</v>
      </c>
      <c r="Q126" s="3" t="n">
        <v>148260.06</v>
      </c>
      <c r="R126" s="3" t="n">
        <v>147</v>
      </c>
      <c r="S126" s="3" t="n">
        <v>7.4</v>
      </c>
      <c r="T126" s="3" t="n">
        <v>7</v>
      </c>
      <c r="U126" s="3"/>
      <c r="V126" s="3" t="n">
        <v>7.27</v>
      </c>
      <c r="W126" s="3" t="s">
        <v>5997</v>
      </c>
    </row>
    <row r="127" customFormat="false" ht="15" hidden="false" customHeight="true" outlineLevel="0" collapsed="false">
      <c r="A127" s="3" t="s">
        <v>6147</v>
      </c>
      <c r="B127" s="3" t="s">
        <v>4404</v>
      </c>
      <c r="C127" s="3" t="s">
        <v>351</v>
      </c>
      <c r="D127" s="3" t="s">
        <v>83</v>
      </c>
      <c r="E127" s="3" t="s">
        <v>48</v>
      </c>
      <c r="F127" s="3" t="s">
        <v>62</v>
      </c>
      <c r="G127" s="3" t="s">
        <v>34</v>
      </c>
      <c r="H127" s="3" t="s">
        <v>27</v>
      </c>
      <c r="I127" s="3" t="s">
        <v>117</v>
      </c>
      <c r="J127" s="3" t="s">
        <v>5999</v>
      </c>
      <c r="K127" s="3" t="n">
        <v>2226466.81</v>
      </c>
      <c r="L127" s="3" t="n">
        <v>0.0781</v>
      </c>
      <c r="M127" s="3" t="n">
        <v>2052579.75</v>
      </c>
      <c r="N127" s="3" t="n">
        <v>960915.8</v>
      </c>
      <c r="O127" s="3" t="n">
        <v>0.4682</v>
      </c>
      <c r="P127" s="3" t="n">
        <v>0.417</v>
      </c>
      <c r="Q127" s="3" t="n">
        <v>855925.76</v>
      </c>
      <c r="R127" s="3" t="n">
        <v>17</v>
      </c>
      <c r="S127" s="3" t="n">
        <v>4.3</v>
      </c>
      <c r="T127" s="3" t="n">
        <v>4</v>
      </c>
      <c r="U127" s="3"/>
      <c r="V127" s="3" t="n">
        <v>7.32</v>
      </c>
      <c r="W127" s="3" t="s">
        <v>5997</v>
      </c>
    </row>
    <row r="128" customFormat="false" ht="15" hidden="false" customHeight="true" outlineLevel="0" collapsed="false">
      <c r="A128" s="3" t="s">
        <v>6148</v>
      </c>
      <c r="B128" s="3" t="s">
        <v>2037</v>
      </c>
      <c r="C128" s="3" t="s">
        <v>235</v>
      </c>
      <c r="D128" s="3" t="s">
        <v>69</v>
      </c>
      <c r="E128" s="3" t="s">
        <v>39</v>
      </c>
      <c r="F128" s="3" t="s">
        <v>70</v>
      </c>
      <c r="G128" s="3" t="s">
        <v>76</v>
      </c>
      <c r="H128" s="3" t="s">
        <v>27</v>
      </c>
      <c r="I128" s="3" t="s">
        <v>117</v>
      </c>
      <c r="J128" s="3" t="s">
        <v>5996</v>
      </c>
      <c r="K128" s="3" t="n">
        <v>2278028.45</v>
      </c>
      <c r="L128" s="3" t="n">
        <v>0.0966</v>
      </c>
      <c r="M128" s="3" t="n">
        <v>2057970.9</v>
      </c>
      <c r="N128" s="3" t="n">
        <v>910977.5</v>
      </c>
      <c r="O128" s="3" t="n">
        <v>0.4427</v>
      </c>
      <c r="P128" s="3" t="n">
        <v>0.985</v>
      </c>
      <c r="Q128" s="3" t="n">
        <v>2027101.34</v>
      </c>
      <c r="R128" s="3" t="n">
        <v>161</v>
      </c>
      <c r="S128" s="3" t="n">
        <v>9.3</v>
      </c>
      <c r="T128" s="3" t="n">
        <v>5.4</v>
      </c>
      <c r="U128" s="3"/>
      <c r="V128" s="3" t="n">
        <v>8.14</v>
      </c>
      <c r="W128" s="3" t="s">
        <v>5997</v>
      </c>
    </row>
    <row r="129" customFormat="false" ht="15" hidden="false" customHeight="true" outlineLevel="0" collapsed="false">
      <c r="A129" s="3" t="s">
        <v>6149</v>
      </c>
      <c r="B129" s="3" t="s">
        <v>4594</v>
      </c>
      <c r="C129" s="3" t="s">
        <v>2019</v>
      </c>
      <c r="D129" s="3" t="s">
        <v>54</v>
      </c>
      <c r="E129" s="3" t="s">
        <v>24</v>
      </c>
      <c r="F129" s="3" t="s">
        <v>40</v>
      </c>
      <c r="G129" s="3" t="s">
        <v>63</v>
      </c>
      <c r="H129" s="3" t="s">
        <v>27</v>
      </c>
      <c r="I129" s="3" t="s">
        <v>28</v>
      </c>
      <c r="J129" s="3" t="s">
        <v>5989</v>
      </c>
      <c r="K129" s="3" t="n">
        <v>4890147.95</v>
      </c>
      <c r="L129" s="3" t="n">
        <v>0.2035</v>
      </c>
      <c r="M129" s="3" t="n">
        <v>3895002.84</v>
      </c>
      <c r="N129" s="3" t="n">
        <v>1596175.8</v>
      </c>
      <c r="O129" s="3" t="n">
        <v>0.4098</v>
      </c>
      <c r="P129" s="3" t="n">
        <v>0.255</v>
      </c>
      <c r="Q129" s="3" t="n">
        <v>993225.72</v>
      </c>
      <c r="R129" s="3" t="n">
        <v>82</v>
      </c>
      <c r="S129" s="3" t="n">
        <v>6</v>
      </c>
      <c r="T129" s="3" t="n">
        <v>5</v>
      </c>
      <c r="U129" s="3"/>
      <c r="V129" s="3" t="n">
        <v>6.23</v>
      </c>
      <c r="W129" s="3" t="s">
        <v>5990</v>
      </c>
    </row>
    <row r="130" customFormat="false" ht="15" hidden="false" customHeight="true" outlineLevel="0" collapsed="false">
      <c r="A130" s="3" t="s">
        <v>6150</v>
      </c>
      <c r="B130" s="3" t="s">
        <v>4651</v>
      </c>
      <c r="C130" s="3" t="s">
        <v>2752</v>
      </c>
      <c r="D130" s="3" t="s">
        <v>38</v>
      </c>
      <c r="E130" s="3" t="s">
        <v>39</v>
      </c>
      <c r="F130" s="3" t="s">
        <v>40</v>
      </c>
      <c r="G130" s="3" t="s">
        <v>55</v>
      </c>
      <c r="H130" s="3" t="s">
        <v>64</v>
      </c>
      <c r="I130" s="3" t="s">
        <v>108</v>
      </c>
      <c r="J130" s="3" t="s">
        <v>5996</v>
      </c>
      <c r="K130" s="3" t="n">
        <v>3111263.28</v>
      </c>
      <c r="L130" s="3" t="n">
        <v>0.276</v>
      </c>
      <c r="M130" s="3" t="n">
        <v>2252554.61</v>
      </c>
      <c r="N130" s="3" t="n">
        <v>1069377.68</v>
      </c>
      <c r="O130" s="3" t="n">
        <v>0.4747</v>
      </c>
      <c r="P130" s="3" t="n">
        <v>1</v>
      </c>
      <c r="Q130" s="3" t="n">
        <v>2252554.61</v>
      </c>
      <c r="R130" s="3" t="n">
        <v>55</v>
      </c>
      <c r="S130" s="3" t="n">
        <v>4.8</v>
      </c>
      <c r="T130" s="3" t="n">
        <v>6.9</v>
      </c>
      <c r="U130" s="3"/>
      <c r="V130" s="3" t="n">
        <v>5.37</v>
      </c>
      <c r="W130" s="3" t="s">
        <v>5990</v>
      </c>
    </row>
    <row r="131" customFormat="false" ht="15" hidden="false" customHeight="true" outlineLevel="0" collapsed="false">
      <c r="A131" s="3" t="s">
        <v>6151</v>
      </c>
      <c r="B131" s="3" t="s">
        <v>1548</v>
      </c>
      <c r="C131" s="3" t="s">
        <v>1415</v>
      </c>
      <c r="D131" s="3" t="s">
        <v>103</v>
      </c>
      <c r="E131" s="3" t="s">
        <v>24</v>
      </c>
      <c r="F131" s="3" t="s">
        <v>62</v>
      </c>
      <c r="G131" s="3" t="s">
        <v>41</v>
      </c>
      <c r="H131" s="3" t="s">
        <v>77</v>
      </c>
      <c r="I131" s="3" t="s">
        <v>131</v>
      </c>
      <c r="J131" s="3" t="s">
        <v>5996</v>
      </c>
      <c r="K131" s="3" t="n">
        <v>3918133.7</v>
      </c>
      <c r="L131" s="3" t="n">
        <v>0.2856</v>
      </c>
      <c r="M131" s="3" t="n">
        <v>2799114.72</v>
      </c>
      <c r="N131" s="3" t="n">
        <v>1184086.17</v>
      </c>
      <c r="O131" s="3" t="n">
        <v>0.423</v>
      </c>
      <c r="P131" s="3" t="n">
        <v>1</v>
      </c>
      <c r="Q131" s="3" t="n">
        <v>2799114.72</v>
      </c>
      <c r="R131" s="3" t="n">
        <v>118</v>
      </c>
      <c r="S131" s="3" t="n">
        <v>10</v>
      </c>
      <c r="T131" s="3" t="n">
        <v>4.4</v>
      </c>
      <c r="U131" s="3"/>
      <c r="V131" s="3" t="n">
        <v>6.75</v>
      </c>
      <c r="W131" s="3" t="s">
        <v>5997</v>
      </c>
    </row>
    <row r="132" customFormat="false" ht="15" hidden="false" customHeight="true" outlineLevel="0" collapsed="false">
      <c r="A132" s="3" t="s">
        <v>6152</v>
      </c>
      <c r="B132" s="3" t="s">
        <v>496</v>
      </c>
      <c r="C132" s="3" t="s">
        <v>4535</v>
      </c>
      <c r="D132" s="3" t="s">
        <v>83</v>
      </c>
      <c r="E132" s="3" t="s">
        <v>48</v>
      </c>
      <c r="F132" s="3" t="s">
        <v>62</v>
      </c>
      <c r="G132" s="3" t="s">
        <v>63</v>
      </c>
      <c r="H132" s="3" t="s">
        <v>56</v>
      </c>
      <c r="I132" s="3" t="s">
        <v>57</v>
      </c>
      <c r="J132" s="3" t="s">
        <v>5989</v>
      </c>
      <c r="K132" s="3" t="n">
        <v>4499857.1</v>
      </c>
      <c r="L132" s="3" t="n">
        <v>0.1888</v>
      </c>
      <c r="M132" s="3" t="n">
        <v>3650284.08</v>
      </c>
      <c r="N132" s="3" t="n">
        <v>1079247</v>
      </c>
      <c r="O132" s="3" t="n">
        <v>0.2957</v>
      </c>
      <c r="P132" s="3" t="n">
        <v>0.265</v>
      </c>
      <c r="Q132" s="3" t="n">
        <v>967325.28</v>
      </c>
      <c r="R132" s="3" t="n">
        <v>33</v>
      </c>
      <c r="S132" s="3" t="n">
        <v>10</v>
      </c>
      <c r="T132" s="3" t="n">
        <v>9.5</v>
      </c>
      <c r="U132" s="3"/>
      <c r="V132" s="3" t="n">
        <v>5.81</v>
      </c>
      <c r="W132" s="3" t="s">
        <v>5990</v>
      </c>
    </row>
    <row r="133" customFormat="false" ht="15" hidden="false" customHeight="true" outlineLevel="0" collapsed="false">
      <c r="A133" s="3" t="s">
        <v>6153</v>
      </c>
      <c r="B133" s="3" t="s">
        <v>984</v>
      </c>
      <c r="C133" s="3" t="s">
        <v>1980</v>
      </c>
      <c r="D133" s="3" t="s">
        <v>69</v>
      </c>
      <c r="E133" s="3" t="s">
        <v>39</v>
      </c>
      <c r="F133" s="3" t="s">
        <v>70</v>
      </c>
      <c r="G133" s="3" t="s">
        <v>55</v>
      </c>
      <c r="H133" s="3" t="s">
        <v>56</v>
      </c>
      <c r="I133" s="3" t="s">
        <v>121</v>
      </c>
      <c r="J133" s="3" t="s">
        <v>5989</v>
      </c>
      <c r="K133" s="3" t="n">
        <v>2369110.08</v>
      </c>
      <c r="L133" s="3" t="n">
        <v>0.0539</v>
      </c>
      <c r="M133" s="3" t="n">
        <v>2241415.05</v>
      </c>
      <c r="N133" s="3" t="n">
        <v>815819.94</v>
      </c>
      <c r="O133" s="3" t="n">
        <v>0.364</v>
      </c>
      <c r="P133" s="3" t="n">
        <v>0.243</v>
      </c>
      <c r="Q133" s="3" t="n">
        <v>544663.86</v>
      </c>
      <c r="R133" s="3" t="n">
        <v>145</v>
      </c>
      <c r="S133" s="3" t="n">
        <v>1.1</v>
      </c>
      <c r="T133" s="3" t="n">
        <v>5.7</v>
      </c>
      <c r="U133" s="3"/>
      <c r="V133" s="3" t="n">
        <v>5.8</v>
      </c>
      <c r="W133" s="3" t="s">
        <v>5990</v>
      </c>
    </row>
    <row r="134" customFormat="false" ht="15" hidden="false" customHeight="true" outlineLevel="0" collapsed="false">
      <c r="A134" s="3" t="s">
        <v>6154</v>
      </c>
      <c r="B134" s="3" t="s">
        <v>1065</v>
      </c>
      <c r="C134" s="3" t="s">
        <v>2725</v>
      </c>
      <c r="D134" s="3" t="s">
        <v>23</v>
      </c>
      <c r="E134" s="3" t="s">
        <v>24</v>
      </c>
      <c r="F134" s="3" t="s">
        <v>25</v>
      </c>
      <c r="G134" s="3" t="s">
        <v>76</v>
      </c>
      <c r="H134" s="3" t="s">
        <v>42</v>
      </c>
      <c r="I134" s="3" t="s">
        <v>43</v>
      </c>
      <c r="J134" s="3" t="s">
        <v>5989</v>
      </c>
      <c r="K134" s="3" t="n">
        <v>3397111.86</v>
      </c>
      <c r="L134" s="3" t="n">
        <v>0.0883</v>
      </c>
      <c r="M134" s="3" t="n">
        <v>3097146.88</v>
      </c>
      <c r="N134" s="3" t="n">
        <v>1063264.08</v>
      </c>
      <c r="O134" s="3" t="n">
        <v>0.3433</v>
      </c>
      <c r="P134" s="3" t="n">
        <v>0.225</v>
      </c>
      <c r="Q134" s="3" t="n">
        <v>696858.05</v>
      </c>
      <c r="R134" s="3" t="n">
        <v>16</v>
      </c>
      <c r="S134" s="3" t="n">
        <v>9.4</v>
      </c>
      <c r="T134" s="3" t="n">
        <v>7.1</v>
      </c>
      <c r="U134" s="3"/>
      <c r="V134" s="3" t="n">
        <v>7.22</v>
      </c>
      <c r="W134" s="3" t="s">
        <v>5997</v>
      </c>
    </row>
    <row r="135" customFormat="false" ht="15" hidden="false" customHeight="true" outlineLevel="0" collapsed="false">
      <c r="A135" s="3" t="s">
        <v>6155</v>
      </c>
      <c r="B135" s="3" t="s">
        <v>3423</v>
      </c>
      <c r="C135" s="3" t="s">
        <v>1224</v>
      </c>
      <c r="D135" s="3" t="s">
        <v>97</v>
      </c>
      <c r="E135" s="3" t="s">
        <v>48</v>
      </c>
      <c r="F135" s="3" t="s">
        <v>40</v>
      </c>
      <c r="G135" s="3" t="s">
        <v>49</v>
      </c>
      <c r="H135" s="3" t="s">
        <v>56</v>
      </c>
      <c r="I135" s="3" t="s">
        <v>57</v>
      </c>
      <c r="J135" s="3" t="s">
        <v>5996</v>
      </c>
      <c r="K135" s="3" t="n">
        <v>633212.87</v>
      </c>
      <c r="L135" s="3" t="n">
        <v>0.2406</v>
      </c>
      <c r="M135" s="3" t="n">
        <v>480861.85</v>
      </c>
      <c r="N135" s="3" t="n">
        <v>219062.88</v>
      </c>
      <c r="O135" s="3" t="n">
        <v>0.4556</v>
      </c>
      <c r="P135" s="3" t="n">
        <v>0.954</v>
      </c>
      <c r="Q135" s="3" t="n">
        <v>458742.2</v>
      </c>
      <c r="R135" s="3" t="n">
        <v>149</v>
      </c>
      <c r="S135" s="3" t="n">
        <v>4.1</v>
      </c>
      <c r="T135" s="3" t="n">
        <v>5.8</v>
      </c>
      <c r="U135" s="3"/>
      <c r="V135" s="3" t="n">
        <v>5.66</v>
      </c>
      <c r="W135" s="3" t="s">
        <v>5990</v>
      </c>
    </row>
    <row r="136" customFormat="false" ht="15" hidden="false" customHeight="true" outlineLevel="0" collapsed="false">
      <c r="A136" s="3" t="s">
        <v>6156</v>
      </c>
      <c r="B136" s="3" t="s">
        <v>404</v>
      </c>
      <c r="C136" s="3" t="s">
        <v>6157</v>
      </c>
      <c r="D136" s="3" t="s">
        <v>69</v>
      </c>
      <c r="E136" s="3" t="s">
        <v>39</v>
      </c>
      <c r="F136" s="3" t="s">
        <v>70</v>
      </c>
      <c r="G136" s="3" t="s">
        <v>49</v>
      </c>
      <c r="H136" s="3" t="s">
        <v>56</v>
      </c>
      <c r="I136" s="3" t="s">
        <v>188</v>
      </c>
      <c r="J136" s="3" t="s">
        <v>5989</v>
      </c>
      <c r="K136" s="3" t="n">
        <v>4855254.95</v>
      </c>
      <c r="L136" s="3" t="n">
        <v>0.1722</v>
      </c>
      <c r="M136" s="3" t="n">
        <v>4019180.05</v>
      </c>
      <c r="N136" s="3" t="n">
        <v>1214146.36</v>
      </c>
      <c r="O136" s="3" t="n">
        <v>0.3021</v>
      </c>
      <c r="P136" s="3" t="n">
        <v>0.222</v>
      </c>
      <c r="Q136" s="3" t="n">
        <v>892257.97</v>
      </c>
      <c r="R136" s="3" t="n">
        <v>152</v>
      </c>
      <c r="S136" s="3" t="n">
        <v>1.5</v>
      </c>
      <c r="T136" s="3" t="n">
        <v>6.1</v>
      </c>
      <c r="U136" s="3"/>
      <c r="V136" s="3" t="n">
        <v>4.38</v>
      </c>
      <c r="W136" s="3" t="s">
        <v>6000</v>
      </c>
    </row>
    <row r="137" customFormat="false" ht="15" hidden="false" customHeight="true" outlineLevel="0" collapsed="false">
      <c r="A137" s="3" t="s">
        <v>6158</v>
      </c>
      <c r="B137" s="3" t="s">
        <v>190</v>
      </c>
      <c r="C137" s="3" t="s">
        <v>4897</v>
      </c>
      <c r="D137" s="3" t="s">
        <v>107</v>
      </c>
      <c r="E137" s="3" t="s">
        <v>33</v>
      </c>
      <c r="F137" s="3" t="s">
        <v>70</v>
      </c>
      <c r="G137" s="3" t="s">
        <v>116</v>
      </c>
      <c r="H137" s="3" t="s">
        <v>42</v>
      </c>
      <c r="I137" s="3" t="s">
        <v>43</v>
      </c>
      <c r="J137" s="3" t="s">
        <v>5996</v>
      </c>
      <c r="K137" s="3" t="n">
        <v>3204865.81</v>
      </c>
      <c r="L137" s="3" t="n">
        <v>0.166</v>
      </c>
      <c r="M137" s="3" t="n">
        <v>2672858.09</v>
      </c>
      <c r="N137" s="3" t="n">
        <v>1068155.37</v>
      </c>
      <c r="O137" s="3" t="n">
        <v>0.3996</v>
      </c>
      <c r="P137" s="3" t="n">
        <v>1</v>
      </c>
      <c r="Q137" s="3" t="n">
        <v>2672858.09</v>
      </c>
      <c r="R137" s="3" t="n">
        <v>30</v>
      </c>
      <c r="S137" s="3" t="n">
        <v>6.8</v>
      </c>
      <c r="T137" s="3" t="n">
        <v>7.6</v>
      </c>
      <c r="U137" s="3"/>
      <c r="V137" s="3" t="n">
        <v>6.3</v>
      </c>
      <c r="W137" s="3" t="s">
        <v>5990</v>
      </c>
    </row>
    <row r="138" customFormat="false" ht="15" hidden="false" customHeight="true" outlineLevel="0" collapsed="false">
      <c r="A138" s="3" t="s">
        <v>6159</v>
      </c>
      <c r="B138" s="3" t="s">
        <v>811</v>
      </c>
      <c r="C138" s="3" t="s">
        <v>1078</v>
      </c>
      <c r="D138" s="3" t="s">
        <v>103</v>
      </c>
      <c r="E138" s="3" t="s">
        <v>24</v>
      </c>
      <c r="F138" s="3" t="s">
        <v>62</v>
      </c>
      <c r="G138" s="3" t="s">
        <v>116</v>
      </c>
      <c r="H138" s="3" t="s">
        <v>27</v>
      </c>
      <c r="I138" s="3" t="s">
        <v>173</v>
      </c>
      <c r="J138" s="3" t="s">
        <v>5992</v>
      </c>
      <c r="K138" s="3" t="n">
        <v>223268.85</v>
      </c>
      <c r="L138" s="3" t="n">
        <v>0.1385</v>
      </c>
      <c r="M138" s="3" t="n">
        <v>192346.11</v>
      </c>
      <c r="N138" s="3" t="n">
        <v>73667.18</v>
      </c>
      <c r="O138" s="3" t="n">
        <v>0.383</v>
      </c>
      <c r="P138" s="3" t="n">
        <v>0.744</v>
      </c>
      <c r="Q138" s="3" t="n">
        <v>143105.51</v>
      </c>
      <c r="R138" s="3" t="n">
        <v>103</v>
      </c>
      <c r="S138" s="3" t="n">
        <v>3.5</v>
      </c>
      <c r="T138" s="3" t="n">
        <v>8.6</v>
      </c>
      <c r="U138" s="3"/>
      <c r="V138" s="3" t="n">
        <v>5.41</v>
      </c>
      <c r="W138" s="3" t="s">
        <v>5990</v>
      </c>
    </row>
    <row r="139" customFormat="false" ht="15" hidden="false" customHeight="true" outlineLevel="0" collapsed="false">
      <c r="A139" s="3" t="s">
        <v>6160</v>
      </c>
      <c r="B139" s="3" t="s">
        <v>854</v>
      </c>
      <c r="C139" s="3" t="s">
        <v>4316</v>
      </c>
      <c r="D139" s="3" t="s">
        <v>38</v>
      </c>
      <c r="E139" s="3" t="s">
        <v>39</v>
      </c>
      <c r="F139" s="3" t="s">
        <v>40</v>
      </c>
      <c r="G139" s="3" t="s">
        <v>34</v>
      </c>
      <c r="H139" s="3" t="s">
        <v>27</v>
      </c>
      <c r="I139" s="3" t="s">
        <v>50</v>
      </c>
      <c r="J139" s="3" t="s">
        <v>5992</v>
      </c>
      <c r="K139" s="3" t="n">
        <v>4002483.08</v>
      </c>
      <c r="L139" s="3" t="n">
        <v>0.1677</v>
      </c>
      <c r="M139" s="3" t="n">
        <v>3331266.67</v>
      </c>
      <c r="N139" s="3" t="n">
        <v>1231033.28</v>
      </c>
      <c r="O139" s="3" t="n">
        <v>0.3695</v>
      </c>
      <c r="P139" s="3" t="n">
        <v>0.662</v>
      </c>
      <c r="Q139" s="3" t="n">
        <v>2205298.54</v>
      </c>
      <c r="R139" s="3" t="n">
        <v>76</v>
      </c>
      <c r="S139" s="3" t="n">
        <v>7.2</v>
      </c>
      <c r="T139" s="3" t="n">
        <v>6.7</v>
      </c>
      <c r="U139" s="3"/>
      <c r="V139" s="3" t="n">
        <v>6.26</v>
      </c>
      <c r="W139" s="3" t="s">
        <v>5990</v>
      </c>
    </row>
    <row r="140" customFormat="false" ht="15" hidden="false" customHeight="true" outlineLevel="0" collapsed="false">
      <c r="A140" s="3" t="s">
        <v>6161</v>
      </c>
      <c r="B140" s="3" t="s">
        <v>3423</v>
      </c>
      <c r="C140" s="3" t="s">
        <v>404</v>
      </c>
      <c r="D140" s="3" t="s">
        <v>97</v>
      </c>
      <c r="E140" s="3" t="s">
        <v>48</v>
      </c>
      <c r="F140" s="3" t="s">
        <v>40</v>
      </c>
      <c r="G140" s="3" t="s">
        <v>84</v>
      </c>
      <c r="H140" s="3" t="s">
        <v>42</v>
      </c>
      <c r="I140" s="3" t="s">
        <v>134</v>
      </c>
      <c r="J140" s="3" t="s">
        <v>5999</v>
      </c>
      <c r="K140" s="3" t="n">
        <v>1606595.73</v>
      </c>
      <c r="L140" s="3" t="n">
        <v>0.2787</v>
      </c>
      <c r="M140" s="3" t="n">
        <v>1158837.5</v>
      </c>
      <c r="N140" s="3" t="n">
        <v>411403.13</v>
      </c>
      <c r="O140" s="3" t="n">
        <v>0.355</v>
      </c>
      <c r="P140" s="3" t="n">
        <v>0.418</v>
      </c>
      <c r="Q140" s="3" t="n">
        <v>484394.07</v>
      </c>
      <c r="R140" s="3" t="n">
        <v>110</v>
      </c>
      <c r="S140" s="3" t="n">
        <v>4.7</v>
      </c>
      <c r="T140" s="3" t="n">
        <v>2.5</v>
      </c>
      <c r="U140" s="3"/>
      <c r="V140" s="3" t="n">
        <v>5.24</v>
      </c>
      <c r="W140" s="3" t="s">
        <v>5990</v>
      </c>
    </row>
    <row r="141" customFormat="false" ht="15" hidden="false" customHeight="true" outlineLevel="0" collapsed="false">
      <c r="A141" s="3" t="s">
        <v>6162</v>
      </c>
      <c r="B141" s="3" t="s">
        <v>2662</v>
      </c>
      <c r="C141" s="3" t="s">
        <v>6163</v>
      </c>
      <c r="D141" s="3" t="s">
        <v>83</v>
      </c>
      <c r="E141" s="3" t="s">
        <v>48</v>
      </c>
      <c r="F141" s="3" t="s">
        <v>62</v>
      </c>
      <c r="G141" s="3" t="s">
        <v>76</v>
      </c>
      <c r="H141" s="3" t="s">
        <v>64</v>
      </c>
      <c r="I141" s="3" t="s">
        <v>108</v>
      </c>
      <c r="J141" s="3" t="s">
        <v>6009</v>
      </c>
      <c r="K141" s="3" t="n">
        <v>2470685.53</v>
      </c>
      <c r="L141" s="3" t="n">
        <v>0.0607</v>
      </c>
      <c r="M141" s="3" t="n">
        <v>2320714.92</v>
      </c>
      <c r="N141" s="3" t="n">
        <v>800001.72</v>
      </c>
      <c r="O141" s="3" t="n">
        <v>0.3447</v>
      </c>
      <c r="P141" s="3" t="n">
        <v>0</v>
      </c>
      <c r="Q141" s="3" t="n">
        <v>0</v>
      </c>
      <c r="R141" s="3" t="n">
        <v>171</v>
      </c>
      <c r="S141" s="3" t="n">
        <v>7</v>
      </c>
      <c r="T141" s="3" t="n">
        <v>1.4</v>
      </c>
      <c r="U141" s="3" t="s">
        <v>6020</v>
      </c>
      <c r="V141" s="3" t="n">
        <v>7.74</v>
      </c>
      <c r="W141" s="3" t="s">
        <v>5997</v>
      </c>
    </row>
    <row r="142" customFormat="false" ht="15" hidden="false" customHeight="true" outlineLevel="0" collapsed="false">
      <c r="A142" s="3" t="s">
        <v>6164</v>
      </c>
      <c r="B142" s="3" t="s">
        <v>2586</v>
      </c>
      <c r="C142" s="3" t="s">
        <v>89</v>
      </c>
      <c r="D142" s="3" t="s">
        <v>47</v>
      </c>
      <c r="E142" s="3" t="s">
        <v>48</v>
      </c>
      <c r="F142" s="3" t="s">
        <v>25</v>
      </c>
      <c r="G142" s="3" t="s">
        <v>116</v>
      </c>
      <c r="H142" s="3" t="s">
        <v>42</v>
      </c>
      <c r="I142" s="3" t="s">
        <v>72</v>
      </c>
      <c r="J142" s="3" t="s">
        <v>6009</v>
      </c>
      <c r="K142" s="3" t="n">
        <v>1364519.54</v>
      </c>
      <c r="L142" s="3" t="n">
        <v>0.2213</v>
      </c>
      <c r="M142" s="3" t="n">
        <v>1062551.37</v>
      </c>
      <c r="N142" s="3" t="n">
        <v>444530.87</v>
      </c>
      <c r="O142" s="3" t="n">
        <v>0.4184</v>
      </c>
      <c r="P142" s="3" t="n">
        <v>0</v>
      </c>
      <c r="Q142" s="3" t="n">
        <v>0</v>
      </c>
      <c r="R142" s="3" t="n">
        <v>128</v>
      </c>
      <c r="S142" s="3" t="n">
        <v>6.9</v>
      </c>
      <c r="T142" s="3" t="n">
        <v>3.1</v>
      </c>
      <c r="U142" s="3" t="s">
        <v>6025</v>
      </c>
      <c r="V142" s="3" t="n">
        <v>6.67</v>
      </c>
      <c r="W142" s="3" t="s">
        <v>5997</v>
      </c>
    </row>
    <row r="143" customFormat="false" ht="15" hidden="false" customHeight="true" outlineLevel="0" collapsed="false">
      <c r="A143" s="3" t="s">
        <v>6165</v>
      </c>
      <c r="B143" s="3" t="s">
        <v>615</v>
      </c>
      <c r="C143" s="3" t="s">
        <v>1529</v>
      </c>
      <c r="D143" s="3" t="s">
        <v>107</v>
      </c>
      <c r="E143" s="3" t="s">
        <v>33</v>
      </c>
      <c r="F143" s="3" t="s">
        <v>70</v>
      </c>
      <c r="G143" s="3" t="s">
        <v>26</v>
      </c>
      <c r="H143" s="3" t="s">
        <v>77</v>
      </c>
      <c r="I143" s="3" t="s">
        <v>78</v>
      </c>
      <c r="J143" s="3" t="s">
        <v>5992</v>
      </c>
      <c r="K143" s="3" t="n">
        <v>3222655.51</v>
      </c>
      <c r="L143" s="3" t="n">
        <v>0.2371</v>
      </c>
      <c r="M143" s="3" t="n">
        <v>2458563.89</v>
      </c>
      <c r="N143" s="3" t="n">
        <v>1163690.74</v>
      </c>
      <c r="O143" s="3" t="n">
        <v>0.4733</v>
      </c>
      <c r="P143" s="3" t="n">
        <v>0.659</v>
      </c>
      <c r="Q143" s="3" t="n">
        <v>1620193.6</v>
      </c>
      <c r="R143" s="3" t="n">
        <v>174</v>
      </c>
      <c r="S143" s="3" t="n">
        <v>1.9</v>
      </c>
      <c r="T143" s="3" t="n">
        <v>8.1</v>
      </c>
      <c r="U143" s="3"/>
      <c r="V143" s="3" t="n">
        <v>4.79</v>
      </c>
      <c r="W143" s="3" t="s">
        <v>6000</v>
      </c>
    </row>
    <row r="144" customFormat="false" ht="15" hidden="false" customHeight="true" outlineLevel="0" collapsed="false">
      <c r="A144" s="3" t="s">
        <v>6166</v>
      </c>
      <c r="B144" s="3" t="s">
        <v>1332</v>
      </c>
      <c r="C144" s="3" t="s">
        <v>1010</v>
      </c>
      <c r="D144" s="3" t="s">
        <v>75</v>
      </c>
      <c r="E144" s="3" t="s">
        <v>39</v>
      </c>
      <c r="F144" s="3" t="s">
        <v>25</v>
      </c>
      <c r="G144" s="3" t="s">
        <v>34</v>
      </c>
      <c r="H144" s="3" t="s">
        <v>42</v>
      </c>
      <c r="I144" s="3" t="s">
        <v>43</v>
      </c>
      <c r="J144" s="3" t="s">
        <v>5999</v>
      </c>
      <c r="K144" s="3" t="n">
        <v>1239559.29</v>
      </c>
      <c r="L144" s="3" t="n">
        <v>0.1126</v>
      </c>
      <c r="M144" s="3" t="n">
        <v>1099984.91</v>
      </c>
      <c r="N144" s="3" t="n">
        <v>382446.24</v>
      </c>
      <c r="O144" s="3" t="n">
        <v>0.3477</v>
      </c>
      <c r="P144" s="3" t="n">
        <v>0.453</v>
      </c>
      <c r="Q144" s="3" t="n">
        <v>498293.16</v>
      </c>
      <c r="R144" s="3" t="n">
        <v>77</v>
      </c>
      <c r="S144" s="3" t="n">
        <v>1.6</v>
      </c>
      <c r="T144" s="3" t="n">
        <v>9.7</v>
      </c>
      <c r="U144" s="3"/>
      <c r="V144" s="3" t="n">
        <v>4.69</v>
      </c>
      <c r="W144" s="3" t="s">
        <v>6000</v>
      </c>
    </row>
    <row r="145" customFormat="false" ht="15" hidden="false" customHeight="true" outlineLevel="0" collapsed="false">
      <c r="A145" s="3" t="s">
        <v>6167</v>
      </c>
      <c r="B145" s="3" t="s">
        <v>3994</v>
      </c>
      <c r="C145" s="3" t="s">
        <v>424</v>
      </c>
      <c r="D145" s="3" t="s">
        <v>107</v>
      </c>
      <c r="E145" s="3" t="s">
        <v>33</v>
      </c>
      <c r="F145" s="3" t="s">
        <v>70</v>
      </c>
      <c r="G145" s="3" t="s">
        <v>76</v>
      </c>
      <c r="H145" s="3" t="s">
        <v>42</v>
      </c>
      <c r="I145" s="3" t="s">
        <v>43</v>
      </c>
      <c r="J145" s="3" t="s">
        <v>6003</v>
      </c>
      <c r="K145" s="3" t="n">
        <v>1755068.2</v>
      </c>
      <c r="L145" s="3" t="n">
        <v>0.2185</v>
      </c>
      <c r="M145" s="3" t="n">
        <v>1371585.8</v>
      </c>
      <c r="N145" s="3" t="n">
        <v>462019.5</v>
      </c>
      <c r="O145" s="3" t="n">
        <v>0.3369</v>
      </c>
      <c r="P145" s="3" t="n">
        <v>0.064</v>
      </c>
      <c r="Q145" s="3" t="n">
        <v>87781.49</v>
      </c>
      <c r="R145" s="3" t="n">
        <v>157</v>
      </c>
      <c r="S145" s="3" t="n">
        <v>2.1</v>
      </c>
      <c r="T145" s="3" t="n">
        <v>2</v>
      </c>
      <c r="U145" s="3"/>
      <c r="V145" s="3" t="n">
        <v>5.02</v>
      </c>
      <c r="W145" s="3" t="s">
        <v>5990</v>
      </c>
    </row>
    <row r="146" customFormat="false" ht="15" hidden="false" customHeight="true" outlineLevel="0" collapsed="false">
      <c r="A146" s="3" t="s">
        <v>6168</v>
      </c>
      <c r="B146" s="3" t="s">
        <v>2960</v>
      </c>
      <c r="C146" s="3" t="s">
        <v>844</v>
      </c>
      <c r="D146" s="3" t="s">
        <v>54</v>
      </c>
      <c r="E146" s="3" t="s">
        <v>24</v>
      </c>
      <c r="F146" s="3" t="s">
        <v>40</v>
      </c>
      <c r="G146" s="3" t="s">
        <v>41</v>
      </c>
      <c r="H146" s="3" t="s">
        <v>77</v>
      </c>
      <c r="I146" s="3" t="s">
        <v>78</v>
      </c>
      <c r="J146" s="3" t="s">
        <v>6003</v>
      </c>
      <c r="K146" s="3" t="n">
        <v>1064614.94</v>
      </c>
      <c r="L146" s="3" t="n">
        <v>0.1653</v>
      </c>
      <c r="M146" s="3" t="n">
        <v>888634.09</v>
      </c>
      <c r="N146" s="3" t="n">
        <v>340973.18</v>
      </c>
      <c r="O146" s="3" t="n">
        <v>0.3837</v>
      </c>
      <c r="P146" s="3" t="n">
        <v>0.081</v>
      </c>
      <c r="Q146" s="3" t="n">
        <v>71979.36</v>
      </c>
      <c r="R146" s="3" t="n">
        <v>102</v>
      </c>
      <c r="S146" s="3" t="n">
        <v>3.5</v>
      </c>
      <c r="T146" s="3" t="n">
        <v>9.7</v>
      </c>
      <c r="U146" s="3"/>
      <c r="V146" s="3" t="n">
        <v>5.02</v>
      </c>
      <c r="W146" s="3" t="s">
        <v>5990</v>
      </c>
    </row>
    <row r="147" customFormat="false" ht="15" hidden="false" customHeight="true" outlineLevel="0" collapsed="false">
      <c r="A147" s="3" t="s">
        <v>6169</v>
      </c>
      <c r="B147" s="3" t="s">
        <v>1378</v>
      </c>
      <c r="C147" s="3" t="s">
        <v>1010</v>
      </c>
      <c r="D147" s="3" t="s">
        <v>103</v>
      </c>
      <c r="E147" s="3" t="s">
        <v>24</v>
      </c>
      <c r="F147" s="3" t="s">
        <v>62</v>
      </c>
      <c r="G147" s="3" t="s">
        <v>84</v>
      </c>
      <c r="H147" s="3" t="s">
        <v>77</v>
      </c>
      <c r="I147" s="3" t="s">
        <v>78</v>
      </c>
      <c r="J147" s="3" t="s">
        <v>6009</v>
      </c>
      <c r="K147" s="3" t="n">
        <v>4949611.38</v>
      </c>
      <c r="L147" s="3" t="n">
        <v>0.0661</v>
      </c>
      <c r="M147" s="3" t="n">
        <v>4622442.07</v>
      </c>
      <c r="N147" s="3" t="n">
        <v>2128437.71</v>
      </c>
      <c r="O147" s="3" t="n">
        <v>0.4605</v>
      </c>
      <c r="P147" s="3" t="n">
        <v>0.003</v>
      </c>
      <c r="Q147" s="3" t="n">
        <v>13867.33</v>
      </c>
      <c r="R147" s="3" t="n">
        <v>145</v>
      </c>
      <c r="S147" s="3" t="n">
        <v>6.3</v>
      </c>
      <c r="T147" s="3" t="n">
        <v>4.6</v>
      </c>
      <c r="U147" s="3" t="s">
        <v>6116</v>
      </c>
      <c r="V147" s="3" t="n">
        <v>7.84</v>
      </c>
      <c r="W147" s="3" t="s">
        <v>5997</v>
      </c>
    </row>
    <row r="148" customFormat="false" ht="15" hidden="false" customHeight="true" outlineLevel="0" collapsed="false">
      <c r="A148" s="3" t="s">
        <v>6170</v>
      </c>
      <c r="B148" s="3" t="s">
        <v>960</v>
      </c>
      <c r="C148" s="3" t="s">
        <v>500</v>
      </c>
      <c r="D148" s="3" t="s">
        <v>83</v>
      </c>
      <c r="E148" s="3" t="s">
        <v>48</v>
      </c>
      <c r="F148" s="3" t="s">
        <v>62</v>
      </c>
      <c r="G148" s="3" t="s">
        <v>100</v>
      </c>
      <c r="H148" s="3" t="s">
        <v>27</v>
      </c>
      <c r="I148" s="3" t="s">
        <v>28</v>
      </c>
      <c r="J148" s="3" t="s">
        <v>5996</v>
      </c>
      <c r="K148" s="3" t="n">
        <v>2637281.37</v>
      </c>
      <c r="L148" s="3" t="n">
        <v>0.2011</v>
      </c>
      <c r="M148" s="3" t="n">
        <v>2106924.09</v>
      </c>
      <c r="N148" s="3" t="n">
        <v>917104.85</v>
      </c>
      <c r="O148" s="3" t="n">
        <v>0.4353</v>
      </c>
      <c r="P148" s="3" t="n">
        <v>0.962</v>
      </c>
      <c r="Q148" s="3" t="n">
        <v>2026860.97</v>
      </c>
      <c r="R148" s="3" t="n">
        <v>25</v>
      </c>
      <c r="S148" s="3" t="n">
        <v>5.9</v>
      </c>
      <c r="T148" s="3" t="n">
        <v>4.3</v>
      </c>
      <c r="U148" s="3"/>
      <c r="V148" s="3" t="n">
        <v>6.55</v>
      </c>
      <c r="W148" s="3" t="s">
        <v>5997</v>
      </c>
    </row>
    <row r="149" customFormat="false" ht="15" hidden="false" customHeight="true" outlineLevel="0" collapsed="false">
      <c r="A149" s="3" t="s">
        <v>6171</v>
      </c>
      <c r="B149" s="3" t="s">
        <v>110</v>
      </c>
      <c r="C149" s="3" t="s">
        <v>6172</v>
      </c>
      <c r="D149" s="3" t="s">
        <v>107</v>
      </c>
      <c r="E149" s="3" t="s">
        <v>33</v>
      </c>
      <c r="F149" s="3" t="s">
        <v>70</v>
      </c>
      <c r="G149" s="3" t="s">
        <v>49</v>
      </c>
      <c r="H149" s="3" t="s">
        <v>27</v>
      </c>
      <c r="I149" s="3" t="s">
        <v>173</v>
      </c>
      <c r="J149" s="3" t="s">
        <v>6009</v>
      </c>
      <c r="K149" s="3" t="n">
        <v>98379.25</v>
      </c>
      <c r="L149" s="3" t="n">
        <v>0.1824</v>
      </c>
      <c r="M149" s="3" t="n">
        <v>80434.87</v>
      </c>
      <c r="N149" s="3" t="n">
        <v>37848.8</v>
      </c>
      <c r="O149" s="3" t="n">
        <v>0.4706</v>
      </c>
      <c r="P149" s="3" t="n">
        <v>0.04</v>
      </c>
      <c r="Q149" s="3" t="n">
        <v>3217.39</v>
      </c>
      <c r="R149" s="3" t="n">
        <v>81</v>
      </c>
      <c r="S149" s="3" t="n">
        <v>5.6</v>
      </c>
      <c r="T149" s="3" t="n">
        <v>6.6</v>
      </c>
      <c r="U149" s="3"/>
      <c r="V149" s="3" t="n">
        <v>6.38</v>
      </c>
      <c r="W149" s="3" t="s">
        <v>5990</v>
      </c>
    </row>
    <row r="150" customFormat="false" ht="15" hidden="false" customHeight="true" outlineLevel="0" collapsed="false">
      <c r="A150" s="3" t="s">
        <v>6173</v>
      </c>
      <c r="B150" s="3" t="s">
        <v>3685</v>
      </c>
      <c r="C150" s="3" t="s">
        <v>229</v>
      </c>
      <c r="D150" s="3" t="s">
        <v>75</v>
      </c>
      <c r="E150" s="3" t="s">
        <v>39</v>
      </c>
      <c r="F150" s="3" t="s">
        <v>25</v>
      </c>
      <c r="G150" s="3" t="s">
        <v>63</v>
      </c>
      <c r="H150" s="3" t="s">
        <v>42</v>
      </c>
      <c r="I150" s="3" t="s">
        <v>134</v>
      </c>
      <c r="J150" s="3" t="s">
        <v>5996</v>
      </c>
      <c r="K150" s="3" t="n">
        <v>963687.05</v>
      </c>
      <c r="L150" s="3" t="n">
        <v>0.1817</v>
      </c>
      <c r="M150" s="3" t="n">
        <v>788585.11</v>
      </c>
      <c r="N150" s="3" t="n">
        <v>351634.37</v>
      </c>
      <c r="O150" s="3" t="n">
        <v>0.4459</v>
      </c>
      <c r="P150" s="3" t="n">
        <v>0.971</v>
      </c>
      <c r="Q150" s="3" t="n">
        <v>765716.14</v>
      </c>
      <c r="R150" s="3" t="n">
        <v>133</v>
      </c>
      <c r="S150" s="3" t="n">
        <v>7.2</v>
      </c>
      <c r="T150" s="3" t="n">
        <v>1.3</v>
      </c>
      <c r="U150" s="3"/>
      <c r="V150" s="3" t="n">
        <v>7.54</v>
      </c>
      <c r="W150" s="3" t="s">
        <v>5997</v>
      </c>
    </row>
    <row r="151" customFormat="false" ht="15" hidden="false" customHeight="true" outlineLevel="0" collapsed="false">
      <c r="A151" s="3" t="s">
        <v>6174</v>
      </c>
      <c r="B151" s="3" t="s">
        <v>170</v>
      </c>
      <c r="C151" s="3" t="s">
        <v>1276</v>
      </c>
      <c r="D151" s="3" t="s">
        <v>107</v>
      </c>
      <c r="E151" s="3" t="s">
        <v>33</v>
      </c>
      <c r="F151" s="3" t="s">
        <v>70</v>
      </c>
      <c r="G151" s="3" t="s">
        <v>63</v>
      </c>
      <c r="H151" s="3" t="s">
        <v>77</v>
      </c>
      <c r="I151" s="3" t="s">
        <v>131</v>
      </c>
      <c r="J151" s="3" t="s">
        <v>5996</v>
      </c>
      <c r="K151" s="3" t="n">
        <v>437052.67</v>
      </c>
      <c r="L151" s="3" t="n">
        <v>0.191</v>
      </c>
      <c r="M151" s="3" t="n">
        <v>353575.61</v>
      </c>
      <c r="N151" s="3" t="n">
        <v>120954.86</v>
      </c>
      <c r="O151" s="3" t="n">
        <v>0.3421</v>
      </c>
      <c r="P151" s="3" t="n">
        <v>0.969</v>
      </c>
      <c r="Q151" s="3" t="n">
        <v>342614.77</v>
      </c>
      <c r="R151" s="3" t="n">
        <v>35</v>
      </c>
      <c r="S151" s="3" t="n">
        <v>9.2</v>
      </c>
      <c r="T151" s="3" t="n">
        <v>7.9</v>
      </c>
      <c r="U151" s="3"/>
      <c r="V151" s="3" t="n">
        <v>6.17</v>
      </c>
      <c r="W151" s="3" t="s">
        <v>5990</v>
      </c>
    </row>
    <row r="152" customFormat="false" ht="15" hidden="false" customHeight="true" outlineLevel="0" collapsed="false">
      <c r="A152" s="3" t="s">
        <v>6175</v>
      </c>
      <c r="B152" s="3" t="s">
        <v>2435</v>
      </c>
      <c r="C152" s="3" t="s">
        <v>4987</v>
      </c>
      <c r="D152" s="3" t="s">
        <v>38</v>
      </c>
      <c r="E152" s="3" t="s">
        <v>39</v>
      </c>
      <c r="F152" s="3" t="s">
        <v>40</v>
      </c>
      <c r="G152" s="3" t="s">
        <v>76</v>
      </c>
      <c r="H152" s="3" t="s">
        <v>64</v>
      </c>
      <c r="I152" s="3" t="s">
        <v>65</v>
      </c>
      <c r="J152" s="3" t="s">
        <v>5999</v>
      </c>
      <c r="K152" s="3" t="n">
        <v>3267172.28</v>
      </c>
      <c r="L152" s="3" t="n">
        <v>0.0508</v>
      </c>
      <c r="M152" s="3" t="n">
        <v>3101199.93</v>
      </c>
      <c r="N152" s="3" t="n">
        <v>931538.72</v>
      </c>
      <c r="O152" s="3" t="n">
        <v>0.3004</v>
      </c>
      <c r="P152" s="3" t="n">
        <v>0.428</v>
      </c>
      <c r="Q152" s="3" t="n">
        <v>1327313.57</v>
      </c>
      <c r="R152" s="3" t="n">
        <v>72</v>
      </c>
      <c r="S152" s="3" t="n">
        <v>2</v>
      </c>
      <c r="T152" s="3" t="n">
        <v>1.7</v>
      </c>
      <c r="U152" s="3"/>
      <c r="V152" s="3" t="n">
        <v>6.17</v>
      </c>
      <c r="W152" s="3" t="s">
        <v>5990</v>
      </c>
    </row>
    <row r="153" customFormat="false" ht="15" hidden="false" customHeight="true" outlineLevel="0" collapsed="false">
      <c r="A153" s="3" t="s">
        <v>6176</v>
      </c>
      <c r="B153" s="3" t="s">
        <v>1078</v>
      </c>
      <c r="C153" s="3" t="s">
        <v>422</v>
      </c>
      <c r="D153" s="3" t="s">
        <v>54</v>
      </c>
      <c r="E153" s="3" t="s">
        <v>24</v>
      </c>
      <c r="F153" s="3" t="s">
        <v>40</v>
      </c>
      <c r="G153" s="3" t="s">
        <v>76</v>
      </c>
      <c r="H153" s="3" t="s">
        <v>77</v>
      </c>
      <c r="I153" s="3" t="s">
        <v>78</v>
      </c>
      <c r="J153" s="3" t="s">
        <v>5992</v>
      </c>
      <c r="K153" s="3" t="n">
        <v>3640505.68</v>
      </c>
      <c r="L153" s="3" t="n">
        <v>0.0994</v>
      </c>
      <c r="M153" s="3" t="n">
        <v>3278639.42</v>
      </c>
      <c r="N153" s="3" t="n">
        <v>1121007.81</v>
      </c>
      <c r="O153" s="3" t="n">
        <v>0.3419</v>
      </c>
      <c r="P153" s="3" t="n">
        <v>0.731</v>
      </c>
      <c r="Q153" s="3" t="n">
        <v>2396685.42</v>
      </c>
      <c r="R153" s="3" t="n">
        <v>156</v>
      </c>
      <c r="S153" s="3" t="n">
        <v>2.8</v>
      </c>
      <c r="T153" s="3" t="n">
        <v>3.1</v>
      </c>
      <c r="U153" s="3"/>
      <c r="V153" s="3" t="n">
        <v>6.07</v>
      </c>
      <c r="W153" s="3" t="s">
        <v>5990</v>
      </c>
    </row>
    <row r="154" customFormat="false" ht="15" hidden="false" customHeight="true" outlineLevel="0" collapsed="false">
      <c r="A154" s="3" t="s">
        <v>6177</v>
      </c>
      <c r="B154" s="3" t="s">
        <v>3048</v>
      </c>
      <c r="C154" s="3" t="s">
        <v>2752</v>
      </c>
      <c r="D154" s="3" t="s">
        <v>97</v>
      </c>
      <c r="E154" s="3" t="s">
        <v>48</v>
      </c>
      <c r="F154" s="3" t="s">
        <v>40</v>
      </c>
      <c r="G154" s="3" t="s">
        <v>41</v>
      </c>
      <c r="H154" s="3" t="s">
        <v>77</v>
      </c>
      <c r="I154" s="3" t="s">
        <v>85</v>
      </c>
      <c r="J154" s="3" t="s">
        <v>5996</v>
      </c>
      <c r="K154" s="3" t="n">
        <v>848757.34</v>
      </c>
      <c r="L154" s="3" t="n">
        <v>0.1718</v>
      </c>
      <c r="M154" s="3" t="n">
        <v>702940.83</v>
      </c>
      <c r="N154" s="3" t="n">
        <v>239619.85</v>
      </c>
      <c r="O154" s="3" t="n">
        <v>0.3409</v>
      </c>
      <c r="P154" s="3" t="n">
        <v>1</v>
      </c>
      <c r="Q154" s="3" t="n">
        <v>702940.83</v>
      </c>
      <c r="R154" s="3" t="n">
        <v>40</v>
      </c>
      <c r="S154" s="3" t="n">
        <v>4.3</v>
      </c>
      <c r="T154" s="3" t="n">
        <v>9.1</v>
      </c>
      <c r="U154" s="3"/>
      <c r="V154" s="3" t="n">
        <v>4.94</v>
      </c>
      <c r="W154" s="3" t="s">
        <v>6000</v>
      </c>
    </row>
    <row r="155" customFormat="false" ht="15" hidden="false" customHeight="true" outlineLevel="0" collapsed="false">
      <c r="A155" s="3" t="s">
        <v>6178</v>
      </c>
      <c r="B155" s="3" t="s">
        <v>1216</v>
      </c>
      <c r="C155" s="3" t="s">
        <v>1980</v>
      </c>
      <c r="D155" s="3" t="s">
        <v>23</v>
      </c>
      <c r="E155" s="3" t="s">
        <v>24</v>
      </c>
      <c r="F155" s="3" t="s">
        <v>25</v>
      </c>
      <c r="G155" s="3" t="s">
        <v>49</v>
      </c>
      <c r="H155" s="3" t="s">
        <v>56</v>
      </c>
      <c r="I155" s="3" t="s">
        <v>188</v>
      </c>
      <c r="J155" s="3" t="s">
        <v>5996</v>
      </c>
      <c r="K155" s="3" t="n">
        <v>2697897.97</v>
      </c>
      <c r="L155" s="3" t="n">
        <v>0.0585</v>
      </c>
      <c r="M155" s="3" t="n">
        <v>2540070.94</v>
      </c>
      <c r="N155" s="3" t="n">
        <v>1130379.16</v>
      </c>
      <c r="O155" s="3" t="n">
        <v>0.445</v>
      </c>
      <c r="P155" s="3" t="n">
        <v>0.999</v>
      </c>
      <c r="Q155" s="3" t="n">
        <v>2537530.87</v>
      </c>
      <c r="R155" s="3" t="n">
        <v>115</v>
      </c>
      <c r="S155" s="3" t="n">
        <v>4.7</v>
      </c>
      <c r="T155" s="3" t="n">
        <v>6.9</v>
      </c>
      <c r="U155" s="3"/>
      <c r="V155" s="3" t="n">
        <v>7.1</v>
      </c>
      <c r="W155" s="3" t="s">
        <v>5997</v>
      </c>
    </row>
    <row r="156" customFormat="false" ht="15" hidden="false" customHeight="true" outlineLevel="0" collapsed="false">
      <c r="A156" s="3" t="s">
        <v>6179</v>
      </c>
      <c r="B156" s="3" t="s">
        <v>829</v>
      </c>
      <c r="C156" s="3" t="s">
        <v>1180</v>
      </c>
      <c r="D156" s="3" t="s">
        <v>69</v>
      </c>
      <c r="E156" s="3" t="s">
        <v>39</v>
      </c>
      <c r="F156" s="3" t="s">
        <v>70</v>
      </c>
      <c r="G156" s="3" t="s">
        <v>116</v>
      </c>
      <c r="H156" s="3" t="s">
        <v>56</v>
      </c>
      <c r="I156" s="3" t="s">
        <v>57</v>
      </c>
      <c r="J156" s="3" t="s">
        <v>6009</v>
      </c>
      <c r="K156" s="3" t="n">
        <v>2394126.3</v>
      </c>
      <c r="L156" s="3" t="n">
        <v>0.1803</v>
      </c>
      <c r="M156" s="3" t="n">
        <v>1962465.33</v>
      </c>
      <c r="N156" s="3" t="n">
        <v>783547.86</v>
      </c>
      <c r="O156" s="3" t="n">
        <v>0.3993</v>
      </c>
      <c r="P156" s="3" t="n">
        <v>0</v>
      </c>
      <c r="Q156" s="3" t="n">
        <v>0</v>
      </c>
      <c r="R156" s="3" t="n">
        <v>144</v>
      </c>
      <c r="S156" s="3" t="n">
        <v>6.4</v>
      </c>
      <c r="T156" s="3" t="n">
        <v>1.1</v>
      </c>
      <c r="U156" s="3" t="s">
        <v>6116</v>
      </c>
      <c r="V156" s="3" t="n">
        <v>7.05</v>
      </c>
      <c r="W156" s="3" t="s">
        <v>5997</v>
      </c>
    </row>
    <row r="157" customFormat="false" ht="15" hidden="false" customHeight="true" outlineLevel="0" collapsed="false">
      <c r="A157" s="3" t="s">
        <v>6180</v>
      </c>
      <c r="B157" s="3" t="s">
        <v>2441</v>
      </c>
      <c r="C157" s="3" t="s">
        <v>92</v>
      </c>
      <c r="D157" s="3" t="s">
        <v>47</v>
      </c>
      <c r="E157" s="3" t="s">
        <v>48</v>
      </c>
      <c r="F157" s="3" t="s">
        <v>25</v>
      </c>
      <c r="G157" s="3" t="s">
        <v>100</v>
      </c>
      <c r="H157" s="3" t="s">
        <v>42</v>
      </c>
      <c r="I157" s="3" t="s">
        <v>72</v>
      </c>
      <c r="J157" s="3" t="s">
        <v>6003</v>
      </c>
      <c r="K157" s="3" t="n">
        <v>1725591.44</v>
      </c>
      <c r="L157" s="3" t="n">
        <v>0.0576</v>
      </c>
      <c r="M157" s="3" t="n">
        <v>1626197.37</v>
      </c>
      <c r="N157" s="3" t="n">
        <v>589444.46</v>
      </c>
      <c r="O157" s="3" t="n">
        <v>0.3625</v>
      </c>
      <c r="P157" s="3" t="n">
        <v>0.104</v>
      </c>
      <c r="Q157" s="3" t="n">
        <v>169124.53</v>
      </c>
      <c r="R157" s="3" t="n">
        <v>137</v>
      </c>
      <c r="S157" s="3" t="n">
        <v>2.6</v>
      </c>
      <c r="T157" s="3" t="n">
        <v>5.6</v>
      </c>
      <c r="U157" s="3"/>
      <c r="V157" s="3" t="n">
        <v>6.17</v>
      </c>
      <c r="W157" s="3" t="s">
        <v>5990</v>
      </c>
    </row>
    <row r="158" customFormat="false" ht="15" hidden="false" customHeight="true" outlineLevel="0" collapsed="false">
      <c r="A158" s="3" t="s">
        <v>6181</v>
      </c>
      <c r="B158" s="3" t="s">
        <v>1031</v>
      </c>
      <c r="C158" s="3" t="s">
        <v>2050</v>
      </c>
      <c r="D158" s="3" t="s">
        <v>69</v>
      </c>
      <c r="E158" s="3" t="s">
        <v>39</v>
      </c>
      <c r="F158" s="3" t="s">
        <v>70</v>
      </c>
      <c r="G158" s="3" t="s">
        <v>71</v>
      </c>
      <c r="H158" s="3" t="s">
        <v>77</v>
      </c>
      <c r="I158" s="3" t="s">
        <v>85</v>
      </c>
      <c r="J158" s="3" t="s">
        <v>5989</v>
      </c>
      <c r="K158" s="3" t="n">
        <v>3258190.82</v>
      </c>
      <c r="L158" s="3" t="n">
        <v>0.1322</v>
      </c>
      <c r="M158" s="3" t="n">
        <v>2827457.99</v>
      </c>
      <c r="N158" s="3" t="n">
        <v>998543.54</v>
      </c>
      <c r="O158" s="3" t="n">
        <v>0.3532</v>
      </c>
      <c r="P158" s="3" t="n">
        <v>0.278</v>
      </c>
      <c r="Q158" s="3" t="n">
        <v>786033.32</v>
      </c>
      <c r="R158" s="3" t="n">
        <v>28</v>
      </c>
      <c r="S158" s="3" t="n">
        <v>9</v>
      </c>
      <c r="T158" s="3" t="n">
        <v>9.7</v>
      </c>
      <c r="U158" s="3"/>
      <c r="V158" s="3" t="n">
        <v>6.42</v>
      </c>
      <c r="W158" s="3" t="s">
        <v>5990</v>
      </c>
    </row>
    <row r="159" customFormat="false" ht="15" hidden="false" customHeight="true" outlineLevel="0" collapsed="false">
      <c r="A159" s="3" t="s">
        <v>6182</v>
      </c>
      <c r="B159" s="3" t="s">
        <v>4846</v>
      </c>
      <c r="C159" s="3" t="s">
        <v>6049</v>
      </c>
      <c r="D159" s="3" t="s">
        <v>75</v>
      </c>
      <c r="E159" s="3" t="s">
        <v>39</v>
      </c>
      <c r="F159" s="3" t="s">
        <v>25</v>
      </c>
      <c r="G159" s="3" t="s">
        <v>100</v>
      </c>
      <c r="H159" s="3" t="s">
        <v>77</v>
      </c>
      <c r="I159" s="3" t="s">
        <v>85</v>
      </c>
      <c r="J159" s="3" t="s">
        <v>6003</v>
      </c>
      <c r="K159" s="3" t="n">
        <v>2157208.61</v>
      </c>
      <c r="L159" s="3" t="n">
        <v>0.1371</v>
      </c>
      <c r="M159" s="3" t="n">
        <v>1861455.31</v>
      </c>
      <c r="N159" s="3" t="n">
        <v>672519.56</v>
      </c>
      <c r="O159" s="3" t="n">
        <v>0.3613</v>
      </c>
      <c r="P159" s="3" t="n">
        <v>0.109</v>
      </c>
      <c r="Q159" s="3" t="n">
        <v>202898.63</v>
      </c>
      <c r="R159" s="3" t="n">
        <v>121</v>
      </c>
      <c r="S159" s="3" t="n">
        <v>7.6</v>
      </c>
      <c r="T159" s="3" t="n">
        <v>3.2</v>
      </c>
      <c r="U159" s="3"/>
      <c r="V159" s="3" t="n">
        <v>7.07</v>
      </c>
      <c r="W159" s="3" t="s">
        <v>5997</v>
      </c>
    </row>
    <row r="160" customFormat="false" ht="15" hidden="false" customHeight="true" outlineLevel="0" collapsed="false">
      <c r="A160" s="3" t="s">
        <v>6183</v>
      </c>
      <c r="B160" s="3" t="s">
        <v>618</v>
      </c>
      <c r="C160" s="3" t="s">
        <v>4130</v>
      </c>
      <c r="D160" s="3" t="s">
        <v>75</v>
      </c>
      <c r="E160" s="3" t="s">
        <v>39</v>
      </c>
      <c r="F160" s="3" t="s">
        <v>25</v>
      </c>
      <c r="G160" s="3" t="s">
        <v>41</v>
      </c>
      <c r="H160" s="3" t="s">
        <v>27</v>
      </c>
      <c r="I160" s="3" t="s">
        <v>173</v>
      </c>
      <c r="J160" s="3" t="s">
        <v>5992</v>
      </c>
      <c r="K160" s="3" t="n">
        <v>4080386.94</v>
      </c>
      <c r="L160" s="3" t="n">
        <v>0.1536</v>
      </c>
      <c r="M160" s="3" t="n">
        <v>3453639.51</v>
      </c>
      <c r="N160" s="3" t="n">
        <v>1063850.27</v>
      </c>
      <c r="O160" s="3" t="n">
        <v>0.308</v>
      </c>
      <c r="P160" s="3" t="n">
        <v>0.693</v>
      </c>
      <c r="Q160" s="3" t="n">
        <v>2393372.18</v>
      </c>
      <c r="R160" s="3" t="n">
        <v>101</v>
      </c>
      <c r="S160" s="3" t="n">
        <v>9</v>
      </c>
      <c r="T160" s="3" t="n">
        <v>8.5</v>
      </c>
      <c r="U160" s="3"/>
      <c r="V160" s="3" t="n">
        <v>6.08</v>
      </c>
      <c r="W160" s="3" t="s">
        <v>5990</v>
      </c>
    </row>
    <row r="161" customFormat="false" ht="15" hidden="false" customHeight="true" outlineLevel="0" collapsed="false">
      <c r="A161" s="3" t="s">
        <v>6184</v>
      </c>
      <c r="B161" s="3" t="s">
        <v>3687</v>
      </c>
      <c r="C161" s="3" t="s">
        <v>1640</v>
      </c>
      <c r="D161" s="3" t="s">
        <v>75</v>
      </c>
      <c r="E161" s="3" t="s">
        <v>39</v>
      </c>
      <c r="F161" s="3" t="s">
        <v>25</v>
      </c>
      <c r="G161" s="3" t="s">
        <v>26</v>
      </c>
      <c r="H161" s="3" t="s">
        <v>64</v>
      </c>
      <c r="I161" s="3" t="s">
        <v>65</v>
      </c>
      <c r="J161" s="3" t="s">
        <v>5999</v>
      </c>
      <c r="K161" s="3" t="n">
        <v>2785075.83</v>
      </c>
      <c r="L161" s="3" t="n">
        <v>0.0661</v>
      </c>
      <c r="M161" s="3" t="n">
        <v>2600982.32</v>
      </c>
      <c r="N161" s="3" t="n">
        <v>948836.47</v>
      </c>
      <c r="O161" s="3" t="n">
        <v>0.3648</v>
      </c>
      <c r="P161" s="3" t="n">
        <v>0.404</v>
      </c>
      <c r="Q161" s="3" t="n">
        <v>1050796.86</v>
      </c>
      <c r="R161" s="3" t="n">
        <v>139</v>
      </c>
      <c r="S161" s="3" t="n">
        <v>1.8</v>
      </c>
      <c r="T161" s="3" t="n">
        <v>7.3</v>
      </c>
      <c r="U161" s="3"/>
      <c r="V161" s="3" t="n">
        <v>5.64</v>
      </c>
      <c r="W161" s="3" t="s">
        <v>5990</v>
      </c>
    </row>
    <row r="162" customFormat="false" ht="15" hidden="false" customHeight="true" outlineLevel="0" collapsed="false">
      <c r="A162" s="3" t="s">
        <v>6185</v>
      </c>
      <c r="B162" s="3" t="s">
        <v>3951</v>
      </c>
      <c r="C162" s="3" t="s">
        <v>933</v>
      </c>
      <c r="D162" s="3" t="s">
        <v>61</v>
      </c>
      <c r="E162" s="3" t="s">
        <v>33</v>
      </c>
      <c r="F162" s="3" t="s">
        <v>62</v>
      </c>
      <c r="G162" s="3" t="s">
        <v>76</v>
      </c>
      <c r="H162" s="3" t="s">
        <v>64</v>
      </c>
      <c r="I162" s="3" t="s">
        <v>65</v>
      </c>
      <c r="J162" s="3" t="s">
        <v>5989</v>
      </c>
      <c r="K162" s="3" t="n">
        <v>570706.99</v>
      </c>
      <c r="L162" s="3" t="n">
        <v>0.2961</v>
      </c>
      <c r="M162" s="3" t="n">
        <v>401720.65</v>
      </c>
      <c r="N162" s="3" t="n">
        <v>123410.76</v>
      </c>
      <c r="O162" s="3" t="n">
        <v>0.3072</v>
      </c>
      <c r="P162" s="3" t="n">
        <v>0.22</v>
      </c>
      <c r="Q162" s="3" t="n">
        <v>88378.54</v>
      </c>
      <c r="R162" s="3" t="n">
        <v>157</v>
      </c>
      <c r="S162" s="3" t="n">
        <v>4.8</v>
      </c>
      <c r="T162" s="3" t="n">
        <v>3.6</v>
      </c>
      <c r="U162" s="3"/>
      <c r="V162" s="3" t="n">
        <v>4.56</v>
      </c>
      <c r="W162" s="3" t="s">
        <v>6000</v>
      </c>
    </row>
    <row r="163" customFormat="false" ht="15" hidden="false" customHeight="true" outlineLevel="0" collapsed="false">
      <c r="A163" s="3" t="s">
        <v>6186</v>
      </c>
      <c r="B163" s="3" t="s">
        <v>661</v>
      </c>
      <c r="C163" s="3" t="s">
        <v>3648</v>
      </c>
      <c r="D163" s="3" t="s">
        <v>83</v>
      </c>
      <c r="E163" s="3" t="s">
        <v>48</v>
      </c>
      <c r="F163" s="3" t="s">
        <v>62</v>
      </c>
      <c r="G163" s="3" t="s">
        <v>49</v>
      </c>
      <c r="H163" s="3" t="s">
        <v>42</v>
      </c>
      <c r="I163" s="3" t="s">
        <v>72</v>
      </c>
      <c r="J163" s="3" t="s">
        <v>5999</v>
      </c>
      <c r="K163" s="3" t="n">
        <v>1109630.74</v>
      </c>
      <c r="L163" s="3" t="n">
        <v>0.1622</v>
      </c>
      <c r="M163" s="3" t="n">
        <v>929648.63</v>
      </c>
      <c r="N163" s="3" t="n">
        <v>326020.28</v>
      </c>
      <c r="O163" s="3" t="n">
        <v>0.3507</v>
      </c>
      <c r="P163" s="3" t="n">
        <v>0.47</v>
      </c>
      <c r="Q163" s="3" t="n">
        <v>436934.86</v>
      </c>
      <c r="R163" s="3" t="n">
        <v>122</v>
      </c>
      <c r="S163" s="3" t="n">
        <v>5.3</v>
      </c>
      <c r="T163" s="3" t="n">
        <v>3</v>
      </c>
      <c r="U163" s="3"/>
      <c r="V163" s="3" t="n">
        <v>6.25</v>
      </c>
      <c r="W163" s="3" t="s">
        <v>5990</v>
      </c>
    </row>
    <row r="164" customFormat="false" ht="15" hidden="false" customHeight="true" outlineLevel="0" collapsed="false">
      <c r="A164" s="3" t="s">
        <v>6187</v>
      </c>
      <c r="B164" s="3" t="s">
        <v>3296</v>
      </c>
      <c r="C164" s="3" t="s">
        <v>6188</v>
      </c>
      <c r="D164" s="3" t="s">
        <v>75</v>
      </c>
      <c r="E164" s="3" t="s">
        <v>39</v>
      </c>
      <c r="F164" s="3" t="s">
        <v>25</v>
      </c>
      <c r="G164" s="3" t="s">
        <v>63</v>
      </c>
      <c r="H164" s="3" t="s">
        <v>77</v>
      </c>
      <c r="I164" s="3" t="s">
        <v>78</v>
      </c>
      <c r="J164" s="3" t="s">
        <v>6003</v>
      </c>
      <c r="K164" s="3" t="n">
        <v>2109273.54</v>
      </c>
      <c r="L164" s="3" t="n">
        <v>0.2395</v>
      </c>
      <c r="M164" s="3" t="n">
        <v>1604102.53</v>
      </c>
      <c r="N164" s="3" t="n">
        <v>573877.09</v>
      </c>
      <c r="O164" s="3" t="n">
        <v>0.3578</v>
      </c>
      <c r="P164" s="3" t="n">
        <v>0.114</v>
      </c>
      <c r="Q164" s="3" t="n">
        <v>182867.69</v>
      </c>
      <c r="R164" s="3" t="n">
        <v>98</v>
      </c>
      <c r="S164" s="3" t="n">
        <v>7.4</v>
      </c>
      <c r="T164" s="3" t="n">
        <v>4.7</v>
      </c>
      <c r="U164" s="3"/>
      <c r="V164" s="3" t="n">
        <v>5.95</v>
      </c>
      <c r="W164" s="3" t="s">
        <v>5990</v>
      </c>
    </row>
    <row r="165" customFormat="false" ht="15" hidden="false" customHeight="true" outlineLevel="0" collapsed="false">
      <c r="A165" s="3" t="s">
        <v>6189</v>
      </c>
      <c r="B165" s="3" t="s">
        <v>880</v>
      </c>
      <c r="C165" s="3" t="s">
        <v>2414</v>
      </c>
      <c r="D165" s="3" t="s">
        <v>38</v>
      </c>
      <c r="E165" s="3" t="s">
        <v>39</v>
      </c>
      <c r="F165" s="3" t="s">
        <v>40</v>
      </c>
      <c r="G165" s="3" t="s">
        <v>63</v>
      </c>
      <c r="H165" s="3" t="s">
        <v>56</v>
      </c>
      <c r="I165" s="3" t="s">
        <v>188</v>
      </c>
      <c r="J165" s="3" t="s">
        <v>5999</v>
      </c>
      <c r="K165" s="3" t="n">
        <v>2398862.53</v>
      </c>
      <c r="L165" s="3" t="n">
        <v>0.0686</v>
      </c>
      <c r="M165" s="3" t="n">
        <v>2234300.56</v>
      </c>
      <c r="N165" s="3" t="n">
        <v>887962.56</v>
      </c>
      <c r="O165" s="3" t="n">
        <v>0.3974</v>
      </c>
      <c r="P165" s="3" t="n">
        <v>0.464</v>
      </c>
      <c r="Q165" s="3" t="n">
        <v>1036715.46</v>
      </c>
      <c r="R165" s="3" t="n">
        <v>78</v>
      </c>
      <c r="S165" s="3" t="n">
        <v>9.6</v>
      </c>
      <c r="T165" s="3" t="n">
        <v>4.7</v>
      </c>
      <c r="U165" s="3"/>
      <c r="V165" s="3" t="n">
        <v>8.2</v>
      </c>
      <c r="W165" s="3" t="s">
        <v>5997</v>
      </c>
    </row>
    <row r="166" customFormat="false" ht="15" hidden="false" customHeight="true" outlineLevel="0" collapsed="false">
      <c r="A166" s="3" t="s">
        <v>6190</v>
      </c>
      <c r="B166" s="3" t="s">
        <v>1227</v>
      </c>
      <c r="C166" s="3" t="s">
        <v>1208</v>
      </c>
      <c r="D166" s="3" t="s">
        <v>97</v>
      </c>
      <c r="E166" s="3" t="s">
        <v>48</v>
      </c>
      <c r="F166" s="3" t="s">
        <v>40</v>
      </c>
      <c r="G166" s="3" t="s">
        <v>84</v>
      </c>
      <c r="H166" s="3" t="s">
        <v>64</v>
      </c>
      <c r="I166" s="3" t="s">
        <v>108</v>
      </c>
      <c r="J166" s="3" t="s">
        <v>5996</v>
      </c>
      <c r="K166" s="3" t="n">
        <v>4172320.37</v>
      </c>
      <c r="L166" s="3" t="n">
        <v>0.1541</v>
      </c>
      <c r="M166" s="3" t="n">
        <v>3529365.8</v>
      </c>
      <c r="N166" s="3" t="n">
        <v>1633656.81</v>
      </c>
      <c r="O166" s="3" t="n">
        <v>0.4629</v>
      </c>
      <c r="P166" s="3" t="n">
        <v>0.985</v>
      </c>
      <c r="Q166" s="3" t="n">
        <v>3476425.31</v>
      </c>
      <c r="R166" s="3" t="n">
        <v>83</v>
      </c>
      <c r="S166" s="3" t="n">
        <v>4.1</v>
      </c>
      <c r="T166" s="3" t="n">
        <v>5.1</v>
      </c>
      <c r="U166" s="3"/>
      <c r="V166" s="3" t="n">
        <v>6.49</v>
      </c>
      <c r="W166" s="3" t="s">
        <v>5990</v>
      </c>
    </row>
    <row r="167" customFormat="false" ht="15" hidden="false" customHeight="true" outlineLevel="0" collapsed="false">
      <c r="A167" s="3" t="s">
        <v>6191</v>
      </c>
      <c r="B167" s="3" t="s">
        <v>308</v>
      </c>
      <c r="C167" s="3" t="s">
        <v>1313</v>
      </c>
      <c r="D167" s="3" t="s">
        <v>97</v>
      </c>
      <c r="E167" s="3" t="s">
        <v>48</v>
      </c>
      <c r="F167" s="3" t="s">
        <v>40</v>
      </c>
      <c r="G167" s="3" t="s">
        <v>49</v>
      </c>
      <c r="H167" s="3" t="s">
        <v>77</v>
      </c>
      <c r="I167" s="3" t="s">
        <v>85</v>
      </c>
      <c r="J167" s="3" t="s">
        <v>5992</v>
      </c>
      <c r="K167" s="3" t="n">
        <v>3455562.04</v>
      </c>
      <c r="L167" s="3" t="n">
        <v>0.1191</v>
      </c>
      <c r="M167" s="3" t="n">
        <v>3044004.6</v>
      </c>
      <c r="N167" s="3" t="n">
        <v>1254617.61</v>
      </c>
      <c r="O167" s="3" t="n">
        <v>0.4122</v>
      </c>
      <c r="P167" s="3" t="n">
        <v>0.657</v>
      </c>
      <c r="Q167" s="3" t="n">
        <v>1999911.02</v>
      </c>
      <c r="R167" s="3" t="n">
        <v>119</v>
      </c>
      <c r="S167" s="3" t="n">
        <v>9.8</v>
      </c>
      <c r="T167" s="3" t="n">
        <v>9.4</v>
      </c>
      <c r="U167" s="3"/>
      <c r="V167" s="3" t="n">
        <v>7.26</v>
      </c>
      <c r="W167" s="3" t="s">
        <v>5997</v>
      </c>
    </row>
    <row r="168" customFormat="false" ht="15" hidden="false" customHeight="true" outlineLevel="0" collapsed="false">
      <c r="A168" s="3" t="s">
        <v>6192</v>
      </c>
      <c r="B168" s="3" t="s">
        <v>575</v>
      </c>
      <c r="C168" s="3" t="s">
        <v>6193</v>
      </c>
      <c r="D168" s="3" t="s">
        <v>107</v>
      </c>
      <c r="E168" s="3" t="s">
        <v>33</v>
      </c>
      <c r="F168" s="3" t="s">
        <v>70</v>
      </c>
      <c r="G168" s="3" t="s">
        <v>76</v>
      </c>
      <c r="H168" s="3" t="s">
        <v>64</v>
      </c>
      <c r="I168" s="3" t="s">
        <v>90</v>
      </c>
      <c r="J168" s="3" t="s">
        <v>5999</v>
      </c>
      <c r="K168" s="3" t="n">
        <v>4387072.62</v>
      </c>
      <c r="L168" s="3" t="n">
        <v>0.276</v>
      </c>
      <c r="M168" s="3" t="n">
        <v>3176240.58</v>
      </c>
      <c r="N168" s="3" t="n">
        <v>1403829.04</v>
      </c>
      <c r="O168" s="3" t="n">
        <v>0.442</v>
      </c>
      <c r="P168" s="3" t="n">
        <v>0.404</v>
      </c>
      <c r="Q168" s="3" t="n">
        <v>1283201.19</v>
      </c>
      <c r="R168" s="3" t="n">
        <v>110</v>
      </c>
      <c r="S168" s="3" t="n">
        <v>2.2</v>
      </c>
      <c r="T168" s="3" t="n">
        <v>3.4</v>
      </c>
      <c r="U168" s="3"/>
      <c r="V168" s="3" t="n">
        <v>5.17</v>
      </c>
      <c r="W168" s="3" t="s">
        <v>5990</v>
      </c>
    </row>
    <row r="169" customFormat="false" ht="15" hidden="false" customHeight="true" outlineLevel="0" collapsed="false">
      <c r="A169" s="3" t="s">
        <v>6194</v>
      </c>
      <c r="B169" s="3" t="s">
        <v>1198</v>
      </c>
      <c r="C169" s="3" t="s">
        <v>223</v>
      </c>
      <c r="D169" s="3" t="s">
        <v>32</v>
      </c>
      <c r="E169" s="3" t="s">
        <v>33</v>
      </c>
      <c r="F169" s="3" t="s">
        <v>25</v>
      </c>
      <c r="G169" s="3" t="s">
        <v>63</v>
      </c>
      <c r="H169" s="3" t="s">
        <v>64</v>
      </c>
      <c r="I169" s="3" t="s">
        <v>145</v>
      </c>
      <c r="J169" s="3" t="s">
        <v>5999</v>
      </c>
      <c r="K169" s="3" t="n">
        <v>358080.25</v>
      </c>
      <c r="L169" s="3" t="n">
        <v>0.0801</v>
      </c>
      <c r="M169" s="3" t="n">
        <v>329398.02</v>
      </c>
      <c r="N169" s="3" t="n">
        <v>126529.1</v>
      </c>
      <c r="O169" s="3" t="n">
        <v>0.3841</v>
      </c>
      <c r="P169" s="3" t="n">
        <v>0.462</v>
      </c>
      <c r="Q169" s="3" t="n">
        <v>152181.89</v>
      </c>
      <c r="R169" s="3" t="n">
        <v>58</v>
      </c>
      <c r="S169" s="3" t="n">
        <v>8.1</v>
      </c>
      <c r="T169" s="3" t="n">
        <v>6.3</v>
      </c>
      <c r="U169" s="3"/>
      <c r="V169" s="3" t="n">
        <v>7.38</v>
      </c>
      <c r="W169" s="3" t="s">
        <v>5997</v>
      </c>
    </row>
    <row r="170" customFormat="false" ht="15" hidden="false" customHeight="true" outlineLevel="0" collapsed="false">
      <c r="A170" s="3" t="s">
        <v>6195</v>
      </c>
      <c r="B170" s="3" t="s">
        <v>689</v>
      </c>
      <c r="C170" s="3" t="s">
        <v>1492</v>
      </c>
      <c r="D170" s="3" t="s">
        <v>107</v>
      </c>
      <c r="E170" s="3" t="s">
        <v>33</v>
      </c>
      <c r="F170" s="3" t="s">
        <v>70</v>
      </c>
      <c r="G170" s="3" t="s">
        <v>116</v>
      </c>
      <c r="H170" s="3" t="s">
        <v>27</v>
      </c>
      <c r="I170" s="3" t="s">
        <v>173</v>
      </c>
      <c r="J170" s="3" t="s">
        <v>5996</v>
      </c>
      <c r="K170" s="3" t="n">
        <v>4814544.65</v>
      </c>
      <c r="L170" s="3" t="n">
        <v>0.1595</v>
      </c>
      <c r="M170" s="3" t="n">
        <v>4046624.78</v>
      </c>
      <c r="N170" s="3" t="n">
        <v>1609719.16</v>
      </c>
      <c r="O170" s="3" t="n">
        <v>0.3978</v>
      </c>
      <c r="P170" s="3" t="n">
        <v>0.979</v>
      </c>
      <c r="Q170" s="3" t="n">
        <v>3961645.66</v>
      </c>
      <c r="R170" s="3" t="n">
        <v>164</v>
      </c>
      <c r="S170" s="3" t="n">
        <v>3</v>
      </c>
      <c r="T170" s="3" t="n">
        <v>8.1</v>
      </c>
      <c r="U170" s="3"/>
      <c r="V170" s="3" t="n">
        <v>5.29</v>
      </c>
      <c r="W170" s="3" t="s">
        <v>5990</v>
      </c>
    </row>
    <row r="171" customFormat="false" ht="15" hidden="false" customHeight="true" outlineLevel="0" collapsed="false">
      <c r="A171" s="3" t="s">
        <v>6196</v>
      </c>
      <c r="B171" s="3" t="s">
        <v>4594</v>
      </c>
      <c r="C171" s="3" t="s">
        <v>2470</v>
      </c>
      <c r="D171" s="3" t="s">
        <v>97</v>
      </c>
      <c r="E171" s="3" t="s">
        <v>48</v>
      </c>
      <c r="F171" s="3" t="s">
        <v>40</v>
      </c>
      <c r="G171" s="3" t="s">
        <v>34</v>
      </c>
      <c r="H171" s="3" t="s">
        <v>27</v>
      </c>
      <c r="I171" s="3" t="s">
        <v>50</v>
      </c>
      <c r="J171" s="3" t="s">
        <v>5999</v>
      </c>
      <c r="K171" s="3" t="n">
        <v>495633.95</v>
      </c>
      <c r="L171" s="3" t="n">
        <v>0.0892</v>
      </c>
      <c r="M171" s="3" t="n">
        <v>451423.4</v>
      </c>
      <c r="N171" s="3" t="n">
        <v>161524.18</v>
      </c>
      <c r="O171" s="3" t="n">
        <v>0.3578</v>
      </c>
      <c r="P171" s="3" t="n">
        <v>0.451</v>
      </c>
      <c r="Q171" s="3" t="n">
        <v>203591.95</v>
      </c>
      <c r="R171" s="3" t="n">
        <v>16</v>
      </c>
      <c r="S171" s="3" t="n">
        <v>4.4</v>
      </c>
      <c r="T171" s="3" t="n">
        <v>3.9</v>
      </c>
      <c r="U171" s="3"/>
      <c r="V171" s="3" t="n">
        <v>6.57</v>
      </c>
      <c r="W171" s="3" t="s">
        <v>5997</v>
      </c>
    </row>
    <row r="172" customFormat="false" ht="15" hidden="false" customHeight="true" outlineLevel="0" collapsed="false">
      <c r="A172" s="3" t="s">
        <v>6197</v>
      </c>
      <c r="B172" s="3" t="s">
        <v>295</v>
      </c>
      <c r="C172" s="3" t="s">
        <v>871</v>
      </c>
      <c r="D172" s="3" t="s">
        <v>61</v>
      </c>
      <c r="E172" s="3" t="s">
        <v>33</v>
      </c>
      <c r="F172" s="3" t="s">
        <v>62</v>
      </c>
      <c r="G172" s="3" t="s">
        <v>63</v>
      </c>
      <c r="H172" s="3" t="s">
        <v>27</v>
      </c>
      <c r="I172" s="3" t="s">
        <v>94</v>
      </c>
      <c r="J172" s="3" t="s">
        <v>5996</v>
      </c>
      <c r="K172" s="3" t="n">
        <v>553282.77</v>
      </c>
      <c r="L172" s="3" t="n">
        <v>0.2564</v>
      </c>
      <c r="M172" s="3" t="n">
        <v>411421.07</v>
      </c>
      <c r="N172" s="3" t="n">
        <v>159424.19</v>
      </c>
      <c r="O172" s="3" t="n">
        <v>0.3875</v>
      </c>
      <c r="P172" s="3" t="n">
        <v>1</v>
      </c>
      <c r="Q172" s="3" t="n">
        <v>411421.07</v>
      </c>
      <c r="R172" s="3" t="n">
        <v>140</v>
      </c>
      <c r="S172" s="3" t="n">
        <v>7.7</v>
      </c>
      <c r="T172" s="3" t="n">
        <v>2.9</v>
      </c>
      <c r="U172" s="3"/>
      <c r="V172" s="3" t="n">
        <v>6.38</v>
      </c>
      <c r="W172" s="3" t="s">
        <v>5990</v>
      </c>
    </row>
    <row r="173" customFormat="false" ht="15" hidden="false" customHeight="true" outlineLevel="0" collapsed="false">
      <c r="A173" s="3" t="s">
        <v>6198</v>
      </c>
      <c r="B173" s="3" t="s">
        <v>1208</v>
      </c>
      <c r="C173" s="3" t="s">
        <v>413</v>
      </c>
      <c r="D173" s="3" t="s">
        <v>69</v>
      </c>
      <c r="E173" s="3" t="s">
        <v>39</v>
      </c>
      <c r="F173" s="3" t="s">
        <v>70</v>
      </c>
      <c r="G173" s="3" t="s">
        <v>41</v>
      </c>
      <c r="H173" s="3" t="s">
        <v>27</v>
      </c>
      <c r="I173" s="3" t="s">
        <v>117</v>
      </c>
      <c r="J173" s="3" t="s">
        <v>5992</v>
      </c>
      <c r="K173" s="3" t="n">
        <v>209779.17</v>
      </c>
      <c r="L173" s="3" t="n">
        <v>0.2191</v>
      </c>
      <c r="M173" s="3" t="n">
        <v>163816.55</v>
      </c>
      <c r="N173" s="3" t="n">
        <v>52606.69</v>
      </c>
      <c r="O173" s="3" t="n">
        <v>0.3211</v>
      </c>
      <c r="P173" s="3" t="n">
        <v>0.668</v>
      </c>
      <c r="Q173" s="3" t="n">
        <v>109429.46</v>
      </c>
      <c r="R173" s="3" t="n">
        <v>88</v>
      </c>
      <c r="S173" s="3" t="n">
        <v>9.1</v>
      </c>
      <c r="T173" s="3" t="n">
        <v>1.6</v>
      </c>
      <c r="U173" s="3"/>
      <c r="V173" s="3" t="n">
        <v>6.7</v>
      </c>
      <c r="W173" s="3" t="s">
        <v>5997</v>
      </c>
    </row>
    <row r="174" customFormat="false" ht="15" hidden="false" customHeight="true" outlineLevel="0" collapsed="false">
      <c r="A174" s="3" t="s">
        <v>6199</v>
      </c>
      <c r="B174" s="3" t="s">
        <v>5161</v>
      </c>
      <c r="C174" s="3" t="s">
        <v>6067</v>
      </c>
      <c r="D174" s="3" t="s">
        <v>47</v>
      </c>
      <c r="E174" s="3" t="s">
        <v>48</v>
      </c>
      <c r="F174" s="3" t="s">
        <v>25</v>
      </c>
      <c r="G174" s="3" t="s">
        <v>49</v>
      </c>
      <c r="H174" s="3" t="s">
        <v>42</v>
      </c>
      <c r="I174" s="3" t="s">
        <v>134</v>
      </c>
      <c r="J174" s="3" t="s">
        <v>5999</v>
      </c>
      <c r="K174" s="3" t="n">
        <v>2400152.75</v>
      </c>
      <c r="L174" s="3" t="n">
        <v>0.1804</v>
      </c>
      <c r="M174" s="3" t="n">
        <v>1967165.19</v>
      </c>
      <c r="N174" s="3" t="n">
        <v>860757.4</v>
      </c>
      <c r="O174" s="3" t="n">
        <v>0.4376</v>
      </c>
      <c r="P174" s="3" t="n">
        <v>0.407</v>
      </c>
      <c r="Q174" s="3" t="n">
        <v>800636.23</v>
      </c>
      <c r="R174" s="3" t="n">
        <v>156</v>
      </c>
      <c r="S174" s="3" t="n">
        <v>1.1</v>
      </c>
      <c r="T174" s="3" t="n">
        <v>9.2</v>
      </c>
      <c r="U174" s="3"/>
      <c r="V174" s="3" t="n">
        <v>4.79</v>
      </c>
      <c r="W174" s="3" t="s">
        <v>6000</v>
      </c>
    </row>
    <row r="175" customFormat="false" ht="15" hidden="false" customHeight="true" outlineLevel="0" collapsed="false">
      <c r="A175" s="3" t="s">
        <v>6200</v>
      </c>
      <c r="B175" s="3" t="s">
        <v>2901</v>
      </c>
      <c r="C175" s="3" t="s">
        <v>850</v>
      </c>
      <c r="D175" s="3" t="s">
        <v>83</v>
      </c>
      <c r="E175" s="3" t="s">
        <v>48</v>
      </c>
      <c r="F175" s="3" t="s">
        <v>62</v>
      </c>
      <c r="G175" s="3" t="s">
        <v>63</v>
      </c>
      <c r="H175" s="3" t="s">
        <v>27</v>
      </c>
      <c r="I175" s="3" t="s">
        <v>50</v>
      </c>
      <c r="J175" s="3" t="s">
        <v>6003</v>
      </c>
      <c r="K175" s="3" t="n">
        <v>4451390.47</v>
      </c>
      <c r="L175" s="3" t="n">
        <v>0.2977</v>
      </c>
      <c r="M175" s="3" t="n">
        <v>3126211.53</v>
      </c>
      <c r="N175" s="3" t="n">
        <v>1201187.4</v>
      </c>
      <c r="O175" s="3" t="n">
        <v>0.3842</v>
      </c>
      <c r="P175" s="3" t="n">
        <v>0.126</v>
      </c>
      <c r="Q175" s="3" t="n">
        <v>393902.65</v>
      </c>
      <c r="R175" s="3" t="n">
        <v>174</v>
      </c>
      <c r="S175" s="3" t="n">
        <v>8.5</v>
      </c>
      <c r="T175" s="3" t="n">
        <v>2</v>
      </c>
      <c r="U175" s="3"/>
      <c r="V175" s="3" t="n">
        <v>6.33</v>
      </c>
      <c r="W175" s="3" t="s">
        <v>5990</v>
      </c>
    </row>
    <row r="176" customFormat="false" ht="15" hidden="false" customHeight="true" outlineLevel="0" collapsed="false">
      <c r="A176" s="3" t="s">
        <v>6201</v>
      </c>
      <c r="B176" s="3" t="s">
        <v>413</v>
      </c>
      <c r="C176" s="3" t="s">
        <v>1444</v>
      </c>
      <c r="D176" s="3" t="s">
        <v>38</v>
      </c>
      <c r="E176" s="3" t="s">
        <v>39</v>
      </c>
      <c r="F176" s="3" t="s">
        <v>40</v>
      </c>
      <c r="G176" s="3" t="s">
        <v>104</v>
      </c>
      <c r="H176" s="3" t="s">
        <v>77</v>
      </c>
      <c r="I176" s="3" t="s">
        <v>131</v>
      </c>
      <c r="J176" s="3" t="s">
        <v>5996</v>
      </c>
      <c r="K176" s="3" t="n">
        <v>4644134.43</v>
      </c>
      <c r="L176" s="3" t="n">
        <v>0.257</v>
      </c>
      <c r="M176" s="3" t="n">
        <v>3450591.88</v>
      </c>
      <c r="N176" s="3" t="n">
        <v>1374701.84</v>
      </c>
      <c r="O176" s="3" t="n">
        <v>0.3984</v>
      </c>
      <c r="P176" s="3" t="n">
        <v>1</v>
      </c>
      <c r="Q176" s="3" t="n">
        <v>3450591.88</v>
      </c>
      <c r="R176" s="3" t="n">
        <v>31</v>
      </c>
      <c r="S176" s="3" t="n">
        <v>2.7</v>
      </c>
      <c r="T176" s="3" t="n">
        <v>1.7</v>
      </c>
      <c r="U176" s="3"/>
      <c r="V176" s="3" t="n">
        <v>5.38</v>
      </c>
      <c r="W176" s="3" t="s">
        <v>5990</v>
      </c>
    </row>
    <row r="177" customFormat="false" ht="15" hidden="false" customHeight="true" outlineLevel="0" collapsed="false">
      <c r="A177" s="3" t="s">
        <v>6202</v>
      </c>
      <c r="B177" s="3" t="s">
        <v>1104</v>
      </c>
      <c r="C177" s="3" t="s">
        <v>6203</v>
      </c>
      <c r="D177" s="3" t="s">
        <v>47</v>
      </c>
      <c r="E177" s="3" t="s">
        <v>48</v>
      </c>
      <c r="F177" s="3" t="s">
        <v>25</v>
      </c>
      <c r="G177" s="3" t="s">
        <v>26</v>
      </c>
      <c r="H177" s="3" t="s">
        <v>77</v>
      </c>
      <c r="I177" s="3" t="s">
        <v>131</v>
      </c>
      <c r="J177" s="3" t="s">
        <v>5989</v>
      </c>
      <c r="K177" s="3" t="n">
        <v>1494762.2</v>
      </c>
      <c r="L177" s="3" t="n">
        <v>0.1436</v>
      </c>
      <c r="M177" s="3" t="n">
        <v>1280114.35</v>
      </c>
      <c r="N177" s="3" t="n">
        <v>460629.66</v>
      </c>
      <c r="O177" s="3" t="n">
        <v>0.3598</v>
      </c>
      <c r="P177" s="3" t="n">
        <v>0.209</v>
      </c>
      <c r="Q177" s="3" t="n">
        <v>267543.9</v>
      </c>
      <c r="R177" s="3" t="n">
        <v>165</v>
      </c>
      <c r="S177" s="3" t="n">
        <v>1.8</v>
      </c>
      <c r="T177" s="3" t="n">
        <v>2.9</v>
      </c>
      <c r="U177" s="3"/>
      <c r="V177" s="3" t="n">
        <v>5.62</v>
      </c>
      <c r="W177" s="3" t="s">
        <v>5990</v>
      </c>
    </row>
    <row r="178" customFormat="false" ht="15" hidden="false" customHeight="true" outlineLevel="0" collapsed="false">
      <c r="A178" s="3" t="s">
        <v>6204</v>
      </c>
      <c r="B178" s="3" t="s">
        <v>2610</v>
      </c>
      <c r="C178" s="3" t="s">
        <v>2361</v>
      </c>
      <c r="D178" s="3" t="s">
        <v>97</v>
      </c>
      <c r="E178" s="3" t="s">
        <v>48</v>
      </c>
      <c r="F178" s="3" t="s">
        <v>40</v>
      </c>
      <c r="G178" s="3" t="s">
        <v>84</v>
      </c>
      <c r="H178" s="3" t="s">
        <v>77</v>
      </c>
      <c r="I178" s="3" t="s">
        <v>85</v>
      </c>
      <c r="J178" s="3" t="s">
        <v>5999</v>
      </c>
      <c r="K178" s="3" t="n">
        <v>1695378.97</v>
      </c>
      <c r="L178" s="3" t="n">
        <v>0.248</v>
      </c>
      <c r="M178" s="3" t="n">
        <v>1274924.99</v>
      </c>
      <c r="N178" s="3" t="n">
        <v>544939.34</v>
      </c>
      <c r="O178" s="3" t="n">
        <v>0.4274</v>
      </c>
      <c r="P178" s="3" t="n">
        <v>0.456</v>
      </c>
      <c r="Q178" s="3" t="n">
        <v>581365.8</v>
      </c>
      <c r="R178" s="3" t="n">
        <v>112</v>
      </c>
      <c r="S178" s="3" t="n">
        <v>3.4</v>
      </c>
      <c r="T178" s="3" t="n">
        <v>10</v>
      </c>
      <c r="U178" s="3"/>
      <c r="V178" s="3" t="n">
        <v>4.6</v>
      </c>
      <c r="W178" s="3" t="s">
        <v>6000</v>
      </c>
    </row>
    <row r="179" customFormat="false" ht="15" hidden="false" customHeight="true" outlineLevel="0" collapsed="false">
      <c r="A179" s="3" t="s">
        <v>6205</v>
      </c>
      <c r="B179" s="3" t="s">
        <v>2271</v>
      </c>
      <c r="C179" s="3" t="s">
        <v>6206</v>
      </c>
      <c r="D179" s="3" t="s">
        <v>47</v>
      </c>
      <c r="E179" s="3" t="s">
        <v>48</v>
      </c>
      <c r="F179" s="3" t="s">
        <v>25</v>
      </c>
      <c r="G179" s="3" t="s">
        <v>34</v>
      </c>
      <c r="H179" s="3" t="s">
        <v>27</v>
      </c>
      <c r="I179" s="3" t="s">
        <v>50</v>
      </c>
      <c r="J179" s="3" t="s">
        <v>5989</v>
      </c>
      <c r="K179" s="3" t="n">
        <v>2648209.83</v>
      </c>
      <c r="L179" s="3" t="n">
        <v>0.0894</v>
      </c>
      <c r="M179" s="3" t="n">
        <v>2411459.87</v>
      </c>
      <c r="N179" s="3" t="n">
        <v>853826.92</v>
      </c>
      <c r="O179" s="3" t="n">
        <v>0.3541</v>
      </c>
      <c r="P179" s="3" t="n">
        <v>0.295</v>
      </c>
      <c r="Q179" s="3" t="n">
        <v>711380.66</v>
      </c>
      <c r="R179" s="3" t="n">
        <v>164</v>
      </c>
      <c r="S179" s="3" t="n">
        <v>6.3</v>
      </c>
      <c r="T179" s="3" t="n">
        <v>4.4</v>
      </c>
      <c r="U179" s="3"/>
      <c r="V179" s="3" t="n">
        <v>6.93</v>
      </c>
      <c r="W179" s="3" t="s">
        <v>5997</v>
      </c>
    </row>
    <row r="180" customFormat="false" ht="15" hidden="false" customHeight="true" outlineLevel="0" collapsed="false">
      <c r="A180" s="3" t="s">
        <v>6207</v>
      </c>
      <c r="B180" s="3" t="s">
        <v>661</v>
      </c>
      <c r="C180" s="3" t="s">
        <v>1398</v>
      </c>
      <c r="D180" s="3" t="s">
        <v>32</v>
      </c>
      <c r="E180" s="3" t="s">
        <v>33</v>
      </c>
      <c r="F180" s="3" t="s">
        <v>25</v>
      </c>
      <c r="G180" s="3" t="s">
        <v>26</v>
      </c>
      <c r="H180" s="3" t="s">
        <v>56</v>
      </c>
      <c r="I180" s="3" t="s">
        <v>121</v>
      </c>
      <c r="J180" s="3" t="s">
        <v>5996</v>
      </c>
      <c r="K180" s="3" t="n">
        <v>620809.18</v>
      </c>
      <c r="L180" s="3" t="n">
        <v>0.1666</v>
      </c>
      <c r="M180" s="3" t="n">
        <v>517382.37</v>
      </c>
      <c r="N180" s="3" t="n">
        <v>215208.08</v>
      </c>
      <c r="O180" s="3" t="n">
        <v>0.416</v>
      </c>
      <c r="P180" s="3" t="n">
        <v>0.979</v>
      </c>
      <c r="Q180" s="3" t="n">
        <v>506517.34</v>
      </c>
      <c r="R180" s="3" t="n">
        <v>23</v>
      </c>
      <c r="S180" s="3" t="n">
        <v>3.6</v>
      </c>
      <c r="T180" s="3" t="n">
        <v>1.2</v>
      </c>
      <c r="U180" s="3"/>
      <c r="V180" s="3" t="n">
        <v>6.54</v>
      </c>
      <c r="W180" s="3" t="s">
        <v>5997</v>
      </c>
    </row>
    <row r="181" customFormat="false" ht="15" hidden="false" customHeight="true" outlineLevel="0" collapsed="false">
      <c r="A181" s="3" t="s">
        <v>6208</v>
      </c>
      <c r="B181" s="3" t="s">
        <v>1978</v>
      </c>
      <c r="C181" s="3" t="s">
        <v>1447</v>
      </c>
      <c r="D181" s="3" t="s">
        <v>47</v>
      </c>
      <c r="E181" s="3" t="s">
        <v>48</v>
      </c>
      <c r="F181" s="3" t="s">
        <v>25</v>
      </c>
      <c r="G181" s="3" t="s">
        <v>100</v>
      </c>
      <c r="H181" s="3" t="s">
        <v>64</v>
      </c>
      <c r="I181" s="3" t="s">
        <v>145</v>
      </c>
      <c r="J181" s="3" t="s">
        <v>5999</v>
      </c>
      <c r="K181" s="3" t="n">
        <v>1701539.33</v>
      </c>
      <c r="L181" s="3" t="n">
        <v>0.0845</v>
      </c>
      <c r="M181" s="3" t="n">
        <v>1557759.26</v>
      </c>
      <c r="N181" s="3" t="n">
        <v>516199.82</v>
      </c>
      <c r="O181" s="3" t="n">
        <v>0.3314</v>
      </c>
      <c r="P181" s="3" t="n">
        <v>0.488</v>
      </c>
      <c r="Q181" s="3" t="n">
        <v>760186.52</v>
      </c>
      <c r="R181" s="3" t="n">
        <v>158</v>
      </c>
      <c r="S181" s="3" t="n">
        <v>8.8</v>
      </c>
      <c r="T181" s="3" t="n">
        <v>6.5</v>
      </c>
      <c r="U181" s="3"/>
      <c r="V181" s="3" t="n">
        <v>7.12</v>
      </c>
      <c r="W181" s="3" t="s">
        <v>5997</v>
      </c>
    </row>
    <row r="182" customFormat="false" ht="15" hidden="false" customHeight="true" outlineLevel="0" collapsed="false">
      <c r="A182" s="3" t="s">
        <v>6209</v>
      </c>
      <c r="B182" s="3" t="s">
        <v>670</v>
      </c>
      <c r="C182" s="3" t="s">
        <v>1785</v>
      </c>
      <c r="D182" s="3" t="s">
        <v>75</v>
      </c>
      <c r="E182" s="3" t="s">
        <v>39</v>
      </c>
      <c r="F182" s="3" t="s">
        <v>25</v>
      </c>
      <c r="G182" s="3" t="s">
        <v>104</v>
      </c>
      <c r="H182" s="3" t="s">
        <v>64</v>
      </c>
      <c r="I182" s="3" t="s">
        <v>108</v>
      </c>
      <c r="J182" s="3" t="s">
        <v>5992</v>
      </c>
      <c r="K182" s="3" t="n">
        <v>3454839.21</v>
      </c>
      <c r="L182" s="3" t="n">
        <v>0.1236</v>
      </c>
      <c r="M182" s="3" t="n">
        <v>3027821.08</v>
      </c>
      <c r="N182" s="3" t="n">
        <v>881850.81</v>
      </c>
      <c r="O182" s="3" t="n">
        <v>0.2912</v>
      </c>
      <c r="P182" s="3" t="n">
        <v>0.658</v>
      </c>
      <c r="Q182" s="3" t="n">
        <v>1992306.27</v>
      </c>
      <c r="R182" s="3" t="n">
        <v>55</v>
      </c>
      <c r="S182" s="3" t="n">
        <v>2.8</v>
      </c>
      <c r="T182" s="3" t="n">
        <v>9.9</v>
      </c>
      <c r="U182" s="3"/>
      <c r="V182" s="3" t="n">
        <v>4.46</v>
      </c>
      <c r="W182" s="3" t="s">
        <v>6000</v>
      </c>
    </row>
    <row r="183" customFormat="false" ht="15" hidden="false" customHeight="true" outlineLevel="0" collapsed="false">
      <c r="A183" s="3" t="s">
        <v>6210</v>
      </c>
      <c r="B183" s="3" t="s">
        <v>370</v>
      </c>
      <c r="C183" s="3" t="s">
        <v>1186</v>
      </c>
      <c r="D183" s="3" t="s">
        <v>97</v>
      </c>
      <c r="E183" s="3" t="s">
        <v>48</v>
      </c>
      <c r="F183" s="3" t="s">
        <v>40</v>
      </c>
      <c r="G183" s="3" t="s">
        <v>84</v>
      </c>
      <c r="H183" s="3" t="s">
        <v>42</v>
      </c>
      <c r="I183" s="3" t="s">
        <v>134</v>
      </c>
      <c r="J183" s="3" t="s">
        <v>5992</v>
      </c>
      <c r="K183" s="3" t="n">
        <v>3003007.15</v>
      </c>
      <c r="L183" s="3" t="n">
        <v>0.2799</v>
      </c>
      <c r="M183" s="3" t="n">
        <v>2162465.45</v>
      </c>
      <c r="N183" s="3" t="n">
        <v>832349.18</v>
      </c>
      <c r="O183" s="3" t="n">
        <v>0.3849</v>
      </c>
      <c r="P183" s="3" t="n">
        <v>0.689</v>
      </c>
      <c r="Q183" s="3" t="n">
        <v>1489938.7</v>
      </c>
      <c r="R183" s="3" t="n">
        <v>116</v>
      </c>
      <c r="S183" s="3" t="n">
        <v>8.7</v>
      </c>
      <c r="T183" s="3" t="n">
        <v>7.8</v>
      </c>
      <c r="U183" s="3"/>
      <c r="V183" s="3" t="n">
        <v>5.69</v>
      </c>
      <c r="W183" s="3" t="s">
        <v>5990</v>
      </c>
    </row>
    <row r="184" customFormat="false" ht="15" hidden="false" customHeight="true" outlineLevel="0" collapsed="false">
      <c r="A184" s="3" t="s">
        <v>6211</v>
      </c>
      <c r="B184" s="3" t="s">
        <v>3493</v>
      </c>
      <c r="C184" s="3" t="s">
        <v>4992</v>
      </c>
      <c r="D184" s="3" t="s">
        <v>83</v>
      </c>
      <c r="E184" s="3" t="s">
        <v>48</v>
      </c>
      <c r="F184" s="3" t="s">
        <v>62</v>
      </c>
      <c r="G184" s="3" t="s">
        <v>104</v>
      </c>
      <c r="H184" s="3" t="s">
        <v>64</v>
      </c>
      <c r="I184" s="3" t="s">
        <v>108</v>
      </c>
      <c r="J184" s="3" t="s">
        <v>5999</v>
      </c>
      <c r="K184" s="3" t="n">
        <v>1088214.87</v>
      </c>
      <c r="L184" s="3" t="n">
        <v>0.1548</v>
      </c>
      <c r="M184" s="3" t="n">
        <v>919759.21</v>
      </c>
      <c r="N184" s="3" t="n">
        <v>359304.79</v>
      </c>
      <c r="O184" s="3" t="n">
        <v>0.3907</v>
      </c>
      <c r="P184" s="3" t="n">
        <v>0.444</v>
      </c>
      <c r="Q184" s="3" t="n">
        <v>408373.09</v>
      </c>
      <c r="R184" s="3" t="n">
        <v>64</v>
      </c>
      <c r="S184" s="3" t="n">
        <v>1.7</v>
      </c>
      <c r="T184" s="3" t="n">
        <v>7.1</v>
      </c>
      <c r="U184" s="3"/>
      <c r="V184" s="3" t="n">
        <v>5.1</v>
      </c>
      <c r="W184" s="3" t="s">
        <v>5990</v>
      </c>
    </row>
    <row r="185" customFormat="false" ht="15" hidden="false" customHeight="true" outlineLevel="0" collapsed="false">
      <c r="A185" s="3" t="s">
        <v>6212</v>
      </c>
      <c r="B185" s="3" t="s">
        <v>1535</v>
      </c>
      <c r="C185" s="3" t="s">
        <v>2750</v>
      </c>
      <c r="D185" s="3" t="s">
        <v>61</v>
      </c>
      <c r="E185" s="3" t="s">
        <v>33</v>
      </c>
      <c r="F185" s="3" t="s">
        <v>62</v>
      </c>
      <c r="G185" s="3" t="s">
        <v>116</v>
      </c>
      <c r="H185" s="3" t="s">
        <v>27</v>
      </c>
      <c r="I185" s="3" t="s">
        <v>50</v>
      </c>
      <c r="J185" s="3" t="s">
        <v>5989</v>
      </c>
      <c r="K185" s="3" t="n">
        <v>2454125.31</v>
      </c>
      <c r="L185" s="3" t="n">
        <v>0.1708</v>
      </c>
      <c r="M185" s="3" t="n">
        <v>2034960.71</v>
      </c>
      <c r="N185" s="3" t="n">
        <v>822268.38</v>
      </c>
      <c r="O185" s="3" t="n">
        <v>0.4041</v>
      </c>
      <c r="P185" s="3" t="n">
        <v>0.236</v>
      </c>
      <c r="Q185" s="3" t="n">
        <v>480250.73</v>
      </c>
      <c r="R185" s="3" t="n">
        <v>169</v>
      </c>
      <c r="S185" s="3" t="n">
        <v>6.2</v>
      </c>
      <c r="T185" s="3" t="n">
        <v>7.2</v>
      </c>
      <c r="U185" s="3"/>
      <c r="V185" s="3" t="n">
        <v>6.19</v>
      </c>
      <c r="W185" s="3" t="s">
        <v>5990</v>
      </c>
    </row>
    <row r="186" customFormat="false" ht="15" hidden="false" customHeight="true" outlineLevel="0" collapsed="false">
      <c r="A186" s="3" t="s">
        <v>6213</v>
      </c>
      <c r="B186" s="3" t="s">
        <v>1253</v>
      </c>
      <c r="C186" s="3" t="s">
        <v>862</v>
      </c>
      <c r="D186" s="3" t="s">
        <v>69</v>
      </c>
      <c r="E186" s="3" t="s">
        <v>39</v>
      </c>
      <c r="F186" s="3" t="s">
        <v>70</v>
      </c>
      <c r="G186" s="3" t="s">
        <v>76</v>
      </c>
      <c r="H186" s="3" t="s">
        <v>64</v>
      </c>
      <c r="I186" s="3" t="s">
        <v>108</v>
      </c>
      <c r="J186" s="3" t="s">
        <v>5996</v>
      </c>
      <c r="K186" s="3" t="n">
        <v>1946000.79</v>
      </c>
      <c r="L186" s="3" t="n">
        <v>0.1045</v>
      </c>
      <c r="M186" s="3" t="n">
        <v>1742643.71</v>
      </c>
      <c r="N186" s="3" t="n">
        <v>808738.24</v>
      </c>
      <c r="O186" s="3" t="n">
        <v>0.4641</v>
      </c>
      <c r="P186" s="3" t="n">
        <v>0.981</v>
      </c>
      <c r="Q186" s="3" t="n">
        <v>1709533.48</v>
      </c>
      <c r="R186" s="3" t="n">
        <v>134</v>
      </c>
      <c r="S186" s="3" t="n">
        <v>8</v>
      </c>
      <c r="T186" s="3" t="n">
        <v>6.2</v>
      </c>
      <c r="U186" s="3"/>
      <c r="V186" s="3" t="n">
        <v>7.7</v>
      </c>
      <c r="W186" s="3" t="s">
        <v>5997</v>
      </c>
    </row>
    <row r="187" customFormat="false" ht="15" hidden="false" customHeight="true" outlineLevel="0" collapsed="false">
      <c r="A187" s="3" t="s">
        <v>6214</v>
      </c>
      <c r="B187" s="3" t="s">
        <v>1444</v>
      </c>
      <c r="C187" s="3" t="s">
        <v>6215</v>
      </c>
      <c r="D187" s="3" t="s">
        <v>61</v>
      </c>
      <c r="E187" s="3" t="s">
        <v>33</v>
      </c>
      <c r="F187" s="3" t="s">
        <v>62</v>
      </c>
      <c r="G187" s="3" t="s">
        <v>55</v>
      </c>
      <c r="H187" s="3" t="s">
        <v>64</v>
      </c>
      <c r="I187" s="3" t="s">
        <v>65</v>
      </c>
      <c r="J187" s="3" t="s">
        <v>5999</v>
      </c>
      <c r="K187" s="3" t="n">
        <v>1356661.94</v>
      </c>
      <c r="L187" s="3" t="n">
        <v>0.056</v>
      </c>
      <c r="M187" s="3" t="n">
        <v>1280688.87</v>
      </c>
      <c r="N187" s="3" t="n">
        <v>572919.5</v>
      </c>
      <c r="O187" s="3" t="n">
        <v>0.4474</v>
      </c>
      <c r="P187" s="3" t="n">
        <v>0.488</v>
      </c>
      <c r="Q187" s="3" t="n">
        <v>624976.17</v>
      </c>
      <c r="R187" s="3" t="n">
        <v>173</v>
      </c>
      <c r="S187" s="3" t="n">
        <v>3.5</v>
      </c>
      <c r="T187" s="3" t="n">
        <v>3.7</v>
      </c>
      <c r="U187" s="3"/>
      <c r="V187" s="3" t="n">
        <v>7.31</v>
      </c>
      <c r="W187" s="3" t="s">
        <v>5997</v>
      </c>
    </row>
    <row r="188" customFormat="false" ht="15" hidden="false" customHeight="true" outlineLevel="0" collapsed="false">
      <c r="A188" s="3" t="s">
        <v>6216</v>
      </c>
      <c r="B188" s="3" t="s">
        <v>6217</v>
      </c>
      <c r="C188" s="3" t="s">
        <v>2544</v>
      </c>
      <c r="D188" s="3" t="s">
        <v>107</v>
      </c>
      <c r="E188" s="3" t="s">
        <v>33</v>
      </c>
      <c r="F188" s="3" t="s">
        <v>70</v>
      </c>
      <c r="G188" s="3" t="s">
        <v>63</v>
      </c>
      <c r="H188" s="3" t="s">
        <v>56</v>
      </c>
      <c r="I188" s="3" t="s">
        <v>188</v>
      </c>
      <c r="J188" s="3" t="s">
        <v>5996</v>
      </c>
      <c r="K188" s="3" t="n">
        <v>2262015.73</v>
      </c>
      <c r="L188" s="3" t="n">
        <v>0.1929</v>
      </c>
      <c r="M188" s="3" t="n">
        <v>1825672.9</v>
      </c>
      <c r="N188" s="3" t="n">
        <v>527268.62</v>
      </c>
      <c r="O188" s="3" t="n">
        <v>0.2888</v>
      </c>
      <c r="P188" s="3" t="n">
        <v>0.989</v>
      </c>
      <c r="Q188" s="3" t="n">
        <v>1805590.5</v>
      </c>
      <c r="R188" s="3" t="n">
        <v>113</v>
      </c>
      <c r="S188" s="3" t="n">
        <v>3.4</v>
      </c>
      <c r="T188" s="3" t="n">
        <v>5.9</v>
      </c>
      <c r="U188" s="3"/>
      <c r="V188" s="3" t="n">
        <v>4.6</v>
      </c>
      <c r="W188" s="3" t="s">
        <v>6000</v>
      </c>
    </row>
    <row r="189" customFormat="false" ht="15" hidden="false" customHeight="true" outlineLevel="0" collapsed="false">
      <c r="A189" s="3" t="s">
        <v>6218</v>
      </c>
      <c r="B189" s="3" t="s">
        <v>130</v>
      </c>
      <c r="C189" s="3" t="s">
        <v>432</v>
      </c>
      <c r="D189" s="3" t="s">
        <v>47</v>
      </c>
      <c r="E189" s="3" t="s">
        <v>48</v>
      </c>
      <c r="F189" s="3" t="s">
        <v>25</v>
      </c>
      <c r="G189" s="3" t="s">
        <v>55</v>
      </c>
      <c r="H189" s="3" t="s">
        <v>56</v>
      </c>
      <c r="I189" s="3" t="s">
        <v>121</v>
      </c>
      <c r="J189" s="3" t="s">
        <v>5999</v>
      </c>
      <c r="K189" s="3" t="n">
        <v>4364485.73</v>
      </c>
      <c r="L189" s="3" t="n">
        <v>0.1798</v>
      </c>
      <c r="M189" s="3" t="n">
        <v>3579751.2</v>
      </c>
      <c r="N189" s="3" t="n">
        <v>1375391.06</v>
      </c>
      <c r="O189" s="3" t="n">
        <v>0.3842</v>
      </c>
      <c r="P189" s="3" t="n">
        <v>0.456</v>
      </c>
      <c r="Q189" s="3" t="n">
        <v>1632366.55</v>
      </c>
      <c r="R189" s="3" t="n">
        <v>73</v>
      </c>
      <c r="S189" s="3" t="n">
        <v>1.7</v>
      </c>
      <c r="T189" s="3" t="n">
        <v>9.6</v>
      </c>
      <c r="U189" s="3"/>
      <c r="V189" s="3" t="n">
        <v>4.46</v>
      </c>
      <c r="W189" s="3" t="s">
        <v>6000</v>
      </c>
    </row>
    <row r="190" customFormat="false" ht="15" hidden="false" customHeight="true" outlineLevel="0" collapsed="false">
      <c r="A190" s="3" t="s">
        <v>6219</v>
      </c>
      <c r="B190" s="3" t="s">
        <v>3665</v>
      </c>
      <c r="C190" s="3" t="s">
        <v>3196</v>
      </c>
      <c r="D190" s="3" t="s">
        <v>61</v>
      </c>
      <c r="E190" s="3" t="s">
        <v>33</v>
      </c>
      <c r="F190" s="3" t="s">
        <v>62</v>
      </c>
      <c r="G190" s="3" t="s">
        <v>34</v>
      </c>
      <c r="H190" s="3" t="s">
        <v>56</v>
      </c>
      <c r="I190" s="3" t="s">
        <v>121</v>
      </c>
      <c r="J190" s="3" t="s">
        <v>5999</v>
      </c>
      <c r="K190" s="3" t="n">
        <v>238945.15</v>
      </c>
      <c r="L190" s="3" t="n">
        <v>0.2312</v>
      </c>
      <c r="M190" s="3" t="n">
        <v>183701.03</v>
      </c>
      <c r="N190" s="3" t="n">
        <v>65279.13</v>
      </c>
      <c r="O190" s="3" t="n">
        <v>0.3554</v>
      </c>
      <c r="P190" s="3" t="n">
        <v>0.469</v>
      </c>
      <c r="Q190" s="3" t="n">
        <v>86155.78</v>
      </c>
      <c r="R190" s="3" t="n">
        <v>27</v>
      </c>
      <c r="S190" s="3" t="n">
        <v>8.1</v>
      </c>
      <c r="T190" s="3" t="n">
        <v>3.3</v>
      </c>
      <c r="U190" s="3"/>
      <c r="V190" s="3" t="n">
        <v>6.37</v>
      </c>
      <c r="W190" s="3" t="s">
        <v>5990</v>
      </c>
    </row>
    <row r="191" customFormat="false" ht="15" hidden="false" customHeight="true" outlineLevel="0" collapsed="false">
      <c r="A191" s="3" t="s">
        <v>6220</v>
      </c>
      <c r="B191" s="3" t="s">
        <v>613</v>
      </c>
      <c r="C191" s="3" t="s">
        <v>1623</v>
      </c>
      <c r="D191" s="3" t="s">
        <v>54</v>
      </c>
      <c r="E191" s="3" t="s">
        <v>24</v>
      </c>
      <c r="F191" s="3" t="s">
        <v>40</v>
      </c>
      <c r="G191" s="3" t="s">
        <v>104</v>
      </c>
      <c r="H191" s="3" t="s">
        <v>64</v>
      </c>
      <c r="I191" s="3" t="s">
        <v>90</v>
      </c>
      <c r="J191" s="3" t="s">
        <v>5999</v>
      </c>
      <c r="K191" s="3" t="n">
        <v>1843390.66</v>
      </c>
      <c r="L191" s="3" t="n">
        <v>0.1182</v>
      </c>
      <c r="M191" s="3" t="n">
        <v>1625501.88</v>
      </c>
      <c r="N191" s="3" t="n">
        <v>544106.73</v>
      </c>
      <c r="O191" s="3" t="n">
        <v>0.3347</v>
      </c>
      <c r="P191" s="3" t="n">
        <v>0.441</v>
      </c>
      <c r="Q191" s="3" t="n">
        <v>716846.33</v>
      </c>
      <c r="R191" s="3" t="n">
        <v>157</v>
      </c>
      <c r="S191" s="3" t="n">
        <v>1.5</v>
      </c>
      <c r="T191" s="3" t="n">
        <v>4</v>
      </c>
      <c r="U191" s="3"/>
      <c r="V191" s="3" t="n">
        <v>5.39</v>
      </c>
      <c r="W191" s="3" t="s">
        <v>5990</v>
      </c>
    </row>
    <row r="192" customFormat="false" ht="15" hidden="false" customHeight="true" outlineLevel="0" collapsed="false">
      <c r="A192" s="3" t="s">
        <v>6221</v>
      </c>
      <c r="B192" s="3" t="s">
        <v>179</v>
      </c>
      <c r="C192" s="3" t="s">
        <v>1133</v>
      </c>
      <c r="D192" s="3" t="s">
        <v>83</v>
      </c>
      <c r="E192" s="3" t="s">
        <v>48</v>
      </c>
      <c r="F192" s="3" t="s">
        <v>62</v>
      </c>
      <c r="G192" s="3" t="s">
        <v>76</v>
      </c>
      <c r="H192" s="3" t="s">
        <v>64</v>
      </c>
      <c r="I192" s="3" t="s">
        <v>90</v>
      </c>
      <c r="J192" s="3" t="s">
        <v>6009</v>
      </c>
      <c r="K192" s="3" t="n">
        <v>2309050.82</v>
      </c>
      <c r="L192" s="3" t="n">
        <v>0.295</v>
      </c>
      <c r="M192" s="3" t="n">
        <v>1627880.83</v>
      </c>
      <c r="N192" s="3" t="n">
        <v>497453.05</v>
      </c>
      <c r="O192" s="3" t="n">
        <v>0.3056</v>
      </c>
      <c r="P192" s="3" t="n">
        <v>0</v>
      </c>
      <c r="Q192" s="3" t="n">
        <v>0</v>
      </c>
      <c r="R192" s="3" t="n">
        <v>170</v>
      </c>
      <c r="S192" s="3" t="n">
        <v>3.3</v>
      </c>
      <c r="T192" s="3" t="n">
        <v>8.2</v>
      </c>
      <c r="U192" s="3" t="s">
        <v>6116</v>
      </c>
      <c r="V192" s="3" t="n">
        <v>3.52</v>
      </c>
      <c r="W192" s="3" t="s">
        <v>6000</v>
      </c>
    </row>
    <row r="193" customFormat="false" ht="15" hidden="false" customHeight="true" outlineLevel="0" collapsed="false">
      <c r="A193" s="3" t="s">
        <v>6222</v>
      </c>
      <c r="B193" s="3" t="s">
        <v>521</v>
      </c>
      <c r="C193" s="3" t="s">
        <v>6223</v>
      </c>
      <c r="D193" s="3" t="s">
        <v>83</v>
      </c>
      <c r="E193" s="3" t="s">
        <v>48</v>
      </c>
      <c r="F193" s="3" t="s">
        <v>62</v>
      </c>
      <c r="G193" s="3" t="s">
        <v>100</v>
      </c>
      <c r="H193" s="3" t="s">
        <v>56</v>
      </c>
      <c r="I193" s="3" t="s">
        <v>188</v>
      </c>
      <c r="J193" s="3" t="s">
        <v>6009</v>
      </c>
      <c r="K193" s="3" t="n">
        <v>203403.19</v>
      </c>
      <c r="L193" s="3" t="n">
        <v>0.1285</v>
      </c>
      <c r="M193" s="3" t="n">
        <v>177265.88</v>
      </c>
      <c r="N193" s="3" t="n">
        <v>66538.72</v>
      </c>
      <c r="O193" s="3" t="n">
        <v>0.3754</v>
      </c>
      <c r="P193" s="3" t="n">
        <v>0.019</v>
      </c>
      <c r="Q193" s="3" t="n">
        <v>3368.05</v>
      </c>
      <c r="R193" s="3" t="n">
        <v>169</v>
      </c>
      <c r="S193" s="3" t="n">
        <v>7.1</v>
      </c>
      <c r="T193" s="3" t="n">
        <v>1.2</v>
      </c>
      <c r="U193" s="3"/>
      <c r="V193" s="3" t="n">
        <v>7.43</v>
      </c>
      <c r="W193" s="3" t="s">
        <v>5997</v>
      </c>
    </row>
    <row r="194" customFormat="false" ht="15" hidden="false" customHeight="true" outlineLevel="0" collapsed="false">
      <c r="A194" s="3" t="s">
        <v>6224</v>
      </c>
      <c r="B194" s="3" t="s">
        <v>4389</v>
      </c>
      <c r="C194" s="3" t="s">
        <v>3996</v>
      </c>
      <c r="D194" s="3" t="s">
        <v>23</v>
      </c>
      <c r="E194" s="3" t="s">
        <v>24</v>
      </c>
      <c r="F194" s="3" t="s">
        <v>25</v>
      </c>
      <c r="G194" s="3" t="s">
        <v>84</v>
      </c>
      <c r="H194" s="3" t="s">
        <v>42</v>
      </c>
      <c r="I194" s="3" t="s">
        <v>72</v>
      </c>
      <c r="J194" s="3" t="s">
        <v>5999</v>
      </c>
      <c r="K194" s="3" t="n">
        <v>52101</v>
      </c>
      <c r="L194" s="3" t="n">
        <v>0.2299</v>
      </c>
      <c r="M194" s="3" t="n">
        <v>40122.98</v>
      </c>
      <c r="N194" s="3" t="n">
        <v>16384.39</v>
      </c>
      <c r="O194" s="3" t="n">
        <v>0.4084</v>
      </c>
      <c r="P194" s="3" t="n">
        <v>0.458</v>
      </c>
      <c r="Q194" s="3" t="n">
        <v>18376.32</v>
      </c>
      <c r="R194" s="3" t="n">
        <v>62</v>
      </c>
      <c r="S194" s="3" t="n">
        <v>7.1</v>
      </c>
      <c r="T194" s="3" t="n">
        <v>2.9</v>
      </c>
      <c r="U194" s="3"/>
      <c r="V194" s="3" t="n">
        <v>6.6</v>
      </c>
      <c r="W194" s="3" t="s">
        <v>5997</v>
      </c>
    </row>
    <row r="195" customFormat="false" ht="15" hidden="false" customHeight="true" outlineLevel="0" collapsed="false">
      <c r="A195" s="3" t="s">
        <v>6225</v>
      </c>
      <c r="B195" s="3" t="s">
        <v>1488</v>
      </c>
      <c r="C195" s="3" t="s">
        <v>1662</v>
      </c>
      <c r="D195" s="3" t="s">
        <v>38</v>
      </c>
      <c r="E195" s="3" t="s">
        <v>39</v>
      </c>
      <c r="F195" s="3" t="s">
        <v>40</v>
      </c>
      <c r="G195" s="3" t="s">
        <v>63</v>
      </c>
      <c r="H195" s="3" t="s">
        <v>64</v>
      </c>
      <c r="I195" s="3" t="s">
        <v>145</v>
      </c>
      <c r="J195" s="3" t="s">
        <v>6009</v>
      </c>
      <c r="K195" s="3" t="n">
        <v>2286658.11</v>
      </c>
      <c r="L195" s="3" t="n">
        <v>0.203</v>
      </c>
      <c r="M195" s="3" t="n">
        <v>1822466.51</v>
      </c>
      <c r="N195" s="3" t="n">
        <v>511537.13</v>
      </c>
      <c r="O195" s="3" t="n">
        <v>0.2807</v>
      </c>
      <c r="P195" s="3" t="n">
        <v>0.027</v>
      </c>
      <c r="Q195" s="3" t="n">
        <v>49206.6</v>
      </c>
      <c r="R195" s="3" t="n">
        <v>91</v>
      </c>
      <c r="S195" s="3" t="n">
        <v>8.3</v>
      </c>
      <c r="T195" s="3" t="n">
        <v>8.3</v>
      </c>
      <c r="U195" s="3" t="s">
        <v>6041</v>
      </c>
      <c r="V195" s="3" t="n">
        <v>5.3</v>
      </c>
      <c r="W195" s="3" t="s">
        <v>5990</v>
      </c>
    </row>
    <row r="196" customFormat="false" ht="15" hidden="false" customHeight="true" outlineLevel="0" collapsed="false">
      <c r="A196" s="3" t="s">
        <v>6226</v>
      </c>
      <c r="B196" s="3" t="s">
        <v>1512</v>
      </c>
      <c r="C196" s="3" t="s">
        <v>4614</v>
      </c>
      <c r="D196" s="3" t="s">
        <v>83</v>
      </c>
      <c r="E196" s="3" t="s">
        <v>48</v>
      </c>
      <c r="F196" s="3" t="s">
        <v>62</v>
      </c>
      <c r="G196" s="3" t="s">
        <v>100</v>
      </c>
      <c r="H196" s="3" t="s">
        <v>77</v>
      </c>
      <c r="I196" s="3" t="s">
        <v>131</v>
      </c>
      <c r="J196" s="3" t="s">
        <v>5999</v>
      </c>
      <c r="K196" s="3" t="n">
        <v>2061340.8</v>
      </c>
      <c r="L196" s="3" t="n">
        <v>0.2328</v>
      </c>
      <c r="M196" s="3" t="n">
        <v>1581460.66</v>
      </c>
      <c r="N196" s="3" t="n">
        <v>526682.91</v>
      </c>
      <c r="O196" s="3" t="n">
        <v>0.333</v>
      </c>
      <c r="P196" s="3" t="n">
        <v>0.407</v>
      </c>
      <c r="Q196" s="3" t="n">
        <v>643654.49</v>
      </c>
      <c r="R196" s="3" t="n">
        <v>119</v>
      </c>
      <c r="S196" s="3" t="n">
        <v>9.1</v>
      </c>
      <c r="T196" s="3" t="n">
        <v>8.2</v>
      </c>
      <c r="U196" s="3"/>
      <c r="V196" s="3" t="n">
        <v>5.68</v>
      </c>
      <c r="W196" s="3" t="s">
        <v>5990</v>
      </c>
    </row>
    <row r="197" customFormat="false" ht="15" hidden="false" customHeight="true" outlineLevel="0" collapsed="false">
      <c r="A197" s="3" t="s">
        <v>6227</v>
      </c>
      <c r="B197" s="3" t="s">
        <v>2593</v>
      </c>
      <c r="C197" s="3" t="s">
        <v>1186</v>
      </c>
      <c r="D197" s="3" t="s">
        <v>107</v>
      </c>
      <c r="E197" s="3" t="s">
        <v>33</v>
      </c>
      <c r="F197" s="3" t="s">
        <v>70</v>
      </c>
      <c r="G197" s="3" t="s">
        <v>100</v>
      </c>
      <c r="H197" s="3" t="s">
        <v>77</v>
      </c>
      <c r="I197" s="3" t="s">
        <v>131</v>
      </c>
      <c r="J197" s="3" t="s">
        <v>6003</v>
      </c>
      <c r="K197" s="3" t="n">
        <v>101235.87</v>
      </c>
      <c r="L197" s="3" t="n">
        <v>0.0995</v>
      </c>
      <c r="M197" s="3" t="n">
        <v>91162.9</v>
      </c>
      <c r="N197" s="3" t="n">
        <v>30189.09</v>
      </c>
      <c r="O197" s="3" t="n">
        <v>0.3312</v>
      </c>
      <c r="P197" s="3" t="n">
        <v>0.08</v>
      </c>
      <c r="Q197" s="3" t="n">
        <v>7293.03</v>
      </c>
      <c r="R197" s="3" t="n">
        <v>47</v>
      </c>
      <c r="S197" s="3" t="n">
        <v>8.4</v>
      </c>
      <c r="T197" s="3" t="n">
        <v>5.6</v>
      </c>
      <c r="U197" s="3"/>
      <c r="V197" s="3" t="n">
        <v>7.03</v>
      </c>
      <c r="W197" s="3" t="s">
        <v>5997</v>
      </c>
    </row>
    <row r="198" customFormat="false" ht="15" hidden="false" customHeight="true" outlineLevel="0" collapsed="false">
      <c r="A198" s="3" t="s">
        <v>6228</v>
      </c>
      <c r="B198" s="3" t="s">
        <v>364</v>
      </c>
      <c r="C198" s="3" t="s">
        <v>1505</v>
      </c>
      <c r="D198" s="3" t="s">
        <v>54</v>
      </c>
      <c r="E198" s="3" t="s">
        <v>24</v>
      </c>
      <c r="F198" s="3" t="s">
        <v>40</v>
      </c>
      <c r="G198" s="3" t="s">
        <v>76</v>
      </c>
      <c r="H198" s="3" t="s">
        <v>27</v>
      </c>
      <c r="I198" s="3" t="s">
        <v>94</v>
      </c>
      <c r="J198" s="3" t="s">
        <v>5999</v>
      </c>
      <c r="K198" s="3" t="n">
        <v>1863023.65</v>
      </c>
      <c r="L198" s="3" t="n">
        <v>0.2563</v>
      </c>
      <c r="M198" s="3" t="n">
        <v>1385530.69</v>
      </c>
      <c r="N198" s="3" t="n">
        <v>507929.53</v>
      </c>
      <c r="O198" s="3" t="n">
        <v>0.3666</v>
      </c>
      <c r="P198" s="3" t="n">
        <v>0.478</v>
      </c>
      <c r="Q198" s="3" t="n">
        <v>662283.67</v>
      </c>
      <c r="R198" s="3" t="n">
        <v>21</v>
      </c>
      <c r="S198" s="3" t="n">
        <v>3</v>
      </c>
      <c r="T198" s="3" t="n">
        <v>3.7</v>
      </c>
      <c r="U198" s="3"/>
      <c r="V198" s="3" t="n">
        <v>4.9</v>
      </c>
      <c r="W198" s="3" t="s">
        <v>6000</v>
      </c>
    </row>
    <row r="199" customFormat="false" ht="15" hidden="false" customHeight="true" outlineLevel="0" collapsed="false">
      <c r="A199" s="3" t="s">
        <v>6229</v>
      </c>
      <c r="B199" s="3" t="s">
        <v>984</v>
      </c>
      <c r="C199" s="3" t="s">
        <v>229</v>
      </c>
      <c r="D199" s="3" t="s">
        <v>69</v>
      </c>
      <c r="E199" s="3" t="s">
        <v>39</v>
      </c>
      <c r="F199" s="3" t="s">
        <v>70</v>
      </c>
      <c r="G199" s="3" t="s">
        <v>71</v>
      </c>
      <c r="H199" s="3" t="s">
        <v>42</v>
      </c>
      <c r="I199" s="3" t="s">
        <v>72</v>
      </c>
      <c r="J199" s="3" t="s">
        <v>5999</v>
      </c>
      <c r="K199" s="3" t="n">
        <v>560767.48</v>
      </c>
      <c r="L199" s="3" t="n">
        <v>0.0772</v>
      </c>
      <c r="M199" s="3" t="n">
        <v>517476.23</v>
      </c>
      <c r="N199" s="3" t="n">
        <v>200255.28</v>
      </c>
      <c r="O199" s="3" t="n">
        <v>0.387</v>
      </c>
      <c r="P199" s="3" t="n">
        <v>0.491</v>
      </c>
      <c r="Q199" s="3" t="n">
        <v>254080.83</v>
      </c>
      <c r="R199" s="3" t="n">
        <v>26</v>
      </c>
      <c r="S199" s="3" t="n">
        <v>6.9</v>
      </c>
      <c r="T199" s="3" t="n">
        <v>8.6</v>
      </c>
      <c r="U199" s="3"/>
      <c r="V199" s="3" t="n">
        <v>6.79</v>
      </c>
      <c r="W199" s="3" t="s">
        <v>5997</v>
      </c>
    </row>
    <row r="200" customFormat="false" ht="15" hidden="false" customHeight="true" outlineLevel="0" collapsed="false">
      <c r="A200" s="3" t="s">
        <v>6230</v>
      </c>
      <c r="B200" s="3" t="s">
        <v>413</v>
      </c>
      <c r="C200" s="3" t="s">
        <v>6231</v>
      </c>
      <c r="D200" s="3" t="s">
        <v>97</v>
      </c>
      <c r="E200" s="3" t="s">
        <v>48</v>
      </c>
      <c r="F200" s="3" t="s">
        <v>40</v>
      </c>
      <c r="G200" s="3" t="s">
        <v>76</v>
      </c>
      <c r="H200" s="3" t="s">
        <v>64</v>
      </c>
      <c r="I200" s="3" t="s">
        <v>108</v>
      </c>
      <c r="J200" s="3" t="s">
        <v>6009</v>
      </c>
      <c r="K200" s="3" t="n">
        <v>859424.32</v>
      </c>
      <c r="L200" s="3" t="n">
        <v>0.0523</v>
      </c>
      <c r="M200" s="3" t="n">
        <v>814476.43</v>
      </c>
      <c r="N200" s="3" t="n">
        <v>387109.64</v>
      </c>
      <c r="O200" s="3" t="n">
        <v>0.4753</v>
      </c>
      <c r="P200" s="3" t="n">
        <v>0</v>
      </c>
      <c r="Q200" s="3" t="n">
        <v>0</v>
      </c>
      <c r="R200" s="3" t="n">
        <v>164</v>
      </c>
      <c r="S200" s="3" t="n">
        <v>1.2</v>
      </c>
      <c r="T200" s="3" t="n">
        <v>3.2</v>
      </c>
      <c r="U200" s="3" t="s">
        <v>6020</v>
      </c>
      <c r="V200" s="3" t="n">
        <v>6.89</v>
      </c>
      <c r="W200" s="3" t="s">
        <v>5997</v>
      </c>
    </row>
    <row r="201" customFormat="false" ht="15" hidden="false" customHeight="true" outlineLevel="0" collapsed="false">
      <c r="A201" s="3" t="s">
        <v>6232</v>
      </c>
      <c r="B201" s="3" t="s">
        <v>1693</v>
      </c>
      <c r="C201" s="3" t="s">
        <v>198</v>
      </c>
      <c r="D201" s="3" t="s">
        <v>103</v>
      </c>
      <c r="E201" s="3" t="s">
        <v>24</v>
      </c>
      <c r="F201" s="3" t="s">
        <v>62</v>
      </c>
      <c r="G201" s="3" t="s">
        <v>71</v>
      </c>
      <c r="H201" s="3" t="s">
        <v>27</v>
      </c>
      <c r="I201" s="3" t="s">
        <v>50</v>
      </c>
      <c r="J201" s="3" t="s">
        <v>5999</v>
      </c>
      <c r="K201" s="3" t="n">
        <v>2646950.43</v>
      </c>
      <c r="L201" s="3" t="n">
        <v>0.2047</v>
      </c>
      <c r="M201" s="3" t="n">
        <v>2105119.68</v>
      </c>
      <c r="N201" s="3" t="n">
        <v>758403.73</v>
      </c>
      <c r="O201" s="3" t="n">
        <v>0.3603</v>
      </c>
      <c r="P201" s="3" t="n">
        <v>0.46</v>
      </c>
      <c r="Q201" s="3" t="n">
        <v>968355.05</v>
      </c>
      <c r="R201" s="3" t="n">
        <v>34</v>
      </c>
      <c r="S201" s="3" t="n">
        <v>8.9</v>
      </c>
      <c r="T201" s="3" t="n">
        <v>2.7</v>
      </c>
      <c r="U201" s="3"/>
      <c r="V201" s="3" t="n">
        <v>6.92</v>
      </c>
      <c r="W201" s="3" t="s">
        <v>5997</v>
      </c>
    </row>
    <row r="202" customFormat="false" ht="15" hidden="false" customHeight="true" outlineLevel="0" collapsed="false">
      <c r="A202" s="3" t="s">
        <v>6233</v>
      </c>
      <c r="B202" s="3" t="s">
        <v>160</v>
      </c>
      <c r="C202" s="3" t="s">
        <v>92</v>
      </c>
      <c r="D202" s="3" t="s">
        <v>103</v>
      </c>
      <c r="E202" s="3" t="s">
        <v>24</v>
      </c>
      <c r="F202" s="3" t="s">
        <v>62</v>
      </c>
      <c r="G202" s="3" t="s">
        <v>104</v>
      </c>
      <c r="H202" s="3" t="s">
        <v>64</v>
      </c>
      <c r="I202" s="3" t="s">
        <v>145</v>
      </c>
      <c r="J202" s="3" t="s">
        <v>6009</v>
      </c>
      <c r="K202" s="3" t="n">
        <v>4467092.06</v>
      </c>
      <c r="L202" s="3" t="n">
        <v>0.0807</v>
      </c>
      <c r="M202" s="3" t="n">
        <v>4106597.73</v>
      </c>
      <c r="N202" s="3" t="n">
        <v>1713879.77</v>
      </c>
      <c r="O202" s="3" t="n">
        <v>0.4173</v>
      </c>
      <c r="P202" s="3" t="n">
        <v>0.001</v>
      </c>
      <c r="Q202" s="3" t="n">
        <v>4106.6</v>
      </c>
      <c r="R202" s="3" t="n">
        <v>97</v>
      </c>
      <c r="S202" s="3" t="n">
        <v>3.4</v>
      </c>
      <c r="T202" s="3" t="n">
        <v>8.2</v>
      </c>
      <c r="U202" s="3" t="s">
        <v>6020</v>
      </c>
      <c r="V202" s="3" t="n">
        <v>6.2</v>
      </c>
      <c r="W202" s="3" t="s">
        <v>5990</v>
      </c>
    </row>
    <row r="203" customFormat="false" ht="15" hidden="false" customHeight="true" outlineLevel="0" collapsed="false">
      <c r="A203" s="3" t="s">
        <v>6234</v>
      </c>
      <c r="B203" s="3" t="s">
        <v>1335</v>
      </c>
      <c r="C203" s="3" t="s">
        <v>1623</v>
      </c>
      <c r="D203" s="3" t="s">
        <v>47</v>
      </c>
      <c r="E203" s="3" t="s">
        <v>48</v>
      </c>
      <c r="F203" s="3" t="s">
        <v>25</v>
      </c>
      <c r="G203" s="3" t="s">
        <v>116</v>
      </c>
      <c r="H203" s="3" t="s">
        <v>56</v>
      </c>
      <c r="I203" s="3" t="s">
        <v>57</v>
      </c>
      <c r="J203" s="3" t="s">
        <v>5996</v>
      </c>
      <c r="K203" s="3" t="n">
        <v>914042.93</v>
      </c>
      <c r="L203" s="3" t="n">
        <v>0.1623</v>
      </c>
      <c r="M203" s="3" t="n">
        <v>765693.76</v>
      </c>
      <c r="N203" s="3" t="n">
        <v>227076.6</v>
      </c>
      <c r="O203" s="3" t="n">
        <v>0.2966</v>
      </c>
      <c r="P203" s="3" t="n">
        <v>1</v>
      </c>
      <c r="Q203" s="3" t="n">
        <v>765693.76</v>
      </c>
      <c r="R203" s="3" t="n">
        <v>64</v>
      </c>
      <c r="S203" s="3" t="n">
        <v>3</v>
      </c>
      <c r="T203" s="3" t="n">
        <v>8.5</v>
      </c>
      <c r="U203" s="3"/>
      <c r="V203" s="3" t="n">
        <v>4.43</v>
      </c>
      <c r="W203" s="3" t="s">
        <v>6000</v>
      </c>
    </row>
    <row r="204" customFormat="false" ht="15" hidden="false" customHeight="true" outlineLevel="0" collapsed="false">
      <c r="A204" s="3" t="s">
        <v>6235</v>
      </c>
      <c r="B204" s="3" t="s">
        <v>215</v>
      </c>
      <c r="C204" s="3" t="s">
        <v>952</v>
      </c>
      <c r="D204" s="3" t="s">
        <v>47</v>
      </c>
      <c r="E204" s="3" t="s">
        <v>48</v>
      </c>
      <c r="F204" s="3" t="s">
        <v>25</v>
      </c>
      <c r="G204" s="3" t="s">
        <v>41</v>
      </c>
      <c r="H204" s="3" t="s">
        <v>56</v>
      </c>
      <c r="I204" s="3" t="s">
        <v>57</v>
      </c>
      <c r="J204" s="3" t="s">
        <v>6003</v>
      </c>
      <c r="K204" s="3" t="n">
        <v>2779484.03</v>
      </c>
      <c r="L204" s="3" t="n">
        <v>0.1141</v>
      </c>
      <c r="M204" s="3" t="n">
        <v>2462344.9</v>
      </c>
      <c r="N204" s="3" t="n">
        <v>1024097.93</v>
      </c>
      <c r="O204" s="3" t="n">
        <v>0.4159</v>
      </c>
      <c r="P204" s="3" t="n">
        <v>0.058</v>
      </c>
      <c r="Q204" s="3" t="n">
        <v>142816</v>
      </c>
      <c r="R204" s="3" t="n">
        <v>110</v>
      </c>
      <c r="S204" s="3" t="n">
        <v>8.8</v>
      </c>
      <c r="T204" s="3" t="n">
        <v>7.5</v>
      </c>
      <c r="U204" s="3"/>
      <c r="V204" s="3" t="n">
        <v>7.34</v>
      </c>
      <c r="W204" s="3" t="s">
        <v>5997</v>
      </c>
    </row>
    <row r="205" customFormat="false" ht="15" hidden="false" customHeight="true" outlineLevel="0" collapsed="false">
      <c r="A205" s="3" t="s">
        <v>6236</v>
      </c>
      <c r="B205" s="3" t="s">
        <v>1324</v>
      </c>
      <c r="C205" s="3" t="s">
        <v>2414</v>
      </c>
      <c r="D205" s="3" t="s">
        <v>75</v>
      </c>
      <c r="E205" s="3" t="s">
        <v>39</v>
      </c>
      <c r="F205" s="3" t="s">
        <v>25</v>
      </c>
      <c r="G205" s="3" t="s">
        <v>49</v>
      </c>
      <c r="H205" s="3" t="s">
        <v>56</v>
      </c>
      <c r="I205" s="3" t="s">
        <v>121</v>
      </c>
      <c r="J205" s="3" t="s">
        <v>6003</v>
      </c>
      <c r="K205" s="3" t="n">
        <v>2101369.24</v>
      </c>
      <c r="L205" s="3" t="n">
        <v>0.0663</v>
      </c>
      <c r="M205" s="3" t="n">
        <v>1962048.46</v>
      </c>
      <c r="N205" s="3" t="n">
        <v>857883.83</v>
      </c>
      <c r="O205" s="3" t="n">
        <v>0.4372</v>
      </c>
      <c r="P205" s="3" t="n">
        <v>0.056</v>
      </c>
      <c r="Q205" s="3" t="n">
        <v>109874.71</v>
      </c>
      <c r="R205" s="3" t="n">
        <v>92</v>
      </c>
      <c r="S205" s="3" t="n">
        <v>6.9</v>
      </c>
      <c r="T205" s="3" t="n">
        <v>8.9</v>
      </c>
      <c r="U205" s="3"/>
      <c r="V205" s="3" t="n">
        <v>7.24</v>
      </c>
      <c r="W205" s="3" t="s">
        <v>5997</v>
      </c>
    </row>
    <row r="206" customFormat="false" ht="15" hidden="false" customHeight="true" outlineLevel="0" collapsed="false">
      <c r="A206" s="3" t="s">
        <v>6237</v>
      </c>
      <c r="B206" s="3" t="s">
        <v>4404</v>
      </c>
      <c r="C206" s="3" t="s">
        <v>4263</v>
      </c>
      <c r="D206" s="3" t="s">
        <v>83</v>
      </c>
      <c r="E206" s="3" t="s">
        <v>48</v>
      </c>
      <c r="F206" s="3" t="s">
        <v>62</v>
      </c>
      <c r="G206" s="3" t="s">
        <v>71</v>
      </c>
      <c r="H206" s="3" t="s">
        <v>64</v>
      </c>
      <c r="I206" s="3" t="s">
        <v>108</v>
      </c>
      <c r="J206" s="3" t="s">
        <v>5999</v>
      </c>
      <c r="K206" s="3" t="n">
        <v>4140602.1</v>
      </c>
      <c r="L206" s="3" t="n">
        <v>0.103</v>
      </c>
      <c r="M206" s="3" t="n">
        <v>3714120.08</v>
      </c>
      <c r="N206" s="3" t="n">
        <v>1311427.81</v>
      </c>
      <c r="O206" s="3" t="n">
        <v>0.3531</v>
      </c>
      <c r="P206" s="3" t="n">
        <v>0.47</v>
      </c>
      <c r="Q206" s="3" t="n">
        <v>1745636.44</v>
      </c>
      <c r="R206" s="3" t="n">
        <v>108</v>
      </c>
      <c r="S206" s="3" t="n">
        <v>9.1</v>
      </c>
      <c r="T206" s="3" t="n">
        <v>3.5</v>
      </c>
      <c r="U206" s="3"/>
      <c r="V206" s="3" t="n">
        <v>7.63</v>
      </c>
      <c r="W206" s="3" t="s">
        <v>5997</v>
      </c>
    </row>
    <row r="207" customFormat="false" ht="15" hidden="false" customHeight="true" outlineLevel="0" collapsed="false">
      <c r="A207" s="3" t="s">
        <v>6238</v>
      </c>
      <c r="B207" s="3" t="s">
        <v>1133</v>
      </c>
      <c r="C207" s="3" t="s">
        <v>2795</v>
      </c>
      <c r="D207" s="3" t="s">
        <v>97</v>
      </c>
      <c r="E207" s="3" t="s">
        <v>48</v>
      </c>
      <c r="F207" s="3" t="s">
        <v>40</v>
      </c>
      <c r="G207" s="3" t="s">
        <v>71</v>
      </c>
      <c r="H207" s="3" t="s">
        <v>27</v>
      </c>
      <c r="I207" s="3" t="s">
        <v>117</v>
      </c>
      <c r="J207" s="3" t="s">
        <v>5996</v>
      </c>
      <c r="K207" s="3" t="n">
        <v>1140888.44</v>
      </c>
      <c r="L207" s="3" t="n">
        <v>0.2398</v>
      </c>
      <c r="M207" s="3" t="n">
        <v>867303.39</v>
      </c>
      <c r="N207" s="3" t="n">
        <v>367659.18</v>
      </c>
      <c r="O207" s="3" t="n">
        <v>0.4239</v>
      </c>
      <c r="P207" s="3" t="n">
        <v>1</v>
      </c>
      <c r="Q207" s="3" t="n">
        <v>867303.39</v>
      </c>
      <c r="R207" s="3" t="n">
        <v>130</v>
      </c>
      <c r="S207" s="3" t="n">
        <v>4.9</v>
      </c>
      <c r="T207" s="3" t="n">
        <v>3.7</v>
      </c>
      <c r="U207" s="3"/>
      <c r="V207" s="3" t="n">
        <v>5.96</v>
      </c>
      <c r="W207" s="3" t="s">
        <v>5990</v>
      </c>
    </row>
    <row r="208" customFormat="false" ht="15" hidden="false" customHeight="true" outlineLevel="0" collapsed="false">
      <c r="A208" s="3" t="s">
        <v>6239</v>
      </c>
      <c r="B208" s="3" t="s">
        <v>3352</v>
      </c>
      <c r="C208" s="3" t="s">
        <v>931</v>
      </c>
      <c r="D208" s="3" t="s">
        <v>32</v>
      </c>
      <c r="E208" s="3" t="s">
        <v>33</v>
      </c>
      <c r="F208" s="3" t="s">
        <v>25</v>
      </c>
      <c r="G208" s="3" t="s">
        <v>100</v>
      </c>
      <c r="H208" s="3" t="s">
        <v>27</v>
      </c>
      <c r="I208" s="3" t="s">
        <v>94</v>
      </c>
      <c r="J208" s="3" t="s">
        <v>5992</v>
      </c>
      <c r="K208" s="3" t="n">
        <v>3541535.92</v>
      </c>
      <c r="L208" s="3" t="n">
        <v>0.1775</v>
      </c>
      <c r="M208" s="3" t="n">
        <v>2912913.29</v>
      </c>
      <c r="N208" s="3" t="n">
        <v>1047707.84</v>
      </c>
      <c r="O208" s="3" t="n">
        <v>0.3597</v>
      </c>
      <c r="P208" s="3" t="n">
        <v>0.733</v>
      </c>
      <c r="Q208" s="3" t="n">
        <v>2135165.44</v>
      </c>
      <c r="R208" s="3" t="n">
        <v>67</v>
      </c>
      <c r="S208" s="3" t="n">
        <v>9.8</v>
      </c>
      <c r="T208" s="3" t="n">
        <v>4.1</v>
      </c>
      <c r="U208" s="3"/>
      <c r="V208" s="3" t="n">
        <v>7.16</v>
      </c>
      <c r="W208" s="3" t="s">
        <v>5997</v>
      </c>
    </row>
    <row r="209" customFormat="false" ht="15" hidden="false" customHeight="true" outlineLevel="0" collapsed="false">
      <c r="A209" s="3" t="s">
        <v>6240</v>
      </c>
      <c r="B209" s="3" t="s">
        <v>2022</v>
      </c>
      <c r="C209" s="3" t="s">
        <v>2750</v>
      </c>
      <c r="D209" s="3" t="s">
        <v>23</v>
      </c>
      <c r="E209" s="3" t="s">
        <v>24</v>
      </c>
      <c r="F209" s="3" t="s">
        <v>25</v>
      </c>
      <c r="G209" s="3" t="s">
        <v>49</v>
      </c>
      <c r="H209" s="3" t="s">
        <v>42</v>
      </c>
      <c r="I209" s="3" t="s">
        <v>43</v>
      </c>
      <c r="J209" s="3" t="s">
        <v>5992</v>
      </c>
      <c r="K209" s="3" t="n">
        <v>4821803.98</v>
      </c>
      <c r="L209" s="3" t="n">
        <v>0.1574</v>
      </c>
      <c r="M209" s="3" t="n">
        <v>4062852.03</v>
      </c>
      <c r="N209" s="3" t="n">
        <v>1276222.97</v>
      </c>
      <c r="O209" s="3" t="n">
        <v>0.3141</v>
      </c>
      <c r="P209" s="3" t="n">
        <v>0.731</v>
      </c>
      <c r="Q209" s="3" t="n">
        <v>2969944.83</v>
      </c>
      <c r="R209" s="3" t="n">
        <v>122</v>
      </c>
      <c r="S209" s="3" t="n">
        <v>6.8</v>
      </c>
      <c r="T209" s="3" t="n">
        <v>5.5</v>
      </c>
      <c r="U209" s="3"/>
      <c r="V209" s="3" t="n">
        <v>6.02</v>
      </c>
      <c r="W209" s="3" t="s">
        <v>5990</v>
      </c>
    </row>
    <row r="210" customFormat="false" ht="15" hidden="false" customHeight="true" outlineLevel="0" collapsed="false">
      <c r="A210" s="3" t="s">
        <v>6241</v>
      </c>
      <c r="B210" s="3" t="s">
        <v>4846</v>
      </c>
      <c r="C210" s="3" t="s">
        <v>1492</v>
      </c>
      <c r="D210" s="3" t="s">
        <v>107</v>
      </c>
      <c r="E210" s="3" t="s">
        <v>33</v>
      </c>
      <c r="F210" s="3" t="s">
        <v>70</v>
      </c>
      <c r="G210" s="3" t="s">
        <v>100</v>
      </c>
      <c r="H210" s="3" t="s">
        <v>27</v>
      </c>
      <c r="I210" s="3" t="s">
        <v>117</v>
      </c>
      <c r="J210" s="3" t="s">
        <v>5989</v>
      </c>
      <c r="K210" s="3" t="n">
        <v>3572446.3</v>
      </c>
      <c r="L210" s="3" t="n">
        <v>0.2488</v>
      </c>
      <c r="M210" s="3" t="n">
        <v>2683621.66</v>
      </c>
      <c r="N210" s="3" t="n">
        <v>833633.12</v>
      </c>
      <c r="O210" s="3" t="n">
        <v>0.3106</v>
      </c>
      <c r="P210" s="3" t="n">
        <v>0.277</v>
      </c>
      <c r="Q210" s="3" t="n">
        <v>743363.2</v>
      </c>
      <c r="R210" s="3" t="n">
        <v>79</v>
      </c>
      <c r="S210" s="3" t="n">
        <v>5.2</v>
      </c>
      <c r="T210" s="3" t="n">
        <v>3.5</v>
      </c>
      <c r="U210" s="3"/>
      <c r="V210" s="3" t="n">
        <v>5.11</v>
      </c>
      <c r="W210" s="3" t="s">
        <v>5990</v>
      </c>
    </row>
    <row r="211" customFormat="false" ht="15" hidden="false" customHeight="true" outlineLevel="0" collapsed="false">
      <c r="A211" s="3" t="s">
        <v>6242</v>
      </c>
      <c r="B211" s="3" t="s">
        <v>1831</v>
      </c>
      <c r="C211" s="3" t="s">
        <v>6243</v>
      </c>
      <c r="D211" s="3" t="s">
        <v>61</v>
      </c>
      <c r="E211" s="3" t="s">
        <v>33</v>
      </c>
      <c r="F211" s="3" t="s">
        <v>62</v>
      </c>
      <c r="G211" s="3" t="s">
        <v>49</v>
      </c>
      <c r="H211" s="3" t="s">
        <v>56</v>
      </c>
      <c r="I211" s="3" t="s">
        <v>121</v>
      </c>
      <c r="J211" s="3" t="s">
        <v>6003</v>
      </c>
      <c r="K211" s="3" t="n">
        <v>3509073.56</v>
      </c>
      <c r="L211" s="3" t="n">
        <v>0.1839</v>
      </c>
      <c r="M211" s="3" t="n">
        <v>2863754.93</v>
      </c>
      <c r="N211" s="3" t="n">
        <v>819757.87</v>
      </c>
      <c r="O211" s="3" t="n">
        <v>0.2863</v>
      </c>
      <c r="P211" s="3" t="n">
        <v>0.055</v>
      </c>
      <c r="Q211" s="3" t="n">
        <v>157506.52</v>
      </c>
      <c r="R211" s="3" t="n">
        <v>80</v>
      </c>
      <c r="S211" s="3" t="n">
        <v>4.1</v>
      </c>
      <c r="T211" s="3" t="n">
        <v>9.4</v>
      </c>
      <c r="U211" s="3"/>
      <c r="V211" s="3" t="n">
        <v>4.33</v>
      </c>
      <c r="W211" s="3" t="s">
        <v>6000</v>
      </c>
    </row>
    <row r="212" customFormat="false" ht="15" hidden="false" customHeight="true" outlineLevel="0" collapsed="false">
      <c r="A212" s="3" t="s">
        <v>6244</v>
      </c>
      <c r="B212" s="3" t="s">
        <v>4712</v>
      </c>
      <c r="C212" s="3" t="s">
        <v>6245</v>
      </c>
      <c r="D212" s="3" t="s">
        <v>54</v>
      </c>
      <c r="E212" s="3" t="s">
        <v>24</v>
      </c>
      <c r="F212" s="3" t="s">
        <v>40</v>
      </c>
      <c r="G212" s="3" t="s">
        <v>49</v>
      </c>
      <c r="H212" s="3" t="s">
        <v>77</v>
      </c>
      <c r="I212" s="3" t="s">
        <v>85</v>
      </c>
      <c r="J212" s="3" t="s">
        <v>6003</v>
      </c>
      <c r="K212" s="3" t="n">
        <v>344309.31</v>
      </c>
      <c r="L212" s="3" t="n">
        <v>0.2042</v>
      </c>
      <c r="M212" s="3" t="n">
        <v>274001.35</v>
      </c>
      <c r="N212" s="3" t="n">
        <v>95249.87</v>
      </c>
      <c r="O212" s="3" t="n">
        <v>0.3476</v>
      </c>
      <c r="P212" s="3" t="n">
        <v>0.061</v>
      </c>
      <c r="Q212" s="3" t="n">
        <v>16714.08</v>
      </c>
      <c r="R212" s="3" t="n">
        <v>124</v>
      </c>
      <c r="S212" s="3" t="n">
        <v>6.6</v>
      </c>
      <c r="T212" s="3" t="n">
        <v>8</v>
      </c>
      <c r="U212" s="3"/>
      <c r="V212" s="3" t="n">
        <v>5.44</v>
      </c>
      <c r="W212" s="3" t="s">
        <v>5990</v>
      </c>
    </row>
    <row r="213" customFormat="false" ht="15" hidden="false" customHeight="true" outlineLevel="0" collapsed="false">
      <c r="A213" s="3" t="s">
        <v>6246</v>
      </c>
      <c r="B213" s="3" t="s">
        <v>2787</v>
      </c>
      <c r="C213" s="3" t="s">
        <v>1233</v>
      </c>
      <c r="D213" s="3" t="s">
        <v>103</v>
      </c>
      <c r="E213" s="3" t="s">
        <v>24</v>
      </c>
      <c r="F213" s="3" t="s">
        <v>62</v>
      </c>
      <c r="G213" s="3" t="s">
        <v>34</v>
      </c>
      <c r="H213" s="3" t="s">
        <v>56</v>
      </c>
      <c r="I213" s="3" t="s">
        <v>57</v>
      </c>
      <c r="J213" s="3" t="s">
        <v>5992</v>
      </c>
      <c r="K213" s="3" t="n">
        <v>819895.34</v>
      </c>
      <c r="L213" s="3" t="n">
        <v>0.1096</v>
      </c>
      <c r="M213" s="3" t="n">
        <v>730034.81</v>
      </c>
      <c r="N213" s="3" t="n">
        <v>350262.11</v>
      </c>
      <c r="O213" s="3" t="n">
        <v>0.4798</v>
      </c>
      <c r="P213" s="3" t="n">
        <v>0.704</v>
      </c>
      <c r="Q213" s="3" t="n">
        <v>513944.51</v>
      </c>
      <c r="R213" s="3" t="n">
        <v>94</v>
      </c>
      <c r="S213" s="3" t="n">
        <v>4.4</v>
      </c>
      <c r="T213" s="3" t="n">
        <v>3.1</v>
      </c>
      <c r="U213" s="3"/>
      <c r="V213" s="3" t="n">
        <v>7.21</v>
      </c>
      <c r="W213" s="3" t="s">
        <v>5997</v>
      </c>
    </row>
    <row r="214" customFormat="false" ht="15" hidden="false" customHeight="true" outlineLevel="0" collapsed="false">
      <c r="A214" s="3" t="s">
        <v>6247</v>
      </c>
      <c r="B214" s="3" t="s">
        <v>471</v>
      </c>
      <c r="C214" s="3" t="s">
        <v>2428</v>
      </c>
      <c r="D214" s="3" t="s">
        <v>38</v>
      </c>
      <c r="E214" s="3" t="s">
        <v>39</v>
      </c>
      <c r="F214" s="3" t="s">
        <v>40</v>
      </c>
      <c r="G214" s="3" t="s">
        <v>41</v>
      </c>
      <c r="H214" s="3" t="s">
        <v>42</v>
      </c>
      <c r="I214" s="3" t="s">
        <v>134</v>
      </c>
      <c r="J214" s="3" t="s">
        <v>5992</v>
      </c>
      <c r="K214" s="3" t="n">
        <v>3455379.18</v>
      </c>
      <c r="L214" s="3" t="n">
        <v>0.1135</v>
      </c>
      <c r="M214" s="3" t="n">
        <v>3063193.64</v>
      </c>
      <c r="N214" s="3" t="n">
        <v>1460000.81</v>
      </c>
      <c r="O214" s="3" t="n">
        <v>0.4766</v>
      </c>
      <c r="P214" s="3" t="n">
        <v>0.728</v>
      </c>
      <c r="Q214" s="3" t="n">
        <v>2230004.97</v>
      </c>
      <c r="R214" s="3" t="n">
        <v>56</v>
      </c>
      <c r="S214" s="3" t="n">
        <v>7.6</v>
      </c>
      <c r="T214" s="3" t="n">
        <v>2.9</v>
      </c>
      <c r="U214" s="3"/>
      <c r="V214" s="3" t="n">
        <v>8.01</v>
      </c>
      <c r="W214" s="3" t="s">
        <v>5997</v>
      </c>
    </row>
    <row r="215" customFormat="false" ht="15" hidden="false" customHeight="true" outlineLevel="0" collapsed="false">
      <c r="A215" s="3" t="s">
        <v>6248</v>
      </c>
      <c r="B215" s="3" t="s">
        <v>1971</v>
      </c>
      <c r="C215" s="3" t="s">
        <v>738</v>
      </c>
      <c r="D215" s="3" t="s">
        <v>38</v>
      </c>
      <c r="E215" s="3" t="s">
        <v>39</v>
      </c>
      <c r="F215" s="3" t="s">
        <v>40</v>
      </c>
      <c r="G215" s="3" t="s">
        <v>84</v>
      </c>
      <c r="H215" s="3" t="s">
        <v>42</v>
      </c>
      <c r="I215" s="3" t="s">
        <v>43</v>
      </c>
      <c r="J215" s="3" t="s">
        <v>5992</v>
      </c>
      <c r="K215" s="3" t="n">
        <v>1252535.23</v>
      </c>
      <c r="L215" s="3" t="n">
        <v>0.2701</v>
      </c>
      <c r="M215" s="3" t="n">
        <v>914225.46</v>
      </c>
      <c r="N215" s="3" t="n">
        <v>376245.85</v>
      </c>
      <c r="O215" s="3" t="n">
        <v>0.4115</v>
      </c>
      <c r="P215" s="3" t="n">
        <v>0.653</v>
      </c>
      <c r="Q215" s="3" t="n">
        <v>596989.23</v>
      </c>
      <c r="R215" s="3" t="n">
        <v>162</v>
      </c>
      <c r="S215" s="3" t="n">
        <v>1.3</v>
      </c>
      <c r="T215" s="3" t="n">
        <v>7.8</v>
      </c>
      <c r="U215" s="3"/>
      <c r="V215" s="3" t="n">
        <v>4.09</v>
      </c>
      <c r="W215" s="3" t="s">
        <v>6000</v>
      </c>
    </row>
    <row r="216" customFormat="false" ht="15" hidden="false" customHeight="true" outlineLevel="0" collapsed="false">
      <c r="A216" s="3" t="s">
        <v>6249</v>
      </c>
      <c r="B216" s="3" t="s">
        <v>452</v>
      </c>
      <c r="C216" s="3" t="s">
        <v>6250</v>
      </c>
      <c r="D216" s="3" t="s">
        <v>23</v>
      </c>
      <c r="E216" s="3" t="s">
        <v>24</v>
      </c>
      <c r="F216" s="3" t="s">
        <v>25</v>
      </c>
      <c r="G216" s="3" t="s">
        <v>26</v>
      </c>
      <c r="H216" s="3" t="s">
        <v>64</v>
      </c>
      <c r="I216" s="3" t="s">
        <v>108</v>
      </c>
      <c r="J216" s="3" t="s">
        <v>5992</v>
      </c>
      <c r="K216" s="3" t="n">
        <v>4405661.58</v>
      </c>
      <c r="L216" s="3" t="n">
        <v>0.0855</v>
      </c>
      <c r="M216" s="3" t="n">
        <v>4028977.51</v>
      </c>
      <c r="N216" s="3" t="n">
        <v>1213845.21</v>
      </c>
      <c r="O216" s="3" t="n">
        <v>0.3013</v>
      </c>
      <c r="P216" s="3" t="n">
        <v>0.727</v>
      </c>
      <c r="Q216" s="3" t="n">
        <v>2929066.65</v>
      </c>
      <c r="R216" s="3" t="n">
        <v>107</v>
      </c>
      <c r="S216" s="3" t="n">
        <v>4.3</v>
      </c>
      <c r="T216" s="3" t="n">
        <v>4.1</v>
      </c>
      <c r="U216" s="3"/>
      <c r="V216" s="3" t="n">
        <v>6.08</v>
      </c>
      <c r="W216" s="3" t="s">
        <v>5990</v>
      </c>
    </row>
    <row r="217" customFormat="false" ht="15" hidden="false" customHeight="true" outlineLevel="0" collapsed="false">
      <c r="A217" s="3" t="s">
        <v>6251</v>
      </c>
      <c r="B217" s="3" t="s">
        <v>2204</v>
      </c>
      <c r="C217" s="3" t="s">
        <v>3361</v>
      </c>
      <c r="D217" s="3" t="s">
        <v>97</v>
      </c>
      <c r="E217" s="3" t="s">
        <v>48</v>
      </c>
      <c r="F217" s="3" t="s">
        <v>40</v>
      </c>
      <c r="G217" s="3" t="s">
        <v>100</v>
      </c>
      <c r="H217" s="3" t="s">
        <v>77</v>
      </c>
      <c r="I217" s="3" t="s">
        <v>131</v>
      </c>
      <c r="J217" s="3" t="s">
        <v>5999</v>
      </c>
      <c r="K217" s="3" t="n">
        <v>2514237.32</v>
      </c>
      <c r="L217" s="3" t="n">
        <v>0.1461</v>
      </c>
      <c r="M217" s="3" t="n">
        <v>2146907.25</v>
      </c>
      <c r="N217" s="3" t="n">
        <v>882335.92</v>
      </c>
      <c r="O217" s="3" t="n">
        <v>0.411</v>
      </c>
      <c r="P217" s="3" t="n">
        <v>0.469</v>
      </c>
      <c r="Q217" s="3" t="n">
        <v>1006899.5</v>
      </c>
      <c r="R217" s="3" t="n">
        <v>153</v>
      </c>
      <c r="S217" s="3" t="n">
        <v>8.5</v>
      </c>
      <c r="T217" s="3" t="n">
        <v>8.3</v>
      </c>
      <c r="U217" s="3"/>
      <c r="V217" s="3" t="n">
        <v>6.84</v>
      </c>
      <c r="W217" s="3" t="s">
        <v>5997</v>
      </c>
    </row>
    <row r="218" customFormat="false" ht="15" hidden="false" customHeight="true" outlineLevel="0" collapsed="false">
      <c r="A218" s="3" t="s">
        <v>6252</v>
      </c>
      <c r="B218" s="3" t="s">
        <v>1497</v>
      </c>
      <c r="C218" s="3" t="s">
        <v>4712</v>
      </c>
      <c r="D218" s="3" t="s">
        <v>38</v>
      </c>
      <c r="E218" s="3" t="s">
        <v>39</v>
      </c>
      <c r="F218" s="3" t="s">
        <v>40</v>
      </c>
      <c r="G218" s="3" t="s">
        <v>34</v>
      </c>
      <c r="H218" s="3" t="s">
        <v>64</v>
      </c>
      <c r="I218" s="3" t="s">
        <v>145</v>
      </c>
      <c r="J218" s="3" t="s">
        <v>6003</v>
      </c>
      <c r="K218" s="3" t="n">
        <v>2912845.62</v>
      </c>
      <c r="L218" s="3" t="n">
        <v>0.1378</v>
      </c>
      <c r="M218" s="3" t="n">
        <v>2511455.49</v>
      </c>
      <c r="N218" s="3" t="n">
        <v>717727.49</v>
      </c>
      <c r="O218" s="3" t="n">
        <v>0.2858</v>
      </c>
      <c r="P218" s="3" t="n">
        <v>0.085</v>
      </c>
      <c r="Q218" s="3" t="n">
        <v>213473.72</v>
      </c>
      <c r="R218" s="3" t="n">
        <v>144</v>
      </c>
      <c r="S218" s="3" t="n">
        <v>5</v>
      </c>
      <c r="T218" s="3" t="n">
        <v>5</v>
      </c>
      <c r="U218" s="3"/>
      <c r="V218" s="3" t="n">
        <v>5.59</v>
      </c>
      <c r="W218" s="3" t="s">
        <v>5990</v>
      </c>
    </row>
    <row r="219" customFormat="false" ht="15" hidden="false" customHeight="true" outlineLevel="0" collapsed="false">
      <c r="A219" s="3" t="s">
        <v>6253</v>
      </c>
      <c r="B219" s="3" t="s">
        <v>1395</v>
      </c>
      <c r="C219" s="3" t="s">
        <v>1381</v>
      </c>
      <c r="D219" s="3" t="s">
        <v>75</v>
      </c>
      <c r="E219" s="3" t="s">
        <v>39</v>
      </c>
      <c r="F219" s="3" t="s">
        <v>25</v>
      </c>
      <c r="G219" s="3" t="s">
        <v>71</v>
      </c>
      <c r="H219" s="3" t="s">
        <v>56</v>
      </c>
      <c r="I219" s="3" t="s">
        <v>188</v>
      </c>
      <c r="J219" s="3" t="s">
        <v>5996</v>
      </c>
      <c r="K219" s="3" t="n">
        <v>1733523.11</v>
      </c>
      <c r="L219" s="3" t="n">
        <v>0.095</v>
      </c>
      <c r="M219" s="3" t="n">
        <v>1568838.41</v>
      </c>
      <c r="N219" s="3" t="n">
        <v>480358.04</v>
      </c>
      <c r="O219" s="3" t="n">
        <v>0.3062</v>
      </c>
      <c r="P219" s="3" t="n">
        <v>1</v>
      </c>
      <c r="Q219" s="3" t="n">
        <v>1568838.41</v>
      </c>
      <c r="R219" s="3" t="n">
        <v>76</v>
      </c>
      <c r="S219" s="3" t="n">
        <v>5.7</v>
      </c>
      <c r="T219" s="3" t="n">
        <v>1.1</v>
      </c>
      <c r="U219" s="3"/>
      <c r="V219" s="3" t="n">
        <v>6.84</v>
      </c>
      <c r="W219" s="3" t="s">
        <v>5997</v>
      </c>
    </row>
    <row r="220" customFormat="false" ht="15" hidden="false" customHeight="true" outlineLevel="0" collapsed="false">
      <c r="A220" s="3" t="s">
        <v>6254</v>
      </c>
      <c r="B220" s="3" t="s">
        <v>1345</v>
      </c>
      <c r="C220" s="3" t="s">
        <v>6255</v>
      </c>
      <c r="D220" s="3" t="s">
        <v>61</v>
      </c>
      <c r="E220" s="3" t="s">
        <v>33</v>
      </c>
      <c r="F220" s="3" t="s">
        <v>62</v>
      </c>
      <c r="G220" s="3" t="s">
        <v>100</v>
      </c>
      <c r="H220" s="3" t="s">
        <v>56</v>
      </c>
      <c r="I220" s="3" t="s">
        <v>121</v>
      </c>
      <c r="J220" s="3" t="s">
        <v>5999</v>
      </c>
      <c r="K220" s="3" t="n">
        <v>1838760.82</v>
      </c>
      <c r="L220" s="3" t="n">
        <v>0.2109</v>
      </c>
      <c r="M220" s="3" t="n">
        <v>1450966.16</v>
      </c>
      <c r="N220" s="3" t="n">
        <v>447708.06</v>
      </c>
      <c r="O220" s="3" t="n">
        <v>0.3086</v>
      </c>
      <c r="P220" s="3" t="n">
        <v>0.429</v>
      </c>
      <c r="Q220" s="3" t="n">
        <v>622464.48</v>
      </c>
      <c r="R220" s="3" t="n">
        <v>147</v>
      </c>
      <c r="S220" s="3" t="n">
        <v>7.8</v>
      </c>
      <c r="T220" s="3" t="n">
        <v>6.7</v>
      </c>
      <c r="U220" s="3"/>
      <c r="V220" s="3" t="n">
        <v>5.61</v>
      </c>
      <c r="W220" s="3" t="s">
        <v>5990</v>
      </c>
    </row>
    <row r="221" customFormat="false" ht="15" hidden="false" customHeight="true" outlineLevel="0" collapsed="false">
      <c r="A221" s="3" t="s">
        <v>6256</v>
      </c>
      <c r="B221" s="3" t="s">
        <v>1204</v>
      </c>
      <c r="C221" s="3" t="s">
        <v>1276</v>
      </c>
      <c r="D221" s="3" t="s">
        <v>97</v>
      </c>
      <c r="E221" s="3" t="s">
        <v>48</v>
      </c>
      <c r="F221" s="3" t="s">
        <v>40</v>
      </c>
      <c r="G221" s="3" t="s">
        <v>76</v>
      </c>
      <c r="H221" s="3" t="s">
        <v>27</v>
      </c>
      <c r="I221" s="3" t="s">
        <v>173</v>
      </c>
      <c r="J221" s="3" t="s">
        <v>5999</v>
      </c>
      <c r="K221" s="3" t="n">
        <v>2126797.04</v>
      </c>
      <c r="L221" s="3" t="n">
        <v>0.2173</v>
      </c>
      <c r="M221" s="3" t="n">
        <v>1664644.04</v>
      </c>
      <c r="N221" s="3" t="n">
        <v>572998.87</v>
      </c>
      <c r="O221" s="3" t="n">
        <v>0.3442</v>
      </c>
      <c r="P221" s="3" t="n">
        <v>0.447</v>
      </c>
      <c r="Q221" s="3" t="n">
        <v>744095.89</v>
      </c>
      <c r="R221" s="3" t="n">
        <v>177</v>
      </c>
      <c r="S221" s="3" t="n">
        <v>9.1</v>
      </c>
      <c r="T221" s="3" t="n">
        <v>9.2</v>
      </c>
      <c r="U221" s="3"/>
      <c r="V221" s="3" t="n">
        <v>5.75</v>
      </c>
      <c r="W221" s="3" t="s">
        <v>5990</v>
      </c>
    </row>
    <row r="222" customFormat="false" ht="15" hidden="false" customHeight="true" outlineLevel="0" collapsed="false">
      <c r="A222" s="3" t="s">
        <v>6257</v>
      </c>
      <c r="B222" s="3" t="s">
        <v>1468</v>
      </c>
      <c r="C222" s="3" t="s">
        <v>6258</v>
      </c>
      <c r="D222" s="3" t="s">
        <v>83</v>
      </c>
      <c r="E222" s="3" t="s">
        <v>48</v>
      </c>
      <c r="F222" s="3" t="s">
        <v>62</v>
      </c>
      <c r="G222" s="3" t="s">
        <v>71</v>
      </c>
      <c r="H222" s="3" t="s">
        <v>27</v>
      </c>
      <c r="I222" s="3" t="s">
        <v>94</v>
      </c>
      <c r="J222" s="3" t="s">
        <v>5992</v>
      </c>
      <c r="K222" s="3" t="n">
        <v>1815570.84</v>
      </c>
      <c r="L222" s="3" t="n">
        <v>0.163</v>
      </c>
      <c r="M222" s="3" t="n">
        <v>1519632.79</v>
      </c>
      <c r="N222" s="3" t="n">
        <v>629672.32</v>
      </c>
      <c r="O222" s="3" t="n">
        <v>0.4144</v>
      </c>
      <c r="P222" s="3" t="n">
        <v>0.737</v>
      </c>
      <c r="Q222" s="3" t="n">
        <v>1119969.37</v>
      </c>
      <c r="R222" s="3" t="n">
        <v>155</v>
      </c>
      <c r="S222" s="3" t="n">
        <v>7</v>
      </c>
      <c r="T222" s="3" t="n">
        <v>1.3</v>
      </c>
      <c r="U222" s="3"/>
      <c r="V222" s="3" t="n">
        <v>7.42</v>
      </c>
      <c r="W222" s="3" t="s">
        <v>5997</v>
      </c>
    </row>
    <row r="223" customFormat="false" ht="15" hidden="false" customHeight="true" outlineLevel="0" collapsed="false">
      <c r="A223" s="3" t="s">
        <v>6259</v>
      </c>
      <c r="B223" s="3" t="s">
        <v>1726</v>
      </c>
      <c r="C223" s="3" t="s">
        <v>2100</v>
      </c>
      <c r="D223" s="3" t="s">
        <v>103</v>
      </c>
      <c r="E223" s="3" t="s">
        <v>24</v>
      </c>
      <c r="F223" s="3" t="s">
        <v>62</v>
      </c>
      <c r="G223" s="3" t="s">
        <v>76</v>
      </c>
      <c r="H223" s="3" t="s">
        <v>64</v>
      </c>
      <c r="I223" s="3" t="s">
        <v>65</v>
      </c>
      <c r="J223" s="3" t="s">
        <v>5999</v>
      </c>
      <c r="K223" s="3" t="n">
        <v>4476369.34</v>
      </c>
      <c r="L223" s="3" t="n">
        <v>0.2778</v>
      </c>
      <c r="M223" s="3" t="n">
        <v>3232833.94</v>
      </c>
      <c r="N223" s="3" t="n">
        <v>978469.62</v>
      </c>
      <c r="O223" s="3" t="n">
        <v>0.3027</v>
      </c>
      <c r="P223" s="3" t="n">
        <v>0.458</v>
      </c>
      <c r="Q223" s="3" t="n">
        <v>1480637.94</v>
      </c>
      <c r="R223" s="3" t="n">
        <v>67</v>
      </c>
      <c r="S223" s="3" t="n">
        <v>6.7</v>
      </c>
      <c r="T223" s="3" t="n">
        <v>8.4</v>
      </c>
      <c r="U223" s="3"/>
      <c r="V223" s="3" t="n">
        <v>4.43</v>
      </c>
      <c r="W223" s="3" t="s">
        <v>6000</v>
      </c>
    </row>
    <row r="224" customFormat="false" ht="15" hidden="false" customHeight="true" outlineLevel="0" collapsed="false">
      <c r="A224" s="3" t="s">
        <v>6260</v>
      </c>
      <c r="B224" s="3" t="s">
        <v>824</v>
      </c>
      <c r="C224" s="3" t="s">
        <v>543</v>
      </c>
      <c r="D224" s="3" t="s">
        <v>107</v>
      </c>
      <c r="E224" s="3" t="s">
        <v>33</v>
      </c>
      <c r="F224" s="3" t="s">
        <v>70</v>
      </c>
      <c r="G224" s="3" t="s">
        <v>84</v>
      </c>
      <c r="H224" s="3" t="s">
        <v>42</v>
      </c>
      <c r="I224" s="3" t="s">
        <v>134</v>
      </c>
      <c r="J224" s="3" t="s">
        <v>5989</v>
      </c>
      <c r="K224" s="3" t="n">
        <v>880346.76</v>
      </c>
      <c r="L224" s="3" t="n">
        <v>0.0873</v>
      </c>
      <c r="M224" s="3" t="n">
        <v>803492.49</v>
      </c>
      <c r="N224" s="3" t="n">
        <v>284577.66</v>
      </c>
      <c r="O224" s="3" t="n">
        <v>0.3542</v>
      </c>
      <c r="P224" s="3" t="n">
        <v>0.201</v>
      </c>
      <c r="Q224" s="3" t="n">
        <v>161501.99</v>
      </c>
      <c r="R224" s="3" t="n">
        <v>82</v>
      </c>
      <c r="S224" s="3" t="n">
        <v>5.3</v>
      </c>
      <c r="T224" s="3" t="n">
        <v>6.7</v>
      </c>
      <c r="U224" s="3"/>
      <c r="V224" s="3" t="n">
        <v>6.36</v>
      </c>
      <c r="W224" s="3" t="s">
        <v>5990</v>
      </c>
    </row>
    <row r="225" customFormat="false" ht="15" hidden="false" customHeight="true" outlineLevel="0" collapsed="false">
      <c r="A225" s="3" t="s">
        <v>6261</v>
      </c>
      <c r="B225" s="3" t="s">
        <v>496</v>
      </c>
      <c r="C225" s="3" t="s">
        <v>1978</v>
      </c>
      <c r="D225" s="3" t="s">
        <v>38</v>
      </c>
      <c r="E225" s="3" t="s">
        <v>39</v>
      </c>
      <c r="F225" s="3" t="s">
        <v>40</v>
      </c>
      <c r="G225" s="3" t="s">
        <v>100</v>
      </c>
      <c r="H225" s="3" t="s">
        <v>77</v>
      </c>
      <c r="I225" s="3" t="s">
        <v>131</v>
      </c>
      <c r="J225" s="3" t="s">
        <v>5996</v>
      </c>
      <c r="K225" s="3" t="n">
        <v>3757549.94</v>
      </c>
      <c r="L225" s="3" t="n">
        <v>0.0501</v>
      </c>
      <c r="M225" s="3" t="n">
        <v>3569296.69</v>
      </c>
      <c r="N225" s="3" t="n">
        <v>1665028.75</v>
      </c>
      <c r="O225" s="3" t="n">
        <v>0.4665</v>
      </c>
      <c r="P225" s="3" t="n">
        <v>1</v>
      </c>
      <c r="Q225" s="3" t="n">
        <v>3569296.69</v>
      </c>
      <c r="R225" s="3" t="n">
        <v>64</v>
      </c>
      <c r="S225" s="3" t="n">
        <v>5.4</v>
      </c>
      <c r="T225" s="3" t="n">
        <v>2.6</v>
      </c>
      <c r="U225" s="3"/>
      <c r="V225" s="3" t="n">
        <v>8.04</v>
      </c>
      <c r="W225" s="3" t="s">
        <v>5997</v>
      </c>
    </row>
    <row r="226" customFormat="false" ht="15" hidden="false" customHeight="true" outlineLevel="0" collapsed="false">
      <c r="A226" s="3" t="s">
        <v>6262</v>
      </c>
      <c r="B226" s="3" t="s">
        <v>428</v>
      </c>
      <c r="C226" s="3" t="s">
        <v>6263</v>
      </c>
      <c r="D226" s="3" t="s">
        <v>23</v>
      </c>
      <c r="E226" s="3" t="s">
        <v>24</v>
      </c>
      <c r="F226" s="3" t="s">
        <v>25</v>
      </c>
      <c r="G226" s="3" t="s">
        <v>55</v>
      </c>
      <c r="H226" s="3" t="s">
        <v>27</v>
      </c>
      <c r="I226" s="3" t="s">
        <v>173</v>
      </c>
      <c r="J226" s="3" t="s">
        <v>5996</v>
      </c>
      <c r="K226" s="3" t="n">
        <v>1300739.65</v>
      </c>
      <c r="L226" s="3" t="n">
        <v>0.0813</v>
      </c>
      <c r="M226" s="3" t="n">
        <v>1194989.52</v>
      </c>
      <c r="N226" s="3" t="n">
        <v>469975.87</v>
      </c>
      <c r="O226" s="3" t="n">
        <v>0.3933</v>
      </c>
      <c r="P226" s="3" t="n">
        <v>0.992</v>
      </c>
      <c r="Q226" s="3" t="n">
        <v>1185429.6</v>
      </c>
      <c r="R226" s="3" t="n">
        <v>114</v>
      </c>
      <c r="S226" s="3" t="n">
        <v>4.8</v>
      </c>
      <c r="T226" s="3" t="n">
        <v>5.4</v>
      </c>
      <c r="U226" s="3"/>
      <c r="V226" s="3" t="n">
        <v>6.76</v>
      </c>
      <c r="W226" s="3" t="s">
        <v>5997</v>
      </c>
    </row>
    <row r="227" customFormat="false" ht="15" hidden="false" customHeight="true" outlineLevel="0" collapsed="false">
      <c r="A227" s="3" t="s">
        <v>6264</v>
      </c>
      <c r="B227" s="3" t="s">
        <v>2797</v>
      </c>
      <c r="C227" s="3" t="s">
        <v>6265</v>
      </c>
      <c r="D227" s="3" t="s">
        <v>32</v>
      </c>
      <c r="E227" s="3" t="s">
        <v>33</v>
      </c>
      <c r="F227" s="3" t="s">
        <v>25</v>
      </c>
      <c r="G227" s="3" t="s">
        <v>55</v>
      </c>
      <c r="H227" s="3" t="s">
        <v>77</v>
      </c>
      <c r="I227" s="3" t="s">
        <v>85</v>
      </c>
      <c r="J227" s="3" t="s">
        <v>5989</v>
      </c>
      <c r="K227" s="3" t="n">
        <v>955605.53</v>
      </c>
      <c r="L227" s="3" t="n">
        <v>0.1354</v>
      </c>
      <c r="M227" s="3" t="n">
        <v>826216.54</v>
      </c>
      <c r="N227" s="3" t="n">
        <v>335994.33</v>
      </c>
      <c r="O227" s="3" t="n">
        <v>0.4067</v>
      </c>
      <c r="P227" s="3" t="n">
        <v>0.254</v>
      </c>
      <c r="Q227" s="3" t="n">
        <v>209859</v>
      </c>
      <c r="R227" s="3" t="n">
        <v>20</v>
      </c>
      <c r="S227" s="3" t="n">
        <v>2</v>
      </c>
      <c r="T227" s="3" t="n">
        <v>7.2</v>
      </c>
      <c r="U227" s="3"/>
      <c r="V227" s="3" t="n">
        <v>5.45</v>
      </c>
      <c r="W227" s="3" t="s">
        <v>5990</v>
      </c>
    </row>
    <row r="228" customFormat="false" ht="15" hidden="false" customHeight="true" outlineLevel="0" collapsed="false">
      <c r="A228" s="3" t="s">
        <v>6266</v>
      </c>
      <c r="B228" s="3" t="s">
        <v>4535</v>
      </c>
      <c r="C228" s="3" t="s">
        <v>502</v>
      </c>
      <c r="D228" s="3" t="s">
        <v>69</v>
      </c>
      <c r="E228" s="3" t="s">
        <v>39</v>
      </c>
      <c r="F228" s="3" t="s">
        <v>70</v>
      </c>
      <c r="G228" s="3" t="s">
        <v>116</v>
      </c>
      <c r="H228" s="3" t="s">
        <v>27</v>
      </c>
      <c r="I228" s="3" t="s">
        <v>28</v>
      </c>
      <c r="J228" s="3" t="s">
        <v>5996</v>
      </c>
      <c r="K228" s="3" t="n">
        <v>446266.77</v>
      </c>
      <c r="L228" s="3" t="n">
        <v>0.2664</v>
      </c>
      <c r="M228" s="3" t="n">
        <v>327381.3</v>
      </c>
      <c r="N228" s="3" t="n">
        <v>142659.26</v>
      </c>
      <c r="O228" s="3" t="n">
        <v>0.4358</v>
      </c>
      <c r="P228" s="3" t="n">
        <v>0.966</v>
      </c>
      <c r="Q228" s="3" t="n">
        <v>316250.34</v>
      </c>
      <c r="R228" s="3" t="n">
        <v>98</v>
      </c>
      <c r="S228" s="3" t="n">
        <v>6.1</v>
      </c>
      <c r="T228" s="3" t="n">
        <v>1.4</v>
      </c>
      <c r="U228" s="3"/>
      <c r="V228" s="3" t="n">
        <v>6.48</v>
      </c>
      <c r="W228" s="3" t="s">
        <v>5990</v>
      </c>
    </row>
    <row r="229" customFormat="false" ht="15" hidden="false" customHeight="true" outlineLevel="0" collapsed="false">
      <c r="A229" s="3" t="s">
        <v>6267</v>
      </c>
      <c r="B229" s="3" t="s">
        <v>3951</v>
      </c>
      <c r="C229" s="3" t="s">
        <v>3389</v>
      </c>
      <c r="D229" s="3" t="s">
        <v>83</v>
      </c>
      <c r="E229" s="3" t="s">
        <v>48</v>
      </c>
      <c r="F229" s="3" t="s">
        <v>62</v>
      </c>
      <c r="G229" s="3" t="s">
        <v>26</v>
      </c>
      <c r="H229" s="3" t="s">
        <v>42</v>
      </c>
      <c r="I229" s="3" t="s">
        <v>43</v>
      </c>
      <c r="J229" s="3" t="s">
        <v>5999</v>
      </c>
      <c r="K229" s="3" t="n">
        <v>1918872.85</v>
      </c>
      <c r="L229" s="3" t="n">
        <v>0.2239</v>
      </c>
      <c r="M229" s="3" t="n">
        <v>1489237.22</v>
      </c>
      <c r="N229" s="3" t="n">
        <v>652049.05</v>
      </c>
      <c r="O229" s="3" t="n">
        <v>0.4378</v>
      </c>
      <c r="P229" s="3" t="n">
        <v>0.438</v>
      </c>
      <c r="Q229" s="3" t="n">
        <v>652285.9</v>
      </c>
      <c r="R229" s="3" t="n">
        <v>154</v>
      </c>
      <c r="S229" s="3" t="n">
        <v>8.2</v>
      </c>
      <c r="T229" s="3" t="n">
        <v>2.3</v>
      </c>
      <c r="U229" s="3"/>
      <c r="V229" s="3" t="n">
        <v>7.22</v>
      </c>
      <c r="W229" s="3" t="s">
        <v>5997</v>
      </c>
    </row>
    <row r="230" customFormat="false" ht="15" hidden="false" customHeight="true" outlineLevel="0" collapsed="false">
      <c r="A230" s="3" t="s">
        <v>6268</v>
      </c>
      <c r="B230" s="3" t="s">
        <v>860</v>
      </c>
      <c r="C230" s="3" t="s">
        <v>543</v>
      </c>
      <c r="D230" s="3" t="s">
        <v>23</v>
      </c>
      <c r="E230" s="3" t="s">
        <v>24</v>
      </c>
      <c r="F230" s="3" t="s">
        <v>25</v>
      </c>
      <c r="G230" s="3" t="s">
        <v>63</v>
      </c>
      <c r="H230" s="3" t="s">
        <v>64</v>
      </c>
      <c r="I230" s="3" t="s">
        <v>65</v>
      </c>
      <c r="J230" s="3" t="s">
        <v>5999</v>
      </c>
      <c r="K230" s="3" t="n">
        <v>1100685.79</v>
      </c>
      <c r="L230" s="3" t="n">
        <v>0.2628</v>
      </c>
      <c r="M230" s="3" t="n">
        <v>811425.56</v>
      </c>
      <c r="N230" s="3" t="n">
        <v>340685.56</v>
      </c>
      <c r="O230" s="3" t="n">
        <v>0.4199</v>
      </c>
      <c r="P230" s="3" t="n">
        <v>0.447</v>
      </c>
      <c r="Q230" s="3" t="n">
        <v>362707.23</v>
      </c>
      <c r="R230" s="3" t="n">
        <v>85</v>
      </c>
      <c r="S230" s="3" t="n">
        <v>1.3</v>
      </c>
      <c r="T230" s="3" t="n">
        <v>1.4</v>
      </c>
      <c r="U230" s="3"/>
      <c r="V230" s="3" t="n">
        <v>5.17</v>
      </c>
      <c r="W230" s="3" t="s">
        <v>5990</v>
      </c>
    </row>
    <row r="231" customFormat="false" ht="15" hidden="false" customHeight="true" outlineLevel="0" collapsed="false">
      <c r="A231" s="3" t="s">
        <v>6269</v>
      </c>
      <c r="B231" s="3" t="s">
        <v>1801</v>
      </c>
      <c r="C231" s="3" t="s">
        <v>3027</v>
      </c>
      <c r="D231" s="3" t="s">
        <v>47</v>
      </c>
      <c r="E231" s="3" t="s">
        <v>48</v>
      </c>
      <c r="F231" s="3" t="s">
        <v>25</v>
      </c>
      <c r="G231" s="3" t="s">
        <v>84</v>
      </c>
      <c r="H231" s="3" t="s">
        <v>27</v>
      </c>
      <c r="I231" s="3" t="s">
        <v>173</v>
      </c>
      <c r="J231" s="3" t="s">
        <v>6009</v>
      </c>
      <c r="K231" s="3" t="n">
        <v>1222642.23</v>
      </c>
      <c r="L231" s="3" t="n">
        <v>0.277</v>
      </c>
      <c r="M231" s="3" t="n">
        <v>883970.33</v>
      </c>
      <c r="N231" s="3" t="n">
        <v>330894.23</v>
      </c>
      <c r="O231" s="3" t="n">
        <v>0.3743</v>
      </c>
      <c r="P231" s="3" t="n">
        <v>0</v>
      </c>
      <c r="Q231" s="3" t="n">
        <v>0</v>
      </c>
      <c r="R231" s="3" t="n">
        <v>56</v>
      </c>
      <c r="S231" s="3" t="n">
        <v>2.1</v>
      </c>
      <c r="T231" s="3" t="n">
        <v>2.1</v>
      </c>
      <c r="U231" s="3" t="s">
        <v>6041</v>
      </c>
      <c r="V231" s="3" t="n">
        <v>4.82</v>
      </c>
      <c r="W231" s="3" t="s">
        <v>6000</v>
      </c>
    </row>
    <row r="232" customFormat="false" ht="15" hidden="false" customHeight="true" outlineLevel="0" collapsed="false">
      <c r="A232" s="3" t="s">
        <v>6270</v>
      </c>
      <c r="B232" s="3" t="s">
        <v>742</v>
      </c>
      <c r="C232" s="3" t="s">
        <v>618</v>
      </c>
      <c r="D232" s="3" t="s">
        <v>83</v>
      </c>
      <c r="E232" s="3" t="s">
        <v>48</v>
      </c>
      <c r="F232" s="3" t="s">
        <v>62</v>
      </c>
      <c r="G232" s="3" t="s">
        <v>100</v>
      </c>
      <c r="H232" s="3" t="s">
        <v>64</v>
      </c>
      <c r="I232" s="3" t="s">
        <v>65</v>
      </c>
      <c r="J232" s="3" t="s">
        <v>5996</v>
      </c>
      <c r="K232" s="3" t="n">
        <v>2381073.44</v>
      </c>
      <c r="L232" s="3" t="n">
        <v>0.2525</v>
      </c>
      <c r="M232" s="3" t="n">
        <v>1779852.4</v>
      </c>
      <c r="N232" s="3" t="n">
        <v>558266.28</v>
      </c>
      <c r="O232" s="3" t="n">
        <v>0.3137</v>
      </c>
      <c r="P232" s="3" t="n">
        <v>1</v>
      </c>
      <c r="Q232" s="3" t="n">
        <v>1779852.4</v>
      </c>
      <c r="R232" s="3" t="n">
        <v>40</v>
      </c>
      <c r="S232" s="3" t="n">
        <v>5.1</v>
      </c>
      <c r="T232" s="3" t="n">
        <v>7.6</v>
      </c>
      <c r="U232" s="3"/>
      <c r="V232" s="3" t="n">
        <v>4.49</v>
      </c>
      <c r="W232" s="3" t="s">
        <v>6000</v>
      </c>
    </row>
    <row r="233" customFormat="false" ht="15" hidden="false" customHeight="true" outlineLevel="0" collapsed="false">
      <c r="A233" s="3" t="s">
        <v>6271</v>
      </c>
      <c r="B233" s="3" t="s">
        <v>519</v>
      </c>
      <c r="C233" s="3" t="s">
        <v>422</v>
      </c>
      <c r="D233" s="3" t="s">
        <v>47</v>
      </c>
      <c r="E233" s="3" t="s">
        <v>48</v>
      </c>
      <c r="F233" s="3" t="s">
        <v>25</v>
      </c>
      <c r="G233" s="3" t="s">
        <v>71</v>
      </c>
      <c r="H233" s="3" t="s">
        <v>42</v>
      </c>
      <c r="I233" s="3" t="s">
        <v>134</v>
      </c>
      <c r="J233" s="3" t="s">
        <v>5996</v>
      </c>
      <c r="K233" s="3" t="n">
        <v>2171380.75</v>
      </c>
      <c r="L233" s="3" t="n">
        <v>0.1328</v>
      </c>
      <c r="M233" s="3" t="n">
        <v>1883021.39</v>
      </c>
      <c r="N233" s="3" t="n">
        <v>666666.95</v>
      </c>
      <c r="O233" s="3" t="n">
        <v>0.354</v>
      </c>
      <c r="P233" s="3" t="n">
        <v>0.995</v>
      </c>
      <c r="Q233" s="3" t="n">
        <v>1873606.28</v>
      </c>
      <c r="R233" s="3" t="n">
        <v>107</v>
      </c>
      <c r="S233" s="3" t="n">
        <v>1.2</v>
      </c>
      <c r="T233" s="3" t="n">
        <v>3</v>
      </c>
      <c r="U233" s="3"/>
      <c r="V233" s="3" t="n">
        <v>5.51</v>
      </c>
      <c r="W233" s="3" t="s">
        <v>5990</v>
      </c>
    </row>
    <row r="234" customFormat="false" ht="15" hidden="false" customHeight="true" outlineLevel="0" collapsed="false">
      <c r="A234" s="3" t="s">
        <v>6272</v>
      </c>
      <c r="B234" s="3" t="s">
        <v>1564</v>
      </c>
      <c r="C234" s="3" t="s">
        <v>4468</v>
      </c>
      <c r="D234" s="3" t="s">
        <v>97</v>
      </c>
      <c r="E234" s="3" t="s">
        <v>48</v>
      </c>
      <c r="F234" s="3" t="s">
        <v>40</v>
      </c>
      <c r="G234" s="3" t="s">
        <v>71</v>
      </c>
      <c r="H234" s="3" t="s">
        <v>64</v>
      </c>
      <c r="I234" s="3" t="s">
        <v>90</v>
      </c>
      <c r="J234" s="3" t="s">
        <v>5999</v>
      </c>
      <c r="K234" s="3" t="n">
        <v>3654739.43</v>
      </c>
      <c r="L234" s="3" t="n">
        <v>0.2083</v>
      </c>
      <c r="M234" s="3" t="n">
        <v>2893457.21</v>
      </c>
      <c r="N234" s="3" t="n">
        <v>954634.38</v>
      </c>
      <c r="O234" s="3" t="n">
        <v>0.3299</v>
      </c>
      <c r="P234" s="3" t="n">
        <v>0.493</v>
      </c>
      <c r="Q234" s="3" t="n">
        <v>1426474.4</v>
      </c>
      <c r="R234" s="3" t="n">
        <v>139</v>
      </c>
      <c r="S234" s="3" t="n">
        <v>9.8</v>
      </c>
      <c r="T234" s="3" t="n">
        <v>8.5</v>
      </c>
      <c r="U234" s="3"/>
      <c r="V234" s="3" t="n">
        <v>6</v>
      </c>
      <c r="W234" s="3" t="s">
        <v>5990</v>
      </c>
    </row>
    <row r="235" customFormat="false" ht="15" hidden="false" customHeight="true" outlineLevel="0" collapsed="false">
      <c r="A235" s="3" t="s">
        <v>6273</v>
      </c>
      <c r="B235" s="3" t="s">
        <v>30</v>
      </c>
      <c r="C235" s="3" t="s">
        <v>4110</v>
      </c>
      <c r="D235" s="3" t="s">
        <v>32</v>
      </c>
      <c r="E235" s="3" t="s">
        <v>33</v>
      </c>
      <c r="F235" s="3" t="s">
        <v>25</v>
      </c>
      <c r="G235" s="3" t="s">
        <v>26</v>
      </c>
      <c r="H235" s="3" t="s">
        <v>56</v>
      </c>
      <c r="I235" s="3" t="s">
        <v>121</v>
      </c>
      <c r="J235" s="3" t="s">
        <v>5992</v>
      </c>
      <c r="K235" s="3" t="n">
        <v>4199983.32</v>
      </c>
      <c r="L235" s="3" t="n">
        <v>0.1044</v>
      </c>
      <c r="M235" s="3" t="n">
        <v>3761505.06</v>
      </c>
      <c r="N235" s="3" t="n">
        <v>1185162.78</v>
      </c>
      <c r="O235" s="3" t="n">
        <v>0.3151</v>
      </c>
      <c r="P235" s="3" t="n">
        <v>0.678</v>
      </c>
      <c r="Q235" s="3" t="n">
        <v>2550300.43</v>
      </c>
      <c r="R235" s="3" t="n">
        <v>149</v>
      </c>
      <c r="S235" s="3" t="n">
        <v>7.4</v>
      </c>
      <c r="T235" s="3" t="n">
        <v>4.6</v>
      </c>
      <c r="U235" s="3"/>
      <c r="V235" s="3" t="n">
        <v>6.73</v>
      </c>
      <c r="W235" s="3" t="s">
        <v>5997</v>
      </c>
    </row>
    <row r="236" customFormat="false" ht="15" hidden="false" customHeight="true" outlineLevel="0" collapsed="false">
      <c r="A236" s="3" t="s">
        <v>6274</v>
      </c>
      <c r="B236" s="3" t="s">
        <v>2651</v>
      </c>
      <c r="C236" s="3" t="s">
        <v>1193</v>
      </c>
      <c r="D236" s="3" t="s">
        <v>75</v>
      </c>
      <c r="E236" s="3" t="s">
        <v>39</v>
      </c>
      <c r="F236" s="3" t="s">
        <v>25</v>
      </c>
      <c r="G236" s="3" t="s">
        <v>100</v>
      </c>
      <c r="H236" s="3" t="s">
        <v>64</v>
      </c>
      <c r="I236" s="3" t="s">
        <v>65</v>
      </c>
      <c r="J236" s="3" t="s">
        <v>6003</v>
      </c>
      <c r="K236" s="3" t="n">
        <v>1613291.3</v>
      </c>
      <c r="L236" s="3" t="n">
        <v>0.1035</v>
      </c>
      <c r="M236" s="3" t="n">
        <v>1446315.65</v>
      </c>
      <c r="N236" s="3" t="n">
        <v>617702.86</v>
      </c>
      <c r="O236" s="3" t="n">
        <v>0.4271</v>
      </c>
      <c r="P236" s="3" t="n">
        <v>0.076</v>
      </c>
      <c r="Q236" s="3" t="n">
        <v>109919.99</v>
      </c>
      <c r="R236" s="3" t="n">
        <v>20</v>
      </c>
      <c r="S236" s="3" t="n">
        <v>8.4</v>
      </c>
      <c r="T236" s="3" t="n">
        <v>2.6</v>
      </c>
      <c r="U236" s="3"/>
      <c r="V236" s="3" t="n">
        <v>8.18</v>
      </c>
      <c r="W236" s="3" t="s">
        <v>5997</v>
      </c>
    </row>
    <row r="237" customFormat="false" ht="15" hidden="false" customHeight="true" outlineLevel="0" collapsed="false">
      <c r="A237" s="3" t="s">
        <v>6275</v>
      </c>
      <c r="B237" s="3" t="s">
        <v>781</v>
      </c>
      <c r="C237" s="3" t="s">
        <v>1647</v>
      </c>
      <c r="D237" s="3" t="s">
        <v>83</v>
      </c>
      <c r="E237" s="3" t="s">
        <v>48</v>
      </c>
      <c r="F237" s="3" t="s">
        <v>62</v>
      </c>
      <c r="G237" s="3" t="s">
        <v>104</v>
      </c>
      <c r="H237" s="3" t="s">
        <v>27</v>
      </c>
      <c r="I237" s="3" t="s">
        <v>28</v>
      </c>
      <c r="J237" s="3" t="s">
        <v>5989</v>
      </c>
      <c r="K237" s="3" t="n">
        <v>4767157.56</v>
      </c>
      <c r="L237" s="3" t="n">
        <v>0.1672</v>
      </c>
      <c r="M237" s="3" t="n">
        <v>3970088.82</v>
      </c>
      <c r="N237" s="3" t="n">
        <v>1637620.87</v>
      </c>
      <c r="O237" s="3" t="n">
        <v>0.4125</v>
      </c>
      <c r="P237" s="3" t="n">
        <v>0.22</v>
      </c>
      <c r="Q237" s="3" t="n">
        <v>873419.54</v>
      </c>
      <c r="R237" s="3" t="n">
        <v>102</v>
      </c>
      <c r="S237" s="3" t="n">
        <v>7.4</v>
      </c>
      <c r="T237" s="3" t="n">
        <v>6.5</v>
      </c>
      <c r="U237" s="3"/>
      <c r="V237" s="3" t="n">
        <v>6.7</v>
      </c>
      <c r="W237" s="3" t="s">
        <v>5997</v>
      </c>
    </row>
    <row r="238" customFormat="false" ht="15" hidden="false" customHeight="true" outlineLevel="0" collapsed="false">
      <c r="A238" s="3" t="s">
        <v>6276</v>
      </c>
      <c r="B238" s="3" t="s">
        <v>1065</v>
      </c>
      <c r="C238" s="3" t="s">
        <v>2542</v>
      </c>
      <c r="D238" s="3" t="s">
        <v>54</v>
      </c>
      <c r="E238" s="3" t="s">
        <v>24</v>
      </c>
      <c r="F238" s="3" t="s">
        <v>40</v>
      </c>
      <c r="G238" s="3" t="s">
        <v>34</v>
      </c>
      <c r="H238" s="3" t="s">
        <v>27</v>
      </c>
      <c r="I238" s="3" t="s">
        <v>173</v>
      </c>
      <c r="J238" s="3" t="s">
        <v>5992</v>
      </c>
      <c r="K238" s="3" t="n">
        <v>1740418.99</v>
      </c>
      <c r="L238" s="3" t="n">
        <v>0.076</v>
      </c>
      <c r="M238" s="3" t="n">
        <v>1608147.15</v>
      </c>
      <c r="N238" s="3" t="n">
        <v>497311.94</v>
      </c>
      <c r="O238" s="3" t="n">
        <v>0.3092</v>
      </c>
      <c r="P238" s="3" t="n">
        <v>0.67</v>
      </c>
      <c r="Q238" s="3" t="n">
        <v>1077458.59</v>
      </c>
      <c r="R238" s="3" t="n">
        <v>176</v>
      </c>
      <c r="S238" s="3" t="n">
        <v>2.7</v>
      </c>
      <c r="T238" s="3" t="n">
        <v>8.3</v>
      </c>
      <c r="U238" s="3"/>
      <c r="V238" s="3" t="n">
        <v>5.22</v>
      </c>
      <c r="W238" s="3" t="s">
        <v>5990</v>
      </c>
    </row>
    <row r="239" customFormat="false" ht="15" hidden="false" customHeight="true" outlineLevel="0" collapsed="false">
      <c r="A239" s="3" t="s">
        <v>6277</v>
      </c>
      <c r="B239" s="3" t="s">
        <v>1163</v>
      </c>
      <c r="C239" s="3" t="s">
        <v>467</v>
      </c>
      <c r="D239" s="3" t="s">
        <v>107</v>
      </c>
      <c r="E239" s="3" t="s">
        <v>33</v>
      </c>
      <c r="F239" s="3" t="s">
        <v>70</v>
      </c>
      <c r="G239" s="3" t="s">
        <v>84</v>
      </c>
      <c r="H239" s="3" t="s">
        <v>64</v>
      </c>
      <c r="I239" s="3" t="s">
        <v>65</v>
      </c>
      <c r="J239" s="3" t="s">
        <v>5996</v>
      </c>
      <c r="K239" s="3" t="n">
        <v>917628.13</v>
      </c>
      <c r="L239" s="3" t="n">
        <v>0.1471</v>
      </c>
      <c r="M239" s="3" t="n">
        <v>782645.03</v>
      </c>
      <c r="N239" s="3" t="n">
        <v>340431.02</v>
      </c>
      <c r="O239" s="3" t="n">
        <v>0.435</v>
      </c>
      <c r="P239" s="3" t="n">
        <v>1</v>
      </c>
      <c r="Q239" s="3" t="n">
        <v>782645.03</v>
      </c>
      <c r="R239" s="3" t="n">
        <v>21</v>
      </c>
      <c r="S239" s="3" t="n">
        <v>9.2</v>
      </c>
      <c r="T239" s="3" t="n">
        <v>8</v>
      </c>
      <c r="U239" s="3"/>
      <c r="V239" s="3" t="n">
        <v>7.27</v>
      </c>
      <c r="W239" s="3" t="s">
        <v>5997</v>
      </c>
    </row>
    <row r="240" customFormat="false" ht="15" hidden="false" customHeight="true" outlineLevel="0" collapsed="false">
      <c r="A240" s="3" t="s">
        <v>6278</v>
      </c>
      <c r="B240" s="3" t="s">
        <v>3538</v>
      </c>
      <c r="C240" s="3" t="s">
        <v>1332</v>
      </c>
      <c r="D240" s="3" t="s">
        <v>97</v>
      </c>
      <c r="E240" s="3" t="s">
        <v>48</v>
      </c>
      <c r="F240" s="3" t="s">
        <v>40</v>
      </c>
      <c r="G240" s="3" t="s">
        <v>71</v>
      </c>
      <c r="H240" s="3" t="s">
        <v>42</v>
      </c>
      <c r="I240" s="3" t="s">
        <v>72</v>
      </c>
      <c r="J240" s="3" t="s">
        <v>6009</v>
      </c>
      <c r="K240" s="3" t="n">
        <v>114407.76</v>
      </c>
      <c r="L240" s="3" t="n">
        <v>0.2723</v>
      </c>
      <c r="M240" s="3" t="n">
        <v>83254.53</v>
      </c>
      <c r="N240" s="3" t="n">
        <v>31378.25</v>
      </c>
      <c r="O240" s="3" t="n">
        <v>0.3769</v>
      </c>
      <c r="P240" s="3" t="n">
        <v>0</v>
      </c>
      <c r="Q240" s="3" t="n">
        <v>0</v>
      </c>
      <c r="R240" s="3" t="n">
        <v>34</v>
      </c>
      <c r="S240" s="3" t="n">
        <v>7.9</v>
      </c>
      <c r="T240" s="3" t="n">
        <v>5.5</v>
      </c>
      <c r="U240" s="3" t="s">
        <v>6010</v>
      </c>
      <c r="V240" s="3" t="n">
        <v>5.82</v>
      </c>
      <c r="W240" s="3" t="s">
        <v>5990</v>
      </c>
    </row>
    <row r="241" customFormat="false" ht="15" hidden="false" customHeight="true" outlineLevel="0" collapsed="false">
      <c r="A241" s="3" t="s">
        <v>6279</v>
      </c>
      <c r="B241" s="3" t="s">
        <v>2361</v>
      </c>
      <c r="C241" s="3" t="s">
        <v>1954</v>
      </c>
      <c r="D241" s="3" t="s">
        <v>54</v>
      </c>
      <c r="E241" s="3" t="s">
        <v>24</v>
      </c>
      <c r="F241" s="3" t="s">
        <v>40</v>
      </c>
      <c r="G241" s="3" t="s">
        <v>63</v>
      </c>
      <c r="H241" s="3" t="s">
        <v>64</v>
      </c>
      <c r="I241" s="3" t="s">
        <v>65</v>
      </c>
      <c r="J241" s="3" t="s">
        <v>6009</v>
      </c>
      <c r="K241" s="3" t="n">
        <v>3423020.98</v>
      </c>
      <c r="L241" s="3" t="n">
        <v>0.2447</v>
      </c>
      <c r="M241" s="3" t="n">
        <v>2585407.75</v>
      </c>
      <c r="N241" s="3" t="n">
        <v>763940.24</v>
      </c>
      <c r="O241" s="3" t="n">
        <v>0.2955</v>
      </c>
      <c r="P241" s="3" t="n">
        <v>0</v>
      </c>
      <c r="Q241" s="3" t="n">
        <v>0</v>
      </c>
      <c r="R241" s="3" t="n">
        <v>37</v>
      </c>
      <c r="S241" s="3" t="n">
        <v>5</v>
      </c>
      <c r="T241" s="3" t="n">
        <v>7.3</v>
      </c>
      <c r="U241" s="3" t="s">
        <v>6025</v>
      </c>
      <c r="V241" s="3" t="n">
        <v>4.42</v>
      </c>
      <c r="W241" s="3" t="s">
        <v>6000</v>
      </c>
    </row>
    <row r="242" customFormat="false" ht="15" hidden="false" customHeight="true" outlineLevel="0" collapsed="false">
      <c r="A242" s="3" t="s">
        <v>6280</v>
      </c>
      <c r="B242" s="3" t="s">
        <v>4468</v>
      </c>
      <c r="C242" s="3" t="s">
        <v>1137</v>
      </c>
      <c r="D242" s="3" t="s">
        <v>61</v>
      </c>
      <c r="E242" s="3" t="s">
        <v>33</v>
      </c>
      <c r="F242" s="3" t="s">
        <v>62</v>
      </c>
      <c r="G242" s="3" t="s">
        <v>100</v>
      </c>
      <c r="H242" s="3" t="s">
        <v>27</v>
      </c>
      <c r="I242" s="3" t="s">
        <v>94</v>
      </c>
      <c r="J242" s="3" t="s">
        <v>5996</v>
      </c>
      <c r="K242" s="3" t="n">
        <v>4824543.06</v>
      </c>
      <c r="L242" s="3" t="n">
        <v>0.2628</v>
      </c>
      <c r="M242" s="3" t="n">
        <v>3556653.14</v>
      </c>
      <c r="N242" s="3" t="n">
        <v>1086858.51</v>
      </c>
      <c r="O242" s="3" t="n">
        <v>0.3056</v>
      </c>
      <c r="P242" s="3" t="n">
        <v>1</v>
      </c>
      <c r="Q242" s="3" t="n">
        <v>3556653.14</v>
      </c>
      <c r="R242" s="3" t="n">
        <v>123</v>
      </c>
      <c r="S242" s="3" t="n">
        <v>9.2</v>
      </c>
      <c r="T242" s="3" t="n">
        <v>2.2</v>
      </c>
      <c r="U242" s="3"/>
      <c r="V242" s="3" t="n">
        <v>6.15</v>
      </c>
      <c r="W242" s="3" t="s">
        <v>5990</v>
      </c>
    </row>
    <row r="243" customFormat="false" ht="15" hidden="false" customHeight="true" outlineLevel="0" collapsed="false">
      <c r="A243" s="3" t="s">
        <v>6281</v>
      </c>
      <c r="B243" s="3" t="s">
        <v>264</v>
      </c>
      <c r="C243" s="3" t="s">
        <v>2787</v>
      </c>
      <c r="D243" s="3" t="s">
        <v>103</v>
      </c>
      <c r="E243" s="3" t="s">
        <v>24</v>
      </c>
      <c r="F243" s="3" t="s">
        <v>62</v>
      </c>
      <c r="G243" s="3" t="s">
        <v>84</v>
      </c>
      <c r="H243" s="3" t="s">
        <v>64</v>
      </c>
      <c r="I243" s="3" t="s">
        <v>90</v>
      </c>
      <c r="J243" s="3" t="s">
        <v>5989</v>
      </c>
      <c r="K243" s="3" t="n">
        <v>3284594.87</v>
      </c>
      <c r="L243" s="3" t="n">
        <v>0.0786</v>
      </c>
      <c r="M243" s="3" t="n">
        <v>3026425.71</v>
      </c>
      <c r="N243" s="3" t="n">
        <v>1445121.31</v>
      </c>
      <c r="O243" s="3" t="n">
        <v>0.4775</v>
      </c>
      <c r="P243" s="3" t="n">
        <v>0.253</v>
      </c>
      <c r="Q243" s="3" t="n">
        <v>765685.7</v>
      </c>
      <c r="R243" s="3" t="n">
        <v>115</v>
      </c>
      <c r="S243" s="3" t="n">
        <v>5.7</v>
      </c>
      <c r="T243" s="3" t="n">
        <v>4.9</v>
      </c>
      <c r="U243" s="3"/>
      <c r="V243" s="3" t="n">
        <v>7.54</v>
      </c>
      <c r="W243" s="3" t="s">
        <v>5997</v>
      </c>
    </row>
    <row r="244" customFormat="false" ht="15" hidden="false" customHeight="true" outlineLevel="0" collapsed="false">
      <c r="A244" s="3" t="s">
        <v>6282</v>
      </c>
      <c r="B244" s="3" t="s">
        <v>1483</v>
      </c>
      <c r="C244" s="3" t="s">
        <v>1731</v>
      </c>
      <c r="D244" s="3" t="s">
        <v>47</v>
      </c>
      <c r="E244" s="3" t="s">
        <v>48</v>
      </c>
      <c r="F244" s="3" t="s">
        <v>25</v>
      </c>
      <c r="G244" s="3" t="s">
        <v>76</v>
      </c>
      <c r="H244" s="3" t="s">
        <v>42</v>
      </c>
      <c r="I244" s="3" t="s">
        <v>43</v>
      </c>
      <c r="J244" s="3" t="s">
        <v>5999</v>
      </c>
      <c r="K244" s="3" t="n">
        <v>1214385.19</v>
      </c>
      <c r="L244" s="3" t="n">
        <v>0.2687</v>
      </c>
      <c r="M244" s="3" t="n">
        <v>888079.89</v>
      </c>
      <c r="N244" s="3" t="n">
        <v>277097</v>
      </c>
      <c r="O244" s="3" t="n">
        <v>0.312</v>
      </c>
      <c r="P244" s="3" t="n">
        <v>0.457</v>
      </c>
      <c r="Q244" s="3" t="n">
        <v>405852.51</v>
      </c>
      <c r="R244" s="3" t="n">
        <v>154</v>
      </c>
      <c r="S244" s="3" t="n">
        <v>2.7</v>
      </c>
      <c r="T244" s="3" t="n">
        <v>5.2</v>
      </c>
      <c r="U244" s="3"/>
      <c r="V244" s="3" t="n">
        <v>4.06</v>
      </c>
      <c r="W244" s="3" t="s">
        <v>6000</v>
      </c>
    </row>
    <row r="245" customFormat="false" ht="15" hidden="false" customHeight="true" outlineLevel="0" collapsed="false">
      <c r="A245" s="3" t="s">
        <v>6283</v>
      </c>
      <c r="B245" s="3" t="s">
        <v>1502</v>
      </c>
      <c r="C245" s="3" t="s">
        <v>6284</v>
      </c>
      <c r="D245" s="3" t="s">
        <v>75</v>
      </c>
      <c r="E245" s="3" t="s">
        <v>39</v>
      </c>
      <c r="F245" s="3" t="s">
        <v>25</v>
      </c>
      <c r="G245" s="3" t="s">
        <v>49</v>
      </c>
      <c r="H245" s="3" t="s">
        <v>42</v>
      </c>
      <c r="I245" s="3" t="s">
        <v>43</v>
      </c>
      <c r="J245" s="3" t="s">
        <v>5999</v>
      </c>
      <c r="K245" s="3" t="n">
        <v>4630648.82</v>
      </c>
      <c r="L245" s="3" t="n">
        <v>0.1846</v>
      </c>
      <c r="M245" s="3" t="n">
        <v>3775831.05</v>
      </c>
      <c r="N245" s="3" t="n">
        <v>1182138.6</v>
      </c>
      <c r="O245" s="3" t="n">
        <v>0.3131</v>
      </c>
      <c r="P245" s="3" t="n">
        <v>0.472</v>
      </c>
      <c r="Q245" s="3" t="n">
        <v>1782192.26</v>
      </c>
      <c r="R245" s="3" t="n">
        <v>139</v>
      </c>
      <c r="S245" s="3" t="n">
        <v>8.3</v>
      </c>
      <c r="T245" s="3" t="n">
        <v>3</v>
      </c>
      <c r="U245" s="3"/>
      <c r="V245" s="3" t="n">
        <v>6.52</v>
      </c>
      <c r="W245" s="3" t="s">
        <v>5997</v>
      </c>
    </row>
    <row r="246" customFormat="false" ht="15" hidden="false" customHeight="true" outlineLevel="0" collapsed="false">
      <c r="A246" s="3" t="s">
        <v>6285</v>
      </c>
      <c r="B246" s="3" t="s">
        <v>2873</v>
      </c>
      <c r="C246" s="3" t="s">
        <v>6286</v>
      </c>
      <c r="D246" s="3" t="s">
        <v>38</v>
      </c>
      <c r="E246" s="3" t="s">
        <v>39</v>
      </c>
      <c r="F246" s="3" t="s">
        <v>40</v>
      </c>
      <c r="G246" s="3" t="s">
        <v>63</v>
      </c>
      <c r="H246" s="3" t="s">
        <v>42</v>
      </c>
      <c r="I246" s="3" t="s">
        <v>43</v>
      </c>
      <c r="J246" s="3" t="s">
        <v>5992</v>
      </c>
      <c r="K246" s="3" t="n">
        <v>1959444.22</v>
      </c>
      <c r="L246" s="3" t="n">
        <v>0.1061</v>
      </c>
      <c r="M246" s="3" t="n">
        <v>1751547.19</v>
      </c>
      <c r="N246" s="3" t="n">
        <v>784312.8</v>
      </c>
      <c r="O246" s="3" t="n">
        <v>0.4478</v>
      </c>
      <c r="P246" s="3" t="n">
        <v>0.675</v>
      </c>
      <c r="Q246" s="3" t="n">
        <v>1182294.35</v>
      </c>
      <c r="R246" s="3" t="n">
        <v>180</v>
      </c>
      <c r="S246" s="3" t="n">
        <v>5.3</v>
      </c>
      <c r="T246" s="3" t="n">
        <v>8.5</v>
      </c>
      <c r="U246" s="3"/>
      <c r="V246" s="3" t="n">
        <v>6.67</v>
      </c>
      <c r="W246" s="3" t="s">
        <v>5997</v>
      </c>
    </row>
    <row r="247" customFormat="false" ht="15" hidden="false" customHeight="true" outlineLevel="0" collapsed="false">
      <c r="A247" s="3" t="s">
        <v>6287</v>
      </c>
      <c r="B247" s="3" t="s">
        <v>4960</v>
      </c>
      <c r="C247" s="3" t="s">
        <v>6288</v>
      </c>
      <c r="D247" s="3" t="s">
        <v>61</v>
      </c>
      <c r="E247" s="3" t="s">
        <v>33</v>
      </c>
      <c r="F247" s="3" t="s">
        <v>62</v>
      </c>
      <c r="G247" s="3" t="s">
        <v>26</v>
      </c>
      <c r="H247" s="3" t="s">
        <v>42</v>
      </c>
      <c r="I247" s="3" t="s">
        <v>72</v>
      </c>
      <c r="J247" s="3" t="s">
        <v>6003</v>
      </c>
      <c r="K247" s="3" t="n">
        <v>3094421.74</v>
      </c>
      <c r="L247" s="3" t="n">
        <v>0.2281</v>
      </c>
      <c r="M247" s="3" t="n">
        <v>2388584.14</v>
      </c>
      <c r="N247" s="3" t="n">
        <v>684927.44</v>
      </c>
      <c r="O247" s="3" t="n">
        <v>0.2868</v>
      </c>
      <c r="P247" s="3" t="n">
        <v>0.13</v>
      </c>
      <c r="Q247" s="3" t="n">
        <v>310515.94</v>
      </c>
      <c r="R247" s="3" t="n">
        <v>126</v>
      </c>
      <c r="S247" s="3" t="n">
        <v>8.3</v>
      </c>
      <c r="T247" s="3" t="n">
        <v>4.2</v>
      </c>
      <c r="U247" s="3"/>
      <c r="V247" s="3" t="n">
        <v>5.79</v>
      </c>
      <c r="W247" s="3" t="s">
        <v>5990</v>
      </c>
    </row>
    <row r="248" customFormat="false" ht="15" hidden="false" customHeight="true" outlineLevel="0" collapsed="false">
      <c r="A248" s="3" t="s">
        <v>6289</v>
      </c>
      <c r="B248" s="3" t="s">
        <v>3592</v>
      </c>
      <c r="C248" s="3" t="s">
        <v>6290</v>
      </c>
      <c r="D248" s="3" t="s">
        <v>61</v>
      </c>
      <c r="E248" s="3" t="s">
        <v>33</v>
      </c>
      <c r="F248" s="3" t="s">
        <v>62</v>
      </c>
      <c r="G248" s="3" t="s">
        <v>63</v>
      </c>
      <c r="H248" s="3" t="s">
        <v>56</v>
      </c>
      <c r="I248" s="3" t="s">
        <v>121</v>
      </c>
      <c r="J248" s="3" t="s">
        <v>5996</v>
      </c>
      <c r="K248" s="3" t="n">
        <v>3174292.58</v>
      </c>
      <c r="L248" s="3" t="n">
        <v>0.1056</v>
      </c>
      <c r="M248" s="3" t="n">
        <v>2839087.28</v>
      </c>
      <c r="N248" s="3" t="n">
        <v>1235799.78</v>
      </c>
      <c r="O248" s="3" t="n">
        <v>0.4353</v>
      </c>
      <c r="P248" s="3" t="n">
        <v>0.999</v>
      </c>
      <c r="Q248" s="3" t="n">
        <v>2836248.19</v>
      </c>
      <c r="R248" s="3" t="n">
        <v>92</v>
      </c>
      <c r="S248" s="3" t="n">
        <v>5.4</v>
      </c>
      <c r="T248" s="3" t="n">
        <v>4</v>
      </c>
      <c r="U248" s="3"/>
      <c r="V248" s="3" t="n">
        <v>7.27</v>
      </c>
      <c r="W248" s="3" t="s">
        <v>5997</v>
      </c>
    </row>
    <row r="249" customFormat="false" ht="15" hidden="false" customHeight="true" outlineLevel="0" collapsed="false">
      <c r="A249" s="3" t="s">
        <v>6291</v>
      </c>
      <c r="B249" s="3" t="s">
        <v>3015</v>
      </c>
      <c r="C249" s="3" t="s">
        <v>1952</v>
      </c>
      <c r="D249" s="3" t="s">
        <v>38</v>
      </c>
      <c r="E249" s="3" t="s">
        <v>39</v>
      </c>
      <c r="F249" s="3" t="s">
        <v>40</v>
      </c>
      <c r="G249" s="3" t="s">
        <v>26</v>
      </c>
      <c r="H249" s="3" t="s">
        <v>77</v>
      </c>
      <c r="I249" s="3" t="s">
        <v>131</v>
      </c>
      <c r="J249" s="3" t="s">
        <v>6003</v>
      </c>
      <c r="K249" s="3" t="n">
        <v>3211233.45</v>
      </c>
      <c r="L249" s="3" t="n">
        <v>0.2106</v>
      </c>
      <c r="M249" s="3" t="n">
        <v>2534947.69</v>
      </c>
      <c r="N249" s="3" t="n">
        <v>721615.31</v>
      </c>
      <c r="O249" s="3" t="n">
        <v>0.2847</v>
      </c>
      <c r="P249" s="3" t="n">
        <v>0.136</v>
      </c>
      <c r="Q249" s="3" t="n">
        <v>344752.89</v>
      </c>
      <c r="R249" s="3" t="n">
        <v>175</v>
      </c>
      <c r="S249" s="3" t="n">
        <v>3.1</v>
      </c>
      <c r="T249" s="3" t="n">
        <v>8</v>
      </c>
      <c r="U249" s="3"/>
      <c r="V249" s="3" t="n">
        <v>4.03</v>
      </c>
      <c r="W249" s="3" t="s">
        <v>6000</v>
      </c>
    </row>
    <row r="250" customFormat="false" ht="15" hidden="false" customHeight="true" outlineLevel="0" collapsed="false">
      <c r="A250" s="3" t="s">
        <v>6292</v>
      </c>
      <c r="B250" s="3" t="s">
        <v>2610</v>
      </c>
      <c r="C250" s="3" t="s">
        <v>465</v>
      </c>
      <c r="D250" s="3" t="s">
        <v>54</v>
      </c>
      <c r="E250" s="3" t="s">
        <v>24</v>
      </c>
      <c r="F250" s="3" t="s">
        <v>40</v>
      </c>
      <c r="G250" s="3" t="s">
        <v>41</v>
      </c>
      <c r="H250" s="3" t="s">
        <v>27</v>
      </c>
      <c r="I250" s="3" t="s">
        <v>173</v>
      </c>
      <c r="J250" s="3" t="s">
        <v>6009</v>
      </c>
      <c r="K250" s="3" t="n">
        <v>4940941.79</v>
      </c>
      <c r="L250" s="3" t="n">
        <v>0.2541</v>
      </c>
      <c r="M250" s="3" t="n">
        <v>3685448.48</v>
      </c>
      <c r="N250" s="3" t="n">
        <v>1265224.92</v>
      </c>
      <c r="O250" s="3" t="n">
        <v>0.3433</v>
      </c>
      <c r="P250" s="3" t="n">
        <v>0</v>
      </c>
      <c r="Q250" s="3" t="n">
        <v>0</v>
      </c>
      <c r="R250" s="3" t="n">
        <v>125</v>
      </c>
      <c r="S250" s="3" t="n">
        <v>7.6</v>
      </c>
      <c r="T250" s="3" t="n">
        <v>5.6</v>
      </c>
      <c r="U250" s="3" t="s">
        <v>6010</v>
      </c>
      <c r="V250" s="3" t="n">
        <v>5.59</v>
      </c>
      <c r="W250" s="3" t="s">
        <v>5990</v>
      </c>
    </row>
    <row r="251" customFormat="false" ht="15" hidden="false" customHeight="true" outlineLevel="0" collapsed="false">
      <c r="A251" s="3" t="s">
        <v>6293</v>
      </c>
      <c r="B251" s="3" t="s">
        <v>4849</v>
      </c>
      <c r="C251" s="3" t="s">
        <v>6108</v>
      </c>
      <c r="D251" s="3" t="s">
        <v>97</v>
      </c>
      <c r="E251" s="3" t="s">
        <v>48</v>
      </c>
      <c r="F251" s="3" t="s">
        <v>40</v>
      </c>
      <c r="G251" s="3" t="s">
        <v>104</v>
      </c>
      <c r="H251" s="3" t="s">
        <v>77</v>
      </c>
      <c r="I251" s="3" t="s">
        <v>78</v>
      </c>
      <c r="J251" s="3" t="s">
        <v>5996</v>
      </c>
      <c r="K251" s="3" t="n">
        <v>3968274.45</v>
      </c>
      <c r="L251" s="3" t="n">
        <v>0.0983</v>
      </c>
      <c r="M251" s="3" t="n">
        <v>3578193.07</v>
      </c>
      <c r="N251" s="3" t="n">
        <v>1023090.97</v>
      </c>
      <c r="O251" s="3" t="n">
        <v>0.2859</v>
      </c>
      <c r="P251" s="3" t="n">
        <v>0.956</v>
      </c>
      <c r="Q251" s="3" t="n">
        <v>3420752.57</v>
      </c>
      <c r="R251" s="3" t="n">
        <v>150</v>
      </c>
      <c r="S251" s="3" t="n">
        <v>9.5</v>
      </c>
      <c r="T251" s="3" t="n">
        <v>6.8</v>
      </c>
      <c r="U251" s="3"/>
      <c r="V251" s="3" t="n">
        <v>6.77</v>
      </c>
      <c r="W251" s="3" t="s">
        <v>5997</v>
      </c>
    </row>
    <row r="252" customFormat="false" ht="15" hidden="false" customHeight="true" outlineLevel="0" collapsed="false">
      <c r="A252" s="3" t="s">
        <v>6294</v>
      </c>
      <c r="B252" s="3" t="s">
        <v>1060</v>
      </c>
      <c r="C252" s="3" t="s">
        <v>585</v>
      </c>
      <c r="D252" s="3" t="s">
        <v>69</v>
      </c>
      <c r="E252" s="3" t="s">
        <v>39</v>
      </c>
      <c r="F252" s="3" t="s">
        <v>70</v>
      </c>
      <c r="G252" s="3" t="s">
        <v>76</v>
      </c>
      <c r="H252" s="3" t="s">
        <v>42</v>
      </c>
      <c r="I252" s="3" t="s">
        <v>43</v>
      </c>
      <c r="J252" s="3" t="s">
        <v>5996</v>
      </c>
      <c r="K252" s="3" t="n">
        <v>1063921.89</v>
      </c>
      <c r="L252" s="3" t="n">
        <v>0.1124</v>
      </c>
      <c r="M252" s="3" t="n">
        <v>944337.07</v>
      </c>
      <c r="N252" s="3" t="n">
        <v>371102.07</v>
      </c>
      <c r="O252" s="3" t="n">
        <v>0.393</v>
      </c>
      <c r="P252" s="3" t="n">
        <v>1</v>
      </c>
      <c r="Q252" s="3" t="n">
        <v>944337.07</v>
      </c>
      <c r="R252" s="3" t="n">
        <v>147</v>
      </c>
      <c r="S252" s="3" t="n">
        <v>6.5</v>
      </c>
      <c r="T252" s="3" t="n">
        <v>9.3</v>
      </c>
      <c r="U252" s="3"/>
      <c r="V252" s="3" t="n">
        <v>6.35</v>
      </c>
      <c r="W252" s="3" t="s">
        <v>5990</v>
      </c>
    </row>
    <row r="253" customFormat="false" ht="15" hidden="false" customHeight="true" outlineLevel="0" collapsed="false">
      <c r="A253" s="3" t="s">
        <v>6295</v>
      </c>
      <c r="B253" s="3" t="s">
        <v>1941</v>
      </c>
      <c r="C253" s="3" t="s">
        <v>2621</v>
      </c>
      <c r="D253" s="3" t="s">
        <v>69</v>
      </c>
      <c r="E253" s="3" t="s">
        <v>39</v>
      </c>
      <c r="F253" s="3" t="s">
        <v>70</v>
      </c>
      <c r="G253" s="3" t="s">
        <v>41</v>
      </c>
      <c r="H253" s="3" t="s">
        <v>42</v>
      </c>
      <c r="I253" s="3" t="s">
        <v>134</v>
      </c>
      <c r="J253" s="3" t="s">
        <v>5989</v>
      </c>
      <c r="K253" s="3" t="n">
        <v>3521345.77</v>
      </c>
      <c r="L253" s="3" t="n">
        <v>0.0735</v>
      </c>
      <c r="M253" s="3" t="n">
        <v>3262526.86</v>
      </c>
      <c r="N253" s="3" t="n">
        <v>1289086.77</v>
      </c>
      <c r="O253" s="3" t="n">
        <v>0.3951</v>
      </c>
      <c r="P253" s="3" t="n">
        <v>0.209</v>
      </c>
      <c r="Q253" s="3" t="n">
        <v>681868.11</v>
      </c>
      <c r="R253" s="3" t="n">
        <v>50</v>
      </c>
      <c r="S253" s="3" t="n">
        <v>5.8</v>
      </c>
      <c r="T253" s="3" t="n">
        <v>7.7</v>
      </c>
      <c r="U253" s="3"/>
      <c r="V253" s="3" t="n">
        <v>6.75</v>
      </c>
      <c r="W253" s="3" t="s">
        <v>5997</v>
      </c>
    </row>
    <row r="254" customFormat="false" ht="15" hidden="false" customHeight="true" outlineLevel="0" collapsed="false">
      <c r="A254" s="3" t="s">
        <v>6296</v>
      </c>
      <c r="B254" s="3" t="s">
        <v>406</v>
      </c>
      <c r="C254" s="3" t="s">
        <v>1590</v>
      </c>
      <c r="D254" s="3" t="s">
        <v>69</v>
      </c>
      <c r="E254" s="3" t="s">
        <v>39</v>
      </c>
      <c r="F254" s="3" t="s">
        <v>70</v>
      </c>
      <c r="G254" s="3" t="s">
        <v>63</v>
      </c>
      <c r="H254" s="3" t="s">
        <v>27</v>
      </c>
      <c r="I254" s="3" t="s">
        <v>94</v>
      </c>
      <c r="J254" s="3" t="s">
        <v>5989</v>
      </c>
      <c r="K254" s="3" t="n">
        <v>1542035.44</v>
      </c>
      <c r="L254" s="3" t="n">
        <v>0.2007</v>
      </c>
      <c r="M254" s="3" t="n">
        <v>1232548.93</v>
      </c>
      <c r="N254" s="3" t="n">
        <v>542065.52</v>
      </c>
      <c r="O254" s="3" t="n">
        <v>0.4398</v>
      </c>
      <c r="P254" s="3" t="n">
        <v>0.224</v>
      </c>
      <c r="Q254" s="3" t="n">
        <v>276090.96</v>
      </c>
      <c r="R254" s="3" t="n">
        <v>149</v>
      </c>
      <c r="S254" s="3" t="n">
        <v>3.7</v>
      </c>
      <c r="T254" s="3" t="n">
        <v>5.3</v>
      </c>
      <c r="U254" s="3"/>
      <c r="V254" s="3" t="n">
        <v>5.88</v>
      </c>
      <c r="W254" s="3" t="s">
        <v>5990</v>
      </c>
    </row>
    <row r="255" customFormat="false" ht="15" hidden="false" customHeight="true" outlineLevel="0" collapsed="false">
      <c r="A255" s="3" t="s">
        <v>6297</v>
      </c>
      <c r="B255" s="3" t="s">
        <v>1980</v>
      </c>
      <c r="C255" s="3" t="s">
        <v>4157</v>
      </c>
      <c r="D255" s="3" t="s">
        <v>38</v>
      </c>
      <c r="E255" s="3" t="s">
        <v>39</v>
      </c>
      <c r="F255" s="3" t="s">
        <v>40</v>
      </c>
      <c r="G255" s="3" t="s">
        <v>116</v>
      </c>
      <c r="H255" s="3" t="s">
        <v>64</v>
      </c>
      <c r="I255" s="3" t="s">
        <v>145</v>
      </c>
      <c r="J255" s="3" t="s">
        <v>5999</v>
      </c>
      <c r="K255" s="3" t="n">
        <v>885514.79</v>
      </c>
      <c r="L255" s="3" t="n">
        <v>0.2274</v>
      </c>
      <c r="M255" s="3" t="n">
        <v>684148.73</v>
      </c>
      <c r="N255" s="3" t="n">
        <v>322847.78</v>
      </c>
      <c r="O255" s="3" t="n">
        <v>0.4719</v>
      </c>
      <c r="P255" s="3" t="n">
        <v>0.426</v>
      </c>
      <c r="Q255" s="3" t="n">
        <v>291447.36</v>
      </c>
      <c r="R255" s="3" t="n">
        <v>103</v>
      </c>
      <c r="S255" s="3" t="n">
        <v>8.1</v>
      </c>
      <c r="T255" s="3" t="n">
        <v>4.4</v>
      </c>
      <c r="U255" s="3"/>
      <c r="V255" s="3" t="n">
        <v>6.96</v>
      </c>
      <c r="W255" s="3" t="s">
        <v>5997</v>
      </c>
    </row>
    <row r="256" customFormat="false" ht="15" hidden="false" customHeight="true" outlineLevel="0" collapsed="false">
      <c r="A256" s="3" t="s">
        <v>6298</v>
      </c>
      <c r="B256" s="3" t="s">
        <v>404</v>
      </c>
      <c r="C256" s="3" t="s">
        <v>6255</v>
      </c>
      <c r="D256" s="3" t="s">
        <v>83</v>
      </c>
      <c r="E256" s="3" t="s">
        <v>48</v>
      </c>
      <c r="F256" s="3" t="s">
        <v>62</v>
      </c>
      <c r="G256" s="3" t="s">
        <v>34</v>
      </c>
      <c r="H256" s="3" t="s">
        <v>77</v>
      </c>
      <c r="I256" s="3" t="s">
        <v>131</v>
      </c>
      <c r="J256" s="3" t="s">
        <v>6003</v>
      </c>
      <c r="K256" s="3" t="n">
        <v>4627074.55</v>
      </c>
      <c r="L256" s="3" t="n">
        <v>0.1344</v>
      </c>
      <c r="M256" s="3" t="n">
        <v>4005195.73</v>
      </c>
      <c r="N256" s="3" t="n">
        <v>1845452.31</v>
      </c>
      <c r="O256" s="3" t="n">
        <v>0.4608</v>
      </c>
      <c r="P256" s="3" t="n">
        <v>0.141</v>
      </c>
      <c r="Q256" s="3" t="n">
        <v>564732.6</v>
      </c>
      <c r="R256" s="3" t="n">
        <v>157</v>
      </c>
      <c r="S256" s="3" t="n">
        <v>4.5</v>
      </c>
      <c r="T256" s="3" t="n">
        <v>4.6</v>
      </c>
      <c r="U256" s="3"/>
      <c r="V256" s="3" t="n">
        <v>6.81</v>
      </c>
      <c r="W256" s="3" t="s">
        <v>5997</v>
      </c>
    </row>
    <row r="257" customFormat="false" ht="15" hidden="false" customHeight="true" outlineLevel="0" collapsed="false">
      <c r="A257" s="3" t="s">
        <v>6299</v>
      </c>
      <c r="B257" s="3" t="s">
        <v>4806</v>
      </c>
      <c r="C257" s="3" t="s">
        <v>999</v>
      </c>
      <c r="D257" s="3" t="s">
        <v>54</v>
      </c>
      <c r="E257" s="3" t="s">
        <v>24</v>
      </c>
      <c r="F257" s="3" t="s">
        <v>40</v>
      </c>
      <c r="G257" s="3" t="s">
        <v>116</v>
      </c>
      <c r="H257" s="3" t="s">
        <v>27</v>
      </c>
      <c r="I257" s="3" t="s">
        <v>50</v>
      </c>
      <c r="J257" s="3" t="s">
        <v>5992</v>
      </c>
      <c r="K257" s="3" t="n">
        <v>4874911.91</v>
      </c>
      <c r="L257" s="3" t="n">
        <v>0.2356</v>
      </c>
      <c r="M257" s="3" t="n">
        <v>3726382.66</v>
      </c>
      <c r="N257" s="3" t="n">
        <v>1593971.31</v>
      </c>
      <c r="O257" s="3" t="n">
        <v>0.4278</v>
      </c>
      <c r="P257" s="3" t="n">
        <v>0.684</v>
      </c>
      <c r="Q257" s="3" t="n">
        <v>2548845.74</v>
      </c>
      <c r="R257" s="3" t="n">
        <v>122</v>
      </c>
      <c r="S257" s="3" t="n">
        <v>2.6</v>
      </c>
      <c r="T257" s="3" t="n">
        <v>7.9</v>
      </c>
      <c r="U257" s="3"/>
      <c r="V257" s="3" t="n">
        <v>4.81</v>
      </c>
      <c r="W257" s="3" t="s">
        <v>6000</v>
      </c>
    </row>
    <row r="258" customFormat="false" ht="15" hidden="false" customHeight="true" outlineLevel="0" collapsed="false">
      <c r="A258" s="3" t="s">
        <v>6300</v>
      </c>
      <c r="B258" s="3" t="s">
        <v>349</v>
      </c>
      <c r="C258" s="3" t="s">
        <v>5747</v>
      </c>
      <c r="D258" s="3" t="s">
        <v>54</v>
      </c>
      <c r="E258" s="3" t="s">
        <v>24</v>
      </c>
      <c r="F258" s="3" t="s">
        <v>40</v>
      </c>
      <c r="G258" s="3" t="s">
        <v>63</v>
      </c>
      <c r="H258" s="3" t="s">
        <v>77</v>
      </c>
      <c r="I258" s="3" t="s">
        <v>85</v>
      </c>
      <c r="J258" s="3" t="s">
        <v>5992</v>
      </c>
      <c r="K258" s="3" t="n">
        <v>1688808.81</v>
      </c>
      <c r="L258" s="3" t="n">
        <v>0.2406</v>
      </c>
      <c r="M258" s="3" t="n">
        <v>1282481.41</v>
      </c>
      <c r="N258" s="3" t="n">
        <v>509857.31</v>
      </c>
      <c r="O258" s="3" t="n">
        <v>0.3976</v>
      </c>
      <c r="P258" s="3" t="n">
        <v>0.698</v>
      </c>
      <c r="Q258" s="3" t="n">
        <v>895172.02</v>
      </c>
      <c r="R258" s="3" t="n">
        <v>31</v>
      </c>
      <c r="S258" s="3" t="n">
        <v>1.6</v>
      </c>
      <c r="T258" s="3" t="n">
        <v>1.9</v>
      </c>
      <c r="U258" s="3"/>
      <c r="V258" s="3" t="n">
        <v>5.2</v>
      </c>
      <c r="W258" s="3" t="s">
        <v>5990</v>
      </c>
    </row>
    <row r="259" customFormat="false" ht="15" hidden="false" customHeight="true" outlineLevel="0" collapsed="false">
      <c r="A259" s="3" t="s">
        <v>6301</v>
      </c>
      <c r="B259" s="3" t="s">
        <v>944</v>
      </c>
      <c r="C259" s="3" t="s">
        <v>4398</v>
      </c>
      <c r="D259" s="3" t="s">
        <v>103</v>
      </c>
      <c r="E259" s="3" t="s">
        <v>24</v>
      </c>
      <c r="F259" s="3" t="s">
        <v>62</v>
      </c>
      <c r="G259" s="3" t="s">
        <v>49</v>
      </c>
      <c r="H259" s="3" t="s">
        <v>64</v>
      </c>
      <c r="I259" s="3" t="s">
        <v>145</v>
      </c>
      <c r="J259" s="3" t="s">
        <v>5989</v>
      </c>
      <c r="K259" s="3" t="n">
        <v>2298676.25</v>
      </c>
      <c r="L259" s="3" t="n">
        <v>0.2279</v>
      </c>
      <c r="M259" s="3" t="n">
        <v>1774807.93</v>
      </c>
      <c r="N259" s="3" t="n">
        <v>555866.23</v>
      </c>
      <c r="O259" s="3" t="n">
        <v>0.3132</v>
      </c>
      <c r="P259" s="3" t="n">
        <v>0.202</v>
      </c>
      <c r="Q259" s="3" t="n">
        <v>358511.2</v>
      </c>
      <c r="R259" s="3" t="n">
        <v>174</v>
      </c>
      <c r="S259" s="3" t="n">
        <v>8.3</v>
      </c>
      <c r="T259" s="3" t="n">
        <v>5</v>
      </c>
      <c r="U259" s="3"/>
      <c r="V259" s="3" t="n">
        <v>5.88</v>
      </c>
      <c r="W259" s="3" t="s">
        <v>5990</v>
      </c>
    </row>
    <row r="260" customFormat="false" ht="15" hidden="false" customHeight="true" outlineLevel="0" collapsed="false">
      <c r="A260" s="3" t="s">
        <v>6302</v>
      </c>
      <c r="B260" s="3" t="s">
        <v>591</v>
      </c>
      <c r="C260" s="3" t="s">
        <v>1695</v>
      </c>
      <c r="D260" s="3" t="s">
        <v>23</v>
      </c>
      <c r="E260" s="3" t="s">
        <v>24</v>
      </c>
      <c r="F260" s="3" t="s">
        <v>25</v>
      </c>
      <c r="G260" s="3" t="s">
        <v>100</v>
      </c>
      <c r="H260" s="3" t="s">
        <v>42</v>
      </c>
      <c r="I260" s="3" t="s">
        <v>72</v>
      </c>
      <c r="J260" s="3" t="s">
        <v>6009</v>
      </c>
      <c r="K260" s="3" t="n">
        <v>2449245.92</v>
      </c>
      <c r="L260" s="3" t="n">
        <v>0.1549</v>
      </c>
      <c r="M260" s="3" t="n">
        <v>2069857.73</v>
      </c>
      <c r="N260" s="3" t="n">
        <v>772188.77</v>
      </c>
      <c r="O260" s="3" t="n">
        <v>0.3731</v>
      </c>
      <c r="P260" s="3" t="n">
        <v>0</v>
      </c>
      <c r="Q260" s="3" t="n">
        <v>0</v>
      </c>
      <c r="R260" s="3" t="n">
        <v>90</v>
      </c>
      <c r="S260" s="3" t="n">
        <v>5.9</v>
      </c>
      <c r="T260" s="3" t="n">
        <v>3.2</v>
      </c>
      <c r="U260" s="3" t="s">
        <v>6116</v>
      </c>
      <c r="V260" s="3" t="n">
        <v>6.6</v>
      </c>
      <c r="W260" s="3" t="s">
        <v>5997</v>
      </c>
    </row>
    <row r="261" customFormat="false" ht="15" hidden="false" customHeight="true" outlineLevel="0" collapsed="false">
      <c r="A261" s="3" t="s">
        <v>6303</v>
      </c>
      <c r="B261" s="3" t="s">
        <v>3294</v>
      </c>
      <c r="C261" s="3" t="s">
        <v>1383</v>
      </c>
      <c r="D261" s="3" t="s">
        <v>83</v>
      </c>
      <c r="E261" s="3" t="s">
        <v>48</v>
      </c>
      <c r="F261" s="3" t="s">
        <v>62</v>
      </c>
      <c r="G261" s="3" t="s">
        <v>84</v>
      </c>
      <c r="H261" s="3" t="s">
        <v>77</v>
      </c>
      <c r="I261" s="3" t="s">
        <v>131</v>
      </c>
      <c r="J261" s="3" t="s">
        <v>5992</v>
      </c>
      <c r="K261" s="3" t="n">
        <v>1212621.6</v>
      </c>
      <c r="L261" s="3" t="n">
        <v>0.1375</v>
      </c>
      <c r="M261" s="3" t="n">
        <v>1045886.13</v>
      </c>
      <c r="N261" s="3" t="n">
        <v>442169.15</v>
      </c>
      <c r="O261" s="3" t="n">
        <v>0.4228</v>
      </c>
      <c r="P261" s="3" t="n">
        <v>0.742</v>
      </c>
      <c r="Q261" s="3" t="n">
        <v>776047.51</v>
      </c>
      <c r="R261" s="3" t="n">
        <v>177</v>
      </c>
      <c r="S261" s="3" t="n">
        <v>8</v>
      </c>
      <c r="T261" s="3" t="n">
        <v>9.3</v>
      </c>
      <c r="U261" s="3"/>
      <c r="V261" s="3" t="n">
        <v>6.75</v>
      </c>
      <c r="W261" s="3" t="s">
        <v>5997</v>
      </c>
    </row>
    <row r="262" customFormat="false" ht="15" hidden="false" customHeight="true" outlineLevel="0" collapsed="false">
      <c r="A262" s="3" t="s">
        <v>6304</v>
      </c>
      <c r="B262" s="3" t="s">
        <v>763</v>
      </c>
      <c r="C262" s="3" t="s">
        <v>587</v>
      </c>
      <c r="D262" s="3" t="s">
        <v>103</v>
      </c>
      <c r="E262" s="3" t="s">
        <v>24</v>
      </c>
      <c r="F262" s="3" t="s">
        <v>62</v>
      </c>
      <c r="G262" s="3" t="s">
        <v>100</v>
      </c>
      <c r="H262" s="3" t="s">
        <v>64</v>
      </c>
      <c r="I262" s="3" t="s">
        <v>145</v>
      </c>
      <c r="J262" s="3" t="s">
        <v>5992</v>
      </c>
      <c r="K262" s="3" t="n">
        <v>1965163.11</v>
      </c>
      <c r="L262" s="3" t="n">
        <v>0.0539</v>
      </c>
      <c r="M262" s="3" t="n">
        <v>1859240.82</v>
      </c>
      <c r="N262" s="3" t="n">
        <v>822156.89</v>
      </c>
      <c r="O262" s="3" t="n">
        <v>0.4422</v>
      </c>
      <c r="P262" s="3" t="n">
        <v>0.681</v>
      </c>
      <c r="Q262" s="3" t="n">
        <v>1266143</v>
      </c>
      <c r="R262" s="3" t="n">
        <v>77</v>
      </c>
      <c r="S262" s="3" t="n">
        <v>5.4</v>
      </c>
      <c r="T262" s="3" t="n">
        <v>7.3</v>
      </c>
      <c r="U262" s="3"/>
      <c r="V262" s="3" t="n">
        <v>7.24</v>
      </c>
      <c r="W262" s="3" t="s">
        <v>5997</v>
      </c>
    </row>
    <row r="263" customFormat="false" ht="15" hidden="false" customHeight="true" outlineLevel="0" collapsed="false">
      <c r="A263" s="3" t="s">
        <v>6305</v>
      </c>
      <c r="B263" s="3" t="s">
        <v>1034</v>
      </c>
      <c r="C263" s="3" t="s">
        <v>981</v>
      </c>
      <c r="D263" s="3" t="s">
        <v>103</v>
      </c>
      <c r="E263" s="3" t="s">
        <v>24</v>
      </c>
      <c r="F263" s="3" t="s">
        <v>62</v>
      </c>
      <c r="G263" s="3" t="s">
        <v>116</v>
      </c>
      <c r="H263" s="3" t="s">
        <v>42</v>
      </c>
      <c r="I263" s="3" t="s">
        <v>134</v>
      </c>
      <c r="J263" s="3" t="s">
        <v>5996</v>
      </c>
      <c r="K263" s="3" t="n">
        <v>538596.84</v>
      </c>
      <c r="L263" s="3" t="n">
        <v>0.2112</v>
      </c>
      <c r="M263" s="3" t="n">
        <v>424845.19</v>
      </c>
      <c r="N263" s="3" t="n">
        <v>154754.09</v>
      </c>
      <c r="O263" s="3" t="n">
        <v>0.3643</v>
      </c>
      <c r="P263" s="3" t="n">
        <v>1</v>
      </c>
      <c r="Q263" s="3" t="n">
        <v>424845.19</v>
      </c>
      <c r="R263" s="3" t="n">
        <v>22</v>
      </c>
      <c r="S263" s="3" t="n">
        <v>3.6</v>
      </c>
      <c r="T263" s="3" t="n">
        <v>8</v>
      </c>
      <c r="U263" s="3"/>
      <c r="V263" s="3" t="n">
        <v>4.78</v>
      </c>
      <c r="W263" s="3" t="s">
        <v>6000</v>
      </c>
    </row>
    <row r="264" customFormat="false" ht="15" hidden="false" customHeight="true" outlineLevel="0" collapsed="false">
      <c r="A264" s="3" t="s">
        <v>6306</v>
      </c>
      <c r="B264" s="3" t="s">
        <v>2750</v>
      </c>
      <c r="C264" s="3" t="s">
        <v>6307</v>
      </c>
      <c r="D264" s="3" t="s">
        <v>69</v>
      </c>
      <c r="E264" s="3" t="s">
        <v>39</v>
      </c>
      <c r="F264" s="3" t="s">
        <v>70</v>
      </c>
      <c r="G264" s="3" t="s">
        <v>71</v>
      </c>
      <c r="H264" s="3" t="s">
        <v>56</v>
      </c>
      <c r="I264" s="3" t="s">
        <v>121</v>
      </c>
      <c r="J264" s="3" t="s">
        <v>5996</v>
      </c>
      <c r="K264" s="3" t="n">
        <v>443519.4</v>
      </c>
      <c r="L264" s="3" t="n">
        <v>0.0924</v>
      </c>
      <c r="M264" s="3" t="n">
        <v>402538.21</v>
      </c>
      <c r="N264" s="3" t="n">
        <v>146767.46</v>
      </c>
      <c r="O264" s="3" t="n">
        <v>0.3646</v>
      </c>
      <c r="P264" s="3" t="n">
        <v>1</v>
      </c>
      <c r="Q264" s="3" t="n">
        <v>402538.21</v>
      </c>
      <c r="R264" s="3" t="n">
        <v>74</v>
      </c>
      <c r="S264" s="3" t="n">
        <v>3.8</v>
      </c>
      <c r="T264" s="3" t="n">
        <v>3.3</v>
      </c>
      <c r="U264" s="3"/>
      <c r="V264" s="3" t="n">
        <v>6.51</v>
      </c>
      <c r="W264" s="3" t="s">
        <v>5997</v>
      </c>
    </row>
    <row r="265" customFormat="false" ht="15" hidden="false" customHeight="true" outlineLevel="0" collapsed="false">
      <c r="A265" s="3" t="s">
        <v>6308</v>
      </c>
      <c r="B265" s="3" t="s">
        <v>2910</v>
      </c>
      <c r="C265" s="3" t="s">
        <v>6309</v>
      </c>
      <c r="D265" s="3" t="s">
        <v>107</v>
      </c>
      <c r="E265" s="3" t="s">
        <v>33</v>
      </c>
      <c r="F265" s="3" t="s">
        <v>70</v>
      </c>
      <c r="G265" s="3" t="s">
        <v>41</v>
      </c>
      <c r="H265" s="3" t="s">
        <v>27</v>
      </c>
      <c r="I265" s="3" t="s">
        <v>28</v>
      </c>
      <c r="J265" s="3" t="s">
        <v>5999</v>
      </c>
      <c r="K265" s="3" t="n">
        <v>413755.45</v>
      </c>
      <c r="L265" s="3" t="n">
        <v>0.2717</v>
      </c>
      <c r="M265" s="3" t="n">
        <v>301338.09</v>
      </c>
      <c r="N265" s="3" t="n">
        <v>85601.33</v>
      </c>
      <c r="O265" s="3" t="n">
        <v>0.2841</v>
      </c>
      <c r="P265" s="3" t="n">
        <v>0.491</v>
      </c>
      <c r="Q265" s="3" t="n">
        <v>147957</v>
      </c>
      <c r="R265" s="3" t="n">
        <v>40</v>
      </c>
      <c r="S265" s="3" t="n">
        <v>4.5</v>
      </c>
      <c r="T265" s="3" t="n">
        <v>5.5</v>
      </c>
      <c r="U265" s="3"/>
      <c r="V265" s="3" t="n">
        <v>4.23</v>
      </c>
      <c r="W265" s="3" t="s">
        <v>6000</v>
      </c>
    </row>
    <row r="266" customFormat="false" ht="15" hidden="false" customHeight="true" outlineLevel="0" collapsed="false">
      <c r="A266" s="3" t="s">
        <v>6310</v>
      </c>
      <c r="B266" s="3" t="s">
        <v>860</v>
      </c>
      <c r="C266" s="3" t="s">
        <v>467</v>
      </c>
      <c r="D266" s="3" t="s">
        <v>103</v>
      </c>
      <c r="E266" s="3" t="s">
        <v>24</v>
      </c>
      <c r="F266" s="3" t="s">
        <v>62</v>
      </c>
      <c r="G266" s="3" t="s">
        <v>55</v>
      </c>
      <c r="H266" s="3" t="s">
        <v>64</v>
      </c>
      <c r="I266" s="3" t="s">
        <v>65</v>
      </c>
      <c r="J266" s="3" t="s">
        <v>6003</v>
      </c>
      <c r="K266" s="3" t="n">
        <v>2281921.17</v>
      </c>
      <c r="L266" s="3" t="n">
        <v>0.1179</v>
      </c>
      <c r="M266" s="3" t="n">
        <v>2012882.66</v>
      </c>
      <c r="N266" s="3" t="n">
        <v>736746.5</v>
      </c>
      <c r="O266" s="3" t="n">
        <v>0.366</v>
      </c>
      <c r="P266" s="3" t="n">
        <v>0.141</v>
      </c>
      <c r="Q266" s="3" t="n">
        <v>283816.46</v>
      </c>
      <c r="R266" s="3" t="n">
        <v>17</v>
      </c>
      <c r="S266" s="3" t="n">
        <v>1</v>
      </c>
      <c r="T266" s="3" t="n">
        <v>2.7</v>
      </c>
      <c r="U266" s="3"/>
      <c r="V266" s="3" t="n">
        <v>5.7</v>
      </c>
      <c r="W266" s="3" t="s">
        <v>5990</v>
      </c>
    </row>
    <row r="267" customFormat="false" ht="15" hidden="false" customHeight="true" outlineLevel="0" collapsed="false">
      <c r="A267" s="3" t="s">
        <v>6311</v>
      </c>
      <c r="B267" s="3" t="s">
        <v>2446</v>
      </c>
      <c r="C267" s="3" t="s">
        <v>3205</v>
      </c>
      <c r="D267" s="3" t="s">
        <v>107</v>
      </c>
      <c r="E267" s="3" t="s">
        <v>33</v>
      </c>
      <c r="F267" s="3" t="s">
        <v>70</v>
      </c>
      <c r="G267" s="3" t="s">
        <v>41</v>
      </c>
      <c r="H267" s="3" t="s">
        <v>56</v>
      </c>
      <c r="I267" s="3" t="s">
        <v>121</v>
      </c>
      <c r="J267" s="3" t="s">
        <v>5989</v>
      </c>
      <c r="K267" s="3" t="n">
        <v>3194306.32</v>
      </c>
      <c r="L267" s="3" t="n">
        <v>0.2656</v>
      </c>
      <c r="M267" s="3" t="n">
        <v>2345898.56</v>
      </c>
      <c r="N267" s="3" t="n">
        <v>1003376.12</v>
      </c>
      <c r="O267" s="3" t="n">
        <v>0.4277</v>
      </c>
      <c r="P267" s="3" t="n">
        <v>0.262</v>
      </c>
      <c r="Q267" s="3" t="n">
        <v>614625.42</v>
      </c>
      <c r="R267" s="3" t="n">
        <v>168</v>
      </c>
      <c r="S267" s="3" t="n">
        <v>4.5</v>
      </c>
      <c r="T267" s="3" t="n">
        <v>6</v>
      </c>
      <c r="U267" s="3"/>
      <c r="V267" s="3" t="n">
        <v>5.32</v>
      </c>
      <c r="W267" s="3" t="s">
        <v>5990</v>
      </c>
    </row>
    <row r="268" customFormat="false" ht="15" hidden="false" customHeight="true" outlineLevel="0" collapsed="false">
      <c r="A268" s="3" t="s">
        <v>6312</v>
      </c>
      <c r="B268" s="3" t="s">
        <v>4468</v>
      </c>
      <c r="C268" s="3" t="s">
        <v>1208</v>
      </c>
      <c r="D268" s="3" t="s">
        <v>54</v>
      </c>
      <c r="E268" s="3" t="s">
        <v>24</v>
      </c>
      <c r="F268" s="3" t="s">
        <v>40</v>
      </c>
      <c r="G268" s="3" t="s">
        <v>26</v>
      </c>
      <c r="H268" s="3" t="s">
        <v>27</v>
      </c>
      <c r="I268" s="3" t="s">
        <v>117</v>
      </c>
      <c r="J268" s="3" t="s">
        <v>5992</v>
      </c>
      <c r="K268" s="3" t="n">
        <v>2349688.42</v>
      </c>
      <c r="L268" s="3" t="n">
        <v>0.113</v>
      </c>
      <c r="M268" s="3" t="n">
        <v>2084173.63</v>
      </c>
      <c r="N268" s="3" t="n">
        <v>947570.41</v>
      </c>
      <c r="O268" s="3" t="n">
        <v>0.4547</v>
      </c>
      <c r="P268" s="3" t="n">
        <v>0.682</v>
      </c>
      <c r="Q268" s="3" t="n">
        <v>1421406.42</v>
      </c>
      <c r="R268" s="3" t="n">
        <v>177</v>
      </c>
      <c r="S268" s="3" t="n">
        <v>5.1</v>
      </c>
      <c r="T268" s="3" t="n">
        <v>2.2</v>
      </c>
      <c r="U268" s="3"/>
      <c r="V268" s="3" t="n">
        <v>7.49</v>
      </c>
      <c r="W268" s="3" t="s">
        <v>5997</v>
      </c>
    </row>
    <row r="269" customFormat="false" ht="15" hidden="false" customHeight="true" outlineLevel="0" collapsed="false">
      <c r="A269" s="3" t="s">
        <v>6313</v>
      </c>
      <c r="B269" s="3" t="s">
        <v>1236</v>
      </c>
      <c r="C269" s="3" t="s">
        <v>440</v>
      </c>
      <c r="D269" s="3" t="s">
        <v>32</v>
      </c>
      <c r="E269" s="3" t="s">
        <v>33</v>
      </c>
      <c r="F269" s="3" t="s">
        <v>25</v>
      </c>
      <c r="G269" s="3" t="s">
        <v>100</v>
      </c>
      <c r="H269" s="3" t="s">
        <v>64</v>
      </c>
      <c r="I269" s="3" t="s">
        <v>108</v>
      </c>
      <c r="J269" s="3" t="s">
        <v>5996</v>
      </c>
      <c r="K269" s="3" t="n">
        <v>1635221.27</v>
      </c>
      <c r="L269" s="3" t="n">
        <v>0.0946</v>
      </c>
      <c r="M269" s="3" t="n">
        <v>1480529.34</v>
      </c>
      <c r="N269" s="3" t="n">
        <v>588050.11</v>
      </c>
      <c r="O269" s="3" t="n">
        <v>0.3972</v>
      </c>
      <c r="P269" s="3" t="n">
        <v>0.951</v>
      </c>
      <c r="Q269" s="3" t="n">
        <v>1407983.4</v>
      </c>
      <c r="R269" s="3" t="n">
        <v>155</v>
      </c>
      <c r="S269" s="3" t="n">
        <v>6.2</v>
      </c>
      <c r="T269" s="3" t="n">
        <v>1.2</v>
      </c>
      <c r="U269" s="3"/>
      <c r="V269" s="3" t="n">
        <v>7.65</v>
      </c>
      <c r="W269" s="3" t="s">
        <v>5997</v>
      </c>
    </row>
    <row r="270" customFormat="false" ht="15" hidden="false" customHeight="true" outlineLevel="0" collapsed="false">
      <c r="A270" s="3" t="s">
        <v>6314</v>
      </c>
      <c r="B270" s="3" t="s">
        <v>960</v>
      </c>
      <c r="C270" s="3" t="s">
        <v>1492</v>
      </c>
      <c r="D270" s="3" t="s">
        <v>61</v>
      </c>
      <c r="E270" s="3" t="s">
        <v>33</v>
      </c>
      <c r="F270" s="3" t="s">
        <v>62</v>
      </c>
      <c r="G270" s="3" t="s">
        <v>100</v>
      </c>
      <c r="H270" s="3" t="s">
        <v>56</v>
      </c>
      <c r="I270" s="3" t="s">
        <v>121</v>
      </c>
      <c r="J270" s="3" t="s">
        <v>6003</v>
      </c>
      <c r="K270" s="3" t="n">
        <v>3510067.97</v>
      </c>
      <c r="L270" s="3" t="n">
        <v>0.05</v>
      </c>
      <c r="M270" s="3" t="n">
        <v>3334564.57</v>
      </c>
      <c r="N270" s="3" t="n">
        <v>1379056.01</v>
      </c>
      <c r="O270" s="3" t="n">
        <v>0.4136</v>
      </c>
      <c r="P270" s="3" t="n">
        <v>0.104</v>
      </c>
      <c r="Q270" s="3" t="n">
        <v>346794.72</v>
      </c>
      <c r="R270" s="3" t="n">
        <v>130</v>
      </c>
      <c r="S270" s="3" t="n">
        <v>5.9</v>
      </c>
      <c r="T270" s="3" t="n">
        <v>4.6</v>
      </c>
      <c r="U270" s="3"/>
      <c r="V270" s="3" t="n">
        <v>7.58</v>
      </c>
      <c r="W270" s="3" t="s">
        <v>5997</v>
      </c>
    </row>
    <row r="271" customFormat="false" ht="15" hidden="false" customHeight="true" outlineLevel="0" collapsed="false">
      <c r="A271" s="3" t="s">
        <v>6315</v>
      </c>
      <c r="B271" s="3" t="s">
        <v>933</v>
      </c>
      <c r="C271" s="3" t="s">
        <v>1154</v>
      </c>
      <c r="D271" s="3" t="s">
        <v>107</v>
      </c>
      <c r="E271" s="3" t="s">
        <v>33</v>
      </c>
      <c r="F271" s="3" t="s">
        <v>70</v>
      </c>
      <c r="G271" s="3" t="s">
        <v>41</v>
      </c>
      <c r="H271" s="3" t="s">
        <v>77</v>
      </c>
      <c r="I271" s="3" t="s">
        <v>85</v>
      </c>
      <c r="J271" s="3" t="s">
        <v>5996</v>
      </c>
      <c r="K271" s="3" t="n">
        <v>3295452.43</v>
      </c>
      <c r="L271" s="3" t="n">
        <v>0.2068</v>
      </c>
      <c r="M271" s="3" t="n">
        <v>2613952.87</v>
      </c>
      <c r="N271" s="3" t="n">
        <v>1227974.35</v>
      </c>
      <c r="O271" s="3" t="n">
        <v>0.4698</v>
      </c>
      <c r="P271" s="3" t="n">
        <v>0.995</v>
      </c>
      <c r="Q271" s="3" t="n">
        <v>2600883.11</v>
      </c>
      <c r="R271" s="3" t="n">
        <v>16</v>
      </c>
      <c r="S271" s="3" t="n">
        <v>1.6</v>
      </c>
      <c r="T271" s="3" t="n">
        <v>8.7</v>
      </c>
      <c r="U271" s="3"/>
      <c r="V271" s="3" t="n">
        <v>4.87</v>
      </c>
      <c r="W271" s="3" t="s">
        <v>6000</v>
      </c>
    </row>
    <row r="272" customFormat="false" ht="15" hidden="false" customHeight="true" outlineLevel="0" collapsed="false">
      <c r="A272" s="3" t="s">
        <v>6316</v>
      </c>
      <c r="B272" s="3" t="s">
        <v>4764</v>
      </c>
      <c r="C272" s="3" t="s">
        <v>268</v>
      </c>
      <c r="D272" s="3" t="s">
        <v>61</v>
      </c>
      <c r="E272" s="3" t="s">
        <v>33</v>
      </c>
      <c r="F272" s="3" t="s">
        <v>62</v>
      </c>
      <c r="G272" s="3" t="s">
        <v>26</v>
      </c>
      <c r="H272" s="3" t="s">
        <v>77</v>
      </c>
      <c r="I272" s="3" t="s">
        <v>85</v>
      </c>
      <c r="J272" s="3" t="s">
        <v>5989</v>
      </c>
      <c r="K272" s="3" t="n">
        <v>873198.68</v>
      </c>
      <c r="L272" s="3" t="n">
        <v>0.2683</v>
      </c>
      <c r="M272" s="3" t="n">
        <v>638919.47</v>
      </c>
      <c r="N272" s="3" t="n">
        <v>231248.28</v>
      </c>
      <c r="O272" s="3" t="n">
        <v>0.3619</v>
      </c>
      <c r="P272" s="3" t="n">
        <v>0.239</v>
      </c>
      <c r="Q272" s="3" t="n">
        <v>152701.75</v>
      </c>
      <c r="R272" s="3" t="n">
        <v>179</v>
      </c>
      <c r="S272" s="3" t="n">
        <v>2</v>
      </c>
      <c r="T272" s="3" t="n">
        <v>3.4</v>
      </c>
      <c r="U272" s="3"/>
      <c r="V272" s="3" t="n">
        <v>4.56</v>
      </c>
      <c r="W272" s="3" t="s">
        <v>6000</v>
      </c>
    </row>
    <row r="273" customFormat="false" ht="15" hidden="false" customHeight="true" outlineLevel="0" collapsed="false">
      <c r="A273" s="3" t="s">
        <v>6317</v>
      </c>
      <c r="B273" s="3" t="s">
        <v>519</v>
      </c>
      <c r="C273" s="3" t="s">
        <v>952</v>
      </c>
      <c r="D273" s="3" t="s">
        <v>103</v>
      </c>
      <c r="E273" s="3" t="s">
        <v>24</v>
      </c>
      <c r="F273" s="3" t="s">
        <v>62</v>
      </c>
      <c r="G273" s="3" t="s">
        <v>100</v>
      </c>
      <c r="H273" s="3" t="s">
        <v>27</v>
      </c>
      <c r="I273" s="3" t="s">
        <v>94</v>
      </c>
      <c r="J273" s="3" t="s">
        <v>6003</v>
      </c>
      <c r="K273" s="3" t="n">
        <v>62911.59</v>
      </c>
      <c r="L273" s="3" t="n">
        <v>0.2446</v>
      </c>
      <c r="M273" s="3" t="n">
        <v>47523.42</v>
      </c>
      <c r="N273" s="3" t="n">
        <v>14306.75</v>
      </c>
      <c r="O273" s="3" t="n">
        <v>0.301</v>
      </c>
      <c r="P273" s="3" t="n">
        <v>0.112</v>
      </c>
      <c r="Q273" s="3" t="n">
        <v>5322.62</v>
      </c>
      <c r="R273" s="3" t="n">
        <v>48</v>
      </c>
      <c r="S273" s="3" t="n">
        <v>2.5</v>
      </c>
      <c r="T273" s="3" t="n">
        <v>8.4</v>
      </c>
      <c r="U273" s="3"/>
      <c r="V273" s="3" t="n">
        <v>3.66</v>
      </c>
      <c r="W273" s="3" t="s">
        <v>6000</v>
      </c>
    </row>
    <row r="274" customFormat="false" ht="15" hidden="false" customHeight="true" outlineLevel="0" collapsed="false">
      <c r="A274" s="3" t="s">
        <v>6318</v>
      </c>
      <c r="B274" s="3" t="s">
        <v>811</v>
      </c>
      <c r="C274" s="3" t="s">
        <v>939</v>
      </c>
      <c r="D274" s="3" t="s">
        <v>38</v>
      </c>
      <c r="E274" s="3" t="s">
        <v>39</v>
      </c>
      <c r="F274" s="3" t="s">
        <v>40</v>
      </c>
      <c r="G274" s="3" t="s">
        <v>71</v>
      </c>
      <c r="H274" s="3" t="s">
        <v>42</v>
      </c>
      <c r="I274" s="3" t="s">
        <v>43</v>
      </c>
      <c r="J274" s="3" t="s">
        <v>5992</v>
      </c>
      <c r="K274" s="3" t="n">
        <v>1122467.16</v>
      </c>
      <c r="L274" s="3" t="n">
        <v>0.1845</v>
      </c>
      <c r="M274" s="3" t="n">
        <v>915371.97</v>
      </c>
      <c r="N274" s="3" t="n">
        <v>283403.91</v>
      </c>
      <c r="O274" s="3" t="n">
        <v>0.3096</v>
      </c>
      <c r="P274" s="3" t="n">
        <v>0.667</v>
      </c>
      <c r="Q274" s="3" t="n">
        <v>610553.1</v>
      </c>
      <c r="R274" s="3" t="n">
        <v>163</v>
      </c>
      <c r="S274" s="3" t="n">
        <v>8.9</v>
      </c>
      <c r="T274" s="3" t="n">
        <v>2.8</v>
      </c>
      <c r="U274" s="3"/>
      <c r="V274" s="3" t="n">
        <v>6.67</v>
      </c>
      <c r="W274" s="3" t="s">
        <v>5997</v>
      </c>
    </row>
    <row r="275" customFormat="false" ht="15" hidden="false" customHeight="true" outlineLevel="0" collapsed="false">
      <c r="A275" s="3" t="s">
        <v>6319</v>
      </c>
      <c r="B275" s="3" t="s">
        <v>3665</v>
      </c>
      <c r="C275" s="3" t="s">
        <v>96</v>
      </c>
      <c r="D275" s="3" t="s">
        <v>38</v>
      </c>
      <c r="E275" s="3" t="s">
        <v>39</v>
      </c>
      <c r="F275" s="3" t="s">
        <v>40</v>
      </c>
      <c r="G275" s="3" t="s">
        <v>71</v>
      </c>
      <c r="H275" s="3" t="s">
        <v>56</v>
      </c>
      <c r="I275" s="3" t="s">
        <v>57</v>
      </c>
      <c r="J275" s="3" t="s">
        <v>5996</v>
      </c>
      <c r="K275" s="3" t="n">
        <v>3098039.92</v>
      </c>
      <c r="L275" s="3" t="n">
        <v>0.1378</v>
      </c>
      <c r="M275" s="3" t="n">
        <v>2671130.02</v>
      </c>
      <c r="N275" s="3" t="n">
        <v>1234891.94</v>
      </c>
      <c r="O275" s="3" t="n">
        <v>0.4623</v>
      </c>
      <c r="P275" s="3" t="n">
        <v>1</v>
      </c>
      <c r="Q275" s="3" t="n">
        <v>2671130.02</v>
      </c>
      <c r="R275" s="3" t="n">
        <v>50</v>
      </c>
      <c r="S275" s="3" t="n">
        <v>7.7</v>
      </c>
      <c r="T275" s="3" t="n">
        <v>9.5</v>
      </c>
      <c r="U275" s="3"/>
      <c r="V275" s="3" t="n">
        <v>6.85</v>
      </c>
      <c r="W275" s="3" t="s">
        <v>5997</v>
      </c>
    </row>
    <row r="276" customFormat="false" ht="15" hidden="false" customHeight="true" outlineLevel="0" collapsed="false">
      <c r="A276" s="3" t="s">
        <v>6320</v>
      </c>
      <c r="B276" s="3" t="s">
        <v>258</v>
      </c>
      <c r="C276" s="3" t="s">
        <v>3352</v>
      </c>
      <c r="D276" s="3" t="s">
        <v>103</v>
      </c>
      <c r="E276" s="3" t="s">
        <v>24</v>
      </c>
      <c r="F276" s="3" t="s">
        <v>62</v>
      </c>
      <c r="G276" s="3" t="s">
        <v>100</v>
      </c>
      <c r="H276" s="3" t="s">
        <v>42</v>
      </c>
      <c r="I276" s="3" t="s">
        <v>72</v>
      </c>
      <c r="J276" s="3" t="s">
        <v>5999</v>
      </c>
      <c r="K276" s="3" t="n">
        <v>4233902.5</v>
      </c>
      <c r="L276" s="3" t="n">
        <v>0.0871</v>
      </c>
      <c r="M276" s="3" t="n">
        <v>3865129.59</v>
      </c>
      <c r="N276" s="3" t="n">
        <v>1456798.86</v>
      </c>
      <c r="O276" s="3" t="n">
        <v>0.3769</v>
      </c>
      <c r="P276" s="3" t="n">
        <v>0.44</v>
      </c>
      <c r="Q276" s="3" t="n">
        <v>1700657.02</v>
      </c>
      <c r="R276" s="3" t="n">
        <v>81</v>
      </c>
      <c r="S276" s="3" t="n">
        <v>2.9</v>
      </c>
      <c r="T276" s="3" t="n">
        <v>5.6</v>
      </c>
      <c r="U276" s="3"/>
      <c r="V276" s="3" t="n">
        <v>6.1</v>
      </c>
      <c r="W276" s="3" t="s">
        <v>5990</v>
      </c>
    </row>
    <row r="277" customFormat="false" ht="15" hidden="false" customHeight="true" outlineLevel="0" collapsed="false">
      <c r="A277" s="3" t="s">
        <v>6321</v>
      </c>
      <c r="B277" s="3" t="s">
        <v>3972</v>
      </c>
      <c r="C277" s="3" t="s">
        <v>3361</v>
      </c>
      <c r="D277" s="3" t="s">
        <v>38</v>
      </c>
      <c r="E277" s="3" t="s">
        <v>39</v>
      </c>
      <c r="F277" s="3" t="s">
        <v>40</v>
      </c>
      <c r="G277" s="3" t="s">
        <v>116</v>
      </c>
      <c r="H277" s="3" t="s">
        <v>27</v>
      </c>
      <c r="I277" s="3" t="s">
        <v>173</v>
      </c>
      <c r="J277" s="3" t="s">
        <v>5996</v>
      </c>
      <c r="K277" s="3" t="n">
        <v>182384.92</v>
      </c>
      <c r="L277" s="3" t="n">
        <v>0.1303</v>
      </c>
      <c r="M277" s="3" t="n">
        <v>158620.16</v>
      </c>
      <c r="N277" s="3" t="n">
        <v>47260.23</v>
      </c>
      <c r="O277" s="3" t="n">
        <v>0.2979</v>
      </c>
      <c r="P277" s="3" t="n">
        <v>0.971</v>
      </c>
      <c r="Q277" s="3" t="n">
        <v>154020.18</v>
      </c>
      <c r="R277" s="3" t="n">
        <v>107</v>
      </c>
      <c r="S277" s="3" t="n">
        <v>7.3</v>
      </c>
      <c r="T277" s="3" t="n">
        <v>2.3</v>
      </c>
      <c r="U277" s="3"/>
      <c r="V277" s="3" t="n">
        <v>6.71</v>
      </c>
      <c r="W277" s="3" t="s">
        <v>5997</v>
      </c>
    </row>
    <row r="278" customFormat="false" ht="15" hidden="false" customHeight="true" outlineLevel="0" collapsed="false">
      <c r="A278" s="3" t="s">
        <v>6322</v>
      </c>
      <c r="B278" s="3" t="s">
        <v>1166</v>
      </c>
      <c r="C278" s="3" t="s">
        <v>6323</v>
      </c>
      <c r="D278" s="3" t="s">
        <v>47</v>
      </c>
      <c r="E278" s="3" t="s">
        <v>48</v>
      </c>
      <c r="F278" s="3" t="s">
        <v>25</v>
      </c>
      <c r="G278" s="3" t="s">
        <v>26</v>
      </c>
      <c r="H278" s="3" t="s">
        <v>27</v>
      </c>
      <c r="I278" s="3" t="s">
        <v>50</v>
      </c>
      <c r="J278" s="3" t="s">
        <v>5992</v>
      </c>
      <c r="K278" s="3" t="n">
        <v>3362753.21</v>
      </c>
      <c r="L278" s="3" t="n">
        <v>0.0643</v>
      </c>
      <c r="M278" s="3" t="n">
        <v>3146528.18</v>
      </c>
      <c r="N278" s="3" t="n">
        <v>1013500.93</v>
      </c>
      <c r="O278" s="3" t="n">
        <v>0.3221</v>
      </c>
      <c r="P278" s="3" t="n">
        <v>0.68</v>
      </c>
      <c r="Q278" s="3" t="n">
        <v>2139639.16</v>
      </c>
      <c r="R278" s="3" t="n">
        <v>170</v>
      </c>
      <c r="S278" s="3" t="n">
        <v>4.9</v>
      </c>
      <c r="T278" s="3" t="n">
        <v>6.1</v>
      </c>
      <c r="U278" s="3"/>
      <c r="V278" s="3" t="n">
        <v>6.31</v>
      </c>
      <c r="W278" s="3" t="s">
        <v>5990</v>
      </c>
    </row>
    <row r="279" customFormat="false" ht="15" hidden="false" customHeight="true" outlineLevel="0" collapsed="false">
      <c r="A279" s="3" t="s">
        <v>6324</v>
      </c>
      <c r="B279" s="3" t="s">
        <v>3200</v>
      </c>
      <c r="C279" s="3" t="s">
        <v>6193</v>
      </c>
      <c r="D279" s="3" t="s">
        <v>23</v>
      </c>
      <c r="E279" s="3" t="s">
        <v>24</v>
      </c>
      <c r="F279" s="3" t="s">
        <v>25</v>
      </c>
      <c r="G279" s="3" t="s">
        <v>41</v>
      </c>
      <c r="H279" s="3" t="s">
        <v>64</v>
      </c>
      <c r="I279" s="3" t="s">
        <v>65</v>
      </c>
      <c r="J279" s="3" t="s">
        <v>5999</v>
      </c>
      <c r="K279" s="3" t="n">
        <v>3914707.22</v>
      </c>
      <c r="L279" s="3" t="n">
        <v>0.177</v>
      </c>
      <c r="M279" s="3" t="n">
        <v>3221804.04</v>
      </c>
      <c r="N279" s="3" t="n">
        <v>1106864.17</v>
      </c>
      <c r="O279" s="3" t="n">
        <v>0.3436</v>
      </c>
      <c r="P279" s="3" t="n">
        <v>0.427</v>
      </c>
      <c r="Q279" s="3" t="n">
        <v>1375710.33</v>
      </c>
      <c r="R279" s="3" t="n">
        <v>38</v>
      </c>
      <c r="S279" s="3" t="n">
        <v>8.7</v>
      </c>
      <c r="T279" s="3" t="n">
        <v>9.3</v>
      </c>
      <c r="U279" s="3"/>
      <c r="V279" s="3" t="n">
        <v>5.96</v>
      </c>
      <c r="W279" s="3" t="s">
        <v>5990</v>
      </c>
    </row>
    <row r="280" customFormat="false" ht="15" hidden="false" customHeight="true" outlineLevel="0" collapsed="false">
      <c r="A280" s="3" t="s">
        <v>6325</v>
      </c>
      <c r="B280" s="3" t="s">
        <v>170</v>
      </c>
      <c r="C280" s="3" t="s">
        <v>402</v>
      </c>
      <c r="D280" s="3" t="s">
        <v>61</v>
      </c>
      <c r="E280" s="3" t="s">
        <v>33</v>
      </c>
      <c r="F280" s="3" t="s">
        <v>62</v>
      </c>
      <c r="G280" s="3" t="s">
        <v>55</v>
      </c>
      <c r="H280" s="3" t="s">
        <v>27</v>
      </c>
      <c r="I280" s="3" t="s">
        <v>94</v>
      </c>
      <c r="J280" s="3" t="s">
        <v>6009</v>
      </c>
      <c r="K280" s="3" t="n">
        <v>2392369.46</v>
      </c>
      <c r="L280" s="3" t="n">
        <v>0.0904</v>
      </c>
      <c r="M280" s="3" t="n">
        <v>2176099.26</v>
      </c>
      <c r="N280" s="3" t="n">
        <v>922856.4</v>
      </c>
      <c r="O280" s="3" t="n">
        <v>0.4241</v>
      </c>
      <c r="P280" s="3" t="n">
        <v>0.004</v>
      </c>
      <c r="Q280" s="3" t="n">
        <v>8704.4</v>
      </c>
      <c r="R280" s="3" t="n">
        <v>91</v>
      </c>
      <c r="S280" s="3" t="n">
        <v>5.4</v>
      </c>
      <c r="T280" s="3" t="n">
        <v>6.3</v>
      </c>
      <c r="U280" s="3" t="s">
        <v>6041</v>
      </c>
      <c r="V280" s="3" t="n">
        <v>6.95</v>
      </c>
      <c r="W280" s="3" t="s">
        <v>5997</v>
      </c>
    </row>
    <row r="281" customFormat="false" ht="15" hidden="false" customHeight="true" outlineLevel="0" collapsed="false">
      <c r="A281" s="3" t="s">
        <v>6326</v>
      </c>
      <c r="B281" s="3" t="s">
        <v>6327</v>
      </c>
      <c r="C281" s="3" t="s">
        <v>422</v>
      </c>
      <c r="D281" s="3" t="s">
        <v>32</v>
      </c>
      <c r="E281" s="3" t="s">
        <v>33</v>
      </c>
      <c r="F281" s="3" t="s">
        <v>25</v>
      </c>
      <c r="G281" s="3" t="s">
        <v>63</v>
      </c>
      <c r="H281" s="3" t="s">
        <v>56</v>
      </c>
      <c r="I281" s="3" t="s">
        <v>188</v>
      </c>
      <c r="J281" s="3" t="s">
        <v>5989</v>
      </c>
      <c r="K281" s="3" t="n">
        <v>4561013.49</v>
      </c>
      <c r="L281" s="3" t="n">
        <v>0.1792</v>
      </c>
      <c r="M281" s="3" t="n">
        <v>3743679.87</v>
      </c>
      <c r="N281" s="3" t="n">
        <v>1499095.13</v>
      </c>
      <c r="O281" s="3" t="n">
        <v>0.4004</v>
      </c>
      <c r="P281" s="3" t="n">
        <v>0.298</v>
      </c>
      <c r="Q281" s="3" t="n">
        <v>1115616.6</v>
      </c>
      <c r="R281" s="3" t="n">
        <v>19</v>
      </c>
      <c r="S281" s="3" t="n">
        <v>5.4</v>
      </c>
      <c r="T281" s="3" t="n">
        <v>2.7</v>
      </c>
      <c r="U281" s="3"/>
      <c r="V281" s="3" t="n">
        <v>6.56</v>
      </c>
      <c r="W281" s="3" t="s">
        <v>5997</v>
      </c>
    </row>
    <row r="282" customFormat="false" ht="15" hidden="false" customHeight="true" outlineLevel="0" collapsed="false">
      <c r="A282" s="3" t="s">
        <v>6328</v>
      </c>
      <c r="B282" s="3" t="s">
        <v>1580</v>
      </c>
      <c r="C282" s="3" t="s">
        <v>565</v>
      </c>
      <c r="D282" s="3" t="s">
        <v>32</v>
      </c>
      <c r="E282" s="3" t="s">
        <v>33</v>
      </c>
      <c r="F282" s="3" t="s">
        <v>25</v>
      </c>
      <c r="G282" s="3" t="s">
        <v>71</v>
      </c>
      <c r="H282" s="3" t="s">
        <v>27</v>
      </c>
      <c r="I282" s="3" t="s">
        <v>94</v>
      </c>
      <c r="J282" s="3" t="s">
        <v>5996</v>
      </c>
      <c r="K282" s="3" t="n">
        <v>1809689.38</v>
      </c>
      <c r="L282" s="3" t="n">
        <v>0.2505</v>
      </c>
      <c r="M282" s="3" t="n">
        <v>1356362.19</v>
      </c>
      <c r="N282" s="3" t="n">
        <v>629261.57</v>
      </c>
      <c r="O282" s="3" t="n">
        <v>0.4639</v>
      </c>
      <c r="P282" s="3" t="n">
        <v>1</v>
      </c>
      <c r="Q282" s="3" t="n">
        <v>1356362.19</v>
      </c>
      <c r="R282" s="3" t="n">
        <v>87</v>
      </c>
      <c r="S282" s="3" t="n">
        <v>9.7</v>
      </c>
      <c r="T282" s="3" t="n">
        <v>6.9</v>
      </c>
      <c r="U282" s="3"/>
      <c r="V282" s="3" t="n">
        <v>6.79</v>
      </c>
      <c r="W282" s="3" t="s">
        <v>5997</v>
      </c>
    </row>
    <row r="283" customFormat="false" ht="15" hidden="false" customHeight="true" outlineLevel="0" collapsed="false">
      <c r="A283" s="3" t="s">
        <v>6329</v>
      </c>
      <c r="B283" s="3" t="s">
        <v>2910</v>
      </c>
      <c r="C283" s="3" t="s">
        <v>6330</v>
      </c>
      <c r="D283" s="3" t="s">
        <v>103</v>
      </c>
      <c r="E283" s="3" t="s">
        <v>24</v>
      </c>
      <c r="F283" s="3" t="s">
        <v>62</v>
      </c>
      <c r="G283" s="3" t="s">
        <v>71</v>
      </c>
      <c r="H283" s="3" t="s">
        <v>77</v>
      </c>
      <c r="I283" s="3" t="s">
        <v>78</v>
      </c>
      <c r="J283" s="3" t="s">
        <v>5989</v>
      </c>
      <c r="K283" s="3" t="n">
        <v>4542782.74</v>
      </c>
      <c r="L283" s="3" t="n">
        <v>0.0822</v>
      </c>
      <c r="M283" s="3" t="n">
        <v>4169366</v>
      </c>
      <c r="N283" s="3" t="n">
        <v>1714573.88</v>
      </c>
      <c r="O283" s="3" t="n">
        <v>0.4112</v>
      </c>
      <c r="P283" s="3" t="n">
        <v>0.287</v>
      </c>
      <c r="Q283" s="3" t="n">
        <v>1196608.04</v>
      </c>
      <c r="R283" s="3" t="n">
        <v>109</v>
      </c>
      <c r="S283" s="3" t="n">
        <v>4.8</v>
      </c>
      <c r="T283" s="3" t="n">
        <v>1.2</v>
      </c>
      <c r="U283" s="3"/>
      <c r="V283" s="3" t="n">
        <v>7.53</v>
      </c>
      <c r="W283" s="3" t="s">
        <v>5997</v>
      </c>
    </row>
    <row r="284" customFormat="false" ht="15" hidden="false" customHeight="true" outlineLevel="0" collapsed="false">
      <c r="A284" s="3" t="s">
        <v>6331</v>
      </c>
      <c r="B284" s="3" t="s">
        <v>2869</v>
      </c>
      <c r="C284" s="3" t="s">
        <v>6332</v>
      </c>
      <c r="D284" s="3" t="s">
        <v>97</v>
      </c>
      <c r="E284" s="3" t="s">
        <v>48</v>
      </c>
      <c r="F284" s="3" t="s">
        <v>40</v>
      </c>
      <c r="G284" s="3" t="s">
        <v>63</v>
      </c>
      <c r="H284" s="3" t="s">
        <v>56</v>
      </c>
      <c r="I284" s="3" t="s">
        <v>57</v>
      </c>
      <c r="J284" s="3" t="s">
        <v>5996</v>
      </c>
      <c r="K284" s="3" t="n">
        <v>3658149.64</v>
      </c>
      <c r="L284" s="3" t="n">
        <v>0.0504</v>
      </c>
      <c r="M284" s="3" t="n">
        <v>3473778.9</v>
      </c>
      <c r="N284" s="3" t="n">
        <v>1431571.75</v>
      </c>
      <c r="O284" s="3" t="n">
        <v>0.4121</v>
      </c>
      <c r="P284" s="3" t="n">
        <v>0.961</v>
      </c>
      <c r="Q284" s="3" t="n">
        <v>3338301.52</v>
      </c>
      <c r="R284" s="3" t="n">
        <v>157</v>
      </c>
      <c r="S284" s="3" t="n">
        <v>8</v>
      </c>
      <c r="T284" s="3" t="n">
        <v>4.4</v>
      </c>
      <c r="U284" s="3"/>
      <c r="V284" s="3" t="n">
        <v>8.13</v>
      </c>
      <c r="W284" s="3" t="s">
        <v>5997</v>
      </c>
    </row>
    <row r="285" customFormat="false" ht="15" hidden="false" customHeight="true" outlineLevel="0" collapsed="false">
      <c r="A285" s="3" t="s">
        <v>6333</v>
      </c>
      <c r="B285" s="3" t="s">
        <v>110</v>
      </c>
      <c r="C285" s="3" t="s">
        <v>2797</v>
      </c>
      <c r="D285" s="3" t="s">
        <v>75</v>
      </c>
      <c r="E285" s="3" t="s">
        <v>39</v>
      </c>
      <c r="F285" s="3" t="s">
        <v>25</v>
      </c>
      <c r="G285" s="3" t="s">
        <v>41</v>
      </c>
      <c r="H285" s="3" t="s">
        <v>42</v>
      </c>
      <c r="I285" s="3" t="s">
        <v>72</v>
      </c>
      <c r="J285" s="3" t="s">
        <v>5989</v>
      </c>
      <c r="K285" s="3" t="n">
        <v>3245332.01</v>
      </c>
      <c r="L285" s="3" t="n">
        <v>0.2209</v>
      </c>
      <c r="M285" s="3" t="n">
        <v>2528438.17</v>
      </c>
      <c r="N285" s="3" t="n">
        <v>816826.08</v>
      </c>
      <c r="O285" s="3" t="n">
        <v>0.3231</v>
      </c>
      <c r="P285" s="3" t="n">
        <v>0.2</v>
      </c>
      <c r="Q285" s="3" t="n">
        <v>505687.63</v>
      </c>
      <c r="R285" s="3" t="n">
        <v>23</v>
      </c>
      <c r="S285" s="3" t="n">
        <v>9.8</v>
      </c>
      <c r="T285" s="3" t="n">
        <v>4.1</v>
      </c>
      <c r="U285" s="3"/>
      <c r="V285" s="3" t="n">
        <v>6.5</v>
      </c>
      <c r="W285" s="3" t="s">
        <v>5997</v>
      </c>
    </row>
    <row r="286" customFormat="false" ht="15" hidden="false" customHeight="true" outlineLevel="0" collapsed="false">
      <c r="A286" s="3" t="s">
        <v>6334</v>
      </c>
      <c r="B286" s="3" t="s">
        <v>2200</v>
      </c>
      <c r="C286" s="3" t="s">
        <v>500</v>
      </c>
      <c r="D286" s="3" t="s">
        <v>38</v>
      </c>
      <c r="E286" s="3" t="s">
        <v>39</v>
      </c>
      <c r="F286" s="3" t="s">
        <v>40</v>
      </c>
      <c r="G286" s="3" t="s">
        <v>71</v>
      </c>
      <c r="H286" s="3" t="s">
        <v>27</v>
      </c>
      <c r="I286" s="3" t="s">
        <v>173</v>
      </c>
      <c r="J286" s="3" t="s">
        <v>5999</v>
      </c>
      <c r="K286" s="3" t="n">
        <v>737953.12</v>
      </c>
      <c r="L286" s="3" t="n">
        <v>0.2236</v>
      </c>
      <c r="M286" s="3" t="n">
        <v>572946.8</v>
      </c>
      <c r="N286" s="3" t="n">
        <v>185508.54</v>
      </c>
      <c r="O286" s="3" t="n">
        <v>0.3238</v>
      </c>
      <c r="P286" s="3" t="n">
        <v>0.494</v>
      </c>
      <c r="Q286" s="3" t="n">
        <v>283035.72</v>
      </c>
      <c r="R286" s="3" t="n">
        <v>173</v>
      </c>
      <c r="S286" s="3" t="n">
        <v>8.3</v>
      </c>
      <c r="T286" s="3" t="n">
        <v>5.3</v>
      </c>
      <c r="U286" s="3"/>
      <c r="V286" s="3" t="n">
        <v>5.93</v>
      </c>
      <c r="W286" s="3" t="s">
        <v>5990</v>
      </c>
    </row>
    <row r="287" customFormat="false" ht="15" hidden="false" customHeight="true" outlineLevel="0" collapsed="false">
      <c r="A287" s="3" t="s">
        <v>6335</v>
      </c>
      <c r="B287" s="3" t="s">
        <v>326</v>
      </c>
      <c r="C287" s="3" t="s">
        <v>125</v>
      </c>
      <c r="D287" s="3" t="s">
        <v>83</v>
      </c>
      <c r="E287" s="3" t="s">
        <v>48</v>
      </c>
      <c r="F287" s="3" t="s">
        <v>62</v>
      </c>
      <c r="G287" s="3" t="s">
        <v>100</v>
      </c>
      <c r="H287" s="3" t="s">
        <v>64</v>
      </c>
      <c r="I287" s="3" t="s">
        <v>145</v>
      </c>
      <c r="J287" s="3" t="s">
        <v>5999</v>
      </c>
      <c r="K287" s="3" t="n">
        <v>1479783.37</v>
      </c>
      <c r="L287" s="3" t="n">
        <v>0.1466</v>
      </c>
      <c r="M287" s="3" t="n">
        <v>1262847.13</v>
      </c>
      <c r="N287" s="3" t="n">
        <v>365557.44</v>
      </c>
      <c r="O287" s="3" t="n">
        <v>0.2895</v>
      </c>
      <c r="P287" s="3" t="n">
        <v>0.421</v>
      </c>
      <c r="Q287" s="3" t="n">
        <v>531658.64</v>
      </c>
      <c r="R287" s="3" t="n">
        <v>150</v>
      </c>
      <c r="S287" s="3" t="n">
        <v>5</v>
      </c>
      <c r="T287" s="3" t="n">
        <v>7</v>
      </c>
      <c r="U287" s="3"/>
      <c r="V287" s="3" t="n">
        <v>5.21</v>
      </c>
      <c r="W287" s="3" t="s">
        <v>5990</v>
      </c>
    </row>
    <row r="288" customFormat="false" ht="15" hidden="false" customHeight="true" outlineLevel="0" collapsed="false">
      <c r="A288" s="3" t="s">
        <v>6336</v>
      </c>
      <c r="B288" s="3" t="s">
        <v>2441</v>
      </c>
      <c r="C288" s="3" t="s">
        <v>1369</v>
      </c>
      <c r="D288" s="3" t="s">
        <v>38</v>
      </c>
      <c r="E288" s="3" t="s">
        <v>39</v>
      </c>
      <c r="F288" s="3" t="s">
        <v>40</v>
      </c>
      <c r="G288" s="3" t="s">
        <v>116</v>
      </c>
      <c r="H288" s="3" t="s">
        <v>27</v>
      </c>
      <c r="I288" s="3" t="s">
        <v>94</v>
      </c>
      <c r="J288" s="3" t="s">
        <v>5996</v>
      </c>
      <c r="K288" s="3" t="n">
        <v>3387891.62</v>
      </c>
      <c r="L288" s="3" t="n">
        <v>0.0592</v>
      </c>
      <c r="M288" s="3" t="n">
        <v>3187328.44</v>
      </c>
      <c r="N288" s="3" t="n">
        <v>1089560.72</v>
      </c>
      <c r="O288" s="3" t="n">
        <v>0.3418</v>
      </c>
      <c r="P288" s="3" t="n">
        <v>0.977</v>
      </c>
      <c r="Q288" s="3" t="n">
        <v>3114019.89</v>
      </c>
      <c r="R288" s="3" t="n">
        <v>77</v>
      </c>
      <c r="S288" s="3" t="n">
        <v>5.1</v>
      </c>
      <c r="T288" s="3" t="n">
        <v>6.6</v>
      </c>
      <c r="U288" s="3"/>
      <c r="V288" s="3" t="n">
        <v>6.45</v>
      </c>
      <c r="W288" s="3" t="s">
        <v>5990</v>
      </c>
    </row>
    <row r="289" customFormat="false" ht="15" hidden="false" customHeight="true" outlineLevel="0" collapsed="false">
      <c r="A289" s="3" t="s">
        <v>6337</v>
      </c>
      <c r="B289" s="3" t="s">
        <v>2725</v>
      </c>
      <c r="C289" s="3" t="s">
        <v>292</v>
      </c>
      <c r="D289" s="3" t="s">
        <v>23</v>
      </c>
      <c r="E289" s="3" t="s">
        <v>24</v>
      </c>
      <c r="F289" s="3" t="s">
        <v>25</v>
      </c>
      <c r="G289" s="3" t="s">
        <v>104</v>
      </c>
      <c r="H289" s="3" t="s">
        <v>27</v>
      </c>
      <c r="I289" s="3" t="s">
        <v>94</v>
      </c>
      <c r="J289" s="3" t="s">
        <v>5996</v>
      </c>
      <c r="K289" s="3" t="n">
        <v>4452415.73</v>
      </c>
      <c r="L289" s="3" t="n">
        <v>0.0837</v>
      </c>
      <c r="M289" s="3" t="n">
        <v>4079748.53</v>
      </c>
      <c r="N289" s="3" t="n">
        <v>1405100.52</v>
      </c>
      <c r="O289" s="3" t="n">
        <v>0.3444</v>
      </c>
      <c r="P289" s="3" t="n">
        <v>0.952</v>
      </c>
      <c r="Q289" s="3" t="n">
        <v>3883920.6</v>
      </c>
      <c r="R289" s="3" t="n">
        <v>63</v>
      </c>
      <c r="S289" s="3" t="n">
        <v>8</v>
      </c>
      <c r="T289" s="3" t="n">
        <v>6.1</v>
      </c>
      <c r="U289" s="3"/>
      <c r="V289" s="3" t="n">
        <v>7.08</v>
      </c>
      <c r="W289" s="3" t="s">
        <v>5997</v>
      </c>
    </row>
    <row r="290" customFormat="false" ht="15" hidden="false" customHeight="true" outlineLevel="0" collapsed="false">
      <c r="A290" s="3" t="s">
        <v>6338</v>
      </c>
      <c r="B290" s="3" t="s">
        <v>1029</v>
      </c>
      <c r="C290" s="3" t="s">
        <v>219</v>
      </c>
      <c r="D290" s="3" t="s">
        <v>103</v>
      </c>
      <c r="E290" s="3" t="s">
        <v>24</v>
      </c>
      <c r="F290" s="3" t="s">
        <v>62</v>
      </c>
      <c r="G290" s="3" t="s">
        <v>34</v>
      </c>
      <c r="H290" s="3" t="s">
        <v>77</v>
      </c>
      <c r="I290" s="3" t="s">
        <v>131</v>
      </c>
      <c r="J290" s="3" t="s">
        <v>6009</v>
      </c>
      <c r="K290" s="3" t="n">
        <v>4139348.1</v>
      </c>
      <c r="L290" s="3" t="n">
        <v>0.2982</v>
      </c>
      <c r="M290" s="3" t="n">
        <v>2904994.5</v>
      </c>
      <c r="N290" s="3" t="n">
        <v>944336.37</v>
      </c>
      <c r="O290" s="3" t="n">
        <v>0.3251</v>
      </c>
      <c r="P290" s="3" t="n">
        <v>0.035</v>
      </c>
      <c r="Q290" s="3" t="n">
        <v>101674.81</v>
      </c>
      <c r="R290" s="3" t="n">
        <v>142</v>
      </c>
      <c r="S290" s="3" t="n">
        <v>4.4</v>
      </c>
      <c r="T290" s="3" t="n">
        <v>9.6</v>
      </c>
      <c r="U290" s="3" t="s">
        <v>6010</v>
      </c>
      <c r="V290" s="3" t="n">
        <v>3.71</v>
      </c>
      <c r="W290" s="3" t="s">
        <v>6000</v>
      </c>
    </row>
    <row r="291" customFormat="false" ht="15" hidden="false" customHeight="true" outlineLevel="0" collapsed="false">
      <c r="A291" s="3" t="s">
        <v>6339</v>
      </c>
      <c r="B291" s="3" t="s">
        <v>6327</v>
      </c>
      <c r="C291" s="3" t="s">
        <v>4614</v>
      </c>
      <c r="D291" s="3" t="s">
        <v>97</v>
      </c>
      <c r="E291" s="3" t="s">
        <v>48</v>
      </c>
      <c r="F291" s="3" t="s">
        <v>40</v>
      </c>
      <c r="G291" s="3" t="s">
        <v>41</v>
      </c>
      <c r="H291" s="3" t="s">
        <v>42</v>
      </c>
      <c r="I291" s="3" t="s">
        <v>134</v>
      </c>
      <c r="J291" s="3" t="s">
        <v>5999</v>
      </c>
      <c r="K291" s="3" t="n">
        <v>2097426</v>
      </c>
      <c r="L291" s="3" t="n">
        <v>0.1309</v>
      </c>
      <c r="M291" s="3" t="n">
        <v>1822872.94</v>
      </c>
      <c r="N291" s="3" t="n">
        <v>734918.99</v>
      </c>
      <c r="O291" s="3" t="n">
        <v>0.4032</v>
      </c>
      <c r="P291" s="3" t="n">
        <v>0.402</v>
      </c>
      <c r="Q291" s="3" t="n">
        <v>732794.92</v>
      </c>
      <c r="R291" s="3" t="n">
        <v>106</v>
      </c>
      <c r="S291" s="3" t="n">
        <v>9.6</v>
      </c>
      <c r="T291" s="3" t="n">
        <v>7.9</v>
      </c>
      <c r="U291" s="3"/>
      <c r="V291" s="3" t="n">
        <v>7.26</v>
      </c>
      <c r="W291" s="3" t="s">
        <v>5997</v>
      </c>
    </row>
    <row r="292" customFormat="false" ht="15" hidden="false" customHeight="true" outlineLevel="0" collapsed="false">
      <c r="A292" s="3" t="s">
        <v>6340</v>
      </c>
      <c r="B292" s="3" t="s">
        <v>2194</v>
      </c>
      <c r="C292" s="3" t="s">
        <v>3054</v>
      </c>
      <c r="D292" s="3" t="s">
        <v>54</v>
      </c>
      <c r="E292" s="3" t="s">
        <v>24</v>
      </c>
      <c r="F292" s="3" t="s">
        <v>40</v>
      </c>
      <c r="G292" s="3" t="s">
        <v>100</v>
      </c>
      <c r="H292" s="3" t="s">
        <v>56</v>
      </c>
      <c r="I292" s="3" t="s">
        <v>57</v>
      </c>
      <c r="J292" s="3" t="s">
        <v>5989</v>
      </c>
      <c r="K292" s="3" t="n">
        <v>2034238.92</v>
      </c>
      <c r="L292" s="3" t="n">
        <v>0.2687</v>
      </c>
      <c r="M292" s="3" t="n">
        <v>1487638.92</v>
      </c>
      <c r="N292" s="3" t="n">
        <v>562282.81</v>
      </c>
      <c r="O292" s="3" t="n">
        <v>0.378</v>
      </c>
      <c r="P292" s="3" t="n">
        <v>0.204</v>
      </c>
      <c r="Q292" s="3" t="n">
        <v>303478.34</v>
      </c>
      <c r="R292" s="3" t="n">
        <v>71</v>
      </c>
      <c r="S292" s="3" t="n">
        <v>1.5</v>
      </c>
      <c r="T292" s="3" t="n">
        <v>4.1</v>
      </c>
      <c r="U292" s="3"/>
      <c r="V292" s="3" t="n">
        <v>4.45</v>
      </c>
      <c r="W292" s="3" t="s">
        <v>6000</v>
      </c>
    </row>
    <row r="293" customFormat="false" ht="15" hidden="false" customHeight="true" outlineLevel="0" collapsed="false">
      <c r="A293" s="3" t="s">
        <v>6341</v>
      </c>
      <c r="B293" s="3" t="s">
        <v>1383</v>
      </c>
      <c r="C293" s="3" t="s">
        <v>1378</v>
      </c>
      <c r="D293" s="3" t="s">
        <v>54</v>
      </c>
      <c r="E293" s="3" t="s">
        <v>24</v>
      </c>
      <c r="F293" s="3" t="s">
        <v>40</v>
      </c>
      <c r="G293" s="3" t="s">
        <v>76</v>
      </c>
      <c r="H293" s="3" t="s">
        <v>77</v>
      </c>
      <c r="I293" s="3" t="s">
        <v>85</v>
      </c>
      <c r="J293" s="3" t="s">
        <v>5999</v>
      </c>
      <c r="K293" s="3" t="n">
        <v>1284164.44</v>
      </c>
      <c r="L293" s="3" t="n">
        <v>0.1214</v>
      </c>
      <c r="M293" s="3" t="n">
        <v>1128266.88</v>
      </c>
      <c r="N293" s="3" t="n">
        <v>401278.47</v>
      </c>
      <c r="O293" s="3" t="n">
        <v>0.3557</v>
      </c>
      <c r="P293" s="3" t="n">
        <v>0.458</v>
      </c>
      <c r="Q293" s="3" t="n">
        <v>516746.23</v>
      </c>
      <c r="R293" s="3" t="n">
        <v>48</v>
      </c>
      <c r="S293" s="3" t="n">
        <v>6.7</v>
      </c>
      <c r="T293" s="3" t="n">
        <v>9.8</v>
      </c>
      <c r="U293" s="3"/>
      <c r="V293" s="3" t="n">
        <v>5.97</v>
      </c>
      <c r="W293" s="3" t="s">
        <v>5990</v>
      </c>
    </row>
    <row r="294" customFormat="false" ht="15" hidden="false" customHeight="true" outlineLevel="0" collapsed="false">
      <c r="A294" s="3" t="s">
        <v>6342</v>
      </c>
      <c r="B294" s="3" t="s">
        <v>844</v>
      </c>
      <c r="C294" s="3" t="s">
        <v>799</v>
      </c>
      <c r="D294" s="3" t="s">
        <v>54</v>
      </c>
      <c r="E294" s="3" t="s">
        <v>24</v>
      </c>
      <c r="F294" s="3" t="s">
        <v>40</v>
      </c>
      <c r="G294" s="3" t="s">
        <v>104</v>
      </c>
      <c r="H294" s="3" t="s">
        <v>42</v>
      </c>
      <c r="I294" s="3" t="s">
        <v>134</v>
      </c>
      <c r="J294" s="3" t="s">
        <v>5989</v>
      </c>
      <c r="K294" s="3" t="n">
        <v>635412.75</v>
      </c>
      <c r="L294" s="3" t="n">
        <v>0.2248</v>
      </c>
      <c r="M294" s="3" t="n">
        <v>492571.96</v>
      </c>
      <c r="N294" s="3" t="n">
        <v>199799.24</v>
      </c>
      <c r="O294" s="3" t="n">
        <v>0.4056</v>
      </c>
      <c r="P294" s="3" t="n">
        <v>0.221</v>
      </c>
      <c r="Q294" s="3" t="n">
        <v>108858.4</v>
      </c>
      <c r="R294" s="3" t="n">
        <v>112</v>
      </c>
      <c r="S294" s="3" t="n">
        <v>2.8</v>
      </c>
      <c r="T294" s="3" t="n">
        <v>1.4</v>
      </c>
      <c r="U294" s="3"/>
      <c r="V294" s="3" t="n">
        <v>5.76</v>
      </c>
      <c r="W294" s="3" t="s">
        <v>5990</v>
      </c>
    </row>
    <row r="295" customFormat="false" ht="15" hidden="false" customHeight="true" outlineLevel="0" collapsed="false">
      <c r="A295" s="3" t="s">
        <v>6343</v>
      </c>
      <c r="B295" s="3" t="s">
        <v>328</v>
      </c>
      <c r="C295" s="3" t="s">
        <v>3015</v>
      </c>
      <c r="D295" s="3" t="s">
        <v>38</v>
      </c>
      <c r="E295" s="3" t="s">
        <v>39</v>
      </c>
      <c r="F295" s="3" t="s">
        <v>40</v>
      </c>
      <c r="G295" s="3" t="s">
        <v>116</v>
      </c>
      <c r="H295" s="3" t="s">
        <v>42</v>
      </c>
      <c r="I295" s="3" t="s">
        <v>72</v>
      </c>
      <c r="J295" s="3" t="s">
        <v>5996</v>
      </c>
      <c r="K295" s="3" t="n">
        <v>2636747.72</v>
      </c>
      <c r="L295" s="3" t="n">
        <v>0.1976</v>
      </c>
      <c r="M295" s="3" t="n">
        <v>2115726.37</v>
      </c>
      <c r="N295" s="3" t="n">
        <v>741209.89</v>
      </c>
      <c r="O295" s="3" t="n">
        <v>0.3503</v>
      </c>
      <c r="P295" s="3" t="n">
        <v>1</v>
      </c>
      <c r="Q295" s="3" t="n">
        <v>2115726.37</v>
      </c>
      <c r="R295" s="3" t="n">
        <v>150</v>
      </c>
      <c r="S295" s="3" t="n">
        <v>8.7</v>
      </c>
      <c r="T295" s="3" t="n">
        <v>4.3</v>
      </c>
      <c r="U295" s="3"/>
      <c r="V295" s="3" t="n">
        <v>6.61</v>
      </c>
      <c r="W295" s="3" t="s">
        <v>5997</v>
      </c>
    </row>
    <row r="296" customFormat="false" ht="15" hidden="false" customHeight="true" outlineLevel="0" collapsed="false">
      <c r="A296" s="3" t="s">
        <v>6344</v>
      </c>
      <c r="B296" s="3" t="s">
        <v>933</v>
      </c>
      <c r="C296" s="3" t="s">
        <v>5148</v>
      </c>
      <c r="D296" s="3" t="s">
        <v>38</v>
      </c>
      <c r="E296" s="3" t="s">
        <v>39</v>
      </c>
      <c r="F296" s="3" t="s">
        <v>40</v>
      </c>
      <c r="G296" s="3" t="s">
        <v>55</v>
      </c>
      <c r="H296" s="3" t="s">
        <v>42</v>
      </c>
      <c r="I296" s="3" t="s">
        <v>134</v>
      </c>
      <c r="J296" s="3" t="s">
        <v>5989</v>
      </c>
      <c r="K296" s="3" t="n">
        <v>931913.62</v>
      </c>
      <c r="L296" s="3" t="n">
        <v>0.1811</v>
      </c>
      <c r="M296" s="3" t="n">
        <v>763144.06</v>
      </c>
      <c r="N296" s="3" t="n">
        <v>350559.01</v>
      </c>
      <c r="O296" s="3" t="n">
        <v>0.4594</v>
      </c>
      <c r="P296" s="3" t="n">
        <v>0.288</v>
      </c>
      <c r="Q296" s="3" t="n">
        <v>219785.49</v>
      </c>
      <c r="R296" s="3" t="n">
        <v>77</v>
      </c>
      <c r="S296" s="3" t="n">
        <v>6.8</v>
      </c>
      <c r="T296" s="3" t="n">
        <v>3.6</v>
      </c>
      <c r="U296" s="3"/>
      <c r="V296" s="3" t="n">
        <v>7.16</v>
      </c>
      <c r="W296" s="3" t="s">
        <v>5997</v>
      </c>
    </row>
    <row r="297" customFormat="false" ht="15" hidden="false" customHeight="true" outlineLevel="0" collapsed="false">
      <c r="A297" s="3" t="s">
        <v>6345</v>
      </c>
      <c r="B297" s="3" t="s">
        <v>1126</v>
      </c>
      <c r="C297" s="3" t="s">
        <v>6163</v>
      </c>
      <c r="D297" s="3" t="s">
        <v>38</v>
      </c>
      <c r="E297" s="3" t="s">
        <v>39</v>
      </c>
      <c r="F297" s="3" t="s">
        <v>40</v>
      </c>
      <c r="G297" s="3" t="s">
        <v>84</v>
      </c>
      <c r="H297" s="3" t="s">
        <v>56</v>
      </c>
      <c r="I297" s="3" t="s">
        <v>57</v>
      </c>
      <c r="J297" s="3" t="s">
        <v>5996</v>
      </c>
      <c r="K297" s="3" t="n">
        <v>450853.65</v>
      </c>
      <c r="L297" s="3" t="n">
        <v>0.0515</v>
      </c>
      <c r="M297" s="3" t="n">
        <v>427634.69</v>
      </c>
      <c r="N297" s="3" t="n">
        <v>196032.48</v>
      </c>
      <c r="O297" s="3" t="n">
        <v>0.4584</v>
      </c>
      <c r="P297" s="3" t="n">
        <v>0.994</v>
      </c>
      <c r="Q297" s="3" t="n">
        <v>425068.88</v>
      </c>
      <c r="R297" s="3" t="n">
        <v>110</v>
      </c>
      <c r="S297" s="3" t="n">
        <v>8.1</v>
      </c>
      <c r="T297" s="3" t="n">
        <v>3.7</v>
      </c>
      <c r="U297" s="3"/>
      <c r="V297" s="3" t="n">
        <v>8.54</v>
      </c>
      <c r="W297" s="3" t="s">
        <v>5997</v>
      </c>
    </row>
    <row r="298" customFormat="false" ht="15" hidden="false" customHeight="true" outlineLevel="0" collapsed="false">
      <c r="A298" s="3" t="s">
        <v>6346</v>
      </c>
      <c r="B298" s="3" t="s">
        <v>6035</v>
      </c>
      <c r="C298" s="3" t="s">
        <v>2629</v>
      </c>
      <c r="D298" s="3" t="s">
        <v>69</v>
      </c>
      <c r="E298" s="3" t="s">
        <v>39</v>
      </c>
      <c r="F298" s="3" t="s">
        <v>70</v>
      </c>
      <c r="G298" s="3" t="s">
        <v>76</v>
      </c>
      <c r="H298" s="3" t="s">
        <v>77</v>
      </c>
      <c r="I298" s="3" t="s">
        <v>131</v>
      </c>
      <c r="J298" s="3" t="s">
        <v>5992</v>
      </c>
      <c r="K298" s="3" t="n">
        <v>4861854.09</v>
      </c>
      <c r="L298" s="3" t="n">
        <v>0.2665</v>
      </c>
      <c r="M298" s="3" t="n">
        <v>3566169.98</v>
      </c>
      <c r="N298" s="3" t="n">
        <v>1341045.73</v>
      </c>
      <c r="O298" s="3" t="n">
        <v>0.376</v>
      </c>
      <c r="P298" s="3" t="n">
        <v>0.694</v>
      </c>
      <c r="Q298" s="3" t="n">
        <v>2474921.97</v>
      </c>
      <c r="R298" s="3" t="n">
        <v>53</v>
      </c>
      <c r="S298" s="3" t="n">
        <v>10</v>
      </c>
      <c r="T298" s="3" t="n">
        <v>3</v>
      </c>
      <c r="U298" s="3"/>
      <c r="V298" s="3" t="n">
        <v>6.76</v>
      </c>
      <c r="W298" s="3" t="s">
        <v>5997</v>
      </c>
    </row>
    <row r="299" customFormat="false" ht="15" hidden="false" customHeight="true" outlineLevel="0" collapsed="false">
      <c r="A299" s="3" t="s">
        <v>6347</v>
      </c>
      <c r="B299" s="3" t="s">
        <v>613</v>
      </c>
      <c r="C299" s="3" t="s">
        <v>424</v>
      </c>
      <c r="D299" s="3" t="s">
        <v>47</v>
      </c>
      <c r="E299" s="3" t="s">
        <v>48</v>
      </c>
      <c r="F299" s="3" t="s">
        <v>25</v>
      </c>
      <c r="G299" s="3" t="s">
        <v>84</v>
      </c>
      <c r="H299" s="3" t="s">
        <v>56</v>
      </c>
      <c r="I299" s="3" t="s">
        <v>57</v>
      </c>
      <c r="J299" s="3" t="s">
        <v>5989</v>
      </c>
      <c r="K299" s="3" t="n">
        <v>3042062.3</v>
      </c>
      <c r="L299" s="3" t="n">
        <v>0.2923</v>
      </c>
      <c r="M299" s="3" t="n">
        <v>2152867.49</v>
      </c>
      <c r="N299" s="3" t="n">
        <v>901721.43</v>
      </c>
      <c r="O299" s="3" t="n">
        <v>0.4188</v>
      </c>
      <c r="P299" s="3" t="n">
        <v>0.27</v>
      </c>
      <c r="Q299" s="3" t="n">
        <v>581274.22</v>
      </c>
      <c r="R299" s="3" t="n">
        <v>113</v>
      </c>
      <c r="S299" s="3" t="n">
        <v>5.7</v>
      </c>
      <c r="T299" s="3" t="n">
        <v>6.2</v>
      </c>
      <c r="U299" s="3"/>
      <c r="V299" s="3" t="n">
        <v>5.33</v>
      </c>
      <c r="W299" s="3" t="s">
        <v>5990</v>
      </c>
    </row>
    <row r="300" customFormat="false" ht="15" hidden="false" customHeight="true" outlineLevel="0" collapsed="false">
      <c r="A300" s="3" t="s">
        <v>6348</v>
      </c>
      <c r="B300" s="3" t="s">
        <v>488</v>
      </c>
      <c r="C300" s="3" t="s">
        <v>278</v>
      </c>
      <c r="D300" s="3" t="s">
        <v>97</v>
      </c>
      <c r="E300" s="3" t="s">
        <v>48</v>
      </c>
      <c r="F300" s="3" t="s">
        <v>40</v>
      </c>
      <c r="G300" s="3" t="s">
        <v>116</v>
      </c>
      <c r="H300" s="3" t="s">
        <v>56</v>
      </c>
      <c r="I300" s="3" t="s">
        <v>57</v>
      </c>
      <c r="J300" s="3" t="s">
        <v>5999</v>
      </c>
      <c r="K300" s="3" t="n">
        <v>3699678.68</v>
      </c>
      <c r="L300" s="3" t="n">
        <v>0.2252</v>
      </c>
      <c r="M300" s="3" t="n">
        <v>2866511.04</v>
      </c>
      <c r="N300" s="3" t="n">
        <v>1074113.61</v>
      </c>
      <c r="O300" s="3" t="n">
        <v>0.3747</v>
      </c>
      <c r="P300" s="3" t="n">
        <v>0.438</v>
      </c>
      <c r="Q300" s="3" t="n">
        <v>1255531.84</v>
      </c>
      <c r="R300" s="3" t="n">
        <v>131</v>
      </c>
      <c r="S300" s="3" t="n">
        <v>9.7</v>
      </c>
      <c r="T300" s="3" t="n">
        <v>3.8</v>
      </c>
      <c r="U300" s="3"/>
      <c r="V300" s="3" t="n">
        <v>6.88</v>
      </c>
      <c r="W300" s="3" t="s">
        <v>5997</v>
      </c>
    </row>
    <row r="301" customFormat="false" ht="15" hidden="false" customHeight="true" outlineLevel="0" collapsed="false">
      <c r="A301" s="3" t="s">
        <v>6349</v>
      </c>
      <c r="B301" s="3" t="s">
        <v>1095</v>
      </c>
      <c r="C301" s="3" t="s">
        <v>1578</v>
      </c>
      <c r="D301" s="3" t="s">
        <v>23</v>
      </c>
      <c r="E301" s="3" t="s">
        <v>24</v>
      </c>
      <c r="F301" s="3" t="s">
        <v>25</v>
      </c>
      <c r="G301" s="3" t="s">
        <v>76</v>
      </c>
      <c r="H301" s="3" t="s">
        <v>27</v>
      </c>
      <c r="I301" s="3" t="s">
        <v>94</v>
      </c>
      <c r="J301" s="3" t="s">
        <v>5989</v>
      </c>
      <c r="K301" s="3" t="n">
        <v>3957605.35</v>
      </c>
      <c r="L301" s="3" t="n">
        <v>0.1536</v>
      </c>
      <c r="M301" s="3" t="n">
        <v>3349717.17</v>
      </c>
      <c r="N301" s="3" t="n">
        <v>1394777.22</v>
      </c>
      <c r="O301" s="3" t="n">
        <v>0.4164</v>
      </c>
      <c r="P301" s="3" t="n">
        <v>0.284</v>
      </c>
      <c r="Q301" s="3" t="n">
        <v>951319.68</v>
      </c>
      <c r="R301" s="3" t="n">
        <v>128</v>
      </c>
      <c r="S301" s="3" t="n">
        <v>7.6</v>
      </c>
      <c r="T301" s="3" t="n">
        <v>6.8</v>
      </c>
      <c r="U301" s="3"/>
      <c r="V301" s="3" t="n">
        <v>6.86</v>
      </c>
      <c r="W301" s="3" t="s">
        <v>5997</v>
      </c>
    </row>
    <row r="302" customFormat="false" ht="15" hidden="false" customHeight="true" outlineLevel="0" collapsed="false">
      <c r="A302" s="3" t="s">
        <v>6350</v>
      </c>
      <c r="B302" s="3" t="s">
        <v>1465</v>
      </c>
      <c r="C302" s="3" t="s">
        <v>1731</v>
      </c>
      <c r="D302" s="3" t="s">
        <v>32</v>
      </c>
      <c r="E302" s="3" t="s">
        <v>33</v>
      </c>
      <c r="F302" s="3" t="s">
        <v>25</v>
      </c>
      <c r="G302" s="3" t="s">
        <v>71</v>
      </c>
      <c r="H302" s="3" t="s">
        <v>42</v>
      </c>
      <c r="I302" s="3" t="s">
        <v>43</v>
      </c>
      <c r="J302" s="3" t="s">
        <v>6003</v>
      </c>
      <c r="K302" s="3" t="n">
        <v>4964499.78</v>
      </c>
      <c r="L302" s="3" t="n">
        <v>0.055</v>
      </c>
      <c r="M302" s="3" t="n">
        <v>4691452.29</v>
      </c>
      <c r="N302" s="3" t="n">
        <v>1952999.8</v>
      </c>
      <c r="O302" s="3" t="n">
        <v>0.4163</v>
      </c>
      <c r="P302" s="3" t="n">
        <v>0.056</v>
      </c>
      <c r="Q302" s="3" t="n">
        <v>262721.33</v>
      </c>
      <c r="R302" s="3" t="n">
        <v>90</v>
      </c>
      <c r="S302" s="3" t="n">
        <v>9.2</v>
      </c>
      <c r="T302" s="3" t="n">
        <v>10</v>
      </c>
      <c r="U302" s="3"/>
      <c r="V302" s="3" t="n">
        <v>7.6</v>
      </c>
      <c r="W302" s="3" t="s">
        <v>5997</v>
      </c>
    </row>
    <row r="303" customFormat="false" ht="15" hidden="false" customHeight="true" outlineLevel="0" collapsed="false">
      <c r="A303" s="3" t="s">
        <v>6351</v>
      </c>
      <c r="B303" s="3" t="s">
        <v>420</v>
      </c>
      <c r="C303" s="3" t="s">
        <v>1483</v>
      </c>
      <c r="D303" s="3" t="s">
        <v>107</v>
      </c>
      <c r="E303" s="3" t="s">
        <v>33</v>
      </c>
      <c r="F303" s="3" t="s">
        <v>70</v>
      </c>
      <c r="G303" s="3" t="s">
        <v>55</v>
      </c>
      <c r="H303" s="3" t="s">
        <v>42</v>
      </c>
      <c r="I303" s="3" t="s">
        <v>134</v>
      </c>
      <c r="J303" s="3" t="s">
        <v>5999</v>
      </c>
      <c r="K303" s="3" t="n">
        <v>3824462.13</v>
      </c>
      <c r="L303" s="3" t="n">
        <v>0.2856</v>
      </c>
      <c r="M303" s="3" t="n">
        <v>2732195.75</v>
      </c>
      <c r="N303" s="3" t="n">
        <v>1080059.32</v>
      </c>
      <c r="O303" s="3" t="n">
        <v>0.3953</v>
      </c>
      <c r="P303" s="3" t="n">
        <v>0.457</v>
      </c>
      <c r="Q303" s="3" t="n">
        <v>1248613.46</v>
      </c>
      <c r="R303" s="3" t="n">
        <v>109</v>
      </c>
      <c r="S303" s="3" t="n">
        <v>8.6</v>
      </c>
      <c r="T303" s="3" t="n">
        <v>6.8</v>
      </c>
      <c r="U303" s="3"/>
      <c r="V303" s="3" t="n">
        <v>5.84</v>
      </c>
      <c r="W303" s="3" t="s">
        <v>5990</v>
      </c>
    </row>
    <row r="304" customFormat="false" ht="15" hidden="false" customHeight="true" outlineLevel="0" collapsed="false">
      <c r="A304" s="3" t="s">
        <v>6352</v>
      </c>
      <c r="B304" s="3" t="s">
        <v>435</v>
      </c>
      <c r="C304" s="3" t="s">
        <v>194</v>
      </c>
      <c r="D304" s="3" t="s">
        <v>47</v>
      </c>
      <c r="E304" s="3" t="s">
        <v>48</v>
      </c>
      <c r="F304" s="3" t="s">
        <v>25</v>
      </c>
      <c r="G304" s="3" t="s">
        <v>34</v>
      </c>
      <c r="H304" s="3" t="s">
        <v>56</v>
      </c>
      <c r="I304" s="3" t="s">
        <v>188</v>
      </c>
      <c r="J304" s="3" t="s">
        <v>6003</v>
      </c>
      <c r="K304" s="3" t="n">
        <v>2616224.09</v>
      </c>
      <c r="L304" s="3" t="n">
        <v>0.1628</v>
      </c>
      <c r="M304" s="3" t="n">
        <v>2190302.81</v>
      </c>
      <c r="N304" s="3" t="n">
        <v>959482.05</v>
      </c>
      <c r="O304" s="3" t="n">
        <v>0.4381</v>
      </c>
      <c r="P304" s="3" t="n">
        <v>0.085</v>
      </c>
      <c r="Q304" s="3" t="n">
        <v>186175.74</v>
      </c>
      <c r="R304" s="3" t="n">
        <v>75</v>
      </c>
      <c r="S304" s="3" t="n">
        <v>9.3</v>
      </c>
      <c r="T304" s="3" t="n">
        <v>2</v>
      </c>
      <c r="U304" s="3"/>
      <c r="V304" s="3" t="n">
        <v>8.07</v>
      </c>
      <c r="W304" s="3" t="s">
        <v>5997</v>
      </c>
    </row>
    <row r="305" customFormat="false" ht="15" hidden="false" customHeight="true" outlineLevel="0" collapsed="false">
      <c r="A305" s="3" t="s">
        <v>6353</v>
      </c>
      <c r="B305" s="3" t="s">
        <v>170</v>
      </c>
      <c r="C305" s="3" t="s">
        <v>4651</v>
      </c>
      <c r="D305" s="3" t="s">
        <v>97</v>
      </c>
      <c r="E305" s="3" t="s">
        <v>48</v>
      </c>
      <c r="F305" s="3" t="s">
        <v>40</v>
      </c>
      <c r="G305" s="3" t="s">
        <v>49</v>
      </c>
      <c r="H305" s="3" t="s">
        <v>64</v>
      </c>
      <c r="I305" s="3" t="s">
        <v>145</v>
      </c>
      <c r="J305" s="3" t="s">
        <v>5992</v>
      </c>
      <c r="K305" s="3" t="n">
        <v>903518.67</v>
      </c>
      <c r="L305" s="3" t="n">
        <v>0.0941</v>
      </c>
      <c r="M305" s="3" t="n">
        <v>818497.56</v>
      </c>
      <c r="N305" s="3" t="n">
        <v>332345.96</v>
      </c>
      <c r="O305" s="3" t="n">
        <v>0.406</v>
      </c>
      <c r="P305" s="3" t="n">
        <v>0.746</v>
      </c>
      <c r="Q305" s="3" t="n">
        <v>610599.18</v>
      </c>
      <c r="R305" s="3" t="n">
        <v>28</v>
      </c>
      <c r="S305" s="3" t="n">
        <v>2.6</v>
      </c>
      <c r="T305" s="3" t="n">
        <v>4.1</v>
      </c>
      <c r="U305" s="3"/>
      <c r="V305" s="3" t="n">
        <v>6.41</v>
      </c>
      <c r="W305" s="3" t="s">
        <v>5990</v>
      </c>
    </row>
    <row r="306" customFormat="false" ht="15" hidden="false" customHeight="true" outlineLevel="0" collapsed="false">
      <c r="A306" s="3" t="s">
        <v>6354</v>
      </c>
      <c r="B306" s="3" t="s">
        <v>1712</v>
      </c>
      <c r="C306" s="3" t="s">
        <v>2384</v>
      </c>
      <c r="D306" s="3" t="s">
        <v>83</v>
      </c>
      <c r="E306" s="3" t="s">
        <v>48</v>
      </c>
      <c r="F306" s="3" t="s">
        <v>62</v>
      </c>
      <c r="G306" s="3" t="s">
        <v>63</v>
      </c>
      <c r="H306" s="3" t="s">
        <v>27</v>
      </c>
      <c r="I306" s="3" t="s">
        <v>28</v>
      </c>
      <c r="J306" s="3" t="s">
        <v>6009</v>
      </c>
      <c r="K306" s="3" t="n">
        <v>4064255.1</v>
      </c>
      <c r="L306" s="3" t="n">
        <v>0.1663</v>
      </c>
      <c r="M306" s="3" t="n">
        <v>3388369.48</v>
      </c>
      <c r="N306" s="3" t="n">
        <v>1103616.96</v>
      </c>
      <c r="O306" s="3" t="n">
        <v>0.3257</v>
      </c>
      <c r="P306" s="3" t="n">
        <v>0.041</v>
      </c>
      <c r="Q306" s="3" t="n">
        <v>138923.15</v>
      </c>
      <c r="R306" s="3" t="n">
        <v>40</v>
      </c>
      <c r="S306" s="3" t="n">
        <v>3.5</v>
      </c>
      <c r="T306" s="3" t="n">
        <v>2.1</v>
      </c>
      <c r="U306" s="3" t="s">
        <v>6020</v>
      </c>
      <c r="V306" s="3" t="n">
        <v>5.71</v>
      </c>
      <c r="W306" s="3" t="s">
        <v>5990</v>
      </c>
    </row>
    <row r="307" customFormat="false" ht="15" hidden="false" customHeight="true" outlineLevel="0" collapsed="false">
      <c r="A307" s="3" t="s">
        <v>6355</v>
      </c>
      <c r="B307" s="3" t="s">
        <v>2110</v>
      </c>
      <c r="C307" s="3" t="s">
        <v>1043</v>
      </c>
      <c r="D307" s="3" t="s">
        <v>69</v>
      </c>
      <c r="E307" s="3" t="s">
        <v>39</v>
      </c>
      <c r="F307" s="3" t="s">
        <v>70</v>
      </c>
      <c r="G307" s="3" t="s">
        <v>26</v>
      </c>
      <c r="H307" s="3" t="s">
        <v>64</v>
      </c>
      <c r="I307" s="3" t="s">
        <v>90</v>
      </c>
      <c r="J307" s="3" t="s">
        <v>6003</v>
      </c>
      <c r="K307" s="3" t="n">
        <v>1067394.54</v>
      </c>
      <c r="L307" s="3" t="n">
        <v>0.1662</v>
      </c>
      <c r="M307" s="3" t="n">
        <v>889993.57</v>
      </c>
      <c r="N307" s="3" t="n">
        <v>314354.9</v>
      </c>
      <c r="O307" s="3" t="n">
        <v>0.3532</v>
      </c>
      <c r="P307" s="3" t="n">
        <v>0.102</v>
      </c>
      <c r="Q307" s="3" t="n">
        <v>90779.34</v>
      </c>
      <c r="R307" s="3" t="n">
        <v>47</v>
      </c>
      <c r="S307" s="3" t="n">
        <v>1.7</v>
      </c>
      <c r="T307" s="3" t="n">
        <v>9.7</v>
      </c>
      <c r="U307" s="3"/>
      <c r="V307" s="3" t="n">
        <v>4.33</v>
      </c>
      <c r="W307" s="3" t="s">
        <v>6000</v>
      </c>
    </row>
    <row r="308" customFormat="false" ht="15" hidden="false" customHeight="true" outlineLevel="0" collapsed="false">
      <c r="A308" s="3" t="s">
        <v>6356</v>
      </c>
      <c r="B308" s="3" t="s">
        <v>1755</v>
      </c>
      <c r="C308" s="3" t="s">
        <v>1060</v>
      </c>
      <c r="D308" s="3" t="s">
        <v>32</v>
      </c>
      <c r="E308" s="3" t="s">
        <v>33</v>
      </c>
      <c r="F308" s="3" t="s">
        <v>25</v>
      </c>
      <c r="G308" s="3" t="s">
        <v>34</v>
      </c>
      <c r="H308" s="3" t="s">
        <v>77</v>
      </c>
      <c r="I308" s="3" t="s">
        <v>78</v>
      </c>
      <c r="J308" s="3" t="s">
        <v>5996</v>
      </c>
      <c r="K308" s="3" t="n">
        <v>1405281.1</v>
      </c>
      <c r="L308" s="3" t="n">
        <v>0.1019</v>
      </c>
      <c r="M308" s="3" t="n">
        <v>1262082.96</v>
      </c>
      <c r="N308" s="3" t="n">
        <v>434226.34</v>
      </c>
      <c r="O308" s="3" t="n">
        <v>0.3441</v>
      </c>
      <c r="P308" s="3" t="n">
        <v>1</v>
      </c>
      <c r="Q308" s="3" t="n">
        <v>1262082.96</v>
      </c>
      <c r="R308" s="3" t="n">
        <v>60</v>
      </c>
      <c r="S308" s="3" t="n">
        <v>9.7</v>
      </c>
      <c r="T308" s="3" t="n">
        <v>7.7</v>
      </c>
      <c r="U308" s="3"/>
      <c r="V308" s="3" t="n">
        <v>7.08</v>
      </c>
      <c r="W308" s="3" t="s">
        <v>5997</v>
      </c>
    </row>
    <row r="309" customFormat="false" ht="15" hidden="false" customHeight="true" outlineLevel="0" collapsed="false">
      <c r="A309" s="3" t="s">
        <v>6357</v>
      </c>
      <c r="B309" s="3" t="s">
        <v>4104</v>
      </c>
      <c r="C309" s="3" t="s">
        <v>1729</v>
      </c>
      <c r="D309" s="3" t="s">
        <v>69</v>
      </c>
      <c r="E309" s="3" t="s">
        <v>39</v>
      </c>
      <c r="F309" s="3" t="s">
        <v>70</v>
      </c>
      <c r="G309" s="3" t="s">
        <v>63</v>
      </c>
      <c r="H309" s="3" t="s">
        <v>64</v>
      </c>
      <c r="I309" s="3" t="s">
        <v>145</v>
      </c>
      <c r="J309" s="3" t="s">
        <v>5989</v>
      </c>
      <c r="K309" s="3" t="n">
        <v>3566233.25</v>
      </c>
      <c r="L309" s="3" t="n">
        <v>0.2096</v>
      </c>
      <c r="M309" s="3" t="n">
        <v>2818750.76</v>
      </c>
      <c r="N309" s="3" t="n">
        <v>1019024.43</v>
      </c>
      <c r="O309" s="3" t="n">
        <v>0.3615</v>
      </c>
      <c r="P309" s="3" t="n">
        <v>0.204</v>
      </c>
      <c r="Q309" s="3" t="n">
        <v>575025.16</v>
      </c>
      <c r="R309" s="3" t="n">
        <v>140</v>
      </c>
      <c r="S309" s="3" t="n">
        <v>2.5</v>
      </c>
      <c r="T309" s="3" t="n">
        <v>2.4</v>
      </c>
      <c r="U309" s="3"/>
      <c r="V309" s="3" t="n">
        <v>5.31</v>
      </c>
      <c r="W309" s="3" t="s">
        <v>5990</v>
      </c>
    </row>
    <row r="310" customFormat="false" ht="15" hidden="false" customHeight="true" outlineLevel="0" collapsed="false">
      <c r="A310" s="3" t="s">
        <v>6358</v>
      </c>
      <c r="B310" s="3" t="s">
        <v>580</v>
      </c>
      <c r="C310" s="3" t="s">
        <v>2433</v>
      </c>
      <c r="D310" s="3" t="s">
        <v>103</v>
      </c>
      <c r="E310" s="3" t="s">
        <v>24</v>
      </c>
      <c r="F310" s="3" t="s">
        <v>62</v>
      </c>
      <c r="G310" s="3" t="s">
        <v>71</v>
      </c>
      <c r="H310" s="3" t="s">
        <v>27</v>
      </c>
      <c r="I310" s="3" t="s">
        <v>50</v>
      </c>
      <c r="J310" s="3" t="s">
        <v>5992</v>
      </c>
      <c r="K310" s="3" t="n">
        <v>3651266.18</v>
      </c>
      <c r="L310" s="3" t="n">
        <v>0.2868</v>
      </c>
      <c r="M310" s="3" t="n">
        <v>2604083.04</v>
      </c>
      <c r="N310" s="3" t="n">
        <v>804941.36</v>
      </c>
      <c r="O310" s="3" t="n">
        <v>0.3091</v>
      </c>
      <c r="P310" s="3" t="n">
        <v>0.663</v>
      </c>
      <c r="Q310" s="3" t="n">
        <v>1726507.06</v>
      </c>
      <c r="R310" s="3" t="n">
        <v>135</v>
      </c>
      <c r="S310" s="3" t="n">
        <v>2.8</v>
      </c>
      <c r="T310" s="3" t="n">
        <v>4.4</v>
      </c>
      <c r="U310" s="3"/>
      <c r="V310" s="3" t="n">
        <v>4.05</v>
      </c>
      <c r="W310" s="3" t="s">
        <v>6000</v>
      </c>
    </row>
    <row r="311" customFormat="false" ht="15" hidden="false" customHeight="true" outlineLevel="0" collapsed="false">
      <c r="A311" s="3" t="s">
        <v>6359</v>
      </c>
      <c r="B311" s="3" t="s">
        <v>1001</v>
      </c>
      <c r="C311" s="3" t="s">
        <v>2253</v>
      </c>
      <c r="D311" s="3" t="s">
        <v>107</v>
      </c>
      <c r="E311" s="3" t="s">
        <v>33</v>
      </c>
      <c r="F311" s="3" t="s">
        <v>70</v>
      </c>
      <c r="G311" s="3" t="s">
        <v>76</v>
      </c>
      <c r="H311" s="3" t="s">
        <v>42</v>
      </c>
      <c r="I311" s="3" t="s">
        <v>43</v>
      </c>
      <c r="J311" s="3" t="s">
        <v>5996</v>
      </c>
      <c r="K311" s="3" t="n">
        <v>3981707.05</v>
      </c>
      <c r="L311" s="3" t="n">
        <v>0.128</v>
      </c>
      <c r="M311" s="3" t="n">
        <v>3472048.55</v>
      </c>
      <c r="N311" s="3" t="n">
        <v>1414051.61</v>
      </c>
      <c r="O311" s="3" t="n">
        <v>0.4073</v>
      </c>
      <c r="P311" s="3" t="n">
        <v>1</v>
      </c>
      <c r="Q311" s="3" t="n">
        <v>3472048.55</v>
      </c>
      <c r="R311" s="3" t="n">
        <v>27</v>
      </c>
      <c r="S311" s="3" t="n">
        <v>7.8</v>
      </c>
      <c r="T311" s="3" t="n">
        <v>8.4</v>
      </c>
      <c r="U311" s="3"/>
      <c r="V311" s="3" t="n">
        <v>6.8</v>
      </c>
      <c r="W311" s="3" t="s">
        <v>5997</v>
      </c>
    </row>
    <row r="312" customFormat="false" ht="15" hidden="false" customHeight="true" outlineLevel="0" collapsed="false">
      <c r="A312" s="3" t="s">
        <v>6360</v>
      </c>
      <c r="B312" s="3" t="s">
        <v>2318</v>
      </c>
      <c r="C312" s="3" t="s">
        <v>3498</v>
      </c>
      <c r="D312" s="3" t="s">
        <v>69</v>
      </c>
      <c r="E312" s="3" t="s">
        <v>39</v>
      </c>
      <c r="F312" s="3" t="s">
        <v>70</v>
      </c>
      <c r="G312" s="3" t="s">
        <v>71</v>
      </c>
      <c r="H312" s="3" t="s">
        <v>42</v>
      </c>
      <c r="I312" s="3" t="s">
        <v>134</v>
      </c>
      <c r="J312" s="3" t="s">
        <v>5999</v>
      </c>
      <c r="K312" s="3" t="n">
        <v>4392368.74</v>
      </c>
      <c r="L312" s="3" t="n">
        <v>0.1141</v>
      </c>
      <c r="M312" s="3" t="n">
        <v>3891199.47</v>
      </c>
      <c r="N312" s="3" t="n">
        <v>1173910.89</v>
      </c>
      <c r="O312" s="3" t="n">
        <v>0.3017</v>
      </c>
      <c r="P312" s="3" t="n">
        <v>0.405</v>
      </c>
      <c r="Q312" s="3" t="n">
        <v>1575935.79</v>
      </c>
      <c r="R312" s="3" t="n">
        <v>74</v>
      </c>
      <c r="S312" s="3" t="n">
        <v>4.7</v>
      </c>
      <c r="T312" s="3" t="n">
        <v>1.7</v>
      </c>
      <c r="U312" s="3"/>
      <c r="V312" s="3" t="n">
        <v>6.31</v>
      </c>
      <c r="W312" s="3" t="s">
        <v>5990</v>
      </c>
    </row>
    <row r="313" customFormat="false" ht="15" hidden="false" customHeight="true" outlineLevel="0" collapsed="false">
      <c r="A313" s="3" t="s">
        <v>6361</v>
      </c>
      <c r="B313" s="3" t="s">
        <v>840</v>
      </c>
      <c r="C313" s="3" t="s">
        <v>1137</v>
      </c>
      <c r="D313" s="3" t="s">
        <v>61</v>
      </c>
      <c r="E313" s="3" t="s">
        <v>33</v>
      </c>
      <c r="F313" s="3" t="s">
        <v>62</v>
      </c>
      <c r="G313" s="3" t="s">
        <v>104</v>
      </c>
      <c r="H313" s="3" t="s">
        <v>64</v>
      </c>
      <c r="I313" s="3" t="s">
        <v>65</v>
      </c>
      <c r="J313" s="3" t="s">
        <v>5989</v>
      </c>
      <c r="K313" s="3" t="n">
        <v>3297314.62</v>
      </c>
      <c r="L313" s="3" t="n">
        <v>0.2782</v>
      </c>
      <c r="M313" s="3" t="n">
        <v>2380001.69</v>
      </c>
      <c r="N313" s="3" t="n">
        <v>1078043.39</v>
      </c>
      <c r="O313" s="3" t="n">
        <v>0.453</v>
      </c>
      <c r="P313" s="3" t="n">
        <v>0.217</v>
      </c>
      <c r="Q313" s="3" t="n">
        <v>516460.37</v>
      </c>
      <c r="R313" s="3" t="n">
        <v>176</v>
      </c>
      <c r="S313" s="3" t="n">
        <v>3.4</v>
      </c>
      <c r="T313" s="3" t="n">
        <v>5.6</v>
      </c>
      <c r="U313" s="3"/>
      <c r="V313" s="3" t="n">
        <v>5.18</v>
      </c>
      <c r="W313" s="3" t="s">
        <v>5990</v>
      </c>
    </row>
    <row r="314" customFormat="false" ht="15" hidden="false" customHeight="true" outlineLevel="0" collapsed="false">
      <c r="A314" s="3" t="s">
        <v>6362</v>
      </c>
      <c r="B314" s="3" t="s">
        <v>931</v>
      </c>
      <c r="C314" s="3" t="s">
        <v>1402</v>
      </c>
      <c r="D314" s="3" t="s">
        <v>32</v>
      </c>
      <c r="E314" s="3" t="s">
        <v>33</v>
      </c>
      <c r="F314" s="3" t="s">
        <v>25</v>
      </c>
      <c r="G314" s="3" t="s">
        <v>100</v>
      </c>
      <c r="H314" s="3" t="s">
        <v>42</v>
      </c>
      <c r="I314" s="3" t="s">
        <v>134</v>
      </c>
      <c r="J314" s="3" t="s">
        <v>5996</v>
      </c>
      <c r="K314" s="3" t="n">
        <v>4902035.73</v>
      </c>
      <c r="L314" s="3" t="n">
        <v>0.2162</v>
      </c>
      <c r="M314" s="3" t="n">
        <v>3842215.61</v>
      </c>
      <c r="N314" s="3" t="n">
        <v>1676025.08</v>
      </c>
      <c r="O314" s="3" t="n">
        <v>0.4362</v>
      </c>
      <c r="P314" s="3" t="n">
        <v>0.99</v>
      </c>
      <c r="Q314" s="3" t="n">
        <v>3803793.45</v>
      </c>
      <c r="R314" s="3" t="n">
        <v>105</v>
      </c>
      <c r="S314" s="3" t="n">
        <v>5.6</v>
      </c>
      <c r="T314" s="3" t="n">
        <v>6.3</v>
      </c>
      <c r="U314" s="3"/>
      <c r="V314" s="3" t="n">
        <v>6.05</v>
      </c>
      <c r="W314" s="3" t="s">
        <v>5990</v>
      </c>
    </row>
    <row r="315" customFormat="false" ht="15" hidden="false" customHeight="true" outlineLevel="0" collapsed="false">
      <c r="A315" s="3" t="s">
        <v>6363</v>
      </c>
      <c r="B315" s="3" t="s">
        <v>1069</v>
      </c>
      <c r="C315" s="3" t="s">
        <v>1502</v>
      </c>
      <c r="D315" s="3" t="s">
        <v>61</v>
      </c>
      <c r="E315" s="3" t="s">
        <v>33</v>
      </c>
      <c r="F315" s="3" t="s">
        <v>62</v>
      </c>
      <c r="G315" s="3" t="s">
        <v>100</v>
      </c>
      <c r="H315" s="3" t="s">
        <v>56</v>
      </c>
      <c r="I315" s="3" t="s">
        <v>188</v>
      </c>
      <c r="J315" s="3" t="s">
        <v>5989</v>
      </c>
      <c r="K315" s="3" t="n">
        <v>1088983.33</v>
      </c>
      <c r="L315" s="3" t="n">
        <v>0.191</v>
      </c>
      <c r="M315" s="3" t="n">
        <v>880987.51</v>
      </c>
      <c r="N315" s="3" t="n">
        <v>345565.6</v>
      </c>
      <c r="O315" s="3" t="n">
        <v>0.3922</v>
      </c>
      <c r="P315" s="3" t="n">
        <v>0.258</v>
      </c>
      <c r="Q315" s="3" t="n">
        <v>227294.78</v>
      </c>
      <c r="R315" s="3" t="n">
        <v>113</v>
      </c>
      <c r="S315" s="3" t="n">
        <v>1.4</v>
      </c>
      <c r="T315" s="3" t="n">
        <v>8.9</v>
      </c>
      <c r="U315" s="3"/>
      <c r="V315" s="3" t="n">
        <v>4.46</v>
      </c>
      <c r="W315" s="3" t="s">
        <v>6000</v>
      </c>
    </row>
    <row r="316" customFormat="false" ht="15" hidden="false" customHeight="true" outlineLevel="0" collapsed="false">
      <c r="A316" s="3" t="s">
        <v>6364</v>
      </c>
      <c r="B316" s="3" t="s">
        <v>295</v>
      </c>
      <c r="C316" s="3" t="s">
        <v>625</v>
      </c>
      <c r="D316" s="3" t="s">
        <v>97</v>
      </c>
      <c r="E316" s="3" t="s">
        <v>48</v>
      </c>
      <c r="F316" s="3" t="s">
        <v>40</v>
      </c>
      <c r="G316" s="3" t="s">
        <v>26</v>
      </c>
      <c r="H316" s="3" t="s">
        <v>42</v>
      </c>
      <c r="I316" s="3" t="s">
        <v>134</v>
      </c>
      <c r="J316" s="3" t="s">
        <v>6009</v>
      </c>
      <c r="K316" s="3" t="n">
        <v>4136793.93</v>
      </c>
      <c r="L316" s="3" t="n">
        <v>0.2602</v>
      </c>
      <c r="M316" s="3" t="n">
        <v>3060400.15</v>
      </c>
      <c r="N316" s="3" t="n">
        <v>913566.32</v>
      </c>
      <c r="O316" s="3" t="n">
        <v>0.2985</v>
      </c>
      <c r="P316" s="3" t="n">
        <v>0.012</v>
      </c>
      <c r="Q316" s="3" t="n">
        <v>36724.8</v>
      </c>
      <c r="R316" s="3" t="n">
        <v>131</v>
      </c>
      <c r="S316" s="3" t="n">
        <v>7.6</v>
      </c>
      <c r="T316" s="3" t="n">
        <v>2.1</v>
      </c>
      <c r="U316" s="3"/>
      <c r="V316" s="3" t="n">
        <v>5.72</v>
      </c>
      <c r="W316" s="3" t="s">
        <v>5990</v>
      </c>
    </row>
    <row r="317" customFormat="false" ht="15" hidden="false" customHeight="true" outlineLevel="0" collapsed="false">
      <c r="A317" s="3" t="s">
        <v>6365</v>
      </c>
      <c r="B317" s="3" t="s">
        <v>2168</v>
      </c>
      <c r="C317" s="3" t="s">
        <v>151</v>
      </c>
      <c r="D317" s="3" t="s">
        <v>47</v>
      </c>
      <c r="E317" s="3" t="s">
        <v>48</v>
      </c>
      <c r="F317" s="3" t="s">
        <v>25</v>
      </c>
      <c r="G317" s="3" t="s">
        <v>71</v>
      </c>
      <c r="H317" s="3" t="s">
        <v>27</v>
      </c>
      <c r="I317" s="3" t="s">
        <v>94</v>
      </c>
      <c r="J317" s="3" t="s">
        <v>5989</v>
      </c>
      <c r="K317" s="3" t="n">
        <v>1554711.48</v>
      </c>
      <c r="L317" s="3" t="n">
        <v>0.164</v>
      </c>
      <c r="M317" s="3" t="n">
        <v>1299738.8</v>
      </c>
      <c r="N317" s="3" t="n">
        <v>387576.07</v>
      </c>
      <c r="O317" s="3" t="n">
        <v>0.2982</v>
      </c>
      <c r="P317" s="3" t="n">
        <v>0.245</v>
      </c>
      <c r="Q317" s="3" t="n">
        <v>318436.01</v>
      </c>
      <c r="R317" s="3" t="n">
        <v>40</v>
      </c>
      <c r="S317" s="3" t="n">
        <v>3.8</v>
      </c>
      <c r="T317" s="3" t="n">
        <v>4</v>
      </c>
      <c r="U317" s="3"/>
      <c r="V317" s="3" t="n">
        <v>5.29</v>
      </c>
      <c r="W317" s="3" t="s">
        <v>5990</v>
      </c>
    </row>
    <row r="318" customFormat="false" ht="15" hidden="false" customHeight="true" outlineLevel="0" collapsed="false">
      <c r="A318" s="3" t="s">
        <v>6366</v>
      </c>
      <c r="B318" s="3" t="s">
        <v>4255</v>
      </c>
      <c r="C318" s="3" t="s">
        <v>6367</v>
      </c>
      <c r="D318" s="3" t="s">
        <v>23</v>
      </c>
      <c r="E318" s="3" t="s">
        <v>24</v>
      </c>
      <c r="F318" s="3" t="s">
        <v>25</v>
      </c>
      <c r="G318" s="3" t="s">
        <v>49</v>
      </c>
      <c r="H318" s="3" t="s">
        <v>77</v>
      </c>
      <c r="I318" s="3" t="s">
        <v>78</v>
      </c>
      <c r="J318" s="3" t="s">
        <v>5992</v>
      </c>
      <c r="K318" s="3" t="n">
        <v>3838378.52</v>
      </c>
      <c r="L318" s="3" t="n">
        <v>0.2085</v>
      </c>
      <c r="M318" s="3" t="n">
        <v>3038076.6</v>
      </c>
      <c r="N318" s="3" t="n">
        <v>1004022.85</v>
      </c>
      <c r="O318" s="3" t="n">
        <v>0.3305</v>
      </c>
      <c r="P318" s="3" t="n">
        <v>0.682</v>
      </c>
      <c r="Q318" s="3" t="n">
        <v>2071968.24</v>
      </c>
      <c r="R318" s="3" t="n">
        <v>115</v>
      </c>
      <c r="S318" s="3" t="n">
        <v>9.4</v>
      </c>
      <c r="T318" s="3" t="n">
        <v>8.8</v>
      </c>
      <c r="U318" s="3"/>
      <c r="V318" s="3" t="n">
        <v>5.86</v>
      </c>
      <c r="W318" s="3" t="s">
        <v>5990</v>
      </c>
    </row>
    <row r="319" customFormat="false" ht="15" hidden="false" customHeight="true" outlineLevel="0" collapsed="false">
      <c r="A319" s="3" t="s">
        <v>6368</v>
      </c>
      <c r="B319" s="3" t="s">
        <v>1870</v>
      </c>
      <c r="C319" s="3" t="s">
        <v>3757</v>
      </c>
      <c r="D319" s="3" t="s">
        <v>83</v>
      </c>
      <c r="E319" s="3" t="s">
        <v>48</v>
      </c>
      <c r="F319" s="3" t="s">
        <v>62</v>
      </c>
      <c r="G319" s="3" t="s">
        <v>34</v>
      </c>
      <c r="H319" s="3" t="s">
        <v>64</v>
      </c>
      <c r="I319" s="3" t="s">
        <v>108</v>
      </c>
      <c r="J319" s="3" t="s">
        <v>5989</v>
      </c>
      <c r="K319" s="3" t="n">
        <v>949323.61</v>
      </c>
      <c r="L319" s="3" t="n">
        <v>0.113</v>
      </c>
      <c r="M319" s="3" t="n">
        <v>842050.04</v>
      </c>
      <c r="N319" s="3" t="n">
        <v>401128.54</v>
      </c>
      <c r="O319" s="3" t="n">
        <v>0.4764</v>
      </c>
      <c r="P319" s="3" t="n">
        <v>0.269</v>
      </c>
      <c r="Q319" s="3" t="n">
        <v>226511.46</v>
      </c>
      <c r="R319" s="3" t="n">
        <v>75</v>
      </c>
      <c r="S319" s="3" t="n">
        <v>6.2</v>
      </c>
      <c r="T319" s="3" t="n">
        <v>8.8</v>
      </c>
      <c r="U319" s="3"/>
      <c r="V319" s="3" t="n">
        <v>6.78</v>
      </c>
      <c r="W319" s="3" t="s">
        <v>5997</v>
      </c>
    </row>
    <row r="320" customFormat="false" ht="15" hidden="false" customHeight="true" outlineLevel="0" collapsed="false">
      <c r="A320" s="3" t="s">
        <v>6369</v>
      </c>
      <c r="B320" s="3" t="s">
        <v>1188</v>
      </c>
      <c r="C320" s="3" t="s">
        <v>1003</v>
      </c>
      <c r="D320" s="3" t="s">
        <v>47</v>
      </c>
      <c r="E320" s="3" t="s">
        <v>48</v>
      </c>
      <c r="F320" s="3" t="s">
        <v>25</v>
      </c>
      <c r="G320" s="3" t="s">
        <v>116</v>
      </c>
      <c r="H320" s="3" t="s">
        <v>56</v>
      </c>
      <c r="I320" s="3" t="s">
        <v>57</v>
      </c>
      <c r="J320" s="3" t="s">
        <v>5996</v>
      </c>
      <c r="K320" s="3" t="n">
        <v>1268933.14</v>
      </c>
      <c r="L320" s="3" t="n">
        <v>0.2397</v>
      </c>
      <c r="M320" s="3" t="n">
        <v>964769.87</v>
      </c>
      <c r="N320" s="3" t="n">
        <v>397508.1</v>
      </c>
      <c r="O320" s="3" t="n">
        <v>0.412</v>
      </c>
      <c r="P320" s="3" t="n">
        <v>1</v>
      </c>
      <c r="Q320" s="3" t="n">
        <v>964769.87</v>
      </c>
      <c r="R320" s="3" t="n">
        <v>37</v>
      </c>
      <c r="S320" s="3" t="n">
        <v>9.8</v>
      </c>
      <c r="T320" s="3" t="n">
        <v>2.3</v>
      </c>
      <c r="U320" s="3"/>
      <c r="V320" s="3" t="n">
        <v>7.33</v>
      </c>
      <c r="W320" s="3" t="s">
        <v>5997</v>
      </c>
    </row>
    <row r="321" customFormat="false" ht="15" hidden="false" customHeight="true" outlineLevel="0" collapsed="false">
      <c r="A321" s="3" t="s">
        <v>6370</v>
      </c>
      <c r="B321" s="3" t="s">
        <v>1978</v>
      </c>
      <c r="C321" s="3" t="s">
        <v>4658</v>
      </c>
      <c r="D321" s="3" t="s">
        <v>32</v>
      </c>
      <c r="E321" s="3" t="s">
        <v>33</v>
      </c>
      <c r="F321" s="3" t="s">
        <v>25</v>
      </c>
      <c r="G321" s="3" t="s">
        <v>116</v>
      </c>
      <c r="H321" s="3" t="s">
        <v>64</v>
      </c>
      <c r="I321" s="3" t="s">
        <v>90</v>
      </c>
      <c r="J321" s="3" t="s">
        <v>5989</v>
      </c>
      <c r="K321" s="3" t="n">
        <v>764849.46</v>
      </c>
      <c r="L321" s="3" t="n">
        <v>0.0894</v>
      </c>
      <c r="M321" s="3" t="n">
        <v>696471.92</v>
      </c>
      <c r="N321" s="3" t="n">
        <v>277034.58</v>
      </c>
      <c r="O321" s="3" t="n">
        <v>0.3978</v>
      </c>
      <c r="P321" s="3" t="n">
        <v>0.2</v>
      </c>
      <c r="Q321" s="3" t="n">
        <v>139294.38</v>
      </c>
      <c r="R321" s="3" t="n">
        <v>83</v>
      </c>
      <c r="S321" s="3" t="n">
        <v>7.9</v>
      </c>
      <c r="T321" s="3" t="n">
        <v>6.7</v>
      </c>
      <c r="U321" s="3"/>
      <c r="V321" s="3" t="n">
        <v>7.3</v>
      </c>
      <c r="W321" s="3" t="s">
        <v>5997</v>
      </c>
    </row>
    <row r="322" customFormat="false" ht="15" hidden="false" customHeight="true" outlineLevel="0" collapsed="false">
      <c r="A322" s="3" t="s">
        <v>6371</v>
      </c>
      <c r="B322" s="3" t="s">
        <v>5161</v>
      </c>
      <c r="C322" s="3" t="s">
        <v>3808</v>
      </c>
      <c r="D322" s="3" t="s">
        <v>103</v>
      </c>
      <c r="E322" s="3" t="s">
        <v>24</v>
      </c>
      <c r="F322" s="3" t="s">
        <v>62</v>
      </c>
      <c r="G322" s="3" t="s">
        <v>41</v>
      </c>
      <c r="H322" s="3" t="s">
        <v>42</v>
      </c>
      <c r="I322" s="3" t="s">
        <v>43</v>
      </c>
      <c r="J322" s="3" t="s">
        <v>5989</v>
      </c>
      <c r="K322" s="3" t="n">
        <v>2993371.06</v>
      </c>
      <c r="L322" s="3" t="n">
        <v>0.0927</v>
      </c>
      <c r="M322" s="3" t="n">
        <v>2715885.56</v>
      </c>
      <c r="N322" s="3" t="n">
        <v>1173339.71</v>
      </c>
      <c r="O322" s="3" t="n">
        <v>0.432</v>
      </c>
      <c r="P322" s="3" t="n">
        <v>0.269</v>
      </c>
      <c r="Q322" s="3" t="n">
        <v>730573.22</v>
      </c>
      <c r="R322" s="3" t="n">
        <v>73</v>
      </c>
      <c r="S322" s="3" t="n">
        <v>8</v>
      </c>
      <c r="T322" s="3" t="n">
        <v>1.5</v>
      </c>
      <c r="U322" s="3"/>
      <c r="V322" s="3" t="n">
        <v>8.36</v>
      </c>
      <c r="W322" s="3" t="s">
        <v>5997</v>
      </c>
    </row>
    <row r="323" customFormat="false" ht="15" hidden="false" customHeight="true" outlineLevel="0" collapsed="false">
      <c r="A323" s="3" t="s">
        <v>6372</v>
      </c>
      <c r="B323" s="3" t="s">
        <v>2760</v>
      </c>
      <c r="C323" s="3" t="s">
        <v>3900</v>
      </c>
      <c r="D323" s="3" t="s">
        <v>32</v>
      </c>
      <c r="E323" s="3" t="s">
        <v>33</v>
      </c>
      <c r="F323" s="3" t="s">
        <v>25</v>
      </c>
      <c r="G323" s="3" t="s">
        <v>41</v>
      </c>
      <c r="H323" s="3" t="s">
        <v>27</v>
      </c>
      <c r="I323" s="3" t="s">
        <v>117</v>
      </c>
      <c r="J323" s="3" t="s">
        <v>5999</v>
      </c>
      <c r="K323" s="3" t="n">
        <v>4694313.87</v>
      </c>
      <c r="L323" s="3" t="n">
        <v>0.0928</v>
      </c>
      <c r="M323" s="3" t="n">
        <v>4258681.54</v>
      </c>
      <c r="N323" s="3" t="n">
        <v>1482622.5</v>
      </c>
      <c r="O323" s="3" t="n">
        <v>0.3481</v>
      </c>
      <c r="P323" s="3" t="n">
        <v>0.466</v>
      </c>
      <c r="Q323" s="3" t="n">
        <v>1984545.6</v>
      </c>
      <c r="R323" s="3" t="n">
        <v>81</v>
      </c>
      <c r="S323" s="3" t="n">
        <v>4</v>
      </c>
      <c r="T323" s="3" t="n">
        <v>6.8</v>
      </c>
      <c r="U323" s="3"/>
      <c r="V323" s="3" t="n">
        <v>5.9</v>
      </c>
      <c r="W323" s="3" t="s">
        <v>5990</v>
      </c>
    </row>
    <row r="324" customFormat="false" ht="15" hidden="false" customHeight="true" outlineLevel="0" collapsed="false">
      <c r="A324" s="3" t="s">
        <v>6373</v>
      </c>
      <c r="B324" s="3" t="s">
        <v>2561</v>
      </c>
      <c r="C324" s="3" t="s">
        <v>2247</v>
      </c>
      <c r="D324" s="3" t="s">
        <v>83</v>
      </c>
      <c r="E324" s="3" t="s">
        <v>48</v>
      </c>
      <c r="F324" s="3" t="s">
        <v>62</v>
      </c>
      <c r="G324" s="3" t="s">
        <v>26</v>
      </c>
      <c r="H324" s="3" t="s">
        <v>56</v>
      </c>
      <c r="I324" s="3" t="s">
        <v>188</v>
      </c>
      <c r="J324" s="3" t="s">
        <v>6009</v>
      </c>
      <c r="K324" s="3" t="n">
        <v>1711470.44</v>
      </c>
      <c r="L324" s="3" t="n">
        <v>0.2397</v>
      </c>
      <c r="M324" s="3" t="n">
        <v>1301230.98</v>
      </c>
      <c r="N324" s="3" t="n">
        <v>467358.94</v>
      </c>
      <c r="O324" s="3" t="n">
        <v>0.3592</v>
      </c>
      <c r="P324" s="3" t="n">
        <v>0.014</v>
      </c>
      <c r="Q324" s="3" t="n">
        <v>18217.23</v>
      </c>
      <c r="R324" s="3" t="n">
        <v>43</v>
      </c>
      <c r="S324" s="3" t="n">
        <v>5.4</v>
      </c>
      <c r="T324" s="3" t="n">
        <v>4.7</v>
      </c>
      <c r="U324" s="3" t="s">
        <v>6025</v>
      </c>
      <c r="V324" s="3" t="n">
        <v>5.45</v>
      </c>
      <c r="W324" s="3" t="s">
        <v>5990</v>
      </c>
    </row>
    <row r="325" customFormat="false" ht="15" hidden="false" customHeight="true" outlineLevel="0" collapsed="false">
      <c r="A325" s="3" t="s">
        <v>6374</v>
      </c>
      <c r="B325" s="3" t="s">
        <v>1010</v>
      </c>
      <c r="C325" s="3" t="s">
        <v>3463</v>
      </c>
      <c r="D325" s="3" t="s">
        <v>54</v>
      </c>
      <c r="E325" s="3" t="s">
        <v>24</v>
      </c>
      <c r="F325" s="3" t="s">
        <v>40</v>
      </c>
      <c r="G325" s="3" t="s">
        <v>63</v>
      </c>
      <c r="H325" s="3" t="s">
        <v>56</v>
      </c>
      <c r="I325" s="3" t="s">
        <v>57</v>
      </c>
      <c r="J325" s="3" t="s">
        <v>5996</v>
      </c>
      <c r="K325" s="3" t="n">
        <v>4009236.17</v>
      </c>
      <c r="L325" s="3" t="n">
        <v>0.1215</v>
      </c>
      <c r="M325" s="3" t="n">
        <v>3522113.98</v>
      </c>
      <c r="N325" s="3" t="n">
        <v>1056907.32</v>
      </c>
      <c r="O325" s="3" t="n">
        <v>0.3001</v>
      </c>
      <c r="P325" s="3" t="n">
        <v>1</v>
      </c>
      <c r="Q325" s="3" t="n">
        <v>3522113.98</v>
      </c>
      <c r="R325" s="3" t="n">
        <v>166</v>
      </c>
      <c r="S325" s="3" t="n">
        <v>5.1</v>
      </c>
      <c r="T325" s="3" t="n">
        <v>9.4</v>
      </c>
      <c r="U325" s="3"/>
      <c r="V325" s="3" t="n">
        <v>5.18</v>
      </c>
      <c r="W325" s="3" t="s">
        <v>5990</v>
      </c>
    </row>
    <row r="326" customFormat="false" ht="15" hidden="false" customHeight="true" outlineLevel="0" collapsed="false">
      <c r="A326" s="3" t="s">
        <v>6375</v>
      </c>
      <c r="B326" s="3" t="s">
        <v>326</v>
      </c>
      <c r="C326" s="3" t="s">
        <v>2510</v>
      </c>
      <c r="D326" s="3" t="s">
        <v>69</v>
      </c>
      <c r="E326" s="3" t="s">
        <v>39</v>
      </c>
      <c r="F326" s="3" t="s">
        <v>70</v>
      </c>
      <c r="G326" s="3" t="s">
        <v>76</v>
      </c>
      <c r="H326" s="3" t="s">
        <v>77</v>
      </c>
      <c r="I326" s="3" t="s">
        <v>131</v>
      </c>
      <c r="J326" s="3" t="s">
        <v>6003</v>
      </c>
      <c r="K326" s="3" t="n">
        <v>986635.04</v>
      </c>
      <c r="L326" s="3" t="n">
        <v>0.2105</v>
      </c>
      <c r="M326" s="3" t="n">
        <v>778948.36</v>
      </c>
      <c r="N326" s="3" t="n">
        <v>367703.62</v>
      </c>
      <c r="O326" s="3" t="n">
        <v>0.4721</v>
      </c>
      <c r="P326" s="3" t="n">
        <v>0.075</v>
      </c>
      <c r="Q326" s="3" t="n">
        <v>58421.13</v>
      </c>
      <c r="R326" s="3" t="n">
        <v>114</v>
      </c>
      <c r="S326" s="3" t="n">
        <v>9.4</v>
      </c>
      <c r="T326" s="3" t="n">
        <v>4.4</v>
      </c>
      <c r="U326" s="3"/>
      <c r="V326" s="3" t="n">
        <v>7.44</v>
      </c>
      <c r="W326" s="3" t="s">
        <v>5997</v>
      </c>
    </row>
    <row r="327" customFormat="false" ht="15" hidden="false" customHeight="true" outlineLevel="0" collapsed="false">
      <c r="A327" s="3" t="s">
        <v>6376</v>
      </c>
      <c r="B327" s="3" t="s">
        <v>1253</v>
      </c>
      <c r="C327" s="3" t="s">
        <v>1635</v>
      </c>
      <c r="D327" s="3" t="s">
        <v>75</v>
      </c>
      <c r="E327" s="3" t="s">
        <v>39</v>
      </c>
      <c r="F327" s="3" t="s">
        <v>25</v>
      </c>
      <c r="G327" s="3" t="s">
        <v>116</v>
      </c>
      <c r="H327" s="3" t="s">
        <v>77</v>
      </c>
      <c r="I327" s="3" t="s">
        <v>131</v>
      </c>
      <c r="J327" s="3" t="s">
        <v>5996</v>
      </c>
      <c r="K327" s="3" t="n">
        <v>1705076.24</v>
      </c>
      <c r="L327" s="3" t="n">
        <v>0.1675</v>
      </c>
      <c r="M327" s="3" t="n">
        <v>1419475.97</v>
      </c>
      <c r="N327" s="3" t="n">
        <v>475798.77</v>
      </c>
      <c r="O327" s="3" t="n">
        <v>0.3352</v>
      </c>
      <c r="P327" s="3" t="n">
        <v>0.999</v>
      </c>
      <c r="Q327" s="3" t="n">
        <v>1418056.49</v>
      </c>
      <c r="R327" s="3" t="n">
        <v>31</v>
      </c>
      <c r="S327" s="3" t="n">
        <v>9.4</v>
      </c>
      <c r="T327" s="3" t="n">
        <v>8</v>
      </c>
      <c r="U327" s="3"/>
      <c r="V327" s="3" t="n">
        <v>6.34</v>
      </c>
      <c r="W327" s="3" t="s">
        <v>5990</v>
      </c>
    </row>
    <row r="328" customFormat="false" ht="15" hidden="false" customHeight="true" outlineLevel="0" collapsed="false">
      <c r="A328" s="3" t="s">
        <v>6377</v>
      </c>
      <c r="B328" s="3" t="s">
        <v>2031</v>
      </c>
      <c r="C328" s="3" t="s">
        <v>1731</v>
      </c>
      <c r="D328" s="3" t="s">
        <v>47</v>
      </c>
      <c r="E328" s="3" t="s">
        <v>48</v>
      </c>
      <c r="F328" s="3" t="s">
        <v>25</v>
      </c>
      <c r="G328" s="3" t="s">
        <v>76</v>
      </c>
      <c r="H328" s="3" t="s">
        <v>64</v>
      </c>
      <c r="I328" s="3" t="s">
        <v>108</v>
      </c>
      <c r="J328" s="3" t="s">
        <v>5999</v>
      </c>
      <c r="K328" s="3" t="n">
        <v>3011177.58</v>
      </c>
      <c r="L328" s="3" t="n">
        <v>0.1863</v>
      </c>
      <c r="M328" s="3" t="n">
        <v>2450195.2</v>
      </c>
      <c r="N328" s="3" t="n">
        <v>945435.42</v>
      </c>
      <c r="O328" s="3" t="n">
        <v>0.3859</v>
      </c>
      <c r="P328" s="3" t="n">
        <v>0.42</v>
      </c>
      <c r="Q328" s="3" t="n">
        <v>1029081.98</v>
      </c>
      <c r="R328" s="3" t="n">
        <v>130</v>
      </c>
      <c r="S328" s="3" t="n">
        <v>7.5</v>
      </c>
      <c r="T328" s="3" t="n">
        <v>2.6</v>
      </c>
      <c r="U328" s="3"/>
      <c r="V328" s="3" t="n">
        <v>6.95</v>
      </c>
      <c r="W328" s="3" t="s">
        <v>5997</v>
      </c>
    </row>
    <row r="329" customFormat="false" ht="15" hidden="false" customHeight="true" outlineLevel="0" collapsed="false">
      <c r="A329" s="3" t="s">
        <v>6378</v>
      </c>
      <c r="B329" s="3" t="s">
        <v>2760</v>
      </c>
      <c r="C329" s="3" t="s">
        <v>811</v>
      </c>
      <c r="D329" s="3" t="s">
        <v>54</v>
      </c>
      <c r="E329" s="3" t="s">
        <v>24</v>
      </c>
      <c r="F329" s="3" t="s">
        <v>40</v>
      </c>
      <c r="G329" s="3" t="s">
        <v>116</v>
      </c>
      <c r="H329" s="3" t="s">
        <v>64</v>
      </c>
      <c r="I329" s="3" t="s">
        <v>108</v>
      </c>
      <c r="J329" s="3" t="s">
        <v>5989</v>
      </c>
      <c r="K329" s="3" t="n">
        <v>872574.02</v>
      </c>
      <c r="L329" s="3" t="n">
        <v>0.09</v>
      </c>
      <c r="M329" s="3" t="n">
        <v>794042.36</v>
      </c>
      <c r="N329" s="3" t="n">
        <v>351590.33</v>
      </c>
      <c r="O329" s="3" t="n">
        <v>0.4428</v>
      </c>
      <c r="P329" s="3" t="n">
        <v>0.285</v>
      </c>
      <c r="Q329" s="3" t="n">
        <v>226302.07</v>
      </c>
      <c r="R329" s="3" t="n">
        <v>149</v>
      </c>
      <c r="S329" s="3" t="n">
        <v>2.8</v>
      </c>
      <c r="T329" s="3" t="n">
        <v>7.5</v>
      </c>
      <c r="U329" s="3"/>
      <c r="V329" s="3" t="n">
        <v>6.25</v>
      </c>
      <c r="W329" s="3" t="s">
        <v>5990</v>
      </c>
    </row>
    <row r="330" customFormat="false" ht="15" hidden="false" customHeight="true" outlineLevel="0" collapsed="false">
      <c r="A330" s="3" t="s">
        <v>6379</v>
      </c>
      <c r="B330" s="3" t="s">
        <v>2071</v>
      </c>
      <c r="C330" s="3" t="s">
        <v>1564</v>
      </c>
      <c r="D330" s="3" t="s">
        <v>61</v>
      </c>
      <c r="E330" s="3" t="s">
        <v>33</v>
      </c>
      <c r="F330" s="3" t="s">
        <v>62</v>
      </c>
      <c r="G330" s="3" t="s">
        <v>41</v>
      </c>
      <c r="H330" s="3" t="s">
        <v>64</v>
      </c>
      <c r="I330" s="3" t="s">
        <v>145</v>
      </c>
      <c r="J330" s="3" t="s">
        <v>5996</v>
      </c>
      <c r="K330" s="3" t="n">
        <v>1126479.53</v>
      </c>
      <c r="L330" s="3" t="n">
        <v>0.2003</v>
      </c>
      <c r="M330" s="3" t="n">
        <v>900845.68</v>
      </c>
      <c r="N330" s="3" t="n">
        <v>427370.57</v>
      </c>
      <c r="O330" s="3" t="n">
        <v>0.4744</v>
      </c>
      <c r="P330" s="3" t="n">
        <v>1</v>
      </c>
      <c r="Q330" s="3" t="n">
        <v>900845.68</v>
      </c>
      <c r="R330" s="3" t="n">
        <v>138</v>
      </c>
      <c r="S330" s="3" t="n">
        <v>7.9</v>
      </c>
      <c r="T330" s="3" t="n">
        <v>8.8</v>
      </c>
      <c r="U330" s="3"/>
      <c r="V330" s="3" t="n">
        <v>6.48</v>
      </c>
      <c r="W330" s="3" t="s">
        <v>5990</v>
      </c>
    </row>
    <row r="331" customFormat="false" ht="15" hidden="false" customHeight="true" outlineLevel="0" collapsed="false">
      <c r="A331" s="3" t="s">
        <v>6380</v>
      </c>
      <c r="B331" s="3" t="s">
        <v>424</v>
      </c>
      <c r="C331" s="3" t="s">
        <v>5083</v>
      </c>
      <c r="D331" s="3" t="s">
        <v>54</v>
      </c>
      <c r="E331" s="3" t="s">
        <v>24</v>
      </c>
      <c r="F331" s="3" t="s">
        <v>40</v>
      </c>
      <c r="G331" s="3" t="s">
        <v>76</v>
      </c>
      <c r="H331" s="3" t="s">
        <v>27</v>
      </c>
      <c r="I331" s="3" t="s">
        <v>28</v>
      </c>
      <c r="J331" s="3" t="s">
        <v>5989</v>
      </c>
      <c r="K331" s="3" t="n">
        <v>900261.62</v>
      </c>
      <c r="L331" s="3" t="n">
        <v>0.1346</v>
      </c>
      <c r="M331" s="3" t="n">
        <v>779086.41</v>
      </c>
      <c r="N331" s="3" t="n">
        <v>348968</v>
      </c>
      <c r="O331" s="3" t="n">
        <v>0.4479</v>
      </c>
      <c r="P331" s="3" t="n">
        <v>0.225</v>
      </c>
      <c r="Q331" s="3" t="n">
        <v>175294.44</v>
      </c>
      <c r="R331" s="3" t="n">
        <v>53</v>
      </c>
      <c r="S331" s="3" t="n">
        <v>4.3</v>
      </c>
      <c r="T331" s="3" t="n">
        <v>5</v>
      </c>
      <c r="U331" s="3"/>
      <c r="V331" s="3" t="n">
        <v>6.7</v>
      </c>
      <c r="W331" s="3" t="s">
        <v>5997</v>
      </c>
    </row>
    <row r="332" customFormat="false" ht="15" hidden="false" customHeight="true" outlineLevel="0" collapsed="false">
      <c r="A332" s="3" t="s">
        <v>6381</v>
      </c>
      <c r="B332" s="3" t="s">
        <v>4614</v>
      </c>
      <c r="C332" s="3" t="s">
        <v>6382</v>
      </c>
      <c r="D332" s="3" t="s">
        <v>32</v>
      </c>
      <c r="E332" s="3" t="s">
        <v>33</v>
      </c>
      <c r="F332" s="3" t="s">
        <v>25</v>
      </c>
      <c r="G332" s="3" t="s">
        <v>71</v>
      </c>
      <c r="H332" s="3" t="s">
        <v>56</v>
      </c>
      <c r="I332" s="3" t="s">
        <v>121</v>
      </c>
      <c r="J332" s="3" t="s">
        <v>5992</v>
      </c>
      <c r="K332" s="3" t="n">
        <v>2897646.11</v>
      </c>
      <c r="L332" s="3" t="n">
        <v>0.1067</v>
      </c>
      <c r="M332" s="3" t="n">
        <v>2588467.27</v>
      </c>
      <c r="N332" s="3" t="n">
        <v>789750.13</v>
      </c>
      <c r="O332" s="3" t="n">
        <v>0.3051</v>
      </c>
      <c r="P332" s="3" t="n">
        <v>0.653</v>
      </c>
      <c r="Q332" s="3" t="n">
        <v>1690269.13</v>
      </c>
      <c r="R332" s="3" t="n">
        <v>103</v>
      </c>
      <c r="S332" s="3" t="n">
        <v>4.7</v>
      </c>
      <c r="T332" s="3" t="n">
        <v>2.4</v>
      </c>
      <c r="U332" s="3"/>
      <c r="V332" s="3" t="n">
        <v>6.29</v>
      </c>
      <c r="W332" s="3" t="s">
        <v>5990</v>
      </c>
    </row>
    <row r="333" customFormat="false" ht="15" hidden="false" customHeight="true" outlineLevel="0" collapsed="false">
      <c r="A333" s="3" t="s">
        <v>6383</v>
      </c>
      <c r="B333" s="3" t="s">
        <v>370</v>
      </c>
      <c r="C333" s="3" t="s">
        <v>1852</v>
      </c>
      <c r="D333" s="3" t="s">
        <v>38</v>
      </c>
      <c r="E333" s="3" t="s">
        <v>39</v>
      </c>
      <c r="F333" s="3" t="s">
        <v>40</v>
      </c>
      <c r="G333" s="3" t="s">
        <v>71</v>
      </c>
      <c r="H333" s="3" t="s">
        <v>64</v>
      </c>
      <c r="I333" s="3" t="s">
        <v>108</v>
      </c>
      <c r="J333" s="3" t="s">
        <v>6009</v>
      </c>
      <c r="K333" s="3" t="n">
        <v>1427756.47</v>
      </c>
      <c r="L333" s="3" t="n">
        <v>0.1381</v>
      </c>
      <c r="M333" s="3" t="n">
        <v>1230583.3</v>
      </c>
      <c r="N333" s="3" t="n">
        <v>542256.34</v>
      </c>
      <c r="O333" s="3" t="n">
        <v>0.4406</v>
      </c>
      <c r="P333" s="3" t="n">
        <v>0.032</v>
      </c>
      <c r="Q333" s="3" t="n">
        <v>39378.67</v>
      </c>
      <c r="R333" s="3" t="n">
        <v>155</v>
      </c>
      <c r="S333" s="3" t="n">
        <v>7.5</v>
      </c>
      <c r="T333" s="3" t="n">
        <v>9.4</v>
      </c>
      <c r="U333" s="3" t="s">
        <v>6116</v>
      </c>
      <c r="V333" s="3" t="n">
        <v>6.75</v>
      </c>
      <c r="W333" s="3" t="s">
        <v>5997</v>
      </c>
    </row>
    <row r="334" customFormat="false" ht="15" hidden="false" customHeight="true" outlineLevel="0" collapsed="false">
      <c r="A334" s="3" t="s">
        <v>6384</v>
      </c>
      <c r="B334" s="3" t="s">
        <v>3665</v>
      </c>
      <c r="C334" s="3" t="s">
        <v>4110</v>
      </c>
      <c r="D334" s="3" t="s">
        <v>69</v>
      </c>
      <c r="E334" s="3" t="s">
        <v>39</v>
      </c>
      <c r="F334" s="3" t="s">
        <v>70</v>
      </c>
      <c r="G334" s="3" t="s">
        <v>100</v>
      </c>
      <c r="H334" s="3" t="s">
        <v>56</v>
      </c>
      <c r="I334" s="3" t="s">
        <v>57</v>
      </c>
      <c r="J334" s="3" t="s">
        <v>5992</v>
      </c>
      <c r="K334" s="3" t="n">
        <v>2933427.25</v>
      </c>
      <c r="L334" s="3" t="n">
        <v>0.2469</v>
      </c>
      <c r="M334" s="3" t="n">
        <v>2209164.06</v>
      </c>
      <c r="N334" s="3" t="n">
        <v>1025190.63</v>
      </c>
      <c r="O334" s="3" t="n">
        <v>0.4641</v>
      </c>
      <c r="P334" s="3" t="n">
        <v>0.684</v>
      </c>
      <c r="Q334" s="3" t="n">
        <v>1511068.22</v>
      </c>
      <c r="R334" s="3" t="n">
        <v>19</v>
      </c>
      <c r="S334" s="3" t="n">
        <v>7.9</v>
      </c>
      <c r="T334" s="3" t="n">
        <v>6.2</v>
      </c>
      <c r="U334" s="3"/>
      <c r="V334" s="3" t="n">
        <v>6.5</v>
      </c>
      <c r="W334" s="3" t="s">
        <v>5997</v>
      </c>
    </row>
    <row r="335" customFormat="false" ht="15" hidden="false" customHeight="true" outlineLevel="0" collapsed="false">
      <c r="A335" s="3" t="s">
        <v>6385</v>
      </c>
      <c r="B335" s="3" t="s">
        <v>235</v>
      </c>
      <c r="C335" s="3" t="s">
        <v>2535</v>
      </c>
      <c r="D335" s="3" t="s">
        <v>97</v>
      </c>
      <c r="E335" s="3" t="s">
        <v>48</v>
      </c>
      <c r="F335" s="3" t="s">
        <v>40</v>
      </c>
      <c r="G335" s="3" t="s">
        <v>100</v>
      </c>
      <c r="H335" s="3" t="s">
        <v>42</v>
      </c>
      <c r="I335" s="3" t="s">
        <v>134</v>
      </c>
      <c r="J335" s="3" t="s">
        <v>5999</v>
      </c>
      <c r="K335" s="3" t="n">
        <v>2873393.16</v>
      </c>
      <c r="L335" s="3" t="n">
        <v>0.0648</v>
      </c>
      <c r="M335" s="3" t="n">
        <v>2687197.28</v>
      </c>
      <c r="N335" s="3" t="n">
        <v>914015.82</v>
      </c>
      <c r="O335" s="3" t="n">
        <v>0.3401</v>
      </c>
      <c r="P335" s="3" t="n">
        <v>0.481</v>
      </c>
      <c r="Q335" s="3" t="n">
        <v>1292541.89</v>
      </c>
      <c r="R335" s="3" t="n">
        <v>102</v>
      </c>
      <c r="S335" s="3" t="n">
        <v>5.3</v>
      </c>
      <c r="T335" s="3" t="n">
        <v>3</v>
      </c>
      <c r="U335" s="3"/>
      <c r="V335" s="3" t="n">
        <v>6.98</v>
      </c>
      <c r="W335" s="3" t="s">
        <v>5997</v>
      </c>
    </row>
    <row r="336" customFormat="false" ht="15" hidden="false" customHeight="true" outlineLevel="0" collapsed="false">
      <c r="A336" s="3" t="s">
        <v>6386</v>
      </c>
      <c r="B336" s="3" t="s">
        <v>2621</v>
      </c>
      <c r="C336" s="3" t="s">
        <v>1855</v>
      </c>
      <c r="D336" s="3" t="s">
        <v>97</v>
      </c>
      <c r="E336" s="3" t="s">
        <v>48</v>
      </c>
      <c r="F336" s="3" t="s">
        <v>40</v>
      </c>
      <c r="G336" s="3" t="s">
        <v>104</v>
      </c>
      <c r="H336" s="3" t="s">
        <v>64</v>
      </c>
      <c r="I336" s="3" t="s">
        <v>65</v>
      </c>
      <c r="J336" s="3" t="s">
        <v>5999</v>
      </c>
      <c r="K336" s="3" t="n">
        <v>2819815.82</v>
      </c>
      <c r="L336" s="3" t="n">
        <v>0.2685</v>
      </c>
      <c r="M336" s="3" t="n">
        <v>2062695.27</v>
      </c>
      <c r="N336" s="3" t="n">
        <v>961200.03</v>
      </c>
      <c r="O336" s="3" t="n">
        <v>0.466</v>
      </c>
      <c r="P336" s="3" t="n">
        <v>0.481</v>
      </c>
      <c r="Q336" s="3" t="n">
        <v>992156.42</v>
      </c>
      <c r="R336" s="3" t="n">
        <v>168</v>
      </c>
      <c r="S336" s="3" t="n">
        <v>5.5</v>
      </c>
      <c r="T336" s="3" t="n">
        <v>3.7</v>
      </c>
      <c r="U336" s="3"/>
      <c r="V336" s="3" t="n">
        <v>6.07</v>
      </c>
      <c r="W336" s="3" t="s">
        <v>5990</v>
      </c>
    </row>
    <row r="337" customFormat="false" ht="15" hidden="false" customHeight="true" outlineLevel="0" collapsed="false">
      <c r="A337" s="3" t="s">
        <v>6387</v>
      </c>
      <c r="B337" s="3" t="s">
        <v>467</v>
      </c>
      <c r="C337" s="3" t="s">
        <v>2097</v>
      </c>
      <c r="D337" s="3" t="s">
        <v>23</v>
      </c>
      <c r="E337" s="3" t="s">
        <v>24</v>
      </c>
      <c r="F337" s="3" t="s">
        <v>25</v>
      </c>
      <c r="G337" s="3" t="s">
        <v>84</v>
      </c>
      <c r="H337" s="3" t="s">
        <v>77</v>
      </c>
      <c r="I337" s="3" t="s">
        <v>78</v>
      </c>
      <c r="J337" s="3" t="s">
        <v>5996</v>
      </c>
      <c r="K337" s="3" t="n">
        <v>3778489.09</v>
      </c>
      <c r="L337" s="3" t="n">
        <v>0.092</v>
      </c>
      <c r="M337" s="3" t="n">
        <v>3430868.09</v>
      </c>
      <c r="N337" s="3" t="n">
        <v>1221545.81</v>
      </c>
      <c r="O337" s="3" t="n">
        <v>0.356</v>
      </c>
      <c r="P337" s="3" t="n">
        <v>0.975</v>
      </c>
      <c r="Q337" s="3" t="n">
        <v>3345096.39</v>
      </c>
      <c r="R337" s="3" t="n">
        <v>154</v>
      </c>
      <c r="S337" s="3" t="n">
        <v>4.3</v>
      </c>
      <c r="T337" s="3" t="n">
        <v>6.8</v>
      </c>
      <c r="U337" s="3"/>
      <c r="V337" s="3" t="n">
        <v>6.04</v>
      </c>
      <c r="W337" s="3" t="s">
        <v>5990</v>
      </c>
    </row>
    <row r="338" customFormat="false" ht="15" hidden="false" customHeight="true" outlineLevel="0" collapsed="false">
      <c r="A338" s="3" t="s">
        <v>6388</v>
      </c>
      <c r="B338" s="3" t="s">
        <v>2104</v>
      </c>
      <c r="C338" s="3" t="s">
        <v>413</v>
      </c>
      <c r="D338" s="3" t="s">
        <v>103</v>
      </c>
      <c r="E338" s="3" t="s">
        <v>24</v>
      </c>
      <c r="F338" s="3" t="s">
        <v>62</v>
      </c>
      <c r="G338" s="3" t="s">
        <v>71</v>
      </c>
      <c r="H338" s="3" t="s">
        <v>27</v>
      </c>
      <c r="I338" s="3" t="s">
        <v>94</v>
      </c>
      <c r="J338" s="3" t="s">
        <v>5996</v>
      </c>
      <c r="K338" s="3" t="n">
        <v>2878312</v>
      </c>
      <c r="L338" s="3" t="n">
        <v>0.2161</v>
      </c>
      <c r="M338" s="3" t="n">
        <v>2256308.78</v>
      </c>
      <c r="N338" s="3" t="n">
        <v>1020122.64</v>
      </c>
      <c r="O338" s="3" t="n">
        <v>0.4521</v>
      </c>
      <c r="P338" s="3" t="n">
        <v>1</v>
      </c>
      <c r="Q338" s="3" t="n">
        <v>2256308.78</v>
      </c>
      <c r="R338" s="3" t="n">
        <v>14</v>
      </c>
      <c r="S338" s="3" t="n">
        <v>4</v>
      </c>
      <c r="T338" s="3" t="n">
        <v>2.2</v>
      </c>
      <c r="U338" s="3"/>
      <c r="V338" s="3" t="n">
        <v>6.37</v>
      </c>
      <c r="W338" s="3" t="s">
        <v>5990</v>
      </c>
    </row>
    <row r="339" customFormat="false" ht="15" hidden="false" customHeight="true" outlineLevel="0" collapsed="false">
      <c r="A339" s="3" t="s">
        <v>6389</v>
      </c>
      <c r="B339" s="3" t="s">
        <v>3881</v>
      </c>
      <c r="C339" s="3" t="s">
        <v>2772</v>
      </c>
      <c r="D339" s="3" t="s">
        <v>23</v>
      </c>
      <c r="E339" s="3" t="s">
        <v>24</v>
      </c>
      <c r="F339" s="3" t="s">
        <v>25</v>
      </c>
      <c r="G339" s="3" t="s">
        <v>71</v>
      </c>
      <c r="H339" s="3" t="s">
        <v>42</v>
      </c>
      <c r="I339" s="3" t="s">
        <v>72</v>
      </c>
      <c r="J339" s="3" t="s">
        <v>5996</v>
      </c>
      <c r="K339" s="3" t="n">
        <v>4466937.4</v>
      </c>
      <c r="L339" s="3" t="n">
        <v>0.0758</v>
      </c>
      <c r="M339" s="3" t="n">
        <v>4128343.55</v>
      </c>
      <c r="N339" s="3" t="n">
        <v>1890309.83</v>
      </c>
      <c r="O339" s="3" t="n">
        <v>0.4579</v>
      </c>
      <c r="P339" s="3" t="n">
        <v>1</v>
      </c>
      <c r="Q339" s="3" t="n">
        <v>4128343.55</v>
      </c>
      <c r="R339" s="3" t="n">
        <v>29</v>
      </c>
      <c r="S339" s="3" t="n">
        <v>8.9</v>
      </c>
      <c r="T339" s="3" t="n">
        <v>4.2</v>
      </c>
      <c r="U339" s="3"/>
      <c r="V339" s="3" t="n">
        <v>8.47</v>
      </c>
      <c r="W339" s="3" t="s">
        <v>5997</v>
      </c>
    </row>
    <row r="340" customFormat="false" ht="15" hidden="false" customHeight="true" outlineLevel="0" collapsed="false">
      <c r="A340" s="3" t="s">
        <v>6390</v>
      </c>
      <c r="B340" s="3" t="s">
        <v>1227</v>
      </c>
      <c r="C340" s="3" t="s">
        <v>3493</v>
      </c>
      <c r="D340" s="3" t="s">
        <v>47</v>
      </c>
      <c r="E340" s="3" t="s">
        <v>48</v>
      </c>
      <c r="F340" s="3" t="s">
        <v>25</v>
      </c>
      <c r="G340" s="3" t="s">
        <v>116</v>
      </c>
      <c r="H340" s="3" t="s">
        <v>64</v>
      </c>
      <c r="I340" s="3" t="s">
        <v>145</v>
      </c>
      <c r="J340" s="3" t="s">
        <v>5989</v>
      </c>
      <c r="K340" s="3" t="n">
        <v>3315582.83</v>
      </c>
      <c r="L340" s="3" t="n">
        <v>0.1614</v>
      </c>
      <c r="M340" s="3" t="n">
        <v>2780447.76</v>
      </c>
      <c r="N340" s="3" t="n">
        <v>836166.43</v>
      </c>
      <c r="O340" s="3" t="n">
        <v>0.3007</v>
      </c>
      <c r="P340" s="3" t="n">
        <v>0.279</v>
      </c>
      <c r="Q340" s="3" t="n">
        <v>775744.93</v>
      </c>
      <c r="R340" s="3" t="n">
        <v>20</v>
      </c>
      <c r="S340" s="3" t="n">
        <v>9.4</v>
      </c>
      <c r="T340" s="3" t="n">
        <v>8.4</v>
      </c>
      <c r="U340" s="3"/>
      <c r="V340" s="3" t="n">
        <v>6.08</v>
      </c>
      <c r="W340" s="3" t="s">
        <v>5990</v>
      </c>
    </row>
    <row r="341" customFormat="false" ht="15" hidden="false" customHeight="true" outlineLevel="0" collapsed="false">
      <c r="A341" s="3" t="s">
        <v>6391</v>
      </c>
      <c r="B341" s="3" t="s">
        <v>984</v>
      </c>
      <c r="C341" s="3" t="s">
        <v>824</v>
      </c>
      <c r="D341" s="3" t="s">
        <v>32</v>
      </c>
      <c r="E341" s="3" t="s">
        <v>33</v>
      </c>
      <c r="F341" s="3" t="s">
        <v>25</v>
      </c>
      <c r="G341" s="3" t="s">
        <v>63</v>
      </c>
      <c r="H341" s="3" t="s">
        <v>42</v>
      </c>
      <c r="I341" s="3" t="s">
        <v>72</v>
      </c>
      <c r="J341" s="3" t="s">
        <v>5999</v>
      </c>
      <c r="K341" s="3" t="n">
        <v>225242.82</v>
      </c>
      <c r="L341" s="3" t="n">
        <v>0.1001</v>
      </c>
      <c r="M341" s="3" t="n">
        <v>202696.01</v>
      </c>
      <c r="N341" s="3" t="n">
        <v>63991.35</v>
      </c>
      <c r="O341" s="3" t="n">
        <v>0.3157</v>
      </c>
      <c r="P341" s="3" t="n">
        <v>0.484</v>
      </c>
      <c r="Q341" s="3" t="n">
        <v>98104.87</v>
      </c>
      <c r="R341" s="3" t="n">
        <v>87</v>
      </c>
      <c r="S341" s="3" t="n">
        <v>3.9</v>
      </c>
      <c r="T341" s="3" t="n">
        <v>2.8</v>
      </c>
      <c r="U341" s="3"/>
      <c r="V341" s="3" t="n">
        <v>6.18</v>
      </c>
      <c r="W341" s="3" t="s">
        <v>5990</v>
      </c>
    </row>
    <row r="342" customFormat="false" ht="15" hidden="false" customHeight="true" outlineLevel="0" collapsed="false">
      <c r="A342" s="3" t="s">
        <v>6392</v>
      </c>
      <c r="B342" s="3" t="s">
        <v>1110</v>
      </c>
      <c r="C342" s="3" t="s">
        <v>1468</v>
      </c>
      <c r="D342" s="3" t="s">
        <v>97</v>
      </c>
      <c r="E342" s="3" t="s">
        <v>48</v>
      </c>
      <c r="F342" s="3" t="s">
        <v>40</v>
      </c>
      <c r="G342" s="3" t="s">
        <v>63</v>
      </c>
      <c r="H342" s="3" t="s">
        <v>64</v>
      </c>
      <c r="I342" s="3" t="s">
        <v>65</v>
      </c>
      <c r="J342" s="3" t="s">
        <v>5999</v>
      </c>
      <c r="K342" s="3" t="n">
        <v>4259212.32</v>
      </c>
      <c r="L342" s="3" t="n">
        <v>0.2331</v>
      </c>
      <c r="M342" s="3" t="n">
        <v>3266389.93</v>
      </c>
      <c r="N342" s="3" t="n">
        <v>1476256.45</v>
      </c>
      <c r="O342" s="3" t="n">
        <v>0.452</v>
      </c>
      <c r="P342" s="3" t="n">
        <v>0.407</v>
      </c>
      <c r="Q342" s="3" t="n">
        <v>1329420.7</v>
      </c>
      <c r="R342" s="3" t="n">
        <v>176</v>
      </c>
      <c r="S342" s="3" t="n">
        <v>9.9</v>
      </c>
      <c r="T342" s="3" t="n">
        <v>3.7</v>
      </c>
      <c r="U342" s="3"/>
      <c r="V342" s="3" t="n">
        <v>7.47</v>
      </c>
      <c r="W342" s="3" t="s">
        <v>5997</v>
      </c>
    </row>
    <row r="343" customFormat="false" ht="15" hidden="false" customHeight="true" outlineLevel="0" collapsed="false">
      <c r="A343" s="3" t="s">
        <v>6393</v>
      </c>
      <c r="B343" s="3" t="s">
        <v>1221</v>
      </c>
      <c r="C343" s="3" t="s">
        <v>1038</v>
      </c>
      <c r="D343" s="3" t="s">
        <v>32</v>
      </c>
      <c r="E343" s="3" t="s">
        <v>33</v>
      </c>
      <c r="F343" s="3" t="s">
        <v>25</v>
      </c>
      <c r="G343" s="3" t="s">
        <v>116</v>
      </c>
      <c r="H343" s="3" t="s">
        <v>64</v>
      </c>
      <c r="I343" s="3" t="s">
        <v>90</v>
      </c>
      <c r="J343" s="3" t="s">
        <v>5999</v>
      </c>
      <c r="K343" s="3" t="n">
        <v>4453669.81</v>
      </c>
      <c r="L343" s="3" t="n">
        <v>0.2278</v>
      </c>
      <c r="M343" s="3" t="n">
        <v>3439123.83</v>
      </c>
      <c r="N343" s="3" t="n">
        <v>1520048.57</v>
      </c>
      <c r="O343" s="3" t="n">
        <v>0.442</v>
      </c>
      <c r="P343" s="3" t="n">
        <v>0.461</v>
      </c>
      <c r="Q343" s="3" t="n">
        <v>1585436.09</v>
      </c>
      <c r="R343" s="3" t="n">
        <v>25</v>
      </c>
      <c r="S343" s="3" t="n">
        <v>4</v>
      </c>
      <c r="T343" s="3" t="n">
        <v>8.6</v>
      </c>
      <c r="U343" s="3"/>
      <c r="V343" s="3" t="n">
        <v>5.24</v>
      </c>
      <c r="W343" s="3" t="s">
        <v>5990</v>
      </c>
    </row>
    <row r="344" customFormat="false" ht="15" hidden="false" customHeight="true" outlineLevel="0" collapsed="false">
      <c r="A344" s="3" t="s">
        <v>6394</v>
      </c>
      <c r="B344" s="3" t="s">
        <v>559</v>
      </c>
      <c r="C344" s="3" t="s">
        <v>3854</v>
      </c>
      <c r="D344" s="3" t="s">
        <v>47</v>
      </c>
      <c r="E344" s="3" t="s">
        <v>48</v>
      </c>
      <c r="F344" s="3" t="s">
        <v>25</v>
      </c>
      <c r="G344" s="3" t="s">
        <v>71</v>
      </c>
      <c r="H344" s="3" t="s">
        <v>56</v>
      </c>
      <c r="I344" s="3" t="s">
        <v>188</v>
      </c>
      <c r="J344" s="3" t="s">
        <v>6009</v>
      </c>
      <c r="K344" s="3" t="n">
        <v>3114525.55</v>
      </c>
      <c r="L344" s="3" t="n">
        <v>0.2733</v>
      </c>
      <c r="M344" s="3" t="n">
        <v>2263325.72</v>
      </c>
      <c r="N344" s="3" t="n">
        <v>921102.76</v>
      </c>
      <c r="O344" s="3" t="n">
        <v>0.407</v>
      </c>
      <c r="P344" s="3" t="n">
        <v>0</v>
      </c>
      <c r="Q344" s="3" t="n">
        <v>0</v>
      </c>
      <c r="R344" s="3" t="n">
        <v>61</v>
      </c>
      <c r="S344" s="3" t="n">
        <v>4.3</v>
      </c>
      <c r="T344" s="3" t="n">
        <v>7.6</v>
      </c>
      <c r="U344" s="3" t="s">
        <v>6020</v>
      </c>
      <c r="V344" s="3" t="n">
        <v>4.81</v>
      </c>
      <c r="W344" s="3" t="s">
        <v>6000</v>
      </c>
    </row>
    <row r="345" customFormat="false" ht="15" hidden="false" customHeight="true" outlineLevel="0" collapsed="false">
      <c r="A345" s="3" t="s">
        <v>6395</v>
      </c>
      <c r="B345" s="3" t="s">
        <v>2873</v>
      </c>
      <c r="C345" s="3" t="s">
        <v>6396</v>
      </c>
      <c r="D345" s="3" t="s">
        <v>54</v>
      </c>
      <c r="E345" s="3" t="s">
        <v>24</v>
      </c>
      <c r="F345" s="3" t="s">
        <v>40</v>
      </c>
      <c r="G345" s="3" t="s">
        <v>76</v>
      </c>
      <c r="H345" s="3" t="s">
        <v>56</v>
      </c>
      <c r="I345" s="3" t="s">
        <v>57</v>
      </c>
      <c r="J345" s="3" t="s">
        <v>5999</v>
      </c>
      <c r="K345" s="3" t="n">
        <v>2344534.6</v>
      </c>
      <c r="L345" s="3" t="n">
        <v>0.1587</v>
      </c>
      <c r="M345" s="3" t="n">
        <v>1972456.96</v>
      </c>
      <c r="N345" s="3" t="n">
        <v>690152.55</v>
      </c>
      <c r="O345" s="3" t="n">
        <v>0.3499</v>
      </c>
      <c r="P345" s="3" t="n">
        <v>0.429</v>
      </c>
      <c r="Q345" s="3" t="n">
        <v>846184.04</v>
      </c>
      <c r="R345" s="3" t="n">
        <v>111</v>
      </c>
      <c r="S345" s="3" t="n">
        <v>2.5</v>
      </c>
      <c r="T345" s="3" t="n">
        <v>4.7</v>
      </c>
      <c r="U345" s="3"/>
      <c r="V345" s="3" t="n">
        <v>5.33</v>
      </c>
      <c r="W345" s="3" t="s">
        <v>5990</v>
      </c>
    </row>
    <row r="346" customFormat="false" ht="15" hidden="false" customHeight="true" outlineLevel="0" collapsed="false">
      <c r="A346" s="3" t="s">
        <v>6397</v>
      </c>
      <c r="B346" s="3" t="s">
        <v>1560</v>
      </c>
      <c r="C346" s="3" t="s">
        <v>1735</v>
      </c>
      <c r="D346" s="3" t="s">
        <v>69</v>
      </c>
      <c r="E346" s="3" t="s">
        <v>39</v>
      </c>
      <c r="F346" s="3" t="s">
        <v>70</v>
      </c>
      <c r="G346" s="3" t="s">
        <v>71</v>
      </c>
      <c r="H346" s="3" t="s">
        <v>27</v>
      </c>
      <c r="I346" s="3" t="s">
        <v>173</v>
      </c>
      <c r="J346" s="3" t="s">
        <v>5996</v>
      </c>
      <c r="K346" s="3" t="n">
        <v>2328004.5</v>
      </c>
      <c r="L346" s="3" t="n">
        <v>0.0698</v>
      </c>
      <c r="M346" s="3" t="n">
        <v>2165509.79</v>
      </c>
      <c r="N346" s="3" t="n">
        <v>1022210.21</v>
      </c>
      <c r="O346" s="3" t="n">
        <v>0.472</v>
      </c>
      <c r="P346" s="3" t="n">
        <v>0.961</v>
      </c>
      <c r="Q346" s="3" t="n">
        <v>2081054.91</v>
      </c>
      <c r="R346" s="3" t="n">
        <v>23</v>
      </c>
      <c r="S346" s="3" t="n">
        <v>3.6</v>
      </c>
      <c r="T346" s="3" t="n">
        <v>8.6</v>
      </c>
      <c r="U346" s="3"/>
      <c r="V346" s="3" t="n">
        <v>6.54</v>
      </c>
      <c r="W346" s="3" t="s">
        <v>5997</v>
      </c>
    </row>
    <row r="347" customFormat="false" ht="15" hidden="false" customHeight="true" outlineLevel="0" collapsed="false">
      <c r="A347" s="3" t="s">
        <v>6398</v>
      </c>
      <c r="B347" s="3" t="s">
        <v>1395</v>
      </c>
      <c r="C347" s="3" t="s">
        <v>1642</v>
      </c>
      <c r="D347" s="3" t="s">
        <v>54</v>
      </c>
      <c r="E347" s="3" t="s">
        <v>24</v>
      </c>
      <c r="F347" s="3" t="s">
        <v>40</v>
      </c>
      <c r="G347" s="3" t="s">
        <v>49</v>
      </c>
      <c r="H347" s="3" t="s">
        <v>56</v>
      </c>
      <c r="I347" s="3" t="s">
        <v>188</v>
      </c>
      <c r="J347" s="3" t="s">
        <v>5999</v>
      </c>
      <c r="K347" s="3" t="n">
        <v>3218840.15</v>
      </c>
      <c r="L347" s="3" t="n">
        <v>0.2856</v>
      </c>
      <c r="M347" s="3" t="n">
        <v>2299539.4</v>
      </c>
      <c r="N347" s="3" t="n">
        <v>1055587.43</v>
      </c>
      <c r="O347" s="3" t="n">
        <v>0.459</v>
      </c>
      <c r="P347" s="3" t="n">
        <v>0.431</v>
      </c>
      <c r="Q347" s="3" t="n">
        <v>991101.48</v>
      </c>
      <c r="R347" s="3" t="n">
        <v>137</v>
      </c>
      <c r="S347" s="3" t="n">
        <v>6.3</v>
      </c>
      <c r="T347" s="3" t="n">
        <v>1.2</v>
      </c>
      <c r="U347" s="3"/>
      <c r="V347" s="3" t="n">
        <v>6.52</v>
      </c>
      <c r="W347" s="3" t="s">
        <v>5997</v>
      </c>
    </row>
    <row r="348" customFormat="false" ht="15" hidden="false" customHeight="true" outlineLevel="0" collapsed="false">
      <c r="A348" s="3" t="s">
        <v>6399</v>
      </c>
      <c r="B348" s="3" t="s">
        <v>82</v>
      </c>
      <c r="C348" s="3" t="s">
        <v>2379</v>
      </c>
      <c r="D348" s="3" t="s">
        <v>54</v>
      </c>
      <c r="E348" s="3" t="s">
        <v>24</v>
      </c>
      <c r="F348" s="3" t="s">
        <v>40</v>
      </c>
      <c r="G348" s="3" t="s">
        <v>116</v>
      </c>
      <c r="H348" s="3" t="s">
        <v>42</v>
      </c>
      <c r="I348" s="3" t="s">
        <v>72</v>
      </c>
      <c r="J348" s="3" t="s">
        <v>5996</v>
      </c>
      <c r="K348" s="3" t="n">
        <v>3306575.26</v>
      </c>
      <c r="L348" s="3" t="n">
        <v>0.2448</v>
      </c>
      <c r="M348" s="3" t="n">
        <v>2497125.64</v>
      </c>
      <c r="N348" s="3" t="n">
        <v>1167790.89</v>
      </c>
      <c r="O348" s="3" t="n">
        <v>0.4677</v>
      </c>
      <c r="P348" s="3" t="n">
        <v>1</v>
      </c>
      <c r="Q348" s="3" t="n">
        <v>2497125.64</v>
      </c>
      <c r="R348" s="3" t="n">
        <v>63</v>
      </c>
      <c r="S348" s="3" t="n">
        <v>7.6</v>
      </c>
      <c r="T348" s="3" t="n">
        <v>8.3</v>
      </c>
      <c r="U348" s="3"/>
      <c r="V348" s="3" t="n">
        <v>6.1</v>
      </c>
      <c r="W348" s="3" t="s">
        <v>5990</v>
      </c>
    </row>
    <row r="349" customFormat="false" ht="15" hidden="false" customHeight="true" outlineLevel="0" collapsed="false">
      <c r="A349" s="3" t="s">
        <v>6400</v>
      </c>
      <c r="B349" s="3" t="s">
        <v>1765</v>
      </c>
      <c r="C349" s="3" t="s">
        <v>2613</v>
      </c>
      <c r="D349" s="3" t="s">
        <v>38</v>
      </c>
      <c r="E349" s="3" t="s">
        <v>39</v>
      </c>
      <c r="F349" s="3" t="s">
        <v>40</v>
      </c>
      <c r="G349" s="3" t="s">
        <v>76</v>
      </c>
      <c r="H349" s="3" t="s">
        <v>64</v>
      </c>
      <c r="I349" s="3" t="s">
        <v>65</v>
      </c>
      <c r="J349" s="3" t="s">
        <v>5992</v>
      </c>
      <c r="K349" s="3" t="n">
        <v>1079605.44</v>
      </c>
      <c r="L349" s="3" t="n">
        <v>0.2282</v>
      </c>
      <c r="M349" s="3" t="n">
        <v>833239.48</v>
      </c>
      <c r="N349" s="3" t="n">
        <v>330921.33</v>
      </c>
      <c r="O349" s="3" t="n">
        <v>0.3972</v>
      </c>
      <c r="P349" s="3" t="n">
        <v>0.659</v>
      </c>
      <c r="Q349" s="3" t="n">
        <v>549104.82</v>
      </c>
      <c r="R349" s="3" t="n">
        <v>81</v>
      </c>
      <c r="S349" s="3" t="n">
        <v>1.7</v>
      </c>
      <c r="T349" s="3" t="n">
        <v>5.1</v>
      </c>
      <c r="U349" s="3"/>
      <c r="V349" s="3" t="n">
        <v>4.84</v>
      </c>
      <c r="W349" s="3" t="s">
        <v>6000</v>
      </c>
    </row>
    <row r="350" customFormat="false" ht="15" hidden="false" customHeight="true" outlineLevel="0" collapsed="false">
      <c r="A350" s="3" t="s">
        <v>6401</v>
      </c>
      <c r="B350" s="3" t="s">
        <v>3334</v>
      </c>
      <c r="C350" s="3" t="s">
        <v>1633</v>
      </c>
      <c r="D350" s="3" t="s">
        <v>23</v>
      </c>
      <c r="E350" s="3" t="s">
        <v>24</v>
      </c>
      <c r="F350" s="3" t="s">
        <v>25</v>
      </c>
      <c r="G350" s="3" t="s">
        <v>34</v>
      </c>
      <c r="H350" s="3" t="s">
        <v>42</v>
      </c>
      <c r="I350" s="3" t="s">
        <v>72</v>
      </c>
      <c r="J350" s="3" t="s">
        <v>6003</v>
      </c>
      <c r="K350" s="3" t="n">
        <v>4013538.12</v>
      </c>
      <c r="L350" s="3" t="n">
        <v>0.1426</v>
      </c>
      <c r="M350" s="3" t="n">
        <v>3441207.58</v>
      </c>
      <c r="N350" s="3" t="n">
        <v>1645356.39</v>
      </c>
      <c r="O350" s="3" t="n">
        <v>0.4781</v>
      </c>
      <c r="P350" s="3" t="n">
        <v>0.123</v>
      </c>
      <c r="Q350" s="3" t="n">
        <v>423268.53</v>
      </c>
      <c r="R350" s="3" t="n">
        <v>107</v>
      </c>
      <c r="S350" s="3" t="n">
        <v>5.6</v>
      </c>
      <c r="T350" s="3" t="n">
        <v>5.9</v>
      </c>
      <c r="U350" s="3"/>
      <c r="V350" s="3" t="n">
        <v>6.81</v>
      </c>
      <c r="W350" s="3" t="s">
        <v>5997</v>
      </c>
    </row>
    <row r="351" customFormat="false" ht="15" hidden="false" customHeight="true" outlineLevel="0" collapsed="false">
      <c r="A351" s="3" t="s">
        <v>6402</v>
      </c>
      <c r="B351" s="3" t="s">
        <v>1935</v>
      </c>
      <c r="C351" s="3" t="s">
        <v>1240</v>
      </c>
      <c r="D351" s="3" t="s">
        <v>32</v>
      </c>
      <c r="E351" s="3" t="s">
        <v>33</v>
      </c>
      <c r="F351" s="3" t="s">
        <v>25</v>
      </c>
      <c r="G351" s="3" t="s">
        <v>104</v>
      </c>
      <c r="H351" s="3" t="s">
        <v>77</v>
      </c>
      <c r="I351" s="3" t="s">
        <v>78</v>
      </c>
      <c r="J351" s="3" t="s">
        <v>5996</v>
      </c>
      <c r="K351" s="3" t="n">
        <v>2252117.43</v>
      </c>
      <c r="L351" s="3" t="n">
        <v>0.2525</v>
      </c>
      <c r="M351" s="3" t="n">
        <v>1683457.78</v>
      </c>
      <c r="N351" s="3" t="n">
        <v>590057.9</v>
      </c>
      <c r="O351" s="3" t="n">
        <v>0.3505</v>
      </c>
      <c r="P351" s="3" t="n">
        <v>0.976</v>
      </c>
      <c r="Q351" s="3" t="n">
        <v>1643054.79</v>
      </c>
      <c r="R351" s="3" t="n">
        <v>43</v>
      </c>
      <c r="S351" s="3" t="n">
        <v>3.1</v>
      </c>
      <c r="T351" s="3" t="n">
        <v>9.4</v>
      </c>
      <c r="U351" s="3"/>
      <c r="V351" s="3" t="n">
        <v>3.99</v>
      </c>
      <c r="W351" s="3" t="s">
        <v>6000</v>
      </c>
    </row>
    <row r="352" customFormat="false" ht="15" hidden="false" customHeight="true" outlineLevel="0" collapsed="false">
      <c r="A352" s="3" t="s">
        <v>6403</v>
      </c>
      <c r="B352" s="3" t="s">
        <v>2889</v>
      </c>
      <c r="C352" s="3" t="s">
        <v>1285</v>
      </c>
      <c r="D352" s="3" t="s">
        <v>103</v>
      </c>
      <c r="E352" s="3" t="s">
        <v>24</v>
      </c>
      <c r="F352" s="3" t="s">
        <v>62</v>
      </c>
      <c r="G352" s="3" t="s">
        <v>55</v>
      </c>
      <c r="H352" s="3" t="s">
        <v>77</v>
      </c>
      <c r="I352" s="3" t="s">
        <v>131</v>
      </c>
      <c r="J352" s="3" t="s">
        <v>5999</v>
      </c>
      <c r="K352" s="3" t="n">
        <v>1365882.62</v>
      </c>
      <c r="L352" s="3" t="n">
        <v>0.0829</v>
      </c>
      <c r="M352" s="3" t="n">
        <v>1252650.95</v>
      </c>
      <c r="N352" s="3" t="n">
        <v>486572.85</v>
      </c>
      <c r="O352" s="3" t="n">
        <v>0.3884</v>
      </c>
      <c r="P352" s="3" t="n">
        <v>0.407</v>
      </c>
      <c r="Q352" s="3" t="n">
        <v>509828.94</v>
      </c>
      <c r="R352" s="3" t="n">
        <v>53</v>
      </c>
      <c r="S352" s="3" t="n">
        <v>8</v>
      </c>
      <c r="T352" s="3" t="n">
        <v>5.9</v>
      </c>
      <c r="U352" s="3"/>
      <c r="V352" s="3" t="n">
        <v>7.42</v>
      </c>
      <c r="W352" s="3" t="s">
        <v>5997</v>
      </c>
    </row>
    <row r="353" customFormat="false" ht="15" hidden="false" customHeight="true" outlineLevel="0" collapsed="false">
      <c r="A353" s="3" t="s">
        <v>6404</v>
      </c>
      <c r="B353" s="3" t="s">
        <v>1116</v>
      </c>
      <c r="C353" s="3" t="s">
        <v>4282</v>
      </c>
      <c r="D353" s="3" t="s">
        <v>61</v>
      </c>
      <c r="E353" s="3" t="s">
        <v>33</v>
      </c>
      <c r="F353" s="3" t="s">
        <v>62</v>
      </c>
      <c r="G353" s="3" t="s">
        <v>116</v>
      </c>
      <c r="H353" s="3" t="s">
        <v>27</v>
      </c>
      <c r="I353" s="3" t="s">
        <v>50</v>
      </c>
      <c r="J353" s="3" t="s">
        <v>6003</v>
      </c>
      <c r="K353" s="3" t="n">
        <v>4540714.94</v>
      </c>
      <c r="L353" s="3" t="n">
        <v>0.1586</v>
      </c>
      <c r="M353" s="3" t="n">
        <v>3820557.55</v>
      </c>
      <c r="N353" s="3" t="n">
        <v>1172895.96</v>
      </c>
      <c r="O353" s="3" t="n">
        <v>0.307</v>
      </c>
      <c r="P353" s="3" t="n">
        <v>0.076</v>
      </c>
      <c r="Q353" s="3" t="n">
        <v>290362.37</v>
      </c>
      <c r="R353" s="3" t="n">
        <v>38</v>
      </c>
      <c r="S353" s="3" t="n">
        <v>7.8</v>
      </c>
      <c r="T353" s="3" t="n">
        <v>6.5</v>
      </c>
      <c r="U353" s="3"/>
      <c r="V353" s="3" t="n">
        <v>6.03</v>
      </c>
      <c r="W353" s="3" t="s">
        <v>5990</v>
      </c>
    </row>
    <row r="354" customFormat="false" ht="15" hidden="false" customHeight="true" outlineLevel="0" collapsed="false">
      <c r="A354" s="3" t="s">
        <v>6405</v>
      </c>
      <c r="B354" s="3" t="s">
        <v>1426</v>
      </c>
      <c r="C354" s="3" t="s">
        <v>1626</v>
      </c>
      <c r="D354" s="3" t="s">
        <v>54</v>
      </c>
      <c r="E354" s="3" t="s">
        <v>24</v>
      </c>
      <c r="F354" s="3" t="s">
        <v>40</v>
      </c>
      <c r="G354" s="3" t="s">
        <v>63</v>
      </c>
      <c r="H354" s="3" t="s">
        <v>27</v>
      </c>
      <c r="I354" s="3" t="s">
        <v>28</v>
      </c>
      <c r="J354" s="3" t="s">
        <v>6003</v>
      </c>
      <c r="K354" s="3" t="n">
        <v>4292186.53</v>
      </c>
      <c r="L354" s="3" t="n">
        <v>0.2909</v>
      </c>
      <c r="M354" s="3" t="n">
        <v>3043589.47</v>
      </c>
      <c r="N354" s="3" t="n">
        <v>1454581.61</v>
      </c>
      <c r="O354" s="3" t="n">
        <v>0.4779</v>
      </c>
      <c r="P354" s="3" t="n">
        <v>0.069</v>
      </c>
      <c r="Q354" s="3" t="n">
        <v>210007.67</v>
      </c>
      <c r="R354" s="3" t="n">
        <v>141</v>
      </c>
      <c r="S354" s="3" t="n">
        <v>3.9</v>
      </c>
      <c r="T354" s="3" t="n">
        <v>2.9</v>
      </c>
      <c r="U354" s="3"/>
      <c r="V354" s="3" t="n">
        <v>5.62</v>
      </c>
      <c r="W354" s="3" t="s">
        <v>5990</v>
      </c>
    </row>
    <row r="355" customFormat="false" ht="15" hidden="false" customHeight="true" outlineLevel="0" collapsed="false">
      <c r="A355" s="3" t="s">
        <v>6406</v>
      </c>
      <c r="B355" s="3" t="s">
        <v>1492</v>
      </c>
      <c r="C355" s="3" t="s">
        <v>792</v>
      </c>
      <c r="D355" s="3" t="s">
        <v>97</v>
      </c>
      <c r="E355" s="3" t="s">
        <v>48</v>
      </c>
      <c r="F355" s="3" t="s">
        <v>40</v>
      </c>
      <c r="G355" s="3" t="s">
        <v>34</v>
      </c>
      <c r="H355" s="3" t="s">
        <v>27</v>
      </c>
      <c r="I355" s="3" t="s">
        <v>173</v>
      </c>
      <c r="J355" s="3" t="s">
        <v>5999</v>
      </c>
      <c r="K355" s="3" t="n">
        <v>418189.61</v>
      </c>
      <c r="L355" s="3" t="n">
        <v>0.0864</v>
      </c>
      <c r="M355" s="3" t="n">
        <v>382058.03</v>
      </c>
      <c r="N355" s="3" t="n">
        <v>149865.2</v>
      </c>
      <c r="O355" s="3" t="n">
        <v>0.3923</v>
      </c>
      <c r="P355" s="3" t="n">
        <v>0.455</v>
      </c>
      <c r="Q355" s="3" t="n">
        <v>173836.4</v>
      </c>
      <c r="R355" s="3" t="n">
        <v>22</v>
      </c>
      <c r="S355" s="3" t="n">
        <v>9.9</v>
      </c>
      <c r="T355" s="3" t="n">
        <v>3.9</v>
      </c>
      <c r="U355" s="3"/>
      <c r="V355" s="3" t="n">
        <v>8.21</v>
      </c>
      <c r="W355" s="3" t="s">
        <v>5997</v>
      </c>
    </row>
    <row r="356" customFormat="false" ht="15" hidden="false" customHeight="true" outlineLevel="0" collapsed="false">
      <c r="A356" s="3" t="s">
        <v>6407</v>
      </c>
      <c r="B356" s="3" t="s">
        <v>4404</v>
      </c>
      <c r="C356" s="3" t="s">
        <v>4992</v>
      </c>
      <c r="D356" s="3" t="s">
        <v>97</v>
      </c>
      <c r="E356" s="3" t="s">
        <v>48</v>
      </c>
      <c r="F356" s="3" t="s">
        <v>40</v>
      </c>
      <c r="G356" s="3" t="s">
        <v>104</v>
      </c>
      <c r="H356" s="3" t="s">
        <v>64</v>
      </c>
      <c r="I356" s="3" t="s">
        <v>145</v>
      </c>
      <c r="J356" s="3" t="s">
        <v>5992</v>
      </c>
      <c r="K356" s="3" t="n">
        <v>2212930.8</v>
      </c>
      <c r="L356" s="3" t="n">
        <v>0.2478</v>
      </c>
      <c r="M356" s="3" t="n">
        <v>1664566.55</v>
      </c>
      <c r="N356" s="3" t="n">
        <v>552739.5</v>
      </c>
      <c r="O356" s="3" t="n">
        <v>0.3321</v>
      </c>
      <c r="P356" s="3" t="n">
        <v>0.663</v>
      </c>
      <c r="Q356" s="3" t="n">
        <v>1103607.62</v>
      </c>
      <c r="R356" s="3" t="n">
        <v>165</v>
      </c>
      <c r="S356" s="3" t="n">
        <v>7.9</v>
      </c>
      <c r="T356" s="3" t="n">
        <v>3.1</v>
      </c>
      <c r="U356" s="3"/>
      <c r="V356" s="3" t="n">
        <v>6.03</v>
      </c>
      <c r="W356" s="3" t="s">
        <v>5990</v>
      </c>
    </row>
    <row r="357" customFormat="false" ht="15" hidden="false" customHeight="true" outlineLevel="0" collapsed="false">
      <c r="A357" s="3" t="s">
        <v>6408</v>
      </c>
      <c r="B357" s="3" t="s">
        <v>1174</v>
      </c>
      <c r="C357" s="3" t="s">
        <v>1084</v>
      </c>
      <c r="D357" s="3" t="s">
        <v>69</v>
      </c>
      <c r="E357" s="3" t="s">
        <v>39</v>
      </c>
      <c r="F357" s="3" t="s">
        <v>70</v>
      </c>
      <c r="G357" s="3" t="s">
        <v>116</v>
      </c>
      <c r="H357" s="3" t="s">
        <v>77</v>
      </c>
      <c r="I357" s="3" t="s">
        <v>131</v>
      </c>
      <c r="J357" s="3" t="s">
        <v>5996</v>
      </c>
      <c r="K357" s="3" t="n">
        <v>4617640.69</v>
      </c>
      <c r="L357" s="3" t="n">
        <v>0.1956</v>
      </c>
      <c r="M357" s="3" t="n">
        <v>3714430.17</v>
      </c>
      <c r="N357" s="3" t="n">
        <v>1296419.28</v>
      </c>
      <c r="O357" s="3" t="n">
        <v>0.349</v>
      </c>
      <c r="P357" s="3" t="n">
        <v>1</v>
      </c>
      <c r="Q357" s="3" t="n">
        <v>3714430.17</v>
      </c>
      <c r="R357" s="3" t="n">
        <v>74</v>
      </c>
      <c r="S357" s="3" t="n">
        <v>8.5</v>
      </c>
      <c r="T357" s="3" t="n">
        <v>6.3</v>
      </c>
      <c r="U357" s="3"/>
      <c r="V357" s="3" t="n">
        <v>6.29</v>
      </c>
      <c r="W357" s="3" t="s">
        <v>5990</v>
      </c>
    </row>
    <row r="358" customFormat="false" ht="15" hidden="false" customHeight="true" outlineLevel="0" collapsed="false">
      <c r="A358" s="3" t="s">
        <v>6409</v>
      </c>
      <c r="B358" s="3" t="s">
        <v>2414</v>
      </c>
      <c r="C358" s="3" t="s">
        <v>6410</v>
      </c>
      <c r="D358" s="3" t="s">
        <v>61</v>
      </c>
      <c r="E358" s="3" t="s">
        <v>33</v>
      </c>
      <c r="F358" s="3" t="s">
        <v>62</v>
      </c>
      <c r="G358" s="3" t="s">
        <v>104</v>
      </c>
      <c r="H358" s="3" t="s">
        <v>42</v>
      </c>
      <c r="I358" s="3" t="s">
        <v>43</v>
      </c>
      <c r="J358" s="3" t="s">
        <v>5996</v>
      </c>
      <c r="K358" s="3" t="n">
        <v>3075227.25</v>
      </c>
      <c r="L358" s="3" t="n">
        <v>0.1763</v>
      </c>
      <c r="M358" s="3" t="n">
        <v>2533064.69</v>
      </c>
      <c r="N358" s="3" t="n">
        <v>1132411.2</v>
      </c>
      <c r="O358" s="3" t="n">
        <v>0.4471</v>
      </c>
      <c r="P358" s="3" t="n">
        <v>1</v>
      </c>
      <c r="Q358" s="3" t="n">
        <v>2533064.69</v>
      </c>
      <c r="R358" s="3" t="n">
        <v>129</v>
      </c>
      <c r="S358" s="3" t="n">
        <v>2</v>
      </c>
      <c r="T358" s="3" t="n">
        <v>8.1</v>
      </c>
      <c r="U358" s="3"/>
      <c r="V358" s="3" t="n">
        <v>5.28</v>
      </c>
      <c r="W358" s="3" t="s">
        <v>5990</v>
      </c>
    </row>
    <row r="359" customFormat="false" ht="15" hidden="false" customHeight="true" outlineLevel="0" collapsed="false">
      <c r="A359" s="3" t="s">
        <v>6411</v>
      </c>
      <c r="B359" s="3" t="s">
        <v>281</v>
      </c>
      <c r="C359" s="3" t="s">
        <v>3027</v>
      </c>
      <c r="D359" s="3" t="s">
        <v>75</v>
      </c>
      <c r="E359" s="3" t="s">
        <v>39</v>
      </c>
      <c r="F359" s="3" t="s">
        <v>25</v>
      </c>
      <c r="G359" s="3" t="s">
        <v>76</v>
      </c>
      <c r="H359" s="3" t="s">
        <v>64</v>
      </c>
      <c r="I359" s="3" t="s">
        <v>90</v>
      </c>
      <c r="J359" s="3" t="s">
        <v>5996</v>
      </c>
      <c r="K359" s="3" t="n">
        <v>1710383.23</v>
      </c>
      <c r="L359" s="3" t="n">
        <v>0.1978</v>
      </c>
      <c r="M359" s="3" t="n">
        <v>1372069.43</v>
      </c>
      <c r="N359" s="3" t="n">
        <v>410563.25</v>
      </c>
      <c r="O359" s="3" t="n">
        <v>0.2992</v>
      </c>
      <c r="P359" s="3" t="n">
        <v>1</v>
      </c>
      <c r="Q359" s="3" t="n">
        <v>1372069.43</v>
      </c>
      <c r="R359" s="3" t="n">
        <v>52</v>
      </c>
      <c r="S359" s="3" t="n">
        <v>3.4</v>
      </c>
      <c r="T359" s="3" t="n">
        <v>2.7</v>
      </c>
      <c r="U359" s="3"/>
      <c r="V359" s="3" t="n">
        <v>5.1</v>
      </c>
      <c r="W359" s="3" t="s">
        <v>5990</v>
      </c>
    </row>
    <row r="360" customFormat="false" ht="15" hidden="false" customHeight="true" outlineLevel="0" collapsed="false">
      <c r="A360" s="3" t="s">
        <v>6412</v>
      </c>
      <c r="B360" s="3" t="s">
        <v>1304</v>
      </c>
      <c r="C360" s="3" t="s">
        <v>6413</v>
      </c>
      <c r="D360" s="3" t="s">
        <v>97</v>
      </c>
      <c r="E360" s="3" t="s">
        <v>48</v>
      </c>
      <c r="F360" s="3" t="s">
        <v>40</v>
      </c>
      <c r="G360" s="3" t="s">
        <v>41</v>
      </c>
      <c r="H360" s="3" t="s">
        <v>42</v>
      </c>
      <c r="I360" s="3" t="s">
        <v>43</v>
      </c>
      <c r="J360" s="3" t="s">
        <v>5999</v>
      </c>
      <c r="K360" s="3" t="n">
        <v>1339964.42</v>
      </c>
      <c r="L360" s="3" t="n">
        <v>0.0934</v>
      </c>
      <c r="M360" s="3" t="n">
        <v>1214811.74</v>
      </c>
      <c r="N360" s="3" t="n">
        <v>524106.49</v>
      </c>
      <c r="O360" s="3" t="n">
        <v>0.4314</v>
      </c>
      <c r="P360" s="3" t="n">
        <v>0.463</v>
      </c>
      <c r="Q360" s="3" t="n">
        <v>562457.84</v>
      </c>
      <c r="R360" s="3" t="n">
        <v>124</v>
      </c>
      <c r="S360" s="3" t="n">
        <v>8.7</v>
      </c>
      <c r="T360" s="3" t="n">
        <v>8.6</v>
      </c>
      <c r="U360" s="3"/>
      <c r="V360" s="3" t="n">
        <v>7.47</v>
      </c>
      <c r="W360" s="3" t="s">
        <v>5997</v>
      </c>
    </row>
    <row r="361" customFormat="false" ht="15" hidden="false" customHeight="true" outlineLevel="0" collapsed="false">
      <c r="A361" s="3" t="s">
        <v>6414</v>
      </c>
      <c r="B361" s="3" t="s">
        <v>2613</v>
      </c>
      <c r="C361" s="3" t="s">
        <v>2011</v>
      </c>
      <c r="D361" s="3" t="s">
        <v>54</v>
      </c>
      <c r="E361" s="3" t="s">
        <v>24</v>
      </c>
      <c r="F361" s="3" t="s">
        <v>40</v>
      </c>
      <c r="G361" s="3" t="s">
        <v>116</v>
      </c>
      <c r="H361" s="3" t="s">
        <v>56</v>
      </c>
      <c r="I361" s="3" t="s">
        <v>188</v>
      </c>
      <c r="J361" s="3" t="s">
        <v>6003</v>
      </c>
      <c r="K361" s="3" t="n">
        <v>396846.75</v>
      </c>
      <c r="L361" s="3" t="n">
        <v>0.2415</v>
      </c>
      <c r="M361" s="3" t="n">
        <v>301008.26</v>
      </c>
      <c r="N361" s="3" t="n">
        <v>110438.35</v>
      </c>
      <c r="O361" s="3" t="n">
        <v>0.3669</v>
      </c>
      <c r="P361" s="3" t="n">
        <v>0.065</v>
      </c>
      <c r="Q361" s="3" t="n">
        <v>19565.54</v>
      </c>
      <c r="R361" s="3" t="n">
        <v>133</v>
      </c>
      <c r="S361" s="3" t="n">
        <v>3.4</v>
      </c>
      <c r="T361" s="3" t="n">
        <v>1.2</v>
      </c>
      <c r="U361" s="3"/>
      <c r="V361" s="3" t="n">
        <v>5.51</v>
      </c>
      <c r="W361" s="3" t="s">
        <v>5990</v>
      </c>
    </row>
    <row r="362" customFormat="false" ht="15" hidden="false" customHeight="true" outlineLevel="0" collapsed="false">
      <c r="A362" s="3" t="s">
        <v>6415</v>
      </c>
      <c r="B362" s="3" t="s">
        <v>1095</v>
      </c>
      <c r="C362" s="3" t="s">
        <v>1974</v>
      </c>
      <c r="D362" s="3" t="s">
        <v>47</v>
      </c>
      <c r="E362" s="3" t="s">
        <v>48</v>
      </c>
      <c r="F362" s="3" t="s">
        <v>25</v>
      </c>
      <c r="G362" s="3" t="s">
        <v>84</v>
      </c>
      <c r="H362" s="3" t="s">
        <v>77</v>
      </c>
      <c r="I362" s="3" t="s">
        <v>78</v>
      </c>
      <c r="J362" s="3" t="s">
        <v>5992</v>
      </c>
      <c r="K362" s="3" t="n">
        <v>1206218.67</v>
      </c>
      <c r="L362" s="3" t="n">
        <v>0.1464</v>
      </c>
      <c r="M362" s="3" t="n">
        <v>1029628.26</v>
      </c>
      <c r="N362" s="3" t="n">
        <v>399748.68</v>
      </c>
      <c r="O362" s="3" t="n">
        <v>0.3882</v>
      </c>
      <c r="P362" s="3" t="n">
        <v>0.699</v>
      </c>
      <c r="Q362" s="3" t="n">
        <v>719710.15</v>
      </c>
      <c r="R362" s="3" t="n">
        <v>16</v>
      </c>
      <c r="S362" s="3" t="n">
        <v>5.6</v>
      </c>
      <c r="T362" s="3" t="n">
        <v>9</v>
      </c>
      <c r="U362" s="3"/>
      <c r="V362" s="3" t="n">
        <v>5.84</v>
      </c>
      <c r="W362" s="3" t="s">
        <v>5990</v>
      </c>
    </row>
    <row r="363" customFormat="false" ht="15" hidden="false" customHeight="true" outlineLevel="0" collapsed="false">
      <c r="A363" s="3" t="s">
        <v>6416</v>
      </c>
      <c r="B363" s="3" t="s">
        <v>500</v>
      </c>
      <c r="C363" s="3" t="s">
        <v>1564</v>
      </c>
      <c r="D363" s="3" t="s">
        <v>54</v>
      </c>
      <c r="E363" s="3" t="s">
        <v>24</v>
      </c>
      <c r="F363" s="3" t="s">
        <v>40</v>
      </c>
      <c r="G363" s="3" t="s">
        <v>55</v>
      </c>
      <c r="H363" s="3" t="s">
        <v>27</v>
      </c>
      <c r="I363" s="3" t="s">
        <v>94</v>
      </c>
      <c r="J363" s="3" t="s">
        <v>5996</v>
      </c>
      <c r="K363" s="3" t="n">
        <v>3183615.19</v>
      </c>
      <c r="L363" s="3" t="n">
        <v>0.0708</v>
      </c>
      <c r="M363" s="3" t="n">
        <v>2958215.23</v>
      </c>
      <c r="N363" s="3" t="n">
        <v>1008978.93</v>
      </c>
      <c r="O363" s="3" t="n">
        <v>0.3411</v>
      </c>
      <c r="P363" s="3" t="n">
        <v>1</v>
      </c>
      <c r="Q363" s="3" t="n">
        <v>2958215.23</v>
      </c>
      <c r="R363" s="3" t="n">
        <v>62</v>
      </c>
      <c r="S363" s="3" t="n">
        <v>1.9</v>
      </c>
      <c r="T363" s="3" t="n">
        <v>4.2</v>
      </c>
      <c r="U363" s="3"/>
      <c r="V363" s="3" t="n">
        <v>5.9</v>
      </c>
      <c r="W363" s="3" t="s">
        <v>5990</v>
      </c>
    </row>
    <row r="364" customFormat="false" ht="15" hidden="false" customHeight="true" outlineLevel="0" collapsed="false">
      <c r="A364" s="3" t="s">
        <v>6417</v>
      </c>
      <c r="B364" s="3" t="s">
        <v>1522</v>
      </c>
      <c r="C364" s="3" t="s">
        <v>6418</v>
      </c>
      <c r="D364" s="3" t="s">
        <v>38</v>
      </c>
      <c r="E364" s="3" t="s">
        <v>39</v>
      </c>
      <c r="F364" s="3" t="s">
        <v>40</v>
      </c>
      <c r="G364" s="3" t="s">
        <v>100</v>
      </c>
      <c r="H364" s="3" t="s">
        <v>64</v>
      </c>
      <c r="I364" s="3" t="s">
        <v>65</v>
      </c>
      <c r="J364" s="3" t="s">
        <v>5989</v>
      </c>
      <c r="K364" s="3" t="n">
        <v>1282289.27</v>
      </c>
      <c r="L364" s="3" t="n">
        <v>0.1581</v>
      </c>
      <c r="M364" s="3" t="n">
        <v>1079559.34</v>
      </c>
      <c r="N364" s="3" t="n">
        <v>500074.2</v>
      </c>
      <c r="O364" s="3" t="n">
        <v>0.4632</v>
      </c>
      <c r="P364" s="3" t="n">
        <v>0.264</v>
      </c>
      <c r="Q364" s="3" t="n">
        <v>285003.67</v>
      </c>
      <c r="R364" s="3" t="n">
        <v>113</v>
      </c>
      <c r="S364" s="3" t="n">
        <v>1.1</v>
      </c>
      <c r="T364" s="3" t="n">
        <v>5</v>
      </c>
      <c r="U364" s="3"/>
      <c r="V364" s="3" t="n">
        <v>5.7</v>
      </c>
      <c r="W364" s="3" t="s">
        <v>5990</v>
      </c>
    </row>
    <row r="365" customFormat="false" ht="15" hidden="false" customHeight="true" outlineLevel="0" collapsed="false">
      <c r="A365" s="3" t="s">
        <v>6419</v>
      </c>
      <c r="B365" s="3" t="s">
        <v>496</v>
      </c>
      <c r="C365" s="3" t="s">
        <v>2979</v>
      </c>
      <c r="D365" s="3" t="s">
        <v>75</v>
      </c>
      <c r="E365" s="3" t="s">
        <v>39</v>
      </c>
      <c r="F365" s="3" t="s">
        <v>25</v>
      </c>
      <c r="G365" s="3" t="s">
        <v>26</v>
      </c>
      <c r="H365" s="3" t="s">
        <v>56</v>
      </c>
      <c r="I365" s="3" t="s">
        <v>57</v>
      </c>
      <c r="J365" s="3" t="s">
        <v>6003</v>
      </c>
      <c r="K365" s="3" t="n">
        <v>745098.18</v>
      </c>
      <c r="L365" s="3" t="n">
        <v>0.2111</v>
      </c>
      <c r="M365" s="3" t="n">
        <v>587807.95</v>
      </c>
      <c r="N365" s="3" t="n">
        <v>179414.48</v>
      </c>
      <c r="O365" s="3" t="n">
        <v>0.3052</v>
      </c>
      <c r="P365" s="3" t="n">
        <v>0.142</v>
      </c>
      <c r="Q365" s="3" t="n">
        <v>83468.73</v>
      </c>
      <c r="R365" s="3" t="n">
        <v>157</v>
      </c>
      <c r="S365" s="3" t="n">
        <v>4.8</v>
      </c>
      <c r="T365" s="3" t="n">
        <v>6.3</v>
      </c>
      <c r="U365" s="3"/>
      <c r="V365" s="3" t="n">
        <v>4.88</v>
      </c>
      <c r="W365" s="3" t="s">
        <v>6000</v>
      </c>
    </row>
    <row r="366" customFormat="false" ht="15" hidden="false" customHeight="true" outlineLevel="0" collapsed="false">
      <c r="A366" s="3" t="s">
        <v>6420</v>
      </c>
      <c r="B366" s="3" t="s">
        <v>2146</v>
      </c>
      <c r="C366" s="3" t="s">
        <v>2542</v>
      </c>
      <c r="D366" s="3" t="s">
        <v>61</v>
      </c>
      <c r="E366" s="3" t="s">
        <v>33</v>
      </c>
      <c r="F366" s="3" t="s">
        <v>62</v>
      </c>
      <c r="G366" s="3" t="s">
        <v>100</v>
      </c>
      <c r="H366" s="3" t="s">
        <v>27</v>
      </c>
      <c r="I366" s="3" t="s">
        <v>28</v>
      </c>
      <c r="J366" s="3" t="s">
        <v>5989</v>
      </c>
      <c r="K366" s="3" t="n">
        <v>3383370.24</v>
      </c>
      <c r="L366" s="3" t="n">
        <v>0.2062</v>
      </c>
      <c r="M366" s="3" t="n">
        <v>2685719.3</v>
      </c>
      <c r="N366" s="3" t="n">
        <v>890431.83</v>
      </c>
      <c r="O366" s="3" t="n">
        <v>0.3315</v>
      </c>
      <c r="P366" s="3" t="n">
        <v>0.239</v>
      </c>
      <c r="Q366" s="3" t="n">
        <v>641886.91</v>
      </c>
      <c r="R366" s="3" t="n">
        <v>136</v>
      </c>
      <c r="S366" s="3" t="n">
        <v>5.4</v>
      </c>
      <c r="T366" s="3" t="n">
        <v>7.8</v>
      </c>
      <c r="U366" s="3"/>
      <c r="V366" s="3" t="n">
        <v>5.04</v>
      </c>
      <c r="W366" s="3" t="s">
        <v>5990</v>
      </c>
    </row>
    <row r="367" customFormat="false" ht="15" hidden="false" customHeight="true" outlineLevel="0" collapsed="false">
      <c r="A367" s="3" t="s">
        <v>6421</v>
      </c>
      <c r="B367" s="3" t="s">
        <v>2544</v>
      </c>
      <c r="C367" s="3" t="s">
        <v>1964</v>
      </c>
      <c r="D367" s="3" t="s">
        <v>32</v>
      </c>
      <c r="E367" s="3" t="s">
        <v>33</v>
      </c>
      <c r="F367" s="3" t="s">
        <v>25</v>
      </c>
      <c r="G367" s="3" t="s">
        <v>34</v>
      </c>
      <c r="H367" s="3" t="s">
        <v>56</v>
      </c>
      <c r="I367" s="3" t="s">
        <v>57</v>
      </c>
      <c r="J367" s="3" t="s">
        <v>5996</v>
      </c>
      <c r="K367" s="3" t="n">
        <v>1073577.06</v>
      </c>
      <c r="L367" s="3" t="n">
        <v>0.2541</v>
      </c>
      <c r="M367" s="3" t="n">
        <v>800781.13</v>
      </c>
      <c r="N367" s="3" t="n">
        <v>288997.54</v>
      </c>
      <c r="O367" s="3" t="n">
        <v>0.3609</v>
      </c>
      <c r="P367" s="3" t="n">
        <v>0.989</v>
      </c>
      <c r="Q367" s="3" t="n">
        <v>791972.54</v>
      </c>
      <c r="R367" s="3" t="n">
        <v>25</v>
      </c>
      <c r="S367" s="3" t="n">
        <v>7.3</v>
      </c>
      <c r="T367" s="3" t="n">
        <v>6.8</v>
      </c>
      <c r="U367" s="3"/>
      <c r="V367" s="3" t="n">
        <v>5.48</v>
      </c>
      <c r="W367" s="3" t="s">
        <v>5990</v>
      </c>
    </row>
    <row r="368" customFormat="false" ht="15" hidden="false" customHeight="true" outlineLevel="0" collapsed="false">
      <c r="A368" s="3" t="s">
        <v>6422</v>
      </c>
      <c r="B368" s="3" t="s">
        <v>539</v>
      </c>
      <c r="C368" s="3" t="s">
        <v>763</v>
      </c>
      <c r="D368" s="3" t="s">
        <v>83</v>
      </c>
      <c r="E368" s="3" t="s">
        <v>48</v>
      </c>
      <c r="F368" s="3" t="s">
        <v>62</v>
      </c>
      <c r="G368" s="3" t="s">
        <v>26</v>
      </c>
      <c r="H368" s="3" t="s">
        <v>77</v>
      </c>
      <c r="I368" s="3" t="s">
        <v>131</v>
      </c>
      <c r="J368" s="3" t="s">
        <v>5999</v>
      </c>
      <c r="K368" s="3" t="n">
        <v>148011.31</v>
      </c>
      <c r="L368" s="3" t="n">
        <v>0.2114</v>
      </c>
      <c r="M368" s="3" t="n">
        <v>116721.72</v>
      </c>
      <c r="N368" s="3" t="n">
        <v>40885.16</v>
      </c>
      <c r="O368" s="3" t="n">
        <v>0.3503</v>
      </c>
      <c r="P368" s="3" t="n">
        <v>0.468</v>
      </c>
      <c r="Q368" s="3" t="n">
        <v>54625.76</v>
      </c>
      <c r="R368" s="3" t="n">
        <v>26</v>
      </c>
      <c r="S368" s="3" t="n">
        <v>1.5</v>
      </c>
      <c r="T368" s="3" t="n">
        <v>3</v>
      </c>
      <c r="U368" s="3"/>
      <c r="V368" s="3" t="n">
        <v>4.91</v>
      </c>
      <c r="W368" s="3" t="s">
        <v>6000</v>
      </c>
    </row>
    <row r="369" customFormat="false" ht="15" hidden="false" customHeight="true" outlineLevel="0" collapsed="false">
      <c r="A369" s="3" t="s">
        <v>6423</v>
      </c>
      <c r="B369" s="3" t="s">
        <v>1150</v>
      </c>
      <c r="C369" s="3" t="s">
        <v>160</v>
      </c>
      <c r="D369" s="3" t="s">
        <v>47</v>
      </c>
      <c r="E369" s="3" t="s">
        <v>48</v>
      </c>
      <c r="F369" s="3" t="s">
        <v>25</v>
      </c>
      <c r="G369" s="3" t="s">
        <v>49</v>
      </c>
      <c r="H369" s="3" t="s">
        <v>56</v>
      </c>
      <c r="I369" s="3" t="s">
        <v>188</v>
      </c>
      <c r="J369" s="3" t="s">
        <v>6003</v>
      </c>
      <c r="K369" s="3" t="n">
        <v>3563021.27</v>
      </c>
      <c r="L369" s="3" t="n">
        <v>0.2404</v>
      </c>
      <c r="M369" s="3" t="n">
        <v>2706470.96</v>
      </c>
      <c r="N369" s="3" t="n">
        <v>850128.89</v>
      </c>
      <c r="O369" s="3" t="n">
        <v>0.3141</v>
      </c>
      <c r="P369" s="3" t="n">
        <v>0.139</v>
      </c>
      <c r="Q369" s="3" t="n">
        <v>376199.46</v>
      </c>
      <c r="R369" s="3" t="n">
        <v>108</v>
      </c>
      <c r="S369" s="3" t="n">
        <v>9.4</v>
      </c>
      <c r="T369" s="3" t="n">
        <v>3.8</v>
      </c>
      <c r="U369" s="3"/>
      <c r="V369" s="3" t="n">
        <v>6.23</v>
      </c>
      <c r="W369" s="3" t="s">
        <v>5990</v>
      </c>
    </row>
    <row r="370" customFormat="false" ht="15" hidden="false" customHeight="true" outlineLevel="0" collapsed="false">
      <c r="A370" s="3" t="s">
        <v>6424</v>
      </c>
      <c r="B370" s="3" t="s">
        <v>3685</v>
      </c>
      <c r="C370" s="3" t="s">
        <v>4398</v>
      </c>
      <c r="D370" s="3" t="s">
        <v>61</v>
      </c>
      <c r="E370" s="3" t="s">
        <v>33</v>
      </c>
      <c r="F370" s="3" t="s">
        <v>62</v>
      </c>
      <c r="G370" s="3" t="s">
        <v>26</v>
      </c>
      <c r="H370" s="3" t="s">
        <v>56</v>
      </c>
      <c r="I370" s="3" t="s">
        <v>121</v>
      </c>
      <c r="J370" s="3" t="s">
        <v>5989</v>
      </c>
      <c r="K370" s="3" t="n">
        <v>384270.8</v>
      </c>
      <c r="L370" s="3" t="n">
        <v>0.0817</v>
      </c>
      <c r="M370" s="3" t="n">
        <v>352875.88</v>
      </c>
      <c r="N370" s="3" t="n">
        <v>154476.18</v>
      </c>
      <c r="O370" s="3" t="n">
        <v>0.4378</v>
      </c>
      <c r="P370" s="3" t="n">
        <v>0.205</v>
      </c>
      <c r="Q370" s="3" t="n">
        <v>72339.56</v>
      </c>
      <c r="R370" s="3" t="n">
        <v>114</v>
      </c>
      <c r="S370" s="3" t="n">
        <v>1.1</v>
      </c>
      <c r="T370" s="3" t="n">
        <v>2.6</v>
      </c>
      <c r="U370" s="3"/>
      <c r="V370" s="3" t="n">
        <v>6.61</v>
      </c>
      <c r="W370" s="3" t="s">
        <v>5997</v>
      </c>
    </row>
    <row r="371" customFormat="false" ht="15" hidden="false" customHeight="true" outlineLevel="0" collapsed="false">
      <c r="A371" s="3" t="s">
        <v>6425</v>
      </c>
      <c r="B371" s="3" t="s">
        <v>3738</v>
      </c>
      <c r="C371" s="3" t="s">
        <v>125</v>
      </c>
      <c r="D371" s="3" t="s">
        <v>23</v>
      </c>
      <c r="E371" s="3" t="s">
        <v>24</v>
      </c>
      <c r="F371" s="3" t="s">
        <v>25</v>
      </c>
      <c r="G371" s="3" t="s">
        <v>104</v>
      </c>
      <c r="H371" s="3" t="s">
        <v>56</v>
      </c>
      <c r="I371" s="3" t="s">
        <v>121</v>
      </c>
      <c r="J371" s="3" t="s">
        <v>5999</v>
      </c>
      <c r="K371" s="3" t="n">
        <v>506450.56</v>
      </c>
      <c r="L371" s="3" t="n">
        <v>0.0794</v>
      </c>
      <c r="M371" s="3" t="n">
        <v>466238.39</v>
      </c>
      <c r="N371" s="3" t="n">
        <v>165015.94</v>
      </c>
      <c r="O371" s="3" t="n">
        <v>0.3539</v>
      </c>
      <c r="P371" s="3" t="n">
        <v>0.461</v>
      </c>
      <c r="Q371" s="3" t="n">
        <v>214935.9</v>
      </c>
      <c r="R371" s="3" t="n">
        <v>93</v>
      </c>
      <c r="S371" s="3" t="n">
        <v>5.8</v>
      </c>
      <c r="T371" s="3" t="n">
        <v>4.7</v>
      </c>
      <c r="U371" s="3"/>
      <c r="V371" s="3" t="n">
        <v>6.86</v>
      </c>
      <c r="W371" s="3" t="s">
        <v>5997</v>
      </c>
    </row>
    <row r="372" customFormat="false" ht="15" hidden="false" customHeight="true" outlineLevel="0" collapsed="false">
      <c r="A372" s="3" t="s">
        <v>6426</v>
      </c>
      <c r="B372" s="3" t="s">
        <v>366</v>
      </c>
      <c r="C372" s="3" t="s">
        <v>1855</v>
      </c>
      <c r="D372" s="3" t="s">
        <v>107</v>
      </c>
      <c r="E372" s="3" t="s">
        <v>33</v>
      </c>
      <c r="F372" s="3" t="s">
        <v>70</v>
      </c>
      <c r="G372" s="3" t="s">
        <v>104</v>
      </c>
      <c r="H372" s="3" t="s">
        <v>42</v>
      </c>
      <c r="I372" s="3" t="s">
        <v>72</v>
      </c>
      <c r="J372" s="3" t="s">
        <v>5989</v>
      </c>
      <c r="K372" s="3" t="n">
        <v>4196047.31</v>
      </c>
      <c r="L372" s="3" t="n">
        <v>0.0734</v>
      </c>
      <c r="M372" s="3" t="n">
        <v>3888057.44</v>
      </c>
      <c r="N372" s="3" t="n">
        <v>1522215.25</v>
      </c>
      <c r="O372" s="3" t="n">
        <v>0.3915</v>
      </c>
      <c r="P372" s="3" t="n">
        <v>0.297</v>
      </c>
      <c r="Q372" s="3" t="n">
        <v>1154753.06</v>
      </c>
      <c r="R372" s="3" t="n">
        <v>37</v>
      </c>
      <c r="S372" s="3" t="n">
        <v>7.9</v>
      </c>
      <c r="T372" s="3" t="n">
        <v>4.9</v>
      </c>
      <c r="U372" s="3"/>
      <c r="V372" s="3" t="n">
        <v>7.68</v>
      </c>
      <c r="W372" s="3" t="s">
        <v>5997</v>
      </c>
    </row>
    <row r="373" customFormat="false" ht="15" hidden="false" customHeight="true" outlineLevel="0" collapsed="false">
      <c r="A373" s="3" t="s">
        <v>6427</v>
      </c>
      <c r="B373" s="3" t="s">
        <v>539</v>
      </c>
      <c r="C373" s="3" t="s">
        <v>1191</v>
      </c>
      <c r="D373" s="3" t="s">
        <v>103</v>
      </c>
      <c r="E373" s="3" t="s">
        <v>24</v>
      </c>
      <c r="F373" s="3" t="s">
        <v>62</v>
      </c>
      <c r="G373" s="3" t="s">
        <v>26</v>
      </c>
      <c r="H373" s="3" t="s">
        <v>42</v>
      </c>
      <c r="I373" s="3" t="s">
        <v>43</v>
      </c>
      <c r="J373" s="3" t="s">
        <v>6009</v>
      </c>
      <c r="K373" s="3" t="n">
        <v>3961545.74</v>
      </c>
      <c r="L373" s="3" t="n">
        <v>0.1198</v>
      </c>
      <c r="M373" s="3" t="n">
        <v>3486952.56</v>
      </c>
      <c r="N373" s="3" t="n">
        <v>1097882.4</v>
      </c>
      <c r="O373" s="3" t="n">
        <v>0.3149</v>
      </c>
      <c r="P373" s="3" t="n">
        <v>0.037</v>
      </c>
      <c r="Q373" s="3" t="n">
        <v>129017.24</v>
      </c>
      <c r="R373" s="3" t="n">
        <v>178</v>
      </c>
      <c r="S373" s="3" t="n">
        <v>7.6</v>
      </c>
      <c r="T373" s="3" t="n">
        <v>1.9</v>
      </c>
      <c r="U373" s="3" t="s">
        <v>6020</v>
      </c>
      <c r="V373" s="3" t="n">
        <v>7.06</v>
      </c>
      <c r="W373" s="3" t="s">
        <v>5997</v>
      </c>
    </row>
    <row r="374" customFormat="false" ht="15" hidden="false" customHeight="true" outlineLevel="0" collapsed="false">
      <c r="A374" s="3" t="s">
        <v>6428</v>
      </c>
      <c r="B374" s="3" t="s">
        <v>1086</v>
      </c>
      <c r="C374" s="3" t="s">
        <v>3434</v>
      </c>
      <c r="D374" s="3" t="s">
        <v>103</v>
      </c>
      <c r="E374" s="3" t="s">
        <v>24</v>
      </c>
      <c r="F374" s="3" t="s">
        <v>62</v>
      </c>
      <c r="G374" s="3" t="s">
        <v>55</v>
      </c>
      <c r="H374" s="3" t="s">
        <v>64</v>
      </c>
      <c r="I374" s="3" t="s">
        <v>108</v>
      </c>
      <c r="J374" s="3" t="s">
        <v>5999</v>
      </c>
      <c r="K374" s="3" t="n">
        <v>3595131.42</v>
      </c>
      <c r="L374" s="3" t="n">
        <v>0.1119</v>
      </c>
      <c r="M374" s="3" t="n">
        <v>3192836.21</v>
      </c>
      <c r="N374" s="3" t="n">
        <v>1175635.59</v>
      </c>
      <c r="O374" s="3" t="n">
        <v>0.3682</v>
      </c>
      <c r="P374" s="3" t="n">
        <v>0.495</v>
      </c>
      <c r="Q374" s="3" t="n">
        <v>1580453.92</v>
      </c>
      <c r="R374" s="3" t="n">
        <v>64</v>
      </c>
      <c r="S374" s="3" t="n">
        <v>1.5</v>
      </c>
      <c r="T374" s="3" t="n">
        <v>4.8</v>
      </c>
      <c r="U374" s="3"/>
      <c r="V374" s="3" t="n">
        <v>5.6</v>
      </c>
      <c r="W374" s="3" t="s">
        <v>5990</v>
      </c>
    </row>
    <row r="375" customFormat="false" ht="15" hidden="false" customHeight="true" outlineLevel="0" collapsed="false">
      <c r="A375" s="3" t="s">
        <v>6429</v>
      </c>
      <c r="B375" s="3" t="s">
        <v>993</v>
      </c>
      <c r="C375" s="3" t="s">
        <v>1430</v>
      </c>
      <c r="D375" s="3" t="s">
        <v>54</v>
      </c>
      <c r="E375" s="3" t="s">
        <v>24</v>
      </c>
      <c r="F375" s="3" t="s">
        <v>40</v>
      </c>
      <c r="G375" s="3" t="s">
        <v>84</v>
      </c>
      <c r="H375" s="3" t="s">
        <v>56</v>
      </c>
      <c r="I375" s="3" t="s">
        <v>57</v>
      </c>
      <c r="J375" s="3" t="s">
        <v>5996</v>
      </c>
      <c r="K375" s="3" t="n">
        <v>4418322.5</v>
      </c>
      <c r="L375" s="3" t="n">
        <v>0.168</v>
      </c>
      <c r="M375" s="3" t="n">
        <v>3676044.32</v>
      </c>
      <c r="N375" s="3" t="n">
        <v>1494515.28</v>
      </c>
      <c r="O375" s="3" t="n">
        <v>0.4066</v>
      </c>
      <c r="P375" s="3" t="n">
        <v>1</v>
      </c>
      <c r="Q375" s="3" t="n">
        <v>3676044.32</v>
      </c>
      <c r="R375" s="3" t="n">
        <v>97</v>
      </c>
      <c r="S375" s="3" t="n">
        <v>9</v>
      </c>
      <c r="T375" s="3" t="n">
        <v>3.2</v>
      </c>
      <c r="U375" s="3"/>
      <c r="V375" s="3" t="n">
        <v>7.52</v>
      </c>
      <c r="W375" s="3" t="s">
        <v>5997</v>
      </c>
    </row>
    <row r="376" customFormat="false" ht="15" hidden="false" customHeight="true" outlineLevel="0" collapsed="false">
      <c r="A376" s="3" t="s">
        <v>6430</v>
      </c>
      <c r="B376" s="3" t="s">
        <v>765</v>
      </c>
      <c r="C376" s="3" t="s">
        <v>235</v>
      </c>
      <c r="D376" s="3" t="s">
        <v>23</v>
      </c>
      <c r="E376" s="3" t="s">
        <v>24</v>
      </c>
      <c r="F376" s="3" t="s">
        <v>25</v>
      </c>
      <c r="G376" s="3" t="s">
        <v>34</v>
      </c>
      <c r="H376" s="3" t="s">
        <v>77</v>
      </c>
      <c r="I376" s="3" t="s">
        <v>78</v>
      </c>
      <c r="J376" s="3" t="s">
        <v>5992</v>
      </c>
      <c r="K376" s="3" t="n">
        <v>726316.59</v>
      </c>
      <c r="L376" s="3" t="n">
        <v>0.0503</v>
      </c>
      <c r="M376" s="3" t="n">
        <v>689782.87</v>
      </c>
      <c r="N376" s="3" t="n">
        <v>316658.12</v>
      </c>
      <c r="O376" s="3" t="n">
        <v>0.4591</v>
      </c>
      <c r="P376" s="3" t="n">
        <v>0.705</v>
      </c>
      <c r="Q376" s="3" t="n">
        <v>486296.92</v>
      </c>
      <c r="R376" s="3" t="n">
        <v>131</v>
      </c>
      <c r="S376" s="3" t="n">
        <v>7.9</v>
      </c>
      <c r="T376" s="3" t="n">
        <v>7.4</v>
      </c>
      <c r="U376" s="3"/>
      <c r="V376" s="3" t="n">
        <v>7.94</v>
      </c>
      <c r="W376" s="3" t="s">
        <v>5997</v>
      </c>
    </row>
    <row r="377" customFormat="false" ht="15" hidden="false" customHeight="true" outlineLevel="0" collapsed="false">
      <c r="A377" s="3" t="s">
        <v>6431</v>
      </c>
      <c r="B377" s="3" t="s">
        <v>807</v>
      </c>
      <c r="C377" s="3" t="s">
        <v>1038</v>
      </c>
      <c r="D377" s="3" t="s">
        <v>69</v>
      </c>
      <c r="E377" s="3" t="s">
        <v>39</v>
      </c>
      <c r="F377" s="3" t="s">
        <v>70</v>
      </c>
      <c r="G377" s="3" t="s">
        <v>116</v>
      </c>
      <c r="H377" s="3" t="s">
        <v>77</v>
      </c>
      <c r="I377" s="3" t="s">
        <v>85</v>
      </c>
      <c r="J377" s="3" t="s">
        <v>5996</v>
      </c>
      <c r="K377" s="3" t="n">
        <v>622597.57</v>
      </c>
      <c r="L377" s="3" t="n">
        <v>0.1123</v>
      </c>
      <c r="M377" s="3" t="n">
        <v>552679.86</v>
      </c>
      <c r="N377" s="3" t="n">
        <v>249445.77</v>
      </c>
      <c r="O377" s="3" t="n">
        <v>0.4513</v>
      </c>
      <c r="P377" s="3" t="n">
        <v>0.965</v>
      </c>
      <c r="Q377" s="3" t="n">
        <v>533336.06</v>
      </c>
      <c r="R377" s="3" t="n">
        <v>142</v>
      </c>
      <c r="S377" s="3" t="n">
        <v>3.2</v>
      </c>
      <c r="T377" s="3" t="n">
        <v>9.2</v>
      </c>
      <c r="U377" s="3"/>
      <c r="V377" s="3" t="n">
        <v>6</v>
      </c>
      <c r="W377" s="3" t="s">
        <v>5990</v>
      </c>
    </row>
    <row r="378" customFormat="false" ht="15" hidden="false" customHeight="true" outlineLevel="0" collapsed="false">
      <c r="A378" s="3" t="s">
        <v>6432</v>
      </c>
      <c r="B378" s="3" t="s">
        <v>1324</v>
      </c>
      <c r="C378" s="3" t="s">
        <v>3196</v>
      </c>
      <c r="D378" s="3" t="s">
        <v>47</v>
      </c>
      <c r="E378" s="3" t="s">
        <v>48</v>
      </c>
      <c r="F378" s="3" t="s">
        <v>25</v>
      </c>
      <c r="G378" s="3" t="s">
        <v>71</v>
      </c>
      <c r="H378" s="3" t="s">
        <v>27</v>
      </c>
      <c r="I378" s="3" t="s">
        <v>94</v>
      </c>
      <c r="J378" s="3" t="s">
        <v>5992</v>
      </c>
      <c r="K378" s="3" t="n">
        <v>2905174.57</v>
      </c>
      <c r="L378" s="3" t="n">
        <v>0.1369</v>
      </c>
      <c r="M378" s="3" t="n">
        <v>2507456.17</v>
      </c>
      <c r="N378" s="3" t="n">
        <v>850381.71</v>
      </c>
      <c r="O378" s="3" t="n">
        <v>0.3391</v>
      </c>
      <c r="P378" s="3" t="n">
        <v>0.661</v>
      </c>
      <c r="Q378" s="3" t="n">
        <v>1657428.53</v>
      </c>
      <c r="R378" s="3" t="n">
        <v>104</v>
      </c>
      <c r="S378" s="3" t="n">
        <v>4.6</v>
      </c>
      <c r="T378" s="3" t="n">
        <v>1.8</v>
      </c>
      <c r="U378" s="3"/>
      <c r="V378" s="3" t="n">
        <v>6.35</v>
      </c>
      <c r="W378" s="3" t="s">
        <v>5990</v>
      </c>
    </row>
    <row r="379" customFormat="false" ht="15" hidden="false" customHeight="true" outlineLevel="0" collapsed="false">
      <c r="A379" s="3" t="s">
        <v>6433</v>
      </c>
      <c r="B379" s="3" t="s">
        <v>424</v>
      </c>
      <c r="C379" s="3" t="s">
        <v>3648</v>
      </c>
      <c r="D379" s="3" t="s">
        <v>32</v>
      </c>
      <c r="E379" s="3" t="s">
        <v>33</v>
      </c>
      <c r="F379" s="3" t="s">
        <v>25</v>
      </c>
      <c r="G379" s="3" t="s">
        <v>76</v>
      </c>
      <c r="H379" s="3" t="s">
        <v>77</v>
      </c>
      <c r="I379" s="3" t="s">
        <v>78</v>
      </c>
      <c r="J379" s="3" t="s">
        <v>5999</v>
      </c>
      <c r="K379" s="3" t="n">
        <v>4484188.05</v>
      </c>
      <c r="L379" s="3" t="n">
        <v>0.062</v>
      </c>
      <c r="M379" s="3" t="n">
        <v>4206168.39</v>
      </c>
      <c r="N379" s="3" t="n">
        <v>1831041.8</v>
      </c>
      <c r="O379" s="3" t="n">
        <v>0.4353</v>
      </c>
      <c r="P379" s="3" t="n">
        <v>0.474</v>
      </c>
      <c r="Q379" s="3" t="n">
        <v>1993723.82</v>
      </c>
      <c r="R379" s="3" t="n">
        <v>87</v>
      </c>
      <c r="S379" s="3" t="n">
        <v>7.4</v>
      </c>
      <c r="T379" s="3" t="n">
        <v>9</v>
      </c>
      <c r="U379" s="3"/>
      <c r="V379" s="3" t="n">
        <v>7.37</v>
      </c>
      <c r="W379" s="3" t="s">
        <v>5997</v>
      </c>
    </row>
    <row r="380" customFormat="false" ht="15" hidden="false" customHeight="true" outlineLevel="0" collapsed="false">
      <c r="A380" s="3" t="s">
        <v>6434</v>
      </c>
      <c r="B380" s="3" t="s">
        <v>3165</v>
      </c>
      <c r="C380" s="3" t="s">
        <v>1465</v>
      </c>
      <c r="D380" s="3" t="s">
        <v>97</v>
      </c>
      <c r="E380" s="3" t="s">
        <v>48</v>
      </c>
      <c r="F380" s="3" t="s">
        <v>40</v>
      </c>
      <c r="G380" s="3" t="s">
        <v>71</v>
      </c>
      <c r="H380" s="3" t="s">
        <v>27</v>
      </c>
      <c r="I380" s="3" t="s">
        <v>173</v>
      </c>
      <c r="J380" s="3" t="s">
        <v>5989</v>
      </c>
      <c r="K380" s="3" t="n">
        <v>3462840.11</v>
      </c>
      <c r="L380" s="3" t="n">
        <v>0.2963</v>
      </c>
      <c r="M380" s="3" t="n">
        <v>2436800.59</v>
      </c>
      <c r="N380" s="3" t="n">
        <v>833474.57</v>
      </c>
      <c r="O380" s="3" t="n">
        <v>0.342</v>
      </c>
      <c r="P380" s="3" t="n">
        <v>0.243</v>
      </c>
      <c r="Q380" s="3" t="n">
        <v>592142.54</v>
      </c>
      <c r="R380" s="3" t="n">
        <v>47</v>
      </c>
      <c r="S380" s="3" t="n">
        <v>1.2</v>
      </c>
      <c r="T380" s="3" t="n">
        <v>3.4</v>
      </c>
      <c r="U380" s="3"/>
      <c r="V380" s="3" t="n">
        <v>3.97</v>
      </c>
      <c r="W380" s="3" t="s">
        <v>6000</v>
      </c>
    </row>
    <row r="381" customFormat="false" ht="15" hidden="false" customHeight="true" outlineLevel="0" collapsed="false">
      <c r="A381" s="3" t="s">
        <v>6435</v>
      </c>
      <c r="B381" s="3" t="s">
        <v>4157</v>
      </c>
      <c r="C381" s="3" t="s">
        <v>1952</v>
      </c>
      <c r="D381" s="3" t="s">
        <v>23</v>
      </c>
      <c r="E381" s="3" t="s">
        <v>24</v>
      </c>
      <c r="F381" s="3" t="s">
        <v>25</v>
      </c>
      <c r="G381" s="3" t="s">
        <v>26</v>
      </c>
      <c r="H381" s="3" t="s">
        <v>27</v>
      </c>
      <c r="I381" s="3" t="s">
        <v>117</v>
      </c>
      <c r="J381" s="3" t="s">
        <v>5999</v>
      </c>
      <c r="K381" s="3" t="n">
        <v>3741047.53</v>
      </c>
      <c r="L381" s="3" t="n">
        <v>0.095</v>
      </c>
      <c r="M381" s="3" t="n">
        <v>3385648.01</v>
      </c>
      <c r="N381" s="3" t="n">
        <v>1185186.72</v>
      </c>
      <c r="O381" s="3" t="n">
        <v>0.3501</v>
      </c>
      <c r="P381" s="3" t="n">
        <v>0.472</v>
      </c>
      <c r="Q381" s="3" t="n">
        <v>1598025.86</v>
      </c>
      <c r="R381" s="3" t="n">
        <v>105</v>
      </c>
      <c r="S381" s="3" t="n">
        <v>6.3</v>
      </c>
      <c r="T381" s="3" t="n">
        <v>9.1</v>
      </c>
      <c r="U381" s="3"/>
      <c r="V381" s="3" t="n">
        <v>6.14</v>
      </c>
      <c r="W381" s="3" t="s">
        <v>5990</v>
      </c>
    </row>
    <row r="382" customFormat="false" ht="15" hidden="false" customHeight="true" outlineLevel="0" collapsed="false">
      <c r="A382" s="3" t="s">
        <v>6436</v>
      </c>
      <c r="B382" s="3" t="s">
        <v>2414</v>
      </c>
      <c r="C382" s="3" t="s">
        <v>6437</v>
      </c>
      <c r="D382" s="3" t="s">
        <v>97</v>
      </c>
      <c r="E382" s="3" t="s">
        <v>48</v>
      </c>
      <c r="F382" s="3" t="s">
        <v>40</v>
      </c>
      <c r="G382" s="3" t="s">
        <v>49</v>
      </c>
      <c r="H382" s="3" t="s">
        <v>56</v>
      </c>
      <c r="I382" s="3" t="s">
        <v>121</v>
      </c>
      <c r="J382" s="3" t="s">
        <v>5999</v>
      </c>
      <c r="K382" s="3" t="n">
        <v>2560355.73</v>
      </c>
      <c r="L382" s="3" t="n">
        <v>0.1502</v>
      </c>
      <c r="M382" s="3" t="n">
        <v>2175790.3</v>
      </c>
      <c r="N382" s="3" t="n">
        <v>935513.47</v>
      </c>
      <c r="O382" s="3" t="n">
        <v>0.43</v>
      </c>
      <c r="P382" s="3" t="n">
        <v>0.49</v>
      </c>
      <c r="Q382" s="3" t="n">
        <v>1066137.25</v>
      </c>
      <c r="R382" s="3" t="n">
        <v>161</v>
      </c>
      <c r="S382" s="3" t="n">
        <v>8.6</v>
      </c>
      <c r="T382" s="3" t="n">
        <v>7</v>
      </c>
      <c r="U382" s="3"/>
      <c r="V382" s="3" t="n">
        <v>7.21</v>
      </c>
      <c r="W382" s="3" t="s">
        <v>5997</v>
      </c>
    </row>
    <row r="383" customFormat="false" ht="15" hidden="false" customHeight="true" outlineLevel="0" collapsed="false">
      <c r="A383" s="3" t="s">
        <v>6438</v>
      </c>
      <c r="B383" s="3" t="s">
        <v>398</v>
      </c>
      <c r="C383" s="3" t="s">
        <v>4110</v>
      </c>
      <c r="D383" s="3" t="s">
        <v>83</v>
      </c>
      <c r="E383" s="3" t="s">
        <v>48</v>
      </c>
      <c r="F383" s="3" t="s">
        <v>62</v>
      </c>
      <c r="G383" s="3" t="s">
        <v>34</v>
      </c>
      <c r="H383" s="3" t="s">
        <v>42</v>
      </c>
      <c r="I383" s="3" t="s">
        <v>134</v>
      </c>
      <c r="J383" s="3" t="s">
        <v>5996</v>
      </c>
      <c r="K383" s="3" t="n">
        <v>4818777.52</v>
      </c>
      <c r="L383" s="3" t="n">
        <v>0.1831</v>
      </c>
      <c r="M383" s="3" t="n">
        <v>3936459.36</v>
      </c>
      <c r="N383" s="3" t="n">
        <v>1750759.71</v>
      </c>
      <c r="O383" s="3" t="n">
        <v>0.4448</v>
      </c>
      <c r="P383" s="3" t="n">
        <v>1</v>
      </c>
      <c r="Q383" s="3" t="n">
        <v>3936459.36</v>
      </c>
      <c r="R383" s="3" t="n">
        <v>89</v>
      </c>
      <c r="S383" s="3" t="n">
        <v>4.7</v>
      </c>
      <c r="T383" s="3" t="n">
        <v>8.1</v>
      </c>
      <c r="U383" s="3"/>
      <c r="V383" s="3" t="n">
        <v>5.9</v>
      </c>
      <c r="W383" s="3" t="s">
        <v>5990</v>
      </c>
    </row>
    <row r="384" customFormat="false" ht="15" hidden="false" customHeight="true" outlineLevel="0" collapsed="false">
      <c r="A384" s="3" t="s">
        <v>6439</v>
      </c>
      <c r="B384" s="3" t="s">
        <v>1193</v>
      </c>
      <c r="C384" s="3" t="s">
        <v>539</v>
      </c>
      <c r="D384" s="3" t="s">
        <v>54</v>
      </c>
      <c r="E384" s="3" t="s">
        <v>24</v>
      </c>
      <c r="F384" s="3" t="s">
        <v>40</v>
      </c>
      <c r="G384" s="3" t="s">
        <v>34</v>
      </c>
      <c r="H384" s="3" t="s">
        <v>42</v>
      </c>
      <c r="I384" s="3" t="s">
        <v>134</v>
      </c>
      <c r="J384" s="3" t="s">
        <v>5996</v>
      </c>
      <c r="K384" s="3" t="n">
        <v>4243761.71</v>
      </c>
      <c r="L384" s="3" t="n">
        <v>0.2174</v>
      </c>
      <c r="M384" s="3" t="n">
        <v>3321167.91</v>
      </c>
      <c r="N384" s="3" t="n">
        <v>1083862.38</v>
      </c>
      <c r="O384" s="3" t="n">
        <v>0.3263</v>
      </c>
      <c r="P384" s="3" t="n">
        <v>1</v>
      </c>
      <c r="Q384" s="3" t="n">
        <v>3321167.91</v>
      </c>
      <c r="R384" s="3" t="n">
        <v>110</v>
      </c>
      <c r="S384" s="3" t="n">
        <v>6.8</v>
      </c>
      <c r="T384" s="3" t="n">
        <v>6.6</v>
      </c>
      <c r="U384" s="3"/>
      <c r="V384" s="3" t="n">
        <v>5.46</v>
      </c>
      <c r="W384" s="3" t="s">
        <v>5990</v>
      </c>
    </row>
    <row r="385" customFormat="false" ht="15" hidden="false" customHeight="true" outlineLevel="0" collapsed="false">
      <c r="A385" s="3" t="s">
        <v>6440</v>
      </c>
      <c r="B385" s="3" t="s">
        <v>1626</v>
      </c>
      <c r="C385" s="3" t="s">
        <v>3838</v>
      </c>
      <c r="D385" s="3" t="s">
        <v>32</v>
      </c>
      <c r="E385" s="3" t="s">
        <v>33</v>
      </c>
      <c r="F385" s="3" t="s">
        <v>25</v>
      </c>
      <c r="G385" s="3" t="s">
        <v>84</v>
      </c>
      <c r="H385" s="3" t="s">
        <v>56</v>
      </c>
      <c r="I385" s="3" t="s">
        <v>57</v>
      </c>
      <c r="J385" s="3" t="s">
        <v>5999</v>
      </c>
      <c r="K385" s="3" t="n">
        <v>3900674.34</v>
      </c>
      <c r="L385" s="3" t="n">
        <v>0.167</v>
      </c>
      <c r="M385" s="3" t="n">
        <v>3249261.73</v>
      </c>
      <c r="N385" s="3" t="n">
        <v>1360816.62</v>
      </c>
      <c r="O385" s="3" t="n">
        <v>0.4188</v>
      </c>
      <c r="P385" s="3" t="n">
        <v>0.41</v>
      </c>
      <c r="Q385" s="3" t="n">
        <v>1332197.31</v>
      </c>
      <c r="R385" s="3" t="n">
        <v>69</v>
      </c>
      <c r="S385" s="3" t="n">
        <v>7.4</v>
      </c>
      <c r="T385" s="3" t="n">
        <v>6.9</v>
      </c>
      <c r="U385" s="3"/>
      <c r="V385" s="3" t="n">
        <v>6.67</v>
      </c>
      <c r="W385" s="3" t="s">
        <v>5997</v>
      </c>
    </row>
    <row r="386" customFormat="false" ht="15" hidden="false" customHeight="true" outlineLevel="0" collapsed="false">
      <c r="A386" s="3" t="s">
        <v>6441</v>
      </c>
      <c r="B386" s="3" t="s">
        <v>370</v>
      </c>
      <c r="C386" s="3" t="s">
        <v>3368</v>
      </c>
      <c r="D386" s="3" t="s">
        <v>75</v>
      </c>
      <c r="E386" s="3" t="s">
        <v>39</v>
      </c>
      <c r="F386" s="3" t="s">
        <v>25</v>
      </c>
      <c r="G386" s="3" t="s">
        <v>104</v>
      </c>
      <c r="H386" s="3" t="s">
        <v>56</v>
      </c>
      <c r="I386" s="3" t="s">
        <v>188</v>
      </c>
      <c r="J386" s="3" t="s">
        <v>5989</v>
      </c>
      <c r="K386" s="3" t="n">
        <v>4665804.16</v>
      </c>
      <c r="L386" s="3" t="n">
        <v>0.0915</v>
      </c>
      <c r="M386" s="3" t="n">
        <v>4238883.08</v>
      </c>
      <c r="N386" s="3" t="n">
        <v>1621625.47</v>
      </c>
      <c r="O386" s="3" t="n">
        <v>0.3826</v>
      </c>
      <c r="P386" s="3" t="n">
        <v>0.285</v>
      </c>
      <c r="Q386" s="3" t="n">
        <v>1208081.68</v>
      </c>
      <c r="R386" s="3" t="n">
        <v>54</v>
      </c>
      <c r="S386" s="3" t="n">
        <v>3.7</v>
      </c>
      <c r="T386" s="3" t="n">
        <v>7.5</v>
      </c>
      <c r="U386" s="3"/>
      <c r="V386" s="3" t="n">
        <v>6.02</v>
      </c>
      <c r="W386" s="3" t="s">
        <v>5990</v>
      </c>
    </row>
    <row r="387" customFormat="false" ht="15" hidden="false" customHeight="true" outlineLevel="0" collapsed="false">
      <c r="A387" s="3" t="s">
        <v>6442</v>
      </c>
      <c r="B387" s="3" t="s">
        <v>5062</v>
      </c>
      <c r="C387" s="3" t="s">
        <v>2584</v>
      </c>
      <c r="D387" s="3" t="s">
        <v>23</v>
      </c>
      <c r="E387" s="3" t="s">
        <v>24</v>
      </c>
      <c r="F387" s="3" t="s">
        <v>25</v>
      </c>
      <c r="G387" s="3" t="s">
        <v>116</v>
      </c>
      <c r="H387" s="3" t="s">
        <v>27</v>
      </c>
      <c r="I387" s="3" t="s">
        <v>50</v>
      </c>
      <c r="J387" s="3" t="s">
        <v>5996</v>
      </c>
      <c r="K387" s="3" t="n">
        <v>4492579.94</v>
      </c>
      <c r="L387" s="3" t="n">
        <v>0.0899</v>
      </c>
      <c r="M387" s="3" t="n">
        <v>4088697</v>
      </c>
      <c r="N387" s="3" t="n">
        <v>1344777.33</v>
      </c>
      <c r="O387" s="3" t="n">
        <v>0.3289</v>
      </c>
      <c r="P387" s="3" t="n">
        <v>0.99</v>
      </c>
      <c r="Q387" s="3" t="n">
        <v>4047810.03</v>
      </c>
      <c r="R387" s="3" t="n">
        <v>139</v>
      </c>
      <c r="S387" s="3" t="n">
        <v>1</v>
      </c>
      <c r="T387" s="3" t="n">
        <v>5.7</v>
      </c>
      <c r="U387" s="3"/>
      <c r="V387" s="3" t="n">
        <v>5.2</v>
      </c>
      <c r="W387" s="3" t="s">
        <v>5990</v>
      </c>
    </row>
    <row r="388" customFormat="false" ht="15" hidden="false" customHeight="true" outlineLevel="0" collapsed="false">
      <c r="A388" s="3" t="s">
        <v>6443</v>
      </c>
      <c r="B388" s="3" t="s">
        <v>1619</v>
      </c>
      <c r="C388" s="3" t="s">
        <v>6444</v>
      </c>
      <c r="D388" s="3" t="s">
        <v>38</v>
      </c>
      <c r="E388" s="3" t="s">
        <v>39</v>
      </c>
      <c r="F388" s="3" t="s">
        <v>40</v>
      </c>
      <c r="G388" s="3" t="s">
        <v>116</v>
      </c>
      <c r="H388" s="3" t="s">
        <v>77</v>
      </c>
      <c r="I388" s="3" t="s">
        <v>131</v>
      </c>
      <c r="J388" s="3" t="s">
        <v>6003</v>
      </c>
      <c r="K388" s="3" t="n">
        <v>4729861.69</v>
      </c>
      <c r="L388" s="3" t="n">
        <v>0.1568</v>
      </c>
      <c r="M388" s="3" t="n">
        <v>3988219.38</v>
      </c>
      <c r="N388" s="3" t="n">
        <v>1661218.96</v>
      </c>
      <c r="O388" s="3" t="n">
        <v>0.4165</v>
      </c>
      <c r="P388" s="3" t="n">
        <v>0.1</v>
      </c>
      <c r="Q388" s="3" t="n">
        <v>398821.94</v>
      </c>
      <c r="R388" s="3" t="n">
        <v>128</v>
      </c>
      <c r="S388" s="3" t="n">
        <v>2.4</v>
      </c>
      <c r="T388" s="3" t="n">
        <v>3.8</v>
      </c>
      <c r="U388" s="3"/>
      <c r="V388" s="3" t="n">
        <v>5.98</v>
      </c>
      <c r="W388" s="3" t="s">
        <v>5990</v>
      </c>
    </row>
    <row r="389" customFormat="false" ht="15" hidden="false" customHeight="true" outlineLevel="0" collapsed="false">
      <c r="A389" s="3" t="s">
        <v>6445</v>
      </c>
      <c r="B389" s="3" t="s">
        <v>2050</v>
      </c>
      <c r="C389" s="3" t="s">
        <v>1551</v>
      </c>
      <c r="D389" s="3" t="s">
        <v>97</v>
      </c>
      <c r="E389" s="3" t="s">
        <v>48</v>
      </c>
      <c r="F389" s="3" t="s">
        <v>40</v>
      </c>
      <c r="G389" s="3" t="s">
        <v>49</v>
      </c>
      <c r="H389" s="3" t="s">
        <v>42</v>
      </c>
      <c r="I389" s="3" t="s">
        <v>134</v>
      </c>
      <c r="J389" s="3" t="s">
        <v>5992</v>
      </c>
      <c r="K389" s="3" t="n">
        <v>3789531.57</v>
      </c>
      <c r="L389" s="3" t="n">
        <v>0.1046</v>
      </c>
      <c r="M389" s="3" t="n">
        <v>3393146.57</v>
      </c>
      <c r="N389" s="3" t="n">
        <v>1073600.95</v>
      </c>
      <c r="O389" s="3" t="n">
        <v>0.3164</v>
      </c>
      <c r="P389" s="3" t="n">
        <v>0.742</v>
      </c>
      <c r="Q389" s="3" t="n">
        <v>2517714.75</v>
      </c>
      <c r="R389" s="3" t="n">
        <v>177</v>
      </c>
      <c r="S389" s="3" t="n">
        <v>6.7</v>
      </c>
      <c r="T389" s="3" t="n">
        <v>3.7</v>
      </c>
      <c r="U389" s="3"/>
      <c r="V389" s="3" t="n">
        <v>6.69</v>
      </c>
      <c r="W389" s="3" t="s">
        <v>5997</v>
      </c>
    </row>
    <row r="390" customFormat="false" ht="15" hidden="false" customHeight="true" outlineLevel="0" collapsed="false">
      <c r="A390" s="3" t="s">
        <v>6446</v>
      </c>
      <c r="B390" s="3" t="s">
        <v>1357</v>
      </c>
      <c r="C390" s="3" t="s">
        <v>1447</v>
      </c>
      <c r="D390" s="3" t="s">
        <v>54</v>
      </c>
      <c r="E390" s="3" t="s">
        <v>24</v>
      </c>
      <c r="F390" s="3" t="s">
        <v>40</v>
      </c>
      <c r="G390" s="3" t="s">
        <v>26</v>
      </c>
      <c r="H390" s="3" t="s">
        <v>42</v>
      </c>
      <c r="I390" s="3" t="s">
        <v>43</v>
      </c>
      <c r="J390" s="3" t="s">
        <v>5989</v>
      </c>
      <c r="K390" s="3" t="n">
        <v>2892593.35</v>
      </c>
      <c r="L390" s="3" t="n">
        <v>0.1499</v>
      </c>
      <c r="M390" s="3" t="n">
        <v>2458993.61</v>
      </c>
      <c r="N390" s="3" t="n">
        <v>921136.32</v>
      </c>
      <c r="O390" s="3" t="n">
        <v>0.3746</v>
      </c>
      <c r="P390" s="3" t="n">
        <v>0.238</v>
      </c>
      <c r="Q390" s="3" t="n">
        <v>585240.48</v>
      </c>
      <c r="R390" s="3" t="n">
        <v>78</v>
      </c>
      <c r="S390" s="3" t="n">
        <v>9.5</v>
      </c>
      <c r="T390" s="3" t="n">
        <v>4.5</v>
      </c>
      <c r="U390" s="3"/>
      <c r="V390" s="3" t="n">
        <v>7.36</v>
      </c>
      <c r="W390" s="3" t="s">
        <v>5997</v>
      </c>
    </row>
    <row r="391" customFormat="false" ht="15" hidden="false" customHeight="true" outlineLevel="0" collapsed="false">
      <c r="A391" s="3" t="s">
        <v>6447</v>
      </c>
      <c r="B391" s="3" t="s">
        <v>67</v>
      </c>
      <c r="C391" s="3" t="s">
        <v>6448</v>
      </c>
      <c r="D391" s="3" t="s">
        <v>32</v>
      </c>
      <c r="E391" s="3" t="s">
        <v>33</v>
      </c>
      <c r="F391" s="3" t="s">
        <v>25</v>
      </c>
      <c r="G391" s="3" t="s">
        <v>76</v>
      </c>
      <c r="H391" s="3" t="s">
        <v>56</v>
      </c>
      <c r="I391" s="3" t="s">
        <v>188</v>
      </c>
      <c r="J391" s="3" t="s">
        <v>5989</v>
      </c>
      <c r="K391" s="3" t="n">
        <v>2678735.6</v>
      </c>
      <c r="L391" s="3" t="n">
        <v>0.2991</v>
      </c>
      <c r="M391" s="3" t="n">
        <v>1877525.78</v>
      </c>
      <c r="N391" s="3" t="n">
        <v>849600.7</v>
      </c>
      <c r="O391" s="3" t="n">
        <v>0.4525</v>
      </c>
      <c r="P391" s="3" t="n">
        <v>0.279</v>
      </c>
      <c r="Q391" s="3" t="n">
        <v>523829.69</v>
      </c>
      <c r="R391" s="3" t="n">
        <v>117</v>
      </c>
      <c r="S391" s="3" t="n">
        <v>9.9</v>
      </c>
      <c r="T391" s="3" t="n">
        <v>2.6</v>
      </c>
      <c r="U391" s="3"/>
      <c r="V391" s="3" t="n">
        <v>7.08</v>
      </c>
      <c r="W391" s="3" t="s">
        <v>5997</v>
      </c>
    </row>
    <row r="392" customFormat="false" ht="15" hidden="false" customHeight="true" outlineLevel="0" collapsed="false">
      <c r="A392" s="3" t="s">
        <v>6449</v>
      </c>
      <c r="B392" s="3" t="s">
        <v>561</v>
      </c>
      <c r="C392" s="3" t="s">
        <v>1502</v>
      </c>
      <c r="D392" s="3" t="s">
        <v>107</v>
      </c>
      <c r="E392" s="3" t="s">
        <v>33</v>
      </c>
      <c r="F392" s="3" t="s">
        <v>70</v>
      </c>
      <c r="G392" s="3" t="s">
        <v>49</v>
      </c>
      <c r="H392" s="3" t="s">
        <v>64</v>
      </c>
      <c r="I392" s="3" t="s">
        <v>65</v>
      </c>
      <c r="J392" s="3" t="s">
        <v>5996</v>
      </c>
      <c r="K392" s="3" t="n">
        <v>1046946.03</v>
      </c>
      <c r="L392" s="3" t="n">
        <v>0.1698</v>
      </c>
      <c r="M392" s="3" t="n">
        <v>869174.59</v>
      </c>
      <c r="N392" s="3" t="n">
        <v>336145.34</v>
      </c>
      <c r="O392" s="3" t="n">
        <v>0.3867</v>
      </c>
      <c r="P392" s="3" t="n">
        <v>1</v>
      </c>
      <c r="Q392" s="3" t="n">
        <v>869174.59</v>
      </c>
      <c r="R392" s="3" t="n">
        <v>40</v>
      </c>
      <c r="S392" s="3" t="n">
        <v>8.2</v>
      </c>
      <c r="T392" s="3" t="n">
        <v>7.3</v>
      </c>
      <c r="U392" s="3"/>
      <c r="V392" s="3" t="n">
        <v>6.54</v>
      </c>
      <c r="W392" s="3" t="s">
        <v>5997</v>
      </c>
    </row>
    <row r="393" customFormat="false" ht="15" hidden="false" customHeight="true" outlineLevel="0" collapsed="false">
      <c r="A393" s="3" t="s">
        <v>6450</v>
      </c>
      <c r="B393" s="3" t="s">
        <v>6126</v>
      </c>
      <c r="C393" s="3" t="s">
        <v>1102</v>
      </c>
      <c r="D393" s="3" t="s">
        <v>97</v>
      </c>
      <c r="E393" s="3" t="s">
        <v>48</v>
      </c>
      <c r="F393" s="3" t="s">
        <v>40</v>
      </c>
      <c r="G393" s="3" t="s">
        <v>63</v>
      </c>
      <c r="H393" s="3" t="s">
        <v>77</v>
      </c>
      <c r="I393" s="3" t="s">
        <v>85</v>
      </c>
      <c r="J393" s="3" t="s">
        <v>6009</v>
      </c>
      <c r="K393" s="3" t="n">
        <v>424728.51</v>
      </c>
      <c r="L393" s="3" t="n">
        <v>0.0655</v>
      </c>
      <c r="M393" s="3" t="n">
        <v>396908.79</v>
      </c>
      <c r="N393" s="3" t="n">
        <v>134092.71</v>
      </c>
      <c r="O393" s="3" t="n">
        <v>0.3378</v>
      </c>
      <c r="P393" s="3" t="n">
        <v>0.041</v>
      </c>
      <c r="Q393" s="3" t="n">
        <v>16273.26</v>
      </c>
      <c r="R393" s="3" t="n">
        <v>71</v>
      </c>
      <c r="S393" s="3" t="n">
        <v>3.1</v>
      </c>
      <c r="T393" s="3" t="n">
        <v>10</v>
      </c>
      <c r="U393" s="3" t="s">
        <v>6010</v>
      </c>
      <c r="V393" s="3" t="n">
        <v>5.35</v>
      </c>
      <c r="W393" s="3" t="s">
        <v>5990</v>
      </c>
    </row>
    <row r="394" customFormat="false" ht="15" hidden="false" customHeight="true" outlineLevel="0" collapsed="false">
      <c r="A394" s="3" t="s">
        <v>6451</v>
      </c>
      <c r="B394" s="3" t="s">
        <v>4282</v>
      </c>
      <c r="C394" s="3" t="s">
        <v>223</v>
      </c>
      <c r="D394" s="3" t="s">
        <v>61</v>
      </c>
      <c r="E394" s="3" t="s">
        <v>33</v>
      </c>
      <c r="F394" s="3" t="s">
        <v>62</v>
      </c>
      <c r="G394" s="3" t="s">
        <v>55</v>
      </c>
      <c r="H394" s="3" t="s">
        <v>64</v>
      </c>
      <c r="I394" s="3" t="s">
        <v>108</v>
      </c>
      <c r="J394" s="3" t="s">
        <v>6009</v>
      </c>
      <c r="K394" s="3" t="n">
        <v>3732143.96</v>
      </c>
      <c r="L394" s="3" t="n">
        <v>0.1368</v>
      </c>
      <c r="M394" s="3" t="n">
        <v>3221586.67</v>
      </c>
      <c r="N394" s="3" t="n">
        <v>1060821.92</v>
      </c>
      <c r="O394" s="3" t="n">
        <v>0.3293</v>
      </c>
      <c r="P394" s="3" t="n">
        <v>0</v>
      </c>
      <c r="Q394" s="3" t="n">
        <v>0</v>
      </c>
      <c r="R394" s="3" t="n">
        <v>67</v>
      </c>
      <c r="S394" s="3" t="n">
        <v>5.5</v>
      </c>
      <c r="T394" s="3" t="n">
        <v>5.7</v>
      </c>
      <c r="U394" s="3" t="s">
        <v>6010</v>
      </c>
      <c r="V394" s="3" t="n">
        <v>5.92</v>
      </c>
      <c r="W394" s="3" t="s">
        <v>5990</v>
      </c>
    </row>
    <row r="395" customFormat="false" ht="15" hidden="false" customHeight="true" outlineLevel="0" collapsed="false">
      <c r="A395" s="3" t="s">
        <v>6452</v>
      </c>
      <c r="B395" s="3" t="s">
        <v>2801</v>
      </c>
      <c r="C395" s="3" t="s">
        <v>1338</v>
      </c>
      <c r="D395" s="3" t="s">
        <v>23</v>
      </c>
      <c r="E395" s="3" t="s">
        <v>24</v>
      </c>
      <c r="F395" s="3" t="s">
        <v>25</v>
      </c>
      <c r="G395" s="3" t="s">
        <v>76</v>
      </c>
      <c r="H395" s="3" t="s">
        <v>77</v>
      </c>
      <c r="I395" s="3" t="s">
        <v>85</v>
      </c>
      <c r="J395" s="3" t="s">
        <v>5989</v>
      </c>
      <c r="K395" s="3" t="n">
        <v>1782787.79</v>
      </c>
      <c r="L395" s="3" t="n">
        <v>0.1645</v>
      </c>
      <c r="M395" s="3" t="n">
        <v>1489519.2</v>
      </c>
      <c r="N395" s="3" t="n">
        <v>442423.25</v>
      </c>
      <c r="O395" s="3" t="n">
        <v>0.297</v>
      </c>
      <c r="P395" s="3" t="n">
        <v>0.284</v>
      </c>
      <c r="Q395" s="3" t="n">
        <v>423023.45</v>
      </c>
      <c r="R395" s="3" t="n">
        <v>148</v>
      </c>
      <c r="S395" s="3" t="n">
        <v>1.4</v>
      </c>
      <c r="T395" s="3" t="n">
        <v>2.8</v>
      </c>
      <c r="U395" s="3"/>
      <c r="V395" s="3" t="n">
        <v>4.87</v>
      </c>
      <c r="W395" s="3" t="s">
        <v>6000</v>
      </c>
    </row>
    <row r="396" customFormat="false" ht="15" hidden="false" customHeight="true" outlineLevel="0" collapsed="false">
      <c r="A396" s="3" t="s">
        <v>6453</v>
      </c>
      <c r="B396" s="3" t="s">
        <v>2035</v>
      </c>
      <c r="C396" s="3" t="s">
        <v>1960</v>
      </c>
      <c r="D396" s="3" t="s">
        <v>103</v>
      </c>
      <c r="E396" s="3" t="s">
        <v>24</v>
      </c>
      <c r="F396" s="3" t="s">
        <v>62</v>
      </c>
      <c r="G396" s="3" t="s">
        <v>84</v>
      </c>
      <c r="H396" s="3" t="s">
        <v>27</v>
      </c>
      <c r="I396" s="3" t="s">
        <v>28</v>
      </c>
      <c r="J396" s="3" t="s">
        <v>5992</v>
      </c>
      <c r="K396" s="3" t="n">
        <v>2263826.78</v>
      </c>
      <c r="L396" s="3" t="n">
        <v>0.2668</v>
      </c>
      <c r="M396" s="3" t="n">
        <v>1659837.8</v>
      </c>
      <c r="N396" s="3" t="n">
        <v>685828.76</v>
      </c>
      <c r="O396" s="3" t="n">
        <v>0.4132</v>
      </c>
      <c r="P396" s="3" t="n">
        <v>0.669</v>
      </c>
      <c r="Q396" s="3" t="n">
        <v>1110431.49</v>
      </c>
      <c r="R396" s="3" t="n">
        <v>96</v>
      </c>
      <c r="S396" s="3" t="n">
        <v>7.7</v>
      </c>
      <c r="T396" s="3" t="n">
        <v>5.4</v>
      </c>
      <c r="U396" s="3"/>
      <c r="V396" s="3" t="n">
        <v>6.11</v>
      </c>
      <c r="W396" s="3" t="s">
        <v>5990</v>
      </c>
    </row>
    <row r="397" customFormat="false" ht="15" hidden="false" customHeight="true" outlineLevel="0" collapsed="false">
      <c r="A397" s="3" t="s">
        <v>6454</v>
      </c>
      <c r="B397" s="3" t="s">
        <v>2524</v>
      </c>
      <c r="C397" s="3" t="s">
        <v>2097</v>
      </c>
      <c r="D397" s="3" t="s">
        <v>23</v>
      </c>
      <c r="E397" s="3" t="s">
        <v>24</v>
      </c>
      <c r="F397" s="3" t="s">
        <v>25</v>
      </c>
      <c r="G397" s="3" t="s">
        <v>104</v>
      </c>
      <c r="H397" s="3" t="s">
        <v>77</v>
      </c>
      <c r="I397" s="3" t="s">
        <v>85</v>
      </c>
      <c r="J397" s="3" t="s">
        <v>5996</v>
      </c>
      <c r="K397" s="3" t="n">
        <v>1992680.74</v>
      </c>
      <c r="L397" s="3" t="n">
        <v>0.1631</v>
      </c>
      <c r="M397" s="3" t="n">
        <v>1667674.51</v>
      </c>
      <c r="N397" s="3" t="n">
        <v>728014.32</v>
      </c>
      <c r="O397" s="3" t="n">
        <v>0.4365</v>
      </c>
      <c r="P397" s="3" t="n">
        <v>0.977</v>
      </c>
      <c r="Q397" s="3" t="n">
        <v>1629318</v>
      </c>
      <c r="R397" s="3" t="n">
        <v>31</v>
      </c>
      <c r="S397" s="3" t="n">
        <v>9.7</v>
      </c>
      <c r="T397" s="3" t="n">
        <v>5.2</v>
      </c>
      <c r="U397" s="3"/>
      <c r="V397" s="3" t="n">
        <v>7.69</v>
      </c>
      <c r="W397" s="3" t="s">
        <v>5997</v>
      </c>
    </row>
    <row r="398" customFormat="false" ht="15" hidden="false" customHeight="true" outlineLevel="0" collapsed="false">
      <c r="A398" s="3" t="s">
        <v>6455</v>
      </c>
      <c r="B398" s="3" t="s">
        <v>2260</v>
      </c>
      <c r="C398" s="3" t="s">
        <v>2694</v>
      </c>
      <c r="D398" s="3" t="s">
        <v>61</v>
      </c>
      <c r="E398" s="3" t="s">
        <v>33</v>
      </c>
      <c r="F398" s="3" t="s">
        <v>62</v>
      </c>
      <c r="G398" s="3" t="s">
        <v>63</v>
      </c>
      <c r="H398" s="3" t="s">
        <v>42</v>
      </c>
      <c r="I398" s="3" t="s">
        <v>43</v>
      </c>
      <c r="J398" s="3" t="s">
        <v>5996</v>
      </c>
      <c r="K398" s="3" t="n">
        <v>791664.05</v>
      </c>
      <c r="L398" s="3" t="n">
        <v>0.129</v>
      </c>
      <c r="M398" s="3" t="n">
        <v>689539.39</v>
      </c>
      <c r="N398" s="3" t="n">
        <v>273644.63</v>
      </c>
      <c r="O398" s="3" t="n">
        <v>0.3969</v>
      </c>
      <c r="P398" s="3" t="n">
        <v>0.978</v>
      </c>
      <c r="Q398" s="3" t="n">
        <v>674369.52</v>
      </c>
      <c r="R398" s="3" t="n">
        <v>178</v>
      </c>
      <c r="S398" s="3" t="n">
        <v>8.9</v>
      </c>
      <c r="T398" s="3" t="n">
        <v>8.2</v>
      </c>
      <c r="U398" s="3"/>
      <c r="V398" s="3" t="n">
        <v>7</v>
      </c>
      <c r="W398" s="3" t="s">
        <v>5997</v>
      </c>
    </row>
    <row r="399" customFormat="false" ht="15" hidden="false" customHeight="true" outlineLevel="0" collapsed="false">
      <c r="A399" s="3" t="s">
        <v>6456</v>
      </c>
      <c r="B399" s="3" t="s">
        <v>689</v>
      </c>
      <c r="C399" s="3" t="s">
        <v>1726</v>
      </c>
      <c r="D399" s="3" t="s">
        <v>97</v>
      </c>
      <c r="E399" s="3" t="s">
        <v>48</v>
      </c>
      <c r="F399" s="3" t="s">
        <v>40</v>
      </c>
      <c r="G399" s="3" t="s">
        <v>71</v>
      </c>
      <c r="H399" s="3" t="s">
        <v>64</v>
      </c>
      <c r="I399" s="3" t="s">
        <v>145</v>
      </c>
      <c r="J399" s="3" t="s">
        <v>5989</v>
      </c>
      <c r="K399" s="3" t="n">
        <v>1543582.88</v>
      </c>
      <c r="L399" s="3" t="n">
        <v>0.1355</v>
      </c>
      <c r="M399" s="3" t="n">
        <v>1334427.4</v>
      </c>
      <c r="N399" s="3" t="n">
        <v>522130.78</v>
      </c>
      <c r="O399" s="3" t="n">
        <v>0.3913</v>
      </c>
      <c r="P399" s="3" t="n">
        <v>0.268</v>
      </c>
      <c r="Q399" s="3" t="n">
        <v>357626.54</v>
      </c>
      <c r="R399" s="3" t="n">
        <v>129</v>
      </c>
      <c r="S399" s="3" t="n">
        <v>7.7</v>
      </c>
      <c r="T399" s="3" t="n">
        <v>5.3</v>
      </c>
      <c r="U399" s="3"/>
      <c r="V399" s="3" t="n">
        <v>7.05</v>
      </c>
      <c r="W399" s="3" t="s">
        <v>5997</v>
      </c>
    </row>
    <row r="400" customFormat="false" ht="15" hidden="false" customHeight="true" outlineLevel="0" collapsed="false">
      <c r="A400" s="3" t="s">
        <v>6457</v>
      </c>
      <c r="B400" s="3" t="s">
        <v>2867</v>
      </c>
      <c r="C400" s="3" t="s">
        <v>1163</v>
      </c>
      <c r="D400" s="3" t="s">
        <v>32</v>
      </c>
      <c r="E400" s="3" t="s">
        <v>33</v>
      </c>
      <c r="F400" s="3" t="s">
        <v>25</v>
      </c>
      <c r="G400" s="3" t="s">
        <v>76</v>
      </c>
      <c r="H400" s="3" t="s">
        <v>77</v>
      </c>
      <c r="I400" s="3" t="s">
        <v>131</v>
      </c>
      <c r="J400" s="3" t="s">
        <v>5996</v>
      </c>
      <c r="K400" s="3" t="n">
        <v>1985524.7</v>
      </c>
      <c r="L400" s="3" t="n">
        <v>0.07</v>
      </c>
      <c r="M400" s="3" t="n">
        <v>1846537.97</v>
      </c>
      <c r="N400" s="3" t="n">
        <v>639013.33</v>
      </c>
      <c r="O400" s="3" t="n">
        <v>0.3461</v>
      </c>
      <c r="P400" s="3" t="n">
        <v>0.988</v>
      </c>
      <c r="Q400" s="3" t="n">
        <v>1824379.51</v>
      </c>
      <c r="R400" s="3" t="n">
        <v>166</v>
      </c>
      <c r="S400" s="3" t="n">
        <v>1.2</v>
      </c>
      <c r="T400" s="3" t="n">
        <v>7.5</v>
      </c>
      <c r="U400" s="3"/>
      <c r="V400" s="3" t="n">
        <v>5.29</v>
      </c>
      <c r="W400" s="3" t="s">
        <v>5990</v>
      </c>
    </row>
    <row r="401" customFormat="false" ht="15" hidden="false" customHeight="true" outlineLevel="0" collapsed="false">
      <c r="A401" s="3" t="s">
        <v>6458</v>
      </c>
      <c r="B401" s="3" t="s">
        <v>1310</v>
      </c>
      <c r="C401" s="3" t="s">
        <v>1369</v>
      </c>
      <c r="D401" s="3" t="s">
        <v>32</v>
      </c>
      <c r="E401" s="3" t="s">
        <v>33</v>
      </c>
      <c r="F401" s="3" t="s">
        <v>25</v>
      </c>
      <c r="G401" s="3" t="s">
        <v>49</v>
      </c>
      <c r="H401" s="3" t="s">
        <v>56</v>
      </c>
      <c r="I401" s="3" t="s">
        <v>188</v>
      </c>
      <c r="J401" s="3" t="s">
        <v>5999</v>
      </c>
      <c r="K401" s="3" t="n">
        <v>2578228.85</v>
      </c>
      <c r="L401" s="3" t="n">
        <v>0.1006</v>
      </c>
      <c r="M401" s="3" t="n">
        <v>2318859.03</v>
      </c>
      <c r="N401" s="3" t="n">
        <v>719314.61</v>
      </c>
      <c r="O401" s="3" t="n">
        <v>0.3102</v>
      </c>
      <c r="P401" s="3" t="n">
        <v>0.465</v>
      </c>
      <c r="Q401" s="3" t="n">
        <v>1078269.45</v>
      </c>
      <c r="R401" s="3" t="n">
        <v>167</v>
      </c>
      <c r="S401" s="3" t="n">
        <v>4.8</v>
      </c>
      <c r="T401" s="3" t="n">
        <v>2.1</v>
      </c>
      <c r="U401" s="3"/>
      <c r="V401" s="3" t="n">
        <v>6.45</v>
      </c>
      <c r="W401" s="3" t="s">
        <v>5990</v>
      </c>
    </row>
    <row r="402" customFormat="false" ht="15" hidden="false" customHeight="true" outlineLevel="0" collapsed="false">
      <c r="A402" s="3" t="s">
        <v>6459</v>
      </c>
      <c r="B402" s="3" t="s">
        <v>1116</v>
      </c>
      <c r="C402" s="3" t="s">
        <v>1952</v>
      </c>
      <c r="D402" s="3" t="s">
        <v>107</v>
      </c>
      <c r="E402" s="3" t="s">
        <v>33</v>
      </c>
      <c r="F402" s="3" t="s">
        <v>70</v>
      </c>
      <c r="G402" s="3" t="s">
        <v>84</v>
      </c>
      <c r="H402" s="3" t="s">
        <v>64</v>
      </c>
      <c r="I402" s="3" t="s">
        <v>90</v>
      </c>
      <c r="J402" s="3" t="s">
        <v>5999</v>
      </c>
      <c r="K402" s="3" t="n">
        <v>1675997.39</v>
      </c>
      <c r="L402" s="3" t="n">
        <v>0.05</v>
      </c>
      <c r="M402" s="3" t="n">
        <v>1592197.52</v>
      </c>
      <c r="N402" s="3" t="n">
        <v>692793.35</v>
      </c>
      <c r="O402" s="3" t="n">
        <v>0.4351</v>
      </c>
      <c r="P402" s="3" t="n">
        <v>0.428</v>
      </c>
      <c r="Q402" s="3" t="n">
        <v>681460.54</v>
      </c>
      <c r="R402" s="3" t="n">
        <v>45</v>
      </c>
      <c r="S402" s="3" t="n">
        <v>2</v>
      </c>
      <c r="T402" s="3" t="n">
        <v>2.7</v>
      </c>
      <c r="U402" s="3"/>
      <c r="V402" s="3" t="n">
        <v>7.06</v>
      </c>
      <c r="W402" s="3" t="s">
        <v>5997</v>
      </c>
    </row>
    <row r="403" customFormat="false" ht="15" hidden="false" customHeight="true" outlineLevel="0" collapsed="false">
      <c r="A403" s="3" t="s">
        <v>6460</v>
      </c>
      <c r="B403" s="3" t="s">
        <v>4712</v>
      </c>
      <c r="C403" s="3" t="s">
        <v>6245</v>
      </c>
      <c r="D403" s="3" t="s">
        <v>54</v>
      </c>
      <c r="E403" s="3" t="s">
        <v>24</v>
      </c>
      <c r="F403" s="3" t="s">
        <v>40</v>
      </c>
      <c r="G403" s="3" t="s">
        <v>100</v>
      </c>
      <c r="H403" s="3" t="s">
        <v>27</v>
      </c>
      <c r="I403" s="3" t="s">
        <v>117</v>
      </c>
      <c r="J403" s="3" t="s">
        <v>5992</v>
      </c>
      <c r="K403" s="3" t="n">
        <v>858719.9</v>
      </c>
      <c r="L403" s="3" t="n">
        <v>0.2546</v>
      </c>
      <c r="M403" s="3" t="n">
        <v>640089.81</v>
      </c>
      <c r="N403" s="3" t="n">
        <v>205131.47</v>
      </c>
      <c r="O403" s="3" t="n">
        <v>0.3205</v>
      </c>
      <c r="P403" s="3" t="n">
        <v>0.746</v>
      </c>
      <c r="Q403" s="3" t="n">
        <v>477507</v>
      </c>
      <c r="R403" s="3" t="n">
        <v>124</v>
      </c>
      <c r="S403" s="3" t="n">
        <v>2.6</v>
      </c>
      <c r="T403" s="3" t="n">
        <v>3</v>
      </c>
      <c r="U403" s="3"/>
      <c r="V403" s="3" t="n">
        <v>4.56</v>
      </c>
      <c r="W403" s="3" t="s">
        <v>6000</v>
      </c>
    </row>
    <row r="404" customFormat="false" ht="15" hidden="false" customHeight="true" outlineLevel="0" collapsed="false">
      <c r="A404" s="3" t="s">
        <v>6461</v>
      </c>
      <c r="B404" s="3" t="s">
        <v>1966</v>
      </c>
      <c r="C404" s="3" t="s">
        <v>1447</v>
      </c>
      <c r="D404" s="3" t="s">
        <v>23</v>
      </c>
      <c r="E404" s="3" t="s">
        <v>24</v>
      </c>
      <c r="F404" s="3" t="s">
        <v>25</v>
      </c>
      <c r="G404" s="3" t="s">
        <v>49</v>
      </c>
      <c r="H404" s="3" t="s">
        <v>77</v>
      </c>
      <c r="I404" s="3" t="s">
        <v>78</v>
      </c>
      <c r="J404" s="3" t="s">
        <v>5999</v>
      </c>
      <c r="K404" s="3" t="n">
        <v>2298662.72</v>
      </c>
      <c r="L404" s="3" t="n">
        <v>0.2404</v>
      </c>
      <c r="M404" s="3" t="n">
        <v>1746064.2</v>
      </c>
      <c r="N404" s="3" t="n">
        <v>719011.95</v>
      </c>
      <c r="O404" s="3" t="n">
        <v>0.4118</v>
      </c>
      <c r="P404" s="3" t="n">
        <v>0.423</v>
      </c>
      <c r="Q404" s="3" t="n">
        <v>738585.16</v>
      </c>
      <c r="R404" s="3" t="n">
        <v>17</v>
      </c>
      <c r="S404" s="3" t="n">
        <v>3.7</v>
      </c>
      <c r="T404" s="3" t="n">
        <v>6.7</v>
      </c>
      <c r="U404" s="3"/>
      <c r="V404" s="3" t="n">
        <v>5.14</v>
      </c>
      <c r="W404" s="3" t="s">
        <v>5990</v>
      </c>
    </row>
    <row r="405" customFormat="false" ht="15" hidden="false" customHeight="true" outlineLevel="0" collapsed="false">
      <c r="A405" s="3" t="s">
        <v>6462</v>
      </c>
      <c r="B405" s="3" t="s">
        <v>1430</v>
      </c>
      <c r="C405" s="3" t="s">
        <v>1402</v>
      </c>
      <c r="D405" s="3" t="s">
        <v>107</v>
      </c>
      <c r="E405" s="3" t="s">
        <v>33</v>
      </c>
      <c r="F405" s="3" t="s">
        <v>70</v>
      </c>
      <c r="G405" s="3" t="s">
        <v>55</v>
      </c>
      <c r="H405" s="3" t="s">
        <v>56</v>
      </c>
      <c r="I405" s="3" t="s">
        <v>188</v>
      </c>
      <c r="J405" s="3" t="s">
        <v>5999</v>
      </c>
      <c r="K405" s="3" t="n">
        <v>3119865.03</v>
      </c>
      <c r="L405" s="3" t="n">
        <v>0.1323</v>
      </c>
      <c r="M405" s="3" t="n">
        <v>2707106.89</v>
      </c>
      <c r="N405" s="3" t="n">
        <v>1083216.2</v>
      </c>
      <c r="O405" s="3" t="n">
        <v>0.4001</v>
      </c>
      <c r="P405" s="3" t="n">
        <v>0.494</v>
      </c>
      <c r="Q405" s="3" t="n">
        <v>1337310.8</v>
      </c>
      <c r="R405" s="3" t="n">
        <v>174</v>
      </c>
      <c r="S405" s="3" t="n">
        <v>2.6</v>
      </c>
      <c r="T405" s="3" t="n">
        <v>1.4</v>
      </c>
      <c r="U405" s="3"/>
      <c r="V405" s="3" t="n">
        <v>6.46</v>
      </c>
      <c r="W405" s="3" t="s">
        <v>5990</v>
      </c>
    </row>
    <row r="406" customFormat="false" ht="15" hidden="false" customHeight="true" outlineLevel="0" collapsed="false">
      <c r="A406" s="3" t="s">
        <v>6463</v>
      </c>
      <c r="B406" s="3" t="s">
        <v>1497</v>
      </c>
      <c r="C406" s="3" t="s">
        <v>270</v>
      </c>
      <c r="D406" s="3" t="s">
        <v>38</v>
      </c>
      <c r="E406" s="3" t="s">
        <v>39</v>
      </c>
      <c r="F406" s="3" t="s">
        <v>40</v>
      </c>
      <c r="G406" s="3" t="s">
        <v>104</v>
      </c>
      <c r="H406" s="3" t="s">
        <v>42</v>
      </c>
      <c r="I406" s="3" t="s">
        <v>134</v>
      </c>
      <c r="J406" s="3" t="s">
        <v>5999</v>
      </c>
      <c r="K406" s="3" t="n">
        <v>4432927.01</v>
      </c>
      <c r="L406" s="3" t="n">
        <v>0.1737</v>
      </c>
      <c r="M406" s="3" t="n">
        <v>3662927.59</v>
      </c>
      <c r="N406" s="3" t="n">
        <v>1466841.62</v>
      </c>
      <c r="O406" s="3" t="n">
        <v>0.4005</v>
      </c>
      <c r="P406" s="3" t="n">
        <v>0.461</v>
      </c>
      <c r="Q406" s="3" t="n">
        <v>1688609.62</v>
      </c>
      <c r="R406" s="3" t="n">
        <v>65</v>
      </c>
      <c r="S406" s="3" t="n">
        <v>9.8</v>
      </c>
      <c r="T406" s="3" t="n">
        <v>7.4</v>
      </c>
      <c r="U406" s="3"/>
      <c r="V406" s="3" t="n">
        <v>7</v>
      </c>
      <c r="W406" s="3" t="s">
        <v>5997</v>
      </c>
    </row>
    <row r="407" customFormat="false" ht="15" hidden="false" customHeight="true" outlineLevel="0" collapsed="false">
      <c r="A407" s="3" t="s">
        <v>6464</v>
      </c>
      <c r="B407" s="3" t="s">
        <v>1889</v>
      </c>
      <c r="C407" s="3" t="s">
        <v>2896</v>
      </c>
      <c r="D407" s="3" t="s">
        <v>32</v>
      </c>
      <c r="E407" s="3" t="s">
        <v>33</v>
      </c>
      <c r="F407" s="3" t="s">
        <v>25</v>
      </c>
      <c r="G407" s="3" t="s">
        <v>26</v>
      </c>
      <c r="H407" s="3" t="s">
        <v>27</v>
      </c>
      <c r="I407" s="3" t="s">
        <v>94</v>
      </c>
      <c r="J407" s="3" t="s">
        <v>5996</v>
      </c>
      <c r="K407" s="3" t="n">
        <v>1956196.53</v>
      </c>
      <c r="L407" s="3" t="n">
        <v>0.2228</v>
      </c>
      <c r="M407" s="3" t="n">
        <v>1520355.94</v>
      </c>
      <c r="N407" s="3" t="n">
        <v>545296.71</v>
      </c>
      <c r="O407" s="3" t="n">
        <v>0.3587</v>
      </c>
      <c r="P407" s="3" t="n">
        <v>0.977</v>
      </c>
      <c r="Q407" s="3" t="n">
        <v>1485387.75</v>
      </c>
      <c r="R407" s="3" t="n">
        <v>29</v>
      </c>
      <c r="S407" s="3" t="n">
        <v>3.2</v>
      </c>
      <c r="T407" s="3" t="n">
        <v>5.9</v>
      </c>
      <c r="U407" s="3"/>
      <c r="V407" s="3" t="n">
        <v>4.87</v>
      </c>
      <c r="W407" s="3" t="s">
        <v>6000</v>
      </c>
    </row>
    <row r="408" customFormat="false" ht="15" hidden="false" customHeight="true" outlineLevel="0" collapsed="false">
      <c r="A408" s="3" t="s">
        <v>6465</v>
      </c>
      <c r="B408" s="3" t="s">
        <v>2750</v>
      </c>
      <c r="C408" s="3" t="s">
        <v>6466</v>
      </c>
      <c r="D408" s="3" t="s">
        <v>97</v>
      </c>
      <c r="E408" s="3" t="s">
        <v>48</v>
      </c>
      <c r="F408" s="3" t="s">
        <v>40</v>
      </c>
      <c r="G408" s="3" t="s">
        <v>116</v>
      </c>
      <c r="H408" s="3" t="s">
        <v>64</v>
      </c>
      <c r="I408" s="3" t="s">
        <v>90</v>
      </c>
      <c r="J408" s="3" t="s">
        <v>5996</v>
      </c>
      <c r="K408" s="3" t="n">
        <v>1798264.66</v>
      </c>
      <c r="L408" s="3" t="n">
        <v>0.2224</v>
      </c>
      <c r="M408" s="3" t="n">
        <v>1398330.6</v>
      </c>
      <c r="N408" s="3" t="n">
        <v>605940.42</v>
      </c>
      <c r="O408" s="3" t="n">
        <v>0.4333</v>
      </c>
      <c r="P408" s="3" t="n">
        <v>1</v>
      </c>
      <c r="Q408" s="3" t="n">
        <v>1398330.6</v>
      </c>
      <c r="R408" s="3" t="n">
        <v>180</v>
      </c>
      <c r="S408" s="3" t="n">
        <v>3</v>
      </c>
      <c r="T408" s="3" t="n">
        <v>2.2</v>
      </c>
      <c r="U408" s="3"/>
      <c r="V408" s="3" t="n">
        <v>5.93</v>
      </c>
      <c r="W408" s="3" t="s">
        <v>5990</v>
      </c>
    </row>
    <row r="409" customFormat="false" ht="15" hidden="false" customHeight="true" outlineLevel="0" collapsed="false">
      <c r="A409" s="3" t="s">
        <v>6467</v>
      </c>
      <c r="B409" s="3" t="s">
        <v>3294</v>
      </c>
      <c r="C409" s="3" t="s">
        <v>1327</v>
      </c>
      <c r="D409" s="3" t="s">
        <v>38</v>
      </c>
      <c r="E409" s="3" t="s">
        <v>39</v>
      </c>
      <c r="F409" s="3" t="s">
        <v>40</v>
      </c>
      <c r="G409" s="3" t="s">
        <v>71</v>
      </c>
      <c r="H409" s="3" t="s">
        <v>56</v>
      </c>
      <c r="I409" s="3" t="s">
        <v>121</v>
      </c>
      <c r="J409" s="3" t="s">
        <v>5999</v>
      </c>
      <c r="K409" s="3" t="n">
        <v>3598191.34</v>
      </c>
      <c r="L409" s="3" t="n">
        <v>0.1873</v>
      </c>
      <c r="M409" s="3" t="n">
        <v>2924250.1</v>
      </c>
      <c r="N409" s="3" t="n">
        <v>1221908.48</v>
      </c>
      <c r="O409" s="3" t="n">
        <v>0.4179</v>
      </c>
      <c r="P409" s="3" t="n">
        <v>0.406</v>
      </c>
      <c r="Q409" s="3" t="n">
        <v>1187245.54</v>
      </c>
      <c r="R409" s="3" t="n">
        <v>85</v>
      </c>
      <c r="S409" s="3" t="n">
        <v>6.5</v>
      </c>
      <c r="T409" s="3" t="n">
        <v>10</v>
      </c>
      <c r="U409" s="3"/>
      <c r="V409" s="3" t="n">
        <v>5.83</v>
      </c>
      <c r="W409" s="3" t="s">
        <v>5990</v>
      </c>
    </row>
    <row r="410" customFormat="false" ht="15" hidden="false" customHeight="true" outlineLevel="0" collapsed="false">
      <c r="A410" s="3" t="s">
        <v>6468</v>
      </c>
      <c r="B410" s="3" t="s">
        <v>3187</v>
      </c>
      <c r="C410" s="3" t="s">
        <v>6469</v>
      </c>
      <c r="D410" s="3" t="s">
        <v>54</v>
      </c>
      <c r="E410" s="3" t="s">
        <v>24</v>
      </c>
      <c r="F410" s="3" t="s">
        <v>40</v>
      </c>
      <c r="G410" s="3" t="s">
        <v>76</v>
      </c>
      <c r="H410" s="3" t="s">
        <v>56</v>
      </c>
      <c r="I410" s="3" t="s">
        <v>188</v>
      </c>
      <c r="J410" s="3" t="s">
        <v>5996</v>
      </c>
      <c r="K410" s="3" t="n">
        <v>2602030.43</v>
      </c>
      <c r="L410" s="3" t="n">
        <v>0.1463</v>
      </c>
      <c r="M410" s="3" t="n">
        <v>2221353.38</v>
      </c>
      <c r="N410" s="3" t="n">
        <v>744592.4</v>
      </c>
      <c r="O410" s="3" t="n">
        <v>0.3352</v>
      </c>
      <c r="P410" s="3" t="n">
        <v>1</v>
      </c>
      <c r="Q410" s="3" t="n">
        <v>2221353.38</v>
      </c>
      <c r="R410" s="3" t="n">
        <v>172</v>
      </c>
      <c r="S410" s="3" t="n">
        <v>6</v>
      </c>
      <c r="T410" s="3" t="n">
        <v>6.6</v>
      </c>
      <c r="U410" s="3"/>
      <c r="V410" s="3" t="n">
        <v>5.88</v>
      </c>
      <c r="W410" s="3" t="s">
        <v>5990</v>
      </c>
    </row>
    <row r="411" customFormat="false" ht="15" hidden="false" customHeight="true" outlineLevel="0" collapsed="false">
      <c r="A411" s="3" t="s">
        <v>6470</v>
      </c>
      <c r="B411" s="3" t="s">
        <v>2510</v>
      </c>
      <c r="C411" s="3" t="s">
        <v>824</v>
      </c>
      <c r="D411" s="3" t="s">
        <v>107</v>
      </c>
      <c r="E411" s="3" t="s">
        <v>33</v>
      </c>
      <c r="F411" s="3" t="s">
        <v>70</v>
      </c>
      <c r="G411" s="3" t="s">
        <v>34</v>
      </c>
      <c r="H411" s="3" t="s">
        <v>77</v>
      </c>
      <c r="I411" s="3" t="s">
        <v>78</v>
      </c>
      <c r="J411" s="3" t="s">
        <v>5996</v>
      </c>
      <c r="K411" s="3" t="n">
        <v>4211487.84</v>
      </c>
      <c r="L411" s="3" t="n">
        <v>0.2845</v>
      </c>
      <c r="M411" s="3" t="n">
        <v>3013319.55</v>
      </c>
      <c r="N411" s="3" t="n">
        <v>1341470.24</v>
      </c>
      <c r="O411" s="3" t="n">
        <v>0.4452</v>
      </c>
      <c r="P411" s="3" t="n">
        <v>0.994</v>
      </c>
      <c r="Q411" s="3" t="n">
        <v>2995239.63</v>
      </c>
      <c r="R411" s="3" t="n">
        <v>92</v>
      </c>
      <c r="S411" s="3" t="n">
        <v>5.2</v>
      </c>
      <c r="T411" s="3" t="n">
        <v>2</v>
      </c>
      <c r="U411" s="3"/>
      <c r="V411" s="3" t="n">
        <v>6.09</v>
      </c>
      <c r="W411" s="3" t="s">
        <v>5990</v>
      </c>
    </row>
    <row r="412" customFormat="false" ht="15" hidden="false" customHeight="true" outlineLevel="0" collapsed="false">
      <c r="A412" s="3" t="s">
        <v>6471</v>
      </c>
      <c r="B412" s="3" t="s">
        <v>274</v>
      </c>
      <c r="C412" s="3" t="s">
        <v>1743</v>
      </c>
      <c r="D412" s="3" t="s">
        <v>83</v>
      </c>
      <c r="E412" s="3" t="s">
        <v>48</v>
      </c>
      <c r="F412" s="3" t="s">
        <v>62</v>
      </c>
      <c r="G412" s="3" t="s">
        <v>34</v>
      </c>
      <c r="H412" s="3" t="s">
        <v>56</v>
      </c>
      <c r="I412" s="3" t="s">
        <v>57</v>
      </c>
      <c r="J412" s="3" t="s">
        <v>5999</v>
      </c>
      <c r="K412" s="3" t="n">
        <v>4717147.61</v>
      </c>
      <c r="L412" s="3" t="n">
        <v>0.0713</v>
      </c>
      <c r="M412" s="3" t="n">
        <v>4380814.99</v>
      </c>
      <c r="N412" s="3" t="n">
        <v>1323667.83</v>
      </c>
      <c r="O412" s="3" t="n">
        <v>0.3022</v>
      </c>
      <c r="P412" s="3" t="n">
        <v>0.416</v>
      </c>
      <c r="Q412" s="3" t="n">
        <v>1822419.04</v>
      </c>
      <c r="R412" s="3" t="n">
        <v>117</v>
      </c>
      <c r="S412" s="3" t="n">
        <v>7.7</v>
      </c>
      <c r="T412" s="3" t="n">
        <v>2.9</v>
      </c>
      <c r="U412" s="3"/>
      <c r="V412" s="3" t="n">
        <v>7.23</v>
      </c>
      <c r="W412" s="3" t="s">
        <v>5997</v>
      </c>
    </row>
    <row r="413" customFormat="false" ht="15" hidden="false" customHeight="true" outlineLevel="0" collapsed="false">
      <c r="A413" s="3" t="s">
        <v>6472</v>
      </c>
      <c r="B413" s="3" t="s">
        <v>1502</v>
      </c>
      <c r="C413" s="3" t="s">
        <v>1545</v>
      </c>
      <c r="D413" s="3" t="s">
        <v>83</v>
      </c>
      <c r="E413" s="3" t="s">
        <v>48</v>
      </c>
      <c r="F413" s="3" t="s">
        <v>62</v>
      </c>
      <c r="G413" s="3" t="s">
        <v>26</v>
      </c>
      <c r="H413" s="3" t="s">
        <v>27</v>
      </c>
      <c r="I413" s="3" t="s">
        <v>117</v>
      </c>
      <c r="J413" s="3" t="s">
        <v>5992</v>
      </c>
      <c r="K413" s="3" t="n">
        <v>2501467.3</v>
      </c>
      <c r="L413" s="3" t="n">
        <v>0.0658</v>
      </c>
      <c r="M413" s="3" t="n">
        <v>2336870.75</v>
      </c>
      <c r="N413" s="3" t="n">
        <v>1112325.93</v>
      </c>
      <c r="O413" s="3" t="n">
        <v>0.476</v>
      </c>
      <c r="P413" s="3" t="n">
        <v>0.741</v>
      </c>
      <c r="Q413" s="3" t="n">
        <v>1731621.23</v>
      </c>
      <c r="R413" s="3" t="n">
        <v>69</v>
      </c>
      <c r="S413" s="3" t="n">
        <v>6.1</v>
      </c>
      <c r="T413" s="3" t="n">
        <v>8.6</v>
      </c>
      <c r="U413" s="3"/>
      <c r="V413" s="3" t="n">
        <v>7.18</v>
      </c>
      <c r="W413" s="3" t="s">
        <v>5997</v>
      </c>
    </row>
    <row r="414" customFormat="false" ht="15" hidden="false" customHeight="true" outlineLevel="0" collapsed="false">
      <c r="A414" s="3" t="s">
        <v>6473</v>
      </c>
      <c r="B414" s="3" t="s">
        <v>921</v>
      </c>
      <c r="C414" s="3" t="s">
        <v>6474</v>
      </c>
      <c r="D414" s="3" t="s">
        <v>47</v>
      </c>
      <c r="E414" s="3" t="s">
        <v>48</v>
      </c>
      <c r="F414" s="3" t="s">
        <v>25</v>
      </c>
      <c r="G414" s="3" t="s">
        <v>26</v>
      </c>
      <c r="H414" s="3" t="s">
        <v>77</v>
      </c>
      <c r="I414" s="3" t="s">
        <v>78</v>
      </c>
      <c r="J414" s="3" t="s">
        <v>5989</v>
      </c>
      <c r="K414" s="3" t="n">
        <v>889599.5</v>
      </c>
      <c r="L414" s="3" t="n">
        <v>0.2367</v>
      </c>
      <c r="M414" s="3" t="n">
        <v>679031.3</v>
      </c>
      <c r="N414" s="3" t="n">
        <v>236166.87</v>
      </c>
      <c r="O414" s="3" t="n">
        <v>0.3478</v>
      </c>
      <c r="P414" s="3" t="n">
        <v>0.252</v>
      </c>
      <c r="Q414" s="3" t="n">
        <v>171115.89</v>
      </c>
      <c r="R414" s="3" t="n">
        <v>153</v>
      </c>
      <c r="S414" s="3" t="n">
        <v>6.2</v>
      </c>
      <c r="T414" s="3" t="n">
        <v>7.6</v>
      </c>
      <c r="U414" s="3"/>
      <c r="V414" s="3" t="n">
        <v>5.13</v>
      </c>
      <c r="W414" s="3" t="s">
        <v>5990</v>
      </c>
    </row>
    <row r="415" customFormat="false" ht="15" hidden="false" customHeight="true" outlineLevel="0" collapsed="false">
      <c r="A415" s="3" t="s">
        <v>6475</v>
      </c>
      <c r="B415" s="3" t="s">
        <v>2019</v>
      </c>
      <c r="C415" s="3" t="s">
        <v>6476</v>
      </c>
      <c r="D415" s="3" t="s">
        <v>83</v>
      </c>
      <c r="E415" s="3" t="s">
        <v>48</v>
      </c>
      <c r="F415" s="3" t="s">
        <v>62</v>
      </c>
      <c r="G415" s="3" t="s">
        <v>26</v>
      </c>
      <c r="H415" s="3" t="s">
        <v>77</v>
      </c>
      <c r="I415" s="3" t="s">
        <v>131</v>
      </c>
      <c r="J415" s="3" t="s">
        <v>6003</v>
      </c>
      <c r="K415" s="3" t="n">
        <v>736149.92</v>
      </c>
      <c r="L415" s="3" t="n">
        <v>0.128</v>
      </c>
      <c r="M415" s="3" t="n">
        <v>641922.73</v>
      </c>
      <c r="N415" s="3" t="n">
        <v>235008.19</v>
      </c>
      <c r="O415" s="3" t="n">
        <v>0.3661</v>
      </c>
      <c r="P415" s="3" t="n">
        <v>0.068</v>
      </c>
      <c r="Q415" s="3" t="n">
        <v>43650.75</v>
      </c>
      <c r="R415" s="3" t="n">
        <v>175</v>
      </c>
      <c r="S415" s="3" t="n">
        <v>3.3</v>
      </c>
      <c r="T415" s="3" t="n">
        <v>4.6</v>
      </c>
      <c r="U415" s="3"/>
      <c r="V415" s="3" t="n">
        <v>5.89</v>
      </c>
      <c r="W415" s="3" t="s">
        <v>5990</v>
      </c>
    </row>
    <row r="416" customFormat="false" ht="15" hidden="false" customHeight="true" outlineLevel="0" collapsed="false">
      <c r="A416" s="3" t="s">
        <v>6477</v>
      </c>
      <c r="B416" s="3" t="s">
        <v>428</v>
      </c>
      <c r="C416" s="3" t="s">
        <v>6478</v>
      </c>
      <c r="D416" s="3" t="s">
        <v>107</v>
      </c>
      <c r="E416" s="3" t="s">
        <v>33</v>
      </c>
      <c r="F416" s="3" t="s">
        <v>70</v>
      </c>
      <c r="G416" s="3" t="s">
        <v>104</v>
      </c>
      <c r="H416" s="3" t="s">
        <v>77</v>
      </c>
      <c r="I416" s="3" t="s">
        <v>78</v>
      </c>
      <c r="J416" s="3" t="s">
        <v>6009</v>
      </c>
      <c r="K416" s="3" t="n">
        <v>2306435.51</v>
      </c>
      <c r="L416" s="3" t="n">
        <v>0.1481</v>
      </c>
      <c r="M416" s="3" t="n">
        <v>1964852.41</v>
      </c>
      <c r="N416" s="3" t="n">
        <v>768995.12</v>
      </c>
      <c r="O416" s="3" t="n">
        <v>0.3914</v>
      </c>
      <c r="P416" s="3" t="n">
        <v>0.002</v>
      </c>
      <c r="Q416" s="3" t="n">
        <v>3929.7</v>
      </c>
      <c r="R416" s="3" t="n">
        <v>82</v>
      </c>
      <c r="S416" s="3" t="n">
        <v>6.1</v>
      </c>
      <c r="T416" s="3" t="n">
        <v>5.1</v>
      </c>
      <c r="U416" s="3" t="s">
        <v>6116</v>
      </c>
      <c r="V416" s="3" t="n">
        <v>6.58</v>
      </c>
      <c r="W416" s="3" t="s">
        <v>5997</v>
      </c>
    </row>
    <row r="417" customFormat="false" ht="15" hidden="false" customHeight="true" outlineLevel="0" collapsed="false">
      <c r="A417" s="3" t="s">
        <v>6479</v>
      </c>
      <c r="B417" s="3" t="s">
        <v>1811</v>
      </c>
      <c r="C417" s="3" t="s">
        <v>1069</v>
      </c>
      <c r="D417" s="3" t="s">
        <v>103</v>
      </c>
      <c r="E417" s="3" t="s">
        <v>24</v>
      </c>
      <c r="F417" s="3" t="s">
        <v>62</v>
      </c>
      <c r="G417" s="3" t="s">
        <v>49</v>
      </c>
      <c r="H417" s="3" t="s">
        <v>77</v>
      </c>
      <c r="I417" s="3" t="s">
        <v>85</v>
      </c>
      <c r="J417" s="3" t="s">
        <v>5996</v>
      </c>
      <c r="K417" s="3" t="n">
        <v>1001792.9</v>
      </c>
      <c r="L417" s="3" t="n">
        <v>0.1289</v>
      </c>
      <c r="M417" s="3" t="n">
        <v>872661.8</v>
      </c>
      <c r="N417" s="3" t="n">
        <v>392464.94</v>
      </c>
      <c r="O417" s="3" t="n">
        <v>0.4497</v>
      </c>
      <c r="P417" s="3" t="n">
        <v>1</v>
      </c>
      <c r="Q417" s="3" t="n">
        <v>872661.8</v>
      </c>
      <c r="R417" s="3" t="n">
        <v>28</v>
      </c>
      <c r="S417" s="3" t="n">
        <v>1.2</v>
      </c>
      <c r="T417" s="3" t="n">
        <v>6.6</v>
      </c>
      <c r="U417" s="3"/>
      <c r="V417" s="3" t="n">
        <v>5.73</v>
      </c>
      <c r="W417" s="3" t="s">
        <v>5990</v>
      </c>
    </row>
    <row r="418" customFormat="false" ht="15" hidden="false" customHeight="true" outlineLevel="0" collapsed="false">
      <c r="A418" s="3" t="s">
        <v>6480</v>
      </c>
      <c r="B418" s="3" t="s">
        <v>347</v>
      </c>
      <c r="C418" s="3" t="s">
        <v>734</v>
      </c>
      <c r="D418" s="3" t="s">
        <v>54</v>
      </c>
      <c r="E418" s="3" t="s">
        <v>24</v>
      </c>
      <c r="F418" s="3" t="s">
        <v>40</v>
      </c>
      <c r="G418" s="3" t="s">
        <v>84</v>
      </c>
      <c r="H418" s="3" t="s">
        <v>27</v>
      </c>
      <c r="I418" s="3" t="s">
        <v>117</v>
      </c>
      <c r="J418" s="3" t="s">
        <v>5989</v>
      </c>
      <c r="K418" s="3" t="n">
        <v>1738535.22</v>
      </c>
      <c r="L418" s="3" t="n">
        <v>0.0821</v>
      </c>
      <c r="M418" s="3" t="n">
        <v>1595801.48</v>
      </c>
      <c r="N418" s="3" t="n">
        <v>674720.26</v>
      </c>
      <c r="O418" s="3" t="n">
        <v>0.4228</v>
      </c>
      <c r="P418" s="3" t="n">
        <v>0.235</v>
      </c>
      <c r="Q418" s="3" t="n">
        <v>375013.35</v>
      </c>
      <c r="R418" s="3" t="n">
        <v>30</v>
      </c>
      <c r="S418" s="3" t="n">
        <v>3.8</v>
      </c>
      <c r="T418" s="3" t="n">
        <v>9.9</v>
      </c>
      <c r="U418" s="3"/>
      <c r="V418" s="3" t="n">
        <v>6.08</v>
      </c>
      <c r="W418" s="3" t="s">
        <v>5990</v>
      </c>
    </row>
    <row r="419" customFormat="false" ht="15" hidden="false" customHeight="true" outlineLevel="0" collapsed="false">
      <c r="A419" s="3" t="s">
        <v>6481</v>
      </c>
      <c r="B419" s="3" t="s">
        <v>2073</v>
      </c>
      <c r="C419" s="3" t="s">
        <v>2250</v>
      </c>
      <c r="D419" s="3" t="s">
        <v>75</v>
      </c>
      <c r="E419" s="3" t="s">
        <v>39</v>
      </c>
      <c r="F419" s="3" t="s">
        <v>25</v>
      </c>
      <c r="G419" s="3" t="s">
        <v>116</v>
      </c>
      <c r="H419" s="3" t="s">
        <v>27</v>
      </c>
      <c r="I419" s="3" t="s">
        <v>94</v>
      </c>
      <c r="J419" s="3" t="s">
        <v>5996</v>
      </c>
      <c r="K419" s="3" t="n">
        <v>1699573.83</v>
      </c>
      <c r="L419" s="3" t="n">
        <v>0.1612</v>
      </c>
      <c r="M419" s="3" t="n">
        <v>1425602.53</v>
      </c>
      <c r="N419" s="3" t="n">
        <v>461271.43</v>
      </c>
      <c r="O419" s="3" t="n">
        <v>0.3236</v>
      </c>
      <c r="P419" s="3" t="n">
        <v>1</v>
      </c>
      <c r="Q419" s="3" t="n">
        <v>1425602.53</v>
      </c>
      <c r="R419" s="3" t="n">
        <v>129</v>
      </c>
      <c r="S419" s="3" t="n">
        <v>4.9</v>
      </c>
      <c r="T419" s="3" t="n">
        <v>5.2</v>
      </c>
      <c r="U419" s="3"/>
      <c r="V419" s="3" t="n">
        <v>5.61</v>
      </c>
      <c r="W419" s="3" t="s">
        <v>5990</v>
      </c>
    </row>
    <row r="420" customFormat="false" ht="15" hidden="false" customHeight="true" outlineLevel="0" collapsed="false">
      <c r="A420" s="3" t="s">
        <v>6482</v>
      </c>
      <c r="B420" s="3" t="s">
        <v>2542</v>
      </c>
      <c r="C420" s="3" t="s">
        <v>1941</v>
      </c>
      <c r="D420" s="3" t="s">
        <v>47</v>
      </c>
      <c r="E420" s="3" t="s">
        <v>48</v>
      </c>
      <c r="F420" s="3" t="s">
        <v>25</v>
      </c>
      <c r="G420" s="3" t="s">
        <v>116</v>
      </c>
      <c r="H420" s="3" t="s">
        <v>56</v>
      </c>
      <c r="I420" s="3" t="s">
        <v>188</v>
      </c>
      <c r="J420" s="3" t="s">
        <v>5989</v>
      </c>
      <c r="K420" s="3" t="n">
        <v>3977087.09</v>
      </c>
      <c r="L420" s="3" t="n">
        <v>0.1478</v>
      </c>
      <c r="M420" s="3" t="n">
        <v>3389273.62</v>
      </c>
      <c r="N420" s="3" t="n">
        <v>1041452.28</v>
      </c>
      <c r="O420" s="3" t="n">
        <v>0.3073</v>
      </c>
      <c r="P420" s="3" t="n">
        <v>0.255</v>
      </c>
      <c r="Q420" s="3" t="n">
        <v>864264.77</v>
      </c>
      <c r="R420" s="3" t="n">
        <v>76</v>
      </c>
      <c r="S420" s="3" t="n">
        <v>2.7</v>
      </c>
      <c r="T420" s="3" t="n">
        <v>9</v>
      </c>
      <c r="U420" s="3"/>
      <c r="V420" s="3" t="n">
        <v>4.48</v>
      </c>
      <c r="W420" s="3" t="s">
        <v>6000</v>
      </c>
    </row>
    <row r="421" customFormat="false" ht="15" hidden="false" customHeight="true" outlineLevel="0" collapsed="false">
      <c r="A421" s="3" t="s">
        <v>6483</v>
      </c>
      <c r="B421" s="3" t="s">
        <v>2879</v>
      </c>
      <c r="C421" s="3" t="s">
        <v>1233</v>
      </c>
      <c r="D421" s="3" t="s">
        <v>75</v>
      </c>
      <c r="E421" s="3" t="s">
        <v>39</v>
      </c>
      <c r="F421" s="3" t="s">
        <v>25</v>
      </c>
      <c r="G421" s="3" t="s">
        <v>104</v>
      </c>
      <c r="H421" s="3" t="s">
        <v>42</v>
      </c>
      <c r="I421" s="3" t="s">
        <v>134</v>
      </c>
      <c r="J421" s="3" t="s">
        <v>5996</v>
      </c>
      <c r="K421" s="3" t="n">
        <v>4806936.68</v>
      </c>
      <c r="L421" s="3" t="n">
        <v>0.1112</v>
      </c>
      <c r="M421" s="3" t="n">
        <v>4272405.32</v>
      </c>
      <c r="N421" s="3" t="n">
        <v>1457432.69</v>
      </c>
      <c r="O421" s="3" t="n">
        <v>0.3411</v>
      </c>
      <c r="P421" s="3" t="n">
        <v>0.953</v>
      </c>
      <c r="Q421" s="3" t="n">
        <v>4071602.27</v>
      </c>
      <c r="R421" s="3" t="n">
        <v>36</v>
      </c>
      <c r="S421" s="3" t="n">
        <v>2.4</v>
      </c>
      <c r="T421" s="3" t="n">
        <v>9.5</v>
      </c>
      <c r="U421" s="3"/>
      <c r="V421" s="3" t="n">
        <v>4.91</v>
      </c>
      <c r="W421" s="3" t="s">
        <v>6000</v>
      </c>
    </row>
    <row r="422" customFormat="false" ht="15" hidden="false" customHeight="true" outlineLevel="0" collapsed="false">
      <c r="A422" s="3" t="s">
        <v>6484</v>
      </c>
      <c r="B422" s="3" t="s">
        <v>402</v>
      </c>
      <c r="C422" s="3" t="s">
        <v>1545</v>
      </c>
      <c r="D422" s="3" t="s">
        <v>97</v>
      </c>
      <c r="E422" s="3" t="s">
        <v>48</v>
      </c>
      <c r="F422" s="3" t="s">
        <v>40</v>
      </c>
      <c r="G422" s="3" t="s">
        <v>49</v>
      </c>
      <c r="H422" s="3" t="s">
        <v>77</v>
      </c>
      <c r="I422" s="3" t="s">
        <v>78</v>
      </c>
      <c r="J422" s="3" t="s">
        <v>5996</v>
      </c>
      <c r="K422" s="3" t="n">
        <v>2999031.23</v>
      </c>
      <c r="L422" s="3" t="n">
        <v>0.1231</v>
      </c>
      <c r="M422" s="3" t="n">
        <v>2629850.49</v>
      </c>
      <c r="N422" s="3" t="n">
        <v>952656.58</v>
      </c>
      <c r="O422" s="3" t="n">
        <v>0.3622</v>
      </c>
      <c r="P422" s="3" t="n">
        <v>1</v>
      </c>
      <c r="Q422" s="3" t="n">
        <v>2629850.49</v>
      </c>
      <c r="R422" s="3" t="n">
        <v>105</v>
      </c>
      <c r="S422" s="3" t="n">
        <v>7.9</v>
      </c>
      <c r="T422" s="3" t="n">
        <v>7.8</v>
      </c>
      <c r="U422" s="3"/>
      <c r="V422" s="3" t="n">
        <v>6.58</v>
      </c>
      <c r="W422" s="3" t="s">
        <v>5997</v>
      </c>
    </row>
    <row r="423" customFormat="false" ht="15" hidden="false" customHeight="true" outlineLevel="0" collapsed="false">
      <c r="A423" s="3" t="s">
        <v>6485</v>
      </c>
      <c r="B423" s="3" t="s">
        <v>734</v>
      </c>
      <c r="C423" s="3" t="s">
        <v>2379</v>
      </c>
      <c r="D423" s="3" t="s">
        <v>83</v>
      </c>
      <c r="E423" s="3" t="s">
        <v>48</v>
      </c>
      <c r="F423" s="3" t="s">
        <v>62</v>
      </c>
      <c r="G423" s="3" t="s">
        <v>116</v>
      </c>
      <c r="H423" s="3" t="s">
        <v>27</v>
      </c>
      <c r="I423" s="3" t="s">
        <v>117</v>
      </c>
      <c r="J423" s="3" t="s">
        <v>5996</v>
      </c>
      <c r="K423" s="3" t="n">
        <v>2426439.67</v>
      </c>
      <c r="L423" s="3" t="n">
        <v>0.1401</v>
      </c>
      <c r="M423" s="3" t="n">
        <v>2086495.47</v>
      </c>
      <c r="N423" s="3" t="n">
        <v>779156.23</v>
      </c>
      <c r="O423" s="3" t="n">
        <v>0.3734</v>
      </c>
      <c r="P423" s="3" t="n">
        <v>1</v>
      </c>
      <c r="Q423" s="3" t="n">
        <v>2086495.47</v>
      </c>
      <c r="R423" s="3" t="n">
        <v>108</v>
      </c>
      <c r="S423" s="3" t="n">
        <v>2.7</v>
      </c>
      <c r="T423" s="3" t="n">
        <v>1.6</v>
      </c>
      <c r="U423" s="3"/>
      <c r="V423" s="3" t="n">
        <v>6.17</v>
      </c>
      <c r="W423" s="3" t="s">
        <v>5990</v>
      </c>
    </row>
    <row r="424" customFormat="false" ht="15" hidden="false" customHeight="true" outlineLevel="0" collapsed="false">
      <c r="A424" s="3" t="s">
        <v>6486</v>
      </c>
      <c r="B424" s="3" t="s">
        <v>1116</v>
      </c>
      <c r="C424" s="3" t="s">
        <v>428</v>
      </c>
      <c r="D424" s="3" t="s">
        <v>54</v>
      </c>
      <c r="E424" s="3" t="s">
        <v>24</v>
      </c>
      <c r="F424" s="3" t="s">
        <v>40</v>
      </c>
      <c r="G424" s="3" t="s">
        <v>76</v>
      </c>
      <c r="H424" s="3" t="s">
        <v>64</v>
      </c>
      <c r="I424" s="3" t="s">
        <v>145</v>
      </c>
      <c r="J424" s="3" t="s">
        <v>5999</v>
      </c>
      <c r="K424" s="3" t="n">
        <v>4032810.42</v>
      </c>
      <c r="L424" s="3" t="n">
        <v>0.2661</v>
      </c>
      <c r="M424" s="3" t="n">
        <v>2959679.57</v>
      </c>
      <c r="N424" s="3" t="n">
        <v>955619.83</v>
      </c>
      <c r="O424" s="3" t="n">
        <v>0.3229</v>
      </c>
      <c r="P424" s="3" t="n">
        <v>0.451</v>
      </c>
      <c r="Q424" s="3" t="n">
        <v>1334815.49</v>
      </c>
      <c r="R424" s="3" t="n">
        <v>171</v>
      </c>
      <c r="S424" s="3" t="n">
        <v>7.2</v>
      </c>
      <c r="T424" s="3" t="n">
        <v>9.8</v>
      </c>
      <c r="U424" s="3"/>
      <c r="V424" s="3" t="n">
        <v>4.62</v>
      </c>
      <c r="W424" s="3" t="s">
        <v>6000</v>
      </c>
    </row>
    <row r="425" customFormat="false" ht="15" hidden="false" customHeight="true" outlineLevel="0" collapsed="false">
      <c r="A425" s="3" t="s">
        <v>6487</v>
      </c>
      <c r="B425" s="3" t="s">
        <v>1980</v>
      </c>
      <c r="C425" s="3" t="s">
        <v>997</v>
      </c>
      <c r="D425" s="3" t="s">
        <v>69</v>
      </c>
      <c r="E425" s="3" t="s">
        <v>39</v>
      </c>
      <c r="F425" s="3" t="s">
        <v>70</v>
      </c>
      <c r="G425" s="3" t="s">
        <v>63</v>
      </c>
      <c r="H425" s="3" t="s">
        <v>77</v>
      </c>
      <c r="I425" s="3" t="s">
        <v>85</v>
      </c>
      <c r="J425" s="3" t="s">
        <v>5989</v>
      </c>
      <c r="K425" s="3" t="n">
        <v>3181896.69</v>
      </c>
      <c r="L425" s="3" t="n">
        <v>0.2581</v>
      </c>
      <c r="M425" s="3" t="n">
        <v>2360649.15</v>
      </c>
      <c r="N425" s="3" t="n">
        <v>669022</v>
      </c>
      <c r="O425" s="3" t="n">
        <v>0.2834</v>
      </c>
      <c r="P425" s="3" t="n">
        <v>0.29</v>
      </c>
      <c r="Q425" s="3" t="n">
        <v>684588.25</v>
      </c>
      <c r="R425" s="3" t="n">
        <v>93</v>
      </c>
      <c r="S425" s="3" t="n">
        <v>5.6</v>
      </c>
      <c r="T425" s="3" t="n">
        <v>2.1</v>
      </c>
      <c r="U425" s="3"/>
      <c r="V425" s="3" t="n">
        <v>5.14</v>
      </c>
      <c r="W425" s="3" t="s">
        <v>5990</v>
      </c>
    </row>
    <row r="426" customFormat="false" ht="15" hidden="false" customHeight="true" outlineLevel="0" collapsed="false">
      <c r="A426" s="3" t="s">
        <v>6488</v>
      </c>
      <c r="B426" s="3" t="s">
        <v>1623</v>
      </c>
      <c r="C426" s="3" t="s">
        <v>2869</v>
      </c>
      <c r="D426" s="3" t="s">
        <v>23</v>
      </c>
      <c r="E426" s="3" t="s">
        <v>24</v>
      </c>
      <c r="F426" s="3" t="s">
        <v>25</v>
      </c>
      <c r="G426" s="3" t="s">
        <v>41</v>
      </c>
      <c r="H426" s="3" t="s">
        <v>77</v>
      </c>
      <c r="I426" s="3" t="s">
        <v>131</v>
      </c>
      <c r="J426" s="3" t="s">
        <v>5996</v>
      </c>
      <c r="K426" s="3" t="n">
        <v>4304204.63</v>
      </c>
      <c r="L426" s="3" t="n">
        <v>0.2403</v>
      </c>
      <c r="M426" s="3" t="n">
        <v>3269904.26</v>
      </c>
      <c r="N426" s="3" t="n">
        <v>1200357.55</v>
      </c>
      <c r="O426" s="3" t="n">
        <v>0.3671</v>
      </c>
      <c r="P426" s="3" t="n">
        <v>0.988</v>
      </c>
      <c r="Q426" s="3" t="n">
        <v>3230665.41</v>
      </c>
      <c r="R426" s="3" t="n">
        <v>20</v>
      </c>
      <c r="S426" s="3" t="n">
        <v>7.4</v>
      </c>
      <c r="T426" s="3" t="n">
        <v>1.2</v>
      </c>
      <c r="U426" s="3"/>
      <c r="V426" s="3" t="n">
        <v>6.54</v>
      </c>
      <c r="W426" s="3" t="s">
        <v>5997</v>
      </c>
    </row>
    <row r="427" customFormat="false" ht="15" hidden="false" customHeight="true" outlineLevel="0" collapsed="false">
      <c r="A427" s="3" t="s">
        <v>6489</v>
      </c>
      <c r="B427" s="3" t="s">
        <v>2879</v>
      </c>
      <c r="C427" s="3" t="s">
        <v>824</v>
      </c>
      <c r="D427" s="3" t="s">
        <v>75</v>
      </c>
      <c r="E427" s="3" t="s">
        <v>39</v>
      </c>
      <c r="F427" s="3" t="s">
        <v>25</v>
      </c>
      <c r="G427" s="3" t="s">
        <v>41</v>
      </c>
      <c r="H427" s="3" t="s">
        <v>56</v>
      </c>
      <c r="I427" s="3" t="s">
        <v>57</v>
      </c>
      <c r="J427" s="3" t="s">
        <v>5992</v>
      </c>
      <c r="K427" s="3" t="n">
        <v>4325712.48</v>
      </c>
      <c r="L427" s="3" t="n">
        <v>0.2391</v>
      </c>
      <c r="M427" s="3" t="n">
        <v>3291434.63</v>
      </c>
      <c r="N427" s="3" t="n">
        <v>1520919.34</v>
      </c>
      <c r="O427" s="3" t="n">
        <v>0.4621</v>
      </c>
      <c r="P427" s="3" t="n">
        <v>0.695</v>
      </c>
      <c r="Q427" s="3" t="n">
        <v>2287547.07</v>
      </c>
      <c r="R427" s="3" t="n">
        <v>82</v>
      </c>
      <c r="S427" s="3" t="n">
        <v>9.6</v>
      </c>
      <c r="T427" s="3" t="n">
        <v>6.8</v>
      </c>
      <c r="U427" s="3"/>
      <c r="V427" s="3" t="n">
        <v>6.88</v>
      </c>
      <c r="W427" s="3" t="s">
        <v>5997</v>
      </c>
    </row>
    <row r="428" customFormat="false" ht="15" hidden="false" customHeight="true" outlineLevel="0" collapsed="false">
      <c r="A428" s="3" t="s">
        <v>6490</v>
      </c>
      <c r="B428" s="3" t="s">
        <v>1398</v>
      </c>
      <c r="C428" s="3" t="s">
        <v>4614</v>
      </c>
      <c r="D428" s="3" t="s">
        <v>23</v>
      </c>
      <c r="E428" s="3" t="s">
        <v>24</v>
      </c>
      <c r="F428" s="3" t="s">
        <v>25</v>
      </c>
      <c r="G428" s="3" t="s">
        <v>63</v>
      </c>
      <c r="H428" s="3" t="s">
        <v>42</v>
      </c>
      <c r="I428" s="3" t="s">
        <v>43</v>
      </c>
      <c r="J428" s="3" t="s">
        <v>5992</v>
      </c>
      <c r="K428" s="3" t="n">
        <v>2442407.97</v>
      </c>
      <c r="L428" s="3" t="n">
        <v>0.2749</v>
      </c>
      <c r="M428" s="3" t="n">
        <v>1770990.02</v>
      </c>
      <c r="N428" s="3" t="n">
        <v>828910.66</v>
      </c>
      <c r="O428" s="3" t="n">
        <v>0.468</v>
      </c>
      <c r="P428" s="3" t="n">
        <v>0.7</v>
      </c>
      <c r="Q428" s="3" t="n">
        <v>1239693.01</v>
      </c>
      <c r="R428" s="3" t="n">
        <v>67</v>
      </c>
      <c r="S428" s="3" t="n">
        <v>2.2</v>
      </c>
      <c r="T428" s="3" t="n">
        <v>2.1</v>
      </c>
      <c r="U428" s="3"/>
      <c r="V428" s="3" t="n">
        <v>5.44</v>
      </c>
      <c r="W428" s="3" t="s">
        <v>5990</v>
      </c>
    </row>
    <row r="429" customFormat="false" ht="15" hidden="false" customHeight="true" outlineLevel="0" collapsed="false">
      <c r="A429" s="3" t="s">
        <v>6491</v>
      </c>
      <c r="B429" s="3" t="s">
        <v>231</v>
      </c>
      <c r="C429" s="3" t="s">
        <v>575</v>
      </c>
      <c r="D429" s="3" t="s">
        <v>75</v>
      </c>
      <c r="E429" s="3" t="s">
        <v>39</v>
      </c>
      <c r="F429" s="3" t="s">
        <v>25</v>
      </c>
      <c r="G429" s="3" t="s">
        <v>100</v>
      </c>
      <c r="H429" s="3" t="s">
        <v>27</v>
      </c>
      <c r="I429" s="3" t="s">
        <v>117</v>
      </c>
      <c r="J429" s="3" t="s">
        <v>5989</v>
      </c>
      <c r="K429" s="3" t="n">
        <v>2980624.85</v>
      </c>
      <c r="L429" s="3" t="n">
        <v>0.1763</v>
      </c>
      <c r="M429" s="3" t="n">
        <v>2455140.69</v>
      </c>
      <c r="N429" s="3" t="n">
        <v>889977.1</v>
      </c>
      <c r="O429" s="3" t="n">
        <v>0.3625</v>
      </c>
      <c r="P429" s="3" t="n">
        <v>0.21</v>
      </c>
      <c r="Q429" s="3" t="n">
        <v>515579.54</v>
      </c>
      <c r="R429" s="3" t="n">
        <v>24</v>
      </c>
      <c r="S429" s="3" t="n">
        <v>9</v>
      </c>
      <c r="T429" s="3" t="n">
        <v>8</v>
      </c>
      <c r="U429" s="3"/>
      <c r="V429" s="3" t="n">
        <v>6.41</v>
      </c>
      <c r="W429" s="3" t="s">
        <v>5990</v>
      </c>
    </row>
    <row r="430" customFormat="false" ht="15" hidden="false" customHeight="true" outlineLevel="0" collapsed="false">
      <c r="A430" s="3" t="s">
        <v>6492</v>
      </c>
      <c r="B430" s="3" t="s">
        <v>1060</v>
      </c>
      <c r="C430" s="3" t="s">
        <v>2379</v>
      </c>
      <c r="D430" s="3" t="s">
        <v>23</v>
      </c>
      <c r="E430" s="3" t="s">
        <v>24</v>
      </c>
      <c r="F430" s="3" t="s">
        <v>25</v>
      </c>
      <c r="G430" s="3" t="s">
        <v>49</v>
      </c>
      <c r="H430" s="3" t="s">
        <v>42</v>
      </c>
      <c r="I430" s="3" t="s">
        <v>72</v>
      </c>
      <c r="J430" s="3" t="s">
        <v>6009</v>
      </c>
      <c r="K430" s="3" t="n">
        <v>2475852.4</v>
      </c>
      <c r="L430" s="3" t="n">
        <v>0.1565</v>
      </c>
      <c r="M430" s="3" t="n">
        <v>2088381.5</v>
      </c>
      <c r="N430" s="3" t="n">
        <v>820910.81</v>
      </c>
      <c r="O430" s="3" t="n">
        <v>0.3931</v>
      </c>
      <c r="P430" s="3" t="n">
        <v>0.048</v>
      </c>
      <c r="Q430" s="3" t="n">
        <v>100242.31</v>
      </c>
      <c r="R430" s="3" t="n">
        <v>174</v>
      </c>
      <c r="S430" s="3" t="n">
        <v>5.6</v>
      </c>
      <c r="T430" s="3" t="n">
        <v>9.6</v>
      </c>
      <c r="U430" s="3" t="s">
        <v>6041</v>
      </c>
      <c r="V430" s="3" t="n">
        <v>5.71</v>
      </c>
      <c r="W430" s="3" t="s">
        <v>5990</v>
      </c>
    </row>
    <row r="431" customFormat="false" ht="15" hidden="false" customHeight="true" outlineLevel="0" collapsed="false">
      <c r="A431" s="3" t="s">
        <v>6493</v>
      </c>
      <c r="B431" s="3" t="s">
        <v>1043</v>
      </c>
      <c r="C431" s="3" t="s">
        <v>718</v>
      </c>
      <c r="D431" s="3" t="s">
        <v>54</v>
      </c>
      <c r="E431" s="3" t="s">
        <v>24</v>
      </c>
      <c r="F431" s="3" t="s">
        <v>40</v>
      </c>
      <c r="G431" s="3" t="s">
        <v>49</v>
      </c>
      <c r="H431" s="3" t="s">
        <v>27</v>
      </c>
      <c r="I431" s="3" t="s">
        <v>28</v>
      </c>
      <c r="J431" s="3" t="s">
        <v>5996</v>
      </c>
      <c r="K431" s="3" t="n">
        <v>3500070.55</v>
      </c>
      <c r="L431" s="3" t="n">
        <v>0.2675</v>
      </c>
      <c r="M431" s="3" t="n">
        <v>2563801.68</v>
      </c>
      <c r="N431" s="3" t="n">
        <v>963573.91</v>
      </c>
      <c r="O431" s="3" t="n">
        <v>0.3758</v>
      </c>
      <c r="P431" s="3" t="n">
        <v>0.962</v>
      </c>
      <c r="Q431" s="3" t="n">
        <v>2466377.22</v>
      </c>
      <c r="R431" s="3" t="n">
        <v>65</v>
      </c>
      <c r="S431" s="3" t="n">
        <v>8.8</v>
      </c>
      <c r="T431" s="3" t="n">
        <v>3.5</v>
      </c>
      <c r="U431" s="3"/>
      <c r="V431" s="3" t="n">
        <v>6.39</v>
      </c>
      <c r="W431" s="3" t="s">
        <v>5990</v>
      </c>
    </row>
    <row r="432" customFormat="false" ht="15" hidden="false" customHeight="true" outlineLevel="0" collapsed="false">
      <c r="A432" s="3" t="s">
        <v>6494</v>
      </c>
      <c r="B432" s="3" t="s">
        <v>1221</v>
      </c>
      <c r="C432" s="3" t="s">
        <v>500</v>
      </c>
      <c r="D432" s="3" t="s">
        <v>69</v>
      </c>
      <c r="E432" s="3" t="s">
        <v>39</v>
      </c>
      <c r="F432" s="3" t="s">
        <v>70</v>
      </c>
      <c r="G432" s="3" t="s">
        <v>49</v>
      </c>
      <c r="H432" s="3" t="s">
        <v>77</v>
      </c>
      <c r="I432" s="3" t="s">
        <v>131</v>
      </c>
      <c r="J432" s="3" t="s">
        <v>5999</v>
      </c>
      <c r="K432" s="3" t="n">
        <v>1020347.39</v>
      </c>
      <c r="L432" s="3" t="n">
        <v>0.0756</v>
      </c>
      <c r="M432" s="3" t="n">
        <v>943209.13</v>
      </c>
      <c r="N432" s="3" t="n">
        <v>286290.24</v>
      </c>
      <c r="O432" s="3" t="n">
        <v>0.3035</v>
      </c>
      <c r="P432" s="3" t="n">
        <v>0.427</v>
      </c>
      <c r="Q432" s="3" t="n">
        <v>402750.3</v>
      </c>
      <c r="R432" s="3" t="n">
        <v>102</v>
      </c>
      <c r="S432" s="3" t="n">
        <v>4</v>
      </c>
      <c r="T432" s="3" t="n">
        <v>6.7</v>
      </c>
      <c r="U432" s="3"/>
      <c r="V432" s="3" t="n">
        <v>5.71</v>
      </c>
      <c r="W432" s="3" t="s">
        <v>5990</v>
      </c>
    </row>
    <row r="433" customFormat="false" ht="15" hidden="false" customHeight="true" outlineLevel="0" collapsed="false">
      <c r="A433" s="3" t="s">
        <v>6495</v>
      </c>
      <c r="B433" s="3" t="s">
        <v>231</v>
      </c>
      <c r="C433" s="3" t="s">
        <v>1444</v>
      </c>
      <c r="D433" s="3" t="s">
        <v>23</v>
      </c>
      <c r="E433" s="3" t="s">
        <v>24</v>
      </c>
      <c r="F433" s="3" t="s">
        <v>25</v>
      </c>
      <c r="G433" s="3" t="s">
        <v>55</v>
      </c>
      <c r="H433" s="3" t="s">
        <v>56</v>
      </c>
      <c r="I433" s="3" t="s">
        <v>188</v>
      </c>
      <c r="J433" s="3" t="s">
        <v>6003</v>
      </c>
      <c r="K433" s="3" t="n">
        <v>3432811.75</v>
      </c>
      <c r="L433" s="3" t="n">
        <v>0.1988</v>
      </c>
      <c r="M433" s="3" t="n">
        <v>2750368.77</v>
      </c>
      <c r="N433" s="3" t="n">
        <v>787298.95</v>
      </c>
      <c r="O433" s="3" t="n">
        <v>0.2863</v>
      </c>
      <c r="P433" s="3" t="n">
        <v>0.134</v>
      </c>
      <c r="Q433" s="3" t="n">
        <v>368549.42</v>
      </c>
      <c r="R433" s="3" t="n">
        <v>111</v>
      </c>
      <c r="S433" s="3" t="n">
        <v>9.9</v>
      </c>
      <c r="T433" s="3" t="n">
        <v>6.6</v>
      </c>
      <c r="U433" s="3"/>
      <c r="V433" s="3" t="n">
        <v>6.07</v>
      </c>
      <c r="W433" s="3" t="s">
        <v>5990</v>
      </c>
    </row>
    <row r="434" customFormat="false" ht="15" hidden="false" customHeight="true" outlineLevel="0" collapsed="false">
      <c r="A434" s="3" t="s">
        <v>6496</v>
      </c>
      <c r="B434" s="3" t="s">
        <v>3463</v>
      </c>
      <c r="C434" s="3" t="s">
        <v>6497</v>
      </c>
      <c r="D434" s="3" t="s">
        <v>23</v>
      </c>
      <c r="E434" s="3" t="s">
        <v>24</v>
      </c>
      <c r="F434" s="3" t="s">
        <v>25</v>
      </c>
      <c r="G434" s="3" t="s">
        <v>116</v>
      </c>
      <c r="H434" s="3" t="s">
        <v>27</v>
      </c>
      <c r="I434" s="3" t="s">
        <v>94</v>
      </c>
      <c r="J434" s="3" t="s">
        <v>5989</v>
      </c>
      <c r="K434" s="3" t="n">
        <v>1499318.52</v>
      </c>
      <c r="L434" s="3" t="n">
        <v>0.1725</v>
      </c>
      <c r="M434" s="3" t="n">
        <v>1240686.08</v>
      </c>
      <c r="N434" s="3" t="n">
        <v>492230.44</v>
      </c>
      <c r="O434" s="3" t="n">
        <v>0.3967</v>
      </c>
      <c r="P434" s="3" t="n">
        <v>0.213</v>
      </c>
      <c r="Q434" s="3" t="n">
        <v>264266.14</v>
      </c>
      <c r="R434" s="3" t="n">
        <v>159</v>
      </c>
      <c r="S434" s="3" t="n">
        <v>9.2</v>
      </c>
      <c r="T434" s="3" t="n">
        <v>8.4</v>
      </c>
      <c r="U434" s="3"/>
      <c r="V434" s="3" t="n">
        <v>6.67</v>
      </c>
      <c r="W434" s="3" t="s">
        <v>5997</v>
      </c>
    </row>
    <row r="435" customFormat="false" ht="15" hidden="false" customHeight="true" outlineLevel="0" collapsed="false">
      <c r="A435" s="3" t="s">
        <v>6498</v>
      </c>
      <c r="B435" s="3" t="s">
        <v>356</v>
      </c>
      <c r="C435" s="3" t="s">
        <v>1633</v>
      </c>
      <c r="D435" s="3" t="s">
        <v>38</v>
      </c>
      <c r="E435" s="3" t="s">
        <v>39</v>
      </c>
      <c r="F435" s="3" t="s">
        <v>40</v>
      </c>
      <c r="G435" s="3" t="s">
        <v>71</v>
      </c>
      <c r="H435" s="3" t="s">
        <v>42</v>
      </c>
      <c r="I435" s="3" t="s">
        <v>72</v>
      </c>
      <c r="J435" s="3" t="s">
        <v>5989</v>
      </c>
      <c r="K435" s="3" t="n">
        <v>2019701.44</v>
      </c>
      <c r="L435" s="3" t="n">
        <v>0.2753</v>
      </c>
      <c r="M435" s="3" t="n">
        <v>1463677.63</v>
      </c>
      <c r="N435" s="3" t="n">
        <v>412734.86</v>
      </c>
      <c r="O435" s="3" t="n">
        <v>0.282</v>
      </c>
      <c r="P435" s="3" t="n">
        <v>0.282</v>
      </c>
      <c r="Q435" s="3" t="n">
        <v>412757.09</v>
      </c>
      <c r="R435" s="3" t="n">
        <v>121</v>
      </c>
      <c r="S435" s="3" t="n">
        <v>1.1</v>
      </c>
      <c r="T435" s="3" t="n">
        <v>7.8</v>
      </c>
      <c r="U435" s="3"/>
      <c r="V435" s="3" t="n">
        <v>3.01</v>
      </c>
      <c r="W435" s="3" t="s">
        <v>6000</v>
      </c>
    </row>
    <row r="436" customFormat="false" ht="15" hidden="false" customHeight="true" outlineLevel="0" collapsed="false">
      <c r="A436" s="3" t="s">
        <v>6499</v>
      </c>
      <c r="B436" s="3" t="s">
        <v>229</v>
      </c>
      <c r="C436" s="3" t="s">
        <v>907</v>
      </c>
      <c r="D436" s="3" t="s">
        <v>103</v>
      </c>
      <c r="E436" s="3" t="s">
        <v>24</v>
      </c>
      <c r="F436" s="3" t="s">
        <v>62</v>
      </c>
      <c r="G436" s="3" t="s">
        <v>104</v>
      </c>
      <c r="H436" s="3" t="s">
        <v>64</v>
      </c>
      <c r="I436" s="3" t="s">
        <v>90</v>
      </c>
      <c r="J436" s="3" t="s">
        <v>5992</v>
      </c>
      <c r="K436" s="3" t="n">
        <v>1495347.51</v>
      </c>
      <c r="L436" s="3" t="n">
        <v>0.2021</v>
      </c>
      <c r="M436" s="3" t="n">
        <v>1193137.78</v>
      </c>
      <c r="N436" s="3" t="n">
        <v>485865.1</v>
      </c>
      <c r="O436" s="3" t="n">
        <v>0.4072</v>
      </c>
      <c r="P436" s="3" t="n">
        <v>0.739</v>
      </c>
      <c r="Q436" s="3" t="n">
        <v>881728.82</v>
      </c>
      <c r="R436" s="3" t="n">
        <v>82</v>
      </c>
      <c r="S436" s="3" t="n">
        <v>5.4</v>
      </c>
      <c r="T436" s="3" t="n">
        <v>2.1</v>
      </c>
      <c r="U436" s="3"/>
      <c r="V436" s="3" t="n">
        <v>6.51</v>
      </c>
      <c r="W436" s="3" t="s">
        <v>5997</v>
      </c>
    </row>
    <row r="437" customFormat="false" ht="15" hidden="false" customHeight="true" outlineLevel="0" collapsed="false">
      <c r="A437" s="3" t="s">
        <v>6500</v>
      </c>
      <c r="B437" s="3" t="s">
        <v>900</v>
      </c>
      <c r="C437" s="3" t="s">
        <v>625</v>
      </c>
      <c r="D437" s="3" t="s">
        <v>32</v>
      </c>
      <c r="E437" s="3" t="s">
        <v>33</v>
      </c>
      <c r="F437" s="3" t="s">
        <v>25</v>
      </c>
      <c r="G437" s="3" t="s">
        <v>104</v>
      </c>
      <c r="H437" s="3" t="s">
        <v>56</v>
      </c>
      <c r="I437" s="3" t="s">
        <v>57</v>
      </c>
      <c r="J437" s="3" t="s">
        <v>6009</v>
      </c>
      <c r="K437" s="3" t="n">
        <v>1889488.28</v>
      </c>
      <c r="L437" s="3" t="n">
        <v>0.1337</v>
      </c>
      <c r="M437" s="3" t="n">
        <v>1636863.7</v>
      </c>
      <c r="N437" s="3" t="n">
        <v>522456.01</v>
      </c>
      <c r="O437" s="3" t="n">
        <v>0.3192</v>
      </c>
      <c r="P437" s="3" t="n">
        <v>0</v>
      </c>
      <c r="Q437" s="3" t="n">
        <v>0</v>
      </c>
      <c r="R437" s="3" t="n">
        <v>105</v>
      </c>
      <c r="S437" s="3" t="n">
        <v>8.1</v>
      </c>
      <c r="T437" s="3" t="n">
        <v>4.1</v>
      </c>
      <c r="U437" s="3" t="s">
        <v>6020</v>
      </c>
      <c r="V437" s="3" t="n">
        <v>6.77</v>
      </c>
      <c r="W437" s="3" t="s">
        <v>5997</v>
      </c>
    </row>
    <row r="438" customFormat="false" ht="15" hidden="false" customHeight="true" outlineLevel="0" collapsed="false">
      <c r="A438" s="3" t="s">
        <v>6501</v>
      </c>
      <c r="B438" s="3" t="s">
        <v>3042</v>
      </c>
      <c r="C438" s="3" t="s">
        <v>6502</v>
      </c>
      <c r="D438" s="3" t="s">
        <v>97</v>
      </c>
      <c r="E438" s="3" t="s">
        <v>48</v>
      </c>
      <c r="F438" s="3" t="s">
        <v>40</v>
      </c>
      <c r="G438" s="3" t="s">
        <v>71</v>
      </c>
      <c r="H438" s="3" t="s">
        <v>64</v>
      </c>
      <c r="I438" s="3" t="s">
        <v>145</v>
      </c>
      <c r="J438" s="3" t="s">
        <v>6009</v>
      </c>
      <c r="K438" s="3" t="n">
        <v>2824929.92</v>
      </c>
      <c r="L438" s="3" t="n">
        <v>0.2355</v>
      </c>
      <c r="M438" s="3" t="n">
        <v>2159658.92</v>
      </c>
      <c r="N438" s="3" t="n">
        <v>794052.44</v>
      </c>
      <c r="O438" s="3" t="n">
        <v>0.3677</v>
      </c>
      <c r="P438" s="3" t="n">
        <v>0</v>
      </c>
      <c r="Q438" s="3" t="n">
        <v>0</v>
      </c>
      <c r="R438" s="3" t="n">
        <v>152</v>
      </c>
      <c r="S438" s="3" t="n">
        <v>8.2</v>
      </c>
      <c r="T438" s="3" t="n">
        <v>9.9</v>
      </c>
      <c r="U438" s="3" t="s">
        <v>6020</v>
      </c>
      <c r="V438" s="3" t="n">
        <v>5.46</v>
      </c>
      <c r="W438" s="3" t="s">
        <v>5990</v>
      </c>
    </row>
    <row r="439" customFormat="false" ht="15" hidden="false" customHeight="true" outlineLevel="0" collapsed="false">
      <c r="A439" s="3" t="s">
        <v>6503</v>
      </c>
      <c r="B439" s="3" t="s">
        <v>2446</v>
      </c>
      <c r="C439" s="3" t="s">
        <v>2979</v>
      </c>
      <c r="D439" s="3" t="s">
        <v>32</v>
      </c>
      <c r="E439" s="3" t="s">
        <v>33</v>
      </c>
      <c r="F439" s="3" t="s">
        <v>25</v>
      </c>
      <c r="G439" s="3" t="s">
        <v>76</v>
      </c>
      <c r="H439" s="3" t="s">
        <v>42</v>
      </c>
      <c r="I439" s="3" t="s">
        <v>134</v>
      </c>
      <c r="J439" s="3" t="s">
        <v>5992</v>
      </c>
      <c r="K439" s="3" t="n">
        <v>3519878.6</v>
      </c>
      <c r="L439" s="3" t="n">
        <v>0.1307</v>
      </c>
      <c r="M439" s="3" t="n">
        <v>3059830.47</v>
      </c>
      <c r="N439" s="3" t="n">
        <v>868025.28</v>
      </c>
      <c r="O439" s="3" t="n">
        <v>0.2837</v>
      </c>
      <c r="P439" s="3" t="n">
        <v>0.707</v>
      </c>
      <c r="Q439" s="3" t="n">
        <v>2163300.14</v>
      </c>
      <c r="R439" s="3" t="n">
        <v>117</v>
      </c>
      <c r="S439" s="3" t="n">
        <v>2.9</v>
      </c>
      <c r="T439" s="3" t="n">
        <v>7.5</v>
      </c>
      <c r="U439" s="3"/>
      <c r="V439" s="3" t="n">
        <v>4.7</v>
      </c>
      <c r="W439" s="3" t="s">
        <v>6000</v>
      </c>
    </row>
    <row r="440" customFormat="false" ht="15" hidden="false" customHeight="true" outlineLevel="0" collapsed="false">
      <c r="A440" s="3" t="s">
        <v>6504</v>
      </c>
      <c r="B440" s="3" t="s">
        <v>1502</v>
      </c>
      <c r="C440" s="3" t="s">
        <v>6505</v>
      </c>
      <c r="D440" s="3" t="s">
        <v>32</v>
      </c>
      <c r="E440" s="3" t="s">
        <v>33</v>
      </c>
      <c r="F440" s="3" t="s">
        <v>25</v>
      </c>
      <c r="G440" s="3" t="s">
        <v>84</v>
      </c>
      <c r="H440" s="3" t="s">
        <v>42</v>
      </c>
      <c r="I440" s="3" t="s">
        <v>72</v>
      </c>
      <c r="J440" s="3" t="s">
        <v>5996</v>
      </c>
      <c r="K440" s="3" t="n">
        <v>3377474.24</v>
      </c>
      <c r="L440" s="3" t="n">
        <v>0.2454</v>
      </c>
      <c r="M440" s="3" t="n">
        <v>2548642.06</v>
      </c>
      <c r="N440" s="3" t="n">
        <v>1172506.65</v>
      </c>
      <c r="O440" s="3" t="n">
        <v>0.4601</v>
      </c>
      <c r="P440" s="3" t="n">
        <v>0.97</v>
      </c>
      <c r="Q440" s="3" t="n">
        <v>2472182.8</v>
      </c>
      <c r="R440" s="3" t="n">
        <v>158</v>
      </c>
      <c r="S440" s="3" t="n">
        <v>2.8</v>
      </c>
      <c r="T440" s="3" t="n">
        <v>1.9</v>
      </c>
      <c r="U440" s="3"/>
      <c r="V440" s="3" t="n">
        <v>5.87</v>
      </c>
      <c r="W440" s="3" t="s">
        <v>5990</v>
      </c>
    </row>
    <row r="441" customFormat="false" ht="15" hidden="false" customHeight="true" outlineLevel="0" collapsed="false">
      <c r="A441" s="3" t="s">
        <v>6506</v>
      </c>
      <c r="B441" s="3" t="s">
        <v>2414</v>
      </c>
      <c r="C441" s="3" t="s">
        <v>6507</v>
      </c>
      <c r="D441" s="3" t="s">
        <v>32</v>
      </c>
      <c r="E441" s="3" t="s">
        <v>33</v>
      </c>
      <c r="F441" s="3" t="s">
        <v>25</v>
      </c>
      <c r="G441" s="3" t="s">
        <v>26</v>
      </c>
      <c r="H441" s="3" t="s">
        <v>64</v>
      </c>
      <c r="I441" s="3" t="s">
        <v>65</v>
      </c>
      <c r="J441" s="3" t="s">
        <v>5999</v>
      </c>
      <c r="K441" s="3" t="n">
        <v>3857387.76</v>
      </c>
      <c r="L441" s="3" t="n">
        <v>0.1744</v>
      </c>
      <c r="M441" s="3" t="n">
        <v>3184659.33</v>
      </c>
      <c r="N441" s="3" t="n">
        <v>1090923.12</v>
      </c>
      <c r="O441" s="3" t="n">
        <v>0.3426</v>
      </c>
      <c r="P441" s="3" t="n">
        <v>0.416</v>
      </c>
      <c r="Q441" s="3" t="n">
        <v>1324818.28</v>
      </c>
      <c r="R441" s="3" t="n">
        <v>106</v>
      </c>
      <c r="S441" s="3" t="n">
        <v>9.8</v>
      </c>
      <c r="T441" s="3" t="n">
        <v>9.2</v>
      </c>
      <c r="U441" s="3"/>
      <c r="V441" s="3" t="n">
        <v>6.28</v>
      </c>
      <c r="W441" s="3" t="s">
        <v>5990</v>
      </c>
    </row>
    <row r="442" customFormat="false" ht="15" hidden="false" customHeight="true" outlineLevel="0" collapsed="false">
      <c r="A442" s="3" t="s">
        <v>6508</v>
      </c>
      <c r="B442" s="3" t="s">
        <v>358</v>
      </c>
      <c r="C442" s="3" t="s">
        <v>1240</v>
      </c>
      <c r="D442" s="3" t="s">
        <v>103</v>
      </c>
      <c r="E442" s="3" t="s">
        <v>24</v>
      </c>
      <c r="F442" s="3" t="s">
        <v>62</v>
      </c>
      <c r="G442" s="3" t="s">
        <v>100</v>
      </c>
      <c r="H442" s="3" t="s">
        <v>56</v>
      </c>
      <c r="I442" s="3" t="s">
        <v>57</v>
      </c>
      <c r="J442" s="3" t="s">
        <v>5996</v>
      </c>
      <c r="K442" s="3" t="n">
        <v>262070.02</v>
      </c>
      <c r="L442" s="3" t="n">
        <v>0.2238</v>
      </c>
      <c r="M442" s="3" t="n">
        <v>203418.75</v>
      </c>
      <c r="N442" s="3" t="n">
        <v>89946.27</v>
      </c>
      <c r="O442" s="3" t="n">
        <v>0.4422</v>
      </c>
      <c r="P442" s="3" t="n">
        <v>1</v>
      </c>
      <c r="Q442" s="3" t="n">
        <v>203418.75</v>
      </c>
      <c r="R442" s="3" t="n">
        <v>50</v>
      </c>
      <c r="S442" s="3" t="n">
        <v>1.3</v>
      </c>
      <c r="T442" s="3" t="n">
        <v>8.1</v>
      </c>
      <c r="U442" s="3"/>
      <c r="V442" s="3" t="n">
        <v>4.67</v>
      </c>
      <c r="W442" s="3" t="s">
        <v>6000</v>
      </c>
    </row>
    <row r="443" customFormat="false" ht="15" hidden="false" customHeight="true" outlineLevel="0" collapsed="false">
      <c r="A443" s="3" t="s">
        <v>6509</v>
      </c>
      <c r="B443" s="3" t="s">
        <v>537</v>
      </c>
      <c r="C443" s="3" t="s">
        <v>2391</v>
      </c>
      <c r="D443" s="3" t="s">
        <v>23</v>
      </c>
      <c r="E443" s="3" t="s">
        <v>24</v>
      </c>
      <c r="F443" s="3" t="s">
        <v>25</v>
      </c>
      <c r="G443" s="3" t="s">
        <v>41</v>
      </c>
      <c r="H443" s="3" t="s">
        <v>56</v>
      </c>
      <c r="I443" s="3" t="s">
        <v>121</v>
      </c>
      <c r="J443" s="3" t="s">
        <v>5999</v>
      </c>
      <c r="K443" s="3" t="n">
        <v>4562636.26</v>
      </c>
      <c r="L443" s="3" t="n">
        <v>0.185</v>
      </c>
      <c r="M443" s="3" t="n">
        <v>3718548.55</v>
      </c>
      <c r="N443" s="3" t="n">
        <v>1313074.41</v>
      </c>
      <c r="O443" s="3" t="n">
        <v>0.3531</v>
      </c>
      <c r="P443" s="3" t="n">
        <v>0.479</v>
      </c>
      <c r="Q443" s="3" t="n">
        <v>1781184.76</v>
      </c>
      <c r="R443" s="3" t="n">
        <v>145</v>
      </c>
      <c r="S443" s="3" t="n">
        <v>6.5</v>
      </c>
      <c r="T443" s="3" t="n">
        <v>8.4</v>
      </c>
      <c r="U443" s="3"/>
      <c r="V443" s="3" t="n">
        <v>5.54</v>
      </c>
      <c r="W443" s="3" t="s">
        <v>5990</v>
      </c>
    </row>
    <row r="444" customFormat="false" ht="15" hidden="false" customHeight="true" outlineLevel="0" collapsed="false">
      <c r="A444" s="3" t="s">
        <v>6510</v>
      </c>
      <c r="B444" s="3" t="s">
        <v>2889</v>
      </c>
      <c r="C444" s="3" t="s">
        <v>2725</v>
      </c>
      <c r="D444" s="3" t="s">
        <v>107</v>
      </c>
      <c r="E444" s="3" t="s">
        <v>33</v>
      </c>
      <c r="F444" s="3" t="s">
        <v>70</v>
      </c>
      <c r="G444" s="3" t="s">
        <v>84</v>
      </c>
      <c r="H444" s="3" t="s">
        <v>27</v>
      </c>
      <c r="I444" s="3" t="s">
        <v>117</v>
      </c>
      <c r="J444" s="3" t="s">
        <v>6003</v>
      </c>
      <c r="K444" s="3" t="n">
        <v>2288366.06</v>
      </c>
      <c r="L444" s="3" t="n">
        <v>0.1015</v>
      </c>
      <c r="M444" s="3" t="n">
        <v>2056096.9</v>
      </c>
      <c r="N444" s="3" t="n">
        <v>952981.13</v>
      </c>
      <c r="O444" s="3" t="n">
        <v>0.4635</v>
      </c>
      <c r="P444" s="3" t="n">
        <v>0.147</v>
      </c>
      <c r="Q444" s="3" t="n">
        <v>302246.24</v>
      </c>
      <c r="R444" s="3" t="n">
        <v>108</v>
      </c>
      <c r="S444" s="3" t="n">
        <v>8.1</v>
      </c>
      <c r="T444" s="3" t="n">
        <v>4.7</v>
      </c>
      <c r="U444" s="3"/>
      <c r="V444" s="3" t="n">
        <v>7.97</v>
      </c>
      <c r="W444" s="3" t="s">
        <v>5997</v>
      </c>
    </row>
    <row r="445" customFormat="false" ht="15" hidden="false" customHeight="true" outlineLevel="0" collapsed="false">
      <c r="A445" s="3" t="s">
        <v>6511</v>
      </c>
      <c r="B445" s="3" t="s">
        <v>92</v>
      </c>
      <c r="C445" s="3" t="s">
        <v>1381</v>
      </c>
      <c r="D445" s="3" t="s">
        <v>23</v>
      </c>
      <c r="E445" s="3" t="s">
        <v>24</v>
      </c>
      <c r="F445" s="3" t="s">
        <v>25</v>
      </c>
      <c r="G445" s="3" t="s">
        <v>49</v>
      </c>
      <c r="H445" s="3" t="s">
        <v>42</v>
      </c>
      <c r="I445" s="3" t="s">
        <v>72</v>
      </c>
      <c r="J445" s="3" t="s">
        <v>5989</v>
      </c>
      <c r="K445" s="3" t="n">
        <v>354672.29</v>
      </c>
      <c r="L445" s="3" t="n">
        <v>0.113</v>
      </c>
      <c r="M445" s="3" t="n">
        <v>314594.32</v>
      </c>
      <c r="N445" s="3" t="n">
        <v>122140.98</v>
      </c>
      <c r="O445" s="3" t="n">
        <v>0.3882</v>
      </c>
      <c r="P445" s="3" t="n">
        <v>0.28</v>
      </c>
      <c r="Q445" s="3" t="n">
        <v>88086.41</v>
      </c>
      <c r="R445" s="3" t="n">
        <v>33</v>
      </c>
      <c r="S445" s="3" t="n">
        <v>3.3</v>
      </c>
      <c r="T445" s="3" t="n">
        <v>1.2</v>
      </c>
      <c r="U445" s="3"/>
      <c r="V445" s="3" t="n">
        <v>6.71</v>
      </c>
      <c r="W445" s="3" t="s">
        <v>5997</v>
      </c>
    </row>
    <row r="446" customFormat="false" ht="15" hidden="false" customHeight="true" outlineLevel="0" collapsed="false">
      <c r="A446" s="3" t="s">
        <v>6512</v>
      </c>
      <c r="B446" s="3" t="s">
        <v>268</v>
      </c>
      <c r="C446" s="3" t="s">
        <v>1982</v>
      </c>
      <c r="D446" s="3" t="s">
        <v>38</v>
      </c>
      <c r="E446" s="3" t="s">
        <v>39</v>
      </c>
      <c r="F446" s="3" t="s">
        <v>40</v>
      </c>
      <c r="G446" s="3" t="s">
        <v>71</v>
      </c>
      <c r="H446" s="3" t="s">
        <v>42</v>
      </c>
      <c r="I446" s="3" t="s">
        <v>72</v>
      </c>
      <c r="J446" s="3" t="s">
        <v>6003</v>
      </c>
      <c r="K446" s="3" t="n">
        <v>1405310.89</v>
      </c>
      <c r="L446" s="3" t="n">
        <v>0.1299</v>
      </c>
      <c r="M446" s="3" t="n">
        <v>1222761.01</v>
      </c>
      <c r="N446" s="3" t="n">
        <v>405070.42</v>
      </c>
      <c r="O446" s="3" t="n">
        <v>0.3313</v>
      </c>
      <c r="P446" s="3" t="n">
        <v>0.074</v>
      </c>
      <c r="Q446" s="3" t="n">
        <v>90484.31</v>
      </c>
      <c r="R446" s="3" t="n">
        <v>39</v>
      </c>
      <c r="S446" s="3" t="n">
        <v>8.6</v>
      </c>
      <c r="T446" s="3" t="n">
        <v>4.5</v>
      </c>
      <c r="U446" s="3"/>
      <c r="V446" s="3" t="n">
        <v>6.99</v>
      </c>
      <c r="W446" s="3" t="s">
        <v>5997</v>
      </c>
    </row>
    <row r="447" customFormat="false" ht="15" hidden="false" customHeight="true" outlineLevel="0" collapsed="false">
      <c r="A447" s="3" t="s">
        <v>6513</v>
      </c>
      <c r="B447" s="3" t="s">
        <v>1034</v>
      </c>
      <c r="C447" s="3" t="s">
        <v>1887</v>
      </c>
      <c r="D447" s="3" t="s">
        <v>83</v>
      </c>
      <c r="E447" s="3" t="s">
        <v>48</v>
      </c>
      <c r="F447" s="3" t="s">
        <v>62</v>
      </c>
      <c r="G447" s="3" t="s">
        <v>104</v>
      </c>
      <c r="H447" s="3" t="s">
        <v>27</v>
      </c>
      <c r="I447" s="3" t="s">
        <v>28</v>
      </c>
      <c r="J447" s="3" t="s">
        <v>6009</v>
      </c>
      <c r="K447" s="3" t="n">
        <v>2597791.97</v>
      </c>
      <c r="L447" s="3" t="n">
        <v>0.1395</v>
      </c>
      <c r="M447" s="3" t="n">
        <v>2235399.99</v>
      </c>
      <c r="N447" s="3" t="n">
        <v>747448.08</v>
      </c>
      <c r="O447" s="3" t="n">
        <v>0.3344</v>
      </c>
      <c r="P447" s="3" t="n">
        <v>0.018</v>
      </c>
      <c r="Q447" s="3" t="n">
        <v>40237.2</v>
      </c>
      <c r="R447" s="3" t="n">
        <v>48</v>
      </c>
      <c r="S447" s="3" t="n">
        <v>7</v>
      </c>
      <c r="T447" s="3" t="n">
        <v>5.6</v>
      </c>
      <c r="U447" s="3" t="s">
        <v>6041</v>
      </c>
      <c r="V447" s="3" t="n">
        <v>6.33</v>
      </c>
      <c r="W447" s="3" t="s">
        <v>5990</v>
      </c>
    </row>
    <row r="448" customFormat="false" ht="15" hidden="false" customHeight="true" outlineLevel="0" collapsed="false">
      <c r="A448" s="3" t="s">
        <v>6514</v>
      </c>
      <c r="B448" s="3" t="s">
        <v>3687</v>
      </c>
      <c r="C448" s="3" t="s">
        <v>302</v>
      </c>
      <c r="D448" s="3" t="s">
        <v>32</v>
      </c>
      <c r="E448" s="3" t="s">
        <v>33</v>
      </c>
      <c r="F448" s="3" t="s">
        <v>25</v>
      </c>
      <c r="G448" s="3" t="s">
        <v>71</v>
      </c>
      <c r="H448" s="3" t="s">
        <v>56</v>
      </c>
      <c r="I448" s="3" t="s">
        <v>57</v>
      </c>
      <c r="J448" s="3" t="s">
        <v>5999</v>
      </c>
      <c r="K448" s="3" t="n">
        <v>1625715.76</v>
      </c>
      <c r="L448" s="3" t="n">
        <v>0.271</v>
      </c>
      <c r="M448" s="3" t="n">
        <v>1185146.79</v>
      </c>
      <c r="N448" s="3" t="n">
        <v>403016.68</v>
      </c>
      <c r="O448" s="3" t="n">
        <v>0.3401</v>
      </c>
      <c r="P448" s="3" t="n">
        <v>0.432</v>
      </c>
      <c r="Q448" s="3" t="n">
        <v>511983.41</v>
      </c>
      <c r="R448" s="3" t="n">
        <v>51</v>
      </c>
      <c r="S448" s="3" t="n">
        <v>4.3</v>
      </c>
      <c r="T448" s="3" t="n">
        <v>1.7</v>
      </c>
      <c r="U448" s="3"/>
      <c r="V448" s="3" t="n">
        <v>5.23</v>
      </c>
      <c r="W448" s="3" t="s">
        <v>5990</v>
      </c>
    </row>
    <row r="449" customFormat="false" ht="15" hidden="false" customHeight="true" outlineLevel="0" collapsed="false">
      <c r="A449" s="3" t="s">
        <v>6515</v>
      </c>
      <c r="B449" s="3" t="s">
        <v>1938</v>
      </c>
      <c r="C449" s="3" t="s">
        <v>3881</v>
      </c>
      <c r="D449" s="3" t="s">
        <v>54</v>
      </c>
      <c r="E449" s="3" t="s">
        <v>24</v>
      </c>
      <c r="F449" s="3" t="s">
        <v>40</v>
      </c>
      <c r="G449" s="3" t="s">
        <v>71</v>
      </c>
      <c r="H449" s="3" t="s">
        <v>27</v>
      </c>
      <c r="I449" s="3" t="s">
        <v>117</v>
      </c>
      <c r="J449" s="3" t="s">
        <v>6009</v>
      </c>
      <c r="K449" s="3" t="n">
        <v>3827613.28</v>
      </c>
      <c r="L449" s="3" t="n">
        <v>0.2449</v>
      </c>
      <c r="M449" s="3" t="n">
        <v>2890230.79</v>
      </c>
      <c r="N449" s="3" t="n">
        <v>822268.32</v>
      </c>
      <c r="O449" s="3" t="n">
        <v>0.2845</v>
      </c>
      <c r="P449" s="3" t="n">
        <v>0</v>
      </c>
      <c r="Q449" s="3" t="n">
        <v>0</v>
      </c>
      <c r="R449" s="3" t="n">
        <v>128</v>
      </c>
      <c r="S449" s="3" t="n">
        <v>9.2</v>
      </c>
      <c r="T449" s="3" t="n">
        <v>1.5</v>
      </c>
      <c r="U449" s="3" t="s">
        <v>6116</v>
      </c>
      <c r="V449" s="3" t="n">
        <v>6.23</v>
      </c>
      <c r="W449" s="3" t="s">
        <v>5990</v>
      </c>
    </row>
    <row r="450" customFormat="false" ht="15" hidden="false" customHeight="true" outlineLevel="0" collapsed="false">
      <c r="A450" s="3" t="s">
        <v>6516</v>
      </c>
      <c r="B450" s="3" t="s">
        <v>1092</v>
      </c>
      <c r="C450" s="3" t="s">
        <v>2144</v>
      </c>
      <c r="D450" s="3" t="s">
        <v>23</v>
      </c>
      <c r="E450" s="3" t="s">
        <v>24</v>
      </c>
      <c r="F450" s="3" t="s">
        <v>25</v>
      </c>
      <c r="G450" s="3" t="s">
        <v>49</v>
      </c>
      <c r="H450" s="3" t="s">
        <v>64</v>
      </c>
      <c r="I450" s="3" t="s">
        <v>65</v>
      </c>
      <c r="J450" s="3" t="s">
        <v>5989</v>
      </c>
      <c r="K450" s="3" t="n">
        <v>1315954.8</v>
      </c>
      <c r="L450" s="3" t="n">
        <v>0.1741</v>
      </c>
      <c r="M450" s="3" t="n">
        <v>1086847.07</v>
      </c>
      <c r="N450" s="3" t="n">
        <v>427930.88</v>
      </c>
      <c r="O450" s="3" t="n">
        <v>0.3937</v>
      </c>
      <c r="P450" s="3" t="n">
        <v>0.288</v>
      </c>
      <c r="Q450" s="3" t="n">
        <v>313011.96</v>
      </c>
      <c r="R450" s="3" t="n">
        <v>38</v>
      </c>
      <c r="S450" s="3" t="n">
        <v>3.8</v>
      </c>
      <c r="T450" s="3" t="n">
        <v>9.7</v>
      </c>
      <c r="U450" s="3"/>
      <c r="V450" s="3" t="n">
        <v>5.09</v>
      </c>
      <c r="W450" s="3" t="s">
        <v>5990</v>
      </c>
    </row>
    <row r="451" customFormat="false" ht="15" hidden="false" customHeight="true" outlineLevel="0" collapsed="false">
      <c r="A451" s="3" t="s">
        <v>6517</v>
      </c>
      <c r="B451" s="3" t="s">
        <v>898</v>
      </c>
      <c r="C451" s="3" t="s">
        <v>6518</v>
      </c>
      <c r="D451" s="3" t="s">
        <v>75</v>
      </c>
      <c r="E451" s="3" t="s">
        <v>39</v>
      </c>
      <c r="F451" s="3" t="s">
        <v>25</v>
      </c>
      <c r="G451" s="3" t="s">
        <v>104</v>
      </c>
      <c r="H451" s="3" t="s">
        <v>42</v>
      </c>
      <c r="I451" s="3" t="s">
        <v>72</v>
      </c>
      <c r="J451" s="3" t="s">
        <v>5992</v>
      </c>
      <c r="K451" s="3" t="n">
        <v>3759811.8</v>
      </c>
      <c r="L451" s="3" t="n">
        <v>0.282</v>
      </c>
      <c r="M451" s="3" t="n">
        <v>2699544.87</v>
      </c>
      <c r="N451" s="3" t="n">
        <v>1222610.64</v>
      </c>
      <c r="O451" s="3" t="n">
        <v>0.4529</v>
      </c>
      <c r="P451" s="3" t="n">
        <v>0.731</v>
      </c>
      <c r="Q451" s="3" t="n">
        <v>1973367.3</v>
      </c>
      <c r="R451" s="3" t="n">
        <v>119</v>
      </c>
      <c r="S451" s="3" t="n">
        <v>2.2</v>
      </c>
      <c r="T451" s="3" t="n">
        <v>4.5</v>
      </c>
      <c r="U451" s="3"/>
      <c r="V451" s="3" t="n">
        <v>5.03</v>
      </c>
      <c r="W451" s="3" t="s">
        <v>5990</v>
      </c>
    </row>
    <row r="452" customFormat="false" ht="15" hidden="false" customHeight="true" outlineLevel="0" collapsed="false">
      <c r="A452" s="3" t="s">
        <v>6519</v>
      </c>
      <c r="B452" s="3" t="s">
        <v>2260</v>
      </c>
      <c r="C452" s="3" t="s">
        <v>2787</v>
      </c>
      <c r="D452" s="3" t="s">
        <v>47</v>
      </c>
      <c r="E452" s="3" t="s">
        <v>48</v>
      </c>
      <c r="F452" s="3" t="s">
        <v>25</v>
      </c>
      <c r="G452" s="3" t="s">
        <v>100</v>
      </c>
      <c r="H452" s="3" t="s">
        <v>56</v>
      </c>
      <c r="I452" s="3" t="s">
        <v>57</v>
      </c>
      <c r="J452" s="3" t="s">
        <v>6003</v>
      </c>
      <c r="K452" s="3" t="n">
        <v>3528338.28</v>
      </c>
      <c r="L452" s="3" t="n">
        <v>0.2093</v>
      </c>
      <c r="M452" s="3" t="n">
        <v>2789857.08</v>
      </c>
      <c r="N452" s="3" t="n">
        <v>1338101.32</v>
      </c>
      <c r="O452" s="3" t="n">
        <v>0.4796</v>
      </c>
      <c r="P452" s="3" t="n">
        <v>0.121</v>
      </c>
      <c r="Q452" s="3" t="n">
        <v>337572.71</v>
      </c>
      <c r="R452" s="3" t="n">
        <v>56</v>
      </c>
      <c r="S452" s="3" t="n">
        <v>3</v>
      </c>
      <c r="T452" s="3" t="n">
        <v>7.3</v>
      </c>
      <c r="U452" s="3"/>
      <c r="V452" s="3" t="n">
        <v>5.41</v>
      </c>
      <c r="W452" s="3" t="s">
        <v>5990</v>
      </c>
    </row>
    <row r="453" customFormat="false" ht="15" hidden="false" customHeight="true" outlineLevel="0" collapsed="false">
      <c r="A453" s="3" t="s">
        <v>6520</v>
      </c>
      <c r="B453" s="3" t="s">
        <v>3592</v>
      </c>
      <c r="C453" s="3" t="s">
        <v>6521</v>
      </c>
      <c r="D453" s="3" t="s">
        <v>61</v>
      </c>
      <c r="E453" s="3" t="s">
        <v>33</v>
      </c>
      <c r="F453" s="3" t="s">
        <v>62</v>
      </c>
      <c r="G453" s="3" t="s">
        <v>55</v>
      </c>
      <c r="H453" s="3" t="s">
        <v>77</v>
      </c>
      <c r="I453" s="3" t="s">
        <v>78</v>
      </c>
      <c r="J453" s="3" t="s">
        <v>5996</v>
      </c>
      <c r="K453" s="3" t="n">
        <v>1719435.42</v>
      </c>
      <c r="L453" s="3" t="n">
        <v>0.1422</v>
      </c>
      <c r="M453" s="3" t="n">
        <v>1474931.7</v>
      </c>
      <c r="N453" s="3" t="n">
        <v>416831.04</v>
      </c>
      <c r="O453" s="3" t="n">
        <v>0.2826</v>
      </c>
      <c r="P453" s="3" t="n">
        <v>1</v>
      </c>
      <c r="Q453" s="3" t="n">
        <v>1474931.7</v>
      </c>
      <c r="R453" s="3" t="n">
        <v>132</v>
      </c>
      <c r="S453" s="3" t="n">
        <v>2.7</v>
      </c>
      <c r="T453" s="3" t="n">
        <v>5.9</v>
      </c>
      <c r="U453" s="3"/>
      <c r="V453" s="3" t="n">
        <v>4.82</v>
      </c>
      <c r="W453" s="3" t="s">
        <v>6000</v>
      </c>
    </row>
    <row r="454" customFormat="false" ht="15" hidden="false" customHeight="true" outlineLevel="0" collapsed="false">
      <c r="A454" s="3" t="s">
        <v>6522</v>
      </c>
      <c r="B454" s="3" t="s">
        <v>82</v>
      </c>
      <c r="C454" s="3" t="s">
        <v>607</v>
      </c>
      <c r="D454" s="3" t="s">
        <v>23</v>
      </c>
      <c r="E454" s="3" t="s">
        <v>24</v>
      </c>
      <c r="F454" s="3" t="s">
        <v>25</v>
      </c>
      <c r="G454" s="3" t="s">
        <v>100</v>
      </c>
      <c r="H454" s="3" t="s">
        <v>64</v>
      </c>
      <c r="I454" s="3" t="s">
        <v>90</v>
      </c>
      <c r="J454" s="3" t="s">
        <v>5999</v>
      </c>
      <c r="K454" s="3" t="n">
        <v>1502484.52</v>
      </c>
      <c r="L454" s="3" t="n">
        <v>0.1268</v>
      </c>
      <c r="M454" s="3" t="n">
        <v>1311969.48</v>
      </c>
      <c r="N454" s="3" t="n">
        <v>526603.15</v>
      </c>
      <c r="O454" s="3" t="n">
        <v>0.4014</v>
      </c>
      <c r="P454" s="3" t="n">
        <v>0.48</v>
      </c>
      <c r="Q454" s="3" t="n">
        <v>629745.35</v>
      </c>
      <c r="R454" s="3" t="n">
        <v>58</v>
      </c>
      <c r="S454" s="3" t="n">
        <v>1.2</v>
      </c>
      <c r="T454" s="3" t="n">
        <v>5.4</v>
      </c>
      <c r="U454" s="3"/>
      <c r="V454" s="3" t="n">
        <v>5.55</v>
      </c>
      <c r="W454" s="3" t="s">
        <v>5990</v>
      </c>
    </row>
    <row r="455" customFormat="false" ht="15" hidden="false" customHeight="true" outlineLevel="0" collapsed="false">
      <c r="A455" s="3" t="s">
        <v>6523</v>
      </c>
      <c r="B455" s="3" t="s">
        <v>2242</v>
      </c>
      <c r="C455" s="3" t="s">
        <v>6188</v>
      </c>
      <c r="D455" s="3" t="s">
        <v>23</v>
      </c>
      <c r="E455" s="3" t="s">
        <v>24</v>
      </c>
      <c r="F455" s="3" t="s">
        <v>25</v>
      </c>
      <c r="G455" s="3" t="s">
        <v>104</v>
      </c>
      <c r="H455" s="3" t="s">
        <v>56</v>
      </c>
      <c r="I455" s="3" t="s">
        <v>121</v>
      </c>
      <c r="J455" s="3" t="s">
        <v>5999</v>
      </c>
      <c r="K455" s="3" t="n">
        <v>1038584.12</v>
      </c>
      <c r="L455" s="3" t="n">
        <v>0.2185</v>
      </c>
      <c r="M455" s="3" t="n">
        <v>811653.49</v>
      </c>
      <c r="N455" s="3" t="n">
        <v>250049.73</v>
      </c>
      <c r="O455" s="3" t="n">
        <v>0.3081</v>
      </c>
      <c r="P455" s="3" t="n">
        <v>0.401</v>
      </c>
      <c r="Q455" s="3" t="n">
        <v>325473.05</v>
      </c>
      <c r="R455" s="3" t="n">
        <v>178</v>
      </c>
      <c r="S455" s="3" t="n">
        <v>7.6</v>
      </c>
      <c r="T455" s="3" t="n">
        <v>4.3</v>
      </c>
      <c r="U455" s="3"/>
      <c r="V455" s="3" t="n">
        <v>5.81</v>
      </c>
      <c r="W455" s="3" t="s">
        <v>5990</v>
      </c>
    </row>
    <row r="456" customFormat="false" ht="15" hidden="false" customHeight="true" outlineLevel="0" collapsed="false">
      <c r="A456" s="3" t="s">
        <v>6524</v>
      </c>
      <c r="B456" s="3" t="s">
        <v>1889</v>
      </c>
      <c r="C456" s="3" t="s">
        <v>3250</v>
      </c>
      <c r="D456" s="3" t="s">
        <v>38</v>
      </c>
      <c r="E456" s="3" t="s">
        <v>39</v>
      </c>
      <c r="F456" s="3" t="s">
        <v>40</v>
      </c>
      <c r="G456" s="3" t="s">
        <v>100</v>
      </c>
      <c r="H456" s="3" t="s">
        <v>42</v>
      </c>
      <c r="I456" s="3" t="s">
        <v>43</v>
      </c>
      <c r="J456" s="3" t="s">
        <v>5992</v>
      </c>
      <c r="K456" s="3" t="n">
        <v>2208166.3</v>
      </c>
      <c r="L456" s="3" t="n">
        <v>0.1079</v>
      </c>
      <c r="M456" s="3" t="n">
        <v>1969905.16</v>
      </c>
      <c r="N456" s="3" t="n">
        <v>885509.99</v>
      </c>
      <c r="O456" s="3" t="n">
        <v>0.4495</v>
      </c>
      <c r="P456" s="3" t="n">
        <v>0.668</v>
      </c>
      <c r="Q456" s="3" t="n">
        <v>1315896.65</v>
      </c>
      <c r="R456" s="3" t="n">
        <v>139</v>
      </c>
      <c r="S456" s="3" t="n">
        <v>1.2</v>
      </c>
      <c r="T456" s="3" t="n">
        <v>5.5</v>
      </c>
      <c r="U456" s="3"/>
      <c r="V456" s="3" t="n">
        <v>6.07</v>
      </c>
      <c r="W456" s="3" t="s">
        <v>5990</v>
      </c>
    </row>
    <row r="457" customFormat="false" ht="15" hidden="false" customHeight="true" outlineLevel="0" collapsed="false">
      <c r="A457" s="3" t="s">
        <v>6525</v>
      </c>
      <c r="B457" s="3" t="s">
        <v>1313</v>
      </c>
      <c r="C457" s="3" t="s">
        <v>1488</v>
      </c>
      <c r="D457" s="3" t="s">
        <v>75</v>
      </c>
      <c r="E457" s="3" t="s">
        <v>39</v>
      </c>
      <c r="F457" s="3" t="s">
        <v>25</v>
      </c>
      <c r="G457" s="3" t="s">
        <v>116</v>
      </c>
      <c r="H457" s="3" t="s">
        <v>77</v>
      </c>
      <c r="I457" s="3" t="s">
        <v>78</v>
      </c>
      <c r="J457" s="3" t="s">
        <v>6009</v>
      </c>
      <c r="K457" s="3" t="n">
        <v>4171757.38</v>
      </c>
      <c r="L457" s="3" t="n">
        <v>0.1432</v>
      </c>
      <c r="M457" s="3" t="n">
        <v>3574361.72</v>
      </c>
      <c r="N457" s="3" t="n">
        <v>1658812.82</v>
      </c>
      <c r="O457" s="3" t="n">
        <v>0.4641</v>
      </c>
      <c r="P457" s="3" t="n">
        <v>0.041</v>
      </c>
      <c r="Q457" s="3" t="n">
        <v>146548.83</v>
      </c>
      <c r="R457" s="3" t="n">
        <v>131</v>
      </c>
      <c r="S457" s="3" t="n">
        <v>6.2</v>
      </c>
      <c r="T457" s="3" t="n">
        <v>7.7</v>
      </c>
      <c r="U457" s="3"/>
      <c r="V457" s="3" t="n">
        <v>6.69</v>
      </c>
      <c r="W457" s="3" t="s">
        <v>5997</v>
      </c>
    </row>
    <row r="458" customFormat="false" ht="15" hidden="false" customHeight="true" outlineLevel="0" collapsed="false">
      <c r="A458" s="3" t="s">
        <v>6526</v>
      </c>
      <c r="B458" s="3" t="s">
        <v>5689</v>
      </c>
      <c r="C458" s="3" t="s">
        <v>2247</v>
      </c>
      <c r="D458" s="3" t="s">
        <v>61</v>
      </c>
      <c r="E458" s="3" t="s">
        <v>33</v>
      </c>
      <c r="F458" s="3" t="s">
        <v>62</v>
      </c>
      <c r="G458" s="3" t="s">
        <v>49</v>
      </c>
      <c r="H458" s="3" t="s">
        <v>42</v>
      </c>
      <c r="I458" s="3" t="s">
        <v>134</v>
      </c>
      <c r="J458" s="3" t="s">
        <v>6003</v>
      </c>
      <c r="K458" s="3" t="n">
        <v>1594330.24</v>
      </c>
      <c r="L458" s="3" t="n">
        <v>0.1393</v>
      </c>
      <c r="M458" s="3" t="n">
        <v>1372240.04</v>
      </c>
      <c r="N458" s="3" t="n">
        <v>391179.74</v>
      </c>
      <c r="O458" s="3" t="n">
        <v>0.2851</v>
      </c>
      <c r="P458" s="3" t="n">
        <v>0.112</v>
      </c>
      <c r="Q458" s="3" t="n">
        <v>153690.88</v>
      </c>
      <c r="R458" s="3" t="n">
        <v>56</v>
      </c>
      <c r="S458" s="3" t="n">
        <v>3.3</v>
      </c>
      <c r="T458" s="3" t="n">
        <v>6.6</v>
      </c>
      <c r="U458" s="3"/>
      <c r="V458" s="3" t="n">
        <v>4.89</v>
      </c>
      <c r="W458" s="3" t="s">
        <v>6000</v>
      </c>
    </row>
    <row r="459" customFormat="false" ht="15" hidden="false" customHeight="true" outlineLevel="0" collapsed="false">
      <c r="A459" s="3" t="s">
        <v>6527</v>
      </c>
      <c r="B459" s="3" t="s">
        <v>613</v>
      </c>
      <c r="C459" s="3" t="s">
        <v>2665</v>
      </c>
      <c r="D459" s="3" t="s">
        <v>75</v>
      </c>
      <c r="E459" s="3" t="s">
        <v>39</v>
      </c>
      <c r="F459" s="3" t="s">
        <v>25</v>
      </c>
      <c r="G459" s="3" t="s">
        <v>84</v>
      </c>
      <c r="H459" s="3" t="s">
        <v>64</v>
      </c>
      <c r="I459" s="3" t="s">
        <v>65</v>
      </c>
      <c r="J459" s="3" t="s">
        <v>5989</v>
      </c>
      <c r="K459" s="3" t="n">
        <v>2780866.68</v>
      </c>
      <c r="L459" s="3" t="n">
        <v>0.0854</v>
      </c>
      <c r="M459" s="3" t="n">
        <v>2543380.67</v>
      </c>
      <c r="N459" s="3" t="n">
        <v>825639.94</v>
      </c>
      <c r="O459" s="3" t="n">
        <v>0.3246</v>
      </c>
      <c r="P459" s="3" t="n">
        <v>0.267</v>
      </c>
      <c r="Q459" s="3" t="n">
        <v>679082.64</v>
      </c>
      <c r="R459" s="3" t="n">
        <v>178</v>
      </c>
      <c r="S459" s="3" t="n">
        <v>6.1</v>
      </c>
      <c r="T459" s="3" t="n">
        <v>1.5</v>
      </c>
      <c r="U459" s="3"/>
      <c r="V459" s="3" t="n">
        <v>7.12</v>
      </c>
      <c r="W459" s="3" t="s">
        <v>5997</v>
      </c>
    </row>
    <row r="460" customFormat="false" ht="15" hidden="false" customHeight="true" outlineLevel="0" collapsed="false">
      <c r="A460" s="3" t="s">
        <v>6528</v>
      </c>
      <c r="B460" s="3" t="s">
        <v>4389</v>
      </c>
      <c r="C460" s="3" t="s">
        <v>481</v>
      </c>
      <c r="D460" s="3" t="s">
        <v>75</v>
      </c>
      <c r="E460" s="3" t="s">
        <v>39</v>
      </c>
      <c r="F460" s="3" t="s">
        <v>25</v>
      </c>
      <c r="G460" s="3" t="s">
        <v>55</v>
      </c>
      <c r="H460" s="3" t="s">
        <v>27</v>
      </c>
      <c r="I460" s="3" t="s">
        <v>117</v>
      </c>
      <c r="J460" s="3" t="s">
        <v>6003</v>
      </c>
      <c r="K460" s="3" t="n">
        <v>4649433.59</v>
      </c>
      <c r="L460" s="3" t="n">
        <v>0.2972</v>
      </c>
      <c r="M460" s="3" t="n">
        <v>3267621.93</v>
      </c>
      <c r="N460" s="3" t="n">
        <v>1317532.25</v>
      </c>
      <c r="O460" s="3" t="n">
        <v>0.4032</v>
      </c>
      <c r="P460" s="3" t="n">
        <v>0.074</v>
      </c>
      <c r="Q460" s="3" t="n">
        <v>241804.02</v>
      </c>
      <c r="R460" s="3" t="n">
        <v>179</v>
      </c>
      <c r="S460" s="3" t="n">
        <v>3.4</v>
      </c>
      <c r="T460" s="3" t="n">
        <v>1.3</v>
      </c>
      <c r="U460" s="3"/>
      <c r="V460" s="3" t="n">
        <v>5.33</v>
      </c>
      <c r="W460" s="3" t="s">
        <v>5990</v>
      </c>
    </row>
    <row r="461" customFormat="false" ht="15" hidden="false" customHeight="true" outlineLevel="0" collapsed="false">
      <c r="A461" s="3" t="s">
        <v>6529</v>
      </c>
      <c r="B461" s="3" t="s">
        <v>4316</v>
      </c>
      <c r="C461" s="3" t="s">
        <v>1483</v>
      </c>
      <c r="D461" s="3" t="s">
        <v>23</v>
      </c>
      <c r="E461" s="3" t="s">
        <v>24</v>
      </c>
      <c r="F461" s="3" t="s">
        <v>25</v>
      </c>
      <c r="G461" s="3" t="s">
        <v>100</v>
      </c>
      <c r="H461" s="3" t="s">
        <v>42</v>
      </c>
      <c r="I461" s="3" t="s">
        <v>134</v>
      </c>
      <c r="J461" s="3" t="s">
        <v>5996</v>
      </c>
      <c r="K461" s="3" t="n">
        <v>4938311.93</v>
      </c>
      <c r="L461" s="3" t="n">
        <v>0.1111</v>
      </c>
      <c r="M461" s="3" t="n">
        <v>4389665.47</v>
      </c>
      <c r="N461" s="3" t="n">
        <v>1851552.3</v>
      </c>
      <c r="O461" s="3" t="n">
        <v>0.4218</v>
      </c>
      <c r="P461" s="3" t="n">
        <v>1</v>
      </c>
      <c r="Q461" s="3" t="n">
        <v>4389665.47</v>
      </c>
      <c r="R461" s="3" t="n">
        <v>49</v>
      </c>
      <c r="S461" s="3" t="n">
        <v>3</v>
      </c>
      <c r="T461" s="3" t="n">
        <v>3</v>
      </c>
      <c r="U461" s="3"/>
      <c r="V461" s="3" t="n">
        <v>6.67</v>
      </c>
      <c r="W461" s="3" t="s">
        <v>5997</v>
      </c>
    </row>
    <row r="462" customFormat="false" ht="15" hidden="false" customHeight="true" outlineLevel="0" collapsed="false">
      <c r="A462" s="3" t="s">
        <v>6530</v>
      </c>
      <c r="B462" s="3" t="s">
        <v>1146</v>
      </c>
      <c r="C462" s="3" t="s">
        <v>1626</v>
      </c>
      <c r="D462" s="3" t="s">
        <v>75</v>
      </c>
      <c r="E462" s="3" t="s">
        <v>39</v>
      </c>
      <c r="F462" s="3" t="s">
        <v>25</v>
      </c>
      <c r="G462" s="3" t="s">
        <v>34</v>
      </c>
      <c r="H462" s="3" t="s">
        <v>42</v>
      </c>
      <c r="I462" s="3" t="s">
        <v>43</v>
      </c>
      <c r="J462" s="3" t="s">
        <v>6003</v>
      </c>
      <c r="K462" s="3" t="n">
        <v>622061.18</v>
      </c>
      <c r="L462" s="3" t="n">
        <v>0.1027</v>
      </c>
      <c r="M462" s="3" t="n">
        <v>558175.5</v>
      </c>
      <c r="N462" s="3" t="n">
        <v>236477.61</v>
      </c>
      <c r="O462" s="3" t="n">
        <v>0.4237</v>
      </c>
      <c r="P462" s="3" t="n">
        <v>0.068</v>
      </c>
      <c r="Q462" s="3" t="n">
        <v>37955.93</v>
      </c>
      <c r="R462" s="3" t="n">
        <v>92</v>
      </c>
      <c r="S462" s="3" t="n">
        <v>3.5</v>
      </c>
      <c r="T462" s="3" t="n">
        <v>5.2</v>
      </c>
      <c r="U462" s="3"/>
      <c r="V462" s="3" t="n">
        <v>6.53</v>
      </c>
      <c r="W462" s="3" t="s">
        <v>5997</v>
      </c>
    </row>
    <row r="463" customFormat="false" ht="15" hidden="false" customHeight="true" outlineLevel="0" collapsed="false">
      <c r="A463" s="3" t="s">
        <v>6531</v>
      </c>
      <c r="B463" s="3" t="s">
        <v>652</v>
      </c>
      <c r="C463" s="3" t="s">
        <v>235</v>
      </c>
      <c r="D463" s="3" t="s">
        <v>83</v>
      </c>
      <c r="E463" s="3" t="s">
        <v>48</v>
      </c>
      <c r="F463" s="3" t="s">
        <v>62</v>
      </c>
      <c r="G463" s="3" t="s">
        <v>71</v>
      </c>
      <c r="H463" s="3" t="s">
        <v>56</v>
      </c>
      <c r="I463" s="3" t="s">
        <v>121</v>
      </c>
      <c r="J463" s="3" t="s">
        <v>6003</v>
      </c>
      <c r="K463" s="3" t="n">
        <v>4249783.43</v>
      </c>
      <c r="L463" s="3" t="n">
        <v>0.134</v>
      </c>
      <c r="M463" s="3" t="n">
        <v>3680312.45</v>
      </c>
      <c r="N463" s="3" t="n">
        <v>1097950.85</v>
      </c>
      <c r="O463" s="3" t="n">
        <v>0.2983</v>
      </c>
      <c r="P463" s="3" t="n">
        <v>0.139</v>
      </c>
      <c r="Q463" s="3" t="n">
        <v>511563.43</v>
      </c>
      <c r="R463" s="3" t="n">
        <v>48</v>
      </c>
      <c r="S463" s="3" t="n">
        <v>9.7</v>
      </c>
      <c r="T463" s="3" t="n">
        <v>1.2</v>
      </c>
      <c r="U463" s="3"/>
      <c r="V463" s="3" t="n">
        <v>7.43</v>
      </c>
      <c r="W463" s="3" t="s">
        <v>5997</v>
      </c>
    </row>
    <row r="464" customFormat="false" ht="15" hidden="false" customHeight="true" outlineLevel="0" collapsed="false">
      <c r="A464" s="3" t="s">
        <v>6532</v>
      </c>
      <c r="B464" s="3" t="s">
        <v>1505</v>
      </c>
      <c r="C464" s="3" t="s">
        <v>2428</v>
      </c>
      <c r="D464" s="3" t="s">
        <v>23</v>
      </c>
      <c r="E464" s="3" t="s">
        <v>24</v>
      </c>
      <c r="F464" s="3" t="s">
        <v>25</v>
      </c>
      <c r="G464" s="3" t="s">
        <v>104</v>
      </c>
      <c r="H464" s="3" t="s">
        <v>64</v>
      </c>
      <c r="I464" s="3" t="s">
        <v>90</v>
      </c>
      <c r="J464" s="3" t="s">
        <v>5996</v>
      </c>
      <c r="K464" s="3" t="n">
        <v>2838648.24</v>
      </c>
      <c r="L464" s="3" t="n">
        <v>0.1499</v>
      </c>
      <c r="M464" s="3" t="n">
        <v>2413134.87</v>
      </c>
      <c r="N464" s="3" t="n">
        <v>707033.21</v>
      </c>
      <c r="O464" s="3" t="n">
        <v>0.293</v>
      </c>
      <c r="P464" s="3" t="n">
        <v>1</v>
      </c>
      <c r="Q464" s="3" t="n">
        <v>2413134.87</v>
      </c>
      <c r="R464" s="3" t="n">
        <v>170</v>
      </c>
      <c r="S464" s="3" t="n">
        <v>9.7</v>
      </c>
      <c r="T464" s="3" t="n">
        <v>9.4</v>
      </c>
      <c r="U464" s="3"/>
      <c r="V464" s="3" t="n">
        <v>6.04</v>
      </c>
      <c r="W464" s="3" t="s">
        <v>5990</v>
      </c>
    </row>
    <row r="465" customFormat="false" ht="15" hidden="false" customHeight="true" outlineLevel="0" collapsed="false">
      <c r="A465" s="3" t="s">
        <v>6533</v>
      </c>
      <c r="B465" s="3" t="s">
        <v>2979</v>
      </c>
      <c r="C465" s="3" t="s">
        <v>1980</v>
      </c>
      <c r="D465" s="3" t="s">
        <v>97</v>
      </c>
      <c r="E465" s="3" t="s">
        <v>48</v>
      </c>
      <c r="F465" s="3" t="s">
        <v>40</v>
      </c>
      <c r="G465" s="3" t="s">
        <v>63</v>
      </c>
      <c r="H465" s="3" t="s">
        <v>64</v>
      </c>
      <c r="I465" s="3" t="s">
        <v>145</v>
      </c>
      <c r="J465" s="3" t="s">
        <v>5996</v>
      </c>
      <c r="K465" s="3" t="n">
        <v>2208374.56</v>
      </c>
      <c r="L465" s="3" t="n">
        <v>0.2449</v>
      </c>
      <c r="M465" s="3" t="n">
        <v>1667543.63</v>
      </c>
      <c r="N465" s="3" t="n">
        <v>774455.25</v>
      </c>
      <c r="O465" s="3" t="n">
        <v>0.4644</v>
      </c>
      <c r="P465" s="3" t="n">
        <v>0.952</v>
      </c>
      <c r="Q465" s="3" t="n">
        <v>1587501.54</v>
      </c>
      <c r="R465" s="3" t="n">
        <v>103</v>
      </c>
      <c r="S465" s="3" t="n">
        <v>5</v>
      </c>
      <c r="T465" s="3" t="n">
        <v>4.9</v>
      </c>
      <c r="U465" s="3"/>
      <c r="V465" s="3" t="n">
        <v>5.96</v>
      </c>
      <c r="W465" s="3" t="s">
        <v>5990</v>
      </c>
    </row>
    <row r="466" customFormat="false" ht="15" hidden="false" customHeight="true" outlineLevel="0" collapsed="false">
      <c r="A466" s="3" t="s">
        <v>6534</v>
      </c>
      <c r="B466" s="3" t="s">
        <v>2470</v>
      </c>
      <c r="C466" s="3" t="s">
        <v>452</v>
      </c>
      <c r="D466" s="3" t="s">
        <v>54</v>
      </c>
      <c r="E466" s="3" t="s">
        <v>24</v>
      </c>
      <c r="F466" s="3" t="s">
        <v>40</v>
      </c>
      <c r="G466" s="3" t="s">
        <v>63</v>
      </c>
      <c r="H466" s="3" t="s">
        <v>56</v>
      </c>
      <c r="I466" s="3" t="s">
        <v>121</v>
      </c>
      <c r="J466" s="3" t="s">
        <v>5999</v>
      </c>
      <c r="K466" s="3" t="n">
        <v>3517873.01</v>
      </c>
      <c r="L466" s="3" t="n">
        <v>0.2266</v>
      </c>
      <c r="M466" s="3" t="n">
        <v>2720722.99</v>
      </c>
      <c r="N466" s="3" t="n">
        <v>1202559.33</v>
      </c>
      <c r="O466" s="3" t="n">
        <v>0.442</v>
      </c>
      <c r="P466" s="3" t="n">
        <v>0.451</v>
      </c>
      <c r="Q466" s="3" t="n">
        <v>1227046.07</v>
      </c>
      <c r="R466" s="3" t="n">
        <v>119</v>
      </c>
      <c r="S466" s="3" t="n">
        <v>9.5</v>
      </c>
      <c r="T466" s="3" t="n">
        <v>5</v>
      </c>
      <c r="U466" s="3"/>
      <c r="V466" s="3" t="n">
        <v>7.16</v>
      </c>
      <c r="W466" s="3" t="s">
        <v>5997</v>
      </c>
    </row>
    <row r="467" customFormat="false" ht="15" hidden="false" customHeight="true" outlineLevel="0" collapsed="false">
      <c r="A467" s="3" t="s">
        <v>6535</v>
      </c>
      <c r="B467" s="3" t="s">
        <v>1960</v>
      </c>
      <c r="C467" s="3" t="s">
        <v>4601</v>
      </c>
      <c r="D467" s="3" t="s">
        <v>61</v>
      </c>
      <c r="E467" s="3" t="s">
        <v>33</v>
      </c>
      <c r="F467" s="3" t="s">
        <v>62</v>
      </c>
      <c r="G467" s="3" t="s">
        <v>84</v>
      </c>
      <c r="H467" s="3" t="s">
        <v>56</v>
      </c>
      <c r="I467" s="3" t="s">
        <v>57</v>
      </c>
      <c r="J467" s="3" t="s">
        <v>5999</v>
      </c>
      <c r="K467" s="3" t="n">
        <v>3307904.51</v>
      </c>
      <c r="L467" s="3" t="n">
        <v>0.2452</v>
      </c>
      <c r="M467" s="3" t="n">
        <v>2496806.32</v>
      </c>
      <c r="N467" s="3" t="n">
        <v>881373.73</v>
      </c>
      <c r="O467" s="3" t="n">
        <v>0.353</v>
      </c>
      <c r="P467" s="3" t="n">
        <v>0.41</v>
      </c>
      <c r="Q467" s="3" t="n">
        <v>1023690.59</v>
      </c>
      <c r="R467" s="3" t="n">
        <v>25</v>
      </c>
      <c r="S467" s="3" t="n">
        <v>2.3</v>
      </c>
      <c r="T467" s="3" t="n">
        <v>8.6</v>
      </c>
      <c r="U467" s="3"/>
      <c r="V467" s="3" t="n">
        <v>3.96</v>
      </c>
      <c r="W467" s="3" t="s">
        <v>6000</v>
      </c>
    </row>
    <row r="468" customFormat="false" ht="15" hidden="false" customHeight="true" outlineLevel="0" collapsed="false">
      <c r="A468" s="3" t="s">
        <v>6536</v>
      </c>
      <c r="B468" s="3" t="s">
        <v>6217</v>
      </c>
      <c r="C468" s="3" t="s">
        <v>1133</v>
      </c>
      <c r="D468" s="3" t="s">
        <v>83</v>
      </c>
      <c r="E468" s="3" t="s">
        <v>48</v>
      </c>
      <c r="F468" s="3" t="s">
        <v>62</v>
      </c>
      <c r="G468" s="3" t="s">
        <v>41</v>
      </c>
      <c r="H468" s="3" t="s">
        <v>27</v>
      </c>
      <c r="I468" s="3" t="s">
        <v>50</v>
      </c>
      <c r="J468" s="3" t="s">
        <v>5989</v>
      </c>
      <c r="K468" s="3" t="n">
        <v>3513474.77</v>
      </c>
      <c r="L468" s="3" t="n">
        <v>0.283</v>
      </c>
      <c r="M468" s="3" t="n">
        <v>2519161.41</v>
      </c>
      <c r="N468" s="3" t="n">
        <v>843931.1</v>
      </c>
      <c r="O468" s="3" t="n">
        <v>0.335</v>
      </c>
      <c r="P468" s="3" t="n">
        <v>0.272</v>
      </c>
      <c r="Q468" s="3" t="n">
        <v>685211.9</v>
      </c>
      <c r="R468" s="3" t="n">
        <v>180</v>
      </c>
      <c r="S468" s="3" t="n">
        <v>2.2</v>
      </c>
      <c r="T468" s="3" t="n">
        <v>7.9</v>
      </c>
      <c r="U468" s="3"/>
      <c r="V468" s="3" t="n">
        <v>3.6</v>
      </c>
      <c r="W468" s="3" t="s">
        <v>6000</v>
      </c>
    </row>
    <row r="469" customFormat="false" ht="15" hidden="false" customHeight="true" outlineLevel="0" collapsed="false">
      <c r="A469" s="3" t="s">
        <v>6537</v>
      </c>
      <c r="B469" s="3" t="s">
        <v>285</v>
      </c>
      <c r="C469" s="3" t="s">
        <v>1174</v>
      </c>
      <c r="D469" s="3" t="s">
        <v>61</v>
      </c>
      <c r="E469" s="3" t="s">
        <v>33</v>
      </c>
      <c r="F469" s="3" t="s">
        <v>62</v>
      </c>
      <c r="G469" s="3" t="s">
        <v>34</v>
      </c>
      <c r="H469" s="3" t="s">
        <v>42</v>
      </c>
      <c r="I469" s="3" t="s">
        <v>43</v>
      </c>
      <c r="J469" s="3" t="s">
        <v>6003</v>
      </c>
      <c r="K469" s="3" t="n">
        <v>4480199.34</v>
      </c>
      <c r="L469" s="3" t="n">
        <v>0.2875</v>
      </c>
      <c r="M469" s="3" t="n">
        <v>3192142.03</v>
      </c>
      <c r="N469" s="3" t="n">
        <v>1256822.47</v>
      </c>
      <c r="O469" s="3" t="n">
        <v>0.3937</v>
      </c>
      <c r="P469" s="3" t="n">
        <v>0.138</v>
      </c>
      <c r="Q469" s="3" t="n">
        <v>440515.6</v>
      </c>
      <c r="R469" s="3" t="n">
        <v>173</v>
      </c>
      <c r="S469" s="3" t="n">
        <v>5.2</v>
      </c>
      <c r="T469" s="3" t="n">
        <v>7.1</v>
      </c>
      <c r="U469" s="3"/>
      <c r="V469" s="3" t="n">
        <v>4.88</v>
      </c>
      <c r="W469" s="3" t="s">
        <v>6000</v>
      </c>
    </row>
    <row r="470" customFormat="false" ht="15" hidden="false" customHeight="true" outlineLevel="0" collapsed="false">
      <c r="A470" s="3" t="s">
        <v>6538</v>
      </c>
      <c r="B470" s="3" t="s">
        <v>1468</v>
      </c>
      <c r="C470" s="3" t="s">
        <v>3648</v>
      </c>
      <c r="D470" s="3" t="s">
        <v>47</v>
      </c>
      <c r="E470" s="3" t="s">
        <v>48</v>
      </c>
      <c r="F470" s="3" t="s">
        <v>25</v>
      </c>
      <c r="G470" s="3" t="s">
        <v>104</v>
      </c>
      <c r="H470" s="3" t="s">
        <v>56</v>
      </c>
      <c r="I470" s="3" t="s">
        <v>57</v>
      </c>
      <c r="J470" s="3" t="s">
        <v>5999</v>
      </c>
      <c r="K470" s="3" t="n">
        <v>604426.67</v>
      </c>
      <c r="L470" s="3" t="n">
        <v>0.299</v>
      </c>
      <c r="M470" s="3" t="n">
        <v>423703.1</v>
      </c>
      <c r="N470" s="3" t="n">
        <v>134984.11</v>
      </c>
      <c r="O470" s="3" t="n">
        <v>0.3186</v>
      </c>
      <c r="P470" s="3" t="n">
        <v>0.49</v>
      </c>
      <c r="Q470" s="3" t="n">
        <v>207614.52</v>
      </c>
      <c r="R470" s="3" t="n">
        <v>98</v>
      </c>
      <c r="S470" s="3" t="n">
        <v>8.1</v>
      </c>
      <c r="T470" s="3" t="n">
        <v>2.1</v>
      </c>
      <c r="U470" s="3"/>
      <c r="V470" s="3" t="n">
        <v>5.7</v>
      </c>
      <c r="W470" s="3" t="s">
        <v>5990</v>
      </c>
    </row>
    <row r="471" customFormat="false" ht="15" hidden="false" customHeight="true" outlineLevel="0" collapsed="false">
      <c r="A471" s="3" t="s">
        <v>6539</v>
      </c>
      <c r="B471" s="3" t="s">
        <v>1084</v>
      </c>
      <c r="C471" s="3" t="s">
        <v>6540</v>
      </c>
      <c r="D471" s="3" t="s">
        <v>83</v>
      </c>
      <c r="E471" s="3" t="s">
        <v>48</v>
      </c>
      <c r="F471" s="3" t="s">
        <v>62</v>
      </c>
      <c r="G471" s="3" t="s">
        <v>41</v>
      </c>
      <c r="H471" s="3" t="s">
        <v>56</v>
      </c>
      <c r="I471" s="3" t="s">
        <v>57</v>
      </c>
      <c r="J471" s="3" t="s">
        <v>5989</v>
      </c>
      <c r="K471" s="3" t="n">
        <v>347142.37</v>
      </c>
      <c r="L471" s="3" t="n">
        <v>0.0993</v>
      </c>
      <c r="M471" s="3" t="n">
        <v>312671.13</v>
      </c>
      <c r="N471" s="3" t="n">
        <v>142738.58</v>
      </c>
      <c r="O471" s="3" t="n">
        <v>0.4565</v>
      </c>
      <c r="P471" s="3" t="n">
        <v>0.294</v>
      </c>
      <c r="Q471" s="3" t="n">
        <v>91925.31</v>
      </c>
      <c r="R471" s="3" t="n">
        <v>108</v>
      </c>
      <c r="S471" s="3" t="n">
        <v>5.6</v>
      </c>
      <c r="T471" s="3" t="n">
        <v>1.1</v>
      </c>
      <c r="U471" s="3"/>
      <c r="V471" s="3" t="n">
        <v>7.91</v>
      </c>
      <c r="W471" s="3" t="s">
        <v>5997</v>
      </c>
    </row>
    <row r="472" customFormat="false" ht="15" hidden="false" customHeight="true" outlineLevel="0" collapsed="false">
      <c r="A472" s="3" t="s">
        <v>6541</v>
      </c>
      <c r="B472" s="3" t="s">
        <v>1395</v>
      </c>
      <c r="C472" s="3" t="s">
        <v>788</v>
      </c>
      <c r="D472" s="3" t="s">
        <v>47</v>
      </c>
      <c r="E472" s="3" t="s">
        <v>48</v>
      </c>
      <c r="F472" s="3" t="s">
        <v>25</v>
      </c>
      <c r="G472" s="3" t="s">
        <v>34</v>
      </c>
      <c r="H472" s="3" t="s">
        <v>42</v>
      </c>
      <c r="I472" s="3" t="s">
        <v>43</v>
      </c>
      <c r="J472" s="3" t="s">
        <v>5999</v>
      </c>
      <c r="K472" s="3" t="n">
        <v>929849.76</v>
      </c>
      <c r="L472" s="3" t="n">
        <v>0.2601</v>
      </c>
      <c r="M472" s="3" t="n">
        <v>687995.84</v>
      </c>
      <c r="N472" s="3" t="n">
        <v>283603.14</v>
      </c>
      <c r="O472" s="3" t="n">
        <v>0.4122</v>
      </c>
      <c r="P472" s="3" t="n">
        <v>0.472</v>
      </c>
      <c r="Q472" s="3" t="n">
        <v>324734.04</v>
      </c>
      <c r="R472" s="3" t="n">
        <v>151</v>
      </c>
      <c r="S472" s="3" t="n">
        <v>3.6</v>
      </c>
      <c r="T472" s="3" t="n">
        <v>4.4</v>
      </c>
      <c r="U472" s="3"/>
      <c r="V472" s="3" t="n">
        <v>5.29</v>
      </c>
      <c r="W472" s="3" t="s">
        <v>5990</v>
      </c>
    </row>
    <row r="473" customFormat="false" ht="15" hidden="false" customHeight="true" outlineLevel="0" collapsed="false">
      <c r="A473" s="3" t="s">
        <v>6542</v>
      </c>
      <c r="B473" s="3" t="s">
        <v>2168</v>
      </c>
      <c r="C473" s="3" t="s">
        <v>3966</v>
      </c>
      <c r="D473" s="3" t="s">
        <v>38</v>
      </c>
      <c r="E473" s="3" t="s">
        <v>39</v>
      </c>
      <c r="F473" s="3" t="s">
        <v>40</v>
      </c>
      <c r="G473" s="3" t="s">
        <v>116</v>
      </c>
      <c r="H473" s="3" t="s">
        <v>64</v>
      </c>
      <c r="I473" s="3" t="s">
        <v>90</v>
      </c>
      <c r="J473" s="3" t="s">
        <v>5996</v>
      </c>
      <c r="K473" s="3" t="n">
        <v>2335347.72</v>
      </c>
      <c r="L473" s="3" t="n">
        <v>0.1879</v>
      </c>
      <c r="M473" s="3" t="n">
        <v>1896535.88</v>
      </c>
      <c r="N473" s="3" t="n">
        <v>778946.6</v>
      </c>
      <c r="O473" s="3" t="n">
        <v>0.4107</v>
      </c>
      <c r="P473" s="3" t="n">
        <v>1</v>
      </c>
      <c r="Q473" s="3" t="n">
        <v>1896535.88</v>
      </c>
      <c r="R473" s="3" t="n">
        <v>146</v>
      </c>
      <c r="S473" s="3" t="n">
        <v>4.2</v>
      </c>
      <c r="T473" s="3" t="n">
        <v>7.2</v>
      </c>
      <c r="U473" s="3"/>
      <c r="V473" s="3" t="n">
        <v>5.58</v>
      </c>
      <c r="W473" s="3" t="s">
        <v>5990</v>
      </c>
    </row>
    <row r="474" customFormat="false" ht="15" hidden="false" customHeight="true" outlineLevel="0" collapsed="false">
      <c r="A474" s="3" t="s">
        <v>6543</v>
      </c>
      <c r="B474" s="3" t="s">
        <v>3972</v>
      </c>
      <c r="C474" s="3" t="s">
        <v>1229</v>
      </c>
      <c r="D474" s="3" t="s">
        <v>23</v>
      </c>
      <c r="E474" s="3" t="s">
        <v>24</v>
      </c>
      <c r="F474" s="3" t="s">
        <v>25</v>
      </c>
      <c r="G474" s="3" t="s">
        <v>84</v>
      </c>
      <c r="H474" s="3" t="s">
        <v>27</v>
      </c>
      <c r="I474" s="3" t="s">
        <v>28</v>
      </c>
      <c r="J474" s="3" t="s">
        <v>5992</v>
      </c>
      <c r="K474" s="3" t="n">
        <v>3179054.78</v>
      </c>
      <c r="L474" s="3" t="n">
        <v>0.1198</v>
      </c>
      <c r="M474" s="3" t="n">
        <v>2798204.02</v>
      </c>
      <c r="N474" s="3" t="n">
        <v>1309309.44</v>
      </c>
      <c r="O474" s="3" t="n">
        <v>0.4679</v>
      </c>
      <c r="P474" s="3" t="n">
        <v>0.727</v>
      </c>
      <c r="Q474" s="3" t="n">
        <v>2034294.32</v>
      </c>
      <c r="R474" s="3" t="n">
        <v>80</v>
      </c>
      <c r="S474" s="3" t="n">
        <v>6.4</v>
      </c>
      <c r="T474" s="3" t="n">
        <v>2.5</v>
      </c>
      <c r="U474" s="3"/>
      <c r="V474" s="3" t="n">
        <v>7.72</v>
      </c>
      <c r="W474" s="3" t="s">
        <v>5997</v>
      </c>
    </row>
    <row r="475" customFormat="false" ht="15" hidden="false" customHeight="true" outlineLevel="0" collapsed="false">
      <c r="A475" s="3" t="s">
        <v>6544</v>
      </c>
      <c r="B475" s="3" t="s">
        <v>1240</v>
      </c>
      <c r="C475" s="3" t="s">
        <v>160</v>
      </c>
      <c r="D475" s="3" t="s">
        <v>54</v>
      </c>
      <c r="E475" s="3" t="s">
        <v>24</v>
      </c>
      <c r="F475" s="3" t="s">
        <v>40</v>
      </c>
      <c r="G475" s="3" t="s">
        <v>55</v>
      </c>
      <c r="H475" s="3" t="s">
        <v>64</v>
      </c>
      <c r="I475" s="3" t="s">
        <v>90</v>
      </c>
      <c r="J475" s="3" t="s">
        <v>5996</v>
      </c>
      <c r="K475" s="3" t="n">
        <v>2059768.41</v>
      </c>
      <c r="L475" s="3" t="n">
        <v>0.1569</v>
      </c>
      <c r="M475" s="3" t="n">
        <v>1736590.75</v>
      </c>
      <c r="N475" s="3" t="n">
        <v>815447.37</v>
      </c>
      <c r="O475" s="3" t="n">
        <v>0.4696</v>
      </c>
      <c r="P475" s="3" t="n">
        <v>1</v>
      </c>
      <c r="Q475" s="3" t="n">
        <v>1736590.75</v>
      </c>
      <c r="R475" s="3" t="n">
        <v>151</v>
      </c>
      <c r="S475" s="3" t="n">
        <v>8.1</v>
      </c>
      <c r="T475" s="3" t="n">
        <v>7.6</v>
      </c>
      <c r="U475" s="3"/>
      <c r="V475" s="3" t="n">
        <v>7.08</v>
      </c>
      <c r="W475" s="3" t="s">
        <v>5997</v>
      </c>
    </row>
    <row r="476" customFormat="false" ht="15" hidden="false" customHeight="true" outlineLevel="0" collapsed="false">
      <c r="A476" s="3" t="s">
        <v>6545</v>
      </c>
      <c r="B476" s="3" t="s">
        <v>1460</v>
      </c>
      <c r="C476" s="3" t="s">
        <v>102</v>
      </c>
      <c r="D476" s="3" t="s">
        <v>61</v>
      </c>
      <c r="E476" s="3" t="s">
        <v>33</v>
      </c>
      <c r="F476" s="3" t="s">
        <v>62</v>
      </c>
      <c r="G476" s="3" t="s">
        <v>100</v>
      </c>
      <c r="H476" s="3" t="s">
        <v>27</v>
      </c>
      <c r="I476" s="3" t="s">
        <v>94</v>
      </c>
      <c r="J476" s="3" t="s">
        <v>6003</v>
      </c>
      <c r="K476" s="3" t="n">
        <v>385861.84</v>
      </c>
      <c r="L476" s="3" t="n">
        <v>0.0922</v>
      </c>
      <c r="M476" s="3" t="n">
        <v>350285.38</v>
      </c>
      <c r="N476" s="3" t="n">
        <v>133824.44</v>
      </c>
      <c r="O476" s="3" t="n">
        <v>0.382</v>
      </c>
      <c r="P476" s="3" t="n">
        <v>0.072</v>
      </c>
      <c r="Q476" s="3" t="n">
        <v>25220.55</v>
      </c>
      <c r="R476" s="3" t="n">
        <v>179</v>
      </c>
      <c r="S476" s="3" t="n">
        <v>8.4</v>
      </c>
      <c r="T476" s="3" t="n">
        <v>5.2</v>
      </c>
      <c r="U476" s="3"/>
      <c r="V476" s="3" t="n">
        <v>7.52</v>
      </c>
      <c r="W476" s="3" t="s">
        <v>5997</v>
      </c>
    </row>
    <row r="477" customFormat="false" ht="15" hidden="false" customHeight="true" outlineLevel="0" collapsed="false">
      <c r="A477" s="3" t="s">
        <v>6546</v>
      </c>
      <c r="B477" s="3" t="s">
        <v>2275</v>
      </c>
      <c r="C477" s="3" t="s">
        <v>6245</v>
      </c>
      <c r="D477" s="3" t="s">
        <v>38</v>
      </c>
      <c r="E477" s="3" t="s">
        <v>39</v>
      </c>
      <c r="F477" s="3" t="s">
        <v>40</v>
      </c>
      <c r="G477" s="3" t="s">
        <v>100</v>
      </c>
      <c r="H477" s="3" t="s">
        <v>77</v>
      </c>
      <c r="I477" s="3" t="s">
        <v>78</v>
      </c>
      <c r="J477" s="3" t="s">
        <v>5996</v>
      </c>
      <c r="K477" s="3" t="n">
        <v>1905743.47</v>
      </c>
      <c r="L477" s="3" t="n">
        <v>0.0814</v>
      </c>
      <c r="M477" s="3" t="n">
        <v>1750615.95</v>
      </c>
      <c r="N477" s="3" t="n">
        <v>526592.88</v>
      </c>
      <c r="O477" s="3" t="n">
        <v>0.3008</v>
      </c>
      <c r="P477" s="3" t="n">
        <v>1</v>
      </c>
      <c r="Q477" s="3" t="n">
        <v>1750615.95</v>
      </c>
      <c r="R477" s="3" t="n">
        <v>76</v>
      </c>
      <c r="S477" s="3" t="n">
        <v>6.8</v>
      </c>
      <c r="T477" s="3" t="n">
        <v>6.8</v>
      </c>
      <c r="U477" s="3"/>
      <c r="V477" s="3" t="n">
        <v>6.35</v>
      </c>
      <c r="W477" s="3" t="s">
        <v>5990</v>
      </c>
    </row>
    <row r="478" customFormat="false" ht="15" hidden="false" customHeight="true" outlineLevel="0" collapsed="false">
      <c r="A478" s="3" t="s">
        <v>6547</v>
      </c>
      <c r="B478" s="3" t="s">
        <v>543</v>
      </c>
      <c r="C478" s="3" t="s">
        <v>2441</v>
      </c>
      <c r="D478" s="3" t="s">
        <v>107</v>
      </c>
      <c r="E478" s="3" t="s">
        <v>33</v>
      </c>
      <c r="F478" s="3" t="s">
        <v>70</v>
      </c>
      <c r="G478" s="3" t="s">
        <v>63</v>
      </c>
      <c r="H478" s="3" t="s">
        <v>27</v>
      </c>
      <c r="I478" s="3" t="s">
        <v>50</v>
      </c>
      <c r="J478" s="3" t="s">
        <v>5999</v>
      </c>
      <c r="K478" s="3" t="n">
        <v>4282063.01</v>
      </c>
      <c r="L478" s="3" t="n">
        <v>0.0802</v>
      </c>
      <c r="M478" s="3" t="n">
        <v>3938641.56</v>
      </c>
      <c r="N478" s="3" t="n">
        <v>1722271.19</v>
      </c>
      <c r="O478" s="3" t="n">
        <v>0.4373</v>
      </c>
      <c r="P478" s="3" t="n">
        <v>0.463</v>
      </c>
      <c r="Q478" s="3" t="n">
        <v>1823591.04</v>
      </c>
      <c r="R478" s="3" t="n">
        <v>84</v>
      </c>
      <c r="S478" s="3" t="n">
        <v>8.9</v>
      </c>
      <c r="T478" s="3" t="n">
        <v>4.2</v>
      </c>
      <c r="U478" s="3"/>
      <c r="V478" s="3" t="n">
        <v>8.31</v>
      </c>
      <c r="W478" s="3" t="s">
        <v>5997</v>
      </c>
    </row>
    <row r="479" customFormat="false" ht="15" hidden="false" customHeight="true" outlineLevel="0" collapsed="false">
      <c r="A479" s="3" t="s">
        <v>6548</v>
      </c>
      <c r="B479" s="3" t="s">
        <v>1060</v>
      </c>
      <c r="C479" s="3" t="s">
        <v>1633</v>
      </c>
      <c r="D479" s="3" t="s">
        <v>23</v>
      </c>
      <c r="E479" s="3" t="s">
        <v>24</v>
      </c>
      <c r="F479" s="3" t="s">
        <v>25</v>
      </c>
      <c r="G479" s="3" t="s">
        <v>84</v>
      </c>
      <c r="H479" s="3" t="s">
        <v>77</v>
      </c>
      <c r="I479" s="3" t="s">
        <v>85</v>
      </c>
      <c r="J479" s="3" t="s">
        <v>5992</v>
      </c>
      <c r="K479" s="3" t="n">
        <v>197993.26</v>
      </c>
      <c r="L479" s="3" t="n">
        <v>0.1651</v>
      </c>
      <c r="M479" s="3" t="n">
        <v>165304.57</v>
      </c>
      <c r="N479" s="3" t="n">
        <v>53436.83</v>
      </c>
      <c r="O479" s="3" t="n">
        <v>0.3233</v>
      </c>
      <c r="P479" s="3" t="n">
        <v>0.739</v>
      </c>
      <c r="Q479" s="3" t="n">
        <v>122160.08</v>
      </c>
      <c r="R479" s="3" t="n">
        <v>135</v>
      </c>
      <c r="S479" s="3" t="n">
        <v>6.8</v>
      </c>
      <c r="T479" s="3" t="n">
        <v>8.5</v>
      </c>
      <c r="U479" s="3"/>
      <c r="V479" s="3" t="n">
        <v>5.57</v>
      </c>
      <c r="W479" s="3" t="s">
        <v>5990</v>
      </c>
    </row>
    <row r="480" customFormat="false" ht="15" hidden="false" customHeight="true" outlineLevel="0" collapsed="false">
      <c r="A480" s="3" t="s">
        <v>6549</v>
      </c>
      <c r="B480" s="3" t="s">
        <v>1884</v>
      </c>
      <c r="C480" s="3" t="s">
        <v>6067</v>
      </c>
      <c r="D480" s="3" t="s">
        <v>23</v>
      </c>
      <c r="E480" s="3" t="s">
        <v>24</v>
      </c>
      <c r="F480" s="3" t="s">
        <v>25</v>
      </c>
      <c r="G480" s="3" t="s">
        <v>34</v>
      </c>
      <c r="H480" s="3" t="s">
        <v>42</v>
      </c>
      <c r="I480" s="3" t="s">
        <v>134</v>
      </c>
      <c r="J480" s="3" t="s">
        <v>6003</v>
      </c>
      <c r="K480" s="3" t="n">
        <v>147554.97</v>
      </c>
      <c r="L480" s="3" t="n">
        <v>0.1712</v>
      </c>
      <c r="M480" s="3" t="n">
        <v>122293.56</v>
      </c>
      <c r="N480" s="3" t="n">
        <v>56160.13</v>
      </c>
      <c r="O480" s="3" t="n">
        <v>0.4592</v>
      </c>
      <c r="P480" s="3" t="n">
        <v>0.065</v>
      </c>
      <c r="Q480" s="3" t="n">
        <v>7949.08</v>
      </c>
      <c r="R480" s="3" t="n">
        <v>40</v>
      </c>
      <c r="S480" s="3" t="n">
        <v>2.5</v>
      </c>
      <c r="T480" s="3" t="n">
        <v>4.2</v>
      </c>
      <c r="U480" s="3"/>
      <c r="V480" s="3" t="n">
        <v>6.07</v>
      </c>
      <c r="W480" s="3" t="s">
        <v>5990</v>
      </c>
    </row>
    <row r="481" customFormat="false" ht="15" hidden="false" customHeight="true" outlineLevel="0" collapsed="false">
      <c r="A481" s="3" t="s">
        <v>6550</v>
      </c>
      <c r="B481" s="3" t="s">
        <v>1307</v>
      </c>
      <c r="C481" s="3" t="s">
        <v>2725</v>
      </c>
      <c r="D481" s="3" t="s">
        <v>75</v>
      </c>
      <c r="E481" s="3" t="s">
        <v>39</v>
      </c>
      <c r="F481" s="3" t="s">
        <v>25</v>
      </c>
      <c r="G481" s="3" t="s">
        <v>55</v>
      </c>
      <c r="H481" s="3" t="s">
        <v>27</v>
      </c>
      <c r="I481" s="3" t="s">
        <v>117</v>
      </c>
      <c r="J481" s="3" t="s">
        <v>5992</v>
      </c>
      <c r="K481" s="3" t="n">
        <v>1819018.05</v>
      </c>
      <c r="L481" s="3" t="n">
        <v>0.1619</v>
      </c>
      <c r="M481" s="3" t="n">
        <v>1524519.03</v>
      </c>
      <c r="N481" s="3" t="n">
        <v>692992.05</v>
      </c>
      <c r="O481" s="3" t="n">
        <v>0.4546</v>
      </c>
      <c r="P481" s="3" t="n">
        <v>0.687</v>
      </c>
      <c r="Q481" s="3" t="n">
        <v>1047344.57</v>
      </c>
      <c r="R481" s="3" t="n">
        <v>107</v>
      </c>
      <c r="S481" s="3" t="n">
        <v>8.1</v>
      </c>
      <c r="T481" s="3" t="n">
        <v>9.2</v>
      </c>
      <c r="U481" s="3"/>
      <c r="V481" s="3" t="n">
        <v>6.8</v>
      </c>
      <c r="W481" s="3" t="s">
        <v>5997</v>
      </c>
    </row>
    <row r="482" customFormat="false" ht="15" hidden="false" customHeight="true" outlineLevel="0" collapsed="false">
      <c r="A482" s="3" t="s">
        <v>6551</v>
      </c>
      <c r="B482" s="3" t="s">
        <v>3296</v>
      </c>
      <c r="C482" s="3" t="s">
        <v>6552</v>
      </c>
      <c r="D482" s="3" t="s">
        <v>75</v>
      </c>
      <c r="E482" s="3" t="s">
        <v>39</v>
      </c>
      <c r="F482" s="3" t="s">
        <v>25</v>
      </c>
      <c r="G482" s="3" t="s">
        <v>84</v>
      </c>
      <c r="H482" s="3" t="s">
        <v>42</v>
      </c>
      <c r="I482" s="3" t="s">
        <v>43</v>
      </c>
      <c r="J482" s="3" t="s">
        <v>5999</v>
      </c>
      <c r="K482" s="3" t="n">
        <v>3191539.5</v>
      </c>
      <c r="L482" s="3" t="n">
        <v>0.1388</v>
      </c>
      <c r="M482" s="3" t="n">
        <v>2748553.82</v>
      </c>
      <c r="N482" s="3" t="n">
        <v>1143004.22</v>
      </c>
      <c r="O482" s="3" t="n">
        <v>0.4159</v>
      </c>
      <c r="P482" s="3" t="n">
        <v>0.431</v>
      </c>
      <c r="Q482" s="3" t="n">
        <v>1184626.7</v>
      </c>
      <c r="R482" s="3" t="n">
        <v>117</v>
      </c>
      <c r="S482" s="3" t="n">
        <v>2.4</v>
      </c>
      <c r="T482" s="3" t="n">
        <v>8.9</v>
      </c>
      <c r="U482" s="3"/>
      <c r="V482" s="3" t="n">
        <v>5.33</v>
      </c>
      <c r="W482" s="3" t="s">
        <v>5990</v>
      </c>
    </row>
    <row r="483" customFormat="false" ht="15" hidden="false" customHeight="true" outlineLevel="0" collapsed="false">
      <c r="A483" s="3" t="s">
        <v>6553</v>
      </c>
      <c r="B483" s="3" t="s">
        <v>2250</v>
      </c>
      <c r="C483" s="3" t="s">
        <v>1771</v>
      </c>
      <c r="D483" s="3" t="s">
        <v>54</v>
      </c>
      <c r="E483" s="3" t="s">
        <v>24</v>
      </c>
      <c r="F483" s="3" t="s">
        <v>40</v>
      </c>
      <c r="G483" s="3" t="s">
        <v>76</v>
      </c>
      <c r="H483" s="3" t="s">
        <v>64</v>
      </c>
      <c r="I483" s="3" t="s">
        <v>90</v>
      </c>
      <c r="J483" s="3" t="s">
        <v>5989</v>
      </c>
      <c r="K483" s="3" t="n">
        <v>3734833.6</v>
      </c>
      <c r="L483" s="3" t="n">
        <v>0.2455</v>
      </c>
      <c r="M483" s="3" t="n">
        <v>2817931.95</v>
      </c>
      <c r="N483" s="3" t="n">
        <v>1339266.69</v>
      </c>
      <c r="O483" s="3" t="n">
        <v>0.4753</v>
      </c>
      <c r="P483" s="3" t="n">
        <v>0.228</v>
      </c>
      <c r="Q483" s="3" t="n">
        <v>642488.48</v>
      </c>
      <c r="R483" s="3" t="n">
        <v>27</v>
      </c>
      <c r="S483" s="3" t="n">
        <v>1</v>
      </c>
      <c r="T483" s="3" t="n">
        <v>3.6</v>
      </c>
      <c r="U483" s="3"/>
      <c r="V483" s="3" t="n">
        <v>5.16</v>
      </c>
      <c r="W483" s="3" t="s">
        <v>5990</v>
      </c>
    </row>
    <row r="484" customFormat="false" ht="15" hidden="false" customHeight="true" outlineLevel="0" collapsed="false">
      <c r="A484" s="3" t="s">
        <v>6554</v>
      </c>
      <c r="B484" s="3" t="s">
        <v>2820</v>
      </c>
      <c r="C484" s="3" t="s">
        <v>6193</v>
      </c>
      <c r="D484" s="3" t="s">
        <v>38</v>
      </c>
      <c r="E484" s="3" t="s">
        <v>39</v>
      </c>
      <c r="F484" s="3" t="s">
        <v>40</v>
      </c>
      <c r="G484" s="3" t="s">
        <v>84</v>
      </c>
      <c r="H484" s="3" t="s">
        <v>77</v>
      </c>
      <c r="I484" s="3" t="s">
        <v>131</v>
      </c>
      <c r="J484" s="3" t="s">
        <v>5989</v>
      </c>
      <c r="K484" s="3" t="n">
        <v>1735253.45</v>
      </c>
      <c r="L484" s="3" t="n">
        <v>0.2285</v>
      </c>
      <c r="M484" s="3" t="n">
        <v>1338748.04</v>
      </c>
      <c r="N484" s="3" t="n">
        <v>387175.37</v>
      </c>
      <c r="O484" s="3" t="n">
        <v>0.2892</v>
      </c>
      <c r="P484" s="3" t="n">
        <v>0.272</v>
      </c>
      <c r="Q484" s="3" t="n">
        <v>364139.47</v>
      </c>
      <c r="R484" s="3" t="n">
        <v>41</v>
      </c>
      <c r="S484" s="3" t="n">
        <v>5.6</v>
      </c>
      <c r="T484" s="3" t="n">
        <v>4.8</v>
      </c>
      <c r="U484" s="3"/>
      <c r="V484" s="3" t="n">
        <v>5.02</v>
      </c>
      <c r="W484" s="3" t="s">
        <v>5990</v>
      </c>
    </row>
    <row r="485" customFormat="false" ht="15" hidden="false" customHeight="true" outlineLevel="0" collapsed="false">
      <c r="A485" s="3" t="s">
        <v>6555</v>
      </c>
      <c r="B485" s="3" t="s">
        <v>2760</v>
      </c>
      <c r="C485" s="3" t="s">
        <v>993</v>
      </c>
      <c r="D485" s="3" t="s">
        <v>38</v>
      </c>
      <c r="E485" s="3" t="s">
        <v>39</v>
      </c>
      <c r="F485" s="3" t="s">
        <v>40</v>
      </c>
      <c r="G485" s="3" t="s">
        <v>34</v>
      </c>
      <c r="H485" s="3" t="s">
        <v>77</v>
      </c>
      <c r="I485" s="3" t="s">
        <v>78</v>
      </c>
      <c r="J485" s="3" t="s">
        <v>5999</v>
      </c>
      <c r="K485" s="3" t="n">
        <v>1900965.04</v>
      </c>
      <c r="L485" s="3" t="n">
        <v>0.0637</v>
      </c>
      <c r="M485" s="3" t="n">
        <v>1779873.57</v>
      </c>
      <c r="N485" s="3" t="n">
        <v>769395.48</v>
      </c>
      <c r="O485" s="3" t="n">
        <v>0.4323</v>
      </c>
      <c r="P485" s="3" t="n">
        <v>0.473</v>
      </c>
      <c r="Q485" s="3" t="n">
        <v>841880.2</v>
      </c>
      <c r="R485" s="3" t="n">
        <v>44</v>
      </c>
      <c r="S485" s="3" t="n">
        <v>4.1</v>
      </c>
      <c r="T485" s="3" t="n">
        <v>7.5</v>
      </c>
      <c r="U485" s="3"/>
      <c r="V485" s="3" t="n">
        <v>6.73</v>
      </c>
      <c r="W485" s="3" t="s">
        <v>5997</v>
      </c>
    </row>
    <row r="486" customFormat="false" ht="15" hidden="false" customHeight="true" outlineLevel="0" collapsed="false">
      <c r="A486" s="3" t="s">
        <v>6556</v>
      </c>
      <c r="B486" s="3" t="s">
        <v>270</v>
      </c>
      <c r="C486" s="3" t="s">
        <v>110</v>
      </c>
      <c r="D486" s="3" t="s">
        <v>38</v>
      </c>
      <c r="E486" s="3" t="s">
        <v>39</v>
      </c>
      <c r="F486" s="3" t="s">
        <v>40</v>
      </c>
      <c r="G486" s="3" t="s">
        <v>104</v>
      </c>
      <c r="H486" s="3" t="s">
        <v>64</v>
      </c>
      <c r="I486" s="3" t="s">
        <v>108</v>
      </c>
      <c r="J486" s="3" t="s">
        <v>5999</v>
      </c>
      <c r="K486" s="3" t="n">
        <v>55295.45</v>
      </c>
      <c r="L486" s="3" t="n">
        <v>0.2321</v>
      </c>
      <c r="M486" s="3" t="n">
        <v>42461.38</v>
      </c>
      <c r="N486" s="3" t="n">
        <v>20027.53</v>
      </c>
      <c r="O486" s="3" t="n">
        <v>0.4717</v>
      </c>
      <c r="P486" s="3" t="n">
        <v>0.491</v>
      </c>
      <c r="Q486" s="3" t="n">
        <v>20848.54</v>
      </c>
      <c r="R486" s="3" t="n">
        <v>113</v>
      </c>
      <c r="S486" s="3" t="n">
        <v>2</v>
      </c>
      <c r="T486" s="3" t="n">
        <v>7.5</v>
      </c>
      <c r="U486" s="3"/>
      <c r="V486" s="3" t="n">
        <v>4.95</v>
      </c>
      <c r="W486" s="3" t="s">
        <v>6000</v>
      </c>
    </row>
    <row r="487" customFormat="false" ht="15" hidden="false" customHeight="true" outlineLevel="0" collapsed="false">
      <c r="A487" s="3" t="s">
        <v>6557</v>
      </c>
      <c r="B487" s="3" t="s">
        <v>368</v>
      </c>
      <c r="C487" s="3" t="s">
        <v>1180</v>
      </c>
      <c r="D487" s="3" t="s">
        <v>103</v>
      </c>
      <c r="E487" s="3" t="s">
        <v>24</v>
      </c>
      <c r="F487" s="3" t="s">
        <v>62</v>
      </c>
      <c r="G487" s="3" t="s">
        <v>76</v>
      </c>
      <c r="H487" s="3" t="s">
        <v>56</v>
      </c>
      <c r="I487" s="3" t="s">
        <v>121</v>
      </c>
      <c r="J487" s="3" t="s">
        <v>5989</v>
      </c>
      <c r="K487" s="3" t="n">
        <v>1788625.88</v>
      </c>
      <c r="L487" s="3" t="n">
        <v>0.1044</v>
      </c>
      <c r="M487" s="3" t="n">
        <v>1601893.34</v>
      </c>
      <c r="N487" s="3" t="n">
        <v>688799.72</v>
      </c>
      <c r="O487" s="3" t="n">
        <v>0.43</v>
      </c>
      <c r="P487" s="3" t="n">
        <v>0.21</v>
      </c>
      <c r="Q487" s="3" t="n">
        <v>336397.6</v>
      </c>
      <c r="R487" s="3" t="n">
        <v>32</v>
      </c>
      <c r="S487" s="3" t="n">
        <v>7.7</v>
      </c>
      <c r="T487" s="3" t="n">
        <v>8.2</v>
      </c>
      <c r="U487" s="3"/>
      <c r="V487" s="3" t="n">
        <v>7.18</v>
      </c>
      <c r="W487" s="3" t="s">
        <v>5997</v>
      </c>
    </row>
    <row r="488" customFormat="false" ht="15" hidden="false" customHeight="true" outlineLevel="0" collapsed="false">
      <c r="A488" s="3" t="s">
        <v>6558</v>
      </c>
      <c r="B488" s="3" t="s">
        <v>1133</v>
      </c>
      <c r="C488" s="3" t="s">
        <v>2840</v>
      </c>
      <c r="D488" s="3" t="s">
        <v>23</v>
      </c>
      <c r="E488" s="3" t="s">
        <v>24</v>
      </c>
      <c r="F488" s="3" t="s">
        <v>25</v>
      </c>
      <c r="G488" s="3" t="s">
        <v>100</v>
      </c>
      <c r="H488" s="3" t="s">
        <v>64</v>
      </c>
      <c r="I488" s="3" t="s">
        <v>65</v>
      </c>
      <c r="J488" s="3" t="s">
        <v>5992</v>
      </c>
      <c r="K488" s="3" t="n">
        <v>2483790.59</v>
      </c>
      <c r="L488" s="3" t="n">
        <v>0.2367</v>
      </c>
      <c r="M488" s="3" t="n">
        <v>1895877.36</v>
      </c>
      <c r="N488" s="3" t="n">
        <v>797225.57</v>
      </c>
      <c r="O488" s="3" t="n">
        <v>0.4205</v>
      </c>
      <c r="P488" s="3" t="n">
        <v>0.674</v>
      </c>
      <c r="Q488" s="3" t="n">
        <v>1277821.34</v>
      </c>
      <c r="R488" s="3" t="n">
        <v>50</v>
      </c>
      <c r="S488" s="3" t="n">
        <v>2.7</v>
      </c>
      <c r="T488" s="3" t="n">
        <v>8.5</v>
      </c>
      <c r="U488" s="3"/>
      <c r="V488" s="3" t="n">
        <v>4.68</v>
      </c>
      <c r="W488" s="3" t="s">
        <v>6000</v>
      </c>
    </row>
    <row r="489" customFormat="false" ht="15" hidden="false" customHeight="true" outlineLevel="0" collapsed="false">
      <c r="A489" s="3" t="s">
        <v>6559</v>
      </c>
      <c r="B489" s="3" t="s">
        <v>1110</v>
      </c>
      <c r="C489" s="3" t="s">
        <v>4404</v>
      </c>
      <c r="D489" s="3" t="s">
        <v>61</v>
      </c>
      <c r="E489" s="3" t="s">
        <v>33</v>
      </c>
      <c r="F489" s="3" t="s">
        <v>62</v>
      </c>
      <c r="G489" s="3" t="s">
        <v>116</v>
      </c>
      <c r="H489" s="3" t="s">
        <v>77</v>
      </c>
      <c r="I489" s="3" t="s">
        <v>78</v>
      </c>
      <c r="J489" s="3" t="s">
        <v>5992</v>
      </c>
      <c r="K489" s="3" t="n">
        <v>2390243.75</v>
      </c>
      <c r="L489" s="3" t="n">
        <v>0.2482</v>
      </c>
      <c r="M489" s="3" t="n">
        <v>1796985.25</v>
      </c>
      <c r="N489" s="3" t="n">
        <v>542483.29</v>
      </c>
      <c r="O489" s="3" t="n">
        <v>0.3019</v>
      </c>
      <c r="P489" s="3" t="n">
        <v>0.684</v>
      </c>
      <c r="Q489" s="3" t="n">
        <v>1229137.91</v>
      </c>
      <c r="R489" s="3" t="n">
        <v>21</v>
      </c>
      <c r="S489" s="3" t="n">
        <v>4.9</v>
      </c>
      <c r="T489" s="3" t="n">
        <v>3.1</v>
      </c>
      <c r="U489" s="3"/>
      <c r="V489" s="3" t="n">
        <v>5.03</v>
      </c>
      <c r="W489" s="3" t="s">
        <v>5990</v>
      </c>
    </row>
    <row r="490" customFormat="false" ht="15" hidden="false" customHeight="true" outlineLevel="0" collapsed="false">
      <c r="A490" s="3" t="s">
        <v>6560</v>
      </c>
      <c r="B490" s="3" t="s">
        <v>1188</v>
      </c>
      <c r="C490" s="3" t="s">
        <v>1285</v>
      </c>
      <c r="D490" s="3" t="s">
        <v>54</v>
      </c>
      <c r="E490" s="3" t="s">
        <v>24</v>
      </c>
      <c r="F490" s="3" t="s">
        <v>40</v>
      </c>
      <c r="G490" s="3" t="s">
        <v>41</v>
      </c>
      <c r="H490" s="3" t="s">
        <v>64</v>
      </c>
      <c r="I490" s="3" t="s">
        <v>145</v>
      </c>
      <c r="J490" s="3" t="s">
        <v>5989</v>
      </c>
      <c r="K490" s="3" t="n">
        <v>2501551.05</v>
      </c>
      <c r="L490" s="3" t="n">
        <v>0.0617</v>
      </c>
      <c r="M490" s="3" t="n">
        <v>2347205.35</v>
      </c>
      <c r="N490" s="3" t="n">
        <v>992022.2</v>
      </c>
      <c r="O490" s="3" t="n">
        <v>0.4226</v>
      </c>
      <c r="P490" s="3" t="n">
        <v>0.293</v>
      </c>
      <c r="Q490" s="3" t="n">
        <v>687731.17</v>
      </c>
      <c r="R490" s="3" t="n">
        <v>25</v>
      </c>
      <c r="S490" s="3" t="n">
        <v>5.1</v>
      </c>
      <c r="T490" s="3" t="n">
        <v>2.5</v>
      </c>
      <c r="U490" s="3"/>
      <c r="V490" s="3" t="n">
        <v>7.67</v>
      </c>
      <c r="W490" s="3" t="s">
        <v>5997</v>
      </c>
    </row>
    <row r="491" customFormat="false" ht="15" hidden="false" customHeight="true" outlineLevel="0" collapsed="false">
      <c r="A491" s="3" t="s">
        <v>6561</v>
      </c>
      <c r="B491" s="3" t="s">
        <v>1633</v>
      </c>
      <c r="C491" s="3" t="s">
        <v>811</v>
      </c>
      <c r="D491" s="3" t="s">
        <v>107</v>
      </c>
      <c r="E491" s="3" t="s">
        <v>33</v>
      </c>
      <c r="F491" s="3" t="s">
        <v>70</v>
      </c>
      <c r="G491" s="3" t="s">
        <v>55</v>
      </c>
      <c r="H491" s="3" t="s">
        <v>77</v>
      </c>
      <c r="I491" s="3" t="s">
        <v>78</v>
      </c>
      <c r="J491" s="3" t="s">
        <v>6009</v>
      </c>
      <c r="K491" s="3" t="n">
        <v>3007378.91</v>
      </c>
      <c r="L491" s="3" t="n">
        <v>0.1331</v>
      </c>
      <c r="M491" s="3" t="n">
        <v>2607096.78</v>
      </c>
      <c r="N491" s="3" t="n">
        <v>987223.27</v>
      </c>
      <c r="O491" s="3" t="n">
        <v>0.3787</v>
      </c>
      <c r="P491" s="3" t="n">
        <v>0</v>
      </c>
      <c r="Q491" s="3" t="n">
        <v>0</v>
      </c>
      <c r="R491" s="3" t="n">
        <v>116</v>
      </c>
      <c r="S491" s="3" t="n">
        <v>3.6</v>
      </c>
      <c r="T491" s="3" t="n">
        <v>5.9</v>
      </c>
      <c r="U491" s="3" t="s">
        <v>6020</v>
      </c>
      <c r="V491" s="3" t="n">
        <v>5.86</v>
      </c>
      <c r="W491" s="3" t="s">
        <v>5990</v>
      </c>
    </row>
    <row r="492" customFormat="false" ht="15" hidden="false" customHeight="true" outlineLevel="0" collapsed="false">
      <c r="A492" s="3" t="s">
        <v>6562</v>
      </c>
      <c r="B492" s="3" t="s">
        <v>2031</v>
      </c>
      <c r="C492" s="3" t="s">
        <v>1198</v>
      </c>
      <c r="D492" s="3" t="s">
        <v>32</v>
      </c>
      <c r="E492" s="3" t="s">
        <v>33</v>
      </c>
      <c r="F492" s="3" t="s">
        <v>25</v>
      </c>
      <c r="G492" s="3" t="s">
        <v>63</v>
      </c>
      <c r="H492" s="3" t="s">
        <v>27</v>
      </c>
      <c r="I492" s="3" t="s">
        <v>173</v>
      </c>
      <c r="J492" s="3" t="s">
        <v>6009</v>
      </c>
      <c r="K492" s="3" t="n">
        <v>3470217.79</v>
      </c>
      <c r="L492" s="3" t="n">
        <v>0.1678</v>
      </c>
      <c r="M492" s="3" t="n">
        <v>2887915.24</v>
      </c>
      <c r="N492" s="3" t="n">
        <v>885747.65</v>
      </c>
      <c r="O492" s="3" t="n">
        <v>0.3067</v>
      </c>
      <c r="P492" s="3" t="n">
        <v>0.041</v>
      </c>
      <c r="Q492" s="3" t="n">
        <v>118404.52</v>
      </c>
      <c r="R492" s="3" t="n">
        <v>68</v>
      </c>
      <c r="S492" s="3" t="n">
        <v>7.9</v>
      </c>
      <c r="T492" s="3" t="n">
        <v>5.6</v>
      </c>
      <c r="U492" s="3" t="s">
        <v>6041</v>
      </c>
      <c r="V492" s="3" t="n">
        <v>6.12</v>
      </c>
      <c r="W492" s="3" t="s">
        <v>5990</v>
      </c>
    </row>
    <row r="493" customFormat="false" ht="15" hidden="false" customHeight="true" outlineLevel="0" collapsed="false">
      <c r="A493" s="3" t="s">
        <v>6563</v>
      </c>
      <c r="B493" s="3" t="s">
        <v>400</v>
      </c>
      <c r="C493" s="3" t="s">
        <v>2100</v>
      </c>
      <c r="D493" s="3" t="s">
        <v>61</v>
      </c>
      <c r="E493" s="3" t="s">
        <v>33</v>
      </c>
      <c r="F493" s="3" t="s">
        <v>62</v>
      </c>
      <c r="G493" s="3" t="s">
        <v>104</v>
      </c>
      <c r="H493" s="3" t="s">
        <v>27</v>
      </c>
      <c r="I493" s="3" t="s">
        <v>117</v>
      </c>
      <c r="J493" s="3" t="s">
        <v>5996</v>
      </c>
      <c r="K493" s="3" t="n">
        <v>902015</v>
      </c>
      <c r="L493" s="3" t="n">
        <v>0.2836</v>
      </c>
      <c r="M493" s="3" t="n">
        <v>646203.55</v>
      </c>
      <c r="N493" s="3" t="n">
        <v>290740.75</v>
      </c>
      <c r="O493" s="3" t="n">
        <v>0.4499</v>
      </c>
      <c r="P493" s="3" t="n">
        <v>0.972</v>
      </c>
      <c r="Q493" s="3" t="n">
        <v>628109.85</v>
      </c>
      <c r="R493" s="3" t="n">
        <v>149</v>
      </c>
      <c r="S493" s="3" t="n">
        <v>9.3</v>
      </c>
      <c r="T493" s="3" t="n">
        <v>2.5</v>
      </c>
      <c r="U493" s="3"/>
      <c r="V493" s="3" t="n">
        <v>7.08</v>
      </c>
      <c r="W493" s="3" t="s">
        <v>5997</v>
      </c>
    </row>
    <row r="494" customFormat="false" ht="15" hidden="false" customHeight="true" outlineLevel="0" collapsed="false">
      <c r="A494" s="3" t="s">
        <v>6564</v>
      </c>
      <c r="B494" s="3" t="s">
        <v>2869</v>
      </c>
      <c r="C494" s="3" t="s">
        <v>6565</v>
      </c>
      <c r="D494" s="3" t="s">
        <v>69</v>
      </c>
      <c r="E494" s="3" t="s">
        <v>39</v>
      </c>
      <c r="F494" s="3" t="s">
        <v>70</v>
      </c>
      <c r="G494" s="3" t="s">
        <v>49</v>
      </c>
      <c r="H494" s="3" t="s">
        <v>77</v>
      </c>
      <c r="I494" s="3" t="s">
        <v>78</v>
      </c>
      <c r="J494" s="3" t="s">
        <v>6003</v>
      </c>
      <c r="K494" s="3" t="n">
        <v>1468291.42</v>
      </c>
      <c r="L494" s="3" t="n">
        <v>0.1811</v>
      </c>
      <c r="M494" s="3" t="n">
        <v>1202383.84</v>
      </c>
      <c r="N494" s="3" t="n">
        <v>569936.5</v>
      </c>
      <c r="O494" s="3" t="n">
        <v>0.474</v>
      </c>
      <c r="P494" s="3" t="n">
        <v>0.113</v>
      </c>
      <c r="Q494" s="3" t="n">
        <v>135869.37</v>
      </c>
      <c r="R494" s="3" t="n">
        <v>75</v>
      </c>
      <c r="S494" s="3" t="n">
        <v>3.4</v>
      </c>
      <c r="T494" s="3" t="n">
        <v>6</v>
      </c>
      <c r="U494" s="3"/>
      <c r="V494" s="3" t="n">
        <v>5.95</v>
      </c>
      <c r="W494" s="3" t="s">
        <v>5990</v>
      </c>
    </row>
    <row r="495" customFormat="false" ht="15" hidden="false" customHeight="true" outlineLevel="0" collapsed="false">
      <c r="A495" s="3" t="s">
        <v>6566</v>
      </c>
      <c r="B495" s="3" t="s">
        <v>82</v>
      </c>
      <c r="C495" s="3" t="s">
        <v>1726</v>
      </c>
      <c r="D495" s="3" t="s">
        <v>38</v>
      </c>
      <c r="E495" s="3" t="s">
        <v>39</v>
      </c>
      <c r="F495" s="3" t="s">
        <v>40</v>
      </c>
      <c r="G495" s="3" t="s">
        <v>76</v>
      </c>
      <c r="H495" s="3" t="s">
        <v>77</v>
      </c>
      <c r="I495" s="3" t="s">
        <v>85</v>
      </c>
      <c r="J495" s="3" t="s">
        <v>5999</v>
      </c>
      <c r="K495" s="3" t="n">
        <v>1429762.72</v>
      </c>
      <c r="L495" s="3" t="n">
        <v>0.0774</v>
      </c>
      <c r="M495" s="3" t="n">
        <v>1319099.09</v>
      </c>
      <c r="N495" s="3" t="n">
        <v>386501.75</v>
      </c>
      <c r="O495" s="3" t="n">
        <v>0.293</v>
      </c>
      <c r="P495" s="3" t="n">
        <v>0.41</v>
      </c>
      <c r="Q495" s="3" t="n">
        <v>540830.63</v>
      </c>
      <c r="R495" s="3" t="n">
        <v>121</v>
      </c>
      <c r="S495" s="3" t="n">
        <v>7.5</v>
      </c>
      <c r="T495" s="3" t="n">
        <v>4.3</v>
      </c>
      <c r="U495" s="3"/>
      <c r="V495" s="3" t="n">
        <v>6.86</v>
      </c>
      <c r="W495" s="3" t="s">
        <v>5997</v>
      </c>
    </row>
    <row r="496" customFormat="false" ht="15" hidden="false" customHeight="true" outlineLevel="0" collapsed="false">
      <c r="A496" s="3" t="s">
        <v>6567</v>
      </c>
      <c r="B496" s="3" t="s">
        <v>1790</v>
      </c>
      <c r="C496" s="3" t="s">
        <v>2879</v>
      </c>
      <c r="D496" s="3" t="s">
        <v>23</v>
      </c>
      <c r="E496" s="3" t="s">
        <v>24</v>
      </c>
      <c r="F496" s="3" t="s">
        <v>25</v>
      </c>
      <c r="G496" s="3" t="s">
        <v>84</v>
      </c>
      <c r="H496" s="3" t="s">
        <v>42</v>
      </c>
      <c r="I496" s="3" t="s">
        <v>43</v>
      </c>
      <c r="J496" s="3" t="s">
        <v>5992</v>
      </c>
      <c r="K496" s="3" t="n">
        <v>1022119</v>
      </c>
      <c r="L496" s="3" t="n">
        <v>0.197</v>
      </c>
      <c r="M496" s="3" t="n">
        <v>820761.56</v>
      </c>
      <c r="N496" s="3" t="n">
        <v>317006.25</v>
      </c>
      <c r="O496" s="3" t="n">
        <v>0.3862</v>
      </c>
      <c r="P496" s="3" t="n">
        <v>0.739</v>
      </c>
      <c r="Q496" s="3" t="n">
        <v>606542.79</v>
      </c>
      <c r="R496" s="3" t="n">
        <v>44</v>
      </c>
      <c r="S496" s="3" t="n">
        <v>3.7</v>
      </c>
      <c r="T496" s="3" t="n">
        <v>4.4</v>
      </c>
      <c r="U496" s="3"/>
      <c r="V496" s="3" t="n">
        <v>5.62</v>
      </c>
      <c r="W496" s="3" t="s">
        <v>5990</v>
      </c>
    </row>
    <row r="497" customFormat="false" ht="15" hidden="false" customHeight="true" outlineLevel="0" collapsed="false">
      <c r="A497" s="3" t="s">
        <v>6568</v>
      </c>
      <c r="B497" s="3" t="s">
        <v>5161</v>
      </c>
      <c r="C497" s="3" t="s">
        <v>809</v>
      </c>
      <c r="D497" s="3" t="s">
        <v>97</v>
      </c>
      <c r="E497" s="3" t="s">
        <v>48</v>
      </c>
      <c r="F497" s="3" t="s">
        <v>40</v>
      </c>
      <c r="G497" s="3" t="s">
        <v>26</v>
      </c>
      <c r="H497" s="3" t="s">
        <v>77</v>
      </c>
      <c r="I497" s="3" t="s">
        <v>85</v>
      </c>
      <c r="J497" s="3" t="s">
        <v>5996</v>
      </c>
      <c r="K497" s="3" t="n">
        <v>1593756.49</v>
      </c>
      <c r="L497" s="3" t="n">
        <v>0.2173</v>
      </c>
      <c r="M497" s="3" t="n">
        <v>1247433.2</v>
      </c>
      <c r="N497" s="3" t="n">
        <v>580590.23</v>
      </c>
      <c r="O497" s="3" t="n">
        <v>0.4654</v>
      </c>
      <c r="P497" s="3" t="n">
        <v>1</v>
      </c>
      <c r="Q497" s="3" t="n">
        <v>1247433.2</v>
      </c>
      <c r="R497" s="3" t="n">
        <v>170</v>
      </c>
      <c r="S497" s="3" t="n">
        <v>7</v>
      </c>
      <c r="T497" s="3" t="n">
        <v>6.8</v>
      </c>
      <c r="U497" s="3"/>
      <c r="V497" s="3" t="n">
        <v>6.43</v>
      </c>
      <c r="W497" s="3" t="s">
        <v>5990</v>
      </c>
    </row>
    <row r="498" customFormat="false" ht="15" hidden="false" customHeight="true" outlineLevel="0" collapsed="false">
      <c r="A498" s="3" t="s">
        <v>6569</v>
      </c>
      <c r="B498" s="3" t="s">
        <v>939</v>
      </c>
      <c r="C498" s="3" t="s">
        <v>1535</v>
      </c>
      <c r="D498" s="3" t="s">
        <v>103</v>
      </c>
      <c r="E498" s="3" t="s">
        <v>24</v>
      </c>
      <c r="F498" s="3" t="s">
        <v>62</v>
      </c>
      <c r="G498" s="3" t="s">
        <v>116</v>
      </c>
      <c r="H498" s="3" t="s">
        <v>42</v>
      </c>
      <c r="I498" s="3" t="s">
        <v>134</v>
      </c>
      <c r="J498" s="3" t="s">
        <v>5992</v>
      </c>
      <c r="K498" s="3" t="n">
        <v>270269.35</v>
      </c>
      <c r="L498" s="3" t="n">
        <v>0.2491</v>
      </c>
      <c r="M498" s="3" t="n">
        <v>202945.25</v>
      </c>
      <c r="N498" s="3" t="n">
        <v>89360.49</v>
      </c>
      <c r="O498" s="3" t="n">
        <v>0.4403</v>
      </c>
      <c r="P498" s="3" t="n">
        <v>0.667</v>
      </c>
      <c r="Q498" s="3" t="n">
        <v>135364.48</v>
      </c>
      <c r="R498" s="3" t="n">
        <v>22</v>
      </c>
      <c r="S498" s="3" t="n">
        <v>6.9</v>
      </c>
      <c r="T498" s="3" t="n">
        <v>5.1</v>
      </c>
      <c r="U498" s="3"/>
      <c r="V498" s="3" t="n">
        <v>6.32</v>
      </c>
      <c r="W498" s="3" t="s">
        <v>5990</v>
      </c>
    </row>
    <row r="499" customFormat="false" ht="15" hidden="false" customHeight="true" outlineLevel="0" collapsed="false">
      <c r="A499" s="3" t="s">
        <v>6570</v>
      </c>
      <c r="B499" s="3" t="s">
        <v>2031</v>
      </c>
      <c r="C499" s="3" t="s">
        <v>1992</v>
      </c>
      <c r="D499" s="3" t="s">
        <v>32</v>
      </c>
      <c r="E499" s="3" t="s">
        <v>33</v>
      </c>
      <c r="F499" s="3" t="s">
        <v>25</v>
      </c>
      <c r="G499" s="3" t="s">
        <v>34</v>
      </c>
      <c r="H499" s="3" t="s">
        <v>42</v>
      </c>
      <c r="I499" s="3" t="s">
        <v>43</v>
      </c>
      <c r="J499" s="3" t="s">
        <v>5999</v>
      </c>
      <c r="K499" s="3" t="n">
        <v>3903653.72</v>
      </c>
      <c r="L499" s="3" t="n">
        <v>0.258</v>
      </c>
      <c r="M499" s="3" t="n">
        <v>2896511.06</v>
      </c>
      <c r="N499" s="3" t="n">
        <v>1252646.27</v>
      </c>
      <c r="O499" s="3" t="n">
        <v>0.4325</v>
      </c>
      <c r="P499" s="3" t="n">
        <v>0.498</v>
      </c>
      <c r="Q499" s="3" t="n">
        <v>1442462.51</v>
      </c>
      <c r="R499" s="3" t="n">
        <v>61</v>
      </c>
      <c r="S499" s="3" t="n">
        <v>3.5</v>
      </c>
      <c r="T499" s="3" t="n">
        <v>7</v>
      </c>
      <c r="U499" s="3"/>
      <c r="V499" s="3" t="n">
        <v>5.04</v>
      </c>
      <c r="W499" s="3" t="s">
        <v>5990</v>
      </c>
    </row>
    <row r="500" customFormat="false" ht="15" hidden="false" customHeight="true" outlineLevel="0" collapsed="false">
      <c r="A500" s="3" t="s">
        <v>6571</v>
      </c>
      <c r="B500" s="3" t="s">
        <v>680</v>
      </c>
      <c r="C500" s="3" t="s">
        <v>6444</v>
      </c>
      <c r="D500" s="3" t="s">
        <v>103</v>
      </c>
      <c r="E500" s="3" t="s">
        <v>24</v>
      </c>
      <c r="F500" s="3" t="s">
        <v>62</v>
      </c>
      <c r="G500" s="3" t="s">
        <v>76</v>
      </c>
      <c r="H500" s="3" t="s">
        <v>77</v>
      </c>
      <c r="I500" s="3" t="s">
        <v>131</v>
      </c>
      <c r="J500" s="3" t="s">
        <v>5992</v>
      </c>
      <c r="K500" s="3" t="n">
        <v>4491177.93</v>
      </c>
      <c r="L500" s="3" t="n">
        <v>0.1393</v>
      </c>
      <c r="M500" s="3" t="n">
        <v>3865556.84</v>
      </c>
      <c r="N500" s="3" t="n">
        <v>1788653.73</v>
      </c>
      <c r="O500" s="3" t="n">
        <v>0.4627</v>
      </c>
      <c r="P500" s="3" t="n">
        <v>0.653</v>
      </c>
      <c r="Q500" s="3" t="n">
        <v>2524208.62</v>
      </c>
      <c r="R500" s="3" t="n">
        <v>165</v>
      </c>
      <c r="S500" s="3" t="n">
        <v>4.6</v>
      </c>
      <c r="T500" s="3" t="n">
        <v>7.8</v>
      </c>
      <c r="U500" s="3"/>
      <c r="V500" s="3" t="n">
        <v>6.33</v>
      </c>
      <c r="W500" s="3" t="s">
        <v>5990</v>
      </c>
    </row>
    <row r="501" customFormat="false" ht="15" hidden="false" customHeight="true" outlineLevel="0" collapsed="false">
      <c r="A501" s="3" t="s">
        <v>6572</v>
      </c>
      <c r="B501" s="3" t="s">
        <v>1787</v>
      </c>
      <c r="C501" s="3" t="s">
        <v>5246</v>
      </c>
      <c r="D501" s="3" t="s">
        <v>97</v>
      </c>
      <c r="E501" s="3" t="s">
        <v>48</v>
      </c>
      <c r="F501" s="3" t="s">
        <v>40</v>
      </c>
      <c r="G501" s="3" t="s">
        <v>41</v>
      </c>
      <c r="H501" s="3" t="s">
        <v>64</v>
      </c>
      <c r="I501" s="3" t="s">
        <v>108</v>
      </c>
      <c r="J501" s="3" t="s">
        <v>5996</v>
      </c>
      <c r="K501" s="3" t="n">
        <v>2451831.13</v>
      </c>
      <c r="L501" s="3" t="n">
        <v>0.0678</v>
      </c>
      <c r="M501" s="3" t="n">
        <v>2285596.98</v>
      </c>
      <c r="N501" s="3" t="n">
        <v>1044353.94</v>
      </c>
      <c r="O501" s="3" t="n">
        <v>0.4569</v>
      </c>
      <c r="P501" s="3" t="n">
        <v>0.984</v>
      </c>
      <c r="Q501" s="3" t="n">
        <v>2249027.43</v>
      </c>
      <c r="R501" s="3" t="n">
        <v>144</v>
      </c>
      <c r="S501" s="3" t="n">
        <v>2.6</v>
      </c>
      <c r="T501" s="3" t="n">
        <v>6.4</v>
      </c>
      <c r="U501" s="3"/>
      <c r="V501" s="3" t="n">
        <v>6.62</v>
      </c>
      <c r="W501" s="3" t="s">
        <v>5997</v>
      </c>
    </row>
    <row r="502" customFormat="false" ht="15" hidden="false" customHeight="true" outlineLevel="0" collapsed="false">
      <c r="A502" s="3" t="s">
        <v>6573</v>
      </c>
      <c r="B502" s="3" t="s">
        <v>981</v>
      </c>
      <c r="C502" s="3" t="s">
        <v>1180</v>
      </c>
      <c r="D502" s="3" t="s">
        <v>75</v>
      </c>
      <c r="E502" s="3" t="s">
        <v>39</v>
      </c>
      <c r="F502" s="3" t="s">
        <v>25</v>
      </c>
      <c r="G502" s="3" t="s">
        <v>55</v>
      </c>
      <c r="H502" s="3" t="s">
        <v>77</v>
      </c>
      <c r="I502" s="3" t="s">
        <v>131</v>
      </c>
      <c r="J502" s="3" t="s">
        <v>6003</v>
      </c>
      <c r="K502" s="3" t="n">
        <v>3004428.76</v>
      </c>
      <c r="L502" s="3" t="n">
        <v>0.286</v>
      </c>
      <c r="M502" s="3" t="n">
        <v>2145162.13</v>
      </c>
      <c r="N502" s="3" t="n">
        <v>702429.09</v>
      </c>
      <c r="O502" s="3" t="n">
        <v>0.3274</v>
      </c>
      <c r="P502" s="3" t="n">
        <v>0.064</v>
      </c>
      <c r="Q502" s="3" t="n">
        <v>137290.38</v>
      </c>
      <c r="R502" s="3" t="n">
        <v>169</v>
      </c>
      <c r="S502" s="3" t="n">
        <v>4.1</v>
      </c>
      <c r="T502" s="3" t="n">
        <v>5.9</v>
      </c>
      <c r="U502" s="3"/>
      <c r="V502" s="3" t="n">
        <v>4.32</v>
      </c>
      <c r="W502" s="3" t="s">
        <v>6000</v>
      </c>
    </row>
    <row r="503" customFormat="false" ht="15" hidden="false" customHeight="true" outlineLevel="0" collapsed="false">
      <c r="A503" s="3" t="s">
        <v>6574</v>
      </c>
      <c r="B503" s="3" t="s">
        <v>563</v>
      </c>
      <c r="C503" s="3" t="s">
        <v>1840</v>
      </c>
      <c r="D503" s="3" t="s">
        <v>61</v>
      </c>
      <c r="E503" s="3" t="s">
        <v>33</v>
      </c>
      <c r="F503" s="3" t="s">
        <v>62</v>
      </c>
      <c r="G503" s="3" t="s">
        <v>49</v>
      </c>
      <c r="H503" s="3" t="s">
        <v>56</v>
      </c>
      <c r="I503" s="3" t="s">
        <v>57</v>
      </c>
      <c r="J503" s="3" t="s">
        <v>5996</v>
      </c>
      <c r="K503" s="3" t="n">
        <v>2418113.78</v>
      </c>
      <c r="L503" s="3" t="n">
        <v>0.2822</v>
      </c>
      <c r="M503" s="3" t="n">
        <v>1735722.07</v>
      </c>
      <c r="N503" s="3" t="n">
        <v>803070.42</v>
      </c>
      <c r="O503" s="3" t="n">
        <v>0.4627</v>
      </c>
      <c r="P503" s="3" t="n">
        <v>1</v>
      </c>
      <c r="Q503" s="3" t="n">
        <v>1735722.07</v>
      </c>
      <c r="R503" s="3" t="n">
        <v>109</v>
      </c>
      <c r="S503" s="3" t="n">
        <v>2.5</v>
      </c>
      <c r="T503" s="3" t="n">
        <v>7</v>
      </c>
      <c r="U503" s="3"/>
      <c r="V503" s="3" t="n">
        <v>4.73</v>
      </c>
      <c r="W503" s="3" t="s">
        <v>6000</v>
      </c>
    </row>
    <row r="504" customFormat="false" ht="15" hidden="false" customHeight="true" outlineLevel="0" collapsed="false">
      <c r="A504" s="3" t="s">
        <v>6575</v>
      </c>
      <c r="B504" s="3" t="s">
        <v>2102</v>
      </c>
      <c r="C504" s="3" t="s">
        <v>6444</v>
      </c>
      <c r="D504" s="3" t="s">
        <v>103</v>
      </c>
      <c r="E504" s="3" t="s">
        <v>24</v>
      </c>
      <c r="F504" s="3" t="s">
        <v>62</v>
      </c>
      <c r="G504" s="3" t="s">
        <v>34</v>
      </c>
      <c r="H504" s="3" t="s">
        <v>56</v>
      </c>
      <c r="I504" s="3" t="s">
        <v>121</v>
      </c>
      <c r="J504" s="3" t="s">
        <v>5999</v>
      </c>
      <c r="K504" s="3" t="n">
        <v>119601.03</v>
      </c>
      <c r="L504" s="3" t="n">
        <v>0.1963</v>
      </c>
      <c r="M504" s="3" t="n">
        <v>96123.35</v>
      </c>
      <c r="N504" s="3" t="n">
        <v>41981.14</v>
      </c>
      <c r="O504" s="3" t="n">
        <v>0.4367</v>
      </c>
      <c r="P504" s="3" t="n">
        <v>0.405</v>
      </c>
      <c r="Q504" s="3" t="n">
        <v>38929.96</v>
      </c>
      <c r="R504" s="3" t="n">
        <v>86</v>
      </c>
      <c r="S504" s="3" t="n">
        <v>2.8</v>
      </c>
      <c r="T504" s="3" t="n">
        <v>8.3</v>
      </c>
      <c r="U504" s="3"/>
      <c r="V504" s="3" t="n">
        <v>5.22</v>
      </c>
      <c r="W504" s="3" t="s">
        <v>5990</v>
      </c>
    </row>
    <row r="505" customFormat="false" ht="15" hidden="false" customHeight="true" outlineLevel="0" collapsed="false">
      <c r="A505" s="3" t="s">
        <v>6576</v>
      </c>
      <c r="B505" s="3" t="s">
        <v>1803</v>
      </c>
      <c r="C505" s="3" t="s">
        <v>74</v>
      </c>
      <c r="D505" s="3" t="s">
        <v>69</v>
      </c>
      <c r="E505" s="3" t="s">
        <v>39</v>
      </c>
      <c r="F505" s="3" t="s">
        <v>70</v>
      </c>
      <c r="G505" s="3" t="s">
        <v>34</v>
      </c>
      <c r="H505" s="3" t="s">
        <v>77</v>
      </c>
      <c r="I505" s="3" t="s">
        <v>85</v>
      </c>
      <c r="J505" s="3" t="s">
        <v>5999</v>
      </c>
      <c r="K505" s="3" t="n">
        <v>3195772.8</v>
      </c>
      <c r="L505" s="3" t="n">
        <v>0.1379</v>
      </c>
      <c r="M505" s="3" t="n">
        <v>2755075.73</v>
      </c>
      <c r="N505" s="3" t="n">
        <v>972807.1</v>
      </c>
      <c r="O505" s="3" t="n">
        <v>0.3531</v>
      </c>
      <c r="P505" s="3" t="n">
        <v>0.441</v>
      </c>
      <c r="Q505" s="3" t="n">
        <v>1214988.4</v>
      </c>
      <c r="R505" s="3" t="n">
        <v>113</v>
      </c>
      <c r="S505" s="3" t="n">
        <v>4.7</v>
      </c>
      <c r="T505" s="3" t="n">
        <v>6.8</v>
      </c>
      <c r="U505" s="3"/>
      <c r="V505" s="3" t="n">
        <v>5.73</v>
      </c>
      <c r="W505" s="3" t="s">
        <v>5990</v>
      </c>
    </row>
    <row r="506" customFormat="false" ht="15" hidden="false" customHeight="true" outlineLevel="0" collapsed="false">
      <c r="A506" s="3" t="s">
        <v>6577</v>
      </c>
      <c r="B506" s="3" t="s">
        <v>502</v>
      </c>
      <c r="C506" s="3" t="s">
        <v>177</v>
      </c>
      <c r="D506" s="3" t="s">
        <v>32</v>
      </c>
      <c r="E506" s="3" t="s">
        <v>33</v>
      </c>
      <c r="F506" s="3" t="s">
        <v>25</v>
      </c>
      <c r="G506" s="3" t="s">
        <v>84</v>
      </c>
      <c r="H506" s="3" t="s">
        <v>56</v>
      </c>
      <c r="I506" s="3" t="s">
        <v>188</v>
      </c>
      <c r="J506" s="3" t="s">
        <v>5992</v>
      </c>
      <c r="K506" s="3" t="n">
        <v>2114544.8</v>
      </c>
      <c r="L506" s="3" t="n">
        <v>0.1096</v>
      </c>
      <c r="M506" s="3" t="n">
        <v>1882790.69</v>
      </c>
      <c r="N506" s="3" t="n">
        <v>894233.62</v>
      </c>
      <c r="O506" s="3" t="n">
        <v>0.475</v>
      </c>
      <c r="P506" s="3" t="n">
        <v>0.698</v>
      </c>
      <c r="Q506" s="3" t="n">
        <v>1314187.9</v>
      </c>
      <c r="R506" s="3" t="n">
        <v>50</v>
      </c>
      <c r="S506" s="3" t="n">
        <v>4.3</v>
      </c>
      <c r="T506" s="3" t="n">
        <v>6.5</v>
      </c>
      <c r="U506" s="3"/>
      <c r="V506" s="3" t="n">
        <v>6.68</v>
      </c>
      <c r="W506" s="3" t="s">
        <v>5997</v>
      </c>
    </row>
    <row r="507" customFormat="false" ht="15" hidden="false" customHeight="true" outlineLevel="0" collapsed="false">
      <c r="A507" s="3" t="s">
        <v>6578</v>
      </c>
      <c r="B507" s="3" t="s">
        <v>177</v>
      </c>
      <c r="C507" s="3" t="s">
        <v>523</v>
      </c>
      <c r="D507" s="3" t="s">
        <v>97</v>
      </c>
      <c r="E507" s="3" t="s">
        <v>48</v>
      </c>
      <c r="F507" s="3" t="s">
        <v>40</v>
      </c>
      <c r="G507" s="3" t="s">
        <v>104</v>
      </c>
      <c r="H507" s="3" t="s">
        <v>77</v>
      </c>
      <c r="I507" s="3" t="s">
        <v>85</v>
      </c>
      <c r="J507" s="3" t="s">
        <v>5989</v>
      </c>
      <c r="K507" s="3" t="n">
        <v>4374935.93</v>
      </c>
      <c r="L507" s="3" t="n">
        <v>0.2047</v>
      </c>
      <c r="M507" s="3" t="n">
        <v>3479386.55</v>
      </c>
      <c r="N507" s="3" t="n">
        <v>1280195.42</v>
      </c>
      <c r="O507" s="3" t="n">
        <v>0.3679</v>
      </c>
      <c r="P507" s="3" t="n">
        <v>0.245</v>
      </c>
      <c r="Q507" s="3" t="n">
        <v>852449.7</v>
      </c>
      <c r="R507" s="3" t="n">
        <v>70</v>
      </c>
      <c r="S507" s="3" t="n">
        <v>1.8</v>
      </c>
      <c r="T507" s="3" t="n">
        <v>2.3</v>
      </c>
      <c r="U507" s="3"/>
      <c r="V507" s="3" t="n">
        <v>5.28</v>
      </c>
      <c r="W507" s="3" t="s">
        <v>5990</v>
      </c>
    </row>
    <row r="508" customFormat="false" ht="15" hidden="false" customHeight="true" outlineLevel="0" collapsed="false">
      <c r="A508" s="3" t="s">
        <v>6579</v>
      </c>
      <c r="B508" s="3" t="s">
        <v>2879</v>
      </c>
      <c r="C508" s="3" t="s">
        <v>2544</v>
      </c>
      <c r="D508" s="3" t="s">
        <v>61</v>
      </c>
      <c r="E508" s="3" t="s">
        <v>33</v>
      </c>
      <c r="F508" s="3" t="s">
        <v>62</v>
      </c>
      <c r="G508" s="3" t="s">
        <v>76</v>
      </c>
      <c r="H508" s="3" t="s">
        <v>64</v>
      </c>
      <c r="I508" s="3" t="s">
        <v>90</v>
      </c>
      <c r="J508" s="3" t="s">
        <v>5999</v>
      </c>
      <c r="K508" s="3" t="n">
        <v>923895.12</v>
      </c>
      <c r="L508" s="3" t="n">
        <v>0.257</v>
      </c>
      <c r="M508" s="3" t="n">
        <v>686454.07</v>
      </c>
      <c r="N508" s="3" t="n">
        <v>298241.02</v>
      </c>
      <c r="O508" s="3" t="n">
        <v>0.4345</v>
      </c>
      <c r="P508" s="3" t="n">
        <v>0.414</v>
      </c>
      <c r="Q508" s="3" t="n">
        <v>284191.98</v>
      </c>
      <c r="R508" s="3" t="n">
        <v>175</v>
      </c>
      <c r="S508" s="3" t="n">
        <v>4.7</v>
      </c>
      <c r="T508" s="3" t="n">
        <v>7.5</v>
      </c>
      <c r="U508" s="3"/>
      <c r="V508" s="3" t="n">
        <v>5.29</v>
      </c>
      <c r="W508" s="3" t="s">
        <v>5990</v>
      </c>
    </row>
    <row r="509" customFormat="false" ht="15" hidden="false" customHeight="true" outlineLevel="0" collapsed="false">
      <c r="A509" s="3" t="s">
        <v>6580</v>
      </c>
      <c r="B509" s="3" t="s">
        <v>734</v>
      </c>
      <c r="C509" s="3" t="s">
        <v>330</v>
      </c>
      <c r="D509" s="3" t="s">
        <v>107</v>
      </c>
      <c r="E509" s="3" t="s">
        <v>33</v>
      </c>
      <c r="F509" s="3" t="s">
        <v>70</v>
      </c>
      <c r="G509" s="3" t="s">
        <v>55</v>
      </c>
      <c r="H509" s="3" t="s">
        <v>56</v>
      </c>
      <c r="I509" s="3" t="s">
        <v>57</v>
      </c>
      <c r="J509" s="3" t="s">
        <v>5999</v>
      </c>
      <c r="K509" s="3" t="n">
        <v>831124.38</v>
      </c>
      <c r="L509" s="3" t="n">
        <v>0.2558</v>
      </c>
      <c r="M509" s="3" t="n">
        <v>618522.76</v>
      </c>
      <c r="N509" s="3" t="n">
        <v>205173.03</v>
      </c>
      <c r="O509" s="3" t="n">
        <v>0.3317</v>
      </c>
      <c r="P509" s="3" t="n">
        <v>0.425</v>
      </c>
      <c r="Q509" s="3" t="n">
        <v>262872.17</v>
      </c>
      <c r="R509" s="3" t="n">
        <v>170</v>
      </c>
      <c r="S509" s="3" t="n">
        <v>7.6</v>
      </c>
      <c r="T509" s="3" t="n">
        <v>3.2</v>
      </c>
      <c r="U509" s="3"/>
      <c r="V509" s="3" t="n">
        <v>5.88</v>
      </c>
      <c r="W509" s="3" t="s">
        <v>5990</v>
      </c>
    </row>
    <row r="510" customFormat="false" ht="15" hidden="false" customHeight="true" outlineLevel="0" collapsed="false">
      <c r="A510" s="3" t="s">
        <v>6581</v>
      </c>
      <c r="B510" s="3" t="s">
        <v>1952</v>
      </c>
      <c r="C510" s="3" t="s">
        <v>4594</v>
      </c>
      <c r="D510" s="3" t="s">
        <v>47</v>
      </c>
      <c r="E510" s="3" t="s">
        <v>48</v>
      </c>
      <c r="F510" s="3" t="s">
        <v>25</v>
      </c>
      <c r="G510" s="3" t="s">
        <v>34</v>
      </c>
      <c r="H510" s="3" t="s">
        <v>56</v>
      </c>
      <c r="I510" s="3" t="s">
        <v>121</v>
      </c>
      <c r="J510" s="3" t="s">
        <v>5989</v>
      </c>
      <c r="K510" s="3" t="n">
        <v>1581406.89</v>
      </c>
      <c r="L510" s="3" t="n">
        <v>0.2198</v>
      </c>
      <c r="M510" s="3" t="n">
        <v>1233813.66</v>
      </c>
      <c r="N510" s="3" t="n">
        <v>549328.06</v>
      </c>
      <c r="O510" s="3" t="n">
        <v>0.4452</v>
      </c>
      <c r="P510" s="3" t="n">
        <v>0.278</v>
      </c>
      <c r="Q510" s="3" t="n">
        <v>343000.2</v>
      </c>
      <c r="R510" s="3" t="n">
        <v>35</v>
      </c>
      <c r="S510" s="3" t="n">
        <v>6.6</v>
      </c>
      <c r="T510" s="3" t="n">
        <v>4.1</v>
      </c>
      <c r="U510" s="3"/>
      <c r="V510" s="3" t="n">
        <v>6.67</v>
      </c>
      <c r="W510" s="3" t="s">
        <v>5997</v>
      </c>
    </row>
    <row r="511" customFormat="false" ht="15" hidden="false" customHeight="true" outlineLevel="0" collapsed="false">
      <c r="A511" s="3" t="s">
        <v>6582</v>
      </c>
      <c r="B511" s="3" t="s">
        <v>1598</v>
      </c>
      <c r="C511" s="3" t="s">
        <v>551</v>
      </c>
      <c r="D511" s="3" t="s">
        <v>107</v>
      </c>
      <c r="E511" s="3" t="s">
        <v>33</v>
      </c>
      <c r="F511" s="3" t="s">
        <v>70</v>
      </c>
      <c r="G511" s="3" t="s">
        <v>116</v>
      </c>
      <c r="H511" s="3" t="s">
        <v>27</v>
      </c>
      <c r="I511" s="3" t="s">
        <v>173</v>
      </c>
      <c r="J511" s="3" t="s">
        <v>5996</v>
      </c>
      <c r="K511" s="3" t="n">
        <v>176003.81</v>
      </c>
      <c r="L511" s="3" t="n">
        <v>0.2499</v>
      </c>
      <c r="M511" s="3" t="n">
        <v>132020.46</v>
      </c>
      <c r="N511" s="3" t="n">
        <v>41748.59</v>
      </c>
      <c r="O511" s="3" t="n">
        <v>0.3162</v>
      </c>
      <c r="P511" s="3" t="n">
        <v>1</v>
      </c>
      <c r="Q511" s="3" t="n">
        <v>132020.46</v>
      </c>
      <c r="R511" s="3" t="n">
        <v>167</v>
      </c>
      <c r="S511" s="3" t="n">
        <v>7.5</v>
      </c>
      <c r="T511" s="3" t="n">
        <v>3.4</v>
      </c>
      <c r="U511" s="3"/>
      <c r="V511" s="3" t="n">
        <v>5.74</v>
      </c>
      <c r="W511" s="3" t="s">
        <v>5990</v>
      </c>
    </row>
    <row r="512" customFormat="false" ht="15" hidden="false" customHeight="true" outlineLevel="0" collapsed="false">
      <c r="A512" s="3" t="s">
        <v>6583</v>
      </c>
      <c r="B512" s="3" t="s">
        <v>1310</v>
      </c>
      <c r="C512" s="3" t="s">
        <v>477</v>
      </c>
      <c r="D512" s="3" t="s">
        <v>38</v>
      </c>
      <c r="E512" s="3" t="s">
        <v>39</v>
      </c>
      <c r="F512" s="3" t="s">
        <v>40</v>
      </c>
      <c r="G512" s="3" t="s">
        <v>63</v>
      </c>
      <c r="H512" s="3" t="s">
        <v>64</v>
      </c>
      <c r="I512" s="3" t="s">
        <v>108</v>
      </c>
      <c r="J512" s="3" t="s">
        <v>5996</v>
      </c>
      <c r="K512" s="3" t="n">
        <v>2216077.6</v>
      </c>
      <c r="L512" s="3" t="n">
        <v>0.2988</v>
      </c>
      <c r="M512" s="3" t="n">
        <v>1553913.61</v>
      </c>
      <c r="N512" s="3" t="n">
        <v>504179.82</v>
      </c>
      <c r="O512" s="3" t="n">
        <v>0.3245</v>
      </c>
      <c r="P512" s="3" t="n">
        <v>0.969</v>
      </c>
      <c r="Q512" s="3" t="n">
        <v>1505742.29</v>
      </c>
      <c r="R512" s="3" t="n">
        <v>46</v>
      </c>
      <c r="S512" s="3" t="n">
        <v>4.2</v>
      </c>
      <c r="T512" s="3" t="n">
        <v>3.3</v>
      </c>
      <c r="U512" s="3"/>
      <c r="V512" s="3" t="n">
        <v>4.58</v>
      </c>
      <c r="W512" s="3" t="s">
        <v>6000</v>
      </c>
    </row>
    <row r="513" customFormat="false" ht="15" hidden="false" customHeight="true" outlineLevel="0" collapsed="false">
      <c r="A513" s="3" t="s">
        <v>6584</v>
      </c>
      <c r="B513" s="3" t="s">
        <v>2144</v>
      </c>
      <c r="C513" s="3" t="s">
        <v>1029</v>
      </c>
      <c r="D513" s="3" t="s">
        <v>47</v>
      </c>
      <c r="E513" s="3" t="s">
        <v>48</v>
      </c>
      <c r="F513" s="3" t="s">
        <v>25</v>
      </c>
      <c r="G513" s="3" t="s">
        <v>41</v>
      </c>
      <c r="H513" s="3" t="s">
        <v>77</v>
      </c>
      <c r="I513" s="3" t="s">
        <v>131</v>
      </c>
      <c r="J513" s="3" t="s">
        <v>5996</v>
      </c>
      <c r="K513" s="3" t="n">
        <v>3568829.45</v>
      </c>
      <c r="L513" s="3" t="n">
        <v>0.1711</v>
      </c>
      <c r="M513" s="3" t="n">
        <v>2958202.73</v>
      </c>
      <c r="N513" s="3" t="n">
        <v>1310265.55</v>
      </c>
      <c r="O513" s="3" t="n">
        <v>0.4429</v>
      </c>
      <c r="P513" s="3" t="n">
        <v>1</v>
      </c>
      <c r="Q513" s="3" t="n">
        <v>2958202.73</v>
      </c>
      <c r="R513" s="3" t="n">
        <v>40</v>
      </c>
      <c r="S513" s="3" t="n">
        <v>10</v>
      </c>
      <c r="T513" s="3" t="n">
        <v>3.1</v>
      </c>
      <c r="U513" s="3"/>
      <c r="V513" s="3" t="n">
        <v>8.04</v>
      </c>
      <c r="W513" s="3" t="s">
        <v>5997</v>
      </c>
    </row>
    <row r="514" customFormat="false" ht="15" hidden="false" customHeight="true" outlineLevel="0" collapsed="false">
      <c r="A514" s="3" t="s">
        <v>6585</v>
      </c>
      <c r="B514" s="3" t="s">
        <v>2204</v>
      </c>
      <c r="C514" s="3" t="s">
        <v>260</v>
      </c>
      <c r="D514" s="3" t="s">
        <v>103</v>
      </c>
      <c r="E514" s="3" t="s">
        <v>24</v>
      </c>
      <c r="F514" s="3" t="s">
        <v>62</v>
      </c>
      <c r="G514" s="3" t="s">
        <v>63</v>
      </c>
      <c r="H514" s="3" t="s">
        <v>27</v>
      </c>
      <c r="I514" s="3" t="s">
        <v>28</v>
      </c>
      <c r="J514" s="3" t="s">
        <v>5992</v>
      </c>
      <c r="K514" s="3" t="n">
        <v>2913421.71</v>
      </c>
      <c r="L514" s="3" t="n">
        <v>0.2443</v>
      </c>
      <c r="M514" s="3" t="n">
        <v>2201672.79</v>
      </c>
      <c r="N514" s="3" t="n">
        <v>974942.42</v>
      </c>
      <c r="O514" s="3" t="n">
        <v>0.4428</v>
      </c>
      <c r="P514" s="3" t="n">
        <v>0.686</v>
      </c>
      <c r="Q514" s="3" t="n">
        <v>1510347.53</v>
      </c>
      <c r="R514" s="3" t="n">
        <v>78</v>
      </c>
      <c r="S514" s="3" t="n">
        <v>1.8</v>
      </c>
      <c r="T514" s="3" t="n">
        <v>7</v>
      </c>
      <c r="U514" s="3"/>
      <c r="V514" s="3" t="n">
        <v>4.81</v>
      </c>
      <c r="W514" s="3" t="s">
        <v>6000</v>
      </c>
    </row>
    <row r="515" customFormat="false" ht="15" hidden="false" customHeight="true" outlineLevel="0" collapsed="false">
      <c r="A515" s="3" t="s">
        <v>6586</v>
      </c>
      <c r="B515" s="3" t="s">
        <v>1588</v>
      </c>
      <c r="C515" s="3" t="s">
        <v>763</v>
      </c>
      <c r="D515" s="3" t="s">
        <v>103</v>
      </c>
      <c r="E515" s="3" t="s">
        <v>24</v>
      </c>
      <c r="F515" s="3" t="s">
        <v>62</v>
      </c>
      <c r="G515" s="3" t="s">
        <v>104</v>
      </c>
      <c r="H515" s="3" t="s">
        <v>27</v>
      </c>
      <c r="I515" s="3" t="s">
        <v>173</v>
      </c>
      <c r="J515" s="3" t="s">
        <v>5992</v>
      </c>
      <c r="K515" s="3" t="n">
        <v>908776.83</v>
      </c>
      <c r="L515" s="3" t="n">
        <v>0.2898</v>
      </c>
      <c r="M515" s="3" t="n">
        <v>645413.3</v>
      </c>
      <c r="N515" s="3" t="n">
        <v>202241.07</v>
      </c>
      <c r="O515" s="3" t="n">
        <v>0.3134</v>
      </c>
      <c r="P515" s="3" t="n">
        <v>0.672</v>
      </c>
      <c r="Q515" s="3" t="n">
        <v>433717.74</v>
      </c>
      <c r="R515" s="3" t="n">
        <v>41</v>
      </c>
      <c r="S515" s="3" t="n">
        <v>6.2</v>
      </c>
      <c r="T515" s="3" t="n">
        <v>4.8</v>
      </c>
      <c r="U515" s="3"/>
      <c r="V515" s="3" t="n">
        <v>4.86</v>
      </c>
      <c r="W515" s="3" t="s">
        <v>6000</v>
      </c>
    </row>
    <row r="516" customFormat="false" ht="15" hidden="false" customHeight="true" outlineLevel="0" collapsed="false">
      <c r="A516" s="3" t="s">
        <v>6587</v>
      </c>
      <c r="B516" s="3" t="s">
        <v>854</v>
      </c>
      <c r="C516" s="3" t="s">
        <v>799</v>
      </c>
      <c r="D516" s="3" t="s">
        <v>97</v>
      </c>
      <c r="E516" s="3" t="s">
        <v>48</v>
      </c>
      <c r="F516" s="3" t="s">
        <v>40</v>
      </c>
      <c r="G516" s="3" t="s">
        <v>84</v>
      </c>
      <c r="H516" s="3" t="s">
        <v>27</v>
      </c>
      <c r="I516" s="3" t="s">
        <v>50</v>
      </c>
      <c r="J516" s="3" t="s">
        <v>5999</v>
      </c>
      <c r="K516" s="3" t="n">
        <v>787257.25</v>
      </c>
      <c r="L516" s="3" t="n">
        <v>0.1937</v>
      </c>
      <c r="M516" s="3" t="n">
        <v>634765.52</v>
      </c>
      <c r="N516" s="3" t="n">
        <v>254526.29</v>
      </c>
      <c r="O516" s="3" t="n">
        <v>0.401</v>
      </c>
      <c r="P516" s="3" t="n">
        <v>0.407</v>
      </c>
      <c r="Q516" s="3" t="n">
        <v>258349.57</v>
      </c>
      <c r="R516" s="3" t="n">
        <v>136</v>
      </c>
      <c r="S516" s="3" t="n">
        <v>7.1</v>
      </c>
      <c r="T516" s="3" t="n">
        <v>5.6</v>
      </c>
      <c r="U516" s="3"/>
      <c r="V516" s="3" t="n">
        <v>6.42</v>
      </c>
      <c r="W516" s="3" t="s">
        <v>5990</v>
      </c>
    </row>
    <row r="517" customFormat="false" ht="15" hidden="false" customHeight="true" outlineLevel="0" collapsed="false">
      <c r="A517" s="3" t="s">
        <v>6588</v>
      </c>
      <c r="B517" s="3" t="s">
        <v>1010</v>
      </c>
      <c r="C517" s="3" t="s">
        <v>133</v>
      </c>
      <c r="D517" s="3" t="s">
        <v>69</v>
      </c>
      <c r="E517" s="3" t="s">
        <v>39</v>
      </c>
      <c r="F517" s="3" t="s">
        <v>70</v>
      </c>
      <c r="G517" s="3" t="s">
        <v>84</v>
      </c>
      <c r="H517" s="3" t="s">
        <v>64</v>
      </c>
      <c r="I517" s="3" t="s">
        <v>65</v>
      </c>
      <c r="J517" s="3" t="s">
        <v>5989</v>
      </c>
      <c r="K517" s="3" t="n">
        <v>3697250.93</v>
      </c>
      <c r="L517" s="3" t="n">
        <v>0.0797</v>
      </c>
      <c r="M517" s="3" t="n">
        <v>3402580.03</v>
      </c>
      <c r="N517" s="3" t="n">
        <v>1150192.85</v>
      </c>
      <c r="O517" s="3" t="n">
        <v>0.338</v>
      </c>
      <c r="P517" s="3" t="n">
        <v>0.297</v>
      </c>
      <c r="Q517" s="3" t="n">
        <v>1010566.27</v>
      </c>
      <c r="R517" s="3" t="n">
        <v>81</v>
      </c>
      <c r="S517" s="3" t="n">
        <v>4</v>
      </c>
      <c r="T517" s="3" t="n">
        <v>4.3</v>
      </c>
      <c r="U517" s="3"/>
      <c r="V517" s="3" t="n">
        <v>6.3</v>
      </c>
      <c r="W517" s="3" t="s">
        <v>5990</v>
      </c>
    </row>
    <row r="518" customFormat="false" ht="15" hidden="false" customHeight="true" outlineLevel="0" collapsed="false">
      <c r="A518" s="3" t="s">
        <v>6589</v>
      </c>
      <c r="B518" s="3" t="s">
        <v>874</v>
      </c>
      <c r="C518" s="3" t="s">
        <v>984</v>
      </c>
      <c r="D518" s="3" t="s">
        <v>32</v>
      </c>
      <c r="E518" s="3" t="s">
        <v>33</v>
      </c>
      <c r="F518" s="3" t="s">
        <v>25</v>
      </c>
      <c r="G518" s="3" t="s">
        <v>63</v>
      </c>
      <c r="H518" s="3" t="s">
        <v>77</v>
      </c>
      <c r="I518" s="3" t="s">
        <v>131</v>
      </c>
      <c r="J518" s="3" t="s">
        <v>5992</v>
      </c>
      <c r="K518" s="3" t="n">
        <v>3338847.28</v>
      </c>
      <c r="L518" s="3" t="n">
        <v>0.1771</v>
      </c>
      <c r="M518" s="3" t="n">
        <v>2747537.43</v>
      </c>
      <c r="N518" s="3" t="n">
        <v>771016.24</v>
      </c>
      <c r="O518" s="3" t="n">
        <v>0.2806</v>
      </c>
      <c r="P518" s="3" t="n">
        <v>0.696</v>
      </c>
      <c r="Q518" s="3" t="n">
        <v>1912286.05</v>
      </c>
      <c r="R518" s="3" t="n">
        <v>110</v>
      </c>
      <c r="S518" s="3" t="n">
        <v>7.6</v>
      </c>
      <c r="T518" s="3" t="n">
        <v>4.8</v>
      </c>
      <c r="U518" s="3"/>
      <c r="V518" s="3" t="n">
        <v>5.88</v>
      </c>
      <c r="W518" s="3" t="s">
        <v>5990</v>
      </c>
    </row>
    <row r="519" customFormat="false" ht="15" hidden="false" customHeight="true" outlineLevel="0" collapsed="false">
      <c r="A519" s="3" t="s">
        <v>6590</v>
      </c>
      <c r="B519" s="3" t="s">
        <v>4157</v>
      </c>
      <c r="C519" s="3" t="s">
        <v>2242</v>
      </c>
      <c r="D519" s="3" t="s">
        <v>103</v>
      </c>
      <c r="E519" s="3" t="s">
        <v>24</v>
      </c>
      <c r="F519" s="3" t="s">
        <v>62</v>
      </c>
      <c r="G519" s="3" t="s">
        <v>55</v>
      </c>
      <c r="H519" s="3" t="s">
        <v>42</v>
      </c>
      <c r="I519" s="3" t="s">
        <v>72</v>
      </c>
      <c r="J519" s="3" t="s">
        <v>6009</v>
      </c>
      <c r="K519" s="3" t="n">
        <v>2923285.21</v>
      </c>
      <c r="L519" s="3" t="n">
        <v>0.2854</v>
      </c>
      <c r="M519" s="3" t="n">
        <v>2088979.61</v>
      </c>
      <c r="N519" s="3" t="n">
        <v>753308.8</v>
      </c>
      <c r="O519" s="3" t="n">
        <v>0.3606</v>
      </c>
      <c r="P519" s="3" t="n">
        <v>0</v>
      </c>
      <c r="Q519" s="3" t="n">
        <v>0</v>
      </c>
      <c r="R519" s="3" t="n">
        <v>163</v>
      </c>
      <c r="S519" s="3" t="n">
        <v>1.6</v>
      </c>
      <c r="T519" s="3" t="n">
        <v>2.7</v>
      </c>
      <c r="U519" s="3" t="s">
        <v>6116</v>
      </c>
      <c r="V519" s="3" t="n">
        <v>4.42</v>
      </c>
      <c r="W519" s="3" t="s">
        <v>6000</v>
      </c>
    </row>
    <row r="520" customFormat="false" ht="15" hidden="false" customHeight="true" outlineLevel="0" collapsed="false">
      <c r="A520" s="3" t="s">
        <v>6591</v>
      </c>
      <c r="B520" s="3" t="s">
        <v>374</v>
      </c>
      <c r="C520" s="3" t="s">
        <v>1251</v>
      </c>
      <c r="D520" s="3" t="s">
        <v>47</v>
      </c>
      <c r="E520" s="3" t="s">
        <v>48</v>
      </c>
      <c r="F520" s="3" t="s">
        <v>25</v>
      </c>
      <c r="G520" s="3" t="s">
        <v>55</v>
      </c>
      <c r="H520" s="3" t="s">
        <v>42</v>
      </c>
      <c r="I520" s="3" t="s">
        <v>134</v>
      </c>
      <c r="J520" s="3" t="s">
        <v>5996</v>
      </c>
      <c r="K520" s="3" t="n">
        <v>3975207.77</v>
      </c>
      <c r="L520" s="3" t="n">
        <v>0.1369</v>
      </c>
      <c r="M520" s="3" t="n">
        <v>3431001.83</v>
      </c>
      <c r="N520" s="3" t="n">
        <v>1575419.25</v>
      </c>
      <c r="O520" s="3" t="n">
        <v>0.4592</v>
      </c>
      <c r="P520" s="3" t="n">
        <v>0.995</v>
      </c>
      <c r="Q520" s="3" t="n">
        <v>3413846.82</v>
      </c>
      <c r="R520" s="3" t="n">
        <v>74</v>
      </c>
      <c r="S520" s="3" t="n">
        <v>1</v>
      </c>
      <c r="T520" s="3" t="n">
        <v>3.4</v>
      </c>
      <c r="U520" s="3"/>
      <c r="V520" s="3" t="n">
        <v>6.09</v>
      </c>
      <c r="W520" s="3" t="s">
        <v>5990</v>
      </c>
    </row>
    <row r="521" customFormat="false" ht="15" hidden="false" customHeight="true" outlineLevel="0" collapsed="false">
      <c r="A521" s="3" t="s">
        <v>6592</v>
      </c>
      <c r="B521" s="3" t="s">
        <v>1580</v>
      </c>
      <c r="C521" s="3" t="s">
        <v>3187</v>
      </c>
      <c r="D521" s="3" t="s">
        <v>23</v>
      </c>
      <c r="E521" s="3" t="s">
        <v>24</v>
      </c>
      <c r="F521" s="3" t="s">
        <v>25</v>
      </c>
      <c r="G521" s="3" t="s">
        <v>76</v>
      </c>
      <c r="H521" s="3" t="s">
        <v>42</v>
      </c>
      <c r="I521" s="3" t="s">
        <v>43</v>
      </c>
      <c r="J521" s="3" t="s">
        <v>5992</v>
      </c>
      <c r="K521" s="3" t="n">
        <v>4265238.26</v>
      </c>
      <c r="L521" s="3" t="n">
        <v>0.0888</v>
      </c>
      <c r="M521" s="3" t="n">
        <v>3886485.1</v>
      </c>
      <c r="N521" s="3" t="n">
        <v>1711971.85</v>
      </c>
      <c r="O521" s="3" t="n">
        <v>0.4405</v>
      </c>
      <c r="P521" s="3" t="n">
        <v>0.697</v>
      </c>
      <c r="Q521" s="3" t="n">
        <v>2708880.11</v>
      </c>
      <c r="R521" s="3" t="n">
        <v>133</v>
      </c>
      <c r="S521" s="3" t="n">
        <v>3.4</v>
      </c>
      <c r="T521" s="3" t="n">
        <v>9.1</v>
      </c>
      <c r="U521" s="3"/>
      <c r="V521" s="3" t="n">
        <v>6.16</v>
      </c>
      <c r="W521" s="3" t="s">
        <v>5990</v>
      </c>
    </row>
    <row r="522" customFormat="false" ht="15" hidden="false" customHeight="true" outlineLevel="0" collapsed="false">
      <c r="A522" s="3" t="s">
        <v>6593</v>
      </c>
      <c r="B522" s="3" t="s">
        <v>424</v>
      </c>
      <c r="C522" s="3" t="s">
        <v>6594</v>
      </c>
      <c r="D522" s="3" t="s">
        <v>75</v>
      </c>
      <c r="E522" s="3" t="s">
        <v>39</v>
      </c>
      <c r="F522" s="3" t="s">
        <v>25</v>
      </c>
      <c r="G522" s="3" t="s">
        <v>116</v>
      </c>
      <c r="H522" s="3" t="s">
        <v>64</v>
      </c>
      <c r="I522" s="3" t="s">
        <v>108</v>
      </c>
      <c r="J522" s="3" t="s">
        <v>5996</v>
      </c>
      <c r="K522" s="3" t="n">
        <v>3414649.27</v>
      </c>
      <c r="L522" s="3" t="n">
        <v>0.0828</v>
      </c>
      <c r="M522" s="3" t="n">
        <v>3131916.31</v>
      </c>
      <c r="N522" s="3" t="n">
        <v>1098858.84</v>
      </c>
      <c r="O522" s="3" t="n">
        <v>0.3509</v>
      </c>
      <c r="P522" s="3" t="n">
        <v>0.969</v>
      </c>
      <c r="Q522" s="3" t="n">
        <v>3034826.9</v>
      </c>
      <c r="R522" s="3" t="n">
        <v>136</v>
      </c>
      <c r="S522" s="3" t="n">
        <v>5.6</v>
      </c>
      <c r="T522" s="3" t="n">
        <v>7</v>
      </c>
      <c r="U522" s="3"/>
      <c r="V522" s="3" t="n">
        <v>6.38</v>
      </c>
      <c r="W522" s="3" t="s">
        <v>5990</v>
      </c>
    </row>
    <row r="523" customFormat="false" ht="15" hidden="false" customHeight="true" outlineLevel="0" collapsed="false">
      <c r="A523" s="3" t="s">
        <v>6595</v>
      </c>
      <c r="B523" s="3" t="s">
        <v>1621</v>
      </c>
      <c r="C523" s="3" t="s">
        <v>6596</v>
      </c>
      <c r="D523" s="3" t="s">
        <v>23</v>
      </c>
      <c r="E523" s="3" t="s">
        <v>24</v>
      </c>
      <c r="F523" s="3" t="s">
        <v>25</v>
      </c>
      <c r="G523" s="3" t="s">
        <v>34</v>
      </c>
      <c r="H523" s="3" t="s">
        <v>56</v>
      </c>
      <c r="I523" s="3" t="s">
        <v>188</v>
      </c>
      <c r="J523" s="3" t="s">
        <v>5989</v>
      </c>
      <c r="K523" s="3" t="n">
        <v>1059812.27</v>
      </c>
      <c r="L523" s="3" t="n">
        <v>0.1634</v>
      </c>
      <c r="M523" s="3" t="n">
        <v>886638.95</v>
      </c>
      <c r="N523" s="3" t="n">
        <v>407687.94</v>
      </c>
      <c r="O523" s="3" t="n">
        <v>0.4598</v>
      </c>
      <c r="P523" s="3" t="n">
        <v>0.259</v>
      </c>
      <c r="Q523" s="3" t="n">
        <v>229639.49</v>
      </c>
      <c r="R523" s="3" t="n">
        <v>59</v>
      </c>
      <c r="S523" s="3" t="n">
        <v>4.3</v>
      </c>
      <c r="T523" s="3" t="n">
        <v>3.1</v>
      </c>
      <c r="U523" s="3"/>
      <c r="V523" s="3" t="n">
        <v>6.76</v>
      </c>
      <c r="W523" s="3" t="s">
        <v>5997</v>
      </c>
    </row>
    <row r="524" customFormat="false" ht="15" hidden="false" customHeight="true" outlineLevel="0" collapsed="false">
      <c r="A524" s="3" t="s">
        <v>6597</v>
      </c>
      <c r="B524" s="3" t="s">
        <v>1135</v>
      </c>
      <c r="C524" s="3" t="s">
        <v>4316</v>
      </c>
      <c r="D524" s="3" t="s">
        <v>107</v>
      </c>
      <c r="E524" s="3" t="s">
        <v>33</v>
      </c>
      <c r="F524" s="3" t="s">
        <v>70</v>
      </c>
      <c r="G524" s="3" t="s">
        <v>100</v>
      </c>
      <c r="H524" s="3" t="s">
        <v>42</v>
      </c>
      <c r="I524" s="3" t="s">
        <v>43</v>
      </c>
      <c r="J524" s="3" t="s">
        <v>5996</v>
      </c>
      <c r="K524" s="3" t="n">
        <v>1213992.7</v>
      </c>
      <c r="L524" s="3" t="n">
        <v>0.1685</v>
      </c>
      <c r="M524" s="3" t="n">
        <v>1009434.93</v>
      </c>
      <c r="N524" s="3" t="n">
        <v>479603.59</v>
      </c>
      <c r="O524" s="3" t="n">
        <v>0.4751</v>
      </c>
      <c r="P524" s="3" t="n">
        <v>1</v>
      </c>
      <c r="Q524" s="3" t="n">
        <v>1009434.93</v>
      </c>
      <c r="R524" s="3" t="n">
        <v>67</v>
      </c>
      <c r="S524" s="3" t="n">
        <v>3.9</v>
      </c>
      <c r="T524" s="3" t="n">
        <v>9.7</v>
      </c>
      <c r="U524" s="3"/>
      <c r="V524" s="3" t="n">
        <v>5.62</v>
      </c>
      <c r="W524" s="3" t="s">
        <v>5990</v>
      </c>
    </row>
    <row r="525" customFormat="false" ht="15" hidden="false" customHeight="true" outlineLevel="0" collapsed="false">
      <c r="A525" s="3" t="s">
        <v>6598</v>
      </c>
      <c r="B525" s="3" t="s">
        <v>587</v>
      </c>
      <c r="C525" s="3" t="s">
        <v>3757</v>
      </c>
      <c r="D525" s="3" t="s">
        <v>103</v>
      </c>
      <c r="E525" s="3" t="s">
        <v>24</v>
      </c>
      <c r="F525" s="3" t="s">
        <v>62</v>
      </c>
      <c r="G525" s="3" t="s">
        <v>34</v>
      </c>
      <c r="H525" s="3" t="s">
        <v>77</v>
      </c>
      <c r="I525" s="3" t="s">
        <v>85</v>
      </c>
      <c r="J525" s="3" t="s">
        <v>6009</v>
      </c>
      <c r="K525" s="3" t="n">
        <v>3559384.49</v>
      </c>
      <c r="L525" s="3" t="n">
        <v>0.2991</v>
      </c>
      <c r="M525" s="3" t="n">
        <v>2494772.59</v>
      </c>
      <c r="N525" s="3" t="n">
        <v>1164840.05</v>
      </c>
      <c r="O525" s="3" t="n">
        <v>0.4669</v>
      </c>
      <c r="P525" s="3" t="n">
        <v>0.011</v>
      </c>
      <c r="Q525" s="3" t="n">
        <v>27442.5</v>
      </c>
      <c r="R525" s="3" t="n">
        <v>33</v>
      </c>
      <c r="S525" s="3" t="n">
        <v>9.7</v>
      </c>
      <c r="T525" s="3" t="n">
        <v>9.7</v>
      </c>
      <c r="U525" s="3" t="s">
        <v>6020</v>
      </c>
      <c r="V525" s="3" t="n">
        <v>5.97</v>
      </c>
      <c r="W525" s="3" t="s">
        <v>5990</v>
      </c>
    </row>
    <row r="526" customFormat="false" ht="15" hidden="false" customHeight="true" outlineLevel="0" collapsed="false">
      <c r="A526" s="3" t="s">
        <v>6599</v>
      </c>
      <c r="B526" s="3" t="s">
        <v>2979</v>
      </c>
      <c r="C526" s="3" t="s">
        <v>2330</v>
      </c>
      <c r="D526" s="3" t="s">
        <v>69</v>
      </c>
      <c r="E526" s="3" t="s">
        <v>39</v>
      </c>
      <c r="F526" s="3" t="s">
        <v>70</v>
      </c>
      <c r="G526" s="3" t="s">
        <v>76</v>
      </c>
      <c r="H526" s="3" t="s">
        <v>64</v>
      </c>
      <c r="I526" s="3" t="s">
        <v>145</v>
      </c>
      <c r="J526" s="3" t="s">
        <v>5999</v>
      </c>
      <c r="K526" s="3" t="n">
        <v>471315.19</v>
      </c>
      <c r="L526" s="3" t="n">
        <v>0.1396</v>
      </c>
      <c r="M526" s="3" t="n">
        <v>405519.59</v>
      </c>
      <c r="N526" s="3" t="n">
        <v>173524.38</v>
      </c>
      <c r="O526" s="3" t="n">
        <v>0.4279</v>
      </c>
      <c r="P526" s="3" t="n">
        <v>0.494</v>
      </c>
      <c r="Q526" s="3" t="n">
        <v>200326.68</v>
      </c>
      <c r="R526" s="3" t="n">
        <v>76</v>
      </c>
      <c r="S526" s="3" t="n">
        <v>6.7</v>
      </c>
      <c r="T526" s="3" t="n">
        <v>9.5</v>
      </c>
      <c r="U526" s="3"/>
      <c r="V526" s="3" t="n">
        <v>6.4</v>
      </c>
      <c r="W526" s="3" t="s">
        <v>5990</v>
      </c>
    </row>
    <row r="527" customFormat="false" ht="15" hidden="false" customHeight="true" outlineLevel="0" collapsed="false">
      <c r="A527" s="3" t="s">
        <v>6600</v>
      </c>
      <c r="B527" s="3" t="s">
        <v>413</v>
      </c>
      <c r="C527" s="3" t="s">
        <v>6307</v>
      </c>
      <c r="D527" s="3" t="s">
        <v>75</v>
      </c>
      <c r="E527" s="3" t="s">
        <v>39</v>
      </c>
      <c r="F527" s="3" t="s">
        <v>25</v>
      </c>
      <c r="G527" s="3" t="s">
        <v>116</v>
      </c>
      <c r="H527" s="3" t="s">
        <v>42</v>
      </c>
      <c r="I527" s="3" t="s">
        <v>134</v>
      </c>
      <c r="J527" s="3" t="s">
        <v>5999</v>
      </c>
      <c r="K527" s="3" t="n">
        <v>2080326.75</v>
      </c>
      <c r="L527" s="3" t="n">
        <v>0.1929</v>
      </c>
      <c r="M527" s="3" t="n">
        <v>1679031.72</v>
      </c>
      <c r="N527" s="3" t="n">
        <v>758673.16</v>
      </c>
      <c r="O527" s="3" t="n">
        <v>0.4519</v>
      </c>
      <c r="P527" s="3" t="n">
        <v>0.403</v>
      </c>
      <c r="Q527" s="3" t="n">
        <v>676649.78</v>
      </c>
      <c r="R527" s="3" t="n">
        <v>51</v>
      </c>
      <c r="S527" s="3" t="n">
        <v>9.3</v>
      </c>
      <c r="T527" s="3" t="n">
        <v>2.2</v>
      </c>
      <c r="U527" s="3"/>
      <c r="V527" s="3" t="n">
        <v>7.9</v>
      </c>
      <c r="W527" s="3" t="s">
        <v>5997</v>
      </c>
    </row>
    <row r="528" customFormat="false" ht="15" hidden="false" customHeight="true" outlineLevel="0" collapsed="false">
      <c r="A528" s="3" t="s">
        <v>6601</v>
      </c>
      <c r="B528" s="3" t="s">
        <v>523</v>
      </c>
      <c r="C528" s="3" t="s">
        <v>997</v>
      </c>
      <c r="D528" s="3" t="s">
        <v>23</v>
      </c>
      <c r="E528" s="3" t="s">
        <v>24</v>
      </c>
      <c r="F528" s="3" t="s">
        <v>25</v>
      </c>
      <c r="G528" s="3" t="s">
        <v>76</v>
      </c>
      <c r="H528" s="3" t="s">
        <v>56</v>
      </c>
      <c r="I528" s="3" t="s">
        <v>121</v>
      </c>
      <c r="J528" s="3" t="s">
        <v>5999</v>
      </c>
      <c r="K528" s="3" t="n">
        <v>2777727.99</v>
      </c>
      <c r="L528" s="3" t="n">
        <v>0.0604</v>
      </c>
      <c r="M528" s="3" t="n">
        <v>2609953.22</v>
      </c>
      <c r="N528" s="3" t="n">
        <v>767718.22</v>
      </c>
      <c r="O528" s="3" t="n">
        <v>0.2942</v>
      </c>
      <c r="P528" s="3" t="n">
        <v>0.446</v>
      </c>
      <c r="Q528" s="3" t="n">
        <v>1164039.14</v>
      </c>
      <c r="R528" s="3" t="n">
        <v>102</v>
      </c>
      <c r="S528" s="3" t="n">
        <v>7.1</v>
      </c>
      <c r="T528" s="3" t="n">
        <v>4.8</v>
      </c>
      <c r="U528" s="3"/>
      <c r="V528" s="3" t="n">
        <v>6.83</v>
      </c>
      <c r="W528" s="3" t="s">
        <v>5997</v>
      </c>
    </row>
    <row r="529" customFormat="false" ht="15" hidden="false" customHeight="true" outlineLevel="0" collapsed="false">
      <c r="A529" s="3" t="s">
        <v>6602</v>
      </c>
      <c r="B529" s="3" t="s">
        <v>227</v>
      </c>
      <c r="C529" s="3" t="s">
        <v>1186</v>
      </c>
      <c r="D529" s="3" t="s">
        <v>23</v>
      </c>
      <c r="E529" s="3" t="s">
        <v>24</v>
      </c>
      <c r="F529" s="3" t="s">
        <v>25</v>
      </c>
      <c r="G529" s="3" t="s">
        <v>71</v>
      </c>
      <c r="H529" s="3" t="s">
        <v>27</v>
      </c>
      <c r="I529" s="3" t="s">
        <v>94</v>
      </c>
      <c r="J529" s="3" t="s">
        <v>5992</v>
      </c>
      <c r="K529" s="3" t="n">
        <v>4860687.97</v>
      </c>
      <c r="L529" s="3" t="n">
        <v>0.1568</v>
      </c>
      <c r="M529" s="3" t="n">
        <v>4098532.1</v>
      </c>
      <c r="N529" s="3" t="n">
        <v>1823031.01</v>
      </c>
      <c r="O529" s="3" t="n">
        <v>0.4448</v>
      </c>
      <c r="P529" s="3" t="n">
        <v>0.711</v>
      </c>
      <c r="Q529" s="3" t="n">
        <v>2914056.32</v>
      </c>
      <c r="R529" s="3" t="n">
        <v>166</v>
      </c>
      <c r="S529" s="3" t="n">
        <v>2</v>
      </c>
      <c r="T529" s="3" t="n">
        <v>3.7</v>
      </c>
      <c r="U529" s="3"/>
      <c r="V529" s="3" t="n">
        <v>6.11</v>
      </c>
      <c r="W529" s="3" t="s">
        <v>5990</v>
      </c>
    </row>
    <row r="530" customFormat="false" ht="15" hidden="false" customHeight="true" outlineLevel="0" collapsed="false">
      <c r="A530" s="3" t="s">
        <v>6603</v>
      </c>
      <c r="B530" s="3" t="s">
        <v>1031</v>
      </c>
      <c r="C530" s="3" t="s">
        <v>1704</v>
      </c>
      <c r="D530" s="3" t="s">
        <v>69</v>
      </c>
      <c r="E530" s="3" t="s">
        <v>39</v>
      </c>
      <c r="F530" s="3" t="s">
        <v>70</v>
      </c>
      <c r="G530" s="3" t="s">
        <v>116</v>
      </c>
      <c r="H530" s="3" t="s">
        <v>77</v>
      </c>
      <c r="I530" s="3" t="s">
        <v>78</v>
      </c>
      <c r="J530" s="3" t="s">
        <v>5989</v>
      </c>
      <c r="K530" s="3" t="n">
        <v>4607194.68</v>
      </c>
      <c r="L530" s="3" t="n">
        <v>0.2916</v>
      </c>
      <c r="M530" s="3" t="n">
        <v>3263736.71</v>
      </c>
      <c r="N530" s="3" t="n">
        <v>1494152.34</v>
      </c>
      <c r="O530" s="3" t="n">
        <v>0.4578</v>
      </c>
      <c r="P530" s="3" t="n">
        <v>0.247</v>
      </c>
      <c r="Q530" s="3" t="n">
        <v>806142.97</v>
      </c>
      <c r="R530" s="3" t="n">
        <v>120</v>
      </c>
      <c r="S530" s="3" t="n">
        <v>3.6</v>
      </c>
      <c r="T530" s="3" t="n">
        <v>4.5</v>
      </c>
      <c r="U530" s="3"/>
      <c r="V530" s="3" t="n">
        <v>5.3</v>
      </c>
      <c r="W530" s="3" t="s">
        <v>5990</v>
      </c>
    </row>
    <row r="531" customFormat="false" ht="15" hidden="false" customHeight="true" outlineLevel="0" collapsed="false">
      <c r="A531" s="3" t="s">
        <v>6604</v>
      </c>
      <c r="B531" s="3" t="s">
        <v>2873</v>
      </c>
      <c r="C531" s="3" t="s">
        <v>6290</v>
      </c>
      <c r="D531" s="3" t="s">
        <v>47</v>
      </c>
      <c r="E531" s="3" t="s">
        <v>48</v>
      </c>
      <c r="F531" s="3" t="s">
        <v>25</v>
      </c>
      <c r="G531" s="3" t="s">
        <v>104</v>
      </c>
      <c r="H531" s="3" t="s">
        <v>27</v>
      </c>
      <c r="I531" s="3" t="s">
        <v>173</v>
      </c>
      <c r="J531" s="3" t="s">
        <v>5999</v>
      </c>
      <c r="K531" s="3" t="n">
        <v>1242987.5</v>
      </c>
      <c r="L531" s="3" t="n">
        <v>0.1632</v>
      </c>
      <c r="M531" s="3" t="n">
        <v>1040131.94</v>
      </c>
      <c r="N531" s="3" t="n">
        <v>495136.38</v>
      </c>
      <c r="O531" s="3" t="n">
        <v>0.476</v>
      </c>
      <c r="P531" s="3" t="n">
        <v>0.438</v>
      </c>
      <c r="Q531" s="3" t="n">
        <v>455577.79</v>
      </c>
      <c r="R531" s="3" t="n">
        <v>74</v>
      </c>
      <c r="S531" s="3" t="n">
        <v>1.7</v>
      </c>
      <c r="T531" s="3" t="n">
        <v>5.5</v>
      </c>
      <c r="U531" s="3"/>
      <c r="V531" s="3" t="n">
        <v>5.75</v>
      </c>
      <c r="W531" s="3" t="s">
        <v>5990</v>
      </c>
    </row>
    <row r="532" customFormat="false" ht="15" hidden="false" customHeight="true" outlineLevel="0" collapsed="false">
      <c r="A532" s="3" t="s">
        <v>6605</v>
      </c>
      <c r="B532" s="3" t="s">
        <v>559</v>
      </c>
      <c r="C532" s="3" t="s">
        <v>702</v>
      </c>
      <c r="D532" s="3" t="s">
        <v>54</v>
      </c>
      <c r="E532" s="3" t="s">
        <v>24</v>
      </c>
      <c r="F532" s="3" t="s">
        <v>40</v>
      </c>
      <c r="G532" s="3" t="s">
        <v>63</v>
      </c>
      <c r="H532" s="3" t="s">
        <v>77</v>
      </c>
      <c r="I532" s="3" t="s">
        <v>131</v>
      </c>
      <c r="J532" s="3" t="s">
        <v>5992</v>
      </c>
      <c r="K532" s="3" t="n">
        <v>4576357.72</v>
      </c>
      <c r="L532" s="3" t="n">
        <v>0.1437</v>
      </c>
      <c r="M532" s="3" t="n">
        <v>3918735.12</v>
      </c>
      <c r="N532" s="3" t="n">
        <v>1693410.84</v>
      </c>
      <c r="O532" s="3" t="n">
        <v>0.4321</v>
      </c>
      <c r="P532" s="3" t="n">
        <v>0.661</v>
      </c>
      <c r="Q532" s="3" t="n">
        <v>2590283.91</v>
      </c>
      <c r="R532" s="3" t="n">
        <v>58</v>
      </c>
      <c r="S532" s="3" t="n">
        <v>8.1</v>
      </c>
      <c r="T532" s="3" t="n">
        <v>8.3</v>
      </c>
      <c r="U532" s="3"/>
      <c r="V532" s="3" t="n">
        <v>6.94</v>
      </c>
      <c r="W532" s="3" t="s">
        <v>5997</v>
      </c>
    </row>
    <row r="533" customFormat="false" ht="15" hidden="false" customHeight="true" outlineLevel="0" collapsed="false">
      <c r="A533" s="3" t="s">
        <v>6606</v>
      </c>
      <c r="B533" s="3" t="s">
        <v>5062</v>
      </c>
      <c r="C533" s="3" t="s">
        <v>92</v>
      </c>
      <c r="D533" s="3" t="s">
        <v>38</v>
      </c>
      <c r="E533" s="3" t="s">
        <v>39</v>
      </c>
      <c r="F533" s="3" t="s">
        <v>40</v>
      </c>
      <c r="G533" s="3" t="s">
        <v>71</v>
      </c>
      <c r="H533" s="3" t="s">
        <v>42</v>
      </c>
      <c r="I533" s="3" t="s">
        <v>43</v>
      </c>
      <c r="J533" s="3" t="s">
        <v>5996</v>
      </c>
      <c r="K533" s="3" t="n">
        <v>3127876.49</v>
      </c>
      <c r="L533" s="3" t="n">
        <v>0.1628</v>
      </c>
      <c r="M533" s="3" t="n">
        <v>2618658.2</v>
      </c>
      <c r="N533" s="3" t="n">
        <v>739888.14</v>
      </c>
      <c r="O533" s="3" t="n">
        <v>0.2825</v>
      </c>
      <c r="P533" s="3" t="n">
        <v>1</v>
      </c>
      <c r="Q533" s="3" t="n">
        <v>2618658.2</v>
      </c>
      <c r="R533" s="3" t="n">
        <v>128</v>
      </c>
      <c r="S533" s="3" t="n">
        <v>8.7</v>
      </c>
      <c r="T533" s="3" t="n">
        <v>3.5</v>
      </c>
      <c r="U533" s="3"/>
      <c r="V533" s="3" t="n">
        <v>6.5</v>
      </c>
      <c r="W533" s="3" t="s">
        <v>5997</v>
      </c>
    </row>
    <row r="534" customFormat="false" ht="15" hidden="false" customHeight="true" outlineLevel="0" collapsed="false">
      <c r="A534" s="3" t="s">
        <v>6607</v>
      </c>
      <c r="B534" s="3" t="s">
        <v>3165</v>
      </c>
      <c r="C534" s="3" t="s">
        <v>4987</v>
      </c>
      <c r="D534" s="3" t="s">
        <v>107</v>
      </c>
      <c r="E534" s="3" t="s">
        <v>33</v>
      </c>
      <c r="F534" s="3" t="s">
        <v>70</v>
      </c>
      <c r="G534" s="3" t="s">
        <v>55</v>
      </c>
      <c r="H534" s="3" t="s">
        <v>77</v>
      </c>
      <c r="I534" s="3" t="s">
        <v>131</v>
      </c>
      <c r="J534" s="3" t="s">
        <v>5989</v>
      </c>
      <c r="K534" s="3" t="n">
        <v>3098511.27</v>
      </c>
      <c r="L534" s="3" t="n">
        <v>0.2944</v>
      </c>
      <c r="M534" s="3" t="n">
        <v>2186309.55</v>
      </c>
      <c r="N534" s="3" t="n">
        <v>767454.88</v>
      </c>
      <c r="O534" s="3" t="n">
        <v>0.351</v>
      </c>
      <c r="P534" s="3" t="n">
        <v>0.293</v>
      </c>
      <c r="Q534" s="3" t="n">
        <v>640588.7</v>
      </c>
      <c r="R534" s="3" t="n">
        <v>155</v>
      </c>
      <c r="S534" s="3" t="n">
        <v>6.7</v>
      </c>
      <c r="T534" s="3" t="n">
        <v>3.8</v>
      </c>
      <c r="U534" s="3"/>
      <c r="V534" s="3" t="n">
        <v>5.38</v>
      </c>
      <c r="W534" s="3" t="s">
        <v>5990</v>
      </c>
    </row>
    <row r="535" customFormat="false" ht="15" hidden="false" customHeight="true" outlineLevel="0" collapsed="false">
      <c r="A535" s="3" t="s">
        <v>6608</v>
      </c>
      <c r="B535" s="3" t="s">
        <v>128</v>
      </c>
      <c r="C535" s="3" t="s">
        <v>549</v>
      </c>
      <c r="D535" s="3" t="s">
        <v>97</v>
      </c>
      <c r="E535" s="3" t="s">
        <v>48</v>
      </c>
      <c r="F535" s="3" t="s">
        <v>40</v>
      </c>
      <c r="G535" s="3" t="s">
        <v>26</v>
      </c>
      <c r="H535" s="3" t="s">
        <v>56</v>
      </c>
      <c r="I535" s="3" t="s">
        <v>57</v>
      </c>
      <c r="J535" s="3" t="s">
        <v>5989</v>
      </c>
      <c r="K535" s="3" t="n">
        <v>4824627.41</v>
      </c>
      <c r="L535" s="3" t="n">
        <v>0.0536</v>
      </c>
      <c r="M535" s="3" t="n">
        <v>4566027.38</v>
      </c>
      <c r="N535" s="3" t="n">
        <v>1480183.07</v>
      </c>
      <c r="O535" s="3" t="n">
        <v>0.3242</v>
      </c>
      <c r="P535" s="3" t="n">
        <v>0.282</v>
      </c>
      <c r="Q535" s="3" t="n">
        <v>1287619.72</v>
      </c>
      <c r="R535" s="3" t="n">
        <v>169</v>
      </c>
      <c r="S535" s="3" t="n">
        <v>6.7</v>
      </c>
      <c r="T535" s="3" t="n">
        <v>4.1</v>
      </c>
      <c r="U535" s="3"/>
      <c r="V535" s="3" t="n">
        <v>7.13</v>
      </c>
      <c r="W535" s="3" t="s">
        <v>5997</v>
      </c>
    </row>
    <row r="536" customFormat="false" ht="15" hidden="false" customHeight="true" outlineLevel="0" collapsed="false">
      <c r="A536" s="3" t="s">
        <v>6609</v>
      </c>
      <c r="B536" s="3" t="s">
        <v>1180</v>
      </c>
      <c r="C536" s="3" t="s">
        <v>1338</v>
      </c>
      <c r="D536" s="3" t="s">
        <v>61</v>
      </c>
      <c r="E536" s="3" t="s">
        <v>33</v>
      </c>
      <c r="F536" s="3" t="s">
        <v>62</v>
      </c>
      <c r="G536" s="3" t="s">
        <v>49</v>
      </c>
      <c r="H536" s="3" t="s">
        <v>77</v>
      </c>
      <c r="I536" s="3" t="s">
        <v>78</v>
      </c>
      <c r="J536" s="3" t="s">
        <v>5996</v>
      </c>
      <c r="K536" s="3" t="n">
        <v>1339458.86</v>
      </c>
      <c r="L536" s="3" t="n">
        <v>0.2595</v>
      </c>
      <c r="M536" s="3" t="n">
        <v>991869.29</v>
      </c>
      <c r="N536" s="3" t="n">
        <v>389912.48</v>
      </c>
      <c r="O536" s="3" t="n">
        <v>0.3931</v>
      </c>
      <c r="P536" s="3" t="n">
        <v>1</v>
      </c>
      <c r="Q536" s="3" t="n">
        <v>991869.29</v>
      </c>
      <c r="R536" s="3" t="n">
        <v>73</v>
      </c>
      <c r="S536" s="3" t="n">
        <v>7.6</v>
      </c>
      <c r="T536" s="3" t="n">
        <v>9.4</v>
      </c>
      <c r="U536" s="3"/>
      <c r="V536" s="3" t="n">
        <v>5.36</v>
      </c>
      <c r="W536" s="3" t="s">
        <v>5990</v>
      </c>
    </row>
    <row r="537" customFormat="false" ht="15" hidden="false" customHeight="true" outlineLevel="0" collapsed="false">
      <c r="A537" s="3" t="s">
        <v>6610</v>
      </c>
      <c r="B537" s="3" t="s">
        <v>4992</v>
      </c>
      <c r="C537" s="3" t="s">
        <v>6611</v>
      </c>
      <c r="D537" s="3" t="s">
        <v>32</v>
      </c>
      <c r="E537" s="3" t="s">
        <v>33</v>
      </c>
      <c r="F537" s="3" t="s">
        <v>25</v>
      </c>
      <c r="G537" s="3" t="s">
        <v>41</v>
      </c>
      <c r="H537" s="3" t="s">
        <v>64</v>
      </c>
      <c r="I537" s="3" t="s">
        <v>90</v>
      </c>
      <c r="J537" s="3" t="s">
        <v>5996</v>
      </c>
      <c r="K537" s="3" t="n">
        <v>2409994.58</v>
      </c>
      <c r="L537" s="3" t="n">
        <v>0.1203</v>
      </c>
      <c r="M537" s="3" t="n">
        <v>2120072.23</v>
      </c>
      <c r="N537" s="3" t="n">
        <v>831065.28</v>
      </c>
      <c r="O537" s="3" t="n">
        <v>0.392</v>
      </c>
      <c r="P537" s="3" t="n">
        <v>0.956</v>
      </c>
      <c r="Q537" s="3" t="n">
        <v>2026789.05</v>
      </c>
      <c r="R537" s="3" t="n">
        <v>175</v>
      </c>
      <c r="S537" s="3" t="n">
        <v>3.6</v>
      </c>
      <c r="T537" s="3" t="n">
        <v>3.3</v>
      </c>
      <c r="U537" s="3"/>
      <c r="V537" s="3" t="n">
        <v>6.45</v>
      </c>
      <c r="W537" s="3" t="s">
        <v>5990</v>
      </c>
    </row>
    <row r="538" customFormat="false" ht="15" hidden="false" customHeight="true" outlineLevel="0" collapsed="false">
      <c r="A538" s="3" t="s">
        <v>6612</v>
      </c>
      <c r="B538" s="3" t="s">
        <v>666</v>
      </c>
      <c r="C538" s="3" t="s">
        <v>2964</v>
      </c>
      <c r="D538" s="3" t="s">
        <v>103</v>
      </c>
      <c r="E538" s="3" t="s">
        <v>24</v>
      </c>
      <c r="F538" s="3" t="s">
        <v>62</v>
      </c>
      <c r="G538" s="3" t="s">
        <v>49</v>
      </c>
      <c r="H538" s="3" t="s">
        <v>27</v>
      </c>
      <c r="I538" s="3" t="s">
        <v>94</v>
      </c>
      <c r="J538" s="3" t="s">
        <v>5999</v>
      </c>
      <c r="K538" s="3" t="n">
        <v>2072993.28</v>
      </c>
      <c r="L538" s="3" t="n">
        <v>0.2328</v>
      </c>
      <c r="M538" s="3" t="n">
        <v>1590400.44</v>
      </c>
      <c r="N538" s="3" t="n">
        <v>694029.05</v>
      </c>
      <c r="O538" s="3" t="n">
        <v>0.4364</v>
      </c>
      <c r="P538" s="3" t="n">
        <v>0.432</v>
      </c>
      <c r="Q538" s="3" t="n">
        <v>687052.99</v>
      </c>
      <c r="R538" s="3" t="n">
        <v>179</v>
      </c>
      <c r="S538" s="3" t="n">
        <v>5.6</v>
      </c>
      <c r="T538" s="3" t="n">
        <v>5.7</v>
      </c>
      <c r="U538" s="3"/>
      <c r="V538" s="3" t="n">
        <v>5.99</v>
      </c>
      <c r="W538" s="3" t="s">
        <v>5990</v>
      </c>
    </row>
    <row r="539" customFormat="false" ht="15" hidden="false" customHeight="true" outlineLevel="0" collapsed="false">
      <c r="A539" s="3" t="s">
        <v>6613</v>
      </c>
      <c r="B539" s="3" t="s">
        <v>1240</v>
      </c>
      <c r="C539" s="3" t="s">
        <v>1400</v>
      </c>
      <c r="D539" s="3" t="s">
        <v>69</v>
      </c>
      <c r="E539" s="3" t="s">
        <v>39</v>
      </c>
      <c r="F539" s="3" t="s">
        <v>70</v>
      </c>
      <c r="G539" s="3" t="s">
        <v>41</v>
      </c>
      <c r="H539" s="3" t="s">
        <v>27</v>
      </c>
      <c r="I539" s="3" t="s">
        <v>117</v>
      </c>
      <c r="J539" s="3" t="s">
        <v>5992</v>
      </c>
      <c r="K539" s="3" t="n">
        <v>4958990.18</v>
      </c>
      <c r="L539" s="3" t="n">
        <v>0.1715</v>
      </c>
      <c r="M539" s="3" t="n">
        <v>4108523.36</v>
      </c>
      <c r="N539" s="3" t="n">
        <v>1794449.92</v>
      </c>
      <c r="O539" s="3" t="n">
        <v>0.4368</v>
      </c>
      <c r="P539" s="3" t="n">
        <v>0.743</v>
      </c>
      <c r="Q539" s="3" t="n">
        <v>3052632.86</v>
      </c>
      <c r="R539" s="3" t="n">
        <v>65</v>
      </c>
      <c r="S539" s="3" t="n">
        <v>5.8</v>
      </c>
      <c r="T539" s="3" t="n">
        <v>7.1</v>
      </c>
      <c r="U539" s="3"/>
      <c r="V539" s="3" t="n">
        <v>6.36</v>
      </c>
      <c r="W539" s="3" t="s">
        <v>5990</v>
      </c>
    </row>
    <row r="540" customFormat="false" ht="15" hidden="false" customHeight="true" outlineLevel="0" collapsed="false">
      <c r="A540" s="3" t="s">
        <v>6614</v>
      </c>
      <c r="B540" s="3" t="s">
        <v>2484</v>
      </c>
      <c r="C540" s="3" t="s">
        <v>102</v>
      </c>
      <c r="D540" s="3" t="s">
        <v>103</v>
      </c>
      <c r="E540" s="3" t="s">
        <v>24</v>
      </c>
      <c r="F540" s="3" t="s">
        <v>62</v>
      </c>
      <c r="G540" s="3" t="s">
        <v>116</v>
      </c>
      <c r="H540" s="3" t="s">
        <v>56</v>
      </c>
      <c r="I540" s="3" t="s">
        <v>121</v>
      </c>
      <c r="J540" s="3" t="s">
        <v>5996</v>
      </c>
      <c r="K540" s="3" t="n">
        <v>2343046.54</v>
      </c>
      <c r="L540" s="3" t="n">
        <v>0.2438</v>
      </c>
      <c r="M540" s="3" t="n">
        <v>1771811.79</v>
      </c>
      <c r="N540" s="3" t="n">
        <v>705431.49</v>
      </c>
      <c r="O540" s="3" t="n">
        <v>0.3981</v>
      </c>
      <c r="P540" s="3" t="n">
        <v>1</v>
      </c>
      <c r="Q540" s="3" t="n">
        <v>1771811.79</v>
      </c>
      <c r="R540" s="3" t="n">
        <v>106</v>
      </c>
      <c r="S540" s="3" t="n">
        <v>4.5</v>
      </c>
      <c r="T540" s="3" t="n">
        <v>8.2</v>
      </c>
      <c r="U540" s="3"/>
      <c r="V540" s="3" t="n">
        <v>4.95</v>
      </c>
      <c r="W540" s="3" t="s">
        <v>6000</v>
      </c>
    </row>
    <row r="541" customFormat="false" ht="15" hidden="false" customHeight="true" outlineLevel="0" collapsed="false">
      <c r="A541" s="3" t="s">
        <v>6615</v>
      </c>
      <c r="B541" s="3" t="s">
        <v>1078</v>
      </c>
      <c r="C541" s="3" t="s">
        <v>3158</v>
      </c>
      <c r="D541" s="3" t="s">
        <v>38</v>
      </c>
      <c r="E541" s="3" t="s">
        <v>39</v>
      </c>
      <c r="F541" s="3" t="s">
        <v>40</v>
      </c>
      <c r="G541" s="3" t="s">
        <v>49</v>
      </c>
      <c r="H541" s="3" t="s">
        <v>64</v>
      </c>
      <c r="I541" s="3" t="s">
        <v>108</v>
      </c>
      <c r="J541" s="3" t="s">
        <v>5996</v>
      </c>
      <c r="K541" s="3" t="n">
        <v>3503346.66</v>
      </c>
      <c r="L541" s="3" t="n">
        <v>0.1174</v>
      </c>
      <c r="M541" s="3" t="n">
        <v>3092053.76</v>
      </c>
      <c r="N541" s="3" t="n">
        <v>1182563.17</v>
      </c>
      <c r="O541" s="3" t="n">
        <v>0.3825</v>
      </c>
      <c r="P541" s="3" t="n">
        <v>0.992</v>
      </c>
      <c r="Q541" s="3" t="n">
        <v>3067317.33</v>
      </c>
      <c r="R541" s="3" t="n">
        <v>64</v>
      </c>
      <c r="S541" s="3" t="n">
        <v>2.6</v>
      </c>
      <c r="T541" s="3" t="n">
        <v>5.5</v>
      </c>
      <c r="U541" s="3"/>
      <c r="V541" s="3" t="n">
        <v>5.83</v>
      </c>
      <c r="W541" s="3" t="s">
        <v>5990</v>
      </c>
    </row>
    <row r="542" customFormat="false" ht="15" hidden="false" customHeight="true" outlineLevel="0" collapsed="false">
      <c r="A542" s="3" t="s">
        <v>6616</v>
      </c>
      <c r="B542" s="3" t="s">
        <v>1712</v>
      </c>
      <c r="C542" s="3" t="s">
        <v>3498</v>
      </c>
      <c r="D542" s="3" t="s">
        <v>61</v>
      </c>
      <c r="E542" s="3" t="s">
        <v>33</v>
      </c>
      <c r="F542" s="3" t="s">
        <v>62</v>
      </c>
      <c r="G542" s="3" t="s">
        <v>63</v>
      </c>
      <c r="H542" s="3" t="s">
        <v>77</v>
      </c>
      <c r="I542" s="3" t="s">
        <v>131</v>
      </c>
      <c r="J542" s="3" t="s">
        <v>5999</v>
      </c>
      <c r="K542" s="3" t="n">
        <v>1100299.2</v>
      </c>
      <c r="L542" s="3" t="n">
        <v>0.2092</v>
      </c>
      <c r="M542" s="3" t="n">
        <v>870116.61</v>
      </c>
      <c r="N542" s="3" t="n">
        <v>313769.47</v>
      </c>
      <c r="O542" s="3" t="n">
        <v>0.3606</v>
      </c>
      <c r="P542" s="3" t="n">
        <v>0.498</v>
      </c>
      <c r="Q542" s="3" t="n">
        <v>433318.07</v>
      </c>
      <c r="R542" s="3" t="n">
        <v>102</v>
      </c>
      <c r="S542" s="3" t="n">
        <v>6.4</v>
      </c>
      <c r="T542" s="3" t="n">
        <v>9.3</v>
      </c>
      <c r="U542" s="3"/>
      <c r="V542" s="3" t="n">
        <v>5.25</v>
      </c>
      <c r="W542" s="3" t="s">
        <v>5990</v>
      </c>
    </row>
    <row r="543" customFormat="false" ht="15" hidden="false" customHeight="true" outlineLevel="0" collapsed="false">
      <c r="A543" s="3" t="s">
        <v>6617</v>
      </c>
      <c r="B543" s="3" t="s">
        <v>4078</v>
      </c>
      <c r="C543" s="3" t="s">
        <v>2551</v>
      </c>
      <c r="D543" s="3" t="s">
        <v>32</v>
      </c>
      <c r="E543" s="3" t="s">
        <v>33</v>
      </c>
      <c r="F543" s="3" t="s">
        <v>25</v>
      </c>
      <c r="G543" s="3" t="s">
        <v>55</v>
      </c>
      <c r="H543" s="3" t="s">
        <v>77</v>
      </c>
      <c r="I543" s="3" t="s">
        <v>85</v>
      </c>
      <c r="J543" s="3" t="s">
        <v>5992</v>
      </c>
      <c r="K543" s="3" t="n">
        <v>1717583.23</v>
      </c>
      <c r="L543" s="3" t="n">
        <v>0.2446</v>
      </c>
      <c r="M543" s="3" t="n">
        <v>1297462.37</v>
      </c>
      <c r="N543" s="3" t="n">
        <v>589445.81</v>
      </c>
      <c r="O543" s="3" t="n">
        <v>0.4543</v>
      </c>
      <c r="P543" s="3" t="n">
        <v>0.691</v>
      </c>
      <c r="Q543" s="3" t="n">
        <v>896546.5</v>
      </c>
      <c r="R543" s="3" t="n">
        <v>151</v>
      </c>
      <c r="S543" s="3" t="n">
        <v>8</v>
      </c>
      <c r="T543" s="3" t="n">
        <v>1.6</v>
      </c>
      <c r="U543" s="3"/>
      <c r="V543" s="3" t="n">
        <v>7.21</v>
      </c>
      <c r="W543" s="3" t="s">
        <v>5997</v>
      </c>
    </row>
    <row r="544" customFormat="false" ht="15" hidden="false" customHeight="true" outlineLevel="0" collapsed="false">
      <c r="A544" s="3" t="s">
        <v>6618</v>
      </c>
      <c r="B544" s="3" t="s">
        <v>2003</v>
      </c>
      <c r="C544" s="3" t="s">
        <v>4712</v>
      </c>
      <c r="D544" s="3" t="s">
        <v>38</v>
      </c>
      <c r="E544" s="3" t="s">
        <v>39</v>
      </c>
      <c r="F544" s="3" t="s">
        <v>40</v>
      </c>
      <c r="G544" s="3" t="s">
        <v>41</v>
      </c>
      <c r="H544" s="3" t="s">
        <v>77</v>
      </c>
      <c r="I544" s="3" t="s">
        <v>85</v>
      </c>
      <c r="J544" s="3" t="s">
        <v>5992</v>
      </c>
      <c r="K544" s="3" t="n">
        <v>1660091.23</v>
      </c>
      <c r="L544" s="3" t="n">
        <v>0.207</v>
      </c>
      <c r="M544" s="3" t="n">
        <v>1316452.35</v>
      </c>
      <c r="N544" s="3" t="n">
        <v>599933.43</v>
      </c>
      <c r="O544" s="3" t="n">
        <v>0.4557</v>
      </c>
      <c r="P544" s="3" t="n">
        <v>0.72</v>
      </c>
      <c r="Q544" s="3" t="n">
        <v>947845.69</v>
      </c>
      <c r="R544" s="3" t="n">
        <v>66</v>
      </c>
      <c r="S544" s="3" t="n">
        <v>7.9</v>
      </c>
      <c r="T544" s="3" t="n">
        <v>3.7</v>
      </c>
      <c r="U544" s="3"/>
      <c r="V544" s="3" t="n">
        <v>7.2</v>
      </c>
      <c r="W544" s="3" t="s">
        <v>5997</v>
      </c>
    </row>
    <row r="545" customFormat="false" ht="15" hidden="false" customHeight="true" outlineLevel="0" collapsed="false">
      <c r="A545" s="3" t="s">
        <v>6619</v>
      </c>
      <c r="B545" s="3" t="s">
        <v>479</v>
      </c>
      <c r="C545" s="3" t="s">
        <v>914</v>
      </c>
      <c r="D545" s="3" t="s">
        <v>69</v>
      </c>
      <c r="E545" s="3" t="s">
        <v>39</v>
      </c>
      <c r="F545" s="3" t="s">
        <v>70</v>
      </c>
      <c r="G545" s="3" t="s">
        <v>55</v>
      </c>
      <c r="H545" s="3" t="s">
        <v>27</v>
      </c>
      <c r="I545" s="3" t="s">
        <v>50</v>
      </c>
      <c r="J545" s="3" t="s">
        <v>5996</v>
      </c>
      <c r="K545" s="3" t="n">
        <v>1353377.98</v>
      </c>
      <c r="L545" s="3" t="n">
        <v>0.2777</v>
      </c>
      <c r="M545" s="3" t="n">
        <v>977544.91</v>
      </c>
      <c r="N545" s="3" t="n">
        <v>399576.75</v>
      </c>
      <c r="O545" s="3" t="n">
        <v>0.4088</v>
      </c>
      <c r="P545" s="3" t="n">
        <v>1</v>
      </c>
      <c r="Q545" s="3" t="n">
        <v>977544.91</v>
      </c>
      <c r="R545" s="3" t="n">
        <v>22</v>
      </c>
      <c r="S545" s="3" t="n">
        <v>5.2</v>
      </c>
      <c r="T545" s="3" t="n">
        <v>4.5</v>
      </c>
      <c r="U545" s="3"/>
      <c r="V545" s="3" t="n">
        <v>5.48</v>
      </c>
      <c r="W545" s="3" t="s">
        <v>5990</v>
      </c>
    </row>
    <row r="546" customFormat="false" ht="15" hidden="false" customHeight="true" outlineLevel="0" collapsed="false">
      <c r="A546" s="3" t="s">
        <v>6620</v>
      </c>
      <c r="B546" s="3" t="s">
        <v>1831</v>
      </c>
      <c r="C546" s="3" t="s">
        <v>6330</v>
      </c>
      <c r="D546" s="3" t="s">
        <v>54</v>
      </c>
      <c r="E546" s="3" t="s">
        <v>24</v>
      </c>
      <c r="F546" s="3" t="s">
        <v>40</v>
      </c>
      <c r="G546" s="3" t="s">
        <v>84</v>
      </c>
      <c r="H546" s="3" t="s">
        <v>64</v>
      </c>
      <c r="I546" s="3" t="s">
        <v>145</v>
      </c>
      <c r="J546" s="3" t="s">
        <v>5989</v>
      </c>
      <c r="K546" s="3" t="n">
        <v>1580726.38</v>
      </c>
      <c r="L546" s="3" t="n">
        <v>0.2871</v>
      </c>
      <c r="M546" s="3" t="n">
        <v>1126899.84</v>
      </c>
      <c r="N546" s="3" t="n">
        <v>457508.76</v>
      </c>
      <c r="O546" s="3" t="n">
        <v>0.406</v>
      </c>
      <c r="P546" s="3" t="n">
        <v>0.264</v>
      </c>
      <c r="Q546" s="3" t="n">
        <v>297501.56</v>
      </c>
      <c r="R546" s="3" t="n">
        <v>138</v>
      </c>
      <c r="S546" s="3" t="n">
        <v>5.2</v>
      </c>
      <c r="T546" s="3" t="n">
        <v>9.4</v>
      </c>
      <c r="U546" s="3"/>
      <c r="V546" s="3" t="n">
        <v>4.64</v>
      </c>
      <c r="W546" s="3" t="s">
        <v>6000</v>
      </c>
    </row>
    <row r="547" customFormat="false" ht="15" hidden="false" customHeight="true" outlineLevel="0" collapsed="false">
      <c r="A547" s="3" t="s">
        <v>6621</v>
      </c>
      <c r="B547" s="3" t="s">
        <v>1193</v>
      </c>
      <c r="C547" s="3" t="s">
        <v>2346</v>
      </c>
      <c r="D547" s="3" t="s">
        <v>32</v>
      </c>
      <c r="E547" s="3" t="s">
        <v>33</v>
      </c>
      <c r="F547" s="3" t="s">
        <v>25</v>
      </c>
      <c r="G547" s="3" t="s">
        <v>76</v>
      </c>
      <c r="H547" s="3" t="s">
        <v>64</v>
      </c>
      <c r="I547" s="3" t="s">
        <v>145</v>
      </c>
      <c r="J547" s="3" t="s">
        <v>6009</v>
      </c>
      <c r="K547" s="3" t="n">
        <v>2183478.83</v>
      </c>
      <c r="L547" s="3" t="n">
        <v>0.2835</v>
      </c>
      <c r="M547" s="3" t="n">
        <v>1564462.58</v>
      </c>
      <c r="N547" s="3" t="n">
        <v>500665.64</v>
      </c>
      <c r="O547" s="3" t="n">
        <v>0.32</v>
      </c>
      <c r="P547" s="3" t="n">
        <v>0.046</v>
      </c>
      <c r="Q547" s="3" t="n">
        <v>71965.28</v>
      </c>
      <c r="R547" s="3" t="n">
        <v>26</v>
      </c>
      <c r="S547" s="3" t="n">
        <v>8.1</v>
      </c>
      <c r="T547" s="3" t="n">
        <v>6.9</v>
      </c>
      <c r="U547" s="3" t="s">
        <v>6020</v>
      </c>
      <c r="V547" s="3" t="n">
        <v>5.12</v>
      </c>
      <c r="W547" s="3" t="s">
        <v>5990</v>
      </c>
    </row>
    <row r="548" customFormat="false" ht="15" hidden="false" customHeight="true" outlineLevel="0" collapsed="false">
      <c r="A548" s="3" t="s">
        <v>6622</v>
      </c>
      <c r="B548" s="3" t="s">
        <v>2629</v>
      </c>
      <c r="C548" s="3" t="s">
        <v>6172</v>
      </c>
      <c r="D548" s="3" t="s">
        <v>38</v>
      </c>
      <c r="E548" s="3" t="s">
        <v>39</v>
      </c>
      <c r="F548" s="3" t="s">
        <v>40</v>
      </c>
      <c r="G548" s="3" t="s">
        <v>49</v>
      </c>
      <c r="H548" s="3" t="s">
        <v>56</v>
      </c>
      <c r="I548" s="3" t="s">
        <v>57</v>
      </c>
      <c r="J548" s="3" t="s">
        <v>6003</v>
      </c>
      <c r="K548" s="3" t="n">
        <v>3241578.29</v>
      </c>
      <c r="L548" s="3" t="n">
        <v>0.1957</v>
      </c>
      <c r="M548" s="3" t="n">
        <v>2607201.42</v>
      </c>
      <c r="N548" s="3" t="n">
        <v>1045367.45</v>
      </c>
      <c r="O548" s="3" t="n">
        <v>0.401</v>
      </c>
      <c r="P548" s="3" t="n">
        <v>0.127</v>
      </c>
      <c r="Q548" s="3" t="n">
        <v>331114.58</v>
      </c>
      <c r="R548" s="3" t="n">
        <v>104</v>
      </c>
      <c r="S548" s="3" t="n">
        <v>9.7</v>
      </c>
      <c r="T548" s="3" t="n">
        <v>1.9</v>
      </c>
      <c r="U548" s="3"/>
      <c r="V548" s="3" t="n">
        <v>7.63</v>
      </c>
      <c r="W548" s="3" t="s">
        <v>5997</v>
      </c>
    </row>
    <row r="549" customFormat="false" ht="15" hidden="false" customHeight="true" outlineLevel="0" collapsed="false">
      <c r="A549" s="3" t="s">
        <v>6623</v>
      </c>
      <c r="B549" s="3" t="s">
        <v>1285</v>
      </c>
      <c r="C549" s="3" t="s">
        <v>1154</v>
      </c>
      <c r="D549" s="3" t="s">
        <v>54</v>
      </c>
      <c r="E549" s="3" t="s">
        <v>24</v>
      </c>
      <c r="F549" s="3" t="s">
        <v>40</v>
      </c>
      <c r="G549" s="3" t="s">
        <v>41</v>
      </c>
      <c r="H549" s="3" t="s">
        <v>27</v>
      </c>
      <c r="I549" s="3" t="s">
        <v>173</v>
      </c>
      <c r="J549" s="3" t="s">
        <v>5996</v>
      </c>
      <c r="K549" s="3" t="n">
        <v>4833080.32</v>
      </c>
      <c r="L549" s="3" t="n">
        <v>0.1201</v>
      </c>
      <c r="M549" s="3" t="n">
        <v>4252627.37</v>
      </c>
      <c r="N549" s="3" t="n">
        <v>1356804.2</v>
      </c>
      <c r="O549" s="3" t="n">
        <v>0.3191</v>
      </c>
      <c r="P549" s="3" t="n">
        <v>1</v>
      </c>
      <c r="Q549" s="3" t="n">
        <v>4252627.37</v>
      </c>
      <c r="R549" s="3" t="n">
        <v>106</v>
      </c>
      <c r="S549" s="3" t="n">
        <v>3.4</v>
      </c>
      <c r="T549" s="3" t="n">
        <v>7.4</v>
      </c>
      <c r="U549" s="3"/>
      <c r="V549" s="3" t="n">
        <v>5.22</v>
      </c>
      <c r="W549" s="3" t="s">
        <v>5990</v>
      </c>
    </row>
    <row r="550" customFormat="false" ht="15" hidden="false" customHeight="true" outlineLevel="0" collapsed="false">
      <c r="A550" s="3" t="s">
        <v>6624</v>
      </c>
      <c r="B550" s="3" t="s">
        <v>1012</v>
      </c>
      <c r="C550" s="3" t="s">
        <v>2100</v>
      </c>
      <c r="D550" s="3" t="s">
        <v>61</v>
      </c>
      <c r="E550" s="3" t="s">
        <v>33</v>
      </c>
      <c r="F550" s="3" t="s">
        <v>62</v>
      </c>
      <c r="G550" s="3" t="s">
        <v>100</v>
      </c>
      <c r="H550" s="3" t="s">
        <v>77</v>
      </c>
      <c r="I550" s="3" t="s">
        <v>131</v>
      </c>
      <c r="J550" s="3" t="s">
        <v>5989</v>
      </c>
      <c r="K550" s="3" t="n">
        <v>800148.99</v>
      </c>
      <c r="L550" s="3" t="n">
        <v>0.0632</v>
      </c>
      <c r="M550" s="3" t="n">
        <v>749579.57</v>
      </c>
      <c r="N550" s="3" t="n">
        <v>338279.63</v>
      </c>
      <c r="O550" s="3" t="n">
        <v>0.4513</v>
      </c>
      <c r="P550" s="3" t="n">
        <v>0.276</v>
      </c>
      <c r="Q550" s="3" t="n">
        <v>206883.96</v>
      </c>
      <c r="R550" s="3" t="n">
        <v>36</v>
      </c>
      <c r="S550" s="3" t="n">
        <v>2.9</v>
      </c>
      <c r="T550" s="3" t="n">
        <v>1.3</v>
      </c>
      <c r="U550" s="3"/>
      <c r="V550" s="3" t="n">
        <v>7.5</v>
      </c>
      <c r="W550" s="3" t="s">
        <v>5997</v>
      </c>
    </row>
    <row r="551" customFormat="false" ht="15" hidden="false" customHeight="true" outlineLevel="0" collapsed="false">
      <c r="A551" s="3" t="s">
        <v>6625</v>
      </c>
      <c r="B551" s="3" t="s">
        <v>413</v>
      </c>
      <c r="C551" s="3" t="s">
        <v>6626</v>
      </c>
      <c r="D551" s="3" t="s">
        <v>75</v>
      </c>
      <c r="E551" s="3" t="s">
        <v>39</v>
      </c>
      <c r="F551" s="3" t="s">
        <v>25</v>
      </c>
      <c r="G551" s="3" t="s">
        <v>49</v>
      </c>
      <c r="H551" s="3" t="s">
        <v>56</v>
      </c>
      <c r="I551" s="3" t="s">
        <v>121</v>
      </c>
      <c r="J551" s="3" t="s">
        <v>6003</v>
      </c>
      <c r="K551" s="3" t="n">
        <v>3926085.03</v>
      </c>
      <c r="L551" s="3" t="n">
        <v>0.0734</v>
      </c>
      <c r="M551" s="3" t="n">
        <v>3637910.39</v>
      </c>
      <c r="N551" s="3" t="n">
        <v>1425183.96</v>
      </c>
      <c r="O551" s="3" t="n">
        <v>0.3918</v>
      </c>
      <c r="P551" s="3" t="n">
        <v>0.068</v>
      </c>
      <c r="Q551" s="3" t="n">
        <v>247377.91</v>
      </c>
      <c r="R551" s="3" t="n">
        <v>128</v>
      </c>
      <c r="S551" s="3" t="n">
        <v>6.1</v>
      </c>
      <c r="T551" s="3" t="n">
        <v>7.4</v>
      </c>
      <c r="U551" s="3"/>
      <c r="V551" s="3" t="n">
        <v>6.86</v>
      </c>
      <c r="W551" s="3" t="s">
        <v>5997</v>
      </c>
    </row>
    <row r="552" customFormat="false" ht="15" hidden="false" customHeight="true" outlineLevel="0" collapsed="false">
      <c r="A552" s="3" t="s">
        <v>6627</v>
      </c>
      <c r="B552" s="3" t="s">
        <v>1200</v>
      </c>
      <c r="C552" s="3" t="s">
        <v>3203</v>
      </c>
      <c r="D552" s="3" t="s">
        <v>103</v>
      </c>
      <c r="E552" s="3" t="s">
        <v>24</v>
      </c>
      <c r="F552" s="3" t="s">
        <v>62</v>
      </c>
      <c r="G552" s="3" t="s">
        <v>34</v>
      </c>
      <c r="H552" s="3" t="s">
        <v>42</v>
      </c>
      <c r="I552" s="3" t="s">
        <v>43</v>
      </c>
      <c r="J552" s="3" t="s">
        <v>5999</v>
      </c>
      <c r="K552" s="3" t="n">
        <v>979556.28</v>
      </c>
      <c r="L552" s="3" t="n">
        <v>0.2045</v>
      </c>
      <c r="M552" s="3" t="n">
        <v>779237.02</v>
      </c>
      <c r="N552" s="3" t="n">
        <v>334689.4</v>
      </c>
      <c r="O552" s="3" t="n">
        <v>0.4295</v>
      </c>
      <c r="P552" s="3" t="n">
        <v>0.448</v>
      </c>
      <c r="Q552" s="3" t="n">
        <v>349098.18</v>
      </c>
      <c r="R552" s="3" t="n">
        <v>102</v>
      </c>
      <c r="S552" s="3" t="n">
        <v>7.9</v>
      </c>
      <c r="T552" s="3" t="n">
        <v>3.8</v>
      </c>
      <c r="U552" s="3"/>
      <c r="V552" s="3" t="n">
        <v>7.03</v>
      </c>
      <c r="W552" s="3" t="s">
        <v>5997</v>
      </c>
    </row>
    <row r="553" customFormat="false" ht="15" hidden="false" customHeight="true" outlineLevel="0" collapsed="false">
      <c r="A553" s="3" t="s">
        <v>6628</v>
      </c>
      <c r="B553" s="3" t="s">
        <v>2662</v>
      </c>
      <c r="C553" s="3" t="s">
        <v>6629</v>
      </c>
      <c r="D553" s="3" t="s">
        <v>107</v>
      </c>
      <c r="E553" s="3" t="s">
        <v>33</v>
      </c>
      <c r="F553" s="3" t="s">
        <v>70</v>
      </c>
      <c r="G553" s="3" t="s">
        <v>41</v>
      </c>
      <c r="H553" s="3" t="s">
        <v>42</v>
      </c>
      <c r="I553" s="3" t="s">
        <v>134</v>
      </c>
      <c r="J553" s="3" t="s">
        <v>5996</v>
      </c>
      <c r="K553" s="3" t="n">
        <v>1197857.57</v>
      </c>
      <c r="L553" s="3" t="n">
        <v>0.1027</v>
      </c>
      <c r="M553" s="3" t="n">
        <v>1074837.6</v>
      </c>
      <c r="N553" s="3" t="n">
        <v>313096.91</v>
      </c>
      <c r="O553" s="3" t="n">
        <v>0.2913</v>
      </c>
      <c r="P553" s="3" t="n">
        <v>1</v>
      </c>
      <c r="Q553" s="3" t="n">
        <v>1074837.6</v>
      </c>
      <c r="R553" s="3" t="n">
        <v>156</v>
      </c>
      <c r="S553" s="3" t="n">
        <v>3.8</v>
      </c>
      <c r="T553" s="3" t="n">
        <v>7.6</v>
      </c>
      <c r="U553" s="3"/>
      <c r="V553" s="3" t="n">
        <v>5.24</v>
      </c>
      <c r="W553" s="3" t="s">
        <v>5990</v>
      </c>
    </row>
    <row r="554" customFormat="false" ht="15" hidden="false" customHeight="true" outlineLevel="0" collapsed="false">
      <c r="A554" s="3" t="s">
        <v>6630</v>
      </c>
      <c r="B554" s="3" t="s">
        <v>2526</v>
      </c>
      <c r="C554" s="3" t="s">
        <v>1154</v>
      </c>
      <c r="D554" s="3" t="s">
        <v>47</v>
      </c>
      <c r="E554" s="3" t="s">
        <v>48</v>
      </c>
      <c r="F554" s="3" t="s">
        <v>25</v>
      </c>
      <c r="G554" s="3" t="s">
        <v>55</v>
      </c>
      <c r="H554" s="3" t="s">
        <v>42</v>
      </c>
      <c r="I554" s="3" t="s">
        <v>43</v>
      </c>
      <c r="J554" s="3" t="s">
        <v>6009</v>
      </c>
      <c r="K554" s="3" t="n">
        <v>1075523.81</v>
      </c>
      <c r="L554" s="3" t="n">
        <v>0.1227</v>
      </c>
      <c r="M554" s="3" t="n">
        <v>943557.04</v>
      </c>
      <c r="N554" s="3" t="n">
        <v>415197.13</v>
      </c>
      <c r="O554" s="3" t="n">
        <v>0.44</v>
      </c>
      <c r="P554" s="3" t="n">
        <v>0</v>
      </c>
      <c r="Q554" s="3" t="n">
        <v>0</v>
      </c>
      <c r="R554" s="3" t="n">
        <v>157</v>
      </c>
      <c r="S554" s="3" t="n">
        <v>1.8</v>
      </c>
      <c r="T554" s="3" t="n">
        <v>1.4</v>
      </c>
      <c r="U554" s="3" t="s">
        <v>6020</v>
      </c>
      <c r="V554" s="3" t="n">
        <v>6.65</v>
      </c>
      <c r="W554" s="3" t="s">
        <v>5997</v>
      </c>
    </row>
    <row r="555" customFormat="false" ht="15" hidden="false" customHeight="true" outlineLevel="0" collapsed="false">
      <c r="A555" s="3" t="s">
        <v>6631</v>
      </c>
      <c r="B555" s="3" t="s">
        <v>931</v>
      </c>
      <c r="C555" s="3" t="s">
        <v>2795</v>
      </c>
      <c r="D555" s="3" t="s">
        <v>32</v>
      </c>
      <c r="E555" s="3" t="s">
        <v>33</v>
      </c>
      <c r="F555" s="3" t="s">
        <v>25</v>
      </c>
      <c r="G555" s="3" t="s">
        <v>76</v>
      </c>
      <c r="H555" s="3" t="s">
        <v>77</v>
      </c>
      <c r="I555" s="3" t="s">
        <v>85</v>
      </c>
      <c r="J555" s="3" t="s">
        <v>5996</v>
      </c>
      <c r="K555" s="3" t="n">
        <v>3709686.76</v>
      </c>
      <c r="L555" s="3" t="n">
        <v>0.2511</v>
      </c>
      <c r="M555" s="3" t="n">
        <v>2778184.41</v>
      </c>
      <c r="N555" s="3" t="n">
        <v>1310736.13</v>
      </c>
      <c r="O555" s="3" t="n">
        <v>0.4718</v>
      </c>
      <c r="P555" s="3" t="n">
        <v>1</v>
      </c>
      <c r="Q555" s="3" t="n">
        <v>2778184.41</v>
      </c>
      <c r="R555" s="3" t="n">
        <v>177</v>
      </c>
      <c r="S555" s="3" t="n">
        <v>3.2</v>
      </c>
      <c r="T555" s="3" t="n">
        <v>10</v>
      </c>
      <c r="U555" s="3"/>
      <c r="V555" s="3" t="n">
        <v>4.7</v>
      </c>
      <c r="W555" s="3" t="s">
        <v>6000</v>
      </c>
    </row>
    <row r="556" customFormat="false" ht="15" hidden="false" customHeight="true" outlineLevel="0" collapsed="false">
      <c r="A556" s="3" t="s">
        <v>6632</v>
      </c>
      <c r="B556" s="3" t="s">
        <v>2820</v>
      </c>
      <c r="C556" s="3" t="s">
        <v>6633</v>
      </c>
      <c r="D556" s="3" t="s">
        <v>61</v>
      </c>
      <c r="E556" s="3" t="s">
        <v>33</v>
      </c>
      <c r="F556" s="3" t="s">
        <v>62</v>
      </c>
      <c r="G556" s="3" t="s">
        <v>84</v>
      </c>
      <c r="H556" s="3" t="s">
        <v>77</v>
      </c>
      <c r="I556" s="3" t="s">
        <v>85</v>
      </c>
      <c r="J556" s="3" t="s">
        <v>5996</v>
      </c>
      <c r="K556" s="3" t="n">
        <v>3145027.46</v>
      </c>
      <c r="L556" s="3" t="n">
        <v>0.0986</v>
      </c>
      <c r="M556" s="3" t="n">
        <v>2834927.75</v>
      </c>
      <c r="N556" s="3" t="n">
        <v>1199341.47</v>
      </c>
      <c r="O556" s="3" t="n">
        <v>0.4231</v>
      </c>
      <c r="P556" s="3" t="n">
        <v>0.973</v>
      </c>
      <c r="Q556" s="3" t="n">
        <v>2758384.7</v>
      </c>
      <c r="R556" s="3" t="n">
        <v>180</v>
      </c>
      <c r="S556" s="3" t="n">
        <v>7.8</v>
      </c>
      <c r="T556" s="3" t="n">
        <v>6.7</v>
      </c>
      <c r="U556" s="3"/>
      <c r="V556" s="3" t="n">
        <v>7.41</v>
      </c>
      <c r="W556" s="3" t="s">
        <v>5997</v>
      </c>
    </row>
    <row r="557" customFormat="false" ht="15" hidden="false" customHeight="true" outlineLevel="0" collapsed="false">
      <c r="A557" s="3" t="s">
        <v>6634</v>
      </c>
      <c r="B557" s="3" t="s">
        <v>856</v>
      </c>
      <c r="C557" s="3" t="s">
        <v>471</v>
      </c>
      <c r="D557" s="3" t="s">
        <v>97</v>
      </c>
      <c r="E557" s="3" t="s">
        <v>48</v>
      </c>
      <c r="F557" s="3" t="s">
        <v>40</v>
      </c>
      <c r="G557" s="3" t="s">
        <v>100</v>
      </c>
      <c r="H557" s="3" t="s">
        <v>77</v>
      </c>
      <c r="I557" s="3" t="s">
        <v>131</v>
      </c>
      <c r="J557" s="3" t="s">
        <v>5996</v>
      </c>
      <c r="K557" s="3" t="n">
        <v>801705.77</v>
      </c>
      <c r="L557" s="3" t="n">
        <v>0.294</v>
      </c>
      <c r="M557" s="3" t="n">
        <v>566004.27</v>
      </c>
      <c r="N557" s="3" t="n">
        <v>200868.86</v>
      </c>
      <c r="O557" s="3" t="n">
        <v>0.3549</v>
      </c>
      <c r="P557" s="3" t="n">
        <v>0.959</v>
      </c>
      <c r="Q557" s="3" t="n">
        <v>542798.09</v>
      </c>
      <c r="R557" s="3" t="n">
        <v>54</v>
      </c>
      <c r="S557" s="3" t="n">
        <v>4.4</v>
      </c>
      <c r="T557" s="3" t="n">
        <v>1.2</v>
      </c>
      <c r="U557" s="3"/>
      <c r="V557" s="3" t="n">
        <v>5.24</v>
      </c>
      <c r="W557" s="3" t="s">
        <v>5990</v>
      </c>
    </row>
    <row r="558" customFormat="false" ht="15" hidden="false" customHeight="true" outlineLevel="0" collapsed="false">
      <c r="A558" s="3" t="s">
        <v>6635</v>
      </c>
      <c r="B558" s="3" t="s">
        <v>1640</v>
      </c>
      <c r="C558" s="3" t="s">
        <v>3423</v>
      </c>
      <c r="D558" s="3" t="s">
        <v>47</v>
      </c>
      <c r="E558" s="3" t="s">
        <v>48</v>
      </c>
      <c r="F558" s="3" t="s">
        <v>25</v>
      </c>
      <c r="G558" s="3" t="s">
        <v>34</v>
      </c>
      <c r="H558" s="3" t="s">
        <v>64</v>
      </c>
      <c r="I558" s="3" t="s">
        <v>108</v>
      </c>
      <c r="J558" s="3" t="s">
        <v>6003</v>
      </c>
      <c r="K558" s="3" t="n">
        <v>4646643.1</v>
      </c>
      <c r="L558" s="3" t="n">
        <v>0.1653</v>
      </c>
      <c r="M558" s="3" t="n">
        <v>3878553</v>
      </c>
      <c r="N558" s="3" t="n">
        <v>1369310.42</v>
      </c>
      <c r="O558" s="3" t="n">
        <v>0.353</v>
      </c>
      <c r="P558" s="3" t="n">
        <v>0.118</v>
      </c>
      <c r="Q558" s="3" t="n">
        <v>457669.25</v>
      </c>
      <c r="R558" s="3" t="n">
        <v>43</v>
      </c>
      <c r="S558" s="3" t="n">
        <v>7</v>
      </c>
      <c r="T558" s="3" t="n">
        <v>8.4</v>
      </c>
      <c r="U558" s="3"/>
      <c r="V558" s="3" t="n">
        <v>5.85</v>
      </c>
      <c r="W558" s="3" t="s">
        <v>5990</v>
      </c>
    </row>
    <row r="559" customFormat="false" ht="15" hidden="false" customHeight="true" outlineLevel="0" collapsed="false">
      <c r="A559" s="3" t="s">
        <v>6636</v>
      </c>
      <c r="B559" s="3" t="s">
        <v>1345</v>
      </c>
      <c r="C559" s="3" t="s">
        <v>6637</v>
      </c>
      <c r="D559" s="3" t="s">
        <v>107</v>
      </c>
      <c r="E559" s="3" t="s">
        <v>33</v>
      </c>
      <c r="F559" s="3" t="s">
        <v>70</v>
      </c>
      <c r="G559" s="3" t="s">
        <v>34</v>
      </c>
      <c r="H559" s="3" t="s">
        <v>27</v>
      </c>
      <c r="I559" s="3" t="s">
        <v>117</v>
      </c>
      <c r="J559" s="3" t="s">
        <v>6009</v>
      </c>
      <c r="K559" s="3" t="n">
        <v>2807689.37</v>
      </c>
      <c r="L559" s="3" t="n">
        <v>0.2718</v>
      </c>
      <c r="M559" s="3" t="n">
        <v>2044559.4</v>
      </c>
      <c r="N559" s="3" t="n">
        <v>573611.28</v>
      </c>
      <c r="O559" s="3" t="n">
        <v>0.2806</v>
      </c>
      <c r="P559" s="3" t="n">
        <v>0.041</v>
      </c>
      <c r="Q559" s="3" t="n">
        <v>83826.94</v>
      </c>
      <c r="R559" s="3" t="n">
        <v>136</v>
      </c>
      <c r="S559" s="3" t="n">
        <v>7.9</v>
      </c>
      <c r="T559" s="3" t="n">
        <v>2.3</v>
      </c>
      <c r="U559" s="3"/>
      <c r="V559" s="3" t="n">
        <v>5.53</v>
      </c>
      <c r="W559" s="3" t="s">
        <v>5990</v>
      </c>
    </row>
    <row r="560" customFormat="false" ht="15" hidden="false" customHeight="true" outlineLevel="0" collapsed="false">
      <c r="A560" s="3" t="s">
        <v>6638</v>
      </c>
      <c r="B560" s="3" t="s">
        <v>670</v>
      </c>
      <c r="C560" s="3" t="s">
        <v>177</v>
      </c>
      <c r="D560" s="3" t="s">
        <v>103</v>
      </c>
      <c r="E560" s="3" t="s">
        <v>24</v>
      </c>
      <c r="F560" s="3" t="s">
        <v>62</v>
      </c>
      <c r="G560" s="3" t="s">
        <v>49</v>
      </c>
      <c r="H560" s="3" t="s">
        <v>77</v>
      </c>
      <c r="I560" s="3" t="s">
        <v>85</v>
      </c>
      <c r="J560" s="3" t="s">
        <v>5989</v>
      </c>
      <c r="K560" s="3" t="n">
        <v>1820653.21</v>
      </c>
      <c r="L560" s="3" t="n">
        <v>0.1274</v>
      </c>
      <c r="M560" s="3" t="n">
        <v>1588701.99</v>
      </c>
      <c r="N560" s="3" t="n">
        <v>553072.91</v>
      </c>
      <c r="O560" s="3" t="n">
        <v>0.3481</v>
      </c>
      <c r="P560" s="3" t="n">
        <v>0.266</v>
      </c>
      <c r="Q560" s="3" t="n">
        <v>422594.73</v>
      </c>
      <c r="R560" s="3" t="n">
        <v>169</v>
      </c>
      <c r="S560" s="3" t="n">
        <v>2.7</v>
      </c>
      <c r="T560" s="3" t="n">
        <v>3.6</v>
      </c>
      <c r="U560" s="3"/>
      <c r="V560" s="3" t="n">
        <v>5.78</v>
      </c>
      <c r="W560" s="3" t="s">
        <v>5990</v>
      </c>
    </row>
    <row r="561" customFormat="false" ht="15" hidden="false" customHeight="true" outlineLevel="0" collapsed="false">
      <c r="A561" s="3" t="s">
        <v>6639</v>
      </c>
      <c r="B561" s="3" t="s">
        <v>2610</v>
      </c>
      <c r="C561" s="3" t="s">
        <v>670</v>
      </c>
      <c r="D561" s="3" t="s">
        <v>83</v>
      </c>
      <c r="E561" s="3" t="s">
        <v>48</v>
      </c>
      <c r="F561" s="3" t="s">
        <v>62</v>
      </c>
      <c r="G561" s="3" t="s">
        <v>34</v>
      </c>
      <c r="H561" s="3" t="s">
        <v>64</v>
      </c>
      <c r="I561" s="3" t="s">
        <v>90</v>
      </c>
      <c r="J561" s="3" t="s">
        <v>5992</v>
      </c>
      <c r="K561" s="3" t="n">
        <v>2849542.6</v>
      </c>
      <c r="L561" s="3" t="n">
        <v>0.148</v>
      </c>
      <c r="M561" s="3" t="n">
        <v>2427810.3</v>
      </c>
      <c r="N561" s="3" t="n">
        <v>1016686.89</v>
      </c>
      <c r="O561" s="3" t="n">
        <v>0.4188</v>
      </c>
      <c r="P561" s="3" t="n">
        <v>0.673</v>
      </c>
      <c r="Q561" s="3" t="n">
        <v>1633916.33</v>
      </c>
      <c r="R561" s="3" t="n">
        <v>54</v>
      </c>
      <c r="S561" s="3" t="n">
        <v>7.3</v>
      </c>
      <c r="T561" s="3" t="n">
        <v>9.7</v>
      </c>
      <c r="U561" s="3"/>
      <c r="V561" s="3" t="n">
        <v>6.4</v>
      </c>
      <c r="W561" s="3" t="s">
        <v>5990</v>
      </c>
    </row>
    <row r="562" customFormat="false" ht="15" hidden="false" customHeight="true" outlineLevel="0" collapsed="false">
      <c r="A562" s="3" t="s">
        <v>6640</v>
      </c>
      <c r="B562" s="3" t="s">
        <v>2936</v>
      </c>
      <c r="C562" s="3" t="s">
        <v>445</v>
      </c>
      <c r="D562" s="3" t="s">
        <v>75</v>
      </c>
      <c r="E562" s="3" t="s">
        <v>39</v>
      </c>
      <c r="F562" s="3" t="s">
        <v>25</v>
      </c>
      <c r="G562" s="3" t="s">
        <v>116</v>
      </c>
      <c r="H562" s="3" t="s">
        <v>27</v>
      </c>
      <c r="I562" s="3" t="s">
        <v>117</v>
      </c>
      <c r="J562" s="3" t="s">
        <v>5999</v>
      </c>
      <c r="K562" s="3" t="n">
        <v>1757769.86</v>
      </c>
      <c r="L562" s="3" t="n">
        <v>0.0688</v>
      </c>
      <c r="M562" s="3" t="n">
        <v>1636835.29</v>
      </c>
      <c r="N562" s="3" t="n">
        <v>680669.19</v>
      </c>
      <c r="O562" s="3" t="n">
        <v>0.4158</v>
      </c>
      <c r="P562" s="3" t="n">
        <v>0.46</v>
      </c>
      <c r="Q562" s="3" t="n">
        <v>752944.23</v>
      </c>
      <c r="R562" s="3" t="n">
        <v>25</v>
      </c>
      <c r="S562" s="3" t="n">
        <v>1.2</v>
      </c>
      <c r="T562" s="3" t="n">
        <v>2.7</v>
      </c>
      <c r="U562" s="3"/>
      <c r="V562" s="3" t="n">
        <v>6.54</v>
      </c>
      <c r="W562" s="3" t="s">
        <v>5997</v>
      </c>
    </row>
    <row r="563" customFormat="false" ht="15" hidden="false" customHeight="true" outlineLevel="0" collapsed="false">
      <c r="A563" s="3" t="s">
        <v>6641</v>
      </c>
      <c r="B563" s="3" t="s">
        <v>1582</v>
      </c>
      <c r="C563" s="3" t="s">
        <v>6263</v>
      </c>
      <c r="D563" s="3" t="s">
        <v>23</v>
      </c>
      <c r="E563" s="3" t="s">
        <v>24</v>
      </c>
      <c r="F563" s="3" t="s">
        <v>25</v>
      </c>
      <c r="G563" s="3" t="s">
        <v>41</v>
      </c>
      <c r="H563" s="3" t="s">
        <v>42</v>
      </c>
      <c r="I563" s="3" t="s">
        <v>134</v>
      </c>
      <c r="J563" s="3" t="s">
        <v>5992</v>
      </c>
      <c r="K563" s="3" t="n">
        <v>1912723.23</v>
      </c>
      <c r="L563" s="3" t="n">
        <v>0.1104</v>
      </c>
      <c r="M563" s="3" t="n">
        <v>1701558.59</v>
      </c>
      <c r="N563" s="3" t="n">
        <v>701045.16</v>
      </c>
      <c r="O563" s="3" t="n">
        <v>0.412</v>
      </c>
      <c r="P563" s="3" t="n">
        <v>0.728</v>
      </c>
      <c r="Q563" s="3" t="n">
        <v>1238734.65</v>
      </c>
      <c r="R563" s="3" t="n">
        <v>177</v>
      </c>
      <c r="S563" s="3" t="n">
        <v>8.9</v>
      </c>
      <c r="T563" s="3" t="n">
        <v>1.8</v>
      </c>
      <c r="U563" s="3"/>
      <c r="V563" s="3" t="n">
        <v>8.25</v>
      </c>
      <c r="W563" s="3" t="s">
        <v>5997</v>
      </c>
    </row>
    <row r="564" customFormat="false" ht="15" hidden="false" customHeight="true" outlineLevel="0" collapsed="false">
      <c r="A564" s="3" t="s">
        <v>6642</v>
      </c>
      <c r="B564" s="3" t="s">
        <v>386</v>
      </c>
      <c r="C564" s="3" t="s">
        <v>1941</v>
      </c>
      <c r="D564" s="3" t="s">
        <v>47</v>
      </c>
      <c r="E564" s="3" t="s">
        <v>48</v>
      </c>
      <c r="F564" s="3" t="s">
        <v>25</v>
      </c>
      <c r="G564" s="3" t="s">
        <v>34</v>
      </c>
      <c r="H564" s="3" t="s">
        <v>77</v>
      </c>
      <c r="I564" s="3" t="s">
        <v>131</v>
      </c>
      <c r="J564" s="3" t="s">
        <v>5989</v>
      </c>
      <c r="K564" s="3" t="n">
        <v>2622511.46</v>
      </c>
      <c r="L564" s="3" t="n">
        <v>0.1612</v>
      </c>
      <c r="M564" s="3" t="n">
        <v>2199762.61</v>
      </c>
      <c r="N564" s="3" t="n">
        <v>629047.28</v>
      </c>
      <c r="O564" s="3" t="n">
        <v>0.286</v>
      </c>
      <c r="P564" s="3" t="n">
        <v>0.295</v>
      </c>
      <c r="Q564" s="3" t="n">
        <v>648929.97</v>
      </c>
      <c r="R564" s="3" t="n">
        <v>69</v>
      </c>
      <c r="S564" s="3" t="n">
        <v>3.7</v>
      </c>
      <c r="T564" s="3" t="n">
        <v>7</v>
      </c>
      <c r="U564" s="3"/>
      <c r="V564" s="3" t="n">
        <v>4.76</v>
      </c>
      <c r="W564" s="3" t="s">
        <v>6000</v>
      </c>
    </row>
    <row r="565" customFormat="false" ht="15" hidden="false" customHeight="true" outlineLevel="0" collapsed="false">
      <c r="A565" s="3" t="s">
        <v>6643</v>
      </c>
      <c r="B565" s="3" t="s">
        <v>838</v>
      </c>
      <c r="C565" s="3" t="s">
        <v>2104</v>
      </c>
      <c r="D565" s="3" t="s">
        <v>75</v>
      </c>
      <c r="E565" s="3" t="s">
        <v>39</v>
      </c>
      <c r="F565" s="3" t="s">
        <v>25</v>
      </c>
      <c r="G565" s="3" t="s">
        <v>63</v>
      </c>
      <c r="H565" s="3" t="s">
        <v>42</v>
      </c>
      <c r="I565" s="3" t="s">
        <v>72</v>
      </c>
      <c r="J565" s="3" t="s">
        <v>5999</v>
      </c>
      <c r="K565" s="3" t="n">
        <v>3097886.29</v>
      </c>
      <c r="L565" s="3" t="n">
        <v>0.2261</v>
      </c>
      <c r="M565" s="3" t="n">
        <v>2397454.2</v>
      </c>
      <c r="N565" s="3" t="n">
        <v>1037872.26</v>
      </c>
      <c r="O565" s="3" t="n">
        <v>0.4329</v>
      </c>
      <c r="P565" s="3" t="n">
        <v>0.455</v>
      </c>
      <c r="Q565" s="3" t="n">
        <v>1090841.66</v>
      </c>
      <c r="R565" s="3" t="n">
        <v>106</v>
      </c>
      <c r="S565" s="3" t="n">
        <v>7.5</v>
      </c>
      <c r="T565" s="3" t="n">
        <v>7.7</v>
      </c>
      <c r="U565" s="3"/>
      <c r="V565" s="3" t="n">
        <v>6.2</v>
      </c>
      <c r="W565" s="3" t="s">
        <v>5990</v>
      </c>
    </row>
    <row r="566" customFormat="false" ht="15" hidden="false" customHeight="true" outlineLevel="0" collapsed="false">
      <c r="A566" s="3" t="s">
        <v>6644</v>
      </c>
      <c r="B566" s="3" t="s">
        <v>1345</v>
      </c>
      <c r="C566" s="3" t="s">
        <v>6645</v>
      </c>
      <c r="D566" s="3" t="s">
        <v>32</v>
      </c>
      <c r="E566" s="3" t="s">
        <v>33</v>
      </c>
      <c r="F566" s="3" t="s">
        <v>25</v>
      </c>
      <c r="G566" s="3" t="s">
        <v>71</v>
      </c>
      <c r="H566" s="3" t="s">
        <v>27</v>
      </c>
      <c r="I566" s="3" t="s">
        <v>28</v>
      </c>
      <c r="J566" s="3" t="s">
        <v>6009</v>
      </c>
      <c r="K566" s="3" t="n">
        <v>4910879.96</v>
      </c>
      <c r="L566" s="3" t="n">
        <v>0.2248</v>
      </c>
      <c r="M566" s="3" t="n">
        <v>3806914.14</v>
      </c>
      <c r="N566" s="3" t="n">
        <v>1139432.67</v>
      </c>
      <c r="O566" s="3" t="n">
        <v>0.2993</v>
      </c>
      <c r="P566" s="3" t="n">
        <v>0.018</v>
      </c>
      <c r="Q566" s="3" t="n">
        <v>68524.45</v>
      </c>
      <c r="R566" s="3" t="n">
        <v>107</v>
      </c>
      <c r="S566" s="3" t="n">
        <v>3.7</v>
      </c>
      <c r="T566" s="3" t="n">
        <v>3.8</v>
      </c>
      <c r="U566" s="3" t="s">
        <v>6010</v>
      </c>
      <c r="V566" s="3" t="n">
        <v>4.82</v>
      </c>
      <c r="W566" s="3" t="s">
        <v>6000</v>
      </c>
    </row>
    <row r="567" customFormat="false" ht="15" hidden="false" customHeight="true" outlineLevel="0" collapsed="false">
      <c r="A567" s="3" t="s">
        <v>6646</v>
      </c>
      <c r="B567" s="3" t="s">
        <v>1792</v>
      </c>
      <c r="C567" s="3" t="s">
        <v>6647</v>
      </c>
      <c r="D567" s="3" t="s">
        <v>83</v>
      </c>
      <c r="E567" s="3" t="s">
        <v>48</v>
      </c>
      <c r="F567" s="3" t="s">
        <v>62</v>
      </c>
      <c r="G567" s="3" t="s">
        <v>104</v>
      </c>
      <c r="H567" s="3" t="s">
        <v>56</v>
      </c>
      <c r="I567" s="3" t="s">
        <v>188</v>
      </c>
      <c r="J567" s="3" t="s">
        <v>5999</v>
      </c>
      <c r="K567" s="3" t="n">
        <v>331867.12</v>
      </c>
      <c r="L567" s="3" t="n">
        <v>0.0762</v>
      </c>
      <c r="M567" s="3" t="n">
        <v>306578.85</v>
      </c>
      <c r="N567" s="3" t="n">
        <v>102531.33</v>
      </c>
      <c r="O567" s="3" t="n">
        <v>0.3344</v>
      </c>
      <c r="P567" s="3" t="n">
        <v>0.486</v>
      </c>
      <c r="Q567" s="3" t="n">
        <v>148997.32</v>
      </c>
      <c r="R567" s="3" t="n">
        <v>154</v>
      </c>
      <c r="S567" s="3" t="n">
        <v>5.2</v>
      </c>
      <c r="T567" s="3" t="n">
        <v>9.8</v>
      </c>
      <c r="U567" s="3"/>
      <c r="V567" s="3" t="n">
        <v>5.79</v>
      </c>
      <c r="W567" s="3" t="s">
        <v>5990</v>
      </c>
    </row>
    <row r="568" customFormat="false" ht="15" hidden="false" customHeight="true" outlineLevel="0" collapsed="false">
      <c r="A568" s="3" t="s">
        <v>6648</v>
      </c>
      <c r="B568" s="3" t="s">
        <v>702</v>
      </c>
      <c r="C568" s="3" t="s">
        <v>308</v>
      </c>
      <c r="D568" s="3" t="s">
        <v>23</v>
      </c>
      <c r="E568" s="3" t="s">
        <v>24</v>
      </c>
      <c r="F568" s="3" t="s">
        <v>25</v>
      </c>
      <c r="G568" s="3" t="s">
        <v>116</v>
      </c>
      <c r="H568" s="3" t="s">
        <v>64</v>
      </c>
      <c r="I568" s="3" t="s">
        <v>108</v>
      </c>
      <c r="J568" s="3" t="s">
        <v>5996</v>
      </c>
      <c r="K568" s="3" t="n">
        <v>2287717.85</v>
      </c>
      <c r="L568" s="3" t="n">
        <v>0.1321</v>
      </c>
      <c r="M568" s="3" t="n">
        <v>1985510.32</v>
      </c>
      <c r="N568" s="3" t="n">
        <v>709901.11</v>
      </c>
      <c r="O568" s="3" t="n">
        <v>0.3575</v>
      </c>
      <c r="P568" s="3" t="n">
        <v>1</v>
      </c>
      <c r="Q568" s="3" t="n">
        <v>1985510.32</v>
      </c>
      <c r="R568" s="3" t="n">
        <v>102</v>
      </c>
      <c r="S568" s="3" t="n">
        <v>7.7</v>
      </c>
      <c r="T568" s="3" t="n">
        <v>6.6</v>
      </c>
      <c r="U568" s="3"/>
      <c r="V568" s="3" t="n">
        <v>6.6</v>
      </c>
      <c r="W568" s="3" t="s">
        <v>5997</v>
      </c>
    </row>
    <row r="569" customFormat="false" ht="15" hidden="false" customHeight="true" outlineLevel="0" collapsed="false">
      <c r="A569" s="3" t="s">
        <v>6649</v>
      </c>
      <c r="B569" s="3" t="s">
        <v>1307</v>
      </c>
      <c r="C569" s="3" t="s">
        <v>274</v>
      </c>
      <c r="D569" s="3" t="s">
        <v>107</v>
      </c>
      <c r="E569" s="3" t="s">
        <v>33</v>
      </c>
      <c r="F569" s="3" t="s">
        <v>70</v>
      </c>
      <c r="G569" s="3" t="s">
        <v>104</v>
      </c>
      <c r="H569" s="3" t="s">
        <v>64</v>
      </c>
      <c r="I569" s="3" t="s">
        <v>65</v>
      </c>
      <c r="J569" s="3" t="s">
        <v>6009</v>
      </c>
      <c r="K569" s="3" t="n">
        <v>1083576.91</v>
      </c>
      <c r="L569" s="3" t="n">
        <v>0.0516</v>
      </c>
      <c r="M569" s="3" t="n">
        <v>1027664.34</v>
      </c>
      <c r="N569" s="3" t="n">
        <v>436899.97</v>
      </c>
      <c r="O569" s="3" t="n">
        <v>0.4251</v>
      </c>
      <c r="P569" s="3" t="n">
        <v>0.014</v>
      </c>
      <c r="Q569" s="3" t="n">
        <v>14387.3</v>
      </c>
      <c r="R569" s="3" t="n">
        <v>72</v>
      </c>
      <c r="S569" s="3" t="n">
        <v>2.2</v>
      </c>
      <c r="T569" s="3" t="n">
        <v>7.9</v>
      </c>
      <c r="U569" s="3" t="s">
        <v>6041</v>
      </c>
      <c r="V569" s="3" t="n">
        <v>6.23</v>
      </c>
      <c r="W569" s="3" t="s">
        <v>5990</v>
      </c>
    </row>
    <row r="570" customFormat="false" ht="15" hidden="false" customHeight="true" outlineLevel="0" collapsed="false">
      <c r="A570" s="3" t="s">
        <v>6650</v>
      </c>
      <c r="B570" s="3" t="s">
        <v>1003</v>
      </c>
      <c r="C570" s="3" t="s">
        <v>3996</v>
      </c>
      <c r="D570" s="3" t="s">
        <v>75</v>
      </c>
      <c r="E570" s="3" t="s">
        <v>39</v>
      </c>
      <c r="F570" s="3" t="s">
        <v>25</v>
      </c>
      <c r="G570" s="3" t="s">
        <v>41</v>
      </c>
      <c r="H570" s="3" t="s">
        <v>56</v>
      </c>
      <c r="I570" s="3" t="s">
        <v>57</v>
      </c>
      <c r="J570" s="3" t="s">
        <v>5992</v>
      </c>
      <c r="K570" s="3" t="n">
        <v>4096858.68</v>
      </c>
      <c r="L570" s="3" t="n">
        <v>0.162</v>
      </c>
      <c r="M570" s="3" t="n">
        <v>3433167.57</v>
      </c>
      <c r="N570" s="3" t="n">
        <v>965713.2</v>
      </c>
      <c r="O570" s="3" t="n">
        <v>0.2813</v>
      </c>
      <c r="P570" s="3" t="n">
        <v>0.693</v>
      </c>
      <c r="Q570" s="3" t="n">
        <v>2379185.13</v>
      </c>
      <c r="R570" s="3" t="n">
        <v>53</v>
      </c>
      <c r="S570" s="3" t="n">
        <v>5.2</v>
      </c>
      <c r="T570" s="3" t="n">
        <v>6.8</v>
      </c>
      <c r="U570" s="3"/>
      <c r="V570" s="3" t="n">
        <v>5.13</v>
      </c>
      <c r="W570" s="3" t="s">
        <v>5990</v>
      </c>
    </row>
    <row r="571" customFormat="false" ht="15" hidden="false" customHeight="true" outlineLevel="0" collapsed="false">
      <c r="A571" s="3" t="s">
        <v>6651</v>
      </c>
      <c r="B571" s="3" t="s">
        <v>1383</v>
      </c>
      <c r="C571" s="3" t="s">
        <v>1001</v>
      </c>
      <c r="D571" s="3" t="s">
        <v>83</v>
      </c>
      <c r="E571" s="3" t="s">
        <v>48</v>
      </c>
      <c r="F571" s="3" t="s">
        <v>62</v>
      </c>
      <c r="G571" s="3" t="s">
        <v>71</v>
      </c>
      <c r="H571" s="3" t="s">
        <v>56</v>
      </c>
      <c r="I571" s="3" t="s">
        <v>57</v>
      </c>
      <c r="J571" s="3" t="s">
        <v>5996</v>
      </c>
      <c r="K571" s="3" t="n">
        <v>1078848.43</v>
      </c>
      <c r="L571" s="3" t="n">
        <v>0.0558</v>
      </c>
      <c r="M571" s="3" t="n">
        <v>1018648.69</v>
      </c>
      <c r="N571" s="3" t="n">
        <v>452140.9</v>
      </c>
      <c r="O571" s="3" t="n">
        <v>0.4439</v>
      </c>
      <c r="P571" s="3" t="n">
        <v>0.997</v>
      </c>
      <c r="Q571" s="3" t="n">
        <v>1015592.74</v>
      </c>
      <c r="R571" s="3" t="n">
        <v>40</v>
      </c>
      <c r="S571" s="3" t="n">
        <v>4.9</v>
      </c>
      <c r="T571" s="3" t="n">
        <v>8.5</v>
      </c>
      <c r="U571" s="3"/>
      <c r="V571" s="3" t="n">
        <v>6.94</v>
      </c>
      <c r="W571" s="3" t="s">
        <v>5997</v>
      </c>
    </row>
    <row r="572" customFormat="false" ht="15" hidden="false" customHeight="true" outlineLevel="0" collapsed="false">
      <c r="A572" s="3" t="s">
        <v>6652</v>
      </c>
      <c r="B572" s="3" t="s">
        <v>400</v>
      </c>
      <c r="C572" s="3" t="s">
        <v>2294</v>
      </c>
      <c r="D572" s="3" t="s">
        <v>38</v>
      </c>
      <c r="E572" s="3" t="s">
        <v>39</v>
      </c>
      <c r="F572" s="3" t="s">
        <v>40</v>
      </c>
      <c r="G572" s="3" t="s">
        <v>116</v>
      </c>
      <c r="H572" s="3" t="s">
        <v>56</v>
      </c>
      <c r="I572" s="3" t="s">
        <v>188</v>
      </c>
      <c r="J572" s="3" t="s">
        <v>6009</v>
      </c>
      <c r="K572" s="3" t="n">
        <v>2471053.83</v>
      </c>
      <c r="L572" s="3" t="n">
        <v>0.1545</v>
      </c>
      <c r="M572" s="3" t="n">
        <v>2089276.01</v>
      </c>
      <c r="N572" s="3" t="n">
        <v>961629.41</v>
      </c>
      <c r="O572" s="3" t="n">
        <v>0.4603</v>
      </c>
      <c r="P572" s="3" t="n">
        <v>0</v>
      </c>
      <c r="Q572" s="3" t="n">
        <v>0</v>
      </c>
      <c r="R572" s="3" t="n">
        <v>68</v>
      </c>
      <c r="S572" s="3" t="n">
        <v>6.2</v>
      </c>
      <c r="T572" s="3" t="n">
        <v>7.5</v>
      </c>
      <c r="U572" s="3" t="s">
        <v>6025</v>
      </c>
      <c r="V572" s="3" t="n">
        <v>6.62</v>
      </c>
      <c r="W572" s="3" t="s">
        <v>5997</v>
      </c>
    </row>
    <row r="573" customFormat="false" ht="15" hidden="false" customHeight="true" outlineLevel="0" collapsed="false">
      <c r="A573" s="3" t="s">
        <v>6653</v>
      </c>
      <c r="B573" s="3" t="s">
        <v>521</v>
      </c>
      <c r="C573" s="3" t="s">
        <v>850</v>
      </c>
      <c r="D573" s="3" t="s">
        <v>75</v>
      </c>
      <c r="E573" s="3" t="s">
        <v>39</v>
      </c>
      <c r="F573" s="3" t="s">
        <v>25</v>
      </c>
      <c r="G573" s="3" t="s">
        <v>63</v>
      </c>
      <c r="H573" s="3" t="s">
        <v>56</v>
      </c>
      <c r="I573" s="3" t="s">
        <v>57</v>
      </c>
      <c r="J573" s="3" t="s">
        <v>6009</v>
      </c>
      <c r="K573" s="3" t="n">
        <v>2018918.33</v>
      </c>
      <c r="L573" s="3" t="n">
        <v>0.066</v>
      </c>
      <c r="M573" s="3" t="n">
        <v>1885669.72</v>
      </c>
      <c r="N573" s="3" t="n">
        <v>545189.96</v>
      </c>
      <c r="O573" s="3" t="n">
        <v>0.2891</v>
      </c>
      <c r="P573" s="3" t="n">
        <v>0.034</v>
      </c>
      <c r="Q573" s="3" t="n">
        <v>64112.77</v>
      </c>
      <c r="R573" s="3" t="n">
        <v>97</v>
      </c>
      <c r="S573" s="3" t="n">
        <v>1.3</v>
      </c>
      <c r="T573" s="3" t="n">
        <v>9.1</v>
      </c>
      <c r="U573" s="3" t="s">
        <v>6025</v>
      </c>
      <c r="V573" s="3" t="n">
        <v>4.65</v>
      </c>
      <c r="W573" s="3" t="s">
        <v>6000</v>
      </c>
    </row>
    <row r="574" customFormat="false" ht="15" hidden="false" customHeight="true" outlineLevel="0" collapsed="false">
      <c r="A574" s="3" t="s">
        <v>6654</v>
      </c>
      <c r="B574" s="3" t="s">
        <v>229</v>
      </c>
      <c r="C574" s="3" t="s">
        <v>1492</v>
      </c>
      <c r="D574" s="3" t="s">
        <v>54</v>
      </c>
      <c r="E574" s="3" t="s">
        <v>24</v>
      </c>
      <c r="F574" s="3" t="s">
        <v>40</v>
      </c>
      <c r="G574" s="3" t="s">
        <v>76</v>
      </c>
      <c r="H574" s="3" t="s">
        <v>42</v>
      </c>
      <c r="I574" s="3" t="s">
        <v>43</v>
      </c>
      <c r="J574" s="3" t="s">
        <v>5999</v>
      </c>
      <c r="K574" s="3" t="n">
        <v>4596857.58</v>
      </c>
      <c r="L574" s="3" t="n">
        <v>0.2403</v>
      </c>
      <c r="M574" s="3" t="n">
        <v>3492232.7</v>
      </c>
      <c r="N574" s="3" t="n">
        <v>1377620.31</v>
      </c>
      <c r="O574" s="3" t="n">
        <v>0.3945</v>
      </c>
      <c r="P574" s="3" t="n">
        <v>0.476</v>
      </c>
      <c r="Q574" s="3" t="n">
        <v>1662302.77</v>
      </c>
      <c r="R574" s="3" t="n">
        <v>129</v>
      </c>
      <c r="S574" s="3" t="n">
        <v>9.2</v>
      </c>
      <c r="T574" s="3" t="n">
        <v>9.8</v>
      </c>
      <c r="U574" s="3"/>
      <c r="V574" s="3" t="n">
        <v>5.91</v>
      </c>
      <c r="W574" s="3" t="s">
        <v>5990</v>
      </c>
    </row>
    <row r="575" customFormat="false" ht="15" hidden="false" customHeight="true" outlineLevel="0" collapsed="false">
      <c r="A575" s="3" t="s">
        <v>6655</v>
      </c>
      <c r="B575" s="3" t="s">
        <v>1580</v>
      </c>
      <c r="C575" s="3" t="s">
        <v>575</v>
      </c>
      <c r="D575" s="3" t="s">
        <v>75</v>
      </c>
      <c r="E575" s="3" t="s">
        <v>39</v>
      </c>
      <c r="F575" s="3" t="s">
        <v>25</v>
      </c>
      <c r="G575" s="3" t="s">
        <v>76</v>
      </c>
      <c r="H575" s="3" t="s">
        <v>42</v>
      </c>
      <c r="I575" s="3" t="s">
        <v>134</v>
      </c>
      <c r="J575" s="3" t="s">
        <v>5996</v>
      </c>
      <c r="K575" s="3" t="n">
        <v>1801774.52</v>
      </c>
      <c r="L575" s="3" t="n">
        <v>0.1571</v>
      </c>
      <c r="M575" s="3" t="n">
        <v>1518715.74</v>
      </c>
      <c r="N575" s="3" t="n">
        <v>634296.58</v>
      </c>
      <c r="O575" s="3" t="n">
        <v>0.4177</v>
      </c>
      <c r="P575" s="3" t="n">
        <v>0.992</v>
      </c>
      <c r="Q575" s="3" t="n">
        <v>1506566.01</v>
      </c>
      <c r="R575" s="3" t="n">
        <v>125</v>
      </c>
      <c r="S575" s="3" t="n">
        <v>4.2</v>
      </c>
      <c r="T575" s="3" t="n">
        <v>7</v>
      </c>
      <c r="U575" s="3"/>
      <c r="V575" s="3" t="n">
        <v>5.96</v>
      </c>
      <c r="W575" s="3" t="s">
        <v>5990</v>
      </c>
    </row>
    <row r="576" customFormat="false" ht="15" hidden="false" customHeight="true" outlineLevel="0" collapsed="false">
      <c r="A576" s="3" t="s">
        <v>6656</v>
      </c>
      <c r="B576" s="3" t="s">
        <v>1307</v>
      </c>
      <c r="C576" s="3" t="s">
        <v>440</v>
      </c>
      <c r="D576" s="3" t="s">
        <v>23</v>
      </c>
      <c r="E576" s="3" t="s">
        <v>24</v>
      </c>
      <c r="F576" s="3" t="s">
        <v>25</v>
      </c>
      <c r="G576" s="3" t="s">
        <v>26</v>
      </c>
      <c r="H576" s="3" t="s">
        <v>77</v>
      </c>
      <c r="I576" s="3" t="s">
        <v>78</v>
      </c>
      <c r="J576" s="3" t="s">
        <v>6003</v>
      </c>
      <c r="K576" s="3" t="n">
        <v>632176.93</v>
      </c>
      <c r="L576" s="3" t="n">
        <v>0.1517</v>
      </c>
      <c r="M576" s="3" t="n">
        <v>536275.69</v>
      </c>
      <c r="N576" s="3" t="n">
        <v>218225.98</v>
      </c>
      <c r="O576" s="3" t="n">
        <v>0.4069</v>
      </c>
      <c r="P576" s="3" t="n">
        <v>0.096</v>
      </c>
      <c r="Q576" s="3" t="n">
        <v>51482.47</v>
      </c>
      <c r="R576" s="3" t="n">
        <v>115</v>
      </c>
      <c r="S576" s="3" t="n">
        <v>7.6</v>
      </c>
      <c r="T576" s="3" t="n">
        <v>6.2</v>
      </c>
      <c r="U576" s="3"/>
      <c r="V576" s="3" t="n">
        <v>6.85</v>
      </c>
      <c r="W576" s="3" t="s">
        <v>5997</v>
      </c>
    </row>
    <row r="577" customFormat="false" ht="15" hidden="false" customHeight="true" outlineLevel="0" collapsed="false">
      <c r="A577" s="3" t="s">
        <v>6657</v>
      </c>
      <c r="B577" s="3" t="s">
        <v>914</v>
      </c>
      <c r="C577" s="3" t="s">
        <v>2720</v>
      </c>
      <c r="D577" s="3" t="s">
        <v>54</v>
      </c>
      <c r="E577" s="3" t="s">
        <v>24</v>
      </c>
      <c r="F577" s="3" t="s">
        <v>40</v>
      </c>
      <c r="G577" s="3" t="s">
        <v>116</v>
      </c>
      <c r="H577" s="3" t="s">
        <v>42</v>
      </c>
      <c r="I577" s="3" t="s">
        <v>43</v>
      </c>
      <c r="J577" s="3" t="s">
        <v>5999</v>
      </c>
      <c r="K577" s="3" t="n">
        <v>3223754.56</v>
      </c>
      <c r="L577" s="3" t="n">
        <v>0.1283</v>
      </c>
      <c r="M577" s="3" t="n">
        <v>2810146.85</v>
      </c>
      <c r="N577" s="3" t="n">
        <v>1271676.64</v>
      </c>
      <c r="O577" s="3" t="n">
        <v>0.4525</v>
      </c>
      <c r="P577" s="3" t="n">
        <v>0.45</v>
      </c>
      <c r="Q577" s="3" t="n">
        <v>1264566.08</v>
      </c>
      <c r="R577" s="3" t="n">
        <v>119</v>
      </c>
      <c r="S577" s="3" t="n">
        <v>1</v>
      </c>
      <c r="T577" s="3" t="n">
        <v>8.9</v>
      </c>
      <c r="U577" s="3"/>
      <c r="V577" s="3" t="n">
        <v>5.34</v>
      </c>
      <c r="W577" s="3" t="s">
        <v>5990</v>
      </c>
    </row>
    <row r="578" customFormat="false" ht="15" hidden="false" customHeight="true" outlineLevel="0" collapsed="false">
      <c r="A578" s="3" t="s">
        <v>6658</v>
      </c>
      <c r="B578" s="3" t="s">
        <v>2865</v>
      </c>
      <c r="C578" s="3" t="s">
        <v>1133</v>
      </c>
      <c r="D578" s="3" t="s">
        <v>47</v>
      </c>
      <c r="E578" s="3" t="s">
        <v>48</v>
      </c>
      <c r="F578" s="3" t="s">
        <v>25</v>
      </c>
      <c r="G578" s="3" t="s">
        <v>55</v>
      </c>
      <c r="H578" s="3" t="s">
        <v>42</v>
      </c>
      <c r="I578" s="3" t="s">
        <v>134</v>
      </c>
      <c r="J578" s="3" t="s">
        <v>5999</v>
      </c>
      <c r="K578" s="3" t="n">
        <v>1817694.47</v>
      </c>
      <c r="L578" s="3" t="n">
        <v>0.262</v>
      </c>
      <c r="M578" s="3" t="n">
        <v>1341458.52</v>
      </c>
      <c r="N578" s="3" t="n">
        <v>497558</v>
      </c>
      <c r="O578" s="3" t="n">
        <v>0.3709</v>
      </c>
      <c r="P578" s="3" t="n">
        <v>0.441</v>
      </c>
      <c r="Q578" s="3" t="n">
        <v>591583.21</v>
      </c>
      <c r="R578" s="3" t="n">
        <v>115</v>
      </c>
      <c r="S578" s="3" t="n">
        <v>1.1</v>
      </c>
      <c r="T578" s="3" t="n">
        <v>9.6</v>
      </c>
      <c r="U578" s="3"/>
      <c r="V578" s="3" t="n">
        <v>3.53</v>
      </c>
      <c r="W578" s="3" t="s">
        <v>6000</v>
      </c>
    </row>
    <row r="579" customFormat="false" ht="15" hidden="false" customHeight="true" outlineLevel="0" collapsed="false">
      <c r="A579" s="3" t="s">
        <v>6659</v>
      </c>
      <c r="B579" s="3" t="s">
        <v>1428</v>
      </c>
      <c r="C579" s="3" t="s">
        <v>2218</v>
      </c>
      <c r="D579" s="3" t="s">
        <v>47</v>
      </c>
      <c r="E579" s="3" t="s">
        <v>48</v>
      </c>
      <c r="F579" s="3" t="s">
        <v>25</v>
      </c>
      <c r="G579" s="3" t="s">
        <v>100</v>
      </c>
      <c r="H579" s="3" t="s">
        <v>64</v>
      </c>
      <c r="I579" s="3" t="s">
        <v>108</v>
      </c>
      <c r="J579" s="3" t="s">
        <v>5999</v>
      </c>
      <c r="K579" s="3" t="n">
        <v>3594328.42</v>
      </c>
      <c r="L579" s="3" t="n">
        <v>0.0756</v>
      </c>
      <c r="M579" s="3" t="n">
        <v>3322597.19</v>
      </c>
      <c r="N579" s="3" t="n">
        <v>1500339.05</v>
      </c>
      <c r="O579" s="3" t="n">
        <v>0.4516</v>
      </c>
      <c r="P579" s="3" t="n">
        <v>0.4</v>
      </c>
      <c r="Q579" s="3" t="n">
        <v>1329038.88</v>
      </c>
      <c r="R579" s="3" t="n">
        <v>98</v>
      </c>
      <c r="S579" s="3" t="n">
        <v>8.2</v>
      </c>
      <c r="T579" s="3" t="n">
        <v>6.8</v>
      </c>
      <c r="U579" s="3"/>
      <c r="V579" s="3" t="n">
        <v>7.9</v>
      </c>
      <c r="W579" s="3" t="s">
        <v>5997</v>
      </c>
    </row>
    <row r="580" customFormat="false" ht="15" hidden="false" customHeight="true" outlineLevel="0" collapsed="false">
      <c r="A580" s="3" t="s">
        <v>6660</v>
      </c>
      <c r="B580" s="3" t="s">
        <v>1067</v>
      </c>
      <c r="C580" s="3" t="s">
        <v>1731</v>
      </c>
      <c r="D580" s="3" t="s">
        <v>32</v>
      </c>
      <c r="E580" s="3" t="s">
        <v>33</v>
      </c>
      <c r="F580" s="3" t="s">
        <v>25</v>
      </c>
      <c r="G580" s="3" t="s">
        <v>41</v>
      </c>
      <c r="H580" s="3" t="s">
        <v>56</v>
      </c>
      <c r="I580" s="3" t="s">
        <v>188</v>
      </c>
      <c r="J580" s="3" t="s">
        <v>5999</v>
      </c>
      <c r="K580" s="3" t="n">
        <v>594025.02</v>
      </c>
      <c r="L580" s="3" t="n">
        <v>0.2415</v>
      </c>
      <c r="M580" s="3" t="n">
        <v>450567.98</v>
      </c>
      <c r="N580" s="3" t="n">
        <v>142968.93</v>
      </c>
      <c r="O580" s="3" t="n">
        <v>0.3173</v>
      </c>
      <c r="P580" s="3" t="n">
        <v>0.417</v>
      </c>
      <c r="Q580" s="3" t="n">
        <v>187886.85</v>
      </c>
      <c r="R580" s="3" t="n">
        <v>17</v>
      </c>
      <c r="S580" s="3" t="n">
        <v>8.4</v>
      </c>
      <c r="T580" s="3" t="n">
        <v>7.5</v>
      </c>
      <c r="U580" s="3"/>
      <c r="V580" s="3" t="n">
        <v>5.44</v>
      </c>
      <c r="W580" s="3" t="s">
        <v>5990</v>
      </c>
    </row>
    <row r="581" customFormat="false" ht="15" hidden="false" customHeight="true" outlineLevel="0" collapsed="false">
      <c r="A581" s="3" t="s">
        <v>6661</v>
      </c>
      <c r="B581" s="3" t="s">
        <v>227</v>
      </c>
      <c r="C581" s="3" t="s">
        <v>1674</v>
      </c>
      <c r="D581" s="3" t="s">
        <v>54</v>
      </c>
      <c r="E581" s="3" t="s">
        <v>24</v>
      </c>
      <c r="F581" s="3" t="s">
        <v>40</v>
      </c>
      <c r="G581" s="3" t="s">
        <v>84</v>
      </c>
      <c r="H581" s="3" t="s">
        <v>77</v>
      </c>
      <c r="I581" s="3" t="s">
        <v>131</v>
      </c>
      <c r="J581" s="3" t="s">
        <v>5999</v>
      </c>
      <c r="K581" s="3" t="n">
        <v>1654700.36</v>
      </c>
      <c r="L581" s="3" t="n">
        <v>0.2297</v>
      </c>
      <c r="M581" s="3" t="n">
        <v>1274615.69</v>
      </c>
      <c r="N581" s="3" t="n">
        <v>385733.81</v>
      </c>
      <c r="O581" s="3" t="n">
        <v>0.3026</v>
      </c>
      <c r="P581" s="3" t="n">
        <v>0.446</v>
      </c>
      <c r="Q581" s="3" t="n">
        <v>568478.6</v>
      </c>
      <c r="R581" s="3" t="n">
        <v>144</v>
      </c>
      <c r="S581" s="3" t="n">
        <v>6.3</v>
      </c>
      <c r="T581" s="3" t="n">
        <v>5.2</v>
      </c>
      <c r="U581" s="3"/>
      <c r="V581" s="3" t="n">
        <v>5.21</v>
      </c>
      <c r="W581" s="3" t="s">
        <v>5990</v>
      </c>
    </row>
    <row r="582" customFormat="false" ht="15" hidden="false" customHeight="true" outlineLevel="0" collapsed="false">
      <c r="A582" s="3" t="s">
        <v>6662</v>
      </c>
      <c r="B582" s="3" t="s">
        <v>2218</v>
      </c>
      <c r="C582" s="3" t="s">
        <v>6594</v>
      </c>
      <c r="D582" s="3" t="s">
        <v>61</v>
      </c>
      <c r="E582" s="3" t="s">
        <v>33</v>
      </c>
      <c r="F582" s="3" t="s">
        <v>62</v>
      </c>
      <c r="G582" s="3" t="s">
        <v>116</v>
      </c>
      <c r="H582" s="3" t="s">
        <v>42</v>
      </c>
      <c r="I582" s="3" t="s">
        <v>72</v>
      </c>
      <c r="J582" s="3" t="s">
        <v>5989</v>
      </c>
      <c r="K582" s="3" t="n">
        <v>3006995.25</v>
      </c>
      <c r="L582" s="3" t="n">
        <v>0.1322</v>
      </c>
      <c r="M582" s="3" t="n">
        <v>2609470.48</v>
      </c>
      <c r="N582" s="3" t="n">
        <v>1059600.06</v>
      </c>
      <c r="O582" s="3" t="n">
        <v>0.4061</v>
      </c>
      <c r="P582" s="3" t="n">
        <v>0.224</v>
      </c>
      <c r="Q582" s="3" t="n">
        <v>584521.39</v>
      </c>
      <c r="R582" s="3" t="n">
        <v>167</v>
      </c>
      <c r="S582" s="3" t="n">
        <v>9.9</v>
      </c>
      <c r="T582" s="3" t="n">
        <v>3.8</v>
      </c>
      <c r="U582" s="3"/>
      <c r="V582" s="3" t="n">
        <v>7.96</v>
      </c>
      <c r="W582" s="3" t="s">
        <v>5997</v>
      </c>
    </row>
    <row r="583" customFormat="false" ht="15" hidden="false" customHeight="true" outlineLevel="0" collapsed="false">
      <c r="A583" s="3" t="s">
        <v>6663</v>
      </c>
      <c r="B583" s="3" t="s">
        <v>2837</v>
      </c>
      <c r="C583" s="3" t="s">
        <v>6664</v>
      </c>
      <c r="D583" s="3" t="s">
        <v>23</v>
      </c>
      <c r="E583" s="3" t="s">
        <v>24</v>
      </c>
      <c r="F583" s="3" t="s">
        <v>25</v>
      </c>
      <c r="G583" s="3" t="s">
        <v>100</v>
      </c>
      <c r="H583" s="3" t="s">
        <v>64</v>
      </c>
      <c r="I583" s="3" t="s">
        <v>145</v>
      </c>
      <c r="J583" s="3" t="s">
        <v>5996</v>
      </c>
      <c r="K583" s="3" t="n">
        <v>1501801.29</v>
      </c>
      <c r="L583" s="3" t="n">
        <v>0.2023</v>
      </c>
      <c r="M583" s="3" t="n">
        <v>1197986.89</v>
      </c>
      <c r="N583" s="3" t="n">
        <v>374733.84</v>
      </c>
      <c r="O583" s="3" t="n">
        <v>0.3128</v>
      </c>
      <c r="P583" s="3" t="n">
        <v>1</v>
      </c>
      <c r="Q583" s="3" t="n">
        <v>1197986.89</v>
      </c>
      <c r="R583" s="3" t="n">
        <v>171</v>
      </c>
      <c r="S583" s="3" t="n">
        <v>1.6</v>
      </c>
      <c r="T583" s="3" t="n">
        <v>6.3</v>
      </c>
      <c r="U583" s="3"/>
      <c r="V583" s="3" t="n">
        <v>4.23</v>
      </c>
      <c r="W583" s="3" t="s">
        <v>6000</v>
      </c>
    </row>
    <row r="584" customFormat="false" ht="15" hidden="false" customHeight="true" outlineLevel="0" collapsed="false">
      <c r="A584" s="3" t="s">
        <v>6665</v>
      </c>
      <c r="B584" s="3" t="s">
        <v>2750</v>
      </c>
      <c r="C584" s="3" t="s">
        <v>6188</v>
      </c>
      <c r="D584" s="3" t="s">
        <v>69</v>
      </c>
      <c r="E584" s="3" t="s">
        <v>39</v>
      </c>
      <c r="F584" s="3" t="s">
        <v>70</v>
      </c>
      <c r="G584" s="3" t="s">
        <v>71</v>
      </c>
      <c r="H584" s="3" t="s">
        <v>42</v>
      </c>
      <c r="I584" s="3" t="s">
        <v>72</v>
      </c>
      <c r="J584" s="3" t="s">
        <v>5992</v>
      </c>
      <c r="K584" s="3" t="n">
        <v>1731750.55</v>
      </c>
      <c r="L584" s="3" t="n">
        <v>0.0834</v>
      </c>
      <c r="M584" s="3" t="n">
        <v>1587322.55</v>
      </c>
      <c r="N584" s="3" t="n">
        <v>534770.76</v>
      </c>
      <c r="O584" s="3" t="n">
        <v>0.3369</v>
      </c>
      <c r="P584" s="3" t="n">
        <v>0.658</v>
      </c>
      <c r="Q584" s="3" t="n">
        <v>1044458.24</v>
      </c>
      <c r="R584" s="3" t="n">
        <v>96</v>
      </c>
      <c r="S584" s="3" t="n">
        <v>9.9</v>
      </c>
      <c r="T584" s="3" t="n">
        <v>6.1</v>
      </c>
      <c r="U584" s="3"/>
      <c r="V584" s="3" t="n">
        <v>7.49</v>
      </c>
      <c r="W584" s="3" t="s">
        <v>5997</v>
      </c>
    </row>
    <row r="585" customFormat="false" ht="15" hidden="false" customHeight="true" outlineLevel="0" collapsed="false">
      <c r="A585" s="3" t="s">
        <v>6666</v>
      </c>
      <c r="B585" s="3" t="s">
        <v>874</v>
      </c>
      <c r="C585" s="3" t="s">
        <v>1486</v>
      </c>
      <c r="D585" s="3" t="s">
        <v>32</v>
      </c>
      <c r="E585" s="3" t="s">
        <v>33</v>
      </c>
      <c r="F585" s="3" t="s">
        <v>25</v>
      </c>
      <c r="G585" s="3" t="s">
        <v>116</v>
      </c>
      <c r="H585" s="3" t="s">
        <v>27</v>
      </c>
      <c r="I585" s="3" t="s">
        <v>94</v>
      </c>
      <c r="J585" s="3" t="s">
        <v>5999</v>
      </c>
      <c r="K585" s="3" t="n">
        <v>1544545.43</v>
      </c>
      <c r="L585" s="3" t="n">
        <v>0.1938</v>
      </c>
      <c r="M585" s="3" t="n">
        <v>1245212.53</v>
      </c>
      <c r="N585" s="3" t="n">
        <v>535583.84</v>
      </c>
      <c r="O585" s="3" t="n">
        <v>0.4301</v>
      </c>
      <c r="P585" s="3" t="n">
        <v>0.408</v>
      </c>
      <c r="Q585" s="3" t="n">
        <v>508046.71</v>
      </c>
      <c r="R585" s="3" t="n">
        <v>45</v>
      </c>
      <c r="S585" s="3" t="n">
        <v>9</v>
      </c>
      <c r="T585" s="3" t="n">
        <v>4.8</v>
      </c>
      <c r="U585" s="3"/>
      <c r="V585" s="3" t="n">
        <v>7.26</v>
      </c>
      <c r="W585" s="3" t="s">
        <v>5997</v>
      </c>
    </row>
    <row r="586" customFormat="false" ht="15" hidden="false" customHeight="true" outlineLevel="0" collapsed="false">
      <c r="A586" s="3" t="s">
        <v>6667</v>
      </c>
      <c r="B586" s="3" t="s">
        <v>1831</v>
      </c>
      <c r="C586" s="3" t="s">
        <v>1375</v>
      </c>
      <c r="D586" s="3" t="s">
        <v>69</v>
      </c>
      <c r="E586" s="3" t="s">
        <v>39</v>
      </c>
      <c r="F586" s="3" t="s">
        <v>70</v>
      </c>
      <c r="G586" s="3" t="s">
        <v>55</v>
      </c>
      <c r="H586" s="3" t="s">
        <v>77</v>
      </c>
      <c r="I586" s="3" t="s">
        <v>131</v>
      </c>
      <c r="J586" s="3" t="s">
        <v>5992</v>
      </c>
      <c r="K586" s="3" t="n">
        <v>3604050.52</v>
      </c>
      <c r="L586" s="3" t="n">
        <v>0.2823</v>
      </c>
      <c r="M586" s="3" t="n">
        <v>2586627.06</v>
      </c>
      <c r="N586" s="3" t="n">
        <v>1213749.58</v>
      </c>
      <c r="O586" s="3" t="n">
        <v>0.4692</v>
      </c>
      <c r="P586" s="3" t="n">
        <v>0.678</v>
      </c>
      <c r="Q586" s="3" t="n">
        <v>1753733.15</v>
      </c>
      <c r="R586" s="3" t="n">
        <v>14</v>
      </c>
      <c r="S586" s="3" t="n">
        <v>10</v>
      </c>
      <c r="T586" s="3" t="n">
        <v>3.9</v>
      </c>
      <c r="U586" s="3"/>
      <c r="V586" s="3" t="n">
        <v>7.07</v>
      </c>
      <c r="W586" s="3" t="s">
        <v>5997</v>
      </c>
    </row>
    <row r="587" customFormat="false" ht="15" hidden="false" customHeight="true" outlineLevel="0" collapsed="false">
      <c r="A587" s="3" t="s">
        <v>6668</v>
      </c>
      <c r="B587" s="3" t="s">
        <v>1444</v>
      </c>
      <c r="C587" s="3" t="s">
        <v>6077</v>
      </c>
      <c r="D587" s="3" t="s">
        <v>47</v>
      </c>
      <c r="E587" s="3" t="s">
        <v>48</v>
      </c>
      <c r="F587" s="3" t="s">
        <v>25</v>
      </c>
      <c r="G587" s="3" t="s">
        <v>71</v>
      </c>
      <c r="H587" s="3" t="s">
        <v>27</v>
      </c>
      <c r="I587" s="3" t="s">
        <v>94</v>
      </c>
      <c r="J587" s="3" t="s">
        <v>5999</v>
      </c>
      <c r="K587" s="3" t="n">
        <v>3261754.91</v>
      </c>
      <c r="L587" s="3" t="n">
        <v>0.1173</v>
      </c>
      <c r="M587" s="3" t="n">
        <v>2879151.06</v>
      </c>
      <c r="N587" s="3" t="n">
        <v>1365870.06</v>
      </c>
      <c r="O587" s="3" t="n">
        <v>0.4744</v>
      </c>
      <c r="P587" s="3" t="n">
        <v>0.462</v>
      </c>
      <c r="Q587" s="3" t="n">
        <v>1330167.79</v>
      </c>
      <c r="R587" s="3" t="n">
        <v>106</v>
      </c>
      <c r="S587" s="3" t="n">
        <v>4.3</v>
      </c>
      <c r="T587" s="3" t="n">
        <v>5.7</v>
      </c>
      <c r="U587" s="3"/>
      <c r="V587" s="3" t="n">
        <v>6.75</v>
      </c>
      <c r="W587" s="3" t="s">
        <v>5997</v>
      </c>
    </row>
    <row r="588" customFormat="false" ht="15" hidden="false" customHeight="true" outlineLevel="0" collapsed="false">
      <c r="A588" s="3" t="s">
        <v>6669</v>
      </c>
      <c r="B588" s="3" t="s">
        <v>2610</v>
      </c>
      <c r="C588" s="3" t="s">
        <v>310</v>
      </c>
      <c r="D588" s="3" t="s">
        <v>54</v>
      </c>
      <c r="E588" s="3" t="s">
        <v>24</v>
      </c>
      <c r="F588" s="3" t="s">
        <v>40</v>
      </c>
      <c r="G588" s="3" t="s">
        <v>55</v>
      </c>
      <c r="H588" s="3" t="s">
        <v>42</v>
      </c>
      <c r="I588" s="3" t="s">
        <v>134</v>
      </c>
      <c r="J588" s="3" t="s">
        <v>5996</v>
      </c>
      <c r="K588" s="3" t="n">
        <v>881747.55</v>
      </c>
      <c r="L588" s="3" t="n">
        <v>0.0541</v>
      </c>
      <c r="M588" s="3" t="n">
        <v>834045.01</v>
      </c>
      <c r="N588" s="3" t="n">
        <v>350351</v>
      </c>
      <c r="O588" s="3" t="n">
        <v>0.4201</v>
      </c>
      <c r="P588" s="3" t="n">
        <v>1</v>
      </c>
      <c r="Q588" s="3" t="n">
        <v>834045.01</v>
      </c>
      <c r="R588" s="3" t="n">
        <v>144</v>
      </c>
      <c r="S588" s="3" t="n">
        <v>8.3</v>
      </c>
      <c r="T588" s="3" t="n">
        <v>8.9</v>
      </c>
      <c r="U588" s="3"/>
      <c r="V588" s="3" t="n">
        <v>7.54</v>
      </c>
      <c r="W588" s="3" t="s">
        <v>5997</v>
      </c>
    </row>
    <row r="589" customFormat="false" ht="15" hidden="false" customHeight="true" outlineLevel="0" collapsed="false">
      <c r="A589" s="3" t="s">
        <v>6670</v>
      </c>
      <c r="B589" s="3" t="s">
        <v>761</v>
      </c>
      <c r="C589" s="3" t="s">
        <v>467</v>
      </c>
      <c r="D589" s="3" t="s">
        <v>75</v>
      </c>
      <c r="E589" s="3" t="s">
        <v>39</v>
      </c>
      <c r="F589" s="3" t="s">
        <v>25</v>
      </c>
      <c r="G589" s="3" t="s">
        <v>63</v>
      </c>
      <c r="H589" s="3" t="s">
        <v>56</v>
      </c>
      <c r="I589" s="3" t="s">
        <v>121</v>
      </c>
      <c r="J589" s="3" t="s">
        <v>5999</v>
      </c>
      <c r="K589" s="3" t="n">
        <v>2872855.84</v>
      </c>
      <c r="L589" s="3" t="n">
        <v>0.2583</v>
      </c>
      <c r="M589" s="3" t="n">
        <v>2130797.18</v>
      </c>
      <c r="N589" s="3" t="n">
        <v>789592.56</v>
      </c>
      <c r="O589" s="3" t="n">
        <v>0.3706</v>
      </c>
      <c r="P589" s="3" t="n">
        <v>0.433</v>
      </c>
      <c r="Q589" s="3" t="n">
        <v>922635.18</v>
      </c>
      <c r="R589" s="3" t="n">
        <v>97</v>
      </c>
      <c r="S589" s="3" t="n">
        <v>7.4</v>
      </c>
      <c r="T589" s="3" t="n">
        <v>3.8</v>
      </c>
      <c r="U589" s="3"/>
      <c r="V589" s="3" t="n">
        <v>6</v>
      </c>
      <c r="W589" s="3" t="s">
        <v>5990</v>
      </c>
    </row>
    <row r="590" customFormat="false" ht="15" hidden="false" customHeight="true" outlineLevel="0" collapsed="false">
      <c r="A590" s="3" t="s">
        <v>6671</v>
      </c>
      <c r="B590" s="3" t="s">
        <v>1755</v>
      </c>
      <c r="C590" s="3" t="s">
        <v>2361</v>
      </c>
      <c r="D590" s="3" t="s">
        <v>103</v>
      </c>
      <c r="E590" s="3" t="s">
        <v>24</v>
      </c>
      <c r="F590" s="3" t="s">
        <v>62</v>
      </c>
      <c r="G590" s="3" t="s">
        <v>104</v>
      </c>
      <c r="H590" s="3" t="s">
        <v>27</v>
      </c>
      <c r="I590" s="3" t="s">
        <v>94</v>
      </c>
      <c r="J590" s="3" t="s">
        <v>5992</v>
      </c>
      <c r="K590" s="3" t="n">
        <v>2317137.54</v>
      </c>
      <c r="L590" s="3" t="n">
        <v>0.2587</v>
      </c>
      <c r="M590" s="3" t="n">
        <v>1717694.06</v>
      </c>
      <c r="N590" s="3" t="n">
        <v>563702.38</v>
      </c>
      <c r="O590" s="3" t="n">
        <v>0.3282</v>
      </c>
      <c r="P590" s="3" t="n">
        <v>0.733</v>
      </c>
      <c r="Q590" s="3" t="n">
        <v>1259069.75</v>
      </c>
      <c r="R590" s="3" t="n">
        <v>127</v>
      </c>
      <c r="S590" s="3" t="n">
        <v>6.2</v>
      </c>
      <c r="T590" s="3" t="n">
        <v>4.4</v>
      </c>
      <c r="U590" s="3"/>
      <c r="V590" s="3" t="n">
        <v>5.29</v>
      </c>
      <c r="W590" s="3" t="s">
        <v>5990</v>
      </c>
    </row>
    <row r="591" customFormat="false" ht="15" hidden="false" customHeight="true" outlineLevel="0" collapsed="false">
      <c r="A591" s="3" t="s">
        <v>6672</v>
      </c>
      <c r="B591" s="3" t="s">
        <v>1984</v>
      </c>
      <c r="C591" s="3" t="s">
        <v>1887</v>
      </c>
      <c r="D591" s="3" t="s">
        <v>32</v>
      </c>
      <c r="E591" s="3" t="s">
        <v>33</v>
      </c>
      <c r="F591" s="3" t="s">
        <v>25</v>
      </c>
      <c r="G591" s="3" t="s">
        <v>71</v>
      </c>
      <c r="H591" s="3" t="s">
        <v>77</v>
      </c>
      <c r="I591" s="3" t="s">
        <v>131</v>
      </c>
      <c r="J591" s="3" t="s">
        <v>5999</v>
      </c>
      <c r="K591" s="3" t="n">
        <v>1414193.71</v>
      </c>
      <c r="L591" s="3" t="n">
        <v>0.1028</v>
      </c>
      <c r="M591" s="3" t="n">
        <v>1268814.6</v>
      </c>
      <c r="N591" s="3" t="n">
        <v>516394.77</v>
      </c>
      <c r="O591" s="3" t="n">
        <v>0.407</v>
      </c>
      <c r="P591" s="3" t="n">
        <v>0.482</v>
      </c>
      <c r="Q591" s="3" t="n">
        <v>611568.64</v>
      </c>
      <c r="R591" s="3" t="n">
        <v>57</v>
      </c>
      <c r="S591" s="3" t="n">
        <v>3.4</v>
      </c>
      <c r="T591" s="3" t="n">
        <v>8.8</v>
      </c>
      <c r="U591" s="3"/>
      <c r="V591" s="3" t="n">
        <v>5.83</v>
      </c>
      <c r="W591" s="3" t="s">
        <v>5990</v>
      </c>
    </row>
    <row r="592" customFormat="false" ht="15" hidden="false" customHeight="true" outlineLevel="0" collapsed="false">
      <c r="A592" s="3" t="s">
        <v>6673</v>
      </c>
      <c r="B592" s="3" t="s">
        <v>1868</v>
      </c>
      <c r="C592" s="3" t="s">
        <v>3168</v>
      </c>
      <c r="D592" s="3" t="s">
        <v>69</v>
      </c>
      <c r="E592" s="3" t="s">
        <v>39</v>
      </c>
      <c r="F592" s="3" t="s">
        <v>70</v>
      </c>
      <c r="G592" s="3" t="s">
        <v>49</v>
      </c>
      <c r="H592" s="3" t="s">
        <v>77</v>
      </c>
      <c r="I592" s="3" t="s">
        <v>85</v>
      </c>
      <c r="J592" s="3" t="s">
        <v>6009</v>
      </c>
      <c r="K592" s="3" t="n">
        <v>3934899.24</v>
      </c>
      <c r="L592" s="3" t="n">
        <v>0.197</v>
      </c>
      <c r="M592" s="3" t="n">
        <v>3159724.09</v>
      </c>
      <c r="N592" s="3" t="n">
        <v>1286329.6</v>
      </c>
      <c r="O592" s="3" t="n">
        <v>0.4071</v>
      </c>
      <c r="P592" s="3" t="n">
        <v>0</v>
      </c>
      <c r="Q592" s="3" t="n">
        <v>0</v>
      </c>
      <c r="R592" s="3" t="n">
        <v>138</v>
      </c>
      <c r="S592" s="3" t="n">
        <v>1.6</v>
      </c>
      <c r="T592" s="3" t="n">
        <v>4.7</v>
      </c>
      <c r="U592" s="3" t="s">
        <v>6025</v>
      </c>
      <c r="V592" s="3" t="n">
        <v>5.2</v>
      </c>
      <c r="W592" s="3" t="s">
        <v>5990</v>
      </c>
    </row>
    <row r="593" customFormat="false" ht="15" hidden="false" customHeight="true" outlineLevel="0" collapsed="false">
      <c r="A593" s="3" t="s">
        <v>6674</v>
      </c>
      <c r="B593" s="3" t="s">
        <v>887</v>
      </c>
      <c r="C593" s="3" t="s">
        <v>6243</v>
      </c>
      <c r="D593" s="3" t="s">
        <v>75</v>
      </c>
      <c r="E593" s="3" t="s">
        <v>39</v>
      </c>
      <c r="F593" s="3" t="s">
        <v>25</v>
      </c>
      <c r="G593" s="3" t="s">
        <v>55</v>
      </c>
      <c r="H593" s="3" t="s">
        <v>64</v>
      </c>
      <c r="I593" s="3" t="s">
        <v>90</v>
      </c>
      <c r="J593" s="3" t="s">
        <v>5996</v>
      </c>
      <c r="K593" s="3" t="n">
        <v>596575.18</v>
      </c>
      <c r="L593" s="3" t="n">
        <v>0.1436</v>
      </c>
      <c r="M593" s="3" t="n">
        <v>510906.98</v>
      </c>
      <c r="N593" s="3" t="n">
        <v>187671.07</v>
      </c>
      <c r="O593" s="3" t="n">
        <v>0.3673</v>
      </c>
      <c r="P593" s="3" t="n">
        <v>1</v>
      </c>
      <c r="Q593" s="3" t="n">
        <v>510906.98</v>
      </c>
      <c r="R593" s="3" t="n">
        <v>78</v>
      </c>
      <c r="S593" s="3" t="n">
        <v>4.9</v>
      </c>
      <c r="T593" s="3" t="n">
        <v>1.2</v>
      </c>
      <c r="U593" s="3"/>
      <c r="V593" s="3" t="n">
        <v>6.71</v>
      </c>
      <c r="W593" s="3" t="s">
        <v>5997</v>
      </c>
    </row>
    <row r="594" customFormat="false" ht="15" hidden="false" customHeight="true" outlineLevel="0" collapsed="false">
      <c r="A594" s="3" t="s">
        <v>6675</v>
      </c>
      <c r="B594" s="3" t="s">
        <v>2159</v>
      </c>
      <c r="C594" s="3" t="s">
        <v>2017</v>
      </c>
      <c r="D594" s="3" t="s">
        <v>107</v>
      </c>
      <c r="E594" s="3" t="s">
        <v>33</v>
      </c>
      <c r="F594" s="3" t="s">
        <v>70</v>
      </c>
      <c r="G594" s="3" t="s">
        <v>63</v>
      </c>
      <c r="H594" s="3" t="s">
        <v>64</v>
      </c>
      <c r="I594" s="3" t="s">
        <v>90</v>
      </c>
      <c r="J594" s="3" t="s">
        <v>5989</v>
      </c>
      <c r="K594" s="3" t="n">
        <v>103307.78</v>
      </c>
      <c r="L594" s="3" t="n">
        <v>0.2279</v>
      </c>
      <c r="M594" s="3" t="n">
        <v>79763.94</v>
      </c>
      <c r="N594" s="3" t="n">
        <v>32637.52</v>
      </c>
      <c r="O594" s="3" t="n">
        <v>0.4092</v>
      </c>
      <c r="P594" s="3" t="n">
        <v>0.203</v>
      </c>
      <c r="Q594" s="3" t="n">
        <v>16192.08</v>
      </c>
      <c r="R594" s="3" t="n">
        <v>49</v>
      </c>
      <c r="S594" s="3" t="n">
        <v>6.6</v>
      </c>
      <c r="T594" s="3" t="n">
        <v>8.8</v>
      </c>
      <c r="U594" s="3"/>
      <c r="V594" s="3" t="n">
        <v>5.61</v>
      </c>
      <c r="W594" s="3" t="s">
        <v>5990</v>
      </c>
    </row>
    <row r="595" customFormat="false" ht="15" hidden="false" customHeight="true" outlineLevel="0" collapsed="false">
      <c r="A595" s="3" t="s">
        <v>6676</v>
      </c>
      <c r="B595" s="3" t="s">
        <v>3205</v>
      </c>
      <c r="C595" s="3" t="s">
        <v>130</v>
      </c>
      <c r="D595" s="3" t="s">
        <v>103</v>
      </c>
      <c r="E595" s="3" t="s">
        <v>24</v>
      </c>
      <c r="F595" s="3" t="s">
        <v>62</v>
      </c>
      <c r="G595" s="3" t="s">
        <v>63</v>
      </c>
      <c r="H595" s="3" t="s">
        <v>56</v>
      </c>
      <c r="I595" s="3" t="s">
        <v>121</v>
      </c>
      <c r="J595" s="3" t="s">
        <v>5992</v>
      </c>
      <c r="K595" s="3" t="n">
        <v>1704922.25</v>
      </c>
      <c r="L595" s="3" t="n">
        <v>0.2453</v>
      </c>
      <c r="M595" s="3" t="n">
        <v>1286704.82</v>
      </c>
      <c r="N595" s="3" t="n">
        <v>564736.07</v>
      </c>
      <c r="O595" s="3" t="n">
        <v>0.4389</v>
      </c>
      <c r="P595" s="3" t="n">
        <v>0.676</v>
      </c>
      <c r="Q595" s="3" t="n">
        <v>869812.46</v>
      </c>
      <c r="R595" s="3" t="n">
        <v>167</v>
      </c>
      <c r="S595" s="3" t="n">
        <v>2.8</v>
      </c>
      <c r="T595" s="3" t="n">
        <v>4.1</v>
      </c>
      <c r="U595" s="3"/>
      <c r="V595" s="3" t="n">
        <v>5.46</v>
      </c>
      <c r="W595" s="3" t="s">
        <v>5990</v>
      </c>
    </row>
    <row r="596" customFormat="false" ht="15" hidden="false" customHeight="true" outlineLevel="0" collapsed="false">
      <c r="A596" s="3" t="s">
        <v>6677</v>
      </c>
      <c r="B596" s="3" t="s">
        <v>3361</v>
      </c>
      <c r="C596" s="3" t="s">
        <v>1365</v>
      </c>
      <c r="D596" s="3" t="s">
        <v>23</v>
      </c>
      <c r="E596" s="3" t="s">
        <v>24</v>
      </c>
      <c r="F596" s="3" t="s">
        <v>25</v>
      </c>
      <c r="G596" s="3" t="s">
        <v>34</v>
      </c>
      <c r="H596" s="3" t="s">
        <v>77</v>
      </c>
      <c r="I596" s="3" t="s">
        <v>131</v>
      </c>
      <c r="J596" s="3" t="s">
        <v>5999</v>
      </c>
      <c r="K596" s="3" t="n">
        <v>2857088.81</v>
      </c>
      <c r="L596" s="3" t="n">
        <v>0.178</v>
      </c>
      <c r="M596" s="3" t="n">
        <v>2348527</v>
      </c>
      <c r="N596" s="3" t="n">
        <v>788565.6</v>
      </c>
      <c r="O596" s="3" t="n">
        <v>0.3358</v>
      </c>
      <c r="P596" s="3" t="n">
        <v>0.424</v>
      </c>
      <c r="Q596" s="3" t="n">
        <v>995775.45</v>
      </c>
      <c r="R596" s="3" t="n">
        <v>35</v>
      </c>
      <c r="S596" s="3" t="n">
        <v>5.9</v>
      </c>
      <c r="T596" s="3" t="n">
        <v>5.3</v>
      </c>
      <c r="U596" s="3"/>
      <c r="V596" s="3" t="n">
        <v>5.83</v>
      </c>
      <c r="W596" s="3" t="s">
        <v>5990</v>
      </c>
    </row>
    <row r="597" customFormat="false" ht="15" hidden="false" customHeight="true" outlineLevel="0" collapsed="false">
      <c r="A597" s="3" t="s">
        <v>6678</v>
      </c>
      <c r="B597" s="3" t="s">
        <v>1444</v>
      </c>
      <c r="C597" s="3" t="s">
        <v>6679</v>
      </c>
      <c r="D597" s="3" t="s">
        <v>97</v>
      </c>
      <c r="E597" s="3" t="s">
        <v>48</v>
      </c>
      <c r="F597" s="3" t="s">
        <v>40</v>
      </c>
      <c r="G597" s="3" t="s">
        <v>104</v>
      </c>
      <c r="H597" s="3" t="s">
        <v>56</v>
      </c>
      <c r="I597" s="3" t="s">
        <v>57</v>
      </c>
      <c r="J597" s="3" t="s">
        <v>6003</v>
      </c>
      <c r="K597" s="3" t="n">
        <v>2603533.77</v>
      </c>
      <c r="L597" s="3" t="n">
        <v>0.2075</v>
      </c>
      <c r="M597" s="3" t="n">
        <v>2063300.51</v>
      </c>
      <c r="N597" s="3" t="n">
        <v>717073.49</v>
      </c>
      <c r="O597" s="3" t="n">
        <v>0.3475</v>
      </c>
      <c r="P597" s="3" t="n">
        <v>0.062</v>
      </c>
      <c r="Q597" s="3" t="n">
        <v>127924.63</v>
      </c>
      <c r="R597" s="3" t="n">
        <v>36</v>
      </c>
      <c r="S597" s="3" t="n">
        <v>3.1</v>
      </c>
      <c r="T597" s="3" t="n">
        <v>8.2</v>
      </c>
      <c r="U597" s="3"/>
      <c r="V597" s="3" t="n">
        <v>4.52</v>
      </c>
      <c r="W597" s="3" t="s">
        <v>6000</v>
      </c>
    </row>
    <row r="598" customFormat="false" ht="15" hidden="false" customHeight="true" outlineLevel="0" collapsed="false">
      <c r="A598" s="3" t="s">
        <v>6680</v>
      </c>
      <c r="B598" s="3" t="s">
        <v>2019</v>
      </c>
      <c r="C598" s="3" t="s">
        <v>6681</v>
      </c>
      <c r="D598" s="3" t="s">
        <v>38</v>
      </c>
      <c r="E598" s="3" t="s">
        <v>39</v>
      </c>
      <c r="F598" s="3" t="s">
        <v>40</v>
      </c>
      <c r="G598" s="3" t="s">
        <v>41</v>
      </c>
      <c r="H598" s="3" t="s">
        <v>42</v>
      </c>
      <c r="I598" s="3" t="s">
        <v>72</v>
      </c>
      <c r="J598" s="3" t="s">
        <v>5989</v>
      </c>
      <c r="K598" s="3" t="n">
        <v>514122.44</v>
      </c>
      <c r="L598" s="3" t="n">
        <v>0.1088</v>
      </c>
      <c r="M598" s="3" t="n">
        <v>458185.92</v>
      </c>
      <c r="N598" s="3" t="n">
        <v>194684.55</v>
      </c>
      <c r="O598" s="3" t="n">
        <v>0.4249</v>
      </c>
      <c r="P598" s="3" t="n">
        <v>0.201</v>
      </c>
      <c r="Q598" s="3" t="n">
        <v>92095.37</v>
      </c>
      <c r="R598" s="3" t="n">
        <v>127</v>
      </c>
      <c r="S598" s="3" t="n">
        <v>5.2</v>
      </c>
      <c r="T598" s="3" t="n">
        <v>7.8</v>
      </c>
      <c r="U598" s="3"/>
      <c r="V598" s="3" t="n">
        <v>6.52</v>
      </c>
      <c r="W598" s="3" t="s">
        <v>5997</v>
      </c>
    </row>
    <row r="599" customFormat="false" ht="15" hidden="false" customHeight="true" outlineLevel="0" collapsed="false">
      <c r="A599" s="3" t="s">
        <v>6682</v>
      </c>
      <c r="B599" s="3" t="s">
        <v>2230</v>
      </c>
      <c r="C599" s="3" t="s">
        <v>2750</v>
      </c>
      <c r="D599" s="3" t="s">
        <v>61</v>
      </c>
      <c r="E599" s="3" t="s">
        <v>33</v>
      </c>
      <c r="F599" s="3" t="s">
        <v>62</v>
      </c>
      <c r="G599" s="3" t="s">
        <v>100</v>
      </c>
      <c r="H599" s="3" t="s">
        <v>64</v>
      </c>
      <c r="I599" s="3" t="s">
        <v>90</v>
      </c>
      <c r="J599" s="3" t="s">
        <v>5999</v>
      </c>
      <c r="K599" s="3" t="n">
        <v>3028379.24</v>
      </c>
      <c r="L599" s="3" t="n">
        <v>0.11</v>
      </c>
      <c r="M599" s="3" t="n">
        <v>2695257.52</v>
      </c>
      <c r="N599" s="3" t="n">
        <v>891764.09</v>
      </c>
      <c r="O599" s="3" t="n">
        <v>0.3309</v>
      </c>
      <c r="P599" s="3" t="n">
        <v>0.465</v>
      </c>
      <c r="Q599" s="3" t="n">
        <v>1253294.75</v>
      </c>
      <c r="R599" s="3" t="n">
        <v>171</v>
      </c>
      <c r="S599" s="3" t="n">
        <v>8.6</v>
      </c>
      <c r="T599" s="3" t="n">
        <v>7.5</v>
      </c>
      <c r="U599" s="3"/>
      <c r="V599" s="3" t="n">
        <v>6.69</v>
      </c>
      <c r="W599" s="3" t="s">
        <v>5997</v>
      </c>
    </row>
    <row r="600" customFormat="false" ht="15" hidden="false" customHeight="true" outlineLevel="0" collapsed="false">
      <c r="A600" s="3" t="s">
        <v>6683</v>
      </c>
      <c r="B600" s="3" t="s">
        <v>854</v>
      </c>
      <c r="C600" s="3" t="s">
        <v>2524</v>
      </c>
      <c r="D600" s="3" t="s">
        <v>69</v>
      </c>
      <c r="E600" s="3" t="s">
        <v>39</v>
      </c>
      <c r="F600" s="3" t="s">
        <v>70</v>
      </c>
      <c r="G600" s="3" t="s">
        <v>26</v>
      </c>
      <c r="H600" s="3" t="s">
        <v>64</v>
      </c>
      <c r="I600" s="3" t="s">
        <v>108</v>
      </c>
      <c r="J600" s="3" t="s">
        <v>6003</v>
      </c>
      <c r="K600" s="3" t="n">
        <v>2562076.76</v>
      </c>
      <c r="L600" s="3" t="n">
        <v>0.0854</v>
      </c>
      <c r="M600" s="3" t="n">
        <v>2343275.4</v>
      </c>
      <c r="N600" s="3" t="n">
        <v>712735.34</v>
      </c>
      <c r="O600" s="3" t="n">
        <v>0.3042</v>
      </c>
      <c r="P600" s="3" t="n">
        <v>0.102</v>
      </c>
      <c r="Q600" s="3" t="n">
        <v>239014.09</v>
      </c>
      <c r="R600" s="3" t="n">
        <v>86</v>
      </c>
      <c r="S600" s="3" t="n">
        <v>6.9</v>
      </c>
      <c r="T600" s="3" t="n">
        <v>7.4</v>
      </c>
      <c r="U600" s="3"/>
      <c r="V600" s="3" t="n">
        <v>6.29</v>
      </c>
      <c r="W600" s="3" t="s">
        <v>5990</v>
      </c>
    </row>
    <row r="601" customFormat="false" ht="15" hidden="false" customHeight="true" outlineLevel="0" collapsed="false">
      <c r="A601" s="3" t="s">
        <v>6684</v>
      </c>
      <c r="B601" s="3" t="s">
        <v>824</v>
      </c>
      <c r="C601" s="3" t="s">
        <v>4468</v>
      </c>
      <c r="D601" s="3" t="s">
        <v>103</v>
      </c>
      <c r="E601" s="3" t="s">
        <v>24</v>
      </c>
      <c r="F601" s="3" t="s">
        <v>62</v>
      </c>
      <c r="G601" s="3" t="s">
        <v>84</v>
      </c>
      <c r="H601" s="3" t="s">
        <v>27</v>
      </c>
      <c r="I601" s="3" t="s">
        <v>94</v>
      </c>
      <c r="J601" s="3" t="s">
        <v>5992</v>
      </c>
      <c r="K601" s="3" t="n">
        <v>4389951.07</v>
      </c>
      <c r="L601" s="3" t="n">
        <v>0.1904</v>
      </c>
      <c r="M601" s="3" t="n">
        <v>3554104.39</v>
      </c>
      <c r="N601" s="3" t="n">
        <v>1410706.57</v>
      </c>
      <c r="O601" s="3" t="n">
        <v>0.3969</v>
      </c>
      <c r="P601" s="3" t="n">
        <v>0.685</v>
      </c>
      <c r="Q601" s="3" t="n">
        <v>2434561.51</v>
      </c>
      <c r="R601" s="3" t="n">
        <v>164</v>
      </c>
      <c r="S601" s="3" t="n">
        <v>2</v>
      </c>
      <c r="T601" s="3" t="n">
        <v>7.8</v>
      </c>
      <c r="U601" s="3"/>
      <c r="V601" s="3" t="n">
        <v>4.83</v>
      </c>
      <c r="W601" s="3" t="s">
        <v>6000</v>
      </c>
    </row>
    <row r="602" customFormat="false" ht="15" hidden="false" customHeight="true" outlineLevel="0" collapsed="false">
      <c r="A602" s="3" t="s">
        <v>6685</v>
      </c>
      <c r="B602" s="3" t="s">
        <v>1840</v>
      </c>
      <c r="C602" s="3" t="s">
        <v>521</v>
      </c>
      <c r="D602" s="3" t="s">
        <v>54</v>
      </c>
      <c r="E602" s="3" t="s">
        <v>24</v>
      </c>
      <c r="F602" s="3" t="s">
        <v>40</v>
      </c>
      <c r="G602" s="3" t="s">
        <v>55</v>
      </c>
      <c r="H602" s="3" t="s">
        <v>64</v>
      </c>
      <c r="I602" s="3" t="s">
        <v>145</v>
      </c>
      <c r="J602" s="3" t="s">
        <v>5992</v>
      </c>
      <c r="K602" s="3" t="n">
        <v>123555.31</v>
      </c>
      <c r="L602" s="3" t="n">
        <v>0.2454</v>
      </c>
      <c r="M602" s="3" t="n">
        <v>93234.84</v>
      </c>
      <c r="N602" s="3" t="n">
        <v>32967.89</v>
      </c>
      <c r="O602" s="3" t="n">
        <v>0.3536</v>
      </c>
      <c r="P602" s="3" t="n">
        <v>0.666</v>
      </c>
      <c r="Q602" s="3" t="n">
        <v>62094.4</v>
      </c>
      <c r="R602" s="3" t="n">
        <v>89</v>
      </c>
      <c r="S602" s="3" t="n">
        <v>3.5</v>
      </c>
      <c r="T602" s="3" t="n">
        <v>1.9</v>
      </c>
      <c r="U602" s="3"/>
      <c r="V602" s="3" t="n">
        <v>5.3</v>
      </c>
      <c r="W602" s="3" t="s">
        <v>5990</v>
      </c>
    </row>
    <row r="603" customFormat="false" ht="15" hidden="false" customHeight="true" outlineLevel="0" collapsed="false">
      <c r="A603" s="3" t="s">
        <v>6686</v>
      </c>
      <c r="B603" s="3" t="s">
        <v>1473</v>
      </c>
      <c r="C603" s="3" t="s">
        <v>3118</v>
      </c>
      <c r="D603" s="3" t="s">
        <v>32</v>
      </c>
      <c r="E603" s="3" t="s">
        <v>33</v>
      </c>
      <c r="F603" s="3" t="s">
        <v>25</v>
      </c>
      <c r="G603" s="3" t="s">
        <v>71</v>
      </c>
      <c r="H603" s="3" t="s">
        <v>27</v>
      </c>
      <c r="I603" s="3" t="s">
        <v>94</v>
      </c>
      <c r="J603" s="3" t="s">
        <v>5996</v>
      </c>
      <c r="K603" s="3" t="n">
        <v>4923396.82</v>
      </c>
      <c r="L603" s="3" t="n">
        <v>0.263</v>
      </c>
      <c r="M603" s="3" t="n">
        <v>3628543.46</v>
      </c>
      <c r="N603" s="3" t="n">
        <v>1171828.53</v>
      </c>
      <c r="O603" s="3" t="n">
        <v>0.3229</v>
      </c>
      <c r="P603" s="3" t="n">
        <v>0.999</v>
      </c>
      <c r="Q603" s="3" t="n">
        <v>3624914.92</v>
      </c>
      <c r="R603" s="3" t="n">
        <v>140</v>
      </c>
      <c r="S603" s="3" t="n">
        <v>3.5</v>
      </c>
      <c r="T603" s="3" t="n">
        <v>3.3</v>
      </c>
      <c r="U603" s="3"/>
      <c r="V603" s="3" t="n">
        <v>4.7</v>
      </c>
      <c r="W603" s="3" t="s">
        <v>6000</v>
      </c>
    </row>
    <row r="604" customFormat="false" ht="15" hidden="false" customHeight="true" outlineLevel="0" collapsed="false">
      <c r="A604" s="3" t="s">
        <v>6687</v>
      </c>
      <c r="B604" s="3" t="s">
        <v>1735</v>
      </c>
      <c r="C604" s="3" t="s">
        <v>2960</v>
      </c>
      <c r="D604" s="3" t="s">
        <v>69</v>
      </c>
      <c r="E604" s="3" t="s">
        <v>39</v>
      </c>
      <c r="F604" s="3" t="s">
        <v>70</v>
      </c>
      <c r="G604" s="3" t="s">
        <v>26</v>
      </c>
      <c r="H604" s="3" t="s">
        <v>27</v>
      </c>
      <c r="I604" s="3" t="s">
        <v>50</v>
      </c>
      <c r="J604" s="3" t="s">
        <v>5996</v>
      </c>
      <c r="K604" s="3" t="n">
        <v>2891167.39</v>
      </c>
      <c r="L604" s="3" t="n">
        <v>0.133</v>
      </c>
      <c r="M604" s="3" t="n">
        <v>2506642.13</v>
      </c>
      <c r="N604" s="3" t="n">
        <v>798693.05</v>
      </c>
      <c r="O604" s="3" t="n">
        <v>0.3186</v>
      </c>
      <c r="P604" s="3" t="n">
        <v>0.972</v>
      </c>
      <c r="Q604" s="3" t="n">
        <v>2436456.15</v>
      </c>
      <c r="R604" s="3" t="n">
        <v>141</v>
      </c>
      <c r="S604" s="3" t="n">
        <v>3.2</v>
      </c>
      <c r="T604" s="3" t="n">
        <v>4.1</v>
      </c>
      <c r="U604" s="3"/>
      <c r="V604" s="3" t="n">
        <v>5.57</v>
      </c>
      <c r="W604" s="3" t="s">
        <v>5990</v>
      </c>
    </row>
    <row r="605" customFormat="false" ht="15" hidden="false" customHeight="true" outlineLevel="0" collapsed="false">
      <c r="A605" s="3" t="s">
        <v>6688</v>
      </c>
      <c r="B605" s="3" t="s">
        <v>1887</v>
      </c>
      <c r="C605" s="3" t="s">
        <v>1492</v>
      </c>
      <c r="D605" s="3" t="s">
        <v>61</v>
      </c>
      <c r="E605" s="3" t="s">
        <v>33</v>
      </c>
      <c r="F605" s="3" t="s">
        <v>62</v>
      </c>
      <c r="G605" s="3" t="s">
        <v>100</v>
      </c>
      <c r="H605" s="3" t="s">
        <v>64</v>
      </c>
      <c r="I605" s="3" t="s">
        <v>90</v>
      </c>
      <c r="J605" s="3" t="s">
        <v>5989</v>
      </c>
      <c r="K605" s="3" t="n">
        <v>853154.27</v>
      </c>
      <c r="L605" s="3" t="n">
        <v>0.0704</v>
      </c>
      <c r="M605" s="3" t="n">
        <v>793092.21</v>
      </c>
      <c r="N605" s="3" t="n">
        <v>241325.38</v>
      </c>
      <c r="O605" s="3" t="n">
        <v>0.3043</v>
      </c>
      <c r="P605" s="3" t="n">
        <v>0.296</v>
      </c>
      <c r="Q605" s="3" t="n">
        <v>234755.29</v>
      </c>
      <c r="R605" s="3" t="n">
        <v>170</v>
      </c>
      <c r="S605" s="3" t="n">
        <v>7.2</v>
      </c>
      <c r="T605" s="3" t="n">
        <v>6.5</v>
      </c>
      <c r="U605" s="3"/>
      <c r="V605" s="3" t="n">
        <v>6.63</v>
      </c>
      <c r="W605" s="3" t="s">
        <v>5997</v>
      </c>
    </row>
    <row r="606" customFormat="false" ht="15" hidden="false" customHeight="true" outlineLevel="0" collapsed="false">
      <c r="A606" s="3" t="s">
        <v>6689</v>
      </c>
      <c r="B606" s="3" t="s">
        <v>2526</v>
      </c>
      <c r="C606" s="3" t="s">
        <v>984</v>
      </c>
      <c r="D606" s="3" t="s">
        <v>107</v>
      </c>
      <c r="E606" s="3" t="s">
        <v>33</v>
      </c>
      <c r="F606" s="3" t="s">
        <v>70</v>
      </c>
      <c r="G606" s="3" t="s">
        <v>63</v>
      </c>
      <c r="H606" s="3" t="s">
        <v>42</v>
      </c>
      <c r="I606" s="3" t="s">
        <v>134</v>
      </c>
      <c r="J606" s="3" t="s">
        <v>5989</v>
      </c>
      <c r="K606" s="3" t="n">
        <v>507447.06</v>
      </c>
      <c r="L606" s="3" t="n">
        <v>0.2883</v>
      </c>
      <c r="M606" s="3" t="n">
        <v>361150.07</v>
      </c>
      <c r="N606" s="3" t="n">
        <v>172724.24</v>
      </c>
      <c r="O606" s="3" t="n">
        <v>0.4783</v>
      </c>
      <c r="P606" s="3" t="n">
        <v>0.216</v>
      </c>
      <c r="Q606" s="3" t="n">
        <v>78008.42</v>
      </c>
      <c r="R606" s="3" t="n">
        <v>120</v>
      </c>
      <c r="S606" s="3" t="n">
        <v>5.6</v>
      </c>
      <c r="T606" s="3" t="n">
        <v>9.5</v>
      </c>
      <c r="U606" s="3"/>
      <c r="V606" s="3" t="n">
        <v>5.08</v>
      </c>
      <c r="W606" s="3" t="s">
        <v>5990</v>
      </c>
    </row>
    <row r="607" customFormat="false" ht="15" hidden="false" customHeight="true" outlineLevel="0" collapsed="false">
      <c r="A607" s="3" t="s">
        <v>6690</v>
      </c>
      <c r="B607" s="3" t="s">
        <v>3196</v>
      </c>
      <c r="C607" s="3" t="s">
        <v>6093</v>
      </c>
      <c r="D607" s="3" t="s">
        <v>75</v>
      </c>
      <c r="E607" s="3" t="s">
        <v>39</v>
      </c>
      <c r="F607" s="3" t="s">
        <v>25</v>
      </c>
      <c r="G607" s="3" t="s">
        <v>84</v>
      </c>
      <c r="H607" s="3" t="s">
        <v>42</v>
      </c>
      <c r="I607" s="3" t="s">
        <v>43</v>
      </c>
      <c r="J607" s="3" t="s">
        <v>5996</v>
      </c>
      <c r="K607" s="3" t="n">
        <v>3299293.1</v>
      </c>
      <c r="L607" s="3" t="n">
        <v>0.1582</v>
      </c>
      <c r="M607" s="3" t="n">
        <v>2777344.93</v>
      </c>
      <c r="N607" s="3" t="n">
        <v>933724.32</v>
      </c>
      <c r="O607" s="3" t="n">
        <v>0.3362</v>
      </c>
      <c r="P607" s="3" t="n">
        <v>1</v>
      </c>
      <c r="Q607" s="3" t="n">
        <v>2777344.93</v>
      </c>
      <c r="R607" s="3" t="n">
        <v>100</v>
      </c>
      <c r="S607" s="3" t="n">
        <v>2.9</v>
      </c>
      <c r="T607" s="3" t="n">
        <v>2.4</v>
      </c>
      <c r="U607" s="3"/>
      <c r="V607" s="3" t="n">
        <v>5.66</v>
      </c>
      <c r="W607" s="3" t="s">
        <v>5990</v>
      </c>
    </row>
    <row r="608" customFormat="false" ht="15" hidden="false" customHeight="true" outlineLevel="0" collapsed="false">
      <c r="A608" s="3" t="s">
        <v>6691</v>
      </c>
      <c r="B608" s="3" t="s">
        <v>1119</v>
      </c>
      <c r="C608" s="3" t="s">
        <v>349</v>
      </c>
      <c r="D608" s="3" t="s">
        <v>38</v>
      </c>
      <c r="E608" s="3" t="s">
        <v>39</v>
      </c>
      <c r="F608" s="3" t="s">
        <v>40</v>
      </c>
      <c r="G608" s="3" t="s">
        <v>26</v>
      </c>
      <c r="H608" s="3" t="s">
        <v>64</v>
      </c>
      <c r="I608" s="3" t="s">
        <v>65</v>
      </c>
      <c r="J608" s="3" t="s">
        <v>5989</v>
      </c>
      <c r="K608" s="3" t="n">
        <v>3632556.26</v>
      </c>
      <c r="L608" s="3" t="n">
        <v>0.061</v>
      </c>
      <c r="M608" s="3" t="n">
        <v>3410970.33</v>
      </c>
      <c r="N608" s="3" t="n">
        <v>1054889.77</v>
      </c>
      <c r="O608" s="3" t="n">
        <v>0.3093</v>
      </c>
      <c r="P608" s="3" t="n">
        <v>0.227</v>
      </c>
      <c r="Q608" s="3" t="n">
        <v>774290.26</v>
      </c>
      <c r="R608" s="3" t="n">
        <v>75</v>
      </c>
      <c r="S608" s="3" t="n">
        <v>9.3</v>
      </c>
      <c r="T608" s="3" t="n">
        <v>4.4</v>
      </c>
      <c r="U608" s="3"/>
      <c r="V608" s="3" t="n">
        <v>7.58</v>
      </c>
      <c r="W608" s="3" t="s">
        <v>5997</v>
      </c>
    </row>
    <row r="609" customFormat="false" ht="15" hidden="false" customHeight="true" outlineLevel="0" collapsed="false">
      <c r="A609" s="3" t="s">
        <v>6692</v>
      </c>
      <c r="B609" s="3" t="s">
        <v>2330</v>
      </c>
      <c r="C609" s="3" t="s">
        <v>5062</v>
      </c>
      <c r="D609" s="3" t="s">
        <v>97</v>
      </c>
      <c r="E609" s="3" t="s">
        <v>48</v>
      </c>
      <c r="F609" s="3" t="s">
        <v>40</v>
      </c>
      <c r="G609" s="3" t="s">
        <v>104</v>
      </c>
      <c r="H609" s="3" t="s">
        <v>56</v>
      </c>
      <c r="I609" s="3" t="s">
        <v>57</v>
      </c>
      <c r="J609" s="3" t="s">
        <v>5992</v>
      </c>
      <c r="K609" s="3" t="n">
        <v>4108258.62</v>
      </c>
      <c r="L609" s="3" t="n">
        <v>0.0707</v>
      </c>
      <c r="M609" s="3" t="n">
        <v>3817804.74</v>
      </c>
      <c r="N609" s="3" t="n">
        <v>1202412.09</v>
      </c>
      <c r="O609" s="3" t="n">
        <v>0.3149</v>
      </c>
      <c r="P609" s="3" t="n">
        <v>0.744</v>
      </c>
      <c r="Q609" s="3" t="n">
        <v>2840446.73</v>
      </c>
      <c r="R609" s="3" t="n">
        <v>144</v>
      </c>
      <c r="S609" s="3" t="n">
        <v>9.4</v>
      </c>
      <c r="T609" s="3" t="n">
        <v>3.3</v>
      </c>
      <c r="U609" s="3"/>
      <c r="V609" s="3" t="n">
        <v>7.7</v>
      </c>
      <c r="W609" s="3" t="s">
        <v>5997</v>
      </c>
    </row>
    <row r="610" customFormat="false" ht="15" hidden="false" customHeight="true" outlineLevel="0" collapsed="false">
      <c r="A610" s="3" t="s">
        <v>6693</v>
      </c>
      <c r="B610" s="3" t="s">
        <v>96</v>
      </c>
      <c r="C610" s="3" t="s">
        <v>333</v>
      </c>
      <c r="D610" s="3" t="s">
        <v>54</v>
      </c>
      <c r="E610" s="3" t="s">
        <v>24</v>
      </c>
      <c r="F610" s="3" t="s">
        <v>40</v>
      </c>
      <c r="G610" s="3" t="s">
        <v>26</v>
      </c>
      <c r="H610" s="3" t="s">
        <v>56</v>
      </c>
      <c r="I610" s="3" t="s">
        <v>57</v>
      </c>
      <c r="J610" s="3" t="s">
        <v>5992</v>
      </c>
      <c r="K610" s="3" t="n">
        <v>746959.2</v>
      </c>
      <c r="L610" s="3" t="n">
        <v>0.1237</v>
      </c>
      <c r="M610" s="3" t="n">
        <v>654560.35</v>
      </c>
      <c r="N610" s="3" t="n">
        <v>203876.97</v>
      </c>
      <c r="O610" s="3" t="n">
        <v>0.3115</v>
      </c>
      <c r="P610" s="3" t="n">
        <v>0.679</v>
      </c>
      <c r="Q610" s="3" t="n">
        <v>444446.48</v>
      </c>
      <c r="R610" s="3" t="n">
        <v>28</v>
      </c>
      <c r="S610" s="3" t="n">
        <v>3.3</v>
      </c>
      <c r="T610" s="3" t="n">
        <v>8.5</v>
      </c>
      <c r="U610" s="3"/>
      <c r="V610" s="3" t="n">
        <v>4.94</v>
      </c>
      <c r="W610" s="3" t="s">
        <v>6000</v>
      </c>
    </row>
    <row r="611" customFormat="false" ht="15" hidden="false" customHeight="true" outlineLevel="0" collapsed="false">
      <c r="A611" s="3" t="s">
        <v>6694</v>
      </c>
      <c r="B611" s="3" t="s">
        <v>2799</v>
      </c>
      <c r="C611" s="3" t="s">
        <v>2808</v>
      </c>
      <c r="D611" s="3" t="s">
        <v>75</v>
      </c>
      <c r="E611" s="3" t="s">
        <v>39</v>
      </c>
      <c r="F611" s="3" t="s">
        <v>25</v>
      </c>
      <c r="G611" s="3" t="s">
        <v>49</v>
      </c>
      <c r="H611" s="3" t="s">
        <v>27</v>
      </c>
      <c r="I611" s="3" t="s">
        <v>173</v>
      </c>
      <c r="J611" s="3" t="s">
        <v>5999</v>
      </c>
      <c r="K611" s="3" t="n">
        <v>2866586.66</v>
      </c>
      <c r="L611" s="3" t="n">
        <v>0.1967</v>
      </c>
      <c r="M611" s="3" t="n">
        <v>2302729.06</v>
      </c>
      <c r="N611" s="3" t="n">
        <v>671789.02</v>
      </c>
      <c r="O611" s="3" t="n">
        <v>0.2917</v>
      </c>
      <c r="P611" s="3" t="n">
        <v>0.41</v>
      </c>
      <c r="Q611" s="3" t="n">
        <v>944118.91</v>
      </c>
      <c r="R611" s="3" t="n">
        <v>97</v>
      </c>
      <c r="S611" s="3" t="n">
        <v>3.6</v>
      </c>
      <c r="T611" s="3" t="n">
        <v>3.3</v>
      </c>
      <c r="U611" s="3"/>
      <c r="V611" s="3" t="n">
        <v>5.03</v>
      </c>
      <c r="W611" s="3" t="s">
        <v>5990</v>
      </c>
    </row>
    <row r="612" customFormat="false" ht="15" hidden="false" customHeight="true" outlineLevel="0" collapsed="false">
      <c r="A612" s="3" t="s">
        <v>6695</v>
      </c>
      <c r="B612" s="3" t="s">
        <v>702</v>
      </c>
      <c r="C612" s="3" t="s">
        <v>1447</v>
      </c>
      <c r="D612" s="3" t="s">
        <v>47</v>
      </c>
      <c r="E612" s="3" t="s">
        <v>48</v>
      </c>
      <c r="F612" s="3" t="s">
        <v>25</v>
      </c>
      <c r="G612" s="3" t="s">
        <v>76</v>
      </c>
      <c r="H612" s="3" t="s">
        <v>42</v>
      </c>
      <c r="I612" s="3" t="s">
        <v>134</v>
      </c>
      <c r="J612" s="3" t="s">
        <v>5992</v>
      </c>
      <c r="K612" s="3" t="n">
        <v>4001153.87</v>
      </c>
      <c r="L612" s="3" t="n">
        <v>0.2348</v>
      </c>
      <c r="M612" s="3" t="n">
        <v>3061682.94</v>
      </c>
      <c r="N612" s="3" t="n">
        <v>1371602.69</v>
      </c>
      <c r="O612" s="3" t="n">
        <v>0.448</v>
      </c>
      <c r="P612" s="3" t="n">
        <v>0.726</v>
      </c>
      <c r="Q612" s="3" t="n">
        <v>2222781.81</v>
      </c>
      <c r="R612" s="3" t="n">
        <v>144</v>
      </c>
      <c r="S612" s="3" t="n">
        <v>5.8</v>
      </c>
      <c r="T612" s="3" t="n">
        <v>8.2</v>
      </c>
      <c r="U612" s="3"/>
      <c r="V612" s="3" t="n">
        <v>5.77</v>
      </c>
      <c r="W612" s="3" t="s">
        <v>5990</v>
      </c>
    </row>
    <row r="613" customFormat="false" ht="15" hidden="false" customHeight="true" outlineLevel="0" collapsed="false">
      <c r="A613" s="3" t="s">
        <v>6696</v>
      </c>
      <c r="B613" s="3" t="s">
        <v>1974</v>
      </c>
      <c r="C613" s="3" t="s">
        <v>3018</v>
      </c>
      <c r="D613" s="3" t="s">
        <v>54</v>
      </c>
      <c r="E613" s="3" t="s">
        <v>24</v>
      </c>
      <c r="F613" s="3" t="s">
        <v>40</v>
      </c>
      <c r="G613" s="3" t="s">
        <v>104</v>
      </c>
      <c r="H613" s="3" t="s">
        <v>77</v>
      </c>
      <c r="I613" s="3" t="s">
        <v>78</v>
      </c>
      <c r="J613" s="3" t="s">
        <v>5996</v>
      </c>
      <c r="K613" s="3" t="n">
        <v>3071364.05</v>
      </c>
      <c r="L613" s="3" t="n">
        <v>0.2738</v>
      </c>
      <c r="M613" s="3" t="n">
        <v>2230424.57</v>
      </c>
      <c r="N613" s="3" t="n">
        <v>959081.57</v>
      </c>
      <c r="O613" s="3" t="n">
        <v>0.43</v>
      </c>
      <c r="P613" s="3" t="n">
        <v>1</v>
      </c>
      <c r="Q613" s="3" t="n">
        <v>2230424.57</v>
      </c>
      <c r="R613" s="3" t="n">
        <v>135</v>
      </c>
      <c r="S613" s="3" t="n">
        <v>3.6</v>
      </c>
      <c r="T613" s="3" t="n">
        <v>1.7</v>
      </c>
      <c r="U613" s="3"/>
      <c r="V613" s="3" t="n">
        <v>5.73</v>
      </c>
      <c r="W613" s="3" t="s">
        <v>5990</v>
      </c>
    </row>
    <row r="614" customFormat="false" ht="15" hidden="false" customHeight="true" outlineLevel="0" collapsed="false">
      <c r="A614" s="3" t="s">
        <v>6697</v>
      </c>
      <c r="B614" s="3" t="s">
        <v>500</v>
      </c>
      <c r="C614" s="3" t="s">
        <v>991</v>
      </c>
      <c r="D614" s="3" t="s">
        <v>38</v>
      </c>
      <c r="E614" s="3" t="s">
        <v>39</v>
      </c>
      <c r="F614" s="3" t="s">
        <v>40</v>
      </c>
      <c r="G614" s="3" t="s">
        <v>63</v>
      </c>
      <c r="H614" s="3" t="s">
        <v>27</v>
      </c>
      <c r="I614" s="3" t="s">
        <v>117</v>
      </c>
      <c r="J614" s="3" t="s">
        <v>5996</v>
      </c>
      <c r="K614" s="3" t="n">
        <v>3106397.96</v>
      </c>
      <c r="L614" s="3" t="n">
        <v>0.1748</v>
      </c>
      <c r="M614" s="3" t="n">
        <v>2563399.6</v>
      </c>
      <c r="N614" s="3" t="n">
        <v>1096810.75</v>
      </c>
      <c r="O614" s="3" t="n">
        <v>0.4279</v>
      </c>
      <c r="P614" s="3" t="n">
        <v>0.971</v>
      </c>
      <c r="Q614" s="3" t="n">
        <v>2489061.01</v>
      </c>
      <c r="R614" s="3" t="n">
        <v>171</v>
      </c>
      <c r="S614" s="3" t="n">
        <v>5.4</v>
      </c>
      <c r="T614" s="3" t="n">
        <v>9.1</v>
      </c>
      <c r="U614" s="3"/>
      <c r="V614" s="3" t="n">
        <v>5.86</v>
      </c>
      <c r="W614" s="3" t="s">
        <v>5990</v>
      </c>
    </row>
    <row r="615" customFormat="false" ht="15" hidden="false" customHeight="true" outlineLevel="0" collapsed="false">
      <c r="A615" s="3" t="s">
        <v>6698</v>
      </c>
      <c r="B615" s="3" t="s">
        <v>440</v>
      </c>
      <c r="C615" s="3" t="s">
        <v>2346</v>
      </c>
      <c r="D615" s="3" t="s">
        <v>75</v>
      </c>
      <c r="E615" s="3" t="s">
        <v>39</v>
      </c>
      <c r="F615" s="3" t="s">
        <v>25</v>
      </c>
      <c r="G615" s="3" t="s">
        <v>116</v>
      </c>
      <c r="H615" s="3" t="s">
        <v>77</v>
      </c>
      <c r="I615" s="3" t="s">
        <v>85</v>
      </c>
      <c r="J615" s="3" t="s">
        <v>6009</v>
      </c>
      <c r="K615" s="3" t="n">
        <v>1294228.08</v>
      </c>
      <c r="L615" s="3" t="n">
        <v>0.0879</v>
      </c>
      <c r="M615" s="3" t="n">
        <v>1180465.43</v>
      </c>
      <c r="N615" s="3" t="n">
        <v>505856.43</v>
      </c>
      <c r="O615" s="3" t="n">
        <v>0.4285</v>
      </c>
      <c r="P615" s="3" t="n">
        <v>0.047</v>
      </c>
      <c r="Q615" s="3" t="n">
        <v>55481.88</v>
      </c>
      <c r="R615" s="3" t="n">
        <v>95</v>
      </c>
      <c r="S615" s="3" t="n">
        <v>9.9</v>
      </c>
      <c r="T615" s="3" t="n">
        <v>1</v>
      </c>
      <c r="U615" s="3" t="s">
        <v>6116</v>
      </c>
      <c r="V615" s="3" t="n">
        <v>8.92</v>
      </c>
      <c r="W615" s="3" t="s">
        <v>5997</v>
      </c>
    </row>
    <row r="616" customFormat="false" ht="15" hidden="false" customHeight="true" outlineLevel="0" collapsed="false">
      <c r="A616" s="3" t="s">
        <v>6699</v>
      </c>
      <c r="B616" s="3" t="s">
        <v>1186</v>
      </c>
      <c r="C616" s="3" t="s">
        <v>2964</v>
      </c>
      <c r="D616" s="3" t="s">
        <v>107</v>
      </c>
      <c r="E616" s="3" t="s">
        <v>33</v>
      </c>
      <c r="F616" s="3" t="s">
        <v>70</v>
      </c>
      <c r="G616" s="3" t="s">
        <v>116</v>
      </c>
      <c r="H616" s="3" t="s">
        <v>64</v>
      </c>
      <c r="I616" s="3" t="s">
        <v>145</v>
      </c>
      <c r="J616" s="3" t="s">
        <v>5989</v>
      </c>
      <c r="K616" s="3" t="n">
        <v>2400293.48</v>
      </c>
      <c r="L616" s="3" t="n">
        <v>0.0951</v>
      </c>
      <c r="M616" s="3" t="n">
        <v>2172025.57</v>
      </c>
      <c r="N616" s="3" t="n">
        <v>619176.39</v>
      </c>
      <c r="O616" s="3" t="n">
        <v>0.2851</v>
      </c>
      <c r="P616" s="3" t="n">
        <v>0.204</v>
      </c>
      <c r="Q616" s="3" t="n">
        <v>443093.22</v>
      </c>
      <c r="R616" s="3" t="n">
        <v>51</v>
      </c>
      <c r="S616" s="3" t="n">
        <v>3.7</v>
      </c>
      <c r="T616" s="3" t="n">
        <v>1.6</v>
      </c>
      <c r="U616" s="3"/>
      <c r="V616" s="3" t="n">
        <v>6.09</v>
      </c>
      <c r="W616" s="3" t="s">
        <v>5990</v>
      </c>
    </row>
    <row r="617" customFormat="false" ht="15" hidden="false" customHeight="true" outlineLevel="0" collapsed="false">
      <c r="A617" s="3" t="s">
        <v>6700</v>
      </c>
      <c r="B617" s="3" t="s">
        <v>177</v>
      </c>
      <c r="C617" s="3" t="s">
        <v>797</v>
      </c>
      <c r="D617" s="3" t="s">
        <v>83</v>
      </c>
      <c r="E617" s="3" t="s">
        <v>48</v>
      </c>
      <c r="F617" s="3" t="s">
        <v>62</v>
      </c>
      <c r="G617" s="3" t="s">
        <v>84</v>
      </c>
      <c r="H617" s="3" t="s">
        <v>42</v>
      </c>
      <c r="I617" s="3" t="s">
        <v>43</v>
      </c>
      <c r="J617" s="3" t="s">
        <v>6003</v>
      </c>
      <c r="K617" s="3" t="n">
        <v>3390210.77</v>
      </c>
      <c r="L617" s="3" t="n">
        <v>0.264</v>
      </c>
      <c r="M617" s="3" t="n">
        <v>2495195.13</v>
      </c>
      <c r="N617" s="3" t="n">
        <v>1079816.63</v>
      </c>
      <c r="O617" s="3" t="n">
        <v>0.4328</v>
      </c>
      <c r="P617" s="3" t="n">
        <v>0.142</v>
      </c>
      <c r="Q617" s="3" t="n">
        <v>354317.71</v>
      </c>
      <c r="R617" s="3" t="n">
        <v>166</v>
      </c>
      <c r="S617" s="3" t="n">
        <v>6.4</v>
      </c>
      <c r="T617" s="3" t="n">
        <v>7</v>
      </c>
      <c r="U617" s="3"/>
      <c r="V617" s="3" t="n">
        <v>5.71</v>
      </c>
      <c r="W617" s="3" t="s">
        <v>5990</v>
      </c>
    </row>
    <row r="618" customFormat="false" ht="15" hidden="false" customHeight="true" outlineLevel="0" collapsed="false">
      <c r="A618" s="3" t="s">
        <v>6701</v>
      </c>
      <c r="B618" s="3" t="s">
        <v>1141</v>
      </c>
      <c r="C618" s="3" t="s">
        <v>1535</v>
      </c>
      <c r="D618" s="3" t="s">
        <v>107</v>
      </c>
      <c r="E618" s="3" t="s">
        <v>33</v>
      </c>
      <c r="F618" s="3" t="s">
        <v>70</v>
      </c>
      <c r="G618" s="3" t="s">
        <v>34</v>
      </c>
      <c r="H618" s="3" t="s">
        <v>77</v>
      </c>
      <c r="I618" s="3" t="s">
        <v>78</v>
      </c>
      <c r="J618" s="3" t="s">
        <v>5989</v>
      </c>
      <c r="K618" s="3" t="n">
        <v>1895481.49</v>
      </c>
      <c r="L618" s="3" t="n">
        <v>0.0742</v>
      </c>
      <c r="M618" s="3" t="n">
        <v>1754836.76</v>
      </c>
      <c r="N618" s="3" t="n">
        <v>842095.96</v>
      </c>
      <c r="O618" s="3" t="n">
        <v>0.4799</v>
      </c>
      <c r="P618" s="3" t="n">
        <v>0.219</v>
      </c>
      <c r="Q618" s="3" t="n">
        <v>384309.25</v>
      </c>
      <c r="R618" s="3" t="n">
        <v>149</v>
      </c>
      <c r="S618" s="3" t="n">
        <v>6.8</v>
      </c>
      <c r="T618" s="3" t="n">
        <v>4.3</v>
      </c>
      <c r="U618" s="3"/>
      <c r="V618" s="3" t="n">
        <v>7.93</v>
      </c>
      <c r="W618" s="3" t="s">
        <v>5997</v>
      </c>
    </row>
    <row r="619" customFormat="false" ht="15" hidden="false" customHeight="true" outlineLevel="0" collapsed="false">
      <c r="A619" s="3" t="s">
        <v>6702</v>
      </c>
      <c r="B619" s="3" t="s">
        <v>4607</v>
      </c>
      <c r="C619" s="3" t="s">
        <v>1110</v>
      </c>
      <c r="D619" s="3" t="s">
        <v>23</v>
      </c>
      <c r="E619" s="3" t="s">
        <v>24</v>
      </c>
      <c r="F619" s="3" t="s">
        <v>25</v>
      </c>
      <c r="G619" s="3" t="s">
        <v>63</v>
      </c>
      <c r="H619" s="3" t="s">
        <v>56</v>
      </c>
      <c r="I619" s="3" t="s">
        <v>188</v>
      </c>
      <c r="J619" s="3" t="s">
        <v>6009</v>
      </c>
      <c r="K619" s="3" t="n">
        <v>837629.95</v>
      </c>
      <c r="L619" s="3" t="n">
        <v>0.0719</v>
      </c>
      <c r="M619" s="3" t="n">
        <v>777404.36</v>
      </c>
      <c r="N619" s="3" t="n">
        <v>279303.14</v>
      </c>
      <c r="O619" s="3" t="n">
        <v>0.3593</v>
      </c>
      <c r="P619" s="3" t="n">
        <v>0.023</v>
      </c>
      <c r="Q619" s="3" t="n">
        <v>17880.3</v>
      </c>
      <c r="R619" s="3" t="n">
        <v>39</v>
      </c>
      <c r="S619" s="3" t="n">
        <v>6</v>
      </c>
      <c r="T619" s="3" t="n">
        <v>4.1</v>
      </c>
      <c r="U619" s="3" t="s">
        <v>6025</v>
      </c>
      <c r="V619" s="3" t="n">
        <v>7.08</v>
      </c>
      <c r="W619" s="3" t="s">
        <v>5997</v>
      </c>
    </row>
    <row r="620" customFormat="false" ht="15" hidden="false" customHeight="true" outlineLevel="0" collapsed="false">
      <c r="A620" s="3" t="s">
        <v>6703</v>
      </c>
      <c r="B620" s="3" t="s">
        <v>726</v>
      </c>
      <c r="C620" s="3" t="s">
        <v>6704</v>
      </c>
      <c r="D620" s="3" t="s">
        <v>38</v>
      </c>
      <c r="E620" s="3" t="s">
        <v>39</v>
      </c>
      <c r="F620" s="3" t="s">
        <v>40</v>
      </c>
      <c r="G620" s="3" t="s">
        <v>26</v>
      </c>
      <c r="H620" s="3" t="s">
        <v>56</v>
      </c>
      <c r="I620" s="3" t="s">
        <v>121</v>
      </c>
      <c r="J620" s="3" t="s">
        <v>5996</v>
      </c>
      <c r="K620" s="3" t="n">
        <v>2662459.02</v>
      </c>
      <c r="L620" s="3" t="n">
        <v>0.278</v>
      </c>
      <c r="M620" s="3" t="n">
        <v>1922295.41</v>
      </c>
      <c r="N620" s="3" t="n">
        <v>615515.88</v>
      </c>
      <c r="O620" s="3" t="n">
        <v>0.3202</v>
      </c>
      <c r="P620" s="3" t="n">
        <v>0.977</v>
      </c>
      <c r="Q620" s="3" t="n">
        <v>1878082.62</v>
      </c>
      <c r="R620" s="3" t="n">
        <v>172</v>
      </c>
      <c r="S620" s="3" t="n">
        <v>6.1</v>
      </c>
      <c r="T620" s="3" t="n">
        <v>5.5</v>
      </c>
      <c r="U620" s="3"/>
      <c r="V620" s="3" t="n">
        <v>4.86</v>
      </c>
      <c r="W620" s="3" t="s">
        <v>6000</v>
      </c>
    </row>
    <row r="621" customFormat="false" ht="15" hidden="false" customHeight="true" outlineLevel="0" collapsed="false">
      <c r="A621" s="3" t="s">
        <v>6705</v>
      </c>
      <c r="B621" s="3" t="s">
        <v>2029</v>
      </c>
      <c r="C621" s="3" t="s">
        <v>6706</v>
      </c>
      <c r="D621" s="3" t="s">
        <v>97</v>
      </c>
      <c r="E621" s="3" t="s">
        <v>48</v>
      </c>
      <c r="F621" s="3" t="s">
        <v>40</v>
      </c>
      <c r="G621" s="3" t="s">
        <v>76</v>
      </c>
      <c r="H621" s="3" t="s">
        <v>56</v>
      </c>
      <c r="I621" s="3" t="s">
        <v>188</v>
      </c>
      <c r="J621" s="3" t="s">
        <v>5989</v>
      </c>
      <c r="K621" s="3" t="n">
        <v>3230503.45</v>
      </c>
      <c r="L621" s="3" t="n">
        <v>0.1529</v>
      </c>
      <c r="M621" s="3" t="n">
        <v>2736559.47</v>
      </c>
      <c r="N621" s="3" t="n">
        <v>1209723.6</v>
      </c>
      <c r="O621" s="3" t="n">
        <v>0.4421</v>
      </c>
      <c r="P621" s="3" t="n">
        <v>0.275</v>
      </c>
      <c r="Q621" s="3" t="n">
        <v>752553.85</v>
      </c>
      <c r="R621" s="3" t="n">
        <v>164</v>
      </c>
      <c r="S621" s="3" t="n">
        <v>9</v>
      </c>
      <c r="T621" s="3" t="n">
        <v>3.9</v>
      </c>
      <c r="U621" s="3"/>
      <c r="V621" s="3" t="n">
        <v>7.82</v>
      </c>
      <c r="W621" s="3" t="s">
        <v>5997</v>
      </c>
    </row>
    <row r="622" customFormat="false" ht="15" hidden="false" customHeight="true" outlineLevel="0" collapsed="false">
      <c r="A622" s="3" t="s">
        <v>6707</v>
      </c>
      <c r="B622" s="3" t="s">
        <v>351</v>
      </c>
      <c r="C622" s="3" t="s">
        <v>1465</v>
      </c>
      <c r="D622" s="3" t="s">
        <v>69</v>
      </c>
      <c r="E622" s="3" t="s">
        <v>39</v>
      </c>
      <c r="F622" s="3" t="s">
        <v>70</v>
      </c>
      <c r="G622" s="3" t="s">
        <v>34</v>
      </c>
      <c r="H622" s="3" t="s">
        <v>42</v>
      </c>
      <c r="I622" s="3" t="s">
        <v>43</v>
      </c>
      <c r="J622" s="3" t="s">
        <v>5989</v>
      </c>
      <c r="K622" s="3" t="n">
        <v>3402094.12</v>
      </c>
      <c r="L622" s="3" t="n">
        <v>0.2281</v>
      </c>
      <c r="M622" s="3" t="n">
        <v>2626076.45</v>
      </c>
      <c r="N622" s="3" t="n">
        <v>856808.2</v>
      </c>
      <c r="O622" s="3" t="n">
        <v>0.3263</v>
      </c>
      <c r="P622" s="3" t="n">
        <v>0.263</v>
      </c>
      <c r="Q622" s="3" t="n">
        <v>690658.11</v>
      </c>
      <c r="R622" s="3" t="n">
        <v>46</v>
      </c>
      <c r="S622" s="3" t="n">
        <v>3.4</v>
      </c>
      <c r="T622" s="3" t="n">
        <v>8.5</v>
      </c>
      <c r="U622" s="3"/>
      <c r="V622" s="3" t="n">
        <v>4.23</v>
      </c>
      <c r="W622" s="3" t="s">
        <v>6000</v>
      </c>
    </row>
    <row r="623" customFormat="false" ht="15" hidden="false" customHeight="true" outlineLevel="0" collapsed="false">
      <c r="A623" s="3" t="s">
        <v>6708</v>
      </c>
      <c r="B623" s="3" t="s">
        <v>1282</v>
      </c>
      <c r="C623" s="3" t="s">
        <v>2889</v>
      </c>
      <c r="D623" s="3" t="s">
        <v>38</v>
      </c>
      <c r="E623" s="3" t="s">
        <v>39</v>
      </c>
      <c r="F623" s="3" t="s">
        <v>40</v>
      </c>
      <c r="G623" s="3" t="s">
        <v>76</v>
      </c>
      <c r="H623" s="3" t="s">
        <v>64</v>
      </c>
      <c r="I623" s="3" t="s">
        <v>108</v>
      </c>
      <c r="J623" s="3" t="s">
        <v>5989</v>
      </c>
      <c r="K623" s="3" t="n">
        <v>3887119.68</v>
      </c>
      <c r="L623" s="3" t="n">
        <v>0.257</v>
      </c>
      <c r="M623" s="3" t="n">
        <v>2888129.92</v>
      </c>
      <c r="N623" s="3" t="n">
        <v>825343.46</v>
      </c>
      <c r="O623" s="3" t="n">
        <v>0.2858</v>
      </c>
      <c r="P623" s="3" t="n">
        <v>0.261</v>
      </c>
      <c r="Q623" s="3" t="n">
        <v>753801.91</v>
      </c>
      <c r="R623" s="3" t="n">
        <v>20</v>
      </c>
      <c r="S623" s="3" t="n">
        <v>1.7</v>
      </c>
      <c r="T623" s="3" t="n">
        <v>7.7</v>
      </c>
      <c r="U623" s="3"/>
      <c r="V623" s="3" t="n">
        <v>3.36</v>
      </c>
      <c r="W623" s="3" t="s">
        <v>6000</v>
      </c>
    </row>
    <row r="624" customFormat="false" ht="15" hidden="false" customHeight="true" outlineLevel="0" collapsed="false">
      <c r="A624" s="3" t="s">
        <v>6709</v>
      </c>
      <c r="B624" s="3" t="s">
        <v>170</v>
      </c>
      <c r="C624" s="3" t="s">
        <v>2665</v>
      </c>
      <c r="D624" s="3" t="s">
        <v>83</v>
      </c>
      <c r="E624" s="3" t="s">
        <v>48</v>
      </c>
      <c r="F624" s="3" t="s">
        <v>62</v>
      </c>
      <c r="G624" s="3" t="s">
        <v>63</v>
      </c>
      <c r="H624" s="3" t="s">
        <v>64</v>
      </c>
      <c r="I624" s="3" t="s">
        <v>65</v>
      </c>
      <c r="J624" s="3" t="s">
        <v>5989</v>
      </c>
      <c r="K624" s="3" t="n">
        <v>712198.23</v>
      </c>
      <c r="L624" s="3" t="n">
        <v>0.212</v>
      </c>
      <c r="M624" s="3" t="n">
        <v>561212.21</v>
      </c>
      <c r="N624" s="3" t="n">
        <v>268955.39</v>
      </c>
      <c r="O624" s="3" t="n">
        <v>0.4792</v>
      </c>
      <c r="P624" s="3" t="n">
        <v>0.276</v>
      </c>
      <c r="Q624" s="3" t="n">
        <v>154894.57</v>
      </c>
      <c r="R624" s="3" t="n">
        <v>141</v>
      </c>
      <c r="S624" s="3" t="n">
        <v>2.5</v>
      </c>
      <c r="T624" s="3" t="n">
        <v>3.3</v>
      </c>
      <c r="U624" s="3"/>
      <c r="V624" s="3" t="n">
        <v>5.85</v>
      </c>
      <c r="W624" s="3" t="s">
        <v>5990</v>
      </c>
    </row>
    <row r="625" customFormat="false" ht="15" hidden="false" customHeight="true" outlineLevel="0" collapsed="false">
      <c r="A625" s="3" t="s">
        <v>6710</v>
      </c>
      <c r="B625" s="3" t="s">
        <v>432</v>
      </c>
      <c r="C625" s="3" t="s">
        <v>2569</v>
      </c>
      <c r="D625" s="3" t="s">
        <v>107</v>
      </c>
      <c r="E625" s="3" t="s">
        <v>33</v>
      </c>
      <c r="F625" s="3" t="s">
        <v>70</v>
      </c>
      <c r="G625" s="3" t="s">
        <v>84</v>
      </c>
      <c r="H625" s="3" t="s">
        <v>64</v>
      </c>
      <c r="I625" s="3" t="s">
        <v>65</v>
      </c>
      <c r="J625" s="3" t="s">
        <v>6003</v>
      </c>
      <c r="K625" s="3" t="n">
        <v>720054.7</v>
      </c>
      <c r="L625" s="3" t="n">
        <v>0.2777</v>
      </c>
      <c r="M625" s="3" t="n">
        <v>520095.51</v>
      </c>
      <c r="N625" s="3" t="n">
        <v>232272.96</v>
      </c>
      <c r="O625" s="3" t="n">
        <v>0.4466</v>
      </c>
      <c r="P625" s="3" t="n">
        <v>0.131</v>
      </c>
      <c r="Q625" s="3" t="n">
        <v>68132.51</v>
      </c>
      <c r="R625" s="3" t="n">
        <v>172</v>
      </c>
      <c r="S625" s="3" t="n">
        <v>9.5</v>
      </c>
      <c r="T625" s="3" t="n">
        <v>4.9</v>
      </c>
      <c r="U625" s="3"/>
      <c r="V625" s="3" t="n">
        <v>6.78</v>
      </c>
      <c r="W625" s="3" t="s">
        <v>5997</v>
      </c>
    </row>
    <row r="626" customFormat="false" ht="15" hidden="false" customHeight="true" outlineLevel="0" collapsed="false">
      <c r="A626" s="3" t="s">
        <v>6711</v>
      </c>
      <c r="B626" s="3" t="s">
        <v>96</v>
      </c>
      <c r="C626" s="3" t="s">
        <v>6712</v>
      </c>
      <c r="D626" s="3" t="s">
        <v>38</v>
      </c>
      <c r="E626" s="3" t="s">
        <v>39</v>
      </c>
      <c r="F626" s="3" t="s">
        <v>40</v>
      </c>
      <c r="G626" s="3" t="s">
        <v>41</v>
      </c>
      <c r="H626" s="3" t="s">
        <v>27</v>
      </c>
      <c r="I626" s="3" t="s">
        <v>28</v>
      </c>
      <c r="J626" s="3" t="s">
        <v>5999</v>
      </c>
      <c r="K626" s="3" t="n">
        <v>601858.83</v>
      </c>
      <c r="L626" s="3" t="n">
        <v>0.2973</v>
      </c>
      <c r="M626" s="3" t="n">
        <v>422926.2</v>
      </c>
      <c r="N626" s="3" t="n">
        <v>132286.62</v>
      </c>
      <c r="O626" s="3" t="n">
        <v>0.3128</v>
      </c>
      <c r="P626" s="3" t="n">
        <v>0.447</v>
      </c>
      <c r="Q626" s="3" t="n">
        <v>189048.01</v>
      </c>
      <c r="R626" s="3" t="n">
        <v>59</v>
      </c>
      <c r="S626" s="3" t="n">
        <v>2.5</v>
      </c>
      <c r="T626" s="3" t="n">
        <v>3.5</v>
      </c>
      <c r="U626" s="3"/>
      <c r="V626" s="3" t="n">
        <v>4.07</v>
      </c>
      <c r="W626" s="3" t="s">
        <v>6000</v>
      </c>
    </row>
    <row r="627" customFormat="false" ht="15" hidden="false" customHeight="true" outlineLevel="0" collapsed="false">
      <c r="A627" s="3" t="s">
        <v>6713</v>
      </c>
      <c r="B627" s="3" t="s">
        <v>2159</v>
      </c>
      <c r="C627" s="3" t="s">
        <v>3578</v>
      </c>
      <c r="D627" s="3" t="s">
        <v>23</v>
      </c>
      <c r="E627" s="3" t="s">
        <v>24</v>
      </c>
      <c r="F627" s="3" t="s">
        <v>25</v>
      </c>
      <c r="G627" s="3" t="s">
        <v>41</v>
      </c>
      <c r="H627" s="3" t="s">
        <v>56</v>
      </c>
      <c r="I627" s="3" t="s">
        <v>57</v>
      </c>
      <c r="J627" s="3" t="s">
        <v>6009</v>
      </c>
      <c r="K627" s="3" t="n">
        <v>2231233.38</v>
      </c>
      <c r="L627" s="3" t="n">
        <v>0.1926</v>
      </c>
      <c r="M627" s="3" t="n">
        <v>1801497.83</v>
      </c>
      <c r="N627" s="3" t="n">
        <v>638267.37</v>
      </c>
      <c r="O627" s="3" t="n">
        <v>0.3543</v>
      </c>
      <c r="P627" s="3" t="n">
        <v>0</v>
      </c>
      <c r="Q627" s="3" t="n">
        <v>0</v>
      </c>
      <c r="R627" s="3" t="n">
        <v>105</v>
      </c>
      <c r="S627" s="3" t="n">
        <v>9.2</v>
      </c>
      <c r="T627" s="3" t="n">
        <v>2.9</v>
      </c>
      <c r="U627" s="3" t="s">
        <v>6041</v>
      </c>
      <c r="V627" s="3" t="n">
        <v>7.03</v>
      </c>
      <c r="W627" s="3" t="s">
        <v>5997</v>
      </c>
    </row>
    <row r="628" customFormat="false" ht="15" hidden="false" customHeight="true" outlineLevel="0" collapsed="false">
      <c r="A628" s="3" t="s">
        <v>6714</v>
      </c>
      <c r="B628" s="3" t="s">
        <v>1765</v>
      </c>
      <c r="C628" s="3" t="s">
        <v>347</v>
      </c>
      <c r="D628" s="3" t="s">
        <v>38</v>
      </c>
      <c r="E628" s="3" t="s">
        <v>39</v>
      </c>
      <c r="F628" s="3" t="s">
        <v>40</v>
      </c>
      <c r="G628" s="3" t="s">
        <v>100</v>
      </c>
      <c r="H628" s="3" t="s">
        <v>77</v>
      </c>
      <c r="I628" s="3" t="s">
        <v>78</v>
      </c>
      <c r="J628" s="3" t="s">
        <v>5992</v>
      </c>
      <c r="K628" s="3" t="n">
        <v>578368.61</v>
      </c>
      <c r="L628" s="3" t="n">
        <v>0.1514</v>
      </c>
      <c r="M628" s="3" t="n">
        <v>490803.6</v>
      </c>
      <c r="N628" s="3" t="n">
        <v>151710.31</v>
      </c>
      <c r="O628" s="3" t="n">
        <v>0.3091</v>
      </c>
      <c r="P628" s="3" t="n">
        <v>0.738</v>
      </c>
      <c r="Q628" s="3" t="n">
        <v>362213.06</v>
      </c>
      <c r="R628" s="3" t="n">
        <v>41</v>
      </c>
      <c r="S628" s="3" t="n">
        <v>1.4</v>
      </c>
      <c r="T628" s="3" t="n">
        <v>4.4</v>
      </c>
      <c r="U628" s="3"/>
      <c r="V628" s="3" t="n">
        <v>4.85</v>
      </c>
      <c r="W628" s="3" t="s">
        <v>6000</v>
      </c>
    </row>
    <row r="629" customFormat="false" ht="15" hidden="false" customHeight="true" outlineLevel="0" collapsed="false">
      <c r="A629" s="3" t="s">
        <v>6715</v>
      </c>
      <c r="B629" s="3" t="s">
        <v>2446</v>
      </c>
      <c r="C629" s="3" t="s">
        <v>400</v>
      </c>
      <c r="D629" s="3" t="s">
        <v>54</v>
      </c>
      <c r="E629" s="3" t="s">
        <v>24</v>
      </c>
      <c r="F629" s="3" t="s">
        <v>40</v>
      </c>
      <c r="G629" s="3" t="s">
        <v>84</v>
      </c>
      <c r="H629" s="3" t="s">
        <v>27</v>
      </c>
      <c r="I629" s="3" t="s">
        <v>117</v>
      </c>
      <c r="J629" s="3" t="s">
        <v>5999</v>
      </c>
      <c r="K629" s="3" t="n">
        <v>342522.41</v>
      </c>
      <c r="L629" s="3" t="n">
        <v>0.2163</v>
      </c>
      <c r="M629" s="3" t="n">
        <v>268434.81</v>
      </c>
      <c r="N629" s="3" t="n">
        <v>122059.67</v>
      </c>
      <c r="O629" s="3" t="n">
        <v>0.4547</v>
      </c>
      <c r="P629" s="3" t="n">
        <v>0.414</v>
      </c>
      <c r="Q629" s="3" t="n">
        <v>111132.01</v>
      </c>
      <c r="R629" s="3" t="n">
        <v>113</v>
      </c>
      <c r="S629" s="3" t="n">
        <v>8.6</v>
      </c>
      <c r="T629" s="3" t="n">
        <v>4.3</v>
      </c>
      <c r="U629" s="3"/>
      <c r="V629" s="3" t="n">
        <v>7.21</v>
      </c>
      <c r="W629" s="3" t="s">
        <v>5997</v>
      </c>
    </row>
    <row r="630" customFormat="false" ht="15" hidden="false" customHeight="true" outlineLevel="0" collapsed="false">
      <c r="A630" s="3" t="s">
        <v>6716</v>
      </c>
      <c r="B630" s="3" t="s">
        <v>1980</v>
      </c>
      <c r="C630" s="3" t="s">
        <v>3687</v>
      </c>
      <c r="D630" s="3" t="s">
        <v>32</v>
      </c>
      <c r="E630" s="3" t="s">
        <v>33</v>
      </c>
      <c r="F630" s="3" t="s">
        <v>25</v>
      </c>
      <c r="G630" s="3" t="s">
        <v>34</v>
      </c>
      <c r="H630" s="3" t="s">
        <v>27</v>
      </c>
      <c r="I630" s="3" t="s">
        <v>28</v>
      </c>
      <c r="J630" s="3" t="s">
        <v>5999</v>
      </c>
      <c r="K630" s="3" t="n">
        <v>2084459.61</v>
      </c>
      <c r="L630" s="3" t="n">
        <v>0.1844</v>
      </c>
      <c r="M630" s="3" t="n">
        <v>1700085.26</v>
      </c>
      <c r="N630" s="3" t="n">
        <v>655730.89</v>
      </c>
      <c r="O630" s="3" t="n">
        <v>0.3857</v>
      </c>
      <c r="P630" s="3" t="n">
        <v>0.459</v>
      </c>
      <c r="Q630" s="3" t="n">
        <v>780339.13</v>
      </c>
      <c r="R630" s="3" t="n">
        <v>75</v>
      </c>
      <c r="S630" s="3" t="n">
        <v>9.4</v>
      </c>
      <c r="T630" s="3" t="n">
        <v>5.3</v>
      </c>
      <c r="U630" s="3"/>
      <c r="V630" s="3" t="n">
        <v>7.04</v>
      </c>
      <c r="W630" s="3" t="s">
        <v>5997</v>
      </c>
    </row>
    <row r="631" customFormat="false" ht="15" hidden="false" customHeight="true" outlineLevel="0" collapsed="false">
      <c r="A631" s="3" t="s">
        <v>6717</v>
      </c>
      <c r="B631" s="3" t="s">
        <v>467</v>
      </c>
      <c r="C631" s="3" t="s">
        <v>4284</v>
      </c>
      <c r="D631" s="3" t="s">
        <v>23</v>
      </c>
      <c r="E631" s="3" t="s">
        <v>24</v>
      </c>
      <c r="F631" s="3" t="s">
        <v>25</v>
      </c>
      <c r="G631" s="3" t="s">
        <v>84</v>
      </c>
      <c r="H631" s="3" t="s">
        <v>64</v>
      </c>
      <c r="I631" s="3" t="s">
        <v>145</v>
      </c>
      <c r="J631" s="3" t="s">
        <v>6009</v>
      </c>
      <c r="K631" s="3" t="n">
        <v>4094360.55</v>
      </c>
      <c r="L631" s="3" t="n">
        <v>0.0728</v>
      </c>
      <c r="M631" s="3" t="n">
        <v>3796291.1</v>
      </c>
      <c r="N631" s="3" t="n">
        <v>1295926.13</v>
      </c>
      <c r="O631" s="3" t="n">
        <v>0.3414</v>
      </c>
      <c r="P631" s="3" t="n">
        <v>0</v>
      </c>
      <c r="Q631" s="3" t="n">
        <v>0</v>
      </c>
      <c r="R631" s="3" t="n">
        <v>107</v>
      </c>
      <c r="S631" s="3" t="n">
        <v>8.8</v>
      </c>
      <c r="T631" s="3" t="n">
        <v>3</v>
      </c>
      <c r="U631" s="3" t="s">
        <v>6041</v>
      </c>
      <c r="V631" s="3" t="n">
        <v>7.81</v>
      </c>
      <c r="W631" s="3" t="s">
        <v>5997</v>
      </c>
    </row>
    <row r="632" customFormat="false" ht="15" hidden="false" customHeight="true" outlineLevel="0" collapsed="false">
      <c r="A632" s="3" t="s">
        <v>6718</v>
      </c>
      <c r="B632" s="3" t="s">
        <v>2896</v>
      </c>
      <c r="C632" s="3" t="s">
        <v>1640</v>
      </c>
      <c r="D632" s="3" t="s">
        <v>75</v>
      </c>
      <c r="E632" s="3" t="s">
        <v>39</v>
      </c>
      <c r="F632" s="3" t="s">
        <v>25</v>
      </c>
      <c r="G632" s="3" t="s">
        <v>55</v>
      </c>
      <c r="H632" s="3" t="s">
        <v>27</v>
      </c>
      <c r="I632" s="3" t="s">
        <v>117</v>
      </c>
      <c r="J632" s="3" t="s">
        <v>5996</v>
      </c>
      <c r="K632" s="3" t="n">
        <v>2702974.59</v>
      </c>
      <c r="L632" s="3" t="n">
        <v>0.098</v>
      </c>
      <c r="M632" s="3" t="n">
        <v>2438083.08</v>
      </c>
      <c r="N632" s="3" t="n">
        <v>1075831.2</v>
      </c>
      <c r="O632" s="3" t="n">
        <v>0.4413</v>
      </c>
      <c r="P632" s="3" t="n">
        <v>0.983</v>
      </c>
      <c r="Q632" s="3" t="n">
        <v>2396635.67</v>
      </c>
      <c r="R632" s="3" t="n">
        <v>48</v>
      </c>
      <c r="S632" s="3" t="n">
        <v>2</v>
      </c>
      <c r="T632" s="3" t="n">
        <v>2.3</v>
      </c>
      <c r="U632" s="3"/>
      <c r="V632" s="3" t="n">
        <v>6.76</v>
      </c>
      <c r="W632" s="3" t="s">
        <v>5997</v>
      </c>
    </row>
    <row r="633" customFormat="false" ht="15" hidden="false" customHeight="true" outlineLevel="0" collapsed="false">
      <c r="A633" s="3" t="s">
        <v>6719</v>
      </c>
      <c r="B633" s="3" t="s">
        <v>2561</v>
      </c>
      <c r="C633" s="3" t="s">
        <v>3498</v>
      </c>
      <c r="D633" s="3" t="s">
        <v>23</v>
      </c>
      <c r="E633" s="3" t="s">
        <v>24</v>
      </c>
      <c r="F633" s="3" t="s">
        <v>25</v>
      </c>
      <c r="G633" s="3" t="s">
        <v>26</v>
      </c>
      <c r="H633" s="3" t="s">
        <v>56</v>
      </c>
      <c r="I633" s="3" t="s">
        <v>188</v>
      </c>
      <c r="J633" s="3" t="s">
        <v>5996</v>
      </c>
      <c r="K633" s="3" t="n">
        <v>4777400.12</v>
      </c>
      <c r="L633" s="3" t="n">
        <v>0.23</v>
      </c>
      <c r="M633" s="3" t="n">
        <v>3678598.09</v>
      </c>
      <c r="N633" s="3" t="n">
        <v>1726941.37</v>
      </c>
      <c r="O633" s="3" t="n">
        <v>0.4695</v>
      </c>
      <c r="P633" s="3" t="n">
        <v>0.973</v>
      </c>
      <c r="Q633" s="3" t="n">
        <v>3579275.94</v>
      </c>
      <c r="R633" s="3" t="n">
        <v>53</v>
      </c>
      <c r="S633" s="3" t="n">
        <v>1.2</v>
      </c>
      <c r="T633" s="3" t="n">
        <v>1.3</v>
      </c>
      <c r="U633" s="3"/>
      <c r="V633" s="3" t="n">
        <v>5.68</v>
      </c>
      <c r="W633" s="3" t="s">
        <v>5990</v>
      </c>
    </row>
    <row r="634" customFormat="false" ht="15" hidden="false" customHeight="true" outlineLevel="0" collapsed="false">
      <c r="A634" s="3" t="s">
        <v>6720</v>
      </c>
      <c r="B634" s="3" t="s">
        <v>4849</v>
      </c>
      <c r="C634" s="3" t="s">
        <v>4110</v>
      </c>
      <c r="D634" s="3" t="s">
        <v>83</v>
      </c>
      <c r="E634" s="3" t="s">
        <v>48</v>
      </c>
      <c r="F634" s="3" t="s">
        <v>62</v>
      </c>
      <c r="G634" s="3" t="s">
        <v>26</v>
      </c>
      <c r="H634" s="3" t="s">
        <v>42</v>
      </c>
      <c r="I634" s="3" t="s">
        <v>72</v>
      </c>
      <c r="J634" s="3" t="s">
        <v>6009</v>
      </c>
      <c r="K634" s="3" t="n">
        <v>3398620.25</v>
      </c>
      <c r="L634" s="3" t="n">
        <v>0.09</v>
      </c>
      <c r="M634" s="3" t="n">
        <v>3092744.43</v>
      </c>
      <c r="N634" s="3" t="n">
        <v>868513.71</v>
      </c>
      <c r="O634" s="3" t="n">
        <v>0.2808</v>
      </c>
      <c r="P634" s="3" t="n">
        <v>0</v>
      </c>
      <c r="Q634" s="3" t="n">
        <v>0</v>
      </c>
      <c r="R634" s="3" t="n">
        <v>54</v>
      </c>
      <c r="S634" s="3" t="n">
        <v>8.6</v>
      </c>
      <c r="T634" s="3" t="n">
        <v>8.2</v>
      </c>
      <c r="U634" s="3" t="s">
        <v>6010</v>
      </c>
      <c r="V634" s="3" t="n">
        <v>6.34</v>
      </c>
      <c r="W634" s="3" t="s">
        <v>5990</v>
      </c>
    </row>
    <row r="635" customFormat="false" ht="15" hidden="false" customHeight="true" outlineLevel="0" collapsed="false">
      <c r="A635" s="3" t="s">
        <v>6721</v>
      </c>
      <c r="B635" s="3" t="s">
        <v>615</v>
      </c>
      <c r="C635" s="3" t="s">
        <v>170</v>
      </c>
      <c r="D635" s="3" t="s">
        <v>97</v>
      </c>
      <c r="E635" s="3" t="s">
        <v>48</v>
      </c>
      <c r="F635" s="3" t="s">
        <v>40</v>
      </c>
      <c r="G635" s="3" t="s">
        <v>63</v>
      </c>
      <c r="H635" s="3" t="s">
        <v>42</v>
      </c>
      <c r="I635" s="3" t="s">
        <v>134</v>
      </c>
      <c r="J635" s="3" t="s">
        <v>5989</v>
      </c>
      <c r="K635" s="3" t="n">
        <v>430515.78</v>
      </c>
      <c r="L635" s="3" t="n">
        <v>0.2005</v>
      </c>
      <c r="M635" s="3" t="n">
        <v>344197.37</v>
      </c>
      <c r="N635" s="3" t="n">
        <v>144776.66</v>
      </c>
      <c r="O635" s="3" t="n">
        <v>0.4206</v>
      </c>
      <c r="P635" s="3" t="n">
        <v>0.295</v>
      </c>
      <c r="Q635" s="3" t="n">
        <v>101538.22</v>
      </c>
      <c r="R635" s="3" t="n">
        <v>166</v>
      </c>
      <c r="S635" s="3" t="n">
        <v>1.5</v>
      </c>
      <c r="T635" s="3" t="n">
        <v>4.5</v>
      </c>
      <c r="U635" s="3"/>
      <c r="V635" s="3" t="n">
        <v>5.28</v>
      </c>
      <c r="W635" s="3" t="s">
        <v>5990</v>
      </c>
    </row>
    <row r="636" customFormat="false" ht="15" hidden="false" customHeight="true" outlineLevel="0" collapsed="false">
      <c r="A636" s="3" t="s">
        <v>6722</v>
      </c>
      <c r="B636" s="3" t="s">
        <v>824</v>
      </c>
      <c r="C636" s="3" t="s">
        <v>1204</v>
      </c>
      <c r="D636" s="3" t="s">
        <v>69</v>
      </c>
      <c r="E636" s="3" t="s">
        <v>39</v>
      </c>
      <c r="F636" s="3" t="s">
        <v>70</v>
      </c>
      <c r="G636" s="3" t="s">
        <v>76</v>
      </c>
      <c r="H636" s="3" t="s">
        <v>42</v>
      </c>
      <c r="I636" s="3" t="s">
        <v>72</v>
      </c>
      <c r="J636" s="3" t="s">
        <v>5989</v>
      </c>
      <c r="K636" s="3" t="n">
        <v>4659946.92</v>
      </c>
      <c r="L636" s="3" t="n">
        <v>0.1602</v>
      </c>
      <c r="M636" s="3" t="n">
        <v>3913423.42</v>
      </c>
      <c r="N636" s="3" t="n">
        <v>1105017.99</v>
      </c>
      <c r="O636" s="3" t="n">
        <v>0.2824</v>
      </c>
      <c r="P636" s="3" t="n">
        <v>0.242</v>
      </c>
      <c r="Q636" s="3" t="n">
        <v>947048.47</v>
      </c>
      <c r="R636" s="3" t="n">
        <v>125</v>
      </c>
      <c r="S636" s="3" t="n">
        <v>8.8</v>
      </c>
      <c r="T636" s="3" t="n">
        <v>7.7</v>
      </c>
      <c r="U636" s="3"/>
      <c r="V636" s="3" t="n">
        <v>5.92</v>
      </c>
      <c r="W636" s="3" t="s">
        <v>5990</v>
      </c>
    </row>
    <row r="637" customFormat="false" ht="15" hidden="false" customHeight="true" outlineLevel="0" collapsed="false">
      <c r="A637" s="3" t="s">
        <v>6723</v>
      </c>
      <c r="B637" s="3" t="s">
        <v>3877</v>
      </c>
      <c r="C637" s="3" t="s">
        <v>580</v>
      </c>
      <c r="D637" s="3" t="s">
        <v>75</v>
      </c>
      <c r="E637" s="3" t="s">
        <v>39</v>
      </c>
      <c r="F637" s="3" t="s">
        <v>25</v>
      </c>
      <c r="G637" s="3" t="s">
        <v>26</v>
      </c>
      <c r="H637" s="3" t="s">
        <v>64</v>
      </c>
      <c r="I637" s="3" t="s">
        <v>90</v>
      </c>
      <c r="J637" s="3" t="s">
        <v>5999</v>
      </c>
      <c r="K637" s="3" t="n">
        <v>415683.79</v>
      </c>
      <c r="L637" s="3" t="n">
        <v>0.126</v>
      </c>
      <c r="M637" s="3" t="n">
        <v>363307.63</v>
      </c>
      <c r="N637" s="3" t="n">
        <v>142400.95</v>
      </c>
      <c r="O637" s="3" t="n">
        <v>0.392</v>
      </c>
      <c r="P637" s="3" t="n">
        <v>0.48</v>
      </c>
      <c r="Q637" s="3" t="n">
        <v>174387.66</v>
      </c>
      <c r="R637" s="3" t="n">
        <v>85</v>
      </c>
      <c r="S637" s="3" t="n">
        <v>10</v>
      </c>
      <c r="T637" s="3" t="n">
        <v>4</v>
      </c>
      <c r="U637" s="3"/>
      <c r="V637" s="3" t="n">
        <v>7.89</v>
      </c>
      <c r="W637" s="3" t="s">
        <v>5997</v>
      </c>
    </row>
    <row r="638" customFormat="false" ht="15" hidden="false" customHeight="true" outlineLevel="0" collapsed="false">
      <c r="A638" s="3" t="s">
        <v>6724</v>
      </c>
      <c r="B638" s="3" t="s">
        <v>358</v>
      </c>
      <c r="C638" s="3" t="s">
        <v>479</v>
      </c>
      <c r="D638" s="3" t="s">
        <v>75</v>
      </c>
      <c r="E638" s="3" t="s">
        <v>39</v>
      </c>
      <c r="F638" s="3" t="s">
        <v>25</v>
      </c>
      <c r="G638" s="3" t="s">
        <v>26</v>
      </c>
      <c r="H638" s="3" t="s">
        <v>64</v>
      </c>
      <c r="I638" s="3" t="s">
        <v>145</v>
      </c>
      <c r="J638" s="3" t="s">
        <v>5996</v>
      </c>
      <c r="K638" s="3" t="n">
        <v>3475815.98</v>
      </c>
      <c r="L638" s="3" t="n">
        <v>0.14</v>
      </c>
      <c r="M638" s="3" t="n">
        <v>2989201.74</v>
      </c>
      <c r="N638" s="3" t="n">
        <v>967466.67</v>
      </c>
      <c r="O638" s="3" t="n">
        <v>0.3237</v>
      </c>
      <c r="P638" s="3" t="n">
        <v>0.987</v>
      </c>
      <c r="Q638" s="3" t="n">
        <v>2950342.12</v>
      </c>
      <c r="R638" s="3" t="n">
        <v>51</v>
      </c>
      <c r="S638" s="3" t="n">
        <v>6.4</v>
      </c>
      <c r="T638" s="3" t="n">
        <v>5.8</v>
      </c>
      <c r="U638" s="3"/>
      <c r="V638" s="3" t="n">
        <v>6.08</v>
      </c>
      <c r="W638" s="3" t="s">
        <v>5990</v>
      </c>
    </row>
    <row r="639" customFormat="false" ht="15" hidden="false" customHeight="true" outlineLevel="0" collapsed="false">
      <c r="A639" s="3" t="s">
        <v>6725</v>
      </c>
      <c r="B639" s="3" t="s">
        <v>2093</v>
      </c>
      <c r="C639" s="3" t="s">
        <v>3018</v>
      </c>
      <c r="D639" s="3" t="s">
        <v>47</v>
      </c>
      <c r="E639" s="3" t="s">
        <v>48</v>
      </c>
      <c r="F639" s="3" t="s">
        <v>25</v>
      </c>
      <c r="G639" s="3" t="s">
        <v>84</v>
      </c>
      <c r="H639" s="3" t="s">
        <v>42</v>
      </c>
      <c r="I639" s="3" t="s">
        <v>43</v>
      </c>
      <c r="J639" s="3" t="s">
        <v>6003</v>
      </c>
      <c r="K639" s="3" t="n">
        <v>4217715.08</v>
      </c>
      <c r="L639" s="3" t="n">
        <v>0.29</v>
      </c>
      <c r="M639" s="3" t="n">
        <v>2994577.71</v>
      </c>
      <c r="N639" s="3" t="n">
        <v>882234.02</v>
      </c>
      <c r="O639" s="3" t="n">
        <v>0.2946</v>
      </c>
      <c r="P639" s="3" t="n">
        <v>0.069</v>
      </c>
      <c r="Q639" s="3" t="n">
        <v>206625.86</v>
      </c>
      <c r="R639" s="3" t="n">
        <v>179</v>
      </c>
      <c r="S639" s="3" t="n">
        <v>8.7</v>
      </c>
      <c r="T639" s="3" t="n">
        <v>8.2</v>
      </c>
      <c r="U639" s="3"/>
      <c r="V639" s="3" t="n">
        <v>4.8</v>
      </c>
      <c r="W639" s="3" t="s">
        <v>6000</v>
      </c>
    </row>
    <row r="640" customFormat="false" ht="15" hidden="false" customHeight="true" outlineLevel="0" collapsed="false">
      <c r="A640" s="3" t="s">
        <v>6726</v>
      </c>
      <c r="B640" s="3" t="s">
        <v>177</v>
      </c>
      <c r="C640" s="3" t="s">
        <v>2524</v>
      </c>
      <c r="D640" s="3" t="s">
        <v>38</v>
      </c>
      <c r="E640" s="3" t="s">
        <v>39</v>
      </c>
      <c r="F640" s="3" t="s">
        <v>40</v>
      </c>
      <c r="G640" s="3" t="s">
        <v>116</v>
      </c>
      <c r="H640" s="3" t="s">
        <v>77</v>
      </c>
      <c r="I640" s="3" t="s">
        <v>131</v>
      </c>
      <c r="J640" s="3" t="s">
        <v>6003</v>
      </c>
      <c r="K640" s="3" t="n">
        <v>279617.54</v>
      </c>
      <c r="L640" s="3" t="n">
        <v>0.137</v>
      </c>
      <c r="M640" s="3" t="n">
        <v>241309.94</v>
      </c>
      <c r="N640" s="3" t="n">
        <v>75005.36</v>
      </c>
      <c r="O640" s="3" t="n">
        <v>0.3108</v>
      </c>
      <c r="P640" s="3" t="n">
        <v>0.11</v>
      </c>
      <c r="Q640" s="3" t="n">
        <v>26544.09</v>
      </c>
      <c r="R640" s="3" t="n">
        <v>158</v>
      </c>
      <c r="S640" s="3" t="n">
        <v>2.7</v>
      </c>
      <c r="T640" s="3" t="n">
        <v>1.8</v>
      </c>
      <c r="U640" s="3"/>
      <c r="V640" s="3" t="n">
        <v>5.67</v>
      </c>
      <c r="W640" s="3" t="s">
        <v>5990</v>
      </c>
    </row>
    <row r="641" customFormat="false" ht="15" hidden="false" customHeight="true" outlineLevel="0" collapsed="false">
      <c r="A641" s="3" t="s">
        <v>6727</v>
      </c>
      <c r="B641" s="3" t="s">
        <v>674</v>
      </c>
      <c r="C641" s="3" t="s">
        <v>991</v>
      </c>
      <c r="D641" s="3" t="s">
        <v>97</v>
      </c>
      <c r="E641" s="3" t="s">
        <v>48</v>
      </c>
      <c r="F641" s="3" t="s">
        <v>40</v>
      </c>
      <c r="G641" s="3" t="s">
        <v>41</v>
      </c>
      <c r="H641" s="3" t="s">
        <v>42</v>
      </c>
      <c r="I641" s="3" t="s">
        <v>134</v>
      </c>
      <c r="J641" s="3" t="s">
        <v>5989</v>
      </c>
      <c r="K641" s="3" t="n">
        <v>512271.68</v>
      </c>
      <c r="L641" s="3" t="n">
        <v>0.0557</v>
      </c>
      <c r="M641" s="3" t="n">
        <v>483738.15</v>
      </c>
      <c r="N641" s="3" t="n">
        <v>160472.45</v>
      </c>
      <c r="O641" s="3" t="n">
        <v>0.3317</v>
      </c>
      <c r="P641" s="3" t="n">
        <v>0.247</v>
      </c>
      <c r="Q641" s="3" t="n">
        <v>119483.32</v>
      </c>
      <c r="R641" s="3" t="n">
        <v>177</v>
      </c>
      <c r="S641" s="3" t="n">
        <v>9.8</v>
      </c>
      <c r="T641" s="3" t="n">
        <v>1.5</v>
      </c>
      <c r="U641" s="3"/>
      <c r="V641" s="3" t="n">
        <v>8.34</v>
      </c>
      <c r="W641" s="3" t="s">
        <v>5997</v>
      </c>
    </row>
    <row r="642" customFormat="false" ht="15" hidden="false" customHeight="true" outlineLevel="0" collapsed="false">
      <c r="A642" s="3" t="s">
        <v>6728</v>
      </c>
      <c r="B642" s="3" t="s">
        <v>4607</v>
      </c>
      <c r="C642" s="3" t="s">
        <v>1116</v>
      </c>
      <c r="D642" s="3" t="s">
        <v>107</v>
      </c>
      <c r="E642" s="3" t="s">
        <v>33</v>
      </c>
      <c r="F642" s="3" t="s">
        <v>70</v>
      </c>
      <c r="G642" s="3" t="s">
        <v>104</v>
      </c>
      <c r="H642" s="3" t="s">
        <v>77</v>
      </c>
      <c r="I642" s="3" t="s">
        <v>85</v>
      </c>
      <c r="J642" s="3" t="s">
        <v>5992</v>
      </c>
      <c r="K642" s="3" t="n">
        <v>2583040.2</v>
      </c>
      <c r="L642" s="3" t="n">
        <v>0.1346</v>
      </c>
      <c r="M642" s="3" t="n">
        <v>2235362.99</v>
      </c>
      <c r="N642" s="3" t="n">
        <v>751853.95</v>
      </c>
      <c r="O642" s="3" t="n">
        <v>0.3363</v>
      </c>
      <c r="P642" s="3" t="n">
        <v>0.749</v>
      </c>
      <c r="Q642" s="3" t="n">
        <v>1674286.88</v>
      </c>
      <c r="R642" s="3" t="n">
        <v>104</v>
      </c>
      <c r="S642" s="3" t="n">
        <v>6.8</v>
      </c>
      <c r="T642" s="3" t="n">
        <v>9.5</v>
      </c>
      <c r="U642" s="3"/>
      <c r="V642" s="3" t="n">
        <v>5.78</v>
      </c>
      <c r="W642" s="3" t="s">
        <v>5990</v>
      </c>
    </row>
    <row r="643" customFormat="false" ht="15" hidden="false" customHeight="true" outlineLevel="0" collapsed="false">
      <c r="A643" s="3" t="s">
        <v>6729</v>
      </c>
      <c r="B643" s="3" t="s">
        <v>2470</v>
      </c>
      <c r="C643" s="3" t="s">
        <v>106</v>
      </c>
      <c r="D643" s="3" t="s">
        <v>47</v>
      </c>
      <c r="E643" s="3" t="s">
        <v>48</v>
      </c>
      <c r="F643" s="3" t="s">
        <v>25</v>
      </c>
      <c r="G643" s="3" t="s">
        <v>76</v>
      </c>
      <c r="H643" s="3" t="s">
        <v>42</v>
      </c>
      <c r="I643" s="3" t="s">
        <v>134</v>
      </c>
      <c r="J643" s="3" t="s">
        <v>5992</v>
      </c>
      <c r="K643" s="3" t="n">
        <v>2269248.86</v>
      </c>
      <c r="L643" s="3" t="n">
        <v>0.2414</v>
      </c>
      <c r="M643" s="3" t="n">
        <v>1721452.19</v>
      </c>
      <c r="N643" s="3" t="n">
        <v>671727.5</v>
      </c>
      <c r="O643" s="3" t="n">
        <v>0.3902</v>
      </c>
      <c r="P643" s="3" t="n">
        <v>0.676</v>
      </c>
      <c r="Q643" s="3" t="n">
        <v>1163701.68</v>
      </c>
      <c r="R643" s="3" t="n">
        <v>137</v>
      </c>
      <c r="S643" s="3" t="n">
        <v>4.1</v>
      </c>
      <c r="T643" s="3" t="n">
        <v>3.6</v>
      </c>
      <c r="U643" s="3"/>
      <c r="V643" s="3" t="n">
        <v>5.53</v>
      </c>
      <c r="W643" s="3" t="s">
        <v>5990</v>
      </c>
    </row>
    <row r="644" customFormat="false" ht="15" hidden="false" customHeight="true" outlineLevel="0" collapsed="false">
      <c r="A644" s="3" t="s">
        <v>6730</v>
      </c>
      <c r="B644" s="3" t="s">
        <v>415</v>
      </c>
      <c r="C644" s="3" t="s">
        <v>2242</v>
      </c>
      <c r="D644" s="3" t="s">
        <v>75</v>
      </c>
      <c r="E644" s="3" t="s">
        <v>39</v>
      </c>
      <c r="F644" s="3" t="s">
        <v>25</v>
      </c>
      <c r="G644" s="3" t="s">
        <v>104</v>
      </c>
      <c r="H644" s="3" t="s">
        <v>56</v>
      </c>
      <c r="I644" s="3" t="s">
        <v>121</v>
      </c>
      <c r="J644" s="3" t="s">
        <v>5996</v>
      </c>
      <c r="K644" s="3" t="n">
        <v>4248314.04</v>
      </c>
      <c r="L644" s="3" t="n">
        <v>0.1032</v>
      </c>
      <c r="M644" s="3" t="n">
        <v>3809888.03</v>
      </c>
      <c r="N644" s="3" t="n">
        <v>1424747.99</v>
      </c>
      <c r="O644" s="3" t="n">
        <v>0.374</v>
      </c>
      <c r="P644" s="3" t="n">
        <v>0.99</v>
      </c>
      <c r="Q644" s="3" t="n">
        <v>3771789.15</v>
      </c>
      <c r="R644" s="3" t="n">
        <v>97</v>
      </c>
      <c r="S644" s="3" t="n">
        <v>3.3</v>
      </c>
      <c r="T644" s="3" t="n">
        <v>9.8</v>
      </c>
      <c r="U644" s="3"/>
      <c r="V644" s="3" t="n">
        <v>5.41</v>
      </c>
      <c r="W644" s="3" t="s">
        <v>5990</v>
      </c>
    </row>
    <row r="645" customFormat="false" ht="15" hidden="false" customHeight="true" outlineLevel="0" collapsed="false">
      <c r="A645" s="3" t="s">
        <v>6731</v>
      </c>
      <c r="B645" s="3" t="s">
        <v>1795</v>
      </c>
      <c r="C645" s="3" t="s">
        <v>2470</v>
      </c>
      <c r="D645" s="3" t="s">
        <v>23</v>
      </c>
      <c r="E645" s="3" t="s">
        <v>24</v>
      </c>
      <c r="F645" s="3" t="s">
        <v>25</v>
      </c>
      <c r="G645" s="3" t="s">
        <v>104</v>
      </c>
      <c r="H645" s="3" t="s">
        <v>56</v>
      </c>
      <c r="I645" s="3" t="s">
        <v>57</v>
      </c>
      <c r="J645" s="3" t="s">
        <v>5996</v>
      </c>
      <c r="K645" s="3" t="n">
        <v>4454658.39</v>
      </c>
      <c r="L645" s="3" t="n">
        <v>0.1633</v>
      </c>
      <c r="M645" s="3" t="n">
        <v>3727212.67</v>
      </c>
      <c r="N645" s="3" t="n">
        <v>1146602.61</v>
      </c>
      <c r="O645" s="3" t="n">
        <v>0.3076</v>
      </c>
      <c r="P645" s="3" t="n">
        <v>1</v>
      </c>
      <c r="Q645" s="3" t="n">
        <v>3727212.67</v>
      </c>
      <c r="R645" s="3" t="n">
        <v>137</v>
      </c>
      <c r="S645" s="3" t="n">
        <v>7.9</v>
      </c>
      <c r="T645" s="3" t="n">
        <v>3.1</v>
      </c>
      <c r="U645" s="3"/>
      <c r="V645" s="3" t="n">
        <v>6.54</v>
      </c>
      <c r="W645" s="3" t="s">
        <v>5997</v>
      </c>
    </row>
    <row r="646" customFormat="false" ht="15" hidden="false" customHeight="true" outlineLevel="0" collapsed="false">
      <c r="A646" s="3" t="s">
        <v>6732</v>
      </c>
      <c r="B646" s="3" t="s">
        <v>4987</v>
      </c>
      <c r="C646" s="3" t="s">
        <v>3027</v>
      </c>
      <c r="D646" s="3" t="s">
        <v>107</v>
      </c>
      <c r="E646" s="3" t="s">
        <v>33</v>
      </c>
      <c r="F646" s="3" t="s">
        <v>70</v>
      </c>
      <c r="G646" s="3" t="s">
        <v>100</v>
      </c>
      <c r="H646" s="3" t="s">
        <v>27</v>
      </c>
      <c r="I646" s="3" t="s">
        <v>50</v>
      </c>
      <c r="J646" s="3" t="s">
        <v>6003</v>
      </c>
      <c r="K646" s="3" t="n">
        <v>4299735.46</v>
      </c>
      <c r="L646" s="3" t="n">
        <v>0.2909</v>
      </c>
      <c r="M646" s="3" t="n">
        <v>3048942.41</v>
      </c>
      <c r="N646" s="3" t="n">
        <v>1144915.4</v>
      </c>
      <c r="O646" s="3" t="n">
        <v>0.3755</v>
      </c>
      <c r="P646" s="3" t="n">
        <v>0.087</v>
      </c>
      <c r="Q646" s="3" t="n">
        <v>265257.99</v>
      </c>
      <c r="R646" s="3" t="n">
        <v>80</v>
      </c>
      <c r="S646" s="3" t="n">
        <v>2</v>
      </c>
      <c r="T646" s="3" t="n">
        <v>9.6</v>
      </c>
      <c r="U646" s="3"/>
      <c r="V646" s="3" t="n">
        <v>3.54</v>
      </c>
      <c r="W646" s="3" t="s">
        <v>6000</v>
      </c>
    </row>
    <row r="647" customFormat="false" ht="15" hidden="false" customHeight="true" outlineLevel="0" collapsed="false">
      <c r="A647" s="3" t="s">
        <v>6733</v>
      </c>
      <c r="B647" s="3" t="s">
        <v>194</v>
      </c>
      <c r="C647" s="3" t="s">
        <v>4712</v>
      </c>
      <c r="D647" s="3" t="s">
        <v>38</v>
      </c>
      <c r="E647" s="3" t="s">
        <v>39</v>
      </c>
      <c r="F647" s="3" t="s">
        <v>40</v>
      </c>
      <c r="G647" s="3" t="s">
        <v>76</v>
      </c>
      <c r="H647" s="3" t="s">
        <v>64</v>
      </c>
      <c r="I647" s="3" t="s">
        <v>108</v>
      </c>
      <c r="J647" s="3" t="s">
        <v>5999</v>
      </c>
      <c r="K647" s="3" t="n">
        <v>401587.38</v>
      </c>
      <c r="L647" s="3" t="n">
        <v>0.2285</v>
      </c>
      <c r="M647" s="3" t="n">
        <v>309824.66</v>
      </c>
      <c r="N647" s="3" t="n">
        <v>113849.12</v>
      </c>
      <c r="O647" s="3" t="n">
        <v>0.3675</v>
      </c>
      <c r="P647" s="3" t="n">
        <v>0.446</v>
      </c>
      <c r="Q647" s="3" t="n">
        <v>138181.8</v>
      </c>
      <c r="R647" s="3" t="n">
        <v>53</v>
      </c>
      <c r="S647" s="3" t="n">
        <v>2.5</v>
      </c>
      <c r="T647" s="3" t="n">
        <v>5</v>
      </c>
      <c r="U647" s="3"/>
      <c r="V647" s="3" t="n">
        <v>4.84</v>
      </c>
      <c r="W647" s="3" t="s">
        <v>6000</v>
      </c>
    </row>
    <row r="648" customFormat="false" ht="15" hidden="false" customHeight="true" outlineLevel="0" collapsed="false">
      <c r="A648" s="3" t="s">
        <v>6734</v>
      </c>
      <c r="B648" s="3" t="s">
        <v>3174</v>
      </c>
      <c r="C648" s="3" t="s">
        <v>6629</v>
      </c>
      <c r="D648" s="3" t="s">
        <v>61</v>
      </c>
      <c r="E648" s="3" t="s">
        <v>33</v>
      </c>
      <c r="F648" s="3" t="s">
        <v>62</v>
      </c>
      <c r="G648" s="3" t="s">
        <v>26</v>
      </c>
      <c r="H648" s="3" t="s">
        <v>27</v>
      </c>
      <c r="I648" s="3" t="s">
        <v>28</v>
      </c>
      <c r="J648" s="3" t="s">
        <v>5989</v>
      </c>
      <c r="K648" s="3" t="n">
        <v>3994137.43</v>
      </c>
      <c r="L648" s="3" t="n">
        <v>0.2903</v>
      </c>
      <c r="M648" s="3" t="n">
        <v>2834639.33</v>
      </c>
      <c r="N648" s="3" t="n">
        <v>1151910.94</v>
      </c>
      <c r="O648" s="3" t="n">
        <v>0.4064</v>
      </c>
      <c r="P648" s="3" t="n">
        <v>0.239</v>
      </c>
      <c r="Q648" s="3" t="n">
        <v>677478.8</v>
      </c>
      <c r="R648" s="3" t="n">
        <v>178</v>
      </c>
      <c r="S648" s="3" t="n">
        <v>3.9</v>
      </c>
      <c r="T648" s="3" t="n">
        <v>8.2</v>
      </c>
      <c r="U648" s="3"/>
      <c r="V648" s="3" t="n">
        <v>4.47</v>
      </c>
      <c r="W648" s="3" t="s">
        <v>6000</v>
      </c>
    </row>
    <row r="649" customFormat="false" ht="15" hidden="false" customHeight="true" outlineLevel="0" collapsed="false">
      <c r="A649" s="3" t="s">
        <v>6735</v>
      </c>
      <c r="B649" s="3" t="s">
        <v>179</v>
      </c>
      <c r="C649" s="3" t="s">
        <v>2100</v>
      </c>
      <c r="D649" s="3" t="s">
        <v>107</v>
      </c>
      <c r="E649" s="3" t="s">
        <v>33</v>
      </c>
      <c r="F649" s="3" t="s">
        <v>70</v>
      </c>
      <c r="G649" s="3" t="s">
        <v>84</v>
      </c>
      <c r="H649" s="3" t="s">
        <v>77</v>
      </c>
      <c r="I649" s="3" t="s">
        <v>78</v>
      </c>
      <c r="J649" s="3" t="s">
        <v>6003</v>
      </c>
      <c r="K649" s="3" t="n">
        <v>1059353.83</v>
      </c>
      <c r="L649" s="3" t="n">
        <v>0.0953</v>
      </c>
      <c r="M649" s="3" t="n">
        <v>958397.41</v>
      </c>
      <c r="N649" s="3" t="n">
        <v>352170.01</v>
      </c>
      <c r="O649" s="3" t="n">
        <v>0.3675</v>
      </c>
      <c r="P649" s="3" t="n">
        <v>0.058</v>
      </c>
      <c r="Q649" s="3" t="n">
        <v>55587.05</v>
      </c>
      <c r="R649" s="3" t="n">
        <v>110</v>
      </c>
      <c r="S649" s="3" t="n">
        <v>7.2</v>
      </c>
      <c r="T649" s="3" t="n">
        <v>1.2</v>
      </c>
      <c r="U649" s="3"/>
      <c r="V649" s="3" t="n">
        <v>7.69</v>
      </c>
      <c r="W649" s="3" t="s">
        <v>5997</v>
      </c>
    </row>
    <row r="650" customFormat="false" ht="15" hidden="false" customHeight="true" outlineLevel="0" collapsed="false">
      <c r="A650" s="3" t="s">
        <v>6736</v>
      </c>
      <c r="B650" s="3" t="s">
        <v>366</v>
      </c>
      <c r="C650" s="3" t="s">
        <v>3151</v>
      </c>
      <c r="D650" s="3" t="s">
        <v>54</v>
      </c>
      <c r="E650" s="3" t="s">
        <v>24</v>
      </c>
      <c r="F650" s="3" t="s">
        <v>40</v>
      </c>
      <c r="G650" s="3" t="s">
        <v>76</v>
      </c>
      <c r="H650" s="3" t="s">
        <v>42</v>
      </c>
      <c r="I650" s="3" t="s">
        <v>134</v>
      </c>
      <c r="J650" s="3" t="s">
        <v>5996</v>
      </c>
      <c r="K650" s="3" t="n">
        <v>586332.38</v>
      </c>
      <c r="L650" s="3" t="n">
        <v>0.2894</v>
      </c>
      <c r="M650" s="3" t="n">
        <v>416647.79</v>
      </c>
      <c r="N650" s="3" t="n">
        <v>186848.66</v>
      </c>
      <c r="O650" s="3" t="n">
        <v>0.4485</v>
      </c>
      <c r="P650" s="3" t="n">
        <v>0.957</v>
      </c>
      <c r="Q650" s="3" t="n">
        <v>398731.94</v>
      </c>
      <c r="R650" s="3" t="n">
        <v>87</v>
      </c>
      <c r="S650" s="3" t="n">
        <v>1.5</v>
      </c>
      <c r="T650" s="3" t="n">
        <v>4.8</v>
      </c>
      <c r="U650" s="3"/>
      <c r="V650" s="3" t="n">
        <v>4.75</v>
      </c>
      <c r="W650" s="3" t="s">
        <v>6000</v>
      </c>
    </row>
    <row r="651" customFormat="false" ht="15" hidden="false" customHeight="true" outlineLevel="0" collapsed="false">
      <c r="A651" s="3" t="s">
        <v>6737</v>
      </c>
      <c r="B651" s="3" t="s">
        <v>1529</v>
      </c>
      <c r="C651" s="3" t="s">
        <v>892</v>
      </c>
      <c r="D651" s="3" t="s">
        <v>103</v>
      </c>
      <c r="E651" s="3" t="s">
        <v>24</v>
      </c>
      <c r="F651" s="3" t="s">
        <v>62</v>
      </c>
      <c r="G651" s="3" t="s">
        <v>63</v>
      </c>
      <c r="H651" s="3" t="s">
        <v>56</v>
      </c>
      <c r="I651" s="3" t="s">
        <v>188</v>
      </c>
      <c r="J651" s="3" t="s">
        <v>5992</v>
      </c>
      <c r="K651" s="3" t="n">
        <v>3614087.56</v>
      </c>
      <c r="L651" s="3" t="n">
        <v>0.0884</v>
      </c>
      <c r="M651" s="3" t="n">
        <v>3294602.22</v>
      </c>
      <c r="N651" s="3" t="n">
        <v>1100393.59</v>
      </c>
      <c r="O651" s="3" t="n">
        <v>0.334</v>
      </c>
      <c r="P651" s="3" t="n">
        <v>0.677</v>
      </c>
      <c r="Q651" s="3" t="n">
        <v>2230445.7</v>
      </c>
      <c r="R651" s="3" t="n">
        <v>165</v>
      </c>
      <c r="S651" s="3" t="n">
        <v>1.6</v>
      </c>
      <c r="T651" s="3" t="n">
        <v>1.8</v>
      </c>
      <c r="U651" s="3"/>
      <c r="V651" s="3" t="n">
        <v>6</v>
      </c>
      <c r="W651" s="3" t="s">
        <v>5990</v>
      </c>
    </row>
    <row r="652" customFormat="false" ht="15" hidden="false" customHeight="true" outlineLevel="0" collapsed="false">
      <c r="A652" s="3" t="s">
        <v>6738</v>
      </c>
      <c r="B652" s="3" t="s">
        <v>368</v>
      </c>
      <c r="C652" s="3" t="s">
        <v>2561</v>
      </c>
      <c r="D652" s="3" t="s">
        <v>61</v>
      </c>
      <c r="E652" s="3" t="s">
        <v>33</v>
      </c>
      <c r="F652" s="3" t="s">
        <v>62</v>
      </c>
      <c r="G652" s="3" t="s">
        <v>34</v>
      </c>
      <c r="H652" s="3" t="s">
        <v>64</v>
      </c>
      <c r="I652" s="3" t="s">
        <v>65</v>
      </c>
      <c r="J652" s="3" t="s">
        <v>6009</v>
      </c>
      <c r="K652" s="3" t="n">
        <v>2448465.26</v>
      </c>
      <c r="L652" s="3" t="n">
        <v>0.2048</v>
      </c>
      <c r="M652" s="3" t="n">
        <v>1947019.57</v>
      </c>
      <c r="N652" s="3" t="n">
        <v>895106.64</v>
      </c>
      <c r="O652" s="3" t="n">
        <v>0.4597</v>
      </c>
      <c r="P652" s="3" t="n">
        <v>0.033</v>
      </c>
      <c r="Q652" s="3" t="n">
        <v>64251.65</v>
      </c>
      <c r="R652" s="3" t="n">
        <v>119</v>
      </c>
      <c r="S652" s="3" t="n">
        <v>6.3</v>
      </c>
      <c r="T652" s="3" t="n">
        <v>6</v>
      </c>
      <c r="U652" s="3" t="s">
        <v>6020</v>
      </c>
      <c r="V652" s="3" t="n">
        <v>6.47</v>
      </c>
      <c r="W652" s="3" t="s">
        <v>5990</v>
      </c>
    </row>
    <row r="653" customFormat="false" ht="15" hidden="false" customHeight="true" outlineLevel="0" collapsed="false">
      <c r="A653" s="3" t="s">
        <v>6739</v>
      </c>
      <c r="B653" s="3" t="s">
        <v>718</v>
      </c>
      <c r="C653" s="3" t="s">
        <v>1112</v>
      </c>
      <c r="D653" s="3" t="s">
        <v>97</v>
      </c>
      <c r="E653" s="3" t="s">
        <v>48</v>
      </c>
      <c r="F653" s="3" t="s">
        <v>40</v>
      </c>
      <c r="G653" s="3" t="s">
        <v>34</v>
      </c>
      <c r="H653" s="3" t="s">
        <v>64</v>
      </c>
      <c r="I653" s="3" t="s">
        <v>90</v>
      </c>
      <c r="J653" s="3" t="s">
        <v>6009</v>
      </c>
      <c r="K653" s="3" t="n">
        <v>572611.79</v>
      </c>
      <c r="L653" s="3" t="n">
        <v>0.154</v>
      </c>
      <c r="M653" s="3" t="n">
        <v>484429.57</v>
      </c>
      <c r="N653" s="3" t="n">
        <v>177192.92</v>
      </c>
      <c r="O653" s="3" t="n">
        <v>0.3658</v>
      </c>
      <c r="P653" s="3" t="n">
        <v>0</v>
      </c>
      <c r="Q653" s="3" t="n">
        <v>0</v>
      </c>
      <c r="R653" s="3" t="n">
        <v>128</v>
      </c>
      <c r="S653" s="3" t="n">
        <v>2.5</v>
      </c>
      <c r="T653" s="3" t="n">
        <v>3.8</v>
      </c>
      <c r="U653" s="3" t="s">
        <v>6041</v>
      </c>
      <c r="V653" s="3" t="n">
        <v>5.61</v>
      </c>
      <c r="W653" s="3" t="s">
        <v>5990</v>
      </c>
    </row>
    <row r="654" customFormat="false" ht="15" hidden="false" customHeight="true" outlineLevel="0" collapsed="false">
      <c r="A654" s="3" t="s">
        <v>6740</v>
      </c>
      <c r="B654" s="3" t="s">
        <v>2889</v>
      </c>
      <c r="C654" s="3" t="s">
        <v>151</v>
      </c>
      <c r="D654" s="3" t="s">
        <v>61</v>
      </c>
      <c r="E654" s="3" t="s">
        <v>33</v>
      </c>
      <c r="F654" s="3" t="s">
        <v>62</v>
      </c>
      <c r="G654" s="3" t="s">
        <v>63</v>
      </c>
      <c r="H654" s="3" t="s">
        <v>27</v>
      </c>
      <c r="I654" s="3" t="s">
        <v>28</v>
      </c>
      <c r="J654" s="3" t="s">
        <v>5992</v>
      </c>
      <c r="K654" s="3" t="n">
        <v>4564910.97</v>
      </c>
      <c r="L654" s="3" t="n">
        <v>0.2537</v>
      </c>
      <c r="M654" s="3" t="n">
        <v>3406793.06</v>
      </c>
      <c r="N654" s="3" t="n">
        <v>1314580.15</v>
      </c>
      <c r="O654" s="3" t="n">
        <v>0.3859</v>
      </c>
      <c r="P654" s="3" t="n">
        <v>0.709</v>
      </c>
      <c r="Q654" s="3" t="n">
        <v>2415416.28</v>
      </c>
      <c r="R654" s="3" t="n">
        <v>14</v>
      </c>
      <c r="S654" s="3" t="n">
        <v>5.2</v>
      </c>
      <c r="T654" s="3" t="n">
        <v>1.6</v>
      </c>
      <c r="U654" s="3"/>
      <c r="V654" s="3" t="n">
        <v>5.94</v>
      </c>
      <c r="W654" s="3" t="s">
        <v>5990</v>
      </c>
    </row>
    <row r="655" customFormat="false" ht="15" hidden="false" customHeight="true" outlineLevel="0" collapsed="false">
      <c r="A655" s="3" t="s">
        <v>6741</v>
      </c>
      <c r="B655" s="3" t="s">
        <v>382</v>
      </c>
      <c r="C655" s="3" t="s">
        <v>2218</v>
      </c>
      <c r="D655" s="3" t="s">
        <v>69</v>
      </c>
      <c r="E655" s="3" t="s">
        <v>39</v>
      </c>
      <c r="F655" s="3" t="s">
        <v>70</v>
      </c>
      <c r="G655" s="3" t="s">
        <v>71</v>
      </c>
      <c r="H655" s="3" t="s">
        <v>64</v>
      </c>
      <c r="I655" s="3" t="s">
        <v>145</v>
      </c>
      <c r="J655" s="3" t="s">
        <v>5996</v>
      </c>
      <c r="K655" s="3" t="n">
        <v>3923354.91</v>
      </c>
      <c r="L655" s="3" t="n">
        <v>0.1453</v>
      </c>
      <c r="M655" s="3" t="n">
        <v>3353291.44</v>
      </c>
      <c r="N655" s="3" t="n">
        <v>1028421.54</v>
      </c>
      <c r="O655" s="3" t="n">
        <v>0.3067</v>
      </c>
      <c r="P655" s="3" t="n">
        <v>0.988</v>
      </c>
      <c r="Q655" s="3" t="n">
        <v>3313051.94</v>
      </c>
      <c r="R655" s="3" t="n">
        <v>16</v>
      </c>
      <c r="S655" s="3" t="n">
        <v>1</v>
      </c>
      <c r="T655" s="3" t="n">
        <v>9.2</v>
      </c>
      <c r="U655" s="3"/>
      <c r="V655" s="3" t="n">
        <v>4.05</v>
      </c>
      <c r="W655" s="3" t="s">
        <v>6000</v>
      </c>
    </row>
    <row r="656" customFormat="false" ht="15" hidden="false" customHeight="true" outlineLevel="0" collapsed="false">
      <c r="A656" s="3" t="s">
        <v>6742</v>
      </c>
      <c r="B656" s="3" t="s">
        <v>871</v>
      </c>
      <c r="C656" s="3" t="s">
        <v>502</v>
      </c>
      <c r="D656" s="3" t="s">
        <v>69</v>
      </c>
      <c r="E656" s="3" t="s">
        <v>39</v>
      </c>
      <c r="F656" s="3" t="s">
        <v>70</v>
      </c>
      <c r="G656" s="3" t="s">
        <v>104</v>
      </c>
      <c r="H656" s="3" t="s">
        <v>77</v>
      </c>
      <c r="I656" s="3" t="s">
        <v>131</v>
      </c>
      <c r="J656" s="3" t="s">
        <v>5999</v>
      </c>
      <c r="K656" s="3" t="n">
        <v>4155266.76</v>
      </c>
      <c r="L656" s="3" t="n">
        <v>0.0751</v>
      </c>
      <c r="M656" s="3" t="n">
        <v>3843206.23</v>
      </c>
      <c r="N656" s="3" t="n">
        <v>1138190.55</v>
      </c>
      <c r="O656" s="3" t="n">
        <v>0.2962</v>
      </c>
      <c r="P656" s="3" t="n">
        <v>0.472</v>
      </c>
      <c r="Q656" s="3" t="n">
        <v>1813993.34</v>
      </c>
      <c r="R656" s="3" t="n">
        <v>47</v>
      </c>
      <c r="S656" s="3" t="n">
        <v>2.5</v>
      </c>
      <c r="T656" s="3" t="n">
        <v>4.6</v>
      </c>
      <c r="U656" s="3"/>
      <c r="V656" s="3" t="n">
        <v>5.62</v>
      </c>
      <c r="W656" s="3" t="s">
        <v>5990</v>
      </c>
    </row>
    <row r="657" customFormat="false" ht="15" hidden="false" customHeight="true" outlineLevel="0" collapsed="false">
      <c r="A657" s="3" t="s">
        <v>6743</v>
      </c>
      <c r="B657" s="3" t="s">
        <v>2159</v>
      </c>
      <c r="C657" s="3" t="s">
        <v>607</v>
      </c>
      <c r="D657" s="3" t="s">
        <v>69</v>
      </c>
      <c r="E657" s="3" t="s">
        <v>39</v>
      </c>
      <c r="F657" s="3" t="s">
        <v>70</v>
      </c>
      <c r="G657" s="3" t="s">
        <v>49</v>
      </c>
      <c r="H657" s="3" t="s">
        <v>56</v>
      </c>
      <c r="I657" s="3" t="s">
        <v>188</v>
      </c>
      <c r="J657" s="3" t="s">
        <v>6003</v>
      </c>
      <c r="K657" s="3" t="n">
        <v>3738735.06</v>
      </c>
      <c r="L657" s="3" t="n">
        <v>0.0805</v>
      </c>
      <c r="M657" s="3" t="n">
        <v>3437766.89</v>
      </c>
      <c r="N657" s="3" t="n">
        <v>985617.08</v>
      </c>
      <c r="O657" s="3" t="n">
        <v>0.2867</v>
      </c>
      <c r="P657" s="3" t="n">
        <v>0.141</v>
      </c>
      <c r="Q657" s="3" t="n">
        <v>484725.13</v>
      </c>
      <c r="R657" s="3" t="n">
        <v>153</v>
      </c>
      <c r="S657" s="3" t="n">
        <v>7.6</v>
      </c>
      <c r="T657" s="3" t="n">
        <v>6.1</v>
      </c>
      <c r="U657" s="3"/>
      <c r="V657" s="3" t="n">
        <v>6.55</v>
      </c>
      <c r="W657" s="3" t="s">
        <v>5997</v>
      </c>
    </row>
    <row r="658" customFormat="false" ht="15" hidden="false" customHeight="true" outlineLevel="0" collapsed="false">
      <c r="A658" s="3" t="s">
        <v>6744</v>
      </c>
      <c r="B658" s="3" t="s">
        <v>415</v>
      </c>
      <c r="C658" s="3" t="s">
        <v>3503</v>
      </c>
      <c r="D658" s="3" t="s">
        <v>54</v>
      </c>
      <c r="E658" s="3" t="s">
        <v>24</v>
      </c>
      <c r="F658" s="3" t="s">
        <v>40</v>
      </c>
      <c r="G658" s="3" t="s">
        <v>104</v>
      </c>
      <c r="H658" s="3" t="s">
        <v>56</v>
      </c>
      <c r="I658" s="3" t="s">
        <v>188</v>
      </c>
      <c r="J658" s="3" t="s">
        <v>5996</v>
      </c>
      <c r="K658" s="3" t="n">
        <v>4583673.56</v>
      </c>
      <c r="L658" s="3" t="n">
        <v>0.1591</v>
      </c>
      <c r="M658" s="3" t="n">
        <v>3854411.1</v>
      </c>
      <c r="N658" s="3" t="n">
        <v>1450675.54</v>
      </c>
      <c r="O658" s="3" t="n">
        <v>0.3764</v>
      </c>
      <c r="P658" s="3" t="n">
        <v>0.954</v>
      </c>
      <c r="Q658" s="3" t="n">
        <v>3677108.19</v>
      </c>
      <c r="R658" s="3" t="n">
        <v>30</v>
      </c>
      <c r="S658" s="3" t="n">
        <v>9.8</v>
      </c>
      <c r="T658" s="3" t="n">
        <v>3.5</v>
      </c>
      <c r="U658" s="3"/>
      <c r="V658" s="3" t="n">
        <v>7.54</v>
      </c>
      <c r="W658" s="3" t="s">
        <v>5997</v>
      </c>
    </row>
    <row r="659" customFormat="false" ht="15" hidden="false" customHeight="true" outlineLevel="0" collapsed="false">
      <c r="A659" s="3" t="s">
        <v>6745</v>
      </c>
      <c r="B659" s="3" t="s">
        <v>2194</v>
      </c>
      <c r="C659" s="3" t="s">
        <v>1935</v>
      </c>
      <c r="D659" s="3" t="s">
        <v>54</v>
      </c>
      <c r="E659" s="3" t="s">
        <v>24</v>
      </c>
      <c r="F659" s="3" t="s">
        <v>40</v>
      </c>
      <c r="G659" s="3" t="s">
        <v>63</v>
      </c>
      <c r="H659" s="3" t="s">
        <v>27</v>
      </c>
      <c r="I659" s="3" t="s">
        <v>28</v>
      </c>
      <c r="J659" s="3" t="s">
        <v>5989</v>
      </c>
      <c r="K659" s="3" t="n">
        <v>938391.88</v>
      </c>
      <c r="L659" s="3" t="n">
        <v>0.0875</v>
      </c>
      <c r="M659" s="3" t="n">
        <v>856282.59</v>
      </c>
      <c r="N659" s="3" t="n">
        <v>385017.4</v>
      </c>
      <c r="O659" s="3" t="n">
        <v>0.4496</v>
      </c>
      <c r="P659" s="3" t="n">
        <v>0.238</v>
      </c>
      <c r="Q659" s="3" t="n">
        <v>203795.26</v>
      </c>
      <c r="R659" s="3" t="n">
        <v>159</v>
      </c>
      <c r="S659" s="3" t="n">
        <v>8</v>
      </c>
      <c r="T659" s="3" t="n">
        <v>9.2</v>
      </c>
      <c r="U659" s="3"/>
      <c r="V659" s="3" t="n">
        <v>7.4</v>
      </c>
      <c r="W659" s="3" t="s">
        <v>5997</v>
      </c>
    </row>
    <row r="660" customFormat="false" ht="15" hidden="false" customHeight="true" outlineLevel="0" collapsed="false">
      <c r="A660" s="3" t="s">
        <v>6746</v>
      </c>
      <c r="B660" s="3" t="s">
        <v>2230</v>
      </c>
      <c r="C660" s="3" t="s">
        <v>3198</v>
      </c>
      <c r="D660" s="3" t="s">
        <v>38</v>
      </c>
      <c r="E660" s="3" t="s">
        <v>39</v>
      </c>
      <c r="F660" s="3" t="s">
        <v>40</v>
      </c>
      <c r="G660" s="3" t="s">
        <v>71</v>
      </c>
      <c r="H660" s="3" t="s">
        <v>42</v>
      </c>
      <c r="I660" s="3" t="s">
        <v>72</v>
      </c>
      <c r="J660" s="3" t="s">
        <v>5999</v>
      </c>
      <c r="K660" s="3" t="n">
        <v>2191550.32</v>
      </c>
      <c r="L660" s="3" t="n">
        <v>0.0865</v>
      </c>
      <c r="M660" s="3" t="n">
        <v>2001981.22</v>
      </c>
      <c r="N660" s="3" t="n">
        <v>935760.77</v>
      </c>
      <c r="O660" s="3" t="n">
        <v>0.4674</v>
      </c>
      <c r="P660" s="3" t="n">
        <v>0.487</v>
      </c>
      <c r="Q660" s="3" t="n">
        <v>974964.85</v>
      </c>
      <c r="R660" s="3" t="n">
        <v>19</v>
      </c>
      <c r="S660" s="3" t="n">
        <v>2.4</v>
      </c>
      <c r="T660" s="3" t="n">
        <v>3.9</v>
      </c>
      <c r="U660" s="3"/>
      <c r="V660" s="3" t="n">
        <v>6.79</v>
      </c>
      <c r="W660" s="3" t="s">
        <v>5997</v>
      </c>
    </row>
    <row r="661" customFormat="false" ht="15" hidden="false" customHeight="true" outlineLevel="0" collapsed="false">
      <c r="A661" s="3" t="s">
        <v>6747</v>
      </c>
      <c r="B661" s="3" t="s">
        <v>2725</v>
      </c>
      <c r="C661" s="3" t="s">
        <v>933</v>
      </c>
      <c r="D661" s="3" t="s">
        <v>54</v>
      </c>
      <c r="E661" s="3" t="s">
        <v>24</v>
      </c>
      <c r="F661" s="3" t="s">
        <v>40</v>
      </c>
      <c r="G661" s="3" t="s">
        <v>49</v>
      </c>
      <c r="H661" s="3" t="s">
        <v>56</v>
      </c>
      <c r="I661" s="3" t="s">
        <v>57</v>
      </c>
      <c r="J661" s="3" t="s">
        <v>5999</v>
      </c>
      <c r="K661" s="3" t="n">
        <v>4861703.66</v>
      </c>
      <c r="L661" s="3" t="n">
        <v>0.2265</v>
      </c>
      <c r="M661" s="3" t="n">
        <v>3760527.78</v>
      </c>
      <c r="N661" s="3" t="n">
        <v>1110445.92</v>
      </c>
      <c r="O661" s="3" t="n">
        <v>0.2953</v>
      </c>
      <c r="P661" s="3" t="n">
        <v>0.484</v>
      </c>
      <c r="Q661" s="3" t="n">
        <v>1820095.45</v>
      </c>
      <c r="R661" s="3" t="n">
        <v>35</v>
      </c>
      <c r="S661" s="3" t="n">
        <v>7</v>
      </c>
      <c r="T661" s="3" t="n">
        <v>8.1</v>
      </c>
      <c r="U661" s="3"/>
      <c r="V661" s="3" t="n">
        <v>4.97</v>
      </c>
      <c r="W661" s="3" t="s">
        <v>6000</v>
      </c>
    </row>
    <row r="662" customFormat="false" ht="15" hidden="false" customHeight="true" outlineLevel="0" collapsed="false">
      <c r="A662" s="3" t="s">
        <v>6748</v>
      </c>
      <c r="B662" s="3" t="s">
        <v>844</v>
      </c>
      <c r="C662" s="3" t="s">
        <v>370</v>
      </c>
      <c r="D662" s="3" t="s">
        <v>103</v>
      </c>
      <c r="E662" s="3" t="s">
        <v>24</v>
      </c>
      <c r="F662" s="3" t="s">
        <v>62</v>
      </c>
      <c r="G662" s="3" t="s">
        <v>100</v>
      </c>
      <c r="H662" s="3" t="s">
        <v>42</v>
      </c>
      <c r="I662" s="3" t="s">
        <v>72</v>
      </c>
      <c r="J662" s="3" t="s">
        <v>6003</v>
      </c>
      <c r="K662" s="3" t="n">
        <v>3491814.63</v>
      </c>
      <c r="L662" s="3" t="n">
        <v>0.2869</v>
      </c>
      <c r="M662" s="3" t="n">
        <v>2490013.01</v>
      </c>
      <c r="N662" s="3" t="n">
        <v>887595.81</v>
      </c>
      <c r="O662" s="3" t="n">
        <v>0.3565</v>
      </c>
      <c r="P662" s="3" t="n">
        <v>0.148</v>
      </c>
      <c r="Q662" s="3" t="n">
        <v>368521.93</v>
      </c>
      <c r="R662" s="3" t="n">
        <v>14</v>
      </c>
      <c r="S662" s="3" t="n">
        <v>2.5</v>
      </c>
      <c r="T662" s="3" t="n">
        <v>2.3</v>
      </c>
      <c r="U662" s="3"/>
      <c r="V662" s="3" t="n">
        <v>4.65</v>
      </c>
      <c r="W662" s="3" t="s">
        <v>6000</v>
      </c>
    </row>
    <row r="663" customFormat="false" ht="15" hidden="false" customHeight="true" outlineLevel="0" collapsed="false">
      <c r="A663" s="3" t="s">
        <v>6749</v>
      </c>
      <c r="B663" s="3" t="s">
        <v>2019</v>
      </c>
      <c r="C663" s="3" t="s">
        <v>6594</v>
      </c>
      <c r="D663" s="3" t="s">
        <v>54</v>
      </c>
      <c r="E663" s="3" t="s">
        <v>24</v>
      </c>
      <c r="F663" s="3" t="s">
        <v>40</v>
      </c>
      <c r="G663" s="3" t="s">
        <v>34</v>
      </c>
      <c r="H663" s="3" t="s">
        <v>64</v>
      </c>
      <c r="I663" s="3" t="s">
        <v>90</v>
      </c>
      <c r="J663" s="3" t="s">
        <v>5989</v>
      </c>
      <c r="K663" s="3" t="n">
        <v>1905255.42</v>
      </c>
      <c r="L663" s="3" t="n">
        <v>0.1068</v>
      </c>
      <c r="M663" s="3" t="n">
        <v>1701774.14</v>
      </c>
      <c r="N663" s="3" t="n">
        <v>592399.69</v>
      </c>
      <c r="O663" s="3" t="n">
        <v>0.3481</v>
      </c>
      <c r="P663" s="3" t="n">
        <v>0.229</v>
      </c>
      <c r="Q663" s="3" t="n">
        <v>389706.28</v>
      </c>
      <c r="R663" s="3" t="n">
        <v>96</v>
      </c>
      <c r="S663" s="3" t="n">
        <v>5</v>
      </c>
      <c r="T663" s="3" t="n">
        <v>9.5</v>
      </c>
      <c r="U663" s="3"/>
      <c r="V663" s="3" t="n">
        <v>5.62</v>
      </c>
      <c r="W663" s="3" t="s">
        <v>5990</v>
      </c>
    </row>
    <row r="664" customFormat="false" ht="15" hidden="false" customHeight="true" outlineLevel="0" collapsed="false">
      <c r="A664" s="3" t="s">
        <v>6750</v>
      </c>
      <c r="B664" s="3" t="s">
        <v>6126</v>
      </c>
      <c r="C664" s="3" t="s">
        <v>1375</v>
      </c>
      <c r="D664" s="3" t="s">
        <v>23</v>
      </c>
      <c r="E664" s="3" t="s">
        <v>24</v>
      </c>
      <c r="F664" s="3" t="s">
        <v>25</v>
      </c>
      <c r="G664" s="3" t="s">
        <v>104</v>
      </c>
      <c r="H664" s="3" t="s">
        <v>64</v>
      </c>
      <c r="I664" s="3" t="s">
        <v>108</v>
      </c>
      <c r="J664" s="3" t="s">
        <v>5989</v>
      </c>
      <c r="K664" s="3" t="n">
        <v>2033068.55</v>
      </c>
      <c r="L664" s="3" t="n">
        <v>0.2226</v>
      </c>
      <c r="M664" s="3" t="n">
        <v>1580507.49</v>
      </c>
      <c r="N664" s="3" t="n">
        <v>564047.92</v>
      </c>
      <c r="O664" s="3" t="n">
        <v>0.3569</v>
      </c>
      <c r="P664" s="3" t="n">
        <v>0.201</v>
      </c>
      <c r="Q664" s="3" t="n">
        <v>317682.01</v>
      </c>
      <c r="R664" s="3" t="n">
        <v>47</v>
      </c>
      <c r="S664" s="3" t="n">
        <v>2</v>
      </c>
      <c r="T664" s="3" t="n">
        <v>5.7</v>
      </c>
      <c r="U664" s="3"/>
      <c r="V664" s="3" t="n">
        <v>4.56</v>
      </c>
      <c r="W664" s="3" t="s">
        <v>6000</v>
      </c>
    </row>
    <row r="665" customFormat="false" ht="15" hidden="false" customHeight="true" outlineLevel="0" collapsed="false">
      <c r="A665" s="3" t="s">
        <v>6751</v>
      </c>
      <c r="B665" s="3" t="s">
        <v>3292</v>
      </c>
      <c r="C665" s="3" t="s">
        <v>1502</v>
      </c>
      <c r="D665" s="3" t="s">
        <v>83</v>
      </c>
      <c r="E665" s="3" t="s">
        <v>48</v>
      </c>
      <c r="F665" s="3" t="s">
        <v>62</v>
      </c>
      <c r="G665" s="3" t="s">
        <v>84</v>
      </c>
      <c r="H665" s="3" t="s">
        <v>77</v>
      </c>
      <c r="I665" s="3" t="s">
        <v>85</v>
      </c>
      <c r="J665" s="3" t="s">
        <v>5989</v>
      </c>
      <c r="K665" s="3" t="n">
        <v>2614410.3</v>
      </c>
      <c r="L665" s="3" t="n">
        <v>0.0918</v>
      </c>
      <c r="M665" s="3" t="n">
        <v>2374407.43</v>
      </c>
      <c r="N665" s="3" t="n">
        <v>897392.83</v>
      </c>
      <c r="O665" s="3" t="n">
        <v>0.3779</v>
      </c>
      <c r="P665" s="3" t="n">
        <v>0.201</v>
      </c>
      <c r="Q665" s="3" t="n">
        <v>477255.89</v>
      </c>
      <c r="R665" s="3" t="n">
        <v>155</v>
      </c>
      <c r="S665" s="3" t="n">
        <v>9.2</v>
      </c>
      <c r="T665" s="3" t="n">
        <v>6.5</v>
      </c>
      <c r="U665" s="3"/>
      <c r="V665" s="3" t="n">
        <v>7.49</v>
      </c>
      <c r="W665" s="3" t="s">
        <v>5997</v>
      </c>
    </row>
    <row r="666" customFormat="false" ht="15" hidden="false" customHeight="true" outlineLevel="0" collapsed="false">
      <c r="A666" s="3" t="s">
        <v>6752</v>
      </c>
      <c r="B666" s="3" t="s">
        <v>4274</v>
      </c>
      <c r="C666" s="3" t="s">
        <v>1335</v>
      </c>
      <c r="D666" s="3" t="s">
        <v>32</v>
      </c>
      <c r="E666" s="3" t="s">
        <v>33</v>
      </c>
      <c r="F666" s="3" t="s">
        <v>25</v>
      </c>
      <c r="G666" s="3" t="s">
        <v>63</v>
      </c>
      <c r="H666" s="3" t="s">
        <v>42</v>
      </c>
      <c r="I666" s="3" t="s">
        <v>72</v>
      </c>
      <c r="J666" s="3" t="s">
        <v>5989</v>
      </c>
      <c r="K666" s="3" t="n">
        <v>3504945.23</v>
      </c>
      <c r="L666" s="3" t="n">
        <v>0.2786</v>
      </c>
      <c r="M666" s="3" t="n">
        <v>2528467.49</v>
      </c>
      <c r="N666" s="3" t="n">
        <v>1002578.58</v>
      </c>
      <c r="O666" s="3" t="n">
        <v>0.3965</v>
      </c>
      <c r="P666" s="3" t="n">
        <v>0.217</v>
      </c>
      <c r="Q666" s="3" t="n">
        <v>548677.45</v>
      </c>
      <c r="R666" s="3" t="n">
        <v>125</v>
      </c>
      <c r="S666" s="3" t="n">
        <v>4.4</v>
      </c>
      <c r="T666" s="3" t="n">
        <v>6.7</v>
      </c>
      <c r="U666" s="3"/>
      <c r="V666" s="3" t="n">
        <v>4.85</v>
      </c>
      <c r="W666" s="3" t="s">
        <v>6000</v>
      </c>
    </row>
    <row r="667" customFormat="false" ht="15" hidden="false" customHeight="true" outlineLevel="0" collapsed="false">
      <c r="A667" s="3" t="s">
        <v>6753</v>
      </c>
      <c r="B667" s="3" t="s">
        <v>1008</v>
      </c>
      <c r="C667" s="3" t="s">
        <v>2787</v>
      </c>
      <c r="D667" s="3" t="s">
        <v>97</v>
      </c>
      <c r="E667" s="3" t="s">
        <v>48</v>
      </c>
      <c r="F667" s="3" t="s">
        <v>40</v>
      </c>
      <c r="G667" s="3" t="s">
        <v>71</v>
      </c>
      <c r="H667" s="3" t="s">
        <v>56</v>
      </c>
      <c r="I667" s="3" t="s">
        <v>57</v>
      </c>
      <c r="J667" s="3" t="s">
        <v>5999</v>
      </c>
      <c r="K667" s="3" t="n">
        <v>3069220.43</v>
      </c>
      <c r="L667" s="3" t="n">
        <v>0.0675</v>
      </c>
      <c r="M667" s="3" t="n">
        <v>2862048.05</v>
      </c>
      <c r="N667" s="3" t="n">
        <v>812395.36</v>
      </c>
      <c r="O667" s="3" t="n">
        <v>0.2839</v>
      </c>
      <c r="P667" s="3" t="n">
        <v>0.479</v>
      </c>
      <c r="Q667" s="3" t="n">
        <v>1370921.02</v>
      </c>
      <c r="R667" s="3" t="n">
        <v>79</v>
      </c>
      <c r="S667" s="3" t="n">
        <v>5.4</v>
      </c>
      <c r="T667" s="3" t="n">
        <v>9.9</v>
      </c>
      <c r="U667" s="3"/>
      <c r="V667" s="3" t="n">
        <v>5.5</v>
      </c>
      <c r="W667" s="3" t="s">
        <v>5990</v>
      </c>
    </row>
    <row r="668" customFormat="false" ht="15" hidden="false" customHeight="true" outlineLevel="0" collapsed="false">
      <c r="A668" s="3" t="s">
        <v>6754</v>
      </c>
      <c r="B668" s="3" t="s">
        <v>889</v>
      </c>
      <c r="C668" s="3" t="s">
        <v>2097</v>
      </c>
      <c r="D668" s="3" t="s">
        <v>54</v>
      </c>
      <c r="E668" s="3" t="s">
        <v>24</v>
      </c>
      <c r="F668" s="3" t="s">
        <v>40</v>
      </c>
      <c r="G668" s="3" t="s">
        <v>76</v>
      </c>
      <c r="H668" s="3" t="s">
        <v>56</v>
      </c>
      <c r="I668" s="3" t="s">
        <v>57</v>
      </c>
      <c r="J668" s="3" t="s">
        <v>6009</v>
      </c>
      <c r="K668" s="3" t="n">
        <v>4851996.12</v>
      </c>
      <c r="L668" s="3" t="n">
        <v>0.2095</v>
      </c>
      <c r="M668" s="3" t="n">
        <v>3835502.93</v>
      </c>
      <c r="N668" s="3" t="n">
        <v>1190000.15</v>
      </c>
      <c r="O668" s="3" t="n">
        <v>0.3103</v>
      </c>
      <c r="P668" s="3" t="n">
        <v>0</v>
      </c>
      <c r="Q668" s="3" t="n">
        <v>0</v>
      </c>
      <c r="R668" s="3" t="n">
        <v>118</v>
      </c>
      <c r="S668" s="3" t="n">
        <v>5.2</v>
      </c>
      <c r="T668" s="3" t="n">
        <v>9.5</v>
      </c>
      <c r="U668" s="3" t="s">
        <v>6116</v>
      </c>
      <c r="V668" s="3" t="n">
        <v>4.54</v>
      </c>
      <c r="W668" s="3" t="s">
        <v>6000</v>
      </c>
    </row>
    <row r="669" customFormat="false" ht="15" hidden="false" customHeight="true" outlineLevel="0" collapsed="false">
      <c r="A669" s="3" t="s">
        <v>6755</v>
      </c>
      <c r="B669" s="3" t="s">
        <v>1933</v>
      </c>
      <c r="C669" s="3" t="s">
        <v>2275</v>
      </c>
      <c r="D669" s="3" t="s">
        <v>97</v>
      </c>
      <c r="E669" s="3" t="s">
        <v>48</v>
      </c>
      <c r="F669" s="3" t="s">
        <v>40</v>
      </c>
      <c r="G669" s="3" t="s">
        <v>49</v>
      </c>
      <c r="H669" s="3" t="s">
        <v>77</v>
      </c>
      <c r="I669" s="3" t="s">
        <v>131</v>
      </c>
      <c r="J669" s="3" t="s">
        <v>5989</v>
      </c>
      <c r="K669" s="3" t="n">
        <v>878195.43</v>
      </c>
      <c r="L669" s="3" t="n">
        <v>0.1755</v>
      </c>
      <c r="M669" s="3" t="n">
        <v>724072.13</v>
      </c>
      <c r="N669" s="3" t="n">
        <v>263270.7</v>
      </c>
      <c r="O669" s="3" t="n">
        <v>0.3636</v>
      </c>
      <c r="P669" s="3" t="n">
        <v>0.252</v>
      </c>
      <c r="Q669" s="3" t="n">
        <v>182466.18</v>
      </c>
      <c r="R669" s="3" t="n">
        <v>58</v>
      </c>
      <c r="S669" s="3" t="n">
        <v>8.6</v>
      </c>
      <c r="T669" s="3" t="n">
        <v>7.9</v>
      </c>
      <c r="U669" s="3"/>
      <c r="V669" s="3" t="n">
        <v>6.35</v>
      </c>
      <c r="W669" s="3" t="s">
        <v>5990</v>
      </c>
    </row>
    <row r="670" customFormat="false" ht="15" hidden="false" customHeight="true" outlineLevel="0" collapsed="false">
      <c r="A670" s="3" t="s">
        <v>6756</v>
      </c>
      <c r="B670" s="3" t="s">
        <v>374</v>
      </c>
      <c r="C670" s="3" t="s">
        <v>4045</v>
      </c>
      <c r="D670" s="3" t="s">
        <v>75</v>
      </c>
      <c r="E670" s="3" t="s">
        <v>39</v>
      </c>
      <c r="F670" s="3" t="s">
        <v>25</v>
      </c>
      <c r="G670" s="3" t="s">
        <v>63</v>
      </c>
      <c r="H670" s="3" t="s">
        <v>64</v>
      </c>
      <c r="I670" s="3" t="s">
        <v>90</v>
      </c>
      <c r="J670" s="3" t="s">
        <v>5999</v>
      </c>
      <c r="K670" s="3" t="n">
        <v>1636045.18</v>
      </c>
      <c r="L670" s="3" t="n">
        <v>0.239</v>
      </c>
      <c r="M670" s="3" t="n">
        <v>1245030.38</v>
      </c>
      <c r="N670" s="3" t="n">
        <v>464571.92</v>
      </c>
      <c r="O670" s="3" t="n">
        <v>0.3731</v>
      </c>
      <c r="P670" s="3" t="n">
        <v>0.45</v>
      </c>
      <c r="Q670" s="3" t="n">
        <v>560263.67</v>
      </c>
      <c r="R670" s="3" t="n">
        <v>46</v>
      </c>
      <c r="S670" s="3" t="n">
        <v>3.7</v>
      </c>
      <c r="T670" s="3" t="n">
        <v>6.3</v>
      </c>
      <c r="U670" s="3"/>
      <c r="V670" s="3" t="n">
        <v>4.88</v>
      </c>
      <c r="W670" s="3" t="s">
        <v>6000</v>
      </c>
    </row>
    <row r="671" customFormat="false" ht="15" hidden="false" customHeight="true" outlineLevel="0" collapsed="false">
      <c r="A671" s="3" t="s">
        <v>6757</v>
      </c>
      <c r="B671" s="3" t="s">
        <v>1572</v>
      </c>
      <c r="C671" s="3" t="s">
        <v>2200</v>
      </c>
      <c r="D671" s="3" t="s">
        <v>54</v>
      </c>
      <c r="E671" s="3" t="s">
        <v>24</v>
      </c>
      <c r="F671" s="3" t="s">
        <v>40</v>
      </c>
      <c r="G671" s="3" t="s">
        <v>76</v>
      </c>
      <c r="H671" s="3" t="s">
        <v>77</v>
      </c>
      <c r="I671" s="3" t="s">
        <v>85</v>
      </c>
      <c r="J671" s="3" t="s">
        <v>5999</v>
      </c>
      <c r="K671" s="3" t="n">
        <v>1411928.65</v>
      </c>
      <c r="L671" s="3" t="n">
        <v>0.0647</v>
      </c>
      <c r="M671" s="3" t="n">
        <v>1320576.87</v>
      </c>
      <c r="N671" s="3" t="n">
        <v>398224.72</v>
      </c>
      <c r="O671" s="3" t="n">
        <v>0.3016</v>
      </c>
      <c r="P671" s="3" t="n">
        <v>0.416</v>
      </c>
      <c r="Q671" s="3" t="n">
        <v>549359.98</v>
      </c>
      <c r="R671" s="3" t="n">
        <v>21</v>
      </c>
      <c r="S671" s="3" t="n">
        <v>1.9</v>
      </c>
      <c r="T671" s="3" t="n">
        <v>3.7</v>
      </c>
      <c r="U671" s="3"/>
      <c r="V671" s="3" t="n">
        <v>5.71</v>
      </c>
      <c r="W671" s="3" t="s">
        <v>5990</v>
      </c>
    </row>
    <row r="672" customFormat="false" ht="15" hidden="false" customHeight="true" outlineLevel="0" collapsed="false">
      <c r="A672" s="3" t="s">
        <v>6758</v>
      </c>
      <c r="B672" s="3" t="s">
        <v>494</v>
      </c>
      <c r="C672" s="3" t="s">
        <v>3900</v>
      </c>
      <c r="D672" s="3" t="s">
        <v>47</v>
      </c>
      <c r="E672" s="3" t="s">
        <v>48</v>
      </c>
      <c r="F672" s="3" t="s">
        <v>25</v>
      </c>
      <c r="G672" s="3" t="s">
        <v>55</v>
      </c>
      <c r="H672" s="3" t="s">
        <v>77</v>
      </c>
      <c r="I672" s="3" t="s">
        <v>78</v>
      </c>
      <c r="J672" s="3" t="s">
        <v>5989</v>
      </c>
      <c r="K672" s="3" t="n">
        <v>4500647.11</v>
      </c>
      <c r="L672" s="3" t="n">
        <v>0.1003</v>
      </c>
      <c r="M672" s="3" t="n">
        <v>4049232.2</v>
      </c>
      <c r="N672" s="3" t="n">
        <v>1141830.22</v>
      </c>
      <c r="O672" s="3" t="n">
        <v>0.282</v>
      </c>
      <c r="P672" s="3" t="n">
        <v>0.214</v>
      </c>
      <c r="Q672" s="3" t="n">
        <v>866535.69</v>
      </c>
      <c r="R672" s="3" t="n">
        <v>69</v>
      </c>
      <c r="S672" s="3" t="n">
        <v>3.2</v>
      </c>
      <c r="T672" s="3" t="n">
        <v>8.1</v>
      </c>
      <c r="U672" s="3"/>
      <c r="V672" s="3" t="n">
        <v>4.96</v>
      </c>
      <c r="W672" s="3" t="s">
        <v>6000</v>
      </c>
    </row>
    <row r="673" customFormat="false" ht="15" hidden="false" customHeight="true" outlineLevel="0" collapsed="false">
      <c r="A673" s="3" t="s">
        <v>6759</v>
      </c>
      <c r="B673" s="3" t="s">
        <v>1529</v>
      </c>
      <c r="C673" s="3" t="s">
        <v>2820</v>
      </c>
      <c r="D673" s="3" t="s">
        <v>103</v>
      </c>
      <c r="E673" s="3" t="s">
        <v>24</v>
      </c>
      <c r="F673" s="3" t="s">
        <v>62</v>
      </c>
      <c r="G673" s="3" t="s">
        <v>49</v>
      </c>
      <c r="H673" s="3" t="s">
        <v>64</v>
      </c>
      <c r="I673" s="3" t="s">
        <v>108</v>
      </c>
      <c r="J673" s="3" t="s">
        <v>5999</v>
      </c>
      <c r="K673" s="3" t="n">
        <v>2597740.81</v>
      </c>
      <c r="L673" s="3" t="n">
        <v>0.0905</v>
      </c>
      <c r="M673" s="3" t="n">
        <v>2362645.27</v>
      </c>
      <c r="N673" s="3" t="n">
        <v>1071456.82</v>
      </c>
      <c r="O673" s="3" t="n">
        <v>0.4535</v>
      </c>
      <c r="P673" s="3" t="n">
        <v>0.496</v>
      </c>
      <c r="Q673" s="3" t="n">
        <v>1171872.05</v>
      </c>
      <c r="R673" s="3" t="n">
        <v>167</v>
      </c>
      <c r="S673" s="3" t="n">
        <v>7.9</v>
      </c>
      <c r="T673" s="3" t="n">
        <v>8.3</v>
      </c>
      <c r="U673" s="3"/>
      <c r="V673" s="3" t="n">
        <v>7.48</v>
      </c>
      <c r="W673" s="3" t="s">
        <v>5997</v>
      </c>
    </row>
    <row r="674" customFormat="false" ht="15" hidden="false" customHeight="true" outlineLevel="0" collapsed="false">
      <c r="A674" s="3" t="s">
        <v>6760</v>
      </c>
      <c r="B674" s="3" t="s">
        <v>258</v>
      </c>
      <c r="C674" s="3" t="s">
        <v>1001</v>
      </c>
      <c r="D674" s="3" t="s">
        <v>83</v>
      </c>
      <c r="E674" s="3" t="s">
        <v>48</v>
      </c>
      <c r="F674" s="3" t="s">
        <v>62</v>
      </c>
      <c r="G674" s="3" t="s">
        <v>55</v>
      </c>
      <c r="H674" s="3" t="s">
        <v>42</v>
      </c>
      <c r="I674" s="3" t="s">
        <v>134</v>
      </c>
      <c r="J674" s="3" t="s">
        <v>6009</v>
      </c>
      <c r="K674" s="3" t="n">
        <v>786357</v>
      </c>
      <c r="L674" s="3" t="n">
        <v>0.0513</v>
      </c>
      <c r="M674" s="3" t="n">
        <v>746016.89</v>
      </c>
      <c r="N674" s="3" t="n">
        <v>240631.62</v>
      </c>
      <c r="O674" s="3" t="n">
        <v>0.3226</v>
      </c>
      <c r="P674" s="3" t="n">
        <v>0.005</v>
      </c>
      <c r="Q674" s="3" t="n">
        <v>3730.08</v>
      </c>
      <c r="R674" s="3" t="n">
        <v>171</v>
      </c>
      <c r="S674" s="3" t="n">
        <v>2</v>
      </c>
      <c r="T674" s="3" t="n">
        <v>3.1</v>
      </c>
      <c r="U674" s="3"/>
      <c r="V674" s="3" t="n">
        <v>6.13</v>
      </c>
      <c r="W674" s="3" t="s">
        <v>5990</v>
      </c>
    </row>
    <row r="675" customFormat="false" ht="15" hidden="false" customHeight="true" outlineLevel="0" collapsed="false">
      <c r="A675" s="3" t="s">
        <v>6761</v>
      </c>
      <c r="B675" s="3" t="s">
        <v>52</v>
      </c>
      <c r="C675" s="3" t="s">
        <v>1776</v>
      </c>
      <c r="D675" s="3" t="s">
        <v>83</v>
      </c>
      <c r="E675" s="3" t="s">
        <v>48</v>
      </c>
      <c r="F675" s="3" t="s">
        <v>62</v>
      </c>
      <c r="G675" s="3" t="s">
        <v>55</v>
      </c>
      <c r="H675" s="3" t="s">
        <v>77</v>
      </c>
      <c r="I675" s="3" t="s">
        <v>131</v>
      </c>
      <c r="J675" s="3" t="s">
        <v>6003</v>
      </c>
      <c r="K675" s="3" t="n">
        <v>1858856.13</v>
      </c>
      <c r="L675" s="3" t="n">
        <v>0.1642</v>
      </c>
      <c r="M675" s="3" t="n">
        <v>1553631.95</v>
      </c>
      <c r="N675" s="3" t="n">
        <v>444085.32</v>
      </c>
      <c r="O675" s="3" t="n">
        <v>0.2858</v>
      </c>
      <c r="P675" s="3" t="n">
        <v>0.138</v>
      </c>
      <c r="Q675" s="3" t="n">
        <v>214401.21</v>
      </c>
      <c r="R675" s="3" t="n">
        <v>93</v>
      </c>
      <c r="S675" s="3" t="n">
        <v>2</v>
      </c>
      <c r="T675" s="3" t="n">
        <v>1.7</v>
      </c>
      <c r="U675" s="3"/>
      <c r="V675" s="3" t="n">
        <v>5.11</v>
      </c>
      <c r="W675" s="3" t="s">
        <v>5990</v>
      </c>
    </row>
    <row r="676" customFormat="false" ht="15" hidden="false" customHeight="true" outlineLevel="0" collapsed="false">
      <c r="A676" s="3" t="s">
        <v>6762</v>
      </c>
      <c r="B676" s="3" t="s">
        <v>80</v>
      </c>
      <c r="C676" s="3" t="s">
        <v>1566</v>
      </c>
      <c r="D676" s="3" t="s">
        <v>97</v>
      </c>
      <c r="E676" s="3" t="s">
        <v>48</v>
      </c>
      <c r="F676" s="3" t="s">
        <v>40</v>
      </c>
      <c r="G676" s="3" t="s">
        <v>71</v>
      </c>
      <c r="H676" s="3" t="s">
        <v>56</v>
      </c>
      <c r="I676" s="3" t="s">
        <v>188</v>
      </c>
      <c r="J676" s="3" t="s">
        <v>5999</v>
      </c>
      <c r="K676" s="3" t="n">
        <v>811126.54</v>
      </c>
      <c r="L676" s="3" t="n">
        <v>0.0673</v>
      </c>
      <c r="M676" s="3" t="n">
        <v>756537.72</v>
      </c>
      <c r="N676" s="3" t="n">
        <v>326317.54</v>
      </c>
      <c r="O676" s="3" t="n">
        <v>0.4313</v>
      </c>
      <c r="P676" s="3" t="n">
        <v>0.455</v>
      </c>
      <c r="Q676" s="3" t="n">
        <v>344224.66</v>
      </c>
      <c r="R676" s="3" t="n">
        <v>55</v>
      </c>
      <c r="S676" s="3" t="n">
        <v>2</v>
      </c>
      <c r="T676" s="3" t="n">
        <v>5.9</v>
      </c>
      <c r="U676" s="3"/>
      <c r="V676" s="3" t="n">
        <v>6.42</v>
      </c>
      <c r="W676" s="3" t="s">
        <v>5990</v>
      </c>
    </row>
    <row r="677" customFormat="false" ht="15" hidden="false" customHeight="true" outlineLevel="0" collapsed="false">
      <c r="A677" s="3" t="s">
        <v>6763</v>
      </c>
      <c r="B677" s="3" t="s">
        <v>6126</v>
      </c>
      <c r="C677" s="3" t="s">
        <v>6764</v>
      </c>
      <c r="D677" s="3" t="s">
        <v>97</v>
      </c>
      <c r="E677" s="3" t="s">
        <v>48</v>
      </c>
      <c r="F677" s="3" t="s">
        <v>40</v>
      </c>
      <c r="G677" s="3" t="s">
        <v>104</v>
      </c>
      <c r="H677" s="3" t="s">
        <v>77</v>
      </c>
      <c r="I677" s="3" t="s">
        <v>78</v>
      </c>
      <c r="J677" s="3" t="s">
        <v>5992</v>
      </c>
      <c r="K677" s="3" t="n">
        <v>367816.27</v>
      </c>
      <c r="L677" s="3" t="n">
        <v>0.1005</v>
      </c>
      <c r="M677" s="3" t="n">
        <v>330850.73</v>
      </c>
      <c r="N677" s="3" t="n">
        <v>119096.84</v>
      </c>
      <c r="O677" s="3" t="n">
        <v>0.36</v>
      </c>
      <c r="P677" s="3" t="n">
        <v>0.652</v>
      </c>
      <c r="Q677" s="3" t="n">
        <v>215714.68</v>
      </c>
      <c r="R677" s="3" t="n">
        <v>107</v>
      </c>
      <c r="S677" s="3" t="n">
        <v>9</v>
      </c>
      <c r="T677" s="3" t="n">
        <v>8.4</v>
      </c>
      <c r="U677" s="3"/>
      <c r="V677" s="3" t="n">
        <v>6.94</v>
      </c>
      <c r="W677" s="3" t="s">
        <v>5997</v>
      </c>
    </row>
    <row r="678" customFormat="false" ht="15" hidden="false" customHeight="true" outlineLevel="0" collapsed="false">
      <c r="A678" s="3" t="s">
        <v>6765</v>
      </c>
      <c r="B678" s="3" t="s">
        <v>1575</v>
      </c>
      <c r="C678" s="3" t="s">
        <v>1974</v>
      </c>
      <c r="D678" s="3" t="s">
        <v>38</v>
      </c>
      <c r="E678" s="3" t="s">
        <v>39</v>
      </c>
      <c r="F678" s="3" t="s">
        <v>40</v>
      </c>
      <c r="G678" s="3" t="s">
        <v>49</v>
      </c>
      <c r="H678" s="3" t="s">
        <v>64</v>
      </c>
      <c r="I678" s="3" t="s">
        <v>65</v>
      </c>
      <c r="J678" s="3" t="s">
        <v>6003</v>
      </c>
      <c r="K678" s="3" t="n">
        <v>3294906.83</v>
      </c>
      <c r="L678" s="3" t="n">
        <v>0.2009</v>
      </c>
      <c r="M678" s="3" t="n">
        <v>2632960.05</v>
      </c>
      <c r="N678" s="3" t="n">
        <v>827034.17</v>
      </c>
      <c r="O678" s="3" t="n">
        <v>0.3141</v>
      </c>
      <c r="P678" s="3" t="n">
        <v>0.114</v>
      </c>
      <c r="Q678" s="3" t="n">
        <v>300157.45</v>
      </c>
      <c r="R678" s="3" t="n">
        <v>21</v>
      </c>
      <c r="S678" s="3" t="n">
        <v>8.7</v>
      </c>
      <c r="T678" s="3" t="n">
        <v>3.7</v>
      </c>
      <c r="U678" s="3"/>
      <c r="V678" s="3" t="n">
        <v>6.39</v>
      </c>
      <c r="W678" s="3" t="s">
        <v>5990</v>
      </c>
    </row>
    <row r="679" customFormat="false" ht="15" hidden="false" customHeight="true" outlineLevel="0" collapsed="false">
      <c r="A679" s="3" t="s">
        <v>6766</v>
      </c>
      <c r="B679" s="3" t="s">
        <v>797</v>
      </c>
      <c r="C679" s="3" t="s">
        <v>92</v>
      </c>
      <c r="D679" s="3" t="s">
        <v>32</v>
      </c>
      <c r="E679" s="3" t="s">
        <v>33</v>
      </c>
      <c r="F679" s="3" t="s">
        <v>25</v>
      </c>
      <c r="G679" s="3" t="s">
        <v>84</v>
      </c>
      <c r="H679" s="3" t="s">
        <v>27</v>
      </c>
      <c r="I679" s="3" t="s">
        <v>117</v>
      </c>
      <c r="J679" s="3" t="s">
        <v>5999</v>
      </c>
      <c r="K679" s="3" t="n">
        <v>734715.04</v>
      </c>
      <c r="L679" s="3" t="n">
        <v>0.0535</v>
      </c>
      <c r="M679" s="3" t="n">
        <v>695407.79</v>
      </c>
      <c r="N679" s="3" t="n">
        <v>281630.38</v>
      </c>
      <c r="O679" s="3" t="n">
        <v>0.405</v>
      </c>
      <c r="P679" s="3" t="n">
        <v>0.429</v>
      </c>
      <c r="Q679" s="3" t="n">
        <v>298329.94</v>
      </c>
      <c r="R679" s="3" t="n">
        <v>158</v>
      </c>
      <c r="S679" s="3" t="n">
        <v>5</v>
      </c>
      <c r="T679" s="3" t="n">
        <v>4.7</v>
      </c>
      <c r="U679" s="3"/>
      <c r="V679" s="3" t="n">
        <v>7.24</v>
      </c>
      <c r="W679" s="3" t="s">
        <v>5997</v>
      </c>
    </row>
    <row r="680" customFormat="false" ht="15" hidden="false" customHeight="true" outlineLevel="0" collapsed="false">
      <c r="A680" s="3" t="s">
        <v>6767</v>
      </c>
      <c r="B680" s="3" t="s">
        <v>215</v>
      </c>
      <c r="C680" s="3" t="s">
        <v>591</v>
      </c>
      <c r="D680" s="3" t="s">
        <v>69</v>
      </c>
      <c r="E680" s="3" t="s">
        <v>39</v>
      </c>
      <c r="F680" s="3" t="s">
        <v>70</v>
      </c>
      <c r="G680" s="3" t="s">
        <v>71</v>
      </c>
      <c r="H680" s="3" t="s">
        <v>56</v>
      </c>
      <c r="I680" s="3" t="s">
        <v>188</v>
      </c>
      <c r="J680" s="3" t="s">
        <v>5992</v>
      </c>
      <c r="K680" s="3" t="n">
        <v>1944108.66</v>
      </c>
      <c r="L680" s="3" t="n">
        <v>0.0994</v>
      </c>
      <c r="M680" s="3" t="n">
        <v>1750864.26</v>
      </c>
      <c r="N680" s="3" t="n">
        <v>782649.91</v>
      </c>
      <c r="O680" s="3" t="n">
        <v>0.447</v>
      </c>
      <c r="P680" s="3" t="n">
        <v>0.692</v>
      </c>
      <c r="Q680" s="3" t="n">
        <v>1211598.07</v>
      </c>
      <c r="R680" s="3" t="n">
        <v>127</v>
      </c>
      <c r="S680" s="3" t="n">
        <v>3</v>
      </c>
      <c r="T680" s="3" t="n">
        <v>6.8</v>
      </c>
      <c r="U680" s="3"/>
      <c r="V680" s="3" t="n">
        <v>6.37</v>
      </c>
      <c r="W680" s="3" t="s">
        <v>5990</v>
      </c>
    </row>
    <row r="681" customFormat="false" ht="15" hidden="false" customHeight="true" outlineLevel="0" collapsed="false">
      <c r="A681" s="3" t="s">
        <v>6768</v>
      </c>
      <c r="B681" s="3" t="s">
        <v>1268</v>
      </c>
      <c r="C681" s="3" t="s">
        <v>1395</v>
      </c>
      <c r="D681" s="3" t="s">
        <v>61</v>
      </c>
      <c r="E681" s="3" t="s">
        <v>33</v>
      </c>
      <c r="F681" s="3" t="s">
        <v>62</v>
      </c>
      <c r="G681" s="3" t="s">
        <v>116</v>
      </c>
      <c r="H681" s="3" t="s">
        <v>42</v>
      </c>
      <c r="I681" s="3" t="s">
        <v>43</v>
      </c>
      <c r="J681" s="3" t="s">
        <v>5996</v>
      </c>
      <c r="K681" s="3" t="n">
        <v>2321027.17</v>
      </c>
      <c r="L681" s="3" t="n">
        <v>0.1072</v>
      </c>
      <c r="M681" s="3" t="n">
        <v>2072213.06</v>
      </c>
      <c r="N681" s="3" t="n">
        <v>747353.4</v>
      </c>
      <c r="O681" s="3" t="n">
        <v>0.3607</v>
      </c>
      <c r="P681" s="3" t="n">
        <v>0.978</v>
      </c>
      <c r="Q681" s="3" t="n">
        <v>2026624.37</v>
      </c>
      <c r="R681" s="3" t="n">
        <v>34</v>
      </c>
      <c r="S681" s="3" t="n">
        <v>3.4</v>
      </c>
      <c r="T681" s="3" t="n">
        <v>9.8</v>
      </c>
      <c r="U681" s="3"/>
      <c r="V681" s="3" t="n">
        <v>5.28</v>
      </c>
      <c r="W681" s="3" t="s">
        <v>5990</v>
      </c>
    </row>
    <row r="682" customFormat="false" ht="15" hidden="false" customHeight="true" outlineLevel="0" collapsed="false">
      <c r="A682" s="3" t="s">
        <v>6769</v>
      </c>
      <c r="B682" s="3" t="s">
        <v>2346</v>
      </c>
      <c r="C682" s="3" t="s">
        <v>931</v>
      </c>
      <c r="D682" s="3" t="s">
        <v>75</v>
      </c>
      <c r="E682" s="3" t="s">
        <v>39</v>
      </c>
      <c r="F682" s="3" t="s">
        <v>25</v>
      </c>
      <c r="G682" s="3" t="s">
        <v>76</v>
      </c>
      <c r="H682" s="3" t="s">
        <v>77</v>
      </c>
      <c r="I682" s="3" t="s">
        <v>85</v>
      </c>
      <c r="J682" s="3" t="s">
        <v>5989</v>
      </c>
      <c r="K682" s="3" t="n">
        <v>1142668.71</v>
      </c>
      <c r="L682" s="3" t="n">
        <v>0.2485</v>
      </c>
      <c r="M682" s="3" t="n">
        <v>858715.54</v>
      </c>
      <c r="N682" s="3" t="n">
        <v>297070.44</v>
      </c>
      <c r="O682" s="3" t="n">
        <v>0.3459</v>
      </c>
      <c r="P682" s="3" t="n">
        <v>0.289</v>
      </c>
      <c r="Q682" s="3" t="n">
        <v>248168.79</v>
      </c>
      <c r="R682" s="3" t="n">
        <v>111</v>
      </c>
      <c r="S682" s="3" t="n">
        <v>3.5</v>
      </c>
      <c r="T682" s="3" t="n">
        <v>2.8</v>
      </c>
      <c r="U682" s="3"/>
      <c r="V682" s="3" t="n">
        <v>5.07</v>
      </c>
      <c r="W682" s="3" t="s">
        <v>5990</v>
      </c>
    </row>
    <row r="683" customFormat="false" ht="15" hidden="false" customHeight="true" outlineLevel="0" collapsed="false">
      <c r="A683" s="3" t="s">
        <v>6770</v>
      </c>
      <c r="B683" s="3" t="s">
        <v>4987</v>
      </c>
      <c r="C683" s="3" t="s">
        <v>2820</v>
      </c>
      <c r="D683" s="3" t="s">
        <v>97</v>
      </c>
      <c r="E683" s="3" t="s">
        <v>48</v>
      </c>
      <c r="F683" s="3" t="s">
        <v>40</v>
      </c>
      <c r="G683" s="3" t="s">
        <v>63</v>
      </c>
      <c r="H683" s="3" t="s">
        <v>64</v>
      </c>
      <c r="I683" s="3" t="s">
        <v>65</v>
      </c>
      <c r="J683" s="3" t="s">
        <v>5999</v>
      </c>
      <c r="K683" s="3" t="n">
        <v>3557954.32</v>
      </c>
      <c r="L683" s="3" t="n">
        <v>0.0836</v>
      </c>
      <c r="M683" s="3" t="n">
        <v>3260509.34</v>
      </c>
      <c r="N683" s="3" t="n">
        <v>1212769.42</v>
      </c>
      <c r="O683" s="3" t="n">
        <v>0.372</v>
      </c>
      <c r="P683" s="3" t="n">
        <v>0.491</v>
      </c>
      <c r="Q683" s="3" t="n">
        <v>1600910.09</v>
      </c>
      <c r="R683" s="3" t="n">
        <v>94</v>
      </c>
      <c r="S683" s="3" t="n">
        <v>8.8</v>
      </c>
      <c r="T683" s="3" t="n">
        <v>4.2</v>
      </c>
      <c r="U683" s="3"/>
      <c r="V683" s="3" t="n">
        <v>7.78</v>
      </c>
      <c r="W683" s="3" t="s">
        <v>5997</v>
      </c>
    </row>
    <row r="684" customFormat="false" ht="15" hidden="false" customHeight="true" outlineLevel="0" collapsed="false">
      <c r="A684" s="3" t="s">
        <v>6771</v>
      </c>
      <c r="B684" s="3" t="s">
        <v>4282</v>
      </c>
      <c r="C684" s="3" t="s">
        <v>2873</v>
      </c>
      <c r="D684" s="3" t="s">
        <v>54</v>
      </c>
      <c r="E684" s="3" t="s">
        <v>24</v>
      </c>
      <c r="F684" s="3" t="s">
        <v>40</v>
      </c>
      <c r="G684" s="3" t="s">
        <v>34</v>
      </c>
      <c r="H684" s="3" t="s">
        <v>77</v>
      </c>
      <c r="I684" s="3" t="s">
        <v>78</v>
      </c>
      <c r="J684" s="3" t="s">
        <v>5992</v>
      </c>
      <c r="K684" s="3" t="n">
        <v>2940590.16</v>
      </c>
      <c r="L684" s="3" t="n">
        <v>0.1721</v>
      </c>
      <c r="M684" s="3" t="n">
        <v>2434514.59</v>
      </c>
      <c r="N684" s="3" t="n">
        <v>1004943.9</v>
      </c>
      <c r="O684" s="3" t="n">
        <v>0.4128</v>
      </c>
      <c r="P684" s="3" t="n">
        <v>0.698</v>
      </c>
      <c r="Q684" s="3" t="n">
        <v>1699291.18</v>
      </c>
      <c r="R684" s="3" t="n">
        <v>164</v>
      </c>
      <c r="S684" s="3" t="n">
        <v>8.4</v>
      </c>
      <c r="T684" s="3" t="n">
        <v>6.9</v>
      </c>
      <c r="U684" s="3"/>
      <c r="V684" s="3" t="n">
        <v>6.86</v>
      </c>
      <c r="W684" s="3" t="s">
        <v>5997</v>
      </c>
    </row>
    <row r="685" customFormat="false" ht="15" hidden="false" customHeight="true" outlineLevel="0" collapsed="false">
      <c r="A685" s="3" t="s">
        <v>6772</v>
      </c>
      <c r="B685" s="3" t="s">
        <v>1726</v>
      </c>
      <c r="C685" s="3" t="s">
        <v>991</v>
      </c>
      <c r="D685" s="3" t="s">
        <v>103</v>
      </c>
      <c r="E685" s="3" t="s">
        <v>24</v>
      </c>
      <c r="F685" s="3" t="s">
        <v>62</v>
      </c>
      <c r="G685" s="3" t="s">
        <v>55</v>
      </c>
      <c r="H685" s="3" t="s">
        <v>56</v>
      </c>
      <c r="I685" s="3" t="s">
        <v>57</v>
      </c>
      <c r="J685" s="3" t="s">
        <v>5992</v>
      </c>
      <c r="K685" s="3" t="n">
        <v>2968528.23</v>
      </c>
      <c r="L685" s="3" t="n">
        <v>0.0946</v>
      </c>
      <c r="M685" s="3" t="n">
        <v>2687705.46</v>
      </c>
      <c r="N685" s="3" t="n">
        <v>792460.36</v>
      </c>
      <c r="O685" s="3" t="n">
        <v>0.2948</v>
      </c>
      <c r="P685" s="3" t="n">
        <v>0.684</v>
      </c>
      <c r="Q685" s="3" t="n">
        <v>1838390.53</v>
      </c>
      <c r="R685" s="3" t="n">
        <v>101</v>
      </c>
      <c r="S685" s="3" t="n">
        <v>3.7</v>
      </c>
      <c r="T685" s="3" t="n">
        <v>7.6</v>
      </c>
      <c r="U685" s="3"/>
      <c r="V685" s="3" t="n">
        <v>5.29</v>
      </c>
      <c r="W685" s="3" t="s">
        <v>5990</v>
      </c>
    </row>
    <row r="686" customFormat="false" ht="15" hidden="false" customHeight="true" outlineLevel="0" collapsed="false">
      <c r="A686" s="3" t="s">
        <v>6773</v>
      </c>
      <c r="B686" s="3" t="s">
        <v>3738</v>
      </c>
      <c r="C686" s="3" t="s">
        <v>668</v>
      </c>
      <c r="D686" s="3" t="s">
        <v>54</v>
      </c>
      <c r="E686" s="3" t="s">
        <v>24</v>
      </c>
      <c r="F686" s="3" t="s">
        <v>40</v>
      </c>
      <c r="G686" s="3" t="s">
        <v>104</v>
      </c>
      <c r="H686" s="3" t="s">
        <v>64</v>
      </c>
      <c r="I686" s="3" t="s">
        <v>65</v>
      </c>
      <c r="J686" s="3" t="s">
        <v>6003</v>
      </c>
      <c r="K686" s="3" t="n">
        <v>1536023.25</v>
      </c>
      <c r="L686" s="3" t="n">
        <v>0.1979</v>
      </c>
      <c r="M686" s="3" t="n">
        <v>1232044.25</v>
      </c>
      <c r="N686" s="3" t="n">
        <v>492952.04</v>
      </c>
      <c r="O686" s="3" t="n">
        <v>0.4001</v>
      </c>
      <c r="P686" s="3" t="n">
        <v>0.095</v>
      </c>
      <c r="Q686" s="3" t="n">
        <v>117044.2</v>
      </c>
      <c r="R686" s="3" t="n">
        <v>135</v>
      </c>
      <c r="S686" s="3" t="n">
        <v>3.9</v>
      </c>
      <c r="T686" s="3" t="n">
        <v>3.5</v>
      </c>
      <c r="U686" s="3"/>
      <c r="V686" s="3" t="n">
        <v>5.91</v>
      </c>
      <c r="W686" s="3" t="s">
        <v>5990</v>
      </c>
    </row>
    <row r="687" customFormat="false" ht="15" hidden="false" customHeight="true" outlineLevel="0" collapsed="false">
      <c r="A687" s="3" t="s">
        <v>6774</v>
      </c>
      <c r="B687" s="3" t="s">
        <v>2799</v>
      </c>
      <c r="C687" s="3" t="s">
        <v>3538</v>
      </c>
      <c r="D687" s="3" t="s">
        <v>69</v>
      </c>
      <c r="E687" s="3" t="s">
        <v>39</v>
      </c>
      <c r="F687" s="3" t="s">
        <v>70</v>
      </c>
      <c r="G687" s="3" t="s">
        <v>71</v>
      </c>
      <c r="H687" s="3" t="s">
        <v>56</v>
      </c>
      <c r="I687" s="3" t="s">
        <v>121</v>
      </c>
      <c r="J687" s="3" t="s">
        <v>6003</v>
      </c>
      <c r="K687" s="3" t="n">
        <v>1764651.95</v>
      </c>
      <c r="L687" s="3" t="n">
        <v>0.2259</v>
      </c>
      <c r="M687" s="3" t="n">
        <v>1366017.07</v>
      </c>
      <c r="N687" s="3" t="n">
        <v>506411.78</v>
      </c>
      <c r="O687" s="3" t="n">
        <v>0.3707</v>
      </c>
      <c r="P687" s="3" t="n">
        <v>0.148</v>
      </c>
      <c r="Q687" s="3" t="n">
        <v>202170.53</v>
      </c>
      <c r="R687" s="3" t="n">
        <v>46</v>
      </c>
      <c r="S687" s="3" t="n">
        <v>4.9</v>
      </c>
      <c r="T687" s="3" t="n">
        <v>2.6</v>
      </c>
      <c r="U687" s="3"/>
      <c r="V687" s="3" t="n">
        <v>5.83</v>
      </c>
      <c r="W687" s="3" t="s">
        <v>5990</v>
      </c>
    </row>
    <row r="688" customFormat="false" ht="15" hidden="false" customHeight="true" outlineLevel="0" collapsed="false">
      <c r="A688" s="3" t="s">
        <v>6775</v>
      </c>
      <c r="B688" s="3" t="s">
        <v>4110</v>
      </c>
      <c r="C688" s="3" t="s">
        <v>3027</v>
      </c>
      <c r="D688" s="3" t="s">
        <v>69</v>
      </c>
      <c r="E688" s="3" t="s">
        <v>39</v>
      </c>
      <c r="F688" s="3" t="s">
        <v>70</v>
      </c>
      <c r="G688" s="3" t="s">
        <v>34</v>
      </c>
      <c r="H688" s="3" t="s">
        <v>64</v>
      </c>
      <c r="I688" s="3" t="s">
        <v>145</v>
      </c>
      <c r="J688" s="3" t="s">
        <v>6009</v>
      </c>
      <c r="K688" s="3" t="n">
        <v>3668359.48</v>
      </c>
      <c r="L688" s="3" t="n">
        <v>0.0521</v>
      </c>
      <c r="M688" s="3" t="n">
        <v>3477237.95</v>
      </c>
      <c r="N688" s="3" t="n">
        <v>1150230.98</v>
      </c>
      <c r="O688" s="3" t="n">
        <v>0.3308</v>
      </c>
      <c r="P688" s="3" t="n">
        <v>0.015</v>
      </c>
      <c r="Q688" s="3" t="n">
        <v>52158.57</v>
      </c>
      <c r="R688" s="3" t="n">
        <v>46</v>
      </c>
      <c r="S688" s="3" t="n">
        <v>7.6</v>
      </c>
      <c r="T688" s="3" t="n">
        <v>9.5</v>
      </c>
      <c r="U688" s="3" t="s">
        <v>6025</v>
      </c>
      <c r="V688" s="3" t="n">
        <v>6.64</v>
      </c>
      <c r="W688" s="3" t="s">
        <v>5997</v>
      </c>
    </row>
    <row r="689" customFormat="false" ht="15" hidden="false" customHeight="true" outlineLevel="0" collapsed="false">
      <c r="A689" s="3" t="s">
        <v>6776</v>
      </c>
      <c r="B689" s="3" t="s">
        <v>292</v>
      </c>
      <c r="C689" s="3" t="s">
        <v>1966</v>
      </c>
      <c r="D689" s="3" t="s">
        <v>103</v>
      </c>
      <c r="E689" s="3" t="s">
        <v>24</v>
      </c>
      <c r="F689" s="3" t="s">
        <v>62</v>
      </c>
      <c r="G689" s="3" t="s">
        <v>63</v>
      </c>
      <c r="H689" s="3" t="s">
        <v>64</v>
      </c>
      <c r="I689" s="3" t="s">
        <v>145</v>
      </c>
      <c r="J689" s="3" t="s">
        <v>5996</v>
      </c>
      <c r="K689" s="3" t="n">
        <v>2299430.67</v>
      </c>
      <c r="L689" s="3" t="n">
        <v>0.2556</v>
      </c>
      <c r="M689" s="3" t="n">
        <v>1711696.19</v>
      </c>
      <c r="N689" s="3" t="n">
        <v>592865.46</v>
      </c>
      <c r="O689" s="3" t="n">
        <v>0.3464</v>
      </c>
      <c r="P689" s="3" t="n">
        <v>0.968</v>
      </c>
      <c r="Q689" s="3" t="n">
        <v>1656921.91</v>
      </c>
      <c r="R689" s="3" t="n">
        <v>41</v>
      </c>
      <c r="S689" s="3" t="n">
        <v>4.2</v>
      </c>
      <c r="T689" s="3" t="n">
        <v>3.8</v>
      </c>
      <c r="U689" s="3"/>
      <c r="V689" s="3" t="n">
        <v>5.05</v>
      </c>
      <c r="W689" s="3" t="s">
        <v>5990</v>
      </c>
    </row>
    <row r="690" customFormat="false" ht="15" hidden="false" customHeight="true" outlineLevel="0" collapsed="false">
      <c r="A690" s="3" t="s">
        <v>6777</v>
      </c>
      <c r="B690" s="3" t="s">
        <v>1150</v>
      </c>
      <c r="C690" s="3" t="s">
        <v>3368</v>
      </c>
      <c r="D690" s="3" t="s">
        <v>107</v>
      </c>
      <c r="E690" s="3" t="s">
        <v>33</v>
      </c>
      <c r="F690" s="3" t="s">
        <v>70</v>
      </c>
      <c r="G690" s="3" t="s">
        <v>116</v>
      </c>
      <c r="H690" s="3" t="s">
        <v>77</v>
      </c>
      <c r="I690" s="3" t="s">
        <v>131</v>
      </c>
      <c r="J690" s="3" t="s">
        <v>5989</v>
      </c>
      <c r="K690" s="3" t="n">
        <v>520106.7</v>
      </c>
      <c r="L690" s="3" t="n">
        <v>0.2535</v>
      </c>
      <c r="M690" s="3" t="n">
        <v>388259.65</v>
      </c>
      <c r="N690" s="3" t="n">
        <v>181510.56</v>
      </c>
      <c r="O690" s="3" t="n">
        <v>0.4675</v>
      </c>
      <c r="P690" s="3" t="n">
        <v>0.249</v>
      </c>
      <c r="Q690" s="3" t="n">
        <v>96676.65</v>
      </c>
      <c r="R690" s="3" t="n">
        <v>45</v>
      </c>
      <c r="S690" s="3" t="n">
        <v>7</v>
      </c>
      <c r="T690" s="3" t="n">
        <v>4.3</v>
      </c>
      <c r="U690" s="3"/>
      <c r="V690" s="3" t="n">
        <v>6.48</v>
      </c>
      <c r="W690" s="3" t="s">
        <v>5990</v>
      </c>
    </row>
    <row r="691" customFormat="false" ht="15" hidden="false" customHeight="true" outlineLevel="0" collapsed="false">
      <c r="A691" s="3" t="s">
        <v>6778</v>
      </c>
      <c r="B691" s="3" t="s">
        <v>3538</v>
      </c>
      <c r="C691" s="3" t="s">
        <v>3980</v>
      </c>
      <c r="D691" s="3" t="s">
        <v>69</v>
      </c>
      <c r="E691" s="3" t="s">
        <v>39</v>
      </c>
      <c r="F691" s="3" t="s">
        <v>70</v>
      </c>
      <c r="G691" s="3" t="s">
        <v>76</v>
      </c>
      <c r="H691" s="3" t="s">
        <v>77</v>
      </c>
      <c r="I691" s="3" t="s">
        <v>131</v>
      </c>
      <c r="J691" s="3" t="s">
        <v>5996</v>
      </c>
      <c r="K691" s="3" t="n">
        <v>3178293.42</v>
      </c>
      <c r="L691" s="3" t="n">
        <v>0.0811</v>
      </c>
      <c r="M691" s="3" t="n">
        <v>2920533.82</v>
      </c>
      <c r="N691" s="3" t="n">
        <v>1351305.57</v>
      </c>
      <c r="O691" s="3" t="n">
        <v>0.4627</v>
      </c>
      <c r="P691" s="3" t="n">
        <v>0.981</v>
      </c>
      <c r="Q691" s="3" t="n">
        <v>2865043.68</v>
      </c>
      <c r="R691" s="3" t="n">
        <v>162</v>
      </c>
      <c r="S691" s="3" t="n">
        <v>3</v>
      </c>
      <c r="T691" s="3" t="n">
        <v>5.5</v>
      </c>
      <c r="U691" s="3"/>
      <c r="V691" s="3" t="n">
        <v>6.75</v>
      </c>
      <c r="W691" s="3" t="s">
        <v>5997</v>
      </c>
    </row>
    <row r="692" customFormat="false" ht="15" hidden="false" customHeight="true" outlineLevel="0" collapsed="false">
      <c r="A692" s="3" t="s">
        <v>6779</v>
      </c>
      <c r="B692" s="3" t="s">
        <v>196</v>
      </c>
      <c r="C692" s="3" t="s">
        <v>204</v>
      </c>
      <c r="D692" s="3" t="s">
        <v>107</v>
      </c>
      <c r="E692" s="3" t="s">
        <v>33</v>
      </c>
      <c r="F692" s="3" t="s">
        <v>70</v>
      </c>
      <c r="G692" s="3" t="s">
        <v>84</v>
      </c>
      <c r="H692" s="3" t="s">
        <v>77</v>
      </c>
      <c r="I692" s="3" t="s">
        <v>131</v>
      </c>
      <c r="J692" s="3" t="s">
        <v>6009</v>
      </c>
      <c r="K692" s="3" t="n">
        <v>1193352.2</v>
      </c>
      <c r="L692" s="3" t="n">
        <v>0.2877</v>
      </c>
      <c r="M692" s="3" t="n">
        <v>850024.77</v>
      </c>
      <c r="N692" s="3" t="n">
        <v>257725.45</v>
      </c>
      <c r="O692" s="3" t="n">
        <v>0.3032</v>
      </c>
      <c r="P692" s="3" t="n">
        <v>0.04</v>
      </c>
      <c r="Q692" s="3" t="n">
        <v>34000.99</v>
      </c>
      <c r="R692" s="3" t="n">
        <v>103</v>
      </c>
      <c r="S692" s="3" t="n">
        <v>7</v>
      </c>
      <c r="T692" s="3" t="n">
        <v>7.1</v>
      </c>
      <c r="U692" s="3" t="s">
        <v>6041</v>
      </c>
      <c r="V692" s="3" t="n">
        <v>4.63</v>
      </c>
      <c r="W692" s="3" t="s">
        <v>6000</v>
      </c>
    </row>
    <row r="693" customFormat="false" ht="15" hidden="false" customHeight="true" outlineLevel="0" collapsed="false">
      <c r="A693" s="3" t="s">
        <v>6780</v>
      </c>
      <c r="B693" s="3" t="s">
        <v>537</v>
      </c>
      <c r="C693" s="3" t="s">
        <v>1276</v>
      </c>
      <c r="D693" s="3" t="s">
        <v>32</v>
      </c>
      <c r="E693" s="3" t="s">
        <v>33</v>
      </c>
      <c r="F693" s="3" t="s">
        <v>25</v>
      </c>
      <c r="G693" s="3" t="s">
        <v>100</v>
      </c>
      <c r="H693" s="3" t="s">
        <v>42</v>
      </c>
      <c r="I693" s="3" t="s">
        <v>134</v>
      </c>
      <c r="J693" s="3" t="s">
        <v>5996</v>
      </c>
      <c r="K693" s="3" t="n">
        <v>3891764.35</v>
      </c>
      <c r="L693" s="3" t="n">
        <v>0.0935</v>
      </c>
      <c r="M693" s="3" t="n">
        <v>3527884.38</v>
      </c>
      <c r="N693" s="3" t="n">
        <v>1387715.33</v>
      </c>
      <c r="O693" s="3" t="n">
        <v>0.3934</v>
      </c>
      <c r="P693" s="3" t="n">
        <v>1</v>
      </c>
      <c r="Q693" s="3" t="n">
        <v>3527884.38</v>
      </c>
      <c r="R693" s="3" t="n">
        <v>68</v>
      </c>
      <c r="S693" s="3" t="n">
        <v>8.1</v>
      </c>
      <c r="T693" s="3" t="n">
        <v>2.8</v>
      </c>
      <c r="U693" s="3"/>
      <c r="V693" s="3" t="n">
        <v>7.88</v>
      </c>
      <c r="W693" s="3" t="s">
        <v>5997</v>
      </c>
    </row>
    <row r="694" customFormat="false" ht="15" hidden="false" customHeight="true" outlineLevel="0" collapsed="false">
      <c r="A694" s="3" t="s">
        <v>6781</v>
      </c>
      <c r="B694" s="3" t="s">
        <v>4594</v>
      </c>
      <c r="C694" s="3" t="s">
        <v>3881</v>
      </c>
      <c r="D694" s="3" t="s">
        <v>69</v>
      </c>
      <c r="E694" s="3" t="s">
        <v>39</v>
      </c>
      <c r="F694" s="3" t="s">
        <v>70</v>
      </c>
      <c r="G694" s="3" t="s">
        <v>116</v>
      </c>
      <c r="H694" s="3" t="s">
        <v>27</v>
      </c>
      <c r="I694" s="3" t="s">
        <v>173</v>
      </c>
      <c r="J694" s="3" t="s">
        <v>5996</v>
      </c>
      <c r="K694" s="3" t="n">
        <v>50976.36</v>
      </c>
      <c r="L694" s="3" t="n">
        <v>0.1999</v>
      </c>
      <c r="M694" s="3" t="n">
        <v>40786.19</v>
      </c>
      <c r="N694" s="3" t="n">
        <v>18425.57</v>
      </c>
      <c r="O694" s="3" t="n">
        <v>0.4518</v>
      </c>
      <c r="P694" s="3" t="n">
        <v>1</v>
      </c>
      <c r="Q694" s="3" t="n">
        <v>40786.19</v>
      </c>
      <c r="R694" s="3" t="n">
        <v>121</v>
      </c>
      <c r="S694" s="3" t="n">
        <v>7</v>
      </c>
      <c r="T694" s="3" t="n">
        <v>7.3</v>
      </c>
      <c r="U694" s="3"/>
      <c r="V694" s="3" t="n">
        <v>6.48</v>
      </c>
      <c r="W694" s="3" t="s">
        <v>5990</v>
      </c>
    </row>
    <row r="695" customFormat="false" ht="15" hidden="false" customHeight="true" outlineLevel="0" collapsed="false">
      <c r="A695" s="3" t="s">
        <v>6782</v>
      </c>
      <c r="B695" s="3" t="s">
        <v>2029</v>
      </c>
      <c r="C695" s="3" t="s">
        <v>6783</v>
      </c>
      <c r="D695" s="3" t="s">
        <v>107</v>
      </c>
      <c r="E695" s="3" t="s">
        <v>33</v>
      </c>
      <c r="F695" s="3" t="s">
        <v>70</v>
      </c>
      <c r="G695" s="3" t="s">
        <v>71</v>
      </c>
      <c r="H695" s="3" t="s">
        <v>42</v>
      </c>
      <c r="I695" s="3" t="s">
        <v>43</v>
      </c>
      <c r="J695" s="3" t="s">
        <v>5996</v>
      </c>
      <c r="K695" s="3" t="n">
        <v>2432990.41</v>
      </c>
      <c r="L695" s="3" t="n">
        <v>0.0757</v>
      </c>
      <c r="M695" s="3" t="n">
        <v>2248813.04</v>
      </c>
      <c r="N695" s="3" t="n">
        <v>979478.36</v>
      </c>
      <c r="O695" s="3" t="n">
        <v>0.4356</v>
      </c>
      <c r="P695" s="3" t="n">
        <v>1</v>
      </c>
      <c r="Q695" s="3" t="n">
        <v>2248813.04</v>
      </c>
      <c r="R695" s="3" t="n">
        <v>126</v>
      </c>
      <c r="S695" s="3" t="n">
        <v>1.4</v>
      </c>
      <c r="T695" s="3" t="n">
        <v>6.3</v>
      </c>
      <c r="U695" s="3"/>
      <c r="V695" s="3" t="n">
        <v>6.17</v>
      </c>
      <c r="W695" s="3" t="s">
        <v>5990</v>
      </c>
    </row>
    <row r="696" customFormat="false" ht="15" hidden="false" customHeight="true" outlineLevel="0" collapsed="false">
      <c r="A696" s="3" t="s">
        <v>6784</v>
      </c>
      <c r="B696" s="3" t="s">
        <v>1647</v>
      </c>
      <c r="C696" s="3" t="s">
        <v>428</v>
      </c>
      <c r="D696" s="3" t="s">
        <v>97</v>
      </c>
      <c r="E696" s="3" t="s">
        <v>48</v>
      </c>
      <c r="F696" s="3" t="s">
        <v>40</v>
      </c>
      <c r="G696" s="3" t="s">
        <v>63</v>
      </c>
      <c r="H696" s="3" t="s">
        <v>42</v>
      </c>
      <c r="I696" s="3" t="s">
        <v>43</v>
      </c>
      <c r="J696" s="3" t="s">
        <v>5999</v>
      </c>
      <c r="K696" s="3" t="n">
        <v>2984279.16</v>
      </c>
      <c r="L696" s="3" t="n">
        <v>0.221</v>
      </c>
      <c r="M696" s="3" t="n">
        <v>2324753.47</v>
      </c>
      <c r="N696" s="3" t="n">
        <v>817545.97</v>
      </c>
      <c r="O696" s="3" t="n">
        <v>0.3517</v>
      </c>
      <c r="P696" s="3" t="n">
        <v>0.497</v>
      </c>
      <c r="Q696" s="3" t="n">
        <v>1155402.47</v>
      </c>
      <c r="R696" s="3" t="n">
        <v>94</v>
      </c>
      <c r="S696" s="3" t="n">
        <v>7.6</v>
      </c>
      <c r="T696" s="3" t="n">
        <v>5.7</v>
      </c>
      <c r="U696" s="3"/>
      <c r="V696" s="3" t="n">
        <v>5.92</v>
      </c>
      <c r="W696" s="3" t="s">
        <v>5990</v>
      </c>
    </row>
    <row r="697" customFormat="false" ht="15" hidden="false" customHeight="true" outlineLevel="0" collapsed="false">
      <c r="A697" s="3" t="s">
        <v>6785</v>
      </c>
      <c r="B697" s="3" t="s">
        <v>4100</v>
      </c>
      <c r="C697" s="3" t="s">
        <v>2787</v>
      </c>
      <c r="D697" s="3" t="s">
        <v>38</v>
      </c>
      <c r="E697" s="3" t="s">
        <v>39</v>
      </c>
      <c r="F697" s="3" t="s">
        <v>40</v>
      </c>
      <c r="G697" s="3" t="s">
        <v>116</v>
      </c>
      <c r="H697" s="3" t="s">
        <v>42</v>
      </c>
      <c r="I697" s="3" t="s">
        <v>134</v>
      </c>
      <c r="J697" s="3" t="s">
        <v>5999</v>
      </c>
      <c r="K697" s="3" t="n">
        <v>4116968.88</v>
      </c>
      <c r="L697" s="3" t="n">
        <v>0.1091</v>
      </c>
      <c r="M697" s="3" t="n">
        <v>3667807.58</v>
      </c>
      <c r="N697" s="3" t="n">
        <v>1687668.79</v>
      </c>
      <c r="O697" s="3" t="n">
        <v>0.4601</v>
      </c>
      <c r="P697" s="3" t="n">
        <v>0.432</v>
      </c>
      <c r="Q697" s="3" t="n">
        <v>1584492.87</v>
      </c>
      <c r="R697" s="3" t="n">
        <v>36</v>
      </c>
      <c r="S697" s="3" t="n">
        <v>7.8</v>
      </c>
      <c r="T697" s="3" t="n">
        <v>7.4</v>
      </c>
      <c r="U697" s="3"/>
      <c r="V697" s="3" t="n">
        <v>7.44</v>
      </c>
      <c r="W697" s="3" t="s">
        <v>5997</v>
      </c>
    </row>
    <row r="698" customFormat="false" ht="15" hidden="false" customHeight="true" outlineLevel="0" collapsed="false">
      <c r="A698" s="3" t="s">
        <v>6786</v>
      </c>
      <c r="B698" s="3" t="s">
        <v>850</v>
      </c>
      <c r="C698" s="3" t="s">
        <v>1224</v>
      </c>
      <c r="D698" s="3" t="s">
        <v>103</v>
      </c>
      <c r="E698" s="3" t="s">
        <v>24</v>
      </c>
      <c r="F698" s="3" t="s">
        <v>62</v>
      </c>
      <c r="G698" s="3" t="s">
        <v>41</v>
      </c>
      <c r="H698" s="3" t="s">
        <v>42</v>
      </c>
      <c r="I698" s="3" t="s">
        <v>43</v>
      </c>
      <c r="J698" s="3" t="s">
        <v>5999</v>
      </c>
      <c r="K698" s="3" t="n">
        <v>4223004.84</v>
      </c>
      <c r="L698" s="3" t="n">
        <v>0.0748</v>
      </c>
      <c r="M698" s="3" t="n">
        <v>3907124.08</v>
      </c>
      <c r="N698" s="3" t="n">
        <v>1843156.18</v>
      </c>
      <c r="O698" s="3" t="n">
        <v>0.4717</v>
      </c>
      <c r="P698" s="3" t="n">
        <v>0.472</v>
      </c>
      <c r="Q698" s="3" t="n">
        <v>1844162.57</v>
      </c>
      <c r="R698" s="3" t="n">
        <v>16</v>
      </c>
      <c r="S698" s="3" t="n">
        <v>7.8</v>
      </c>
      <c r="T698" s="3" t="n">
        <v>4.7</v>
      </c>
      <c r="U698" s="3"/>
      <c r="V698" s="3" t="n">
        <v>8.12</v>
      </c>
      <c r="W698" s="3" t="s">
        <v>5997</v>
      </c>
    </row>
    <row r="699" customFormat="false" ht="15" hidden="false" customHeight="true" outlineLevel="0" collapsed="false">
      <c r="A699" s="3" t="s">
        <v>6787</v>
      </c>
      <c r="B699" s="3" t="s">
        <v>3619</v>
      </c>
      <c r="C699" s="3" t="s">
        <v>239</v>
      </c>
      <c r="D699" s="3" t="s">
        <v>75</v>
      </c>
      <c r="E699" s="3" t="s">
        <v>39</v>
      </c>
      <c r="F699" s="3" t="s">
        <v>25</v>
      </c>
      <c r="G699" s="3" t="s">
        <v>26</v>
      </c>
      <c r="H699" s="3" t="s">
        <v>64</v>
      </c>
      <c r="I699" s="3" t="s">
        <v>145</v>
      </c>
      <c r="J699" s="3" t="s">
        <v>5989</v>
      </c>
      <c r="K699" s="3" t="n">
        <v>1660421.32</v>
      </c>
      <c r="L699" s="3" t="n">
        <v>0.0929</v>
      </c>
      <c r="M699" s="3" t="n">
        <v>1506168.18</v>
      </c>
      <c r="N699" s="3" t="n">
        <v>543818.79</v>
      </c>
      <c r="O699" s="3" t="n">
        <v>0.3611</v>
      </c>
      <c r="P699" s="3" t="n">
        <v>0.282</v>
      </c>
      <c r="Q699" s="3" t="n">
        <v>424739.43</v>
      </c>
      <c r="R699" s="3" t="n">
        <v>123</v>
      </c>
      <c r="S699" s="3" t="n">
        <v>4.6</v>
      </c>
      <c r="T699" s="3" t="n">
        <v>2.8</v>
      </c>
      <c r="U699" s="3"/>
      <c r="V699" s="3" t="n">
        <v>6.76</v>
      </c>
      <c r="W699" s="3" t="s">
        <v>5997</v>
      </c>
    </row>
    <row r="700" customFormat="false" ht="15" hidden="false" customHeight="true" outlineLevel="0" collapsed="false">
      <c r="A700" s="3" t="s">
        <v>6788</v>
      </c>
      <c r="B700" s="3" t="s">
        <v>649</v>
      </c>
      <c r="C700" s="3" t="s">
        <v>1795</v>
      </c>
      <c r="D700" s="3" t="s">
        <v>32</v>
      </c>
      <c r="E700" s="3" t="s">
        <v>33</v>
      </c>
      <c r="F700" s="3" t="s">
        <v>25</v>
      </c>
      <c r="G700" s="3" t="s">
        <v>34</v>
      </c>
      <c r="H700" s="3" t="s">
        <v>77</v>
      </c>
      <c r="I700" s="3" t="s">
        <v>85</v>
      </c>
      <c r="J700" s="3" t="s">
        <v>5996</v>
      </c>
      <c r="K700" s="3" t="n">
        <v>2602024.14</v>
      </c>
      <c r="L700" s="3" t="n">
        <v>0.1594</v>
      </c>
      <c r="M700" s="3" t="n">
        <v>2187261.49</v>
      </c>
      <c r="N700" s="3" t="n">
        <v>766422.93</v>
      </c>
      <c r="O700" s="3" t="n">
        <v>0.3504</v>
      </c>
      <c r="P700" s="3" t="n">
        <v>0.979</v>
      </c>
      <c r="Q700" s="3" t="n">
        <v>2141329</v>
      </c>
      <c r="R700" s="3" t="n">
        <v>144</v>
      </c>
      <c r="S700" s="3" t="n">
        <v>3.9</v>
      </c>
      <c r="T700" s="3" t="n">
        <v>3.4</v>
      </c>
      <c r="U700" s="3"/>
      <c r="V700" s="3" t="n">
        <v>5.87</v>
      </c>
      <c r="W700" s="3" t="s">
        <v>5990</v>
      </c>
    </row>
    <row r="701" customFormat="false" ht="15" hidden="false" customHeight="true" outlineLevel="0" collapsed="false">
      <c r="A701" s="3" t="s">
        <v>6789</v>
      </c>
      <c r="B701" s="3" t="s">
        <v>2031</v>
      </c>
      <c r="C701" s="3" t="s">
        <v>999</v>
      </c>
      <c r="D701" s="3" t="s">
        <v>69</v>
      </c>
      <c r="E701" s="3" t="s">
        <v>39</v>
      </c>
      <c r="F701" s="3" t="s">
        <v>70</v>
      </c>
      <c r="G701" s="3" t="s">
        <v>84</v>
      </c>
      <c r="H701" s="3" t="s">
        <v>27</v>
      </c>
      <c r="I701" s="3" t="s">
        <v>28</v>
      </c>
      <c r="J701" s="3" t="s">
        <v>5992</v>
      </c>
      <c r="K701" s="3" t="n">
        <v>3923691.55</v>
      </c>
      <c r="L701" s="3" t="n">
        <v>0.2537</v>
      </c>
      <c r="M701" s="3" t="n">
        <v>2928251</v>
      </c>
      <c r="N701" s="3" t="n">
        <v>958529.86</v>
      </c>
      <c r="O701" s="3" t="n">
        <v>0.3273</v>
      </c>
      <c r="P701" s="3" t="n">
        <v>0.697</v>
      </c>
      <c r="Q701" s="3" t="n">
        <v>2040990.95</v>
      </c>
      <c r="R701" s="3" t="n">
        <v>139</v>
      </c>
      <c r="S701" s="3" t="n">
        <v>3.6</v>
      </c>
      <c r="T701" s="3" t="n">
        <v>6.8</v>
      </c>
      <c r="U701" s="3"/>
      <c r="V701" s="3" t="n">
        <v>4.31</v>
      </c>
      <c r="W701" s="3" t="s">
        <v>6000</v>
      </c>
    </row>
    <row r="702" customFormat="false" ht="15" hidden="false" customHeight="true" outlineLevel="0" collapsed="false">
      <c r="A702" s="3" t="s">
        <v>6790</v>
      </c>
      <c r="B702" s="3" t="s">
        <v>2879</v>
      </c>
      <c r="C702" s="3" t="s">
        <v>1564</v>
      </c>
      <c r="D702" s="3" t="s">
        <v>54</v>
      </c>
      <c r="E702" s="3" t="s">
        <v>24</v>
      </c>
      <c r="F702" s="3" t="s">
        <v>40</v>
      </c>
      <c r="G702" s="3" t="s">
        <v>49</v>
      </c>
      <c r="H702" s="3" t="s">
        <v>77</v>
      </c>
      <c r="I702" s="3" t="s">
        <v>85</v>
      </c>
      <c r="J702" s="3" t="s">
        <v>5996</v>
      </c>
      <c r="K702" s="3" t="n">
        <v>2532060.13</v>
      </c>
      <c r="L702" s="3" t="n">
        <v>0.0743</v>
      </c>
      <c r="M702" s="3" t="n">
        <v>2343928.06</v>
      </c>
      <c r="N702" s="3" t="n">
        <v>1010474.17</v>
      </c>
      <c r="O702" s="3" t="n">
        <v>0.4311</v>
      </c>
      <c r="P702" s="3" t="n">
        <v>0.972</v>
      </c>
      <c r="Q702" s="3" t="n">
        <v>2278298.07</v>
      </c>
      <c r="R702" s="3" t="n">
        <v>107</v>
      </c>
      <c r="S702" s="3" t="n">
        <v>8.1</v>
      </c>
      <c r="T702" s="3" t="n">
        <v>9</v>
      </c>
      <c r="U702" s="3"/>
      <c r="V702" s="3" t="n">
        <v>7.41</v>
      </c>
      <c r="W702" s="3" t="s">
        <v>5997</v>
      </c>
    </row>
    <row r="703" customFormat="false" ht="15" hidden="false" customHeight="true" outlineLevel="0" collapsed="false">
      <c r="A703" s="3" t="s">
        <v>6791</v>
      </c>
      <c r="B703" s="3" t="s">
        <v>4316</v>
      </c>
      <c r="C703" s="3" t="s">
        <v>1852</v>
      </c>
      <c r="D703" s="3" t="s">
        <v>97</v>
      </c>
      <c r="E703" s="3" t="s">
        <v>48</v>
      </c>
      <c r="F703" s="3" t="s">
        <v>40</v>
      </c>
      <c r="G703" s="3" t="s">
        <v>104</v>
      </c>
      <c r="H703" s="3" t="s">
        <v>77</v>
      </c>
      <c r="I703" s="3" t="s">
        <v>131</v>
      </c>
      <c r="J703" s="3" t="s">
        <v>5999</v>
      </c>
      <c r="K703" s="3" t="n">
        <v>3686252.97</v>
      </c>
      <c r="L703" s="3" t="n">
        <v>0.1658</v>
      </c>
      <c r="M703" s="3" t="n">
        <v>3075072.23</v>
      </c>
      <c r="N703" s="3" t="n">
        <v>1165054.59</v>
      </c>
      <c r="O703" s="3" t="n">
        <v>0.3789</v>
      </c>
      <c r="P703" s="3" t="n">
        <v>0.487</v>
      </c>
      <c r="Q703" s="3" t="n">
        <v>1497560.18</v>
      </c>
      <c r="R703" s="3" t="n">
        <v>117</v>
      </c>
      <c r="S703" s="3" t="n">
        <v>5.1</v>
      </c>
      <c r="T703" s="3" t="n">
        <v>1.5</v>
      </c>
      <c r="U703" s="3"/>
      <c r="V703" s="3" t="n">
        <v>6.62</v>
      </c>
      <c r="W703" s="3" t="s">
        <v>5997</v>
      </c>
    </row>
    <row r="704" customFormat="false" ht="15" hidden="false" customHeight="true" outlineLevel="0" collapsed="false">
      <c r="A704" s="3" t="s">
        <v>6792</v>
      </c>
      <c r="B704" s="3" t="s">
        <v>3784</v>
      </c>
      <c r="C704" s="3" t="s">
        <v>6793</v>
      </c>
      <c r="D704" s="3" t="s">
        <v>103</v>
      </c>
      <c r="E704" s="3" t="s">
        <v>24</v>
      </c>
      <c r="F704" s="3" t="s">
        <v>62</v>
      </c>
      <c r="G704" s="3" t="s">
        <v>26</v>
      </c>
      <c r="H704" s="3" t="s">
        <v>27</v>
      </c>
      <c r="I704" s="3" t="s">
        <v>173</v>
      </c>
      <c r="J704" s="3" t="s">
        <v>6009</v>
      </c>
      <c r="K704" s="3" t="n">
        <v>2167032.14</v>
      </c>
      <c r="L704" s="3" t="n">
        <v>0.0612</v>
      </c>
      <c r="M704" s="3" t="n">
        <v>2034409.77</v>
      </c>
      <c r="N704" s="3" t="n">
        <v>819234.94</v>
      </c>
      <c r="O704" s="3" t="n">
        <v>0.4027</v>
      </c>
      <c r="P704" s="3" t="n">
        <v>0</v>
      </c>
      <c r="Q704" s="3" t="n">
        <v>0</v>
      </c>
      <c r="R704" s="3" t="n">
        <v>105</v>
      </c>
      <c r="S704" s="3" t="n">
        <v>9.4</v>
      </c>
      <c r="T704" s="3" t="n">
        <v>7.4</v>
      </c>
      <c r="U704" s="3" t="s">
        <v>6020</v>
      </c>
      <c r="V704" s="3" t="n">
        <v>7.85</v>
      </c>
      <c r="W704" s="3" t="s">
        <v>5997</v>
      </c>
    </row>
    <row r="705" customFormat="false" ht="15" hidden="false" customHeight="true" outlineLevel="0" collapsed="false">
      <c r="A705" s="3" t="s">
        <v>6794</v>
      </c>
      <c r="B705" s="3" t="s">
        <v>4066</v>
      </c>
      <c r="C705" s="3" t="s">
        <v>179</v>
      </c>
      <c r="D705" s="3" t="s">
        <v>61</v>
      </c>
      <c r="E705" s="3" t="s">
        <v>33</v>
      </c>
      <c r="F705" s="3" t="s">
        <v>62</v>
      </c>
      <c r="G705" s="3" t="s">
        <v>100</v>
      </c>
      <c r="H705" s="3" t="s">
        <v>27</v>
      </c>
      <c r="I705" s="3" t="s">
        <v>173</v>
      </c>
      <c r="J705" s="3" t="s">
        <v>5992</v>
      </c>
      <c r="K705" s="3" t="n">
        <v>1893638.58</v>
      </c>
      <c r="L705" s="3" t="n">
        <v>0.2649</v>
      </c>
      <c r="M705" s="3" t="n">
        <v>1392013.72</v>
      </c>
      <c r="N705" s="3" t="n">
        <v>463471.34</v>
      </c>
      <c r="O705" s="3" t="n">
        <v>0.333</v>
      </c>
      <c r="P705" s="3" t="n">
        <v>0.726</v>
      </c>
      <c r="Q705" s="3" t="n">
        <v>1010601.96</v>
      </c>
      <c r="R705" s="3" t="n">
        <v>112</v>
      </c>
      <c r="S705" s="3" t="n">
        <v>3.3</v>
      </c>
      <c r="T705" s="3" t="n">
        <v>3.4</v>
      </c>
      <c r="U705" s="3"/>
      <c r="V705" s="3" t="n">
        <v>4.71</v>
      </c>
      <c r="W705" s="3" t="s">
        <v>6000</v>
      </c>
    </row>
    <row r="706" customFormat="false" ht="15" hidden="false" customHeight="true" outlineLevel="0" collapsed="false">
      <c r="A706" s="3" t="s">
        <v>6795</v>
      </c>
      <c r="B706" s="3" t="s">
        <v>2581</v>
      </c>
      <c r="C706" s="3" t="s">
        <v>1792</v>
      </c>
      <c r="D706" s="3" t="s">
        <v>61</v>
      </c>
      <c r="E706" s="3" t="s">
        <v>33</v>
      </c>
      <c r="F706" s="3" t="s">
        <v>62</v>
      </c>
      <c r="G706" s="3" t="s">
        <v>41</v>
      </c>
      <c r="H706" s="3" t="s">
        <v>42</v>
      </c>
      <c r="I706" s="3" t="s">
        <v>43</v>
      </c>
      <c r="J706" s="3" t="s">
        <v>5996</v>
      </c>
      <c r="K706" s="3" t="n">
        <v>119300.68</v>
      </c>
      <c r="L706" s="3" t="n">
        <v>0.2381</v>
      </c>
      <c r="M706" s="3" t="n">
        <v>90895.19</v>
      </c>
      <c r="N706" s="3" t="n">
        <v>38903.23</v>
      </c>
      <c r="O706" s="3" t="n">
        <v>0.428</v>
      </c>
      <c r="P706" s="3" t="n">
        <v>1</v>
      </c>
      <c r="Q706" s="3" t="n">
        <v>90895.19</v>
      </c>
      <c r="R706" s="3" t="n">
        <v>125</v>
      </c>
      <c r="S706" s="3" t="n">
        <v>5.6</v>
      </c>
      <c r="T706" s="3" t="n">
        <v>2.9</v>
      </c>
      <c r="U706" s="3"/>
      <c r="V706" s="3" t="n">
        <v>6.31</v>
      </c>
      <c r="W706" s="3" t="s">
        <v>5990</v>
      </c>
    </row>
    <row r="707" customFormat="false" ht="15" hidden="false" customHeight="true" outlineLevel="0" collapsed="false">
      <c r="A707" s="3" t="s">
        <v>6796</v>
      </c>
      <c r="B707" s="3" t="s">
        <v>1191</v>
      </c>
      <c r="C707" s="3" t="s">
        <v>730</v>
      </c>
      <c r="D707" s="3" t="s">
        <v>38</v>
      </c>
      <c r="E707" s="3" t="s">
        <v>39</v>
      </c>
      <c r="F707" s="3" t="s">
        <v>40</v>
      </c>
      <c r="G707" s="3" t="s">
        <v>104</v>
      </c>
      <c r="H707" s="3" t="s">
        <v>77</v>
      </c>
      <c r="I707" s="3" t="s">
        <v>131</v>
      </c>
      <c r="J707" s="3" t="s">
        <v>6003</v>
      </c>
      <c r="K707" s="3" t="n">
        <v>382911.85</v>
      </c>
      <c r="L707" s="3" t="n">
        <v>0.215</v>
      </c>
      <c r="M707" s="3" t="n">
        <v>300585.8</v>
      </c>
      <c r="N707" s="3" t="n">
        <v>134940.08</v>
      </c>
      <c r="O707" s="3" t="n">
        <v>0.4489</v>
      </c>
      <c r="P707" s="3" t="n">
        <v>0.061</v>
      </c>
      <c r="Q707" s="3" t="n">
        <v>18335.73</v>
      </c>
      <c r="R707" s="3" t="n">
        <v>138</v>
      </c>
      <c r="S707" s="3" t="n">
        <v>6.7</v>
      </c>
      <c r="T707" s="3" t="n">
        <v>5.8</v>
      </c>
      <c r="U707" s="3"/>
      <c r="V707" s="3" t="n">
        <v>6.5</v>
      </c>
      <c r="W707" s="3" t="s">
        <v>5997</v>
      </c>
    </row>
    <row r="708" customFormat="false" ht="15" hidden="false" customHeight="true" outlineLevel="0" collapsed="false">
      <c r="A708" s="3" t="s">
        <v>6797</v>
      </c>
      <c r="B708" s="3" t="s">
        <v>1229</v>
      </c>
      <c r="C708" s="3" t="s">
        <v>1586</v>
      </c>
      <c r="D708" s="3" t="s">
        <v>107</v>
      </c>
      <c r="E708" s="3" t="s">
        <v>33</v>
      </c>
      <c r="F708" s="3" t="s">
        <v>70</v>
      </c>
      <c r="G708" s="3" t="s">
        <v>34</v>
      </c>
      <c r="H708" s="3" t="s">
        <v>27</v>
      </c>
      <c r="I708" s="3" t="s">
        <v>94</v>
      </c>
      <c r="J708" s="3" t="s">
        <v>5996</v>
      </c>
      <c r="K708" s="3" t="n">
        <v>2929541.51</v>
      </c>
      <c r="L708" s="3" t="n">
        <v>0.2102</v>
      </c>
      <c r="M708" s="3" t="n">
        <v>2313751.88</v>
      </c>
      <c r="N708" s="3" t="n">
        <v>889982.3</v>
      </c>
      <c r="O708" s="3" t="n">
        <v>0.3846</v>
      </c>
      <c r="P708" s="3" t="n">
        <v>1</v>
      </c>
      <c r="Q708" s="3" t="n">
        <v>2313751.88</v>
      </c>
      <c r="R708" s="3" t="n">
        <v>38</v>
      </c>
      <c r="S708" s="3" t="n">
        <v>6.2</v>
      </c>
      <c r="T708" s="3" t="n">
        <v>3</v>
      </c>
      <c r="U708" s="3"/>
      <c r="V708" s="3" t="n">
        <v>6.32</v>
      </c>
      <c r="W708" s="3" t="s">
        <v>5990</v>
      </c>
    </row>
    <row r="709" customFormat="false" ht="15" hidden="false" customHeight="true" outlineLevel="0" collapsed="false">
      <c r="A709" s="3" t="s">
        <v>6798</v>
      </c>
      <c r="B709" s="3" t="s">
        <v>2435</v>
      </c>
      <c r="C709" s="3" t="s">
        <v>661</v>
      </c>
      <c r="D709" s="3" t="s">
        <v>61</v>
      </c>
      <c r="E709" s="3" t="s">
        <v>33</v>
      </c>
      <c r="F709" s="3" t="s">
        <v>62</v>
      </c>
      <c r="G709" s="3" t="s">
        <v>84</v>
      </c>
      <c r="H709" s="3" t="s">
        <v>56</v>
      </c>
      <c r="I709" s="3" t="s">
        <v>121</v>
      </c>
      <c r="J709" s="3" t="s">
        <v>5996</v>
      </c>
      <c r="K709" s="3" t="n">
        <v>686448.27</v>
      </c>
      <c r="L709" s="3" t="n">
        <v>0.1533</v>
      </c>
      <c r="M709" s="3" t="n">
        <v>581215.75</v>
      </c>
      <c r="N709" s="3" t="n">
        <v>278666.5</v>
      </c>
      <c r="O709" s="3" t="n">
        <v>0.4795</v>
      </c>
      <c r="P709" s="3" t="n">
        <v>0.997</v>
      </c>
      <c r="Q709" s="3" t="n">
        <v>579472.1</v>
      </c>
      <c r="R709" s="3" t="n">
        <v>32</v>
      </c>
      <c r="S709" s="3" t="n">
        <v>4.3</v>
      </c>
      <c r="T709" s="3" t="n">
        <v>4.8</v>
      </c>
      <c r="U709" s="3"/>
      <c r="V709" s="3" t="n">
        <v>6.58</v>
      </c>
      <c r="W709" s="3" t="s">
        <v>5997</v>
      </c>
    </row>
    <row r="710" customFormat="false" ht="15" hidden="false" customHeight="true" outlineLevel="0" collapsed="false">
      <c r="A710" s="3" t="s">
        <v>6799</v>
      </c>
      <c r="B710" s="3" t="s">
        <v>734</v>
      </c>
      <c r="C710" s="3" t="s">
        <v>984</v>
      </c>
      <c r="D710" s="3" t="s">
        <v>32</v>
      </c>
      <c r="E710" s="3" t="s">
        <v>33</v>
      </c>
      <c r="F710" s="3" t="s">
        <v>25</v>
      </c>
      <c r="G710" s="3" t="s">
        <v>104</v>
      </c>
      <c r="H710" s="3" t="s">
        <v>27</v>
      </c>
      <c r="I710" s="3" t="s">
        <v>94</v>
      </c>
      <c r="J710" s="3" t="s">
        <v>6009</v>
      </c>
      <c r="K710" s="3" t="n">
        <v>2183652.03</v>
      </c>
      <c r="L710" s="3" t="n">
        <v>0.1599</v>
      </c>
      <c r="M710" s="3" t="n">
        <v>1834486.07</v>
      </c>
      <c r="N710" s="3" t="n">
        <v>571554.39</v>
      </c>
      <c r="O710" s="3" t="n">
        <v>0.3116</v>
      </c>
      <c r="P710" s="3" t="n">
        <v>0</v>
      </c>
      <c r="Q710" s="3" t="n">
        <v>0</v>
      </c>
      <c r="R710" s="3" t="n">
        <v>46</v>
      </c>
      <c r="S710" s="3" t="n">
        <v>3.8</v>
      </c>
      <c r="T710" s="3" t="n">
        <v>8</v>
      </c>
      <c r="U710" s="3" t="s">
        <v>6010</v>
      </c>
      <c r="V710" s="3" t="n">
        <v>4.84</v>
      </c>
      <c r="W710" s="3" t="s">
        <v>6000</v>
      </c>
    </row>
    <row r="711" customFormat="false" ht="15" hidden="false" customHeight="true" outlineLevel="0" collapsed="false">
      <c r="A711" s="3" t="s">
        <v>6800</v>
      </c>
      <c r="B711" s="3" t="s">
        <v>2621</v>
      </c>
      <c r="C711" s="3" t="s">
        <v>4263</v>
      </c>
      <c r="D711" s="3" t="s">
        <v>75</v>
      </c>
      <c r="E711" s="3" t="s">
        <v>39</v>
      </c>
      <c r="F711" s="3" t="s">
        <v>25</v>
      </c>
      <c r="G711" s="3" t="s">
        <v>34</v>
      </c>
      <c r="H711" s="3" t="s">
        <v>56</v>
      </c>
      <c r="I711" s="3" t="s">
        <v>121</v>
      </c>
      <c r="J711" s="3" t="s">
        <v>5989</v>
      </c>
      <c r="K711" s="3" t="n">
        <v>581402.85</v>
      </c>
      <c r="L711" s="3" t="n">
        <v>0.249</v>
      </c>
      <c r="M711" s="3" t="n">
        <v>436633.54</v>
      </c>
      <c r="N711" s="3" t="n">
        <v>136769.92</v>
      </c>
      <c r="O711" s="3" t="n">
        <v>0.3132</v>
      </c>
      <c r="P711" s="3" t="n">
        <v>0.279</v>
      </c>
      <c r="Q711" s="3" t="n">
        <v>121820.76</v>
      </c>
      <c r="R711" s="3" t="n">
        <v>100</v>
      </c>
      <c r="S711" s="3" t="n">
        <v>1.7</v>
      </c>
      <c r="T711" s="3" t="n">
        <v>9.5</v>
      </c>
      <c r="U711" s="3"/>
      <c r="V711" s="3" t="n">
        <v>3.37</v>
      </c>
      <c r="W711" s="3" t="s">
        <v>6000</v>
      </c>
    </row>
    <row r="712" customFormat="false" ht="15" hidden="false" customHeight="true" outlineLevel="0" collapsed="false">
      <c r="A712" s="3" t="s">
        <v>6801</v>
      </c>
      <c r="B712" s="3" t="s">
        <v>179</v>
      </c>
      <c r="C712" s="3" t="s">
        <v>1726</v>
      </c>
      <c r="D712" s="3" t="s">
        <v>69</v>
      </c>
      <c r="E712" s="3" t="s">
        <v>39</v>
      </c>
      <c r="F712" s="3" t="s">
        <v>70</v>
      </c>
      <c r="G712" s="3" t="s">
        <v>116</v>
      </c>
      <c r="H712" s="3" t="s">
        <v>27</v>
      </c>
      <c r="I712" s="3" t="s">
        <v>117</v>
      </c>
      <c r="J712" s="3" t="s">
        <v>5996</v>
      </c>
      <c r="K712" s="3" t="n">
        <v>3850377.7</v>
      </c>
      <c r="L712" s="3" t="n">
        <v>0.1652</v>
      </c>
      <c r="M712" s="3" t="n">
        <v>3214295.3</v>
      </c>
      <c r="N712" s="3" t="n">
        <v>1356661.71</v>
      </c>
      <c r="O712" s="3" t="n">
        <v>0.4221</v>
      </c>
      <c r="P712" s="3" t="n">
        <v>0.974</v>
      </c>
      <c r="Q712" s="3" t="n">
        <v>3130723.62</v>
      </c>
      <c r="R712" s="3" t="n">
        <v>43</v>
      </c>
      <c r="S712" s="3" t="n">
        <v>2.2</v>
      </c>
      <c r="T712" s="3" t="n">
        <v>9.7</v>
      </c>
      <c r="U712" s="3"/>
      <c r="V712" s="3" t="n">
        <v>5.01</v>
      </c>
      <c r="W712" s="3" t="s">
        <v>5990</v>
      </c>
    </row>
    <row r="713" customFormat="false" ht="15" hidden="false" customHeight="true" outlineLevel="0" collapsed="false">
      <c r="A713" s="3" t="s">
        <v>6802</v>
      </c>
      <c r="B713" s="3" t="s">
        <v>1787</v>
      </c>
      <c r="C713" s="3" t="s">
        <v>929</v>
      </c>
      <c r="D713" s="3" t="s">
        <v>97</v>
      </c>
      <c r="E713" s="3" t="s">
        <v>48</v>
      </c>
      <c r="F713" s="3" t="s">
        <v>40</v>
      </c>
      <c r="G713" s="3" t="s">
        <v>63</v>
      </c>
      <c r="H713" s="3" t="s">
        <v>77</v>
      </c>
      <c r="I713" s="3" t="s">
        <v>85</v>
      </c>
      <c r="J713" s="3" t="s">
        <v>5996</v>
      </c>
      <c r="K713" s="3" t="n">
        <v>3927925.69</v>
      </c>
      <c r="L713" s="3" t="n">
        <v>0.1362</v>
      </c>
      <c r="M713" s="3" t="n">
        <v>3392942.21</v>
      </c>
      <c r="N713" s="3" t="n">
        <v>1210025.2</v>
      </c>
      <c r="O713" s="3" t="n">
        <v>0.3566</v>
      </c>
      <c r="P713" s="3" t="n">
        <v>1</v>
      </c>
      <c r="Q713" s="3" t="n">
        <v>3392942.21</v>
      </c>
      <c r="R713" s="3" t="n">
        <v>122</v>
      </c>
      <c r="S713" s="3" t="n">
        <v>1.6</v>
      </c>
      <c r="T713" s="3" t="n">
        <v>8.8</v>
      </c>
      <c r="U713" s="3"/>
      <c r="V713" s="3" t="n">
        <v>4.72</v>
      </c>
      <c r="W713" s="3" t="s">
        <v>6000</v>
      </c>
    </row>
    <row r="714" customFormat="false" ht="15" hidden="false" customHeight="true" outlineLevel="0" collapsed="false">
      <c r="A714" s="3" t="s">
        <v>6803</v>
      </c>
      <c r="B714" s="3" t="s">
        <v>1186</v>
      </c>
      <c r="C714" s="3" t="s">
        <v>1840</v>
      </c>
      <c r="D714" s="3" t="s">
        <v>75</v>
      </c>
      <c r="E714" s="3" t="s">
        <v>39</v>
      </c>
      <c r="F714" s="3" t="s">
        <v>25</v>
      </c>
      <c r="G714" s="3" t="s">
        <v>63</v>
      </c>
      <c r="H714" s="3" t="s">
        <v>42</v>
      </c>
      <c r="I714" s="3" t="s">
        <v>134</v>
      </c>
      <c r="J714" s="3" t="s">
        <v>5992</v>
      </c>
      <c r="K714" s="3" t="n">
        <v>1720929.59</v>
      </c>
      <c r="L714" s="3" t="n">
        <v>0.1458</v>
      </c>
      <c r="M714" s="3" t="n">
        <v>1470018.06</v>
      </c>
      <c r="N714" s="3" t="n">
        <v>530341.76</v>
      </c>
      <c r="O714" s="3" t="n">
        <v>0.3608</v>
      </c>
      <c r="P714" s="3" t="n">
        <v>0.697</v>
      </c>
      <c r="Q714" s="3" t="n">
        <v>1024602.59</v>
      </c>
      <c r="R714" s="3" t="n">
        <v>57</v>
      </c>
      <c r="S714" s="3" t="n">
        <v>7.9</v>
      </c>
      <c r="T714" s="3" t="n">
        <v>3.3</v>
      </c>
      <c r="U714" s="3"/>
      <c r="V714" s="3" t="n">
        <v>7.05</v>
      </c>
      <c r="W714" s="3" t="s">
        <v>5997</v>
      </c>
    </row>
    <row r="715" customFormat="false" ht="15" hidden="false" customHeight="true" outlineLevel="0" collapsed="false">
      <c r="A715" s="3" t="s">
        <v>6804</v>
      </c>
      <c r="B715" s="3" t="s">
        <v>5038</v>
      </c>
      <c r="C715" s="3" t="s">
        <v>1633</v>
      </c>
      <c r="D715" s="3" t="s">
        <v>97</v>
      </c>
      <c r="E715" s="3" t="s">
        <v>48</v>
      </c>
      <c r="F715" s="3" t="s">
        <v>40</v>
      </c>
      <c r="G715" s="3" t="s">
        <v>41</v>
      </c>
      <c r="H715" s="3" t="s">
        <v>64</v>
      </c>
      <c r="I715" s="3" t="s">
        <v>90</v>
      </c>
      <c r="J715" s="3" t="s">
        <v>5992</v>
      </c>
      <c r="K715" s="3" t="n">
        <v>4348817.09</v>
      </c>
      <c r="L715" s="3" t="n">
        <v>0.2967</v>
      </c>
      <c r="M715" s="3" t="n">
        <v>3058523.06</v>
      </c>
      <c r="N715" s="3" t="n">
        <v>1348672.75</v>
      </c>
      <c r="O715" s="3" t="n">
        <v>0.441</v>
      </c>
      <c r="P715" s="3" t="n">
        <v>0.728</v>
      </c>
      <c r="Q715" s="3" t="n">
        <v>2226604.79</v>
      </c>
      <c r="R715" s="3" t="n">
        <v>73</v>
      </c>
      <c r="S715" s="3" t="n">
        <v>1.2</v>
      </c>
      <c r="T715" s="3" t="n">
        <v>2.8</v>
      </c>
      <c r="U715" s="3"/>
      <c r="V715" s="3" t="n">
        <v>4.83</v>
      </c>
      <c r="W715" s="3" t="s">
        <v>6000</v>
      </c>
    </row>
    <row r="716" customFormat="false" ht="15" hidden="false" customHeight="true" outlineLevel="0" collapsed="false">
      <c r="A716" s="3" t="s">
        <v>6805</v>
      </c>
      <c r="B716" s="3" t="s">
        <v>219</v>
      </c>
      <c r="C716" s="3" t="s">
        <v>2031</v>
      </c>
      <c r="D716" s="3" t="s">
        <v>47</v>
      </c>
      <c r="E716" s="3" t="s">
        <v>48</v>
      </c>
      <c r="F716" s="3" t="s">
        <v>25</v>
      </c>
      <c r="G716" s="3" t="s">
        <v>76</v>
      </c>
      <c r="H716" s="3" t="s">
        <v>27</v>
      </c>
      <c r="I716" s="3" t="s">
        <v>173</v>
      </c>
      <c r="J716" s="3" t="s">
        <v>6009</v>
      </c>
      <c r="K716" s="3" t="n">
        <v>2108299.23</v>
      </c>
      <c r="L716" s="3" t="n">
        <v>0.2087</v>
      </c>
      <c r="M716" s="3" t="n">
        <v>1668297.18</v>
      </c>
      <c r="N716" s="3" t="n">
        <v>632280.63</v>
      </c>
      <c r="O716" s="3" t="n">
        <v>0.379</v>
      </c>
      <c r="P716" s="3" t="n">
        <v>0</v>
      </c>
      <c r="Q716" s="3" t="n">
        <v>0</v>
      </c>
      <c r="R716" s="3" t="n">
        <v>128</v>
      </c>
      <c r="S716" s="3" t="n">
        <v>7.7</v>
      </c>
      <c r="T716" s="3" t="n">
        <v>4.9</v>
      </c>
      <c r="U716" s="3" t="s">
        <v>6010</v>
      </c>
      <c r="V716" s="3" t="n">
        <v>6.38</v>
      </c>
      <c r="W716" s="3" t="s">
        <v>5990</v>
      </c>
    </row>
    <row r="717" customFormat="false" ht="15" hidden="false" customHeight="true" outlineLevel="0" collapsed="false">
      <c r="A717" s="3" t="s">
        <v>6806</v>
      </c>
      <c r="B717" s="3" t="s">
        <v>115</v>
      </c>
      <c r="C717" s="3" t="s">
        <v>6474</v>
      </c>
      <c r="D717" s="3" t="s">
        <v>54</v>
      </c>
      <c r="E717" s="3" t="s">
        <v>24</v>
      </c>
      <c r="F717" s="3" t="s">
        <v>40</v>
      </c>
      <c r="G717" s="3" t="s">
        <v>41</v>
      </c>
      <c r="H717" s="3" t="s">
        <v>42</v>
      </c>
      <c r="I717" s="3" t="s">
        <v>72</v>
      </c>
      <c r="J717" s="3" t="s">
        <v>6003</v>
      </c>
      <c r="K717" s="3" t="n">
        <v>4244356.58</v>
      </c>
      <c r="L717" s="3" t="n">
        <v>0.2638</v>
      </c>
      <c r="M717" s="3" t="n">
        <v>3124695.31</v>
      </c>
      <c r="N717" s="3" t="n">
        <v>1194616.62</v>
      </c>
      <c r="O717" s="3" t="n">
        <v>0.3823</v>
      </c>
      <c r="P717" s="3" t="n">
        <v>0.116</v>
      </c>
      <c r="Q717" s="3" t="n">
        <v>362464.66</v>
      </c>
      <c r="R717" s="3" t="n">
        <v>156</v>
      </c>
      <c r="S717" s="3" t="n">
        <v>2</v>
      </c>
      <c r="T717" s="3" t="n">
        <v>2.1</v>
      </c>
      <c r="U717" s="3"/>
      <c r="V717" s="3" t="n">
        <v>4.96</v>
      </c>
      <c r="W717" s="3" t="s">
        <v>6000</v>
      </c>
    </row>
    <row r="718" customFormat="false" ht="15" hidden="false" customHeight="true" outlineLevel="0" collapsed="false">
      <c r="A718" s="3" t="s">
        <v>6807</v>
      </c>
      <c r="B718" s="3" t="s">
        <v>1150</v>
      </c>
      <c r="C718" s="3" t="s">
        <v>4764</v>
      </c>
      <c r="D718" s="3" t="s">
        <v>103</v>
      </c>
      <c r="E718" s="3" t="s">
        <v>24</v>
      </c>
      <c r="F718" s="3" t="s">
        <v>62</v>
      </c>
      <c r="G718" s="3" t="s">
        <v>100</v>
      </c>
      <c r="H718" s="3" t="s">
        <v>42</v>
      </c>
      <c r="I718" s="3" t="s">
        <v>72</v>
      </c>
      <c r="J718" s="3" t="s">
        <v>6009</v>
      </c>
      <c r="K718" s="3" t="n">
        <v>4794097.41</v>
      </c>
      <c r="L718" s="3" t="n">
        <v>0.1199</v>
      </c>
      <c r="M718" s="3" t="n">
        <v>4219285.13</v>
      </c>
      <c r="N718" s="3" t="n">
        <v>1991514.47</v>
      </c>
      <c r="O718" s="3" t="n">
        <v>0.472</v>
      </c>
      <c r="P718" s="3" t="n">
        <v>0</v>
      </c>
      <c r="Q718" s="3" t="n">
        <v>0</v>
      </c>
      <c r="R718" s="3" t="n">
        <v>28</v>
      </c>
      <c r="S718" s="3" t="n">
        <v>1.6</v>
      </c>
      <c r="T718" s="3" t="n">
        <v>1.6</v>
      </c>
      <c r="U718" s="3" t="s">
        <v>6010</v>
      </c>
      <c r="V718" s="3" t="n">
        <v>6.66</v>
      </c>
      <c r="W718" s="3" t="s">
        <v>5997</v>
      </c>
    </row>
    <row r="719" customFormat="false" ht="15" hidden="false" customHeight="true" outlineLevel="0" collapsed="false">
      <c r="A719" s="3" t="s">
        <v>6808</v>
      </c>
      <c r="B719" s="3" t="s">
        <v>3423</v>
      </c>
      <c r="C719" s="3" t="s">
        <v>1375</v>
      </c>
      <c r="D719" s="3" t="s">
        <v>23</v>
      </c>
      <c r="E719" s="3" t="s">
        <v>24</v>
      </c>
      <c r="F719" s="3" t="s">
        <v>25</v>
      </c>
      <c r="G719" s="3" t="s">
        <v>104</v>
      </c>
      <c r="H719" s="3" t="s">
        <v>77</v>
      </c>
      <c r="I719" s="3" t="s">
        <v>78</v>
      </c>
      <c r="J719" s="3" t="s">
        <v>5992</v>
      </c>
      <c r="K719" s="3" t="n">
        <v>3330632.46</v>
      </c>
      <c r="L719" s="3" t="n">
        <v>0.1308</v>
      </c>
      <c r="M719" s="3" t="n">
        <v>2894985.73</v>
      </c>
      <c r="N719" s="3" t="n">
        <v>1147501.19</v>
      </c>
      <c r="O719" s="3" t="n">
        <v>0.3964</v>
      </c>
      <c r="P719" s="3" t="n">
        <v>0.719</v>
      </c>
      <c r="Q719" s="3" t="n">
        <v>2081494.74</v>
      </c>
      <c r="R719" s="3" t="n">
        <v>123</v>
      </c>
      <c r="S719" s="3" t="n">
        <v>3</v>
      </c>
      <c r="T719" s="3" t="n">
        <v>5.4</v>
      </c>
      <c r="U719" s="3"/>
      <c r="V719" s="3" t="n">
        <v>5.92</v>
      </c>
      <c r="W719" s="3" t="s">
        <v>5990</v>
      </c>
    </row>
    <row r="720" customFormat="false" ht="15" hidden="false" customHeight="true" outlineLevel="0" collapsed="false">
      <c r="A720" s="3" t="s">
        <v>6809</v>
      </c>
      <c r="B720" s="3" t="s">
        <v>3784</v>
      </c>
      <c r="C720" s="3" t="s">
        <v>6810</v>
      </c>
      <c r="D720" s="3" t="s">
        <v>54</v>
      </c>
      <c r="E720" s="3" t="s">
        <v>24</v>
      </c>
      <c r="F720" s="3" t="s">
        <v>40</v>
      </c>
      <c r="G720" s="3" t="s">
        <v>84</v>
      </c>
      <c r="H720" s="3" t="s">
        <v>42</v>
      </c>
      <c r="I720" s="3" t="s">
        <v>134</v>
      </c>
      <c r="J720" s="3" t="s">
        <v>6003</v>
      </c>
      <c r="K720" s="3" t="n">
        <v>1574220.24</v>
      </c>
      <c r="L720" s="3" t="n">
        <v>0.0913</v>
      </c>
      <c r="M720" s="3" t="n">
        <v>1430493.93</v>
      </c>
      <c r="N720" s="3" t="n">
        <v>473703.51</v>
      </c>
      <c r="O720" s="3" t="n">
        <v>0.3311</v>
      </c>
      <c r="P720" s="3" t="n">
        <v>0.134</v>
      </c>
      <c r="Q720" s="3" t="n">
        <v>191686.19</v>
      </c>
      <c r="R720" s="3" t="n">
        <v>146</v>
      </c>
      <c r="S720" s="3" t="n">
        <v>9.3</v>
      </c>
      <c r="T720" s="3" t="n">
        <v>8</v>
      </c>
      <c r="U720" s="3"/>
      <c r="V720" s="3" t="n">
        <v>6.96</v>
      </c>
      <c r="W720" s="3" t="s">
        <v>5997</v>
      </c>
    </row>
    <row r="721" customFormat="false" ht="15" hidden="false" customHeight="true" outlineLevel="0" collapsed="false">
      <c r="A721" s="3" t="s">
        <v>6811</v>
      </c>
      <c r="B721" s="3" t="s">
        <v>99</v>
      </c>
      <c r="C721" s="3" t="s">
        <v>6188</v>
      </c>
      <c r="D721" s="3" t="s">
        <v>69</v>
      </c>
      <c r="E721" s="3" t="s">
        <v>39</v>
      </c>
      <c r="F721" s="3" t="s">
        <v>70</v>
      </c>
      <c r="G721" s="3" t="s">
        <v>104</v>
      </c>
      <c r="H721" s="3" t="s">
        <v>42</v>
      </c>
      <c r="I721" s="3" t="s">
        <v>43</v>
      </c>
      <c r="J721" s="3" t="s">
        <v>5999</v>
      </c>
      <c r="K721" s="3" t="n">
        <v>3893850.61</v>
      </c>
      <c r="L721" s="3" t="n">
        <v>0.2568</v>
      </c>
      <c r="M721" s="3" t="n">
        <v>2893909.77</v>
      </c>
      <c r="N721" s="3" t="n">
        <v>1310743.81</v>
      </c>
      <c r="O721" s="3" t="n">
        <v>0.4529</v>
      </c>
      <c r="P721" s="3" t="n">
        <v>0.442</v>
      </c>
      <c r="Q721" s="3" t="n">
        <v>1279108.12</v>
      </c>
      <c r="R721" s="3" t="n">
        <v>128</v>
      </c>
      <c r="S721" s="3" t="n">
        <v>4.4</v>
      </c>
      <c r="T721" s="3" t="n">
        <v>4.8</v>
      </c>
      <c r="U721" s="3"/>
      <c r="V721" s="3" t="n">
        <v>5.73</v>
      </c>
      <c r="W721" s="3" t="s">
        <v>5990</v>
      </c>
    </row>
    <row r="722" customFormat="false" ht="15" hidden="false" customHeight="true" outlineLevel="0" collapsed="false">
      <c r="A722" s="3" t="s">
        <v>6812</v>
      </c>
      <c r="B722" s="3" t="s">
        <v>3118</v>
      </c>
      <c r="C722" s="3" t="s">
        <v>6813</v>
      </c>
      <c r="D722" s="3" t="s">
        <v>75</v>
      </c>
      <c r="E722" s="3" t="s">
        <v>39</v>
      </c>
      <c r="F722" s="3" t="s">
        <v>25</v>
      </c>
      <c r="G722" s="3" t="s">
        <v>84</v>
      </c>
      <c r="H722" s="3" t="s">
        <v>27</v>
      </c>
      <c r="I722" s="3" t="s">
        <v>173</v>
      </c>
      <c r="J722" s="3" t="s">
        <v>5992</v>
      </c>
      <c r="K722" s="3" t="n">
        <v>4341699.24</v>
      </c>
      <c r="L722" s="3" t="n">
        <v>0.273</v>
      </c>
      <c r="M722" s="3" t="n">
        <v>3156415.35</v>
      </c>
      <c r="N722" s="3" t="n">
        <v>1367929.53</v>
      </c>
      <c r="O722" s="3" t="n">
        <v>0.4334</v>
      </c>
      <c r="P722" s="3" t="n">
        <v>0.735</v>
      </c>
      <c r="Q722" s="3" t="n">
        <v>2319965.28</v>
      </c>
      <c r="R722" s="3" t="n">
        <v>126</v>
      </c>
      <c r="S722" s="3" t="n">
        <v>5.4</v>
      </c>
      <c r="T722" s="3" t="n">
        <v>3.3</v>
      </c>
      <c r="U722" s="3"/>
      <c r="V722" s="3" t="n">
        <v>5.94</v>
      </c>
      <c r="W722" s="3" t="s">
        <v>5990</v>
      </c>
    </row>
    <row r="723" customFormat="false" ht="15" hidden="false" customHeight="true" outlineLevel="0" collapsed="false">
      <c r="A723" s="3" t="s">
        <v>6814</v>
      </c>
      <c r="B723" s="3" t="s">
        <v>2194</v>
      </c>
      <c r="C723" s="3" t="s">
        <v>824</v>
      </c>
      <c r="D723" s="3" t="s">
        <v>61</v>
      </c>
      <c r="E723" s="3" t="s">
        <v>33</v>
      </c>
      <c r="F723" s="3" t="s">
        <v>62</v>
      </c>
      <c r="G723" s="3" t="s">
        <v>76</v>
      </c>
      <c r="H723" s="3" t="s">
        <v>27</v>
      </c>
      <c r="I723" s="3" t="s">
        <v>94</v>
      </c>
      <c r="J723" s="3" t="s">
        <v>5989</v>
      </c>
      <c r="K723" s="3" t="n">
        <v>2372144.86</v>
      </c>
      <c r="L723" s="3" t="n">
        <v>0.0805</v>
      </c>
      <c r="M723" s="3" t="n">
        <v>2181187.2</v>
      </c>
      <c r="N723" s="3" t="n">
        <v>710166.48</v>
      </c>
      <c r="O723" s="3" t="n">
        <v>0.3256</v>
      </c>
      <c r="P723" s="3" t="n">
        <v>0.219</v>
      </c>
      <c r="Q723" s="3" t="n">
        <v>477680</v>
      </c>
      <c r="R723" s="3" t="n">
        <v>147</v>
      </c>
      <c r="S723" s="3" t="n">
        <v>7.3</v>
      </c>
      <c r="T723" s="3" t="n">
        <v>9.1</v>
      </c>
      <c r="U723" s="3"/>
      <c r="V723" s="3" t="n">
        <v>6.3</v>
      </c>
      <c r="W723" s="3" t="s">
        <v>5990</v>
      </c>
    </row>
    <row r="724" customFormat="false" ht="15" hidden="false" customHeight="true" outlineLevel="0" collapsed="false">
      <c r="A724" s="3" t="s">
        <v>6815</v>
      </c>
      <c r="B724" s="3" t="s">
        <v>1729</v>
      </c>
      <c r="C724" s="3" t="s">
        <v>6565</v>
      </c>
      <c r="D724" s="3" t="s">
        <v>69</v>
      </c>
      <c r="E724" s="3" t="s">
        <v>39</v>
      </c>
      <c r="F724" s="3" t="s">
        <v>70</v>
      </c>
      <c r="G724" s="3" t="s">
        <v>55</v>
      </c>
      <c r="H724" s="3" t="s">
        <v>42</v>
      </c>
      <c r="I724" s="3" t="s">
        <v>43</v>
      </c>
      <c r="J724" s="3" t="s">
        <v>5996</v>
      </c>
      <c r="K724" s="3" t="n">
        <v>1709892.9</v>
      </c>
      <c r="L724" s="3" t="n">
        <v>0.2388</v>
      </c>
      <c r="M724" s="3" t="n">
        <v>1301570.48</v>
      </c>
      <c r="N724" s="3" t="n">
        <v>577070.35</v>
      </c>
      <c r="O724" s="3" t="n">
        <v>0.4434</v>
      </c>
      <c r="P724" s="3" t="n">
        <v>1</v>
      </c>
      <c r="Q724" s="3" t="n">
        <v>1301570.48</v>
      </c>
      <c r="R724" s="3" t="n">
        <v>43</v>
      </c>
      <c r="S724" s="3" t="n">
        <v>5.4</v>
      </c>
      <c r="T724" s="3" t="n">
        <v>7.2</v>
      </c>
      <c r="U724" s="3"/>
      <c r="V724" s="3" t="n">
        <v>5.73</v>
      </c>
      <c r="W724" s="3" t="s">
        <v>5990</v>
      </c>
    </row>
    <row r="725" customFormat="false" ht="15" hidden="false" customHeight="true" outlineLevel="0" collapsed="false">
      <c r="A725" s="3" t="s">
        <v>6816</v>
      </c>
      <c r="B725" s="3" t="s">
        <v>1104</v>
      </c>
      <c r="C725" s="3" t="s">
        <v>6332</v>
      </c>
      <c r="D725" s="3" t="s">
        <v>75</v>
      </c>
      <c r="E725" s="3" t="s">
        <v>39</v>
      </c>
      <c r="F725" s="3" t="s">
        <v>25</v>
      </c>
      <c r="G725" s="3" t="s">
        <v>116</v>
      </c>
      <c r="H725" s="3" t="s">
        <v>27</v>
      </c>
      <c r="I725" s="3" t="s">
        <v>117</v>
      </c>
      <c r="J725" s="3" t="s">
        <v>5996</v>
      </c>
      <c r="K725" s="3" t="n">
        <v>2213856.38</v>
      </c>
      <c r="L725" s="3" t="n">
        <v>0.1486</v>
      </c>
      <c r="M725" s="3" t="n">
        <v>1884877.32</v>
      </c>
      <c r="N725" s="3" t="n">
        <v>565034.56</v>
      </c>
      <c r="O725" s="3" t="n">
        <v>0.2998</v>
      </c>
      <c r="P725" s="3" t="n">
        <v>0.96</v>
      </c>
      <c r="Q725" s="3" t="n">
        <v>1809482.23</v>
      </c>
      <c r="R725" s="3" t="n">
        <v>106</v>
      </c>
      <c r="S725" s="3" t="n">
        <v>9.5</v>
      </c>
      <c r="T725" s="3" t="n">
        <v>9.4</v>
      </c>
      <c r="U725" s="3"/>
      <c r="V725" s="3" t="n">
        <v>6.06</v>
      </c>
      <c r="W725" s="3" t="s">
        <v>5990</v>
      </c>
    </row>
    <row r="726" customFormat="false" ht="15" hidden="false" customHeight="true" outlineLevel="0" collapsed="false">
      <c r="A726" s="3" t="s">
        <v>6817</v>
      </c>
      <c r="B726" s="3" t="s">
        <v>889</v>
      </c>
      <c r="C726" s="3" t="s">
        <v>563</v>
      </c>
      <c r="D726" s="3" t="s">
        <v>83</v>
      </c>
      <c r="E726" s="3" t="s">
        <v>48</v>
      </c>
      <c r="F726" s="3" t="s">
        <v>62</v>
      </c>
      <c r="G726" s="3" t="s">
        <v>84</v>
      </c>
      <c r="H726" s="3" t="s">
        <v>56</v>
      </c>
      <c r="I726" s="3" t="s">
        <v>121</v>
      </c>
      <c r="J726" s="3" t="s">
        <v>5996</v>
      </c>
      <c r="K726" s="3" t="n">
        <v>3230348.76</v>
      </c>
      <c r="L726" s="3" t="n">
        <v>0.1668</v>
      </c>
      <c r="M726" s="3" t="n">
        <v>2691526.59</v>
      </c>
      <c r="N726" s="3" t="n">
        <v>996345.26</v>
      </c>
      <c r="O726" s="3" t="n">
        <v>0.3702</v>
      </c>
      <c r="P726" s="3" t="n">
        <v>1</v>
      </c>
      <c r="Q726" s="3" t="n">
        <v>2691526.59</v>
      </c>
      <c r="R726" s="3" t="n">
        <v>103</v>
      </c>
      <c r="S726" s="3" t="n">
        <v>6.6</v>
      </c>
      <c r="T726" s="3" t="n">
        <v>7.5</v>
      </c>
      <c r="U726" s="3"/>
      <c r="V726" s="3" t="n">
        <v>5.99</v>
      </c>
      <c r="W726" s="3" t="s">
        <v>5990</v>
      </c>
    </row>
    <row r="727" customFormat="false" ht="15" hidden="false" customHeight="true" outlineLevel="0" collapsed="false">
      <c r="A727" s="3" t="s">
        <v>6818</v>
      </c>
      <c r="B727" s="3" t="s">
        <v>3232</v>
      </c>
      <c r="C727" s="3" t="s">
        <v>281</v>
      </c>
      <c r="D727" s="3" t="s">
        <v>38</v>
      </c>
      <c r="E727" s="3" t="s">
        <v>39</v>
      </c>
      <c r="F727" s="3" t="s">
        <v>40</v>
      </c>
      <c r="G727" s="3" t="s">
        <v>26</v>
      </c>
      <c r="H727" s="3" t="s">
        <v>42</v>
      </c>
      <c r="I727" s="3" t="s">
        <v>134</v>
      </c>
      <c r="J727" s="3" t="s">
        <v>5992</v>
      </c>
      <c r="K727" s="3" t="n">
        <v>472245.77</v>
      </c>
      <c r="L727" s="3" t="n">
        <v>0.1231</v>
      </c>
      <c r="M727" s="3" t="n">
        <v>414112.32</v>
      </c>
      <c r="N727" s="3" t="n">
        <v>149180.48</v>
      </c>
      <c r="O727" s="3" t="n">
        <v>0.3602</v>
      </c>
      <c r="P727" s="3" t="n">
        <v>0.734</v>
      </c>
      <c r="Q727" s="3" t="n">
        <v>303958.44</v>
      </c>
      <c r="R727" s="3" t="n">
        <v>168</v>
      </c>
      <c r="S727" s="3" t="n">
        <v>4.8</v>
      </c>
      <c r="T727" s="3" t="n">
        <v>6.8</v>
      </c>
      <c r="U727" s="3"/>
      <c r="V727" s="3" t="n">
        <v>5.96</v>
      </c>
      <c r="W727" s="3" t="s">
        <v>5990</v>
      </c>
    </row>
    <row r="728" customFormat="false" ht="15" hidden="false" customHeight="true" outlineLevel="0" collapsed="false">
      <c r="A728" s="3" t="s">
        <v>6819</v>
      </c>
      <c r="B728" s="3" t="s">
        <v>1335</v>
      </c>
      <c r="C728" s="3" t="s">
        <v>2915</v>
      </c>
      <c r="D728" s="3" t="s">
        <v>38</v>
      </c>
      <c r="E728" s="3" t="s">
        <v>39</v>
      </c>
      <c r="F728" s="3" t="s">
        <v>40</v>
      </c>
      <c r="G728" s="3" t="s">
        <v>55</v>
      </c>
      <c r="H728" s="3" t="s">
        <v>27</v>
      </c>
      <c r="I728" s="3" t="s">
        <v>173</v>
      </c>
      <c r="J728" s="3" t="s">
        <v>5996</v>
      </c>
      <c r="K728" s="3" t="n">
        <v>4703279.99</v>
      </c>
      <c r="L728" s="3" t="n">
        <v>0.25</v>
      </c>
      <c r="M728" s="3" t="n">
        <v>3527459.99</v>
      </c>
      <c r="N728" s="3" t="n">
        <v>1242641.58</v>
      </c>
      <c r="O728" s="3" t="n">
        <v>0.3523</v>
      </c>
      <c r="P728" s="3" t="n">
        <v>0.96</v>
      </c>
      <c r="Q728" s="3" t="n">
        <v>3386361.59</v>
      </c>
      <c r="R728" s="3" t="n">
        <v>104</v>
      </c>
      <c r="S728" s="3" t="n">
        <v>5.9</v>
      </c>
      <c r="T728" s="3" t="n">
        <v>6.8</v>
      </c>
      <c r="U728" s="3"/>
      <c r="V728" s="3" t="n">
        <v>5.11</v>
      </c>
      <c r="W728" s="3" t="s">
        <v>5990</v>
      </c>
    </row>
    <row r="729" customFormat="false" ht="15" hidden="false" customHeight="true" outlineLevel="0" collapsed="false">
      <c r="A729" s="3" t="s">
        <v>6820</v>
      </c>
      <c r="B729" s="3" t="s">
        <v>1938</v>
      </c>
      <c r="C729" s="3" t="s">
        <v>1545</v>
      </c>
      <c r="D729" s="3" t="s">
        <v>97</v>
      </c>
      <c r="E729" s="3" t="s">
        <v>48</v>
      </c>
      <c r="F729" s="3" t="s">
        <v>40</v>
      </c>
      <c r="G729" s="3" t="s">
        <v>84</v>
      </c>
      <c r="H729" s="3" t="s">
        <v>64</v>
      </c>
      <c r="I729" s="3" t="s">
        <v>108</v>
      </c>
      <c r="J729" s="3" t="s">
        <v>5996</v>
      </c>
      <c r="K729" s="3" t="n">
        <v>4812688.14</v>
      </c>
      <c r="L729" s="3" t="n">
        <v>0.1481</v>
      </c>
      <c r="M729" s="3" t="n">
        <v>4099929.03</v>
      </c>
      <c r="N729" s="3" t="n">
        <v>1265530.82</v>
      </c>
      <c r="O729" s="3" t="n">
        <v>0.3087</v>
      </c>
      <c r="P729" s="3" t="n">
        <v>1</v>
      </c>
      <c r="Q729" s="3" t="n">
        <v>4099929.03</v>
      </c>
      <c r="R729" s="3" t="n">
        <v>169</v>
      </c>
      <c r="S729" s="3" t="n">
        <v>3.7</v>
      </c>
      <c r="T729" s="3" t="n">
        <v>1.2</v>
      </c>
      <c r="U729" s="3"/>
      <c r="V729" s="3" t="n">
        <v>5.94</v>
      </c>
      <c r="W729" s="3" t="s">
        <v>5990</v>
      </c>
    </row>
    <row r="730" customFormat="false" ht="15" hidden="false" customHeight="true" outlineLevel="0" collapsed="false">
      <c r="A730" s="3" t="s">
        <v>6821</v>
      </c>
      <c r="B730" s="3" t="s">
        <v>871</v>
      </c>
      <c r="C730" s="3" t="s">
        <v>292</v>
      </c>
      <c r="D730" s="3" t="s">
        <v>69</v>
      </c>
      <c r="E730" s="3" t="s">
        <v>39</v>
      </c>
      <c r="F730" s="3" t="s">
        <v>70</v>
      </c>
      <c r="G730" s="3" t="s">
        <v>49</v>
      </c>
      <c r="H730" s="3" t="s">
        <v>64</v>
      </c>
      <c r="I730" s="3" t="s">
        <v>90</v>
      </c>
      <c r="J730" s="3" t="s">
        <v>6003</v>
      </c>
      <c r="K730" s="3" t="n">
        <v>1180148.13</v>
      </c>
      <c r="L730" s="3" t="n">
        <v>0.0624</v>
      </c>
      <c r="M730" s="3" t="n">
        <v>1106506.89</v>
      </c>
      <c r="N730" s="3" t="n">
        <v>461003.24</v>
      </c>
      <c r="O730" s="3" t="n">
        <v>0.4166</v>
      </c>
      <c r="P730" s="3" t="n">
        <v>0.059</v>
      </c>
      <c r="Q730" s="3" t="n">
        <v>65283.91</v>
      </c>
      <c r="R730" s="3" t="n">
        <v>80</v>
      </c>
      <c r="S730" s="3" t="n">
        <v>3.5</v>
      </c>
      <c r="T730" s="3" t="n">
        <v>2.5</v>
      </c>
      <c r="U730" s="3"/>
      <c r="V730" s="3" t="n">
        <v>7.23</v>
      </c>
      <c r="W730" s="3" t="s">
        <v>5997</v>
      </c>
    </row>
    <row r="731" customFormat="false" ht="15" hidden="false" customHeight="true" outlineLevel="0" collapsed="false">
      <c r="A731" s="3" t="s">
        <v>6822</v>
      </c>
      <c r="B731" s="3" t="s">
        <v>3423</v>
      </c>
      <c r="C731" s="3" t="s">
        <v>1084</v>
      </c>
      <c r="D731" s="3" t="s">
        <v>97</v>
      </c>
      <c r="E731" s="3" t="s">
        <v>48</v>
      </c>
      <c r="F731" s="3" t="s">
        <v>40</v>
      </c>
      <c r="G731" s="3" t="s">
        <v>49</v>
      </c>
      <c r="H731" s="3" t="s">
        <v>77</v>
      </c>
      <c r="I731" s="3" t="s">
        <v>78</v>
      </c>
      <c r="J731" s="3" t="s">
        <v>5996</v>
      </c>
      <c r="K731" s="3" t="n">
        <v>4992344.14</v>
      </c>
      <c r="L731" s="3" t="n">
        <v>0.1057</v>
      </c>
      <c r="M731" s="3" t="n">
        <v>4464653.36</v>
      </c>
      <c r="N731" s="3" t="n">
        <v>1841840.09</v>
      </c>
      <c r="O731" s="3" t="n">
        <v>0.4125</v>
      </c>
      <c r="P731" s="3" t="n">
        <v>1</v>
      </c>
      <c r="Q731" s="3" t="n">
        <v>4464653.36</v>
      </c>
      <c r="R731" s="3" t="n">
        <v>86</v>
      </c>
      <c r="S731" s="3" t="n">
        <v>5.3</v>
      </c>
      <c r="T731" s="3" t="n">
        <v>1.5</v>
      </c>
      <c r="U731" s="3"/>
      <c r="V731" s="3" t="n">
        <v>7.45</v>
      </c>
      <c r="W731" s="3" t="s">
        <v>5997</v>
      </c>
    </row>
    <row r="732" customFormat="false" ht="15" hidden="false" customHeight="true" outlineLevel="0" collapsed="false">
      <c r="A732" s="3" t="s">
        <v>6823</v>
      </c>
      <c r="B732" s="3" t="s">
        <v>5246</v>
      </c>
      <c r="C732" s="3" t="s">
        <v>6824</v>
      </c>
      <c r="D732" s="3" t="s">
        <v>97</v>
      </c>
      <c r="E732" s="3" t="s">
        <v>48</v>
      </c>
      <c r="F732" s="3" t="s">
        <v>40</v>
      </c>
      <c r="G732" s="3" t="s">
        <v>26</v>
      </c>
      <c r="H732" s="3" t="s">
        <v>56</v>
      </c>
      <c r="I732" s="3" t="s">
        <v>57</v>
      </c>
      <c r="J732" s="3" t="s">
        <v>6003</v>
      </c>
      <c r="K732" s="3" t="n">
        <v>199865.71</v>
      </c>
      <c r="L732" s="3" t="n">
        <v>0.1176</v>
      </c>
      <c r="M732" s="3" t="n">
        <v>176361.5</v>
      </c>
      <c r="N732" s="3" t="n">
        <v>50277.08</v>
      </c>
      <c r="O732" s="3" t="n">
        <v>0.2851</v>
      </c>
      <c r="P732" s="3" t="n">
        <v>0.066</v>
      </c>
      <c r="Q732" s="3" t="n">
        <v>11639.86</v>
      </c>
      <c r="R732" s="3" t="n">
        <v>159</v>
      </c>
      <c r="S732" s="3" t="n">
        <v>7.5</v>
      </c>
      <c r="T732" s="3" t="n">
        <v>5.3</v>
      </c>
      <c r="U732" s="3"/>
      <c r="V732" s="3" t="n">
        <v>6.31</v>
      </c>
      <c r="W732" s="3" t="s">
        <v>5990</v>
      </c>
    </row>
    <row r="733" customFormat="false" ht="15" hidden="false" customHeight="true" outlineLevel="0" collapsed="false">
      <c r="A733" s="3" t="s">
        <v>6825</v>
      </c>
      <c r="B733" s="3" t="s">
        <v>270</v>
      </c>
      <c r="C733" s="3" t="s">
        <v>850</v>
      </c>
      <c r="D733" s="3" t="s">
        <v>54</v>
      </c>
      <c r="E733" s="3" t="s">
        <v>24</v>
      </c>
      <c r="F733" s="3" t="s">
        <v>40</v>
      </c>
      <c r="G733" s="3" t="s">
        <v>100</v>
      </c>
      <c r="H733" s="3" t="s">
        <v>42</v>
      </c>
      <c r="I733" s="3" t="s">
        <v>43</v>
      </c>
      <c r="J733" s="3" t="s">
        <v>6009</v>
      </c>
      <c r="K733" s="3" t="n">
        <v>2736592.02</v>
      </c>
      <c r="L733" s="3" t="n">
        <v>0.1496</v>
      </c>
      <c r="M733" s="3" t="n">
        <v>2327197.85</v>
      </c>
      <c r="N733" s="3" t="n">
        <v>1050274.85</v>
      </c>
      <c r="O733" s="3" t="n">
        <v>0.4513</v>
      </c>
      <c r="P733" s="3" t="n">
        <v>0</v>
      </c>
      <c r="Q733" s="3" t="n">
        <v>0</v>
      </c>
      <c r="R733" s="3" t="n">
        <v>128</v>
      </c>
      <c r="S733" s="3" t="n">
        <v>4.4</v>
      </c>
      <c r="T733" s="3" t="n">
        <v>2</v>
      </c>
      <c r="U733" s="3"/>
      <c r="V733" s="3" t="n">
        <v>7.05</v>
      </c>
      <c r="W733" s="3" t="s">
        <v>5997</v>
      </c>
    </row>
    <row r="734" customFormat="false" ht="15" hidden="false" customHeight="true" outlineLevel="0" collapsed="false">
      <c r="A734" s="3" t="s">
        <v>6826</v>
      </c>
      <c r="B734" s="3" t="s">
        <v>1978</v>
      </c>
      <c r="C734" s="3" t="s">
        <v>3808</v>
      </c>
      <c r="D734" s="3" t="s">
        <v>69</v>
      </c>
      <c r="E734" s="3" t="s">
        <v>39</v>
      </c>
      <c r="F734" s="3" t="s">
        <v>70</v>
      </c>
      <c r="G734" s="3" t="s">
        <v>71</v>
      </c>
      <c r="H734" s="3" t="s">
        <v>42</v>
      </c>
      <c r="I734" s="3" t="s">
        <v>134</v>
      </c>
      <c r="J734" s="3" t="s">
        <v>5999</v>
      </c>
      <c r="K734" s="3" t="n">
        <v>3765559.86</v>
      </c>
      <c r="L734" s="3" t="n">
        <v>0.2983</v>
      </c>
      <c r="M734" s="3" t="n">
        <v>2642293.35</v>
      </c>
      <c r="N734" s="3" t="n">
        <v>887145.7</v>
      </c>
      <c r="O734" s="3" t="n">
        <v>0.3357</v>
      </c>
      <c r="P734" s="3" t="n">
        <v>0.474</v>
      </c>
      <c r="Q734" s="3" t="n">
        <v>1252447.05</v>
      </c>
      <c r="R734" s="3" t="n">
        <v>102</v>
      </c>
      <c r="S734" s="3" t="n">
        <v>9.4</v>
      </c>
      <c r="T734" s="3" t="n">
        <v>9.2</v>
      </c>
      <c r="U734" s="3"/>
      <c r="V734" s="3" t="n">
        <v>5.12</v>
      </c>
      <c r="W734" s="3" t="s">
        <v>5990</v>
      </c>
    </row>
    <row r="735" customFormat="false" ht="15" hidden="false" customHeight="true" outlineLevel="0" collapsed="false">
      <c r="A735" s="3" t="s">
        <v>6827</v>
      </c>
      <c r="B735" s="3" t="s">
        <v>6049</v>
      </c>
      <c r="C735" s="3" t="s">
        <v>3994</v>
      </c>
      <c r="D735" s="3" t="s">
        <v>23</v>
      </c>
      <c r="E735" s="3" t="s">
        <v>24</v>
      </c>
      <c r="F735" s="3" t="s">
        <v>25</v>
      </c>
      <c r="G735" s="3" t="s">
        <v>100</v>
      </c>
      <c r="H735" s="3" t="s">
        <v>64</v>
      </c>
      <c r="I735" s="3" t="s">
        <v>145</v>
      </c>
      <c r="J735" s="3" t="s">
        <v>5996</v>
      </c>
      <c r="K735" s="3" t="n">
        <v>3221770.08</v>
      </c>
      <c r="L735" s="3" t="n">
        <v>0.2669</v>
      </c>
      <c r="M735" s="3" t="n">
        <v>2361879.65</v>
      </c>
      <c r="N735" s="3" t="n">
        <v>796792.86</v>
      </c>
      <c r="O735" s="3" t="n">
        <v>0.3374</v>
      </c>
      <c r="P735" s="3" t="n">
        <v>1</v>
      </c>
      <c r="Q735" s="3" t="n">
        <v>2361879.65</v>
      </c>
      <c r="R735" s="3" t="n">
        <v>76</v>
      </c>
      <c r="S735" s="3" t="n">
        <v>1.6</v>
      </c>
      <c r="T735" s="3" t="n">
        <v>8.8</v>
      </c>
      <c r="U735" s="3"/>
      <c r="V735" s="3" t="n">
        <v>3.48</v>
      </c>
      <c r="W735" s="3" t="s">
        <v>6000</v>
      </c>
    </row>
    <row r="736" customFormat="false" ht="15" hidden="false" customHeight="true" outlineLevel="0" collapsed="false">
      <c r="A736" s="3" t="s">
        <v>6828</v>
      </c>
      <c r="B736" s="3" t="s">
        <v>2879</v>
      </c>
      <c r="C736" s="3" t="s">
        <v>1966</v>
      </c>
      <c r="D736" s="3" t="s">
        <v>32</v>
      </c>
      <c r="E736" s="3" t="s">
        <v>33</v>
      </c>
      <c r="F736" s="3" t="s">
        <v>25</v>
      </c>
      <c r="G736" s="3" t="s">
        <v>49</v>
      </c>
      <c r="H736" s="3" t="s">
        <v>27</v>
      </c>
      <c r="I736" s="3" t="s">
        <v>94</v>
      </c>
      <c r="J736" s="3" t="s">
        <v>5992</v>
      </c>
      <c r="K736" s="3" t="n">
        <v>260598.05</v>
      </c>
      <c r="L736" s="3" t="n">
        <v>0.0619</v>
      </c>
      <c r="M736" s="3" t="n">
        <v>244467.03</v>
      </c>
      <c r="N736" s="3" t="n">
        <v>79270.42</v>
      </c>
      <c r="O736" s="3" t="n">
        <v>0.3243</v>
      </c>
      <c r="P736" s="3" t="n">
        <v>0.66</v>
      </c>
      <c r="Q736" s="3" t="n">
        <v>161348.24</v>
      </c>
      <c r="R736" s="3" t="n">
        <v>85</v>
      </c>
      <c r="S736" s="3" t="n">
        <v>7.1</v>
      </c>
      <c r="T736" s="3" t="n">
        <v>1.3</v>
      </c>
      <c r="U736" s="3"/>
      <c r="V736" s="3" t="n">
        <v>7.57</v>
      </c>
      <c r="W736" s="3" t="s">
        <v>5997</v>
      </c>
    </row>
    <row r="737" customFormat="false" ht="15" hidden="false" customHeight="true" outlineLevel="0" collapsed="false">
      <c r="A737" s="3" t="s">
        <v>6829</v>
      </c>
      <c r="B737" s="3" t="s">
        <v>1623</v>
      </c>
      <c r="C737" s="3" t="s">
        <v>1729</v>
      </c>
      <c r="D737" s="3" t="s">
        <v>47</v>
      </c>
      <c r="E737" s="3" t="s">
        <v>48</v>
      </c>
      <c r="F737" s="3" t="s">
        <v>25</v>
      </c>
      <c r="G737" s="3" t="s">
        <v>34</v>
      </c>
      <c r="H737" s="3" t="s">
        <v>42</v>
      </c>
      <c r="I737" s="3" t="s">
        <v>43</v>
      </c>
      <c r="J737" s="3" t="s">
        <v>5996</v>
      </c>
      <c r="K737" s="3" t="n">
        <v>3628034.2</v>
      </c>
      <c r="L737" s="3" t="n">
        <v>0.1044</v>
      </c>
      <c r="M737" s="3" t="n">
        <v>3249267.43</v>
      </c>
      <c r="N737" s="3" t="n">
        <v>1426716.22</v>
      </c>
      <c r="O737" s="3" t="n">
        <v>0.4391</v>
      </c>
      <c r="P737" s="3" t="n">
        <v>0.981</v>
      </c>
      <c r="Q737" s="3" t="n">
        <v>3187531.35</v>
      </c>
      <c r="R737" s="3" t="n">
        <v>52</v>
      </c>
      <c r="S737" s="3" t="n">
        <v>3.6</v>
      </c>
      <c r="T737" s="3" t="n">
        <v>6.6</v>
      </c>
      <c r="U737" s="3"/>
      <c r="V737" s="3" t="n">
        <v>6.46</v>
      </c>
      <c r="W737" s="3" t="s">
        <v>5990</v>
      </c>
    </row>
    <row r="738" customFormat="false" ht="15" hidden="false" customHeight="true" outlineLevel="0" collapsed="false">
      <c r="A738" s="3" t="s">
        <v>6830</v>
      </c>
      <c r="B738" s="3" t="s">
        <v>3158</v>
      </c>
      <c r="C738" s="3" t="s">
        <v>2662</v>
      </c>
      <c r="D738" s="3" t="s">
        <v>61</v>
      </c>
      <c r="E738" s="3" t="s">
        <v>33</v>
      </c>
      <c r="F738" s="3" t="s">
        <v>62</v>
      </c>
      <c r="G738" s="3" t="s">
        <v>84</v>
      </c>
      <c r="H738" s="3" t="s">
        <v>56</v>
      </c>
      <c r="I738" s="3" t="s">
        <v>121</v>
      </c>
      <c r="J738" s="3" t="s">
        <v>5996</v>
      </c>
      <c r="K738" s="3" t="n">
        <v>1997965.74</v>
      </c>
      <c r="L738" s="3" t="n">
        <v>0.2613</v>
      </c>
      <c r="M738" s="3" t="n">
        <v>1475897.29</v>
      </c>
      <c r="N738" s="3" t="n">
        <v>484199.54</v>
      </c>
      <c r="O738" s="3" t="n">
        <v>0.3281</v>
      </c>
      <c r="P738" s="3" t="n">
        <v>1</v>
      </c>
      <c r="Q738" s="3" t="n">
        <v>1475897.29</v>
      </c>
      <c r="R738" s="3" t="n">
        <v>169</v>
      </c>
      <c r="S738" s="3" t="n">
        <v>6.9</v>
      </c>
      <c r="T738" s="3" t="n">
        <v>7.6</v>
      </c>
      <c r="U738" s="3"/>
      <c r="V738" s="3" t="n">
        <v>4.97</v>
      </c>
      <c r="W738" s="3" t="s">
        <v>6000</v>
      </c>
    </row>
    <row r="739" customFormat="false" ht="15" hidden="false" customHeight="true" outlineLevel="0" collapsed="false">
      <c r="A739" s="3" t="s">
        <v>6831</v>
      </c>
      <c r="B739" s="3" t="s">
        <v>398</v>
      </c>
      <c r="C739" s="3" t="s">
        <v>1208</v>
      </c>
      <c r="D739" s="3" t="s">
        <v>54</v>
      </c>
      <c r="E739" s="3" t="s">
        <v>24</v>
      </c>
      <c r="F739" s="3" t="s">
        <v>40</v>
      </c>
      <c r="G739" s="3" t="s">
        <v>116</v>
      </c>
      <c r="H739" s="3" t="s">
        <v>64</v>
      </c>
      <c r="I739" s="3" t="s">
        <v>108</v>
      </c>
      <c r="J739" s="3" t="s">
        <v>6003</v>
      </c>
      <c r="K739" s="3" t="n">
        <v>562902.68</v>
      </c>
      <c r="L739" s="3" t="n">
        <v>0.0839</v>
      </c>
      <c r="M739" s="3" t="n">
        <v>515675.15</v>
      </c>
      <c r="N739" s="3" t="n">
        <v>155492.44</v>
      </c>
      <c r="O739" s="3" t="n">
        <v>0.3015</v>
      </c>
      <c r="P739" s="3" t="n">
        <v>0.058</v>
      </c>
      <c r="Q739" s="3" t="n">
        <v>29909.16</v>
      </c>
      <c r="R739" s="3" t="n">
        <v>48</v>
      </c>
      <c r="S739" s="3" t="n">
        <v>4.1</v>
      </c>
      <c r="T739" s="3" t="n">
        <v>1.8</v>
      </c>
      <c r="U739" s="3"/>
      <c r="V739" s="3" t="n">
        <v>6.4</v>
      </c>
      <c r="W739" s="3" t="s">
        <v>5990</v>
      </c>
    </row>
    <row r="740" customFormat="false" ht="15" hidden="false" customHeight="true" outlineLevel="0" collapsed="false">
      <c r="A740" s="3" t="s">
        <v>6832</v>
      </c>
      <c r="B740" s="3" t="s">
        <v>1038</v>
      </c>
      <c r="C740" s="3" t="s">
        <v>607</v>
      </c>
      <c r="D740" s="3" t="s">
        <v>83</v>
      </c>
      <c r="E740" s="3" t="s">
        <v>48</v>
      </c>
      <c r="F740" s="3" t="s">
        <v>62</v>
      </c>
      <c r="G740" s="3" t="s">
        <v>26</v>
      </c>
      <c r="H740" s="3" t="s">
        <v>42</v>
      </c>
      <c r="I740" s="3" t="s">
        <v>43</v>
      </c>
      <c r="J740" s="3" t="s">
        <v>6009</v>
      </c>
      <c r="K740" s="3" t="n">
        <v>3435089.26</v>
      </c>
      <c r="L740" s="3" t="n">
        <v>0.1555</v>
      </c>
      <c r="M740" s="3" t="n">
        <v>2900932.88</v>
      </c>
      <c r="N740" s="3" t="n">
        <v>1345929.89</v>
      </c>
      <c r="O740" s="3" t="n">
        <v>0.464</v>
      </c>
      <c r="P740" s="3" t="n">
        <v>0.019</v>
      </c>
      <c r="Q740" s="3" t="n">
        <v>55117.72</v>
      </c>
      <c r="R740" s="3" t="n">
        <v>84</v>
      </c>
      <c r="S740" s="3" t="n">
        <v>7</v>
      </c>
      <c r="T740" s="3" t="n">
        <v>7.5</v>
      </c>
      <c r="U740" s="3" t="s">
        <v>6010</v>
      </c>
      <c r="V740" s="3" t="n">
        <v>6.83</v>
      </c>
      <c r="W740" s="3" t="s">
        <v>5997</v>
      </c>
    </row>
    <row r="741" customFormat="false" ht="15" hidden="false" customHeight="true" outlineLevel="0" collapsed="false">
      <c r="A741" s="3" t="s">
        <v>6833</v>
      </c>
      <c r="B741" s="3" t="s">
        <v>3665</v>
      </c>
      <c r="C741" s="3" t="s">
        <v>6108</v>
      </c>
      <c r="D741" s="3" t="s">
        <v>38</v>
      </c>
      <c r="E741" s="3" t="s">
        <v>39</v>
      </c>
      <c r="F741" s="3" t="s">
        <v>40</v>
      </c>
      <c r="G741" s="3" t="s">
        <v>55</v>
      </c>
      <c r="H741" s="3" t="s">
        <v>77</v>
      </c>
      <c r="I741" s="3" t="s">
        <v>131</v>
      </c>
      <c r="J741" s="3" t="s">
        <v>6009</v>
      </c>
      <c r="K741" s="3" t="n">
        <v>3510523.57</v>
      </c>
      <c r="L741" s="3" t="n">
        <v>0.2935</v>
      </c>
      <c r="M741" s="3" t="n">
        <v>2480184.9</v>
      </c>
      <c r="N741" s="3" t="n">
        <v>1032259.66</v>
      </c>
      <c r="O741" s="3" t="n">
        <v>0.4162</v>
      </c>
      <c r="P741" s="3" t="n">
        <v>0</v>
      </c>
      <c r="Q741" s="3" t="n">
        <v>0</v>
      </c>
      <c r="R741" s="3" t="n">
        <v>115</v>
      </c>
      <c r="S741" s="3" t="n">
        <v>5.3</v>
      </c>
      <c r="T741" s="3" t="n">
        <v>3.5</v>
      </c>
      <c r="U741" s="3" t="s">
        <v>6020</v>
      </c>
      <c r="V741" s="3" t="n">
        <v>5.57</v>
      </c>
      <c r="W741" s="3" t="s">
        <v>5990</v>
      </c>
    </row>
    <row r="742" customFormat="false" ht="15" hidden="false" customHeight="true" outlineLevel="0" collapsed="false">
      <c r="A742" s="3" t="s">
        <v>6834</v>
      </c>
      <c r="B742" s="3" t="s">
        <v>3018</v>
      </c>
      <c r="C742" s="3" t="s">
        <v>1023</v>
      </c>
      <c r="D742" s="3" t="s">
        <v>32</v>
      </c>
      <c r="E742" s="3" t="s">
        <v>33</v>
      </c>
      <c r="F742" s="3" t="s">
        <v>25</v>
      </c>
      <c r="G742" s="3" t="s">
        <v>26</v>
      </c>
      <c r="H742" s="3" t="s">
        <v>77</v>
      </c>
      <c r="I742" s="3" t="s">
        <v>78</v>
      </c>
      <c r="J742" s="3" t="s">
        <v>5992</v>
      </c>
      <c r="K742" s="3" t="n">
        <v>3461668.87</v>
      </c>
      <c r="L742" s="3" t="n">
        <v>0.2447</v>
      </c>
      <c r="M742" s="3" t="n">
        <v>2614598.5</v>
      </c>
      <c r="N742" s="3" t="n">
        <v>1027079.56</v>
      </c>
      <c r="O742" s="3" t="n">
        <v>0.3928</v>
      </c>
      <c r="P742" s="3" t="n">
        <v>0.701</v>
      </c>
      <c r="Q742" s="3" t="n">
        <v>1832833.55</v>
      </c>
      <c r="R742" s="3" t="n">
        <v>127</v>
      </c>
      <c r="S742" s="3" t="n">
        <v>7.3</v>
      </c>
      <c r="T742" s="3" t="n">
        <v>5</v>
      </c>
      <c r="U742" s="3"/>
      <c r="V742" s="3" t="n">
        <v>6.07</v>
      </c>
      <c r="W742" s="3" t="s">
        <v>5990</v>
      </c>
    </row>
    <row r="743" customFormat="false" ht="15" hidden="false" customHeight="true" outlineLevel="0" collapsed="false">
      <c r="A743" s="3" t="s">
        <v>6835</v>
      </c>
      <c r="B743" s="3" t="s">
        <v>2629</v>
      </c>
      <c r="C743" s="3" t="s">
        <v>5994</v>
      </c>
      <c r="D743" s="3" t="s">
        <v>61</v>
      </c>
      <c r="E743" s="3" t="s">
        <v>33</v>
      </c>
      <c r="F743" s="3" t="s">
        <v>62</v>
      </c>
      <c r="G743" s="3" t="s">
        <v>41</v>
      </c>
      <c r="H743" s="3" t="s">
        <v>77</v>
      </c>
      <c r="I743" s="3" t="s">
        <v>131</v>
      </c>
      <c r="J743" s="3" t="s">
        <v>6003</v>
      </c>
      <c r="K743" s="3" t="n">
        <v>2974123.83</v>
      </c>
      <c r="L743" s="3" t="n">
        <v>0.2919</v>
      </c>
      <c r="M743" s="3" t="n">
        <v>2105977.08</v>
      </c>
      <c r="N743" s="3" t="n">
        <v>651054.46</v>
      </c>
      <c r="O743" s="3" t="n">
        <v>0.3091</v>
      </c>
      <c r="P743" s="3" t="n">
        <v>0.129</v>
      </c>
      <c r="Q743" s="3" t="n">
        <v>271671.04</v>
      </c>
      <c r="R743" s="3" t="n">
        <v>168</v>
      </c>
      <c r="S743" s="3" t="n">
        <v>5.4</v>
      </c>
      <c r="T743" s="3" t="n">
        <v>7.5</v>
      </c>
      <c r="U743" s="3"/>
      <c r="V743" s="3" t="n">
        <v>4.21</v>
      </c>
      <c r="W743" s="3" t="s">
        <v>6000</v>
      </c>
    </row>
    <row r="744" customFormat="false" ht="15" hidden="false" customHeight="true" outlineLevel="0" collapsed="false">
      <c r="A744" s="3" t="s">
        <v>6836</v>
      </c>
      <c r="B744" s="3" t="s">
        <v>130</v>
      </c>
      <c r="C744" s="3" t="s">
        <v>1488</v>
      </c>
      <c r="D744" s="3" t="s">
        <v>83</v>
      </c>
      <c r="E744" s="3" t="s">
        <v>48</v>
      </c>
      <c r="F744" s="3" t="s">
        <v>62</v>
      </c>
      <c r="G744" s="3" t="s">
        <v>71</v>
      </c>
      <c r="H744" s="3" t="s">
        <v>27</v>
      </c>
      <c r="I744" s="3" t="s">
        <v>173</v>
      </c>
      <c r="J744" s="3" t="s">
        <v>6003</v>
      </c>
      <c r="K744" s="3" t="n">
        <v>678440.95</v>
      </c>
      <c r="L744" s="3" t="n">
        <v>0.2117</v>
      </c>
      <c r="M744" s="3" t="n">
        <v>534815</v>
      </c>
      <c r="N744" s="3" t="n">
        <v>194948.52</v>
      </c>
      <c r="O744" s="3" t="n">
        <v>0.3645</v>
      </c>
      <c r="P744" s="3" t="n">
        <v>0.124</v>
      </c>
      <c r="Q744" s="3" t="n">
        <v>66317.06</v>
      </c>
      <c r="R744" s="3" t="n">
        <v>55</v>
      </c>
      <c r="S744" s="3" t="n">
        <v>3.8</v>
      </c>
      <c r="T744" s="3" t="n">
        <v>2.6</v>
      </c>
      <c r="U744" s="3"/>
      <c r="V744" s="3" t="n">
        <v>5.62</v>
      </c>
      <c r="W744" s="3" t="s">
        <v>5990</v>
      </c>
    </row>
    <row r="745" customFormat="false" ht="15" hidden="false" customHeight="true" outlineLevel="0" collapsed="false">
      <c r="A745" s="3" t="s">
        <v>6837</v>
      </c>
      <c r="B745" s="3" t="s">
        <v>6126</v>
      </c>
      <c r="C745" s="3" t="s">
        <v>2104</v>
      </c>
      <c r="D745" s="3" t="s">
        <v>107</v>
      </c>
      <c r="E745" s="3" t="s">
        <v>33</v>
      </c>
      <c r="F745" s="3" t="s">
        <v>70</v>
      </c>
      <c r="G745" s="3" t="s">
        <v>104</v>
      </c>
      <c r="H745" s="3" t="s">
        <v>42</v>
      </c>
      <c r="I745" s="3" t="s">
        <v>43</v>
      </c>
      <c r="J745" s="3" t="s">
        <v>5996</v>
      </c>
      <c r="K745" s="3" t="n">
        <v>102610.45</v>
      </c>
      <c r="L745" s="3" t="n">
        <v>0.2016</v>
      </c>
      <c r="M745" s="3" t="n">
        <v>81924.18</v>
      </c>
      <c r="N745" s="3" t="n">
        <v>31180.69</v>
      </c>
      <c r="O745" s="3" t="n">
        <v>0.3806</v>
      </c>
      <c r="P745" s="3" t="n">
        <v>0.992</v>
      </c>
      <c r="Q745" s="3" t="n">
        <v>81268.79</v>
      </c>
      <c r="R745" s="3" t="n">
        <v>24</v>
      </c>
      <c r="S745" s="3" t="n">
        <v>8</v>
      </c>
      <c r="T745" s="3" t="n">
        <v>3.6</v>
      </c>
      <c r="U745" s="3"/>
      <c r="V745" s="3" t="n">
        <v>6.76</v>
      </c>
      <c r="W745" s="3" t="s">
        <v>5997</v>
      </c>
    </row>
    <row r="746" customFormat="false" ht="15" hidden="false" customHeight="true" outlineLevel="0" collapsed="false">
      <c r="A746" s="3" t="s">
        <v>6838</v>
      </c>
      <c r="B746" s="3" t="s">
        <v>4255</v>
      </c>
      <c r="C746" s="3" t="s">
        <v>6036</v>
      </c>
      <c r="D746" s="3" t="s">
        <v>103</v>
      </c>
      <c r="E746" s="3" t="s">
        <v>24</v>
      </c>
      <c r="F746" s="3" t="s">
        <v>62</v>
      </c>
      <c r="G746" s="3" t="s">
        <v>26</v>
      </c>
      <c r="H746" s="3" t="s">
        <v>56</v>
      </c>
      <c r="I746" s="3" t="s">
        <v>57</v>
      </c>
      <c r="J746" s="3" t="s">
        <v>5992</v>
      </c>
      <c r="K746" s="3" t="n">
        <v>3310504.12</v>
      </c>
      <c r="L746" s="3" t="n">
        <v>0.2638</v>
      </c>
      <c r="M746" s="3" t="n">
        <v>2437193.13</v>
      </c>
      <c r="N746" s="3" t="n">
        <v>967755.09</v>
      </c>
      <c r="O746" s="3" t="n">
        <v>0.3971</v>
      </c>
      <c r="P746" s="3" t="n">
        <v>0.71</v>
      </c>
      <c r="Q746" s="3" t="n">
        <v>1730407.12</v>
      </c>
      <c r="R746" s="3" t="n">
        <v>91</v>
      </c>
      <c r="S746" s="3" t="n">
        <v>5.6</v>
      </c>
      <c r="T746" s="3" t="n">
        <v>7.3</v>
      </c>
      <c r="U746" s="3"/>
      <c r="V746" s="3" t="n">
        <v>5.18</v>
      </c>
      <c r="W746" s="3" t="s">
        <v>5990</v>
      </c>
    </row>
    <row r="747" customFormat="false" ht="15" hidden="false" customHeight="true" outlineLevel="0" collapsed="false">
      <c r="A747" s="3" t="s">
        <v>6839</v>
      </c>
      <c r="B747" s="3" t="s">
        <v>997</v>
      </c>
      <c r="C747" s="3" t="s">
        <v>398</v>
      </c>
      <c r="D747" s="3" t="s">
        <v>38</v>
      </c>
      <c r="E747" s="3" t="s">
        <v>39</v>
      </c>
      <c r="F747" s="3" t="s">
        <v>40</v>
      </c>
      <c r="G747" s="3" t="s">
        <v>104</v>
      </c>
      <c r="H747" s="3" t="s">
        <v>64</v>
      </c>
      <c r="I747" s="3" t="s">
        <v>108</v>
      </c>
      <c r="J747" s="3" t="s">
        <v>5989</v>
      </c>
      <c r="K747" s="3" t="n">
        <v>2927472.69</v>
      </c>
      <c r="L747" s="3" t="n">
        <v>0.0917</v>
      </c>
      <c r="M747" s="3" t="n">
        <v>2659023.44</v>
      </c>
      <c r="N747" s="3" t="n">
        <v>982292.16</v>
      </c>
      <c r="O747" s="3" t="n">
        <v>0.3694</v>
      </c>
      <c r="P747" s="3" t="n">
        <v>0.247</v>
      </c>
      <c r="Q747" s="3" t="n">
        <v>656778.79</v>
      </c>
      <c r="R747" s="3" t="n">
        <v>142</v>
      </c>
      <c r="S747" s="3" t="n">
        <v>6.8</v>
      </c>
      <c r="T747" s="3" t="n">
        <v>2.9</v>
      </c>
      <c r="U747" s="3"/>
      <c r="V747" s="3" t="n">
        <v>7.36</v>
      </c>
      <c r="W747" s="3" t="s">
        <v>5997</v>
      </c>
    </row>
    <row r="748" customFormat="false" ht="15" hidden="false" customHeight="true" outlineLevel="0" collapsed="false">
      <c r="A748" s="3" t="s">
        <v>6840</v>
      </c>
      <c r="B748" s="3" t="s">
        <v>1126</v>
      </c>
      <c r="C748" s="3" t="s">
        <v>6101</v>
      </c>
      <c r="D748" s="3" t="s">
        <v>103</v>
      </c>
      <c r="E748" s="3" t="s">
        <v>24</v>
      </c>
      <c r="F748" s="3" t="s">
        <v>62</v>
      </c>
      <c r="G748" s="3" t="s">
        <v>84</v>
      </c>
      <c r="H748" s="3" t="s">
        <v>42</v>
      </c>
      <c r="I748" s="3" t="s">
        <v>72</v>
      </c>
      <c r="J748" s="3" t="s">
        <v>5992</v>
      </c>
      <c r="K748" s="3" t="n">
        <v>3941344.8</v>
      </c>
      <c r="L748" s="3" t="n">
        <v>0.1217</v>
      </c>
      <c r="M748" s="3" t="n">
        <v>3461683.14</v>
      </c>
      <c r="N748" s="3" t="n">
        <v>1326439.8</v>
      </c>
      <c r="O748" s="3" t="n">
        <v>0.3832</v>
      </c>
      <c r="P748" s="3" t="n">
        <v>0.739</v>
      </c>
      <c r="Q748" s="3" t="n">
        <v>2558183.84</v>
      </c>
      <c r="R748" s="3" t="n">
        <v>112</v>
      </c>
      <c r="S748" s="3" t="n">
        <v>2.9</v>
      </c>
      <c r="T748" s="3" t="n">
        <v>6.2</v>
      </c>
      <c r="U748" s="3"/>
      <c r="V748" s="3" t="n">
        <v>5.74</v>
      </c>
      <c r="W748" s="3" t="s">
        <v>5990</v>
      </c>
    </row>
    <row r="749" customFormat="false" ht="15" hidden="false" customHeight="true" outlineLevel="0" collapsed="false">
      <c r="A749" s="3" t="s">
        <v>6841</v>
      </c>
      <c r="B749" s="3" t="s">
        <v>2544</v>
      </c>
      <c r="C749" s="3" t="s">
        <v>2896</v>
      </c>
      <c r="D749" s="3" t="s">
        <v>54</v>
      </c>
      <c r="E749" s="3" t="s">
        <v>24</v>
      </c>
      <c r="F749" s="3" t="s">
        <v>40</v>
      </c>
      <c r="G749" s="3" t="s">
        <v>34</v>
      </c>
      <c r="H749" s="3" t="s">
        <v>77</v>
      </c>
      <c r="I749" s="3" t="s">
        <v>78</v>
      </c>
      <c r="J749" s="3" t="s">
        <v>6003</v>
      </c>
      <c r="K749" s="3" t="n">
        <v>2551085.86</v>
      </c>
      <c r="L749" s="3" t="n">
        <v>0.1056</v>
      </c>
      <c r="M749" s="3" t="n">
        <v>2281691.19</v>
      </c>
      <c r="N749" s="3" t="n">
        <v>1026717.26</v>
      </c>
      <c r="O749" s="3" t="n">
        <v>0.45</v>
      </c>
      <c r="P749" s="3" t="n">
        <v>0.087</v>
      </c>
      <c r="Q749" s="3" t="n">
        <v>198507.13</v>
      </c>
      <c r="R749" s="3" t="n">
        <v>131</v>
      </c>
      <c r="S749" s="3" t="n">
        <v>3.3</v>
      </c>
      <c r="T749" s="3" t="n">
        <v>2.2</v>
      </c>
      <c r="U749" s="3"/>
      <c r="V749" s="3" t="n">
        <v>7.12</v>
      </c>
      <c r="W749" s="3" t="s">
        <v>5997</v>
      </c>
    </row>
    <row r="750" customFormat="false" ht="15" hidden="false" customHeight="true" outlineLevel="0" collapsed="false">
      <c r="A750" s="3" t="s">
        <v>6842</v>
      </c>
      <c r="B750" s="3" t="s">
        <v>809</v>
      </c>
      <c r="C750" s="3" t="s">
        <v>2444</v>
      </c>
      <c r="D750" s="3" t="s">
        <v>47</v>
      </c>
      <c r="E750" s="3" t="s">
        <v>48</v>
      </c>
      <c r="F750" s="3" t="s">
        <v>25</v>
      </c>
      <c r="G750" s="3" t="s">
        <v>34</v>
      </c>
      <c r="H750" s="3" t="s">
        <v>77</v>
      </c>
      <c r="I750" s="3" t="s">
        <v>78</v>
      </c>
      <c r="J750" s="3" t="s">
        <v>5996</v>
      </c>
      <c r="K750" s="3" t="n">
        <v>1898587.87</v>
      </c>
      <c r="L750" s="3" t="n">
        <v>0.2401</v>
      </c>
      <c r="M750" s="3" t="n">
        <v>1442736.92</v>
      </c>
      <c r="N750" s="3" t="n">
        <v>527466.04</v>
      </c>
      <c r="O750" s="3" t="n">
        <v>0.3656</v>
      </c>
      <c r="P750" s="3" t="n">
        <v>1</v>
      </c>
      <c r="Q750" s="3" t="n">
        <v>1442736.92</v>
      </c>
      <c r="R750" s="3" t="n">
        <v>108</v>
      </c>
      <c r="S750" s="3" t="n">
        <v>6.8</v>
      </c>
      <c r="T750" s="3" t="n">
        <v>5</v>
      </c>
      <c r="U750" s="3"/>
      <c r="V750" s="3" t="n">
        <v>5.78</v>
      </c>
      <c r="W750" s="3" t="s">
        <v>5990</v>
      </c>
    </row>
    <row r="751" customFormat="false" ht="15" hidden="false" customHeight="true" outlineLevel="0" collapsed="false">
      <c r="A751" s="3" t="s">
        <v>6843</v>
      </c>
      <c r="B751" s="3" t="s">
        <v>1090</v>
      </c>
      <c r="C751" s="3" t="s">
        <v>2524</v>
      </c>
      <c r="D751" s="3" t="s">
        <v>61</v>
      </c>
      <c r="E751" s="3" t="s">
        <v>33</v>
      </c>
      <c r="F751" s="3" t="s">
        <v>62</v>
      </c>
      <c r="G751" s="3" t="s">
        <v>41</v>
      </c>
      <c r="H751" s="3" t="s">
        <v>42</v>
      </c>
      <c r="I751" s="3" t="s">
        <v>72</v>
      </c>
      <c r="J751" s="3" t="s">
        <v>5996</v>
      </c>
      <c r="K751" s="3" t="n">
        <v>2148543.49</v>
      </c>
      <c r="L751" s="3" t="n">
        <v>0.0943</v>
      </c>
      <c r="M751" s="3" t="n">
        <v>1945935.84</v>
      </c>
      <c r="N751" s="3" t="n">
        <v>619605.44</v>
      </c>
      <c r="O751" s="3" t="n">
        <v>0.3184</v>
      </c>
      <c r="P751" s="3" t="n">
        <v>0.994</v>
      </c>
      <c r="Q751" s="3" t="n">
        <v>1934260.22</v>
      </c>
      <c r="R751" s="3" t="n">
        <v>139</v>
      </c>
      <c r="S751" s="3" t="n">
        <v>1</v>
      </c>
      <c r="T751" s="3" t="n">
        <v>9.8</v>
      </c>
      <c r="U751" s="3"/>
      <c r="V751" s="3" t="n">
        <v>4.49</v>
      </c>
      <c r="W751" s="3" t="s">
        <v>6000</v>
      </c>
    </row>
    <row r="752" customFormat="false" ht="15" hidden="false" customHeight="true" outlineLevel="0" collapsed="false">
      <c r="A752" s="3" t="s">
        <v>6844</v>
      </c>
      <c r="B752" s="3" t="s">
        <v>1512</v>
      </c>
      <c r="C752" s="3" t="s">
        <v>730</v>
      </c>
      <c r="D752" s="3" t="s">
        <v>75</v>
      </c>
      <c r="E752" s="3" t="s">
        <v>39</v>
      </c>
      <c r="F752" s="3" t="s">
        <v>25</v>
      </c>
      <c r="G752" s="3" t="s">
        <v>84</v>
      </c>
      <c r="H752" s="3" t="s">
        <v>56</v>
      </c>
      <c r="I752" s="3" t="s">
        <v>188</v>
      </c>
      <c r="J752" s="3" t="s">
        <v>6009</v>
      </c>
      <c r="K752" s="3" t="n">
        <v>351266.48</v>
      </c>
      <c r="L752" s="3" t="n">
        <v>0.0861</v>
      </c>
      <c r="M752" s="3" t="n">
        <v>321022.44</v>
      </c>
      <c r="N752" s="3" t="n">
        <v>133794.1</v>
      </c>
      <c r="O752" s="3" t="n">
        <v>0.4168</v>
      </c>
      <c r="P752" s="3" t="n">
        <v>0</v>
      </c>
      <c r="Q752" s="3" t="n">
        <v>0</v>
      </c>
      <c r="R752" s="3" t="n">
        <v>123</v>
      </c>
      <c r="S752" s="3" t="n">
        <v>6.7</v>
      </c>
      <c r="T752" s="3" t="n">
        <v>6.9</v>
      </c>
      <c r="U752" s="3" t="s">
        <v>6116</v>
      </c>
      <c r="V752" s="3" t="n">
        <v>7.17</v>
      </c>
      <c r="W752" s="3" t="s">
        <v>5997</v>
      </c>
    </row>
    <row r="753" customFormat="false" ht="15" hidden="false" customHeight="true" outlineLevel="0" collapsed="false">
      <c r="A753" s="3" t="s">
        <v>6845</v>
      </c>
      <c r="B753" s="3" t="s">
        <v>1502</v>
      </c>
      <c r="C753" s="3" t="s">
        <v>1304</v>
      </c>
      <c r="D753" s="3" t="s">
        <v>38</v>
      </c>
      <c r="E753" s="3" t="s">
        <v>39</v>
      </c>
      <c r="F753" s="3" t="s">
        <v>40</v>
      </c>
      <c r="G753" s="3" t="s">
        <v>55</v>
      </c>
      <c r="H753" s="3" t="s">
        <v>56</v>
      </c>
      <c r="I753" s="3" t="s">
        <v>57</v>
      </c>
      <c r="J753" s="3" t="s">
        <v>5999</v>
      </c>
      <c r="K753" s="3" t="n">
        <v>1260828.47</v>
      </c>
      <c r="L753" s="3" t="n">
        <v>0.2683</v>
      </c>
      <c r="M753" s="3" t="n">
        <v>922548.19</v>
      </c>
      <c r="N753" s="3" t="n">
        <v>298641.78</v>
      </c>
      <c r="O753" s="3" t="n">
        <v>0.3237</v>
      </c>
      <c r="P753" s="3" t="n">
        <v>0.476</v>
      </c>
      <c r="Q753" s="3" t="n">
        <v>439132.94</v>
      </c>
      <c r="R753" s="3" t="n">
        <v>71</v>
      </c>
      <c r="S753" s="3" t="n">
        <v>6.5</v>
      </c>
      <c r="T753" s="3" t="n">
        <v>2.8</v>
      </c>
      <c r="U753" s="3"/>
      <c r="V753" s="3" t="n">
        <v>5.5</v>
      </c>
      <c r="W753" s="3" t="s">
        <v>5990</v>
      </c>
    </row>
    <row r="754" customFormat="false" ht="15" hidden="false" customHeight="true" outlineLevel="0" collapsed="false">
      <c r="A754" s="3" t="s">
        <v>6846</v>
      </c>
      <c r="B754" s="3" t="s">
        <v>1870</v>
      </c>
      <c r="C754" s="3" t="s">
        <v>1938</v>
      </c>
      <c r="D754" s="3" t="s">
        <v>107</v>
      </c>
      <c r="E754" s="3" t="s">
        <v>33</v>
      </c>
      <c r="F754" s="3" t="s">
        <v>70</v>
      </c>
      <c r="G754" s="3" t="s">
        <v>100</v>
      </c>
      <c r="H754" s="3" t="s">
        <v>64</v>
      </c>
      <c r="I754" s="3" t="s">
        <v>108</v>
      </c>
      <c r="J754" s="3" t="s">
        <v>5999</v>
      </c>
      <c r="K754" s="3" t="n">
        <v>2176379.91</v>
      </c>
      <c r="L754" s="3" t="n">
        <v>0.1781</v>
      </c>
      <c r="M754" s="3" t="n">
        <v>1788766.65</v>
      </c>
      <c r="N754" s="3" t="n">
        <v>661235.4</v>
      </c>
      <c r="O754" s="3" t="n">
        <v>0.3697</v>
      </c>
      <c r="P754" s="3" t="n">
        <v>0.458</v>
      </c>
      <c r="Q754" s="3" t="n">
        <v>819255.13</v>
      </c>
      <c r="R754" s="3" t="n">
        <v>147</v>
      </c>
      <c r="S754" s="3" t="n">
        <v>5.8</v>
      </c>
      <c r="T754" s="3" t="n">
        <v>4.1</v>
      </c>
      <c r="U754" s="3"/>
      <c r="V754" s="3" t="n">
        <v>6.23</v>
      </c>
      <c r="W754" s="3" t="s">
        <v>5990</v>
      </c>
    </row>
    <row r="755" customFormat="false" ht="15" hidden="false" customHeight="true" outlineLevel="0" collapsed="false">
      <c r="A755" s="3" t="s">
        <v>6847</v>
      </c>
      <c r="B755" s="3" t="s">
        <v>4764</v>
      </c>
      <c r="C755" s="3" t="s">
        <v>2808</v>
      </c>
      <c r="D755" s="3" t="s">
        <v>61</v>
      </c>
      <c r="E755" s="3" t="s">
        <v>33</v>
      </c>
      <c r="F755" s="3" t="s">
        <v>62</v>
      </c>
      <c r="G755" s="3" t="s">
        <v>100</v>
      </c>
      <c r="H755" s="3" t="s">
        <v>77</v>
      </c>
      <c r="I755" s="3" t="s">
        <v>131</v>
      </c>
      <c r="J755" s="3" t="s">
        <v>5996</v>
      </c>
      <c r="K755" s="3" t="n">
        <v>2196731.85</v>
      </c>
      <c r="L755" s="3" t="n">
        <v>0.1846</v>
      </c>
      <c r="M755" s="3" t="n">
        <v>1791215.15</v>
      </c>
      <c r="N755" s="3" t="n">
        <v>533405.76</v>
      </c>
      <c r="O755" s="3" t="n">
        <v>0.2978</v>
      </c>
      <c r="P755" s="3" t="n">
        <v>0.968</v>
      </c>
      <c r="Q755" s="3" t="n">
        <v>1733896.27</v>
      </c>
      <c r="R755" s="3" t="n">
        <v>103</v>
      </c>
      <c r="S755" s="3" t="n">
        <v>2.3</v>
      </c>
      <c r="T755" s="3" t="n">
        <v>4</v>
      </c>
      <c r="U755" s="3"/>
      <c r="V755" s="3" t="n">
        <v>4.73</v>
      </c>
      <c r="W755" s="3" t="s">
        <v>6000</v>
      </c>
    </row>
    <row r="756" customFormat="false" ht="15" hidden="false" customHeight="true" outlineLevel="0" collapsed="false">
      <c r="A756" s="3" t="s">
        <v>6848</v>
      </c>
      <c r="B756" s="3" t="s">
        <v>445</v>
      </c>
      <c r="C756" s="3" t="s">
        <v>6036</v>
      </c>
      <c r="D756" s="3" t="s">
        <v>83</v>
      </c>
      <c r="E756" s="3" t="s">
        <v>48</v>
      </c>
      <c r="F756" s="3" t="s">
        <v>62</v>
      </c>
      <c r="G756" s="3" t="s">
        <v>71</v>
      </c>
      <c r="H756" s="3" t="s">
        <v>56</v>
      </c>
      <c r="I756" s="3" t="s">
        <v>121</v>
      </c>
      <c r="J756" s="3" t="s">
        <v>5992</v>
      </c>
      <c r="K756" s="3" t="n">
        <v>2425615.86</v>
      </c>
      <c r="L756" s="3" t="n">
        <v>0.2937</v>
      </c>
      <c r="M756" s="3" t="n">
        <v>1713212.48</v>
      </c>
      <c r="N756" s="3" t="n">
        <v>742559.64</v>
      </c>
      <c r="O756" s="3" t="n">
        <v>0.4334</v>
      </c>
      <c r="P756" s="3" t="n">
        <v>0.663</v>
      </c>
      <c r="Q756" s="3" t="n">
        <v>1135859.87</v>
      </c>
      <c r="R756" s="3" t="n">
        <v>106</v>
      </c>
      <c r="S756" s="3" t="n">
        <v>6.2</v>
      </c>
      <c r="T756" s="3" t="n">
        <v>5.7</v>
      </c>
      <c r="U756" s="3"/>
      <c r="V756" s="3" t="n">
        <v>5.6</v>
      </c>
      <c r="W756" s="3" t="s">
        <v>5990</v>
      </c>
    </row>
    <row r="757" customFormat="false" ht="15" hidden="false" customHeight="true" outlineLevel="0" collapsed="false">
      <c r="A757" s="3" t="s">
        <v>6849</v>
      </c>
      <c r="B757" s="3" t="s">
        <v>3294</v>
      </c>
      <c r="C757" s="3" t="s">
        <v>1023</v>
      </c>
      <c r="D757" s="3" t="s">
        <v>47</v>
      </c>
      <c r="E757" s="3" t="s">
        <v>48</v>
      </c>
      <c r="F757" s="3" t="s">
        <v>25</v>
      </c>
      <c r="G757" s="3" t="s">
        <v>55</v>
      </c>
      <c r="H757" s="3" t="s">
        <v>56</v>
      </c>
      <c r="I757" s="3" t="s">
        <v>57</v>
      </c>
      <c r="J757" s="3" t="s">
        <v>5999</v>
      </c>
      <c r="K757" s="3" t="n">
        <v>3351125.81</v>
      </c>
      <c r="L757" s="3" t="n">
        <v>0.2824</v>
      </c>
      <c r="M757" s="3" t="n">
        <v>2404767.88</v>
      </c>
      <c r="N757" s="3" t="n">
        <v>707403.49</v>
      </c>
      <c r="O757" s="3" t="n">
        <v>0.2942</v>
      </c>
      <c r="P757" s="3" t="n">
        <v>0.491</v>
      </c>
      <c r="Q757" s="3" t="n">
        <v>1180741.03</v>
      </c>
      <c r="R757" s="3" t="n">
        <v>166</v>
      </c>
      <c r="S757" s="3" t="n">
        <v>8</v>
      </c>
      <c r="T757" s="3" t="n">
        <v>7.5</v>
      </c>
      <c r="U757" s="3"/>
      <c r="V757" s="3" t="n">
        <v>4.8</v>
      </c>
      <c r="W757" s="3" t="s">
        <v>6000</v>
      </c>
    </row>
    <row r="758" customFormat="false" ht="15" hidden="false" customHeight="true" outlineLevel="0" collapsed="false">
      <c r="A758" s="3" t="s">
        <v>6850</v>
      </c>
      <c r="B758" s="3" t="s">
        <v>235</v>
      </c>
      <c r="C758" s="3" t="s">
        <v>914</v>
      </c>
      <c r="D758" s="3" t="s">
        <v>32</v>
      </c>
      <c r="E758" s="3" t="s">
        <v>33</v>
      </c>
      <c r="F758" s="3" t="s">
        <v>25</v>
      </c>
      <c r="G758" s="3" t="s">
        <v>84</v>
      </c>
      <c r="H758" s="3" t="s">
        <v>56</v>
      </c>
      <c r="I758" s="3" t="s">
        <v>57</v>
      </c>
      <c r="J758" s="3" t="s">
        <v>5989</v>
      </c>
      <c r="K758" s="3" t="n">
        <v>3612079.27</v>
      </c>
      <c r="L758" s="3" t="n">
        <v>0.1521</v>
      </c>
      <c r="M758" s="3" t="n">
        <v>3062682.01</v>
      </c>
      <c r="N758" s="3" t="n">
        <v>1083467.99</v>
      </c>
      <c r="O758" s="3" t="n">
        <v>0.3538</v>
      </c>
      <c r="P758" s="3" t="n">
        <v>0.209</v>
      </c>
      <c r="Q758" s="3" t="n">
        <v>640100.54</v>
      </c>
      <c r="R758" s="3" t="n">
        <v>150</v>
      </c>
      <c r="S758" s="3" t="n">
        <v>1.5</v>
      </c>
      <c r="T758" s="3" t="n">
        <v>4.6</v>
      </c>
      <c r="U758" s="3"/>
      <c r="V758" s="3" t="n">
        <v>5.18</v>
      </c>
      <c r="W758" s="3" t="s">
        <v>5990</v>
      </c>
    </row>
    <row r="759" customFormat="false" ht="15" hidden="false" customHeight="true" outlineLevel="0" collapsed="false">
      <c r="A759" s="3" t="s">
        <v>6851</v>
      </c>
      <c r="B759" s="3" t="s">
        <v>1063</v>
      </c>
      <c r="C759" s="3" t="s">
        <v>2801</v>
      </c>
      <c r="D759" s="3" t="s">
        <v>83</v>
      </c>
      <c r="E759" s="3" t="s">
        <v>48</v>
      </c>
      <c r="F759" s="3" t="s">
        <v>62</v>
      </c>
      <c r="G759" s="3" t="s">
        <v>63</v>
      </c>
      <c r="H759" s="3" t="s">
        <v>77</v>
      </c>
      <c r="I759" s="3" t="s">
        <v>85</v>
      </c>
      <c r="J759" s="3" t="s">
        <v>6009</v>
      </c>
      <c r="K759" s="3" t="n">
        <v>3369908.96</v>
      </c>
      <c r="L759" s="3" t="n">
        <v>0.1072</v>
      </c>
      <c r="M759" s="3" t="n">
        <v>3008654.72</v>
      </c>
      <c r="N759" s="3" t="n">
        <v>1082060.31</v>
      </c>
      <c r="O759" s="3" t="n">
        <v>0.3596</v>
      </c>
      <c r="P759" s="3" t="n">
        <v>0.05</v>
      </c>
      <c r="Q759" s="3" t="n">
        <v>150432.74</v>
      </c>
      <c r="R759" s="3" t="n">
        <v>150</v>
      </c>
      <c r="S759" s="3" t="n">
        <v>9.8</v>
      </c>
      <c r="T759" s="3" t="n">
        <v>1.4</v>
      </c>
      <c r="U759" s="3"/>
      <c r="V759" s="3" t="n">
        <v>8.14</v>
      </c>
      <c r="W759" s="3" t="s">
        <v>5997</v>
      </c>
    </row>
    <row r="760" customFormat="false" ht="15" hidden="false" customHeight="true" outlineLevel="0" collapsed="false">
      <c r="A760" s="3" t="s">
        <v>6852</v>
      </c>
      <c r="B760" s="3" t="s">
        <v>2395</v>
      </c>
      <c r="C760" s="3" t="s">
        <v>4066</v>
      </c>
      <c r="D760" s="3" t="s">
        <v>38</v>
      </c>
      <c r="E760" s="3" t="s">
        <v>39</v>
      </c>
      <c r="F760" s="3" t="s">
        <v>40</v>
      </c>
      <c r="G760" s="3" t="s">
        <v>63</v>
      </c>
      <c r="H760" s="3" t="s">
        <v>77</v>
      </c>
      <c r="I760" s="3" t="s">
        <v>78</v>
      </c>
      <c r="J760" s="3" t="s">
        <v>5992</v>
      </c>
      <c r="K760" s="3" t="n">
        <v>3947248.38</v>
      </c>
      <c r="L760" s="3" t="n">
        <v>0.2737</v>
      </c>
      <c r="M760" s="3" t="n">
        <v>2866886.5</v>
      </c>
      <c r="N760" s="3" t="n">
        <v>1245562.61</v>
      </c>
      <c r="O760" s="3" t="n">
        <v>0.4345</v>
      </c>
      <c r="P760" s="3" t="n">
        <v>0.672</v>
      </c>
      <c r="Q760" s="3" t="n">
        <v>1926547.73</v>
      </c>
      <c r="R760" s="3" t="n">
        <v>106</v>
      </c>
      <c r="S760" s="3" t="n">
        <v>5.4</v>
      </c>
      <c r="T760" s="3" t="n">
        <v>1.4</v>
      </c>
      <c r="U760" s="3"/>
      <c r="V760" s="3" t="n">
        <v>6.26</v>
      </c>
      <c r="W760" s="3" t="s">
        <v>5990</v>
      </c>
    </row>
    <row r="761" customFormat="false" ht="15" hidden="false" customHeight="true" outlineLevel="0" collapsed="false">
      <c r="A761" s="3" t="s">
        <v>6853</v>
      </c>
      <c r="B761" s="3" t="s">
        <v>661</v>
      </c>
      <c r="C761" s="3" t="s">
        <v>2820</v>
      </c>
      <c r="D761" s="3" t="s">
        <v>47</v>
      </c>
      <c r="E761" s="3" t="s">
        <v>48</v>
      </c>
      <c r="F761" s="3" t="s">
        <v>25</v>
      </c>
      <c r="G761" s="3" t="s">
        <v>41</v>
      </c>
      <c r="H761" s="3" t="s">
        <v>64</v>
      </c>
      <c r="I761" s="3" t="s">
        <v>145</v>
      </c>
      <c r="J761" s="3" t="s">
        <v>5999</v>
      </c>
      <c r="K761" s="3" t="n">
        <v>323894.7</v>
      </c>
      <c r="L761" s="3" t="n">
        <v>0.1088</v>
      </c>
      <c r="M761" s="3" t="n">
        <v>288654.96</v>
      </c>
      <c r="N761" s="3" t="n">
        <v>129812.42</v>
      </c>
      <c r="O761" s="3" t="n">
        <v>0.4497</v>
      </c>
      <c r="P761" s="3" t="n">
        <v>0.45</v>
      </c>
      <c r="Q761" s="3" t="n">
        <v>129894.73</v>
      </c>
      <c r="R761" s="3" t="n">
        <v>134</v>
      </c>
      <c r="S761" s="3" t="n">
        <v>4.5</v>
      </c>
      <c r="T761" s="3" t="n">
        <v>2</v>
      </c>
      <c r="U761" s="3"/>
      <c r="V761" s="3" t="n">
        <v>7.42</v>
      </c>
      <c r="W761" s="3" t="s">
        <v>5997</v>
      </c>
    </row>
    <row r="762" customFormat="false" ht="15" hidden="false" customHeight="true" outlineLevel="0" collapsed="false">
      <c r="A762" s="3" t="s">
        <v>6854</v>
      </c>
      <c r="B762" s="3" t="s">
        <v>1065</v>
      </c>
      <c r="C762" s="3" t="s">
        <v>2865</v>
      </c>
      <c r="D762" s="3" t="s">
        <v>107</v>
      </c>
      <c r="E762" s="3" t="s">
        <v>33</v>
      </c>
      <c r="F762" s="3" t="s">
        <v>70</v>
      </c>
      <c r="G762" s="3" t="s">
        <v>116</v>
      </c>
      <c r="H762" s="3" t="s">
        <v>42</v>
      </c>
      <c r="I762" s="3" t="s">
        <v>72</v>
      </c>
      <c r="J762" s="3" t="s">
        <v>5992</v>
      </c>
      <c r="K762" s="3" t="n">
        <v>4127939.97</v>
      </c>
      <c r="L762" s="3" t="n">
        <v>0.2386</v>
      </c>
      <c r="M762" s="3" t="n">
        <v>3143013.49</v>
      </c>
      <c r="N762" s="3" t="n">
        <v>1457690.7</v>
      </c>
      <c r="O762" s="3" t="n">
        <v>0.4638</v>
      </c>
      <c r="P762" s="3" t="n">
        <v>0.68</v>
      </c>
      <c r="Q762" s="3" t="n">
        <v>2137249.17</v>
      </c>
      <c r="R762" s="3" t="n">
        <v>162</v>
      </c>
      <c r="S762" s="3" t="n">
        <v>4.6</v>
      </c>
      <c r="T762" s="3" t="n">
        <v>9.5</v>
      </c>
      <c r="U762" s="3"/>
      <c r="V762" s="3" t="n">
        <v>5.23</v>
      </c>
      <c r="W762" s="3" t="s">
        <v>5990</v>
      </c>
    </row>
    <row r="763" customFormat="false" ht="15" hidden="false" customHeight="true" outlineLevel="0" collapsed="false">
      <c r="A763" s="3" t="s">
        <v>6855</v>
      </c>
      <c r="B763" s="3" t="s">
        <v>905</v>
      </c>
      <c r="C763" s="3" t="s">
        <v>1327</v>
      </c>
      <c r="D763" s="3" t="s">
        <v>83</v>
      </c>
      <c r="E763" s="3" t="s">
        <v>48</v>
      </c>
      <c r="F763" s="3" t="s">
        <v>62</v>
      </c>
      <c r="G763" s="3" t="s">
        <v>84</v>
      </c>
      <c r="H763" s="3" t="s">
        <v>64</v>
      </c>
      <c r="I763" s="3" t="s">
        <v>145</v>
      </c>
      <c r="J763" s="3" t="s">
        <v>5999</v>
      </c>
      <c r="K763" s="3" t="n">
        <v>1059272.17</v>
      </c>
      <c r="L763" s="3" t="n">
        <v>0.1877</v>
      </c>
      <c r="M763" s="3" t="n">
        <v>860446.78</v>
      </c>
      <c r="N763" s="3" t="n">
        <v>331134.4</v>
      </c>
      <c r="O763" s="3" t="n">
        <v>0.3848</v>
      </c>
      <c r="P763" s="3" t="n">
        <v>0.466</v>
      </c>
      <c r="Q763" s="3" t="n">
        <v>400968.2</v>
      </c>
      <c r="R763" s="3" t="n">
        <v>115</v>
      </c>
      <c r="S763" s="3" t="n">
        <v>5.7</v>
      </c>
      <c r="T763" s="3" t="n">
        <v>1.3</v>
      </c>
      <c r="U763" s="3"/>
      <c r="V763" s="3" t="n">
        <v>6.66</v>
      </c>
      <c r="W763" s="3" t="s">
        <v>5997</v>
      </c>
    </row>
    <row r="764" customFormat="false" ht="15" hidden="false" customHeight="true" outlineLevel="0" collapsed="false">
      <c r="A764" s="3" t="s">
        <v>6856</v>
      </c>
      <c r="B764" s="3" t="s">
        <v>3990</v>
      </c>
      <c r="C764" s="3" t="s">
        <v>2037</v>
      </c>
      <c r="D764" s="3" t="s">
        <v>83</v>
      </c>
      <c r="E764" s="3" t="s">
        <v>48</v>
      </c>
      <c r="F764" s="3" t="s">
        <v>62</v>
      </c>
      <c r="G764" s="3" t="s">
        <v>34</v>
      </c>
      <c r="H764" s="3" t="s">
        <v>64</v>
      </c>
      <c r="I764" s="3" t="s">
        <v>145</v>
      </c>
      <c r="J764" s="3" t="s">
        <v>5992</v>
      </c>
      <c r="K764" s="3" t="n">
        <v>3574645.82</v>
      </c>
      <c r="L764" s="3" t="n">
        <v>0.1387</v>
      </c>
      <c r="M764" s="3" t="n">
        <v>3078842.44</v>
      </c>
      <c r="N764" s="3" t="n">
        <v>1000759.72</v>
      </c>
      <c r="O764" s="3" t="n">
        <v>0.325</v>
      </c>
      <c r="P764" s="3" t="n">
        <v>0.708</v>
      </c>
      <c r="Q764" s="3" t="n">
        <v>2179820.45</v>
      </c>
      <c r="R764" s="3" t="n">
        <v>20</v>
      </c>
      <c r="S764" s="3" t="n">
        <v>8.3</v>
      </c>
      <c r="T764" s="3" t="n">
        <v>9.2</v>
      </c>
      <c r="U764" s="3"/>
      <c r="V764" s="3" t="n">
        <v>6.07</v>
      </c>
      <c r="W764" s="3" t="s">
        <v>5990</v>
      </c>
    </row>
    <row r="765" customFormat="false" ht="15" hidden="false" customHeight="true" outlineLevel="0" collapsed="false">
      <c r="A765" s="3" t="s">
        <v>6857</v>
      </c>
      <c r="B765" s="3" t="s">
        <v>2542</v>
      </c>
      <c r="C765" s="3" t="s">
        <v>666</v>
      </c>
      <c r="D765" s="3" t="s">
        <v>47</v>
      </c>
      <c r="E765" s="3" t="s">
        <v>48</v>
      </c>
      <c r="F765" s="3" t="s">
        <v>25</v>
      </c>
      <c r="G765" s="3" t="s">
        <v>26</v>
      </c>
      <c r="H765" s="3" t="s">
        <v>77</v>
      </c>
      <c r="I765" s="3" t="s">
        <v>85</v>
      </c>
      <c r="J765" s="3" t="s">
        <v>5992</v>
      </c>
      <c r="K765" s="3" t="n">
        <v>3931436.22</v>
      </c>
      <c r="L765" s="3" t="n">
        <v>0.294</v>
      </c>
      <c r="M765" s="3" t="n">
        <v>2775593.97</v>
      </c>
      <c r="N765" s="3" t="n">
        <v>974304.08</v>
      </c>
      <c r="O765" s="3" t="n">
        <v>0.351</v>
      </c>
      <c r="P765" s="3" t="n">
        <v>0.743</v>
      </c>
      <c r="Q765" s="3" t="n">
        <v>2062266.32</v>
      </c>
      <c r="R765" s="3" t="n">
        <v>18</v>
      </c>
      <c r="S765" s="3" t="n">
        <v>1.6</v>
      </c>
      <c r="T765" s="3" t="n">
        <v>3.4</v>
      </c>
      <c r="U765" s="3"/>
      <c r="V765" s="3" t="n">
        <v>4.17</v>
      </c>
      <c r="W765" s="3" t="s">
        <v>6000</v>
      </c>
    </row>
    <row r="766" customFormat="false" ht="15" hidden="false" customHeight="true" outlineLevel="0" collapsed="false">
      <c r="A766" s="3" t="s">
        <v>6858</v>
      </c>
      <c r="B766" s="3" t="s">
        <v>607</v>
      </c>
      <c r="C766" s="3" t="s">
        <v>2875</v>
      </c>
      <c r="D766" s="3" t="s">
        <v>32</v>
      </c>
      <c r="E766" s="3" t="s">
        <v>33</v>
      </c>
      <c r="F766" s="3" t="s">
        <v>25</v>
      </c>
      <c r="G766" s="3" t="s">
        <v>84</v>
      </c>
      <c r="H766" s="3" t="s">
        <v>42</v>
      </c>
      <c r="I766" s="3" t="s">
        <v>72</v>
      </c>
      <c r="J766" s="3" t="s">
        <v>5996</v>
      </c>
      <c r="K766" s="3" t="n">
        <v>1756465.96</v>
      </c>
      <c r="L766" s="3" t="n">
        <v>0.2018</v>
      </c>
      <c r="M766" s="3" t="n">
        <v>1402011.13</v>
      </c>
      <c r="N766" s="3" t="n">
        <v>567896.57</v>
      </c>
      <c r="O766" s="3" t="n">
        <v>0.4051</v>
      </c>
      <c r="P766" s="3" t="n">
        <v>1</v>
      </c>
      <c r="Q766" s="3" t="n">
        <v>1402011.13</v>
      </c>
      <c r="R766" s="3" t="n">
        <v>87</v>
      </c>
      <c r="S766" s="3" t="n">
        <v>3.9</v>
      </c>
      <c r="T766" s="3" t="n">
        <v>9.9</v>
      </c>
      <c r="U766" s="3"/>
      <c r="V766" s="3" t="n">
        <v>4.96</v>
      </c>
      <c r="W766" s="3" t="s">
        <v>6000</v>
      </c>
    </row>
    <row r="767" customFormat="false" ht="15" hidden="false" customHeight="true" outlineLevel="0" collapsed="false">
      <c r="A767" s="3" t="s">
        <v>6859</v>
      </c>
      <c r="B767" s="3" t="s">
        <v>402</v>
      </c>
      <c r="C767" s="3" t="s">
        <v>6396</v>
      </c>
      <c r="D767" s="3" t="s">
        <v>54</v>
      </c>
      <c r="E767" s="3" t="s">
        <v>24</v>
      </c>
      <c r="F767" s="3" t="s">
        <v>40</v>
      </c>
      <c r="G767" s="3" t="s">
        <v>63</v>
      </c>
      <c r="H767" s="3" t="s">
        <v>56</v>
      </c>
      <c r="I767" s="3" t="s">
        <v>121</v>
      </c>
      <c r="J767" s="3" t="s">
        <v>6003</v>
      </c>
      <c r="K767" s="3" t="n">
        <v>354418.19</v>
      </c>
      <c r="L767" s="3" t="n">
        <v>0.1749</v>
      </c>
      <c r="M767" s="3" t="n">
        <v>292430.45</v>
      </c>
      <c r="N767" s="3" t="n">
        <v>86673.47</v>
      </c>
      <c r="O767" s="3" t="n">
        <v>0.2964</v>
      </c>
      <c r="P767" s="3" t="n">
        <v>0.094</v>
      </c>
      <c r="Q767" s="3" t="n">
        <v>27488.46</v>
      </c>
      <c r="R767" s="3" t="n">
        <v>176</v>
      </c>
      <c r="S767" s="3" t="n">
        <v>2.3</v>
      </c>
      <c r="T767" s="3" t="n">
        <v>2.4</v>
      </c>
      <c r="U767" s="3"/>
      <c r="V767" s="3" t="n">
        <v>5.07</v>
      </c>
      <c r="W767" s="3" t="s">
        <v>5990</v>
      </c>
    </row>
    <row r="768" customFormat="false" ht="15" hidden="false" customHeight="true" outlineLevel="0" collapsed="false">
      <c r="A768" s="3" t="s">
        <v>6860</v>
      </c>
      <c r="B768" s="3" t="s">
        <v>1743</v>
      </c>
      <c r="C768" s="3" t="s">
        <v>1966</v>
      </c>
      <c r="D768" s="3" t="s">
        <v>97</v>
      </c>
      <c r="E768" s="3" t="s">
        <v>48</v>
      </c>
      <c r="F768" s="3" t="s">
        <v>40</v>
      </c>
      <c r="G768" s="3" t="s">
        <v>63</v>
      </c>
      <c r="H768" s="3" t="s">
        <v>77</v>
      </c>
      <c r="I768" s="3" t="s">
        <v>78</v>
      </c>
      <c r="J768" s="3" t="s">
        <v>5996</v>
      </c>
      <c r="K768" s="3" t="n">
        <v>468639.15</v>
      </c>
      <c r="L768" s="3" t="n">
        <v>0.2975</v>
      </c>
      <c r="M768" s="3" t="n">
        <v>329219</v>
      </c>
      <c r="N768" s="3" t="n">
        <v>96505.8</v>
      </c>
      <c r="O768" s="3" t="n">
        <v>0.2931</v>
      </c>
      <c r="P768" s="3" t="n">
        <v>0.951</v>
      </c>
      <c r="Q768" s="3" t="n">
        <v>313087.27</v>
      </c>
      <c r="R768" s="3" t="n">
        <v>22</v>
      </c>
      <c r="S768" s="3" t="n">
        <v>5.5</v>
      </c>
      <c r="T768" s="3" t="n">
        <v>2.2</v>
      </c>
      <c r="U768" s="3"/>
      <c r="V768" s="3" t="n">
        <v>4.84</v>
      </c>
      <c r="W768" s="3" t="s">
        <v>6000</v>
      </c>
    </row>
    <row r="769" customFormat="false" ht="15" hidden="false" customHeight="true" outlineLevel="0" collapsed="false">
      <c r="A769" s="3" t="s">
        <v>6861</v>
      </c>
      <c r="B769" s="3" t="s">
        <v>850</v>
      </c>
      <c r="C769" s="3" t="s">
        <v>6105</v>
      </c>
      <c r="D769" s="3" t="s">
        <v>103</v>
      </c>
      <c r="E769" s="3" t="s">
        <v>24</v>
      </c>
      <c r="F769" s="3" t="s">
        <v>62</v>
      </c>
      <c r="G769" s="3" t="s">
        <v>63</v>
      </c>
      <c r="H769" s="3" t="s">
        <v>27</v>
      </c>
      <c r="I769" s="3" t="s">
        <v>173</v>
      </c>
      <c r="J769" s="3" t="s">
        <v>5996</v>
      </c>
      <c r="K769" s="3" t="n">
        <v>4918918.5</v>
      </c>
      <c r="L769" s="3" t="n">
        <v>0.2029</v>
      </c>
      <c r="M769" s="3" t="n">
        <v>3920869.94</v>
      </c>
      <c r="N769" s="3" t="n">
        <v>1282920.77</v>
      </c>
      <c r="O769" s="3" t="n">
        <v>0.3272</v>
      </c>
      <c r="P769" s="3" t="n">
        <v>1</v>
      </c>
      <c r="Q769" s="3" t="n">
        <v>3920869.94</v>
      </c>
      <c r="R769" s="3" t="n">
        <v>125</v>
      </c>
      <c r="S769" s="3" t="n">
        <v>3.2</v>
      </c>
      <c r="T769" s="3" t="n">
        <v>5.8</v>
      </c>
      <c r="U769" s="3"/>
      <c r="V769" s="3" t="n">
        <v>4.78</v>
      </c>
      <c r="W769" s="3" t="s">
        <v>6000</v>
      </c>
    </row>
    <row r="770" customFormat="false" ht="15" hidden="false" customHeight="true" outlineLevel="0" collapsed="false">
      <c r="A770" s="3" t="s">
        <v>6862</v>
      </c>
      <c r="B770" s="3" t="s">
        <v>3448</v>
      </c>
      <c r="C770" s="3" t="s">
        <v>1307</v>
      </c>
      <c r="D770" s="3" t="s">
        <v>32</v>
      </c>
      <c r="E770" s="3" t="s">
        <v>33</v>
      </c>
      <c r="F770" s="3" t="s">
        <v>25</v>
      </c>
      <c r="G770" s="3" t="s">
        <v>76</v>
      </c>
      <c r="H770" s="3" t="s">
        <v>42</v>
      </c>
      <c r="I770" s="3" t="s">
        <v>43</v>
      </c>
      <c r="J770" s="3" t="s">
        <v>5999</v>
      </c>
      <c r="K770" s="3" t="n">
        <v>4360655.13</v>
      </c>
      <c r="L770" s="3" t="n">
        <v>0.1443</v>
      </c>
      <c r="M770" s="3" t="n">
        <v>3731412.59</v>
      </c>
      <c r="N770" s="3" t="n">
        <v>1347534.85</v>
      </c>
      <c r="O770" s="3" t="n">
        <v>0.3611</v>
      </c>
      <c r="P770" s="3" t="n">
        <v>0.493</v>
      </c>
      <c r="Q770" s="3" t="n">
        <v>1839586.41</v>
      </c>
      <c r="R770" s="3" t="n">
        <v>43</v>
      </c>
      <c r="S770" s="3" t="n">
        <v>5.6</v>
      </c>
      <c r="T770" s="3" t="n">
        <v>8.9</v>
      </c>
      <c r="U770" s="3"/>
      <c r="V770" s="3" t="n">
        <v>5.67</v>
      </c>
      <c r="W770" s="3" t="s">
        <v>5990</v>
      </c>
    </row>
    <row r="771" customFormat="false" ht="15" hidden="false" customHeight="true" outlineLevel="0" collapsed="false">
      <c r="A771" s="3" t="s">
        <v>6863</v>
      </c>
      <c r="B771" s="3" t="s">
        <v>921</v>
      </c>
      <c r="C771" s="3" t="s">
        <v>3592</v>
      </c>
      <c r="D771" s="3" t="s">
        <v>75</v>
      </c>
      <c r="E771" s="3" t="s">
        <v>39</v>
      </c>
      <c r="F771" s="3" t="s">
        <v>25</v>
      </c>
      <c r="G771" s="3" t="s">
        <v>49</v>
      </c>
      <c r="H771" s="3" t="s">
        <v>27</v>
      </c>
      <c r="I771" s="3" t="s">
        <v>173</v>
      </c>
      <c r="J771" s="3" t="s">
        <v>5996</v>
      </c>
      <c r="K771" s="3" t="n">
        <v>320584.41</v>
      </c>
      <c r="L771" s="3" t="n">
        <v>0.1506</v>
      </c>
      <c r="M771" s="3" t="n">
        <v>272304.4</v>
      </c>
      <c r="N771" s="3" t="n">
        <v>83942.09</v>
      </c>
      <c r="O771" s="3" t="n">
        <v>0.3083</v>
      </c>
      <c r="P771" s="3" t="n">
        <v>1</v>
      </c>
      <c r="Q771" s="3" t="n">
        <v>272304.4</v>
      </c>
      <c r="R771" s="3" t="n">
        <v>34</v>
      </c>
      <c r="S771" s="3" t="n">
        <v>4.3</v>
      </c>
      <c r="T771" s="3" t="n">
        <v>9</v>
      </c>
      <c r="U771" s="3"/>
      <c r="V771" s="3" t="n">
        <v>4.89</v>
      </c>
      <c r="W771" s="3" t="s">
        <v>6000</v>
      </c>
    </row>
    <row r="772" customFormat="false" ht="15" hidden="false" customHeight="true" outlineLevel="0" collapsed="false">
      <c r="A772" s="3" t="s">
        <v>6864</v>
      </c>
      <c r="B772" s="3" t="s">
        <v>456</v>
      </c>
      <c r="C772" s="3" t="s">
        <v>1253</v>
      </c>
      <c r="D772" s="3" t="s">
        <v>103</v>
      </c>
      <c r="E772" s="3" t="s">
        <v>24</v>
      </c>
      <c r="F772" s="3" t="s">
        <v>62</v>
      </c>
      <c r="G772" s="3" t="s">
        <v>55</v>
      </c>
      <c r="H772" s="3" t="s">
        <v>56</v>
      </c>
      <c r="I772" s="3" t="s">
        <v>188</v>
      </c>
      <c r="J772" s="3" t="s">
        <v>5996</v>
      </c>
      <c r="K772" s="3" t="n">
        <v>826041.8</v>
      </c>
      <c r="L772" s="3" t="n">
        <v>0.0859</v>
      </c>
      <c r="M772" s="3" t="n">
        <v>755084.81</v>
      </c>
      <c r="N772" s="3" t="n">
        <v>323423.63</v>
      </c>
      <c r="O772" s="3" t="n">
        <v>0.4283</v>
      </c>
      <c r="P772" s="3" t="n">
        <v>1</v>
      </c>
      <c r="Q772" s="3" t="n">
        <v>755084.81</v>
      </c>
      <c r="R772" s="3" t="n">
        <v>105</v>
      </c>
      <c r="S772" s="3" t="n">
        <v>4</v>
      </c>
      <c r="T772" s="3" t="n">
        <v>2.9</v>
      </c>
      <c r="U772" s="3"/>
      <c r="V772" s="3" t="n">
        <v>7.16</v>
      </c>
      <c r="W772" s="3" t="s">
        <v>5997</v>
      </c>
    </row>
    <row r="773" customFormat="false" ht="15" hidden="false" customHeight="true" outlineLevel="0" collapsed="false">
      <c r="A773" s="3" t="s">
        <v>6865</v>
      </c>
      <c r="B773" s="3" t="s">
        <v>1776</v>
      </c>
      <c r="C773" s="3" t="s">
        <v>2024</v>
      </c>
      <c r="D773" s="3" t="s">
        <v>75</v>
      </c>
      <c r="E773" s="3" t="s">
        <v>39</v>
      </c>
      <c r="F773" s="3" t="s">
        <v>25</v>
      </c>
      <c r="G773" s="3" t="s">
        <v>26</v>
      </c>
      <c r="H773" s="3" t="s">
        <v>27</v>
      </c>
      <c r="I773" s="3" t="s">
        <v>50</v>
      </c>
      <c r="J773" s="3" t="s">
        <v>6009</v>
      </c>
      <c r="K773" s="3" t="n">
        <v>4928761.19</v>
      </c>
      <c r="L773" s="3" t="n">
        <v>0.1273</v>
      </c>
      <c r="M773" s="3" t="n">
        <v>4301329.89</v>
      </c>
      <c r="N773" s="3" t="n">
        <v>1404995.71</v>
      </c>
      <c r="O773" s="3" t="n">
        <v>0.3266</v>
      </c>
      <c r="P773" s="3" t="n">
        <v>0.03</v>
      </c>
      <c r="Q773" s="3" t="n">
        <v>129039.9</v>
      </c>
      <c r="R773" s="3" t="n">
        <v>173</v>
      </c>
      <c r="S773" s="3" t="n">
        <v>6.1</v>
      </c>
      <c r="T773" s="3" t="n">
        <v>4.4</v>
      </c>
      <c r="U773" s="3" t="s">
        <v>6041</v>
      </c>
      <c r="V773" s="3" t="n">
        <v>6.37</v>
      </c>
      <c r="W773" s="3" t="s">
        <v>5990</v>
      </c>
    </row>
    <row r="774" customFormat="false" ht="15" hidden="false" customHeight="true" outlineLevel="0" collapsed="false">
      <c r="A774" s="3" t="s">
        <v>6866</v>
      </c>
      <c r="B774" s="3" t="s">
        <v>1674</v>
      </c>
      <c r="C774" s="3" t="s">
        <v>194</v>
      </c>
      <c r="D774" s="3" t="s">
        <v>83</v>
      </c>
      <c r="E774" s="3" t="s">
        <v>48</v>
      </c>
      <c r="F774" s="3" t="s">
        <v>62</v>
      </c>
      <c r="G774" s="3" t="s">
        <v>55</v>
      </c>
      <c r="H774" s="3" t="s">
        <v>77</v>
      </c>
      <c r="I774" s="3" t="s">
        <v>85</v>
      </c>
      <c r="J774" s="3" t="s">
        <v>5989</v>
      </c>
      <c r="K774" s="3" t="n">
        <v>4691930.64</v>
      </c>
      <c r="L774" s="3" t="n">
        <v>0.1096</v>
      </c>
      <c r="M774" s="3" t="n">
        <v>4177695.04</v>
      </c>
      <c r="N774" s="3" t="n">
        <v>1939172.1</v>
      </c>
      <c r="O774" s="3" t="n">
        <v>0.4642</v>
      </c>
      <c r="P774" s="3" t="n">
        <v>0.233</v>
      </c>
      <c r="Q774" s="3" t="n">
        <v>973402.94</v>
      </c>
      <c r="R774" s="3" t="n">
        <v>163</v>
      </c>
      <c r="S774" s="3" t="n">
        <v>9.2</v>
      </c>
      <c r="T774" s="3" t="n">
        <v>5.3</v>
      </c>
      <c r="U774" s="3"/>
      <c r="V774" s="3" t="n">
        <v>8.08</v>
      </c>
      <c r="W774" s="3" t="s">
        <v>5997</v>
      </c>
    </row>
    <row r="775" customFormat="false" ht="15" hidden="false" customHeight="true" outlineLevel="0" collapsed="false">
      <c r="A775" s="3" t="s">
        <v>6867</v>
      </c>
      <c r="B775" s="3" t="s">
        <v>1133</v>
      </c>
      <c r="C775" s="3" t="s">
        <v>364</v>
      </c>
      <c r="D775" s="3" t="s">
        <v>103</v>
      </c>
      <c r="E775" s="3" t="s">
        <v>24</v>
      </c>
      <c r="F775" s="3" t="s">
        <v>62</v>
      </c>
      <c r="G775" s="3" t="s">
        <v>49</v>
      </c>
      <c r="H775" s="3" t="s">
        <v>77</v>
      </c>
      <c r="I775" s="3" t="s">
        <v>85</v>
      </c>
      <c r="J775" s="3" t="s">
        <v>5996</v>
      </c>
      <c r="K775" s="3" t="n">
        <v>114443.95</v>
      </c>
      <c r="L775" s="3" t="n">
        <v>0.1578</v>
      </c>
      <c r="M775" s="3" t="n">
        <v>96384.69</v>
      </c>
      <c r="N775" s="3" t="n">
        <v>30510.7</v>
      </c>
      <c r="O775" s="3" t="n">
        <v>0.3166</v>
      </c>
      <c r="P775" s="3" t="n">
        <v>1</v>
      </c>
      <c r="Q775" s="3" t="n">
        <v>96384.69</v>
      </c>
      <c r="R775" s="3" t="n">
        <v>42</v>
      </c>
      <c r="S775" s="3" t="n">
        <v>1.6</v>
      </c>
      <c r="T775" s="3" t="n">
        <v>2.3</v>
      </c>
      <c r="U775" s="3"/>
      <c r="V775" s="3" t="n">
        <v>5.18</v>
      </c>
      <c r="W775" s="3" t="s">
        <v>5990</v>
      </c>
    </row>
    <row r="776" customFormat="false" ht="15" hidden="false" customHeight="true" outlineLevel="0" collapsed="false">
      <c r="A776" s="3" t="s">
        <v>6868</v>
      </c>
      <c r="B776" s="3" t="s">
        <v>1435</v>
      </c>
      <c r="C776" s="3" t="s">
        <v>1790</v>
      </c>
      <c r="D776" s="3" t="s">
        <v>83</v>
      </c>
      <c r="E776" s="3" t="s">
        <v>48</v>
      </c>
      <c r="F776" s="3" t="s">
        <v>62</v>
      </c>
      <c r="G776" s="3" t="s">
        <v>26</v>
      </c>
      <c r="H776" s="3" t="s">
        <v>42</v>
      </c>
      <c r="I776" s="3" t="s">
        <v>43</v>
      </c>
      <c r="J776" s="3" t="s">
        <v>5996</v>
      </c>
      <c r="K776" s="3" t="n">
        <v>3258231.18</v>
      </c>
      <c r="L776" s="3" t="n">
        <v>0.066</v>
      </c>
      <c r="M776" s="3" t="n">
        <v>3043187.92</v>
      </c>
      <c r="N776" s="3" t="n">
        <v>957117.66</v>
      </c>
      <c r="O776" s="3" t="n">
        <v>0.3145</v>
      </c>
      <c r="P776" s="3" t="n">
        <v>1</v>
      </c>
      <c r="Q776" s="3" t="n">
        <v>3043187.92</v>
      </c>
      <c r="R776" s="3" t="n">
        <v>110</v>
      </c>
      <c r="S776" s="3" t="n">
        <v>6.4</v>
      </c>
      <c r="T776" s="3" t="n">
        <v>8.5</v>
      </c>
      <c r="U776" s="3"/>
      <c r="V776" s="3" t="n">
        <v>6.22</v>
      </c>
      <c r="W776" s="3" t="s">
        <v>5990</v>
      </c>
    </row>
    <row r="777" customFormat="false" ht="15" hidden="false" customHeight="true" outlineLevel="0" collapsed="false">
      <c r="A777" s="3" t="s">
        <v>6869</v>
      </c>
      <c r="B777" s="3" t="s">
        <v>726</v>
      </c>
      <c r="C777" s="3" t="s">
        <v>6611</v>
      </c>
      <c r="D777" s="3" t="s">
        <v>75</v>
      </c>
      <c r="E777" s="3" t="s">
        <v>39</v>
      </c>
      <c r="F777" s="3" t="s">
        <v>25</v>
      </c>
      <c r="G777" s="3" t="s">
        <v>49</v>
      </c>
      <c r="H777" s="3" t="s">
        <v>27</v>
      </c>
      <c r="I777" s="3" t="s">
        <v>50</v>
      </c>
      <c r="J777" s="3" t="s">
        <v>5989</v>
      </c>
      <c r="K777" s="3" t="n">
        <v>2231986.46</v>
      </c>
      <c r="L777" s="3" t="n">
        <v>0.2998</v>
      </c>
      <c r="M777" s="3" t="n">
        <v>1562836.92</v>
      </c>
      <c r="N777" s="3" t="n">
        <v>587800.61</v>
      </c>
      <c r="O777" s="3" t="n">
        <v>0.3761</v>
      </c>
      <c r="P777" s="3" t="n">
        <v>0.289</v>
      </c>
      <c r="Q777" s="3" t="n">
        <v>451659.87</v>
      </c>
      <c r="R777" s="3" t="n">
        <v>162</v>
      </c>
      <c r="S777" s="3" t="n">
        <v>4.6</v>
      </c>
      <c r="T777" s="3" t="n">
        <v>5.5</v>
      </c>
      <c r="U777" s="3"/>
      <c r="V777" s="3" t="n">
        <v>4.76</v>
      </c>
      <c r="W777" s="3" t="s">
        <v>6000</v>
      </c>
    </row>
    <row r="778" customFormat="false" ht="15" hidden="false" customHeight="true" outlineLevel="0" collapsed="false">
      <c r="A778" s="3" t="s">
        <v>6870</v>
      </c>
      <c r="B778" s="3" t="s">
        <v>420</v>
      </c>
      <c r="C778" s="3" t="s">
        <v>469</v>
      </c>
      <c r="D778" s="3" t="s">
        <v>69</v>
      </c>
      <c r="E778" s="3" t="s">
        <v>39</v>
      </c>
      <c r="F778" s="3" t="s">
        <v>70</v>
      </c>
      <c r="G778" s="3" t="s">
        <v>100</v>
      </c>
      <c r="H778" s="3" t="s">
        <v>27</v>
      </c>
      <c r="I778" s="3" t="s">
        <v>117</v>
      </c>
      <c r="J778" s="3" t="s">
        <v>5989</v>
      </c>
      <c r="K778" s="3" t="n">
        <v>1835061.15</v>
      </c>
      <c r="L778" s="3" t="n">
        <v>0.0687</v>
      </c>
      <c r="M778" s="3" t="n">
        <v>1708992.45</v>
      </c>
      <c r="N778" s="3" t="n">
        <v>697551.34</v>
      </c>
      <c r="O778" s="3" t="n">
        <v>0.4082</v>
      </c>
      <c r="P778" s="3" t="n">
        <v>0.286</v>
      </c>
      <c r="Q778" s="3" t="n">
        <v>488771.84</v>
      </c>
      <c r="R778" s="3" t="n">
        <v>112</v>
      </c>
      <c r="S778" s="3" t="n">
        <v>6</v>
      </c>
      <c r="T778" s="3" t="n">
        <v>2.7</v>
      </c>
      <c r="U778" s="3"/>
      <c r="V778" s="3" t="n">
        <v>7.7</v>
      </c>
      <c r="W778" s="3" t="s">
        <v>5997</v>
      </c>
    </row>
    <row r="779" customFormat="false" ht="15" hidden="false" customHeight="true" outlineLevel="0" collapsed="false">
      <c r="A779" s="3" t="s">
        <v>6871</v>
      </c>
      <c r="B779" s="3" t="s">
        <v>1512</v>
      </c>
      <c r="C779" s="3" t="s">
        <v>1375</v>
      </c>
      <c r="D779" s="3" t="s">
        <v>61</v>
      </c>
      <c r="E779" s="3" t="s">
        <v>33</v>
      </c>
      <c r="F779" s="3" t="s">
        <v>62</v>
      </c>
      <c r="G779" s="3" t="s">
        <v>41</v>
      </c>
      <c r="H779" s="3" t="s">
        <v>56</v>
      </c>
      <c r="I779" s="3" t="s">
        <v>188</v>
      </c>
      <c r="J779" s="3" t="s">
        <v>5996</v>
      </c>
      <c r="K779" s="3" t="n">
        <v>314210.97</v>
      </c>
      <c r="L779" s="3" t="n">
        <v>0.2254</v>
      </c>
      <c r="M779" s="3" t="n">
        <v>243387.82</v>
      </c>
      <c r="N779" s="3" t="n">
        <v>90233.49</v>
      </c>
      <c r="O779" s="3" t="n">
        <v>0.3707</v>
      </c>
      <c r="P779" s="3" t="n">
        <v>0.992</v>
      </c>
      <c r="Q779" s="3" t="n">
        <v>241440.72</v>
      </c>
      <c r="R779" s="3" t="n">
        <v>159</v>
      </c>
      <c r="S779" s="3" t="n">
        <v>3.4</v>
      </c>
      <c r="T779" s="3" t="n">
        <v>9.4</v>
      </c>
      <c r="U779" s="3"/>
      <c r="V779" s="3" t="n">
        <v>4.43</v>
      </c>
      <c r="W779" s="3" t="s">
        <v>6000</v>
      </c>
    </row>
    <row r="780" customFormat="false" ht="15" hidden="false" customHeight="true" outlineLevel="0" collapsed="false">
      <c r="A780" s="3" t="s">
        <v>6872</v>
      </c>
      <c r="B780" s="3" t="s">
        <v>4404</v>
      </c>
      <c r="C780" s="3" t="s">
        <v>1069</v>
      </c>
      <c r="D780" s="3" t="s">
        <v>61</v>
      </c>
      <c r="E780" s="3" t="s">
        <v>33</v>
      </c>
      <c r="F780" s="3" t="s">
        <v>62</v>
      </c>
      <c r="G780" s="3" t="s">
        <v>76</v>
      </c>
      <c r="H780" s="3" t="s">
        <v>56</v>
      </c>
      <c r="I780" s="3" t="s">
        <v>57</v>
      </c>
      <c r="J780" s="3" t="s">
        <v>6009</v>
      </c>
      <c r="K780" s="3" t="n">
        <v>2991467.8</v>
      </c>
      <c r="L780" s="3" t="n">
        <v>0.1105</v>
      </c>
      <c r="M780" s="3" t="n">
        <v>2660910.61</v>
      </c>
      <c r="N780" s="3" t="n">
        <v>774983.2</v>
      </c>
      <c r="O780" s="3" t="n">
        <v>0.2912</v>
      </c>
      <c r="P780" s="3" t="n">
        <v>0.049</v>
      </c>
      <c r="Q780" s="3" t="n">
        <v>130384.62</v>
      </c>
      <c r="R780" s="3" t="n">
        <v>104</v>
      </c>
      <c r="S780" s="3" t="n">
        <v>5.1</v>
      </c>
      <c r="T780" s="3" t="n">
        <v>6.6</v>
      </c>
      <c r="U780" s="3" t="s">
        <v>6116</v>
      </c>
      <c r="V780" s="3" t="n">
        <v>5.63</v>
      </c>
      <c r="W780" s="3" t="s">
        <v>5990</v>
      </c>
    </row>
    <row r="781" customFormat="false" ht="15" hidden="false" customHeight="true" outlineLevel="0" collapsed="false">
      <c r="A781" s="3" t="s">
        <v>6873</v>
      </c>
      <c r="B781" s="3" t="s">
        <v>2561</v>
      </c>
      <c r="C781" s="3" t="s">
        <v>3498</v>
      </c>
      <c r="D781" s="3" t="s">
        <v>83</v>
      </c>
      <c r="E781" s="3" t="s">
        <v>48</v>
      </c>
      <c r="F781" s="3" t="s">
        <v>62</v>
      </c>
      <c r="G781" s="3" t="s">
        <v>76</v>
      </c>
      <c r="H781" s="3" t="s">
        <v>27</v>
      </c>
      <c r="I781" s="3" t="s">
        <v>50</v>
      </c>
      <c r="J781" s="3" t="s">
        <v>5992</v>
      </c>
      <c r="K781" s="3" t="n">
        <v>1564963.17</v>
      </c>
      <c r="L781" s="3" t="n">
        <v>0.168</v>
      </c>
      <c r="M781" s="3" t="n">
        <v>1302049.36</v>
      </c>
      <c r="N781" s="3" t="n">
        <v>537420.25</v>
      </c>
      <c r="O781" s="3" t="n">
        <v>0.4127</v>
      </c>
      <c r="P781" s="3" t="n">
        <v>0.673</v>
      </c>
      <c r="Q781" s="3" t="n">
        <v>876279.22</v>
      </c>
      <c r="R781" s="3" t="n">
        <v>53</v>
      </c>
      <c r="S781" s="3" t="n">
        <v>8.7</v>
      </c>
      <c r="T781" s="3" t="n">
        <v>9.3</v>
      </c>
      <c r="U781" s="3"/>
      <c r="V781" s="3" t="n">
        <v>6.6</v>
      </c>
      <c r="W781" s="3" t="s">
        <v>5997</v>
      </c>
    </row>
    <row r="782" customFormat="false" ht="15" hidden="false" customHeight="true" outlineLevel="0" collapsed="false">
      <c r="A782" s="3" t="s">
        <v>6874</v>
      </c>
      <c r="B782" s="3" t="s">
        <v>509</v>
      </c>
      <c r="C782" s="3" t="s">
        <v>2979</v>
      </c>
      <c r="D782" s="3" t="s">
        <v>32</v>
      </c>
      <c r="E782" s="3" t="s">
        <v>33</v>
      </c>
      <c r="F782" s="3" t="s">
        <v>25</v>
      </c>
      <c r="G782" s="3" t="s">
        <v>104</v>
      </c>
      <c r="H782" s="3" t="s">
        <v>42</v>
      </c>
      <c r="I782" s="3" t="s">
        <v>134</v>
      </c>
      <c r="J782" s="3" t="s">
        <v>5992</v>
      </c>
      <c r="K782" s="3" t="n">
        <v>4996393</v>
      </c>
      <c r="L782" s="3" t="n">
        <v>0.1181</v>
      </c>
      <c r="M782" s="3" t="n">
        <v>4406318.99</v>
      </c>
      <c r="N782" s="3" t="n">
        <v>1770161.9</v>
      </c>
      <c r="O782" s="3" t="n">
        <v>0.4017</v>
      </c>
      <c r="P782" s="3" t="n">
        <v>0.651</v>
      </c>
      <c r="Q782" s="3" t="n">
        <v>2868513.66</v>
      </c>
      <c r="R782" s="3" t="n">
        <v>106</v>
      </c>
      <c r="S782" s="3" t="n">
        <v>1.9</v>
      </c>
      <c r="T782" s="3" t="n">
        <v>8.6</v>
      </c>
      <c r="U782" s="3"/>
      <c r="V782" s="3" t="n">
        <v>5.32</v>
      </c>
      <c r="W782" s="3" t="s">
        <v>5990</v>
      </c>
    </row>
    <row r="783" customFormat="false" ht="15" hidden="false" customHeight="true" outlineLevel="0" collapsed="false">
      <c r="A783" s="3" t="s">
        <v>6875</v>
      </c>
      <c r="B783" s="3" t="s">
        <v>4693</v>
      </c>
      <c r="C783" s="3" t="s">
        <v>979</v>
      </c>
      <c r="D783" s="3" t="s">
        <v>23</v>
      </c>
      <c r="E783" s="3" t="s">
        <v>24</v>
      </c>
      <c r="F783" s="3" t="s">
        <v>25</v>
      </c>
      <c r="G783" s="3" t="s">
        <v>104</v>
      </c>
      <c r="H783" s="3" t="s">
        <v>64</v>
      </c>
      <c r="I783" s="3" t="s">
        <v>145</v>
      </c>
      <c r="J783" s="3" t="s">
        <v>5999</v>
      </c>
      <c r="K783" s="3" t="n">
        <v>3160458.7</v>
      </c>
      <c r="L783" s="3" t="n">
        <v>0.2649</v>
      </c>
      <c r="M783" s="3" t="n">
        <v>2323253.19</v>
      </c>
      <c r="N783" s="3" t="n">
        <v>914076.85</v>
      </c>
      <c r="O783" s="3" t="n">
        <v>0.3934</v>
      </c>
      <c r="P783" s="3" t="n">
        <v>0.403</v>
      </c>
      <c r="Q783" s="3" t="n">
        <v>936271.04</v>
      </c>
      <c r="R783" s="3" t="n">
        <v>106</v>
      </c>
      <c r="S783" s="3" t="n">
        <v>4.1</v>
      </c>
      <c r="T783" s="3" t="n">
        <v>1.2</v>
      </c>
      <c r="U783" s="3"/>
      <c r="V783" s="3" t="n">
        <v>5.69</v>
      </c>
      <c r="W783" s="3" t="s">
        <v>5990</v>
      </c>
    </row>
    <row r="784" customFormat="false" ht="15" hidden="false" customHeight="true" outlineLevel="0" collapsed="false">
      <c r="A784" s="3" t="s">
        <v>6876</v>
      </c>
      <c r="B784" s="3" t="s">
        <v>2651</v>
      </c>
      <c r="C784" s="3" t="s">
        <v>3015</v>
      </c>
      <c r="D784" s="3" t="s">
        <v>107</v>
      </c>
      <c r="E784" s="3" t="s">
        <v>33</v>
      </c>
      <c r="F784" s="3" t="s">
        <v>70</v>
      </c>
      <c r="G784" s="3" t="s">
        <v>49</v>
      </c>
      <c r="H784" s="3" t="s">
        <v>42</v>
      </c>
      <c r="I784" s="3" t="s">
        <v>72</v>
      </c>
      <c r="J784" s="3" t="s">
        <v>5996</v>
      </c>
      <c r="K784" s="3" t="n">
        <v>2169584.99</v>
      </c>
      <c r="L784" s="3" t="n">
        <v>0.1712</v>
      </c>
      <c r="M784" s="3" t="n">
        <v>1798152.04</v>
      </c>
      <c r="N784" s="3" t="n">
        <v>542570.31</v>
      </c>
      <c r="O784" s="3" t="n">
        <v>0.3017</v>
      </c>
      <c r="P784" s="3" t="n">
        <v>1</v>
      </c>
      <c r="Q784" s="3" t="n">
        <v>1798152.04</v>
      </c>
      <c r="R784" s="3" t="n">
        <v>135</v>
      </c>
      <c r="S784" s="3" t="n">
        <v>9.7</v>
      </c>
      <c r="T784" s="3" t="n">
        <v>6.3</v>
      </c>
      <c r="U784" s="3"/>
      <c r="V784" s="3" t="n">
        <v>6.4</v>
      </c>
      <c r="W784" s="3" t="s">
        <v>5990</v>
      </c>
    </row>
    <row r="785" customFormat="false" ht="15" hidden="false" customHeight="true" outlineLevel="0" collapsed="false">
      <c r="A785" s="3" t="s">
        <v>6877</v>
      </c>
      <c r="B785" s="3" t="s">
        <v>1444</v>
      </c>
      <c r="C785" s="3" t="s">
        <v>6878</v>
      </c>
      <c r="D785" s="3" t="s">
        <v>38</v>
      </c>
      <c r="E785" s="3" t="s">
        <v>39</v>
      </c>
      <c r="F785" s="3" t="s">
        <v>40</v>
      </c>
      <c r="G785" s="3" t="s">
        <v>76</v>
      </c>
      <c r="H785" s="3" t="s">
        <v>42</v>
      </c>
      <c r="I785" s="3" t="s">
        <v>134</v>
      </c>
      <c r="J785" s="3" t="s">
        <v>5989</v>
      </c>
      <c r="K785" s="3" t="n">
        <v>802225.12</v>
      </c>
      <c r="L785" s="3" t="n">
        <v>0.1917</v>
      </c>
      <c r="M785" s="3" t="n">
        <v>648438.56</v>
      </c>
      <c r="N785" s="3" t="n">
        <v>234271.13</v>
      </c>
      <c r="O785" s="3" t="n">
        <v>0.3613</v>
      </c>
      <c r="P785" s="3" t="n">
        <v>0.233</v>
      </c>
      <c r="Q785" s="3" t="n">
        <v>151086.18</v>
      </c>
      <c r="R785" s="3" t="n">
        <v>62</v>
      </c>
      <c r="S785" s="3" t="n">
        <v>2.4</v>
      </c>
      <c r="T785" s="3" t="n">
        <v>7.2</v>
      </c>
      <c r="U785" s="3"/>
      <c r="V785" s="3" t="n">
        <v>4.72</v>
      </c>
      <c r="W785" s="3" t="s">
        <v>6000</v>
      </c>
    </row>
    <row r="786" customFormat="false" ht="15" hidden="false" customHeight="true" outlineLevel="0" collapsed="false">
      <c r="A786" s="3" t="s">
        <v>6879</v>
      </c>
      <c r="B786" s="3" t="s">
        <v>1580</v>
      </c>
      <c r="C786" s="3" t="s">
        <v>192</v>
      </c>
      <c r="D786" s="3" t="s">
        <v>38</v>
      </c>
      <c r="E786" s="3" t="s">
        <v>39</v>
      </c>
      <c r="F786" s="3" t="s">
        <v>40</v>
      </c>
      <c r="G786" s="3" t="s">
        <v>55</v>
      </c>
      <c r="H786" s="3" t="s">
        <v>77</v>
      </c>
      <c r="I786" s="3" t="s">
        <v>131</v>
      </c>
      <c r="J786" s="3" t="s">
        <v>5989</v>
      </c>
      <c r="K786" s="3" t="n">
        <v>733523.35</v>
      </c>
      <c r="L786" s="3" t="n">
        <v>0.1556</v>
      </c>
      <c r="M786" s="3" t="n">
        <v>619387.12</v>
      </c>
      <c r="N786" s="3" t="n">
        <v>200467.65</v>
      </c>
      <c r="O786" s="3" t="n">
        <v>0.3237</v>
      </c>
      <c r="P786" s="3" t="n">
        <v>0.291</v>
      </c>
      <c r="Q786" s="3" t="n">
        <v>180241.65</v>
      </c>
      <c r="R786" s="3" t="n">
        <v>32</v>
      </c>
      <c r="S786" s="3" t="n">
        <v>7.9</v>
      </c>
      <c r="T786" s="3" t="n">
        <v>3.8</v>
      </c>
      <c r="U786" s="3"/>
      <c r="V786" s="3" t="n">
        <v>6.62</v>
      </c>
      <c r="W786" s="3" t="s">
        <v>5997</v>
      </c>
    </row>
    <row r="787" customFormat="false" ht="15" hidden="false" customHeight="true" outlineLevel="0" collapsed="false">
      <c r="A787" s="3" t="s">
        <v>6880</v>
      </c>
      <c r="B787" s="3" t="s">
        <v>730</v>
      </c>
      <c r="C787" s="3" t="s">
        <v>6878</v>
      </c>
      <c r="D787" s="3" t="s">
        <v>54</v>
      </c>
      <c r="E787" s="3" t="s">
        <v>24</v>
      </c>
      <c r="F787" s="3" t="s">
        <v>40</v>
      </c>
      <c r="G787" s="3" t="s">
        <v>116</v>
      </c>
      <c r="H787" s="3" t="s">
        <v>64</v>
      </c>
      <c r="I787" s="3" t="s">
        <v>108</v>
      </c>
      <c r="J787" s="3" t="s">
        <v>6003</v>
      </c>
      <c r="K787" s="3" t="n">
        <v>4076366.17</v>
      </c>
      <c r="L787" s="3" t="n">
        <v>0.1952</v>
      </c>
      <c r="M787" s="3" t="n">
        <v>3280659.49</v>
      </c>
      <c r="N787" s="3" t="n">
        <v>1488914.51</v>
      </c>
      <c r="O787" s="3" t="n">
        <v>0.4538</v>
      </c>
      <c r="P787" s="3" t="n">
        <v>0.126</v>
      </c>
      <c r="Q787" s="3" t="n">
        <v>413363.1</v>
      </c>
      <c r="R787" s="3" t="n">
        <v>120</v>
      </c>
      <c r="S787" s="3" t="n">
        <v>2.2</v>
      </c>
      <c r="T787" s="3" t="n">
        <v>5.4</v>
      </c>
      <c r="U787" s="3"/>
      <c r="V787" s="3" t="n">
        <v>5.62</v>
      </c>
      <c r="W787" s="3" t="s">
        <v>5990</v>
      </c>
    </row>
    <row r="788" customFormat="false" ht="15" hidden="false" customHeight="true" outlineLevel="0" collapsed="false">
      <c r="A788" s="3" t="s">
        <v>6881</v>
      </c>
      <c r="B788" s="3" t="s">
        <v>1010</v>
      </c>
      <c r="C788" s="3" t="s">
        <v>1987</v>
      </c>
      <c r="D788" s="3" t="s">
        <v>69</v>
      </c>
      <c r="E788" s="3" t="s">
        <v>39</v>
      </c>
      <c r="F788" s="3" t="s">
        <v>70</v>
      </c>
      <c r="G788" s="3" t="s">
        <v>34</v>
      </c>
      <c r="H788" s="3" t="s">
        <v>56</v>
      </c>
      <c r="I788" s="3" t="s">
        <v>188</v>
      </c>
      <c r="J788" s="3" t="s">
        <v>6009</v>
      </c>
      <c r="K788" s="3" t="n">
        <v>3954898.39</v>
      </c>
      <c r="L788" s="3" t="n">
        <v>0.0519</v>
      </c>
      <c r="M788" s="3" t="n">
        <v>3749639.16</v>
      </c>
      <c r="N788" s="3" t="n">
        <v>1120209.81</v>
      </c>
      <c r="O788" s="3" t="n">
        <v>0.2988</v>
      </c>
      <c r="P788" s="3" t="n">
        <v>0</v>
      </c>
      <c r="Q788" s="3" t="n">
        <v>0</v>
      </c>
      <c r="R788" s="3" t="n">
        <v>76</v>
      </c>
      <c r="S788" s="3" t="n">
        <v>3.4</v>
      </c>
      <c r="T788" s="3" t="n">
        <v>9.8</v>
      </c>
      <c r="U788" s="3" t="s">
        <v>6116</v>
      </c>
      <c r="V788" s="3" t="n">
        <v>5.26</v>
      </c>
      <c r="W788" s="3" t="s">
        <v>5990</v>
      </c>
    </row>
    <row r="789" customFormat="false" ht="15" hidden="false" customHeight="true" outlineLevel="0" collapsed="false">
      <c r="A789" s="3" t="s">
        <v>6882</v>
      </c>
      <c r="B789" s="3" t="s">
        <v>1952</v>
      </c>
      <c r="C789" s="3" t="s">
        <v>2428</v>
      </c>
      <c r="D789" s="3" t="s">
        <v>83</v>
      </c>
      <c r="E789" s="3" t="s">
        <v>48</v>
      </c>
      <c r="F789" s="3" t="s">
        <v>62</v>
      </c>
      <c r="G789" s="3" t="s">
        <v>34</v>
      </c>
      <c r="H789" s="3" t="s">
        <v>56</v>
      </c>
      <c r="I789" s="3" t="s">
        <v>188</v>
      </c>
      <c r="J789" s="3" t="s">
        <v>5999</v>
      </c>
      <c r="K789" s="3" t="n">
        <v>1123495.29</v>
      </c>
      <c r="L789" s="3" t="n">
        <v>0.099</v>
      </c>
      <c r="M789" s="3" t="n">
        <v>1012269.26</v>
      </c>
      <c r="N789" s="3" t="n">
        <v>307313.42</v>
      </c>
      <c r="O789" s="3" t="n">
        <v>0.3036</v>
      </c>
      <c r="P789" s="3" t="n">
        <v>0.426</v>
      </c>
      <c r="Q789" s="3" t="n">
        <v>431226.7</v>
      </c>
      <c r="R789" s="3" t="n">
        <v>127</v>
      </c>
      <c r="S789" s="3" t="n">
        <v>2.4</v>
      </c>
      <c r="T789" s="3" t="n">
        <v>4.3</v>
      </c>
      <c r="U789" s="3"/>
      <c r="V789" s="3" t="n">
        <v>5.47</v>
      </c>
      <c r="W789" s="3" t="s">
        <v>5990</v>
      </c>
    </row>
    <row r="790" customFormat="false" ht="15" hidden="false" customHeight="true" outlineLevel="0" collapsed="false">
      <c r="A790" s="3" t="s">
        <v>6883</v>
      </c>
      <c r="B790" s="3" t="s">
        <v>283</v>
      </c>
      <c r="C790" s="3" t="s">
        <v>1731</v>
      </c>
      <c r="D790" s="3" t="s">
        <v>103</v>
      </c>
      <c r="E790" s="3" t="s">
        <v>24</v>
      </c>
      <c r="F790" s="3" t="s">
        <v>62</v>
      </c>
      <c r="G790" s="3" t="s">
        <v>63</v>
      </c>
      <c r="H790" s="3" t="s">
        <v>77</v>
      </c>
      <c r="I790" s="3" t="s">
        <v>85</v>
      </c>
      <c r="J790" s="3" t="s">
        <v>5999</v>
      </c>
      <c r="K790" s="3" t="n">
        <v>2680805.79</v>
      </c>
      <c r="L790" s="3" t="n">
        <v>0.237</v>
      </c>
      <c r="M790" s="3" t="n">
        <v>2045454.82</v>
      </c>
      <c r="N790" s="3" t="n">
        <v>589730.03</v>
      </c>
      <c r="O790" s="3" t="n">
        <v>0.2883</v>
      </c>
      <c r="P790" s="3" t="n">
        <v>0.403</v>
      </c>
      <c r="Q790" s="3" t="n">
        <v>824318.29</v>
      </c>
      <c r="R790" s="3" t="n">
        <v>24</v>
      </c>
      <c r="S790" s="3" t="n">
        <v>7.4</v>
      </c>
      <c r="T790" s="3" t="n">
        <v>9.2</v>
      </c>
      <c r="U790" s="3"/>
      <c r="V790" s="3" t="n">
        <v>4.74</v>
      </c>
      <c r="W790" s="3" t="s">
        <v>6000</v>
      </c>
    </row>
    <row r="791" customFormat="false" ht="15" hidden="false" customHeight="true" outlineLevel="0" collapsed="false">
      <c r="A791" s="3" t="s">
        <v>6884</v>
      </c>
      <c r="B791" s="3" t="s">
        <v>2526</v>
      </c>
      <c r="C791" s="3" t="s">
        <v>3619</v>
      </c>
      <c r="D791" s="3" t="s">
        <v>38</v>
      </c>
      <c r="E791" s="3" t="s">
        <v>39</v>
      </c>
      <c r="F791" s="3" t="s">
        <v>40</v>
      </c>
      <c r="G791" s="3" t="s">
        <v>34</v>
      </c>
      <c r="H791" s="3" t="s">
        <v>42</v>
      </c>
      <c r="I791" s="3" t="s">
        <v>72</v>
      </c>
      <c r="J791" s="3" t="s">
        <v>5992</v>
      </c>
      <c r="K791" s="3" t="n">
        <v>1671750.14</v>
      </c>
      <c r="L791" s="3" t="n">
        <v>0.258</v>
      </c>
      <c r="M791" s="3" t="n">
        <v>1240438.6</v>
      </c>
      <c r="N791" s="3" t="n">
        <v>380775.35</v>
      </c>
      <c r="O791" s="3" t="n">
        <v>0.307</v>
      </c>
      <c r="P791" s="3" t="n">
        <v>0.735</v>
      </c>
      <c r="Q791" s="3" t="n">
        <v>911722.37</v>
      </c>
      <c r="R791" s="3" t="n">
        <v>37</v>
      </c>
      <c r="S791" s="3" t="n">
        <v>3.4</v>
      </c>
      <c r="T791" s="3" t="n">
        <v>7.2</v>
      </c>
      <c r="U791" s="3"/>
      <c r="V791" s="3" t="n">
        <v>4</v>
      </c>
      <c r="W791" s="3" t="s">
        <v>6000</v>
      </c>
    </row>
    <row r="792" customFormat="false" ht="15" hidden="false" customHeight="true" outlineLevel="0" collapsed="false">
      <c r="A792" s="3" t="s">
        <v>6885</v>
      </c>
      <c r="B792" s="3" t="s">
        <v>657</v>
      </c>
      <c r="C792" s="3" t="s">
        <v>6505</v>
      </c>
      <c r="D792" s="3" t="s">
        <v>97</v>
      </c>
      <c r="E792" s="3" t="s">
        <v>48</v>
      </c>
      <c r="F792" s="3" t="s">
        <v>40</v>
      </c>
      <c r="G792" s="3" t="s">
        <v>100</v>
      </c>
      <c r="H792" s="3" t="s">
        <v>42</v>
      </c>
      <c r="I792" s="3" t="s">
        <v>134</v>
      </c>
      <c r="J792" s="3" t="s">
        <v>6003</v>
      </c>
      <c r="K792" s="3" t="n">
        <v>3196742.12</v>
      </c>
      <c r="L792" s="3" t="n">
        <v>0.2903</v>
      </c>
      <c r="M792" s="3" t="n">
        <v>2268727.88</v>
      </c>
      <c r="N792" s="3" t="n">
        <v>882946.11</v>
      </c>
      <c r="O792" s="3" t="n">
        <v>0.3892</v>
      </c>
      <c r="P792" s="3" t="n">
        <v>0.112</v>
      </c>
      <c r="Q792" s="3" t="n">
        <v>254097.52</v>
      </c>
      <c r="R792" s="3" t="n">
        <v>84</v>
      </c>
      <c r="S792" s="3" t="n">
        <v>7.5</v>
      </c>
      <c r="T792" s="3" t="n">
        <v>2</v>
      </c>
      <c r="U792" s="3"/>
      <c r="V792" s="3" t="n">
        <v>6.16</v>
      </c>
      <c r="W792" s="3" t="s">
        <v>5990</v>
      </c>
    </row>
    <row r="793" customFormat="false" ht="15" hidden="false" customHeight="true" outlineLevel="0" collapsed="false">
      <c r="A793" s="3" t="s">
        <v>6886</v>
      </c>
      <c r="B793" s="3" t="s">
        <v>1278</v>
      </c>
      <c r="C793" s="3" t="s">
        <v>125</v>
      </c>
      <c r="D793" s="3" t="s">
        <v>54</v>
      </c>
      <c r="E793" s="3" t="s">
        <v>24</v>
      </c>
      <c r="F793" s="3" t="s">
        <v>40</v>
      </c>
      <c r="G793" s="3" t="s">
        <v>116</v>
      </c>
      <c r="H793" s="3" t="s">
        <v>56</v>
      </c>
      <c r="I793" s="3" t="s">
        <v>121</v>
      </c>
      <c r="J793" s="3" t="s">
        <v>5999</v>
      </c>
      <c r="K793" s="3" t="n">
        <v>3800578.83</v>
      </c>
      <c r="L793" s="3" t="n">
        <v>0.2087</v>
      </c>
      <c r="M793" s="3" t="n">
        <v>3007398.03</v>
      </c>
      <c r="N793" s="3" t="n">
        <v>970121.72</v>
      </c>
      <c r="O793" s="3" t="n">
        <v>0.3226</v>
      </c>
      <c r="P793" s="3" t="n">
        <v>0.427</v>
      </c>
      <c r="Q793" s="3" t="n">
        <v>1284158.96</v>
      </c>
      <c r="R793" s="3" t="n">
        <v>89</v>
      </c>
      <c r="S793" s="3" t="n">
        <v>4.7</v>
      </c>
      <c r="T793" s="3" t="n">
        <v>9</v>
      </c>
      <c r="U793" s="3"/>
      <c r="V793" s="3" t="n">
        <v>4.6</v>
      </c>
      <c r="W793" s="3" t="s">
        <v>6000</v>
      </c>
    </row>
    <row r="794" customFormat="false" ht="15" hidden="false" customHeight="true" outlineLevel="0" collapsed="false">
      <c r="A794" s="3" t="s">
        <v>6887</v>
      </c>
      <c r="B794" s="3" t="s">
        <v>840</v>
      </c>
      <c r="C794" s="3" t="s">
        <v>488</v>
      </c>
      <c r="D794" s="3" t="s">
        <v>23</v>
      </c>
      <c r="E794" s="3" t="s">
        <v>24</v>
      </c>
      <c r="F794" s="3" t="s">
        <v>25</v>
      </c>
      <c r="G794" s="3" t="s">
        <v>76</v>
      </c>
      <c r="H794" s="3" t="s">
        <v>56</v>
      </c>
      <c r="I794" s="3" t="s">
        <v>57</v>
      </c>
      <c r="J794" s="3" t="s">
        <v>6003</v>
      </c>
      <c r="K794" s="3" t="n">
        <v>511355.89</v>
      </c>
      <c r="L794" s="3" t="n">
        <v>0.0509</v>
      </c>
      <c r="M794" s="3" t="n">
        <v>485327.88</v>
      </c>
      <c r="N794" s="3" t="n">
        <v>151853</v>
      </c>
      <c r="O794" s="3" t="n">
        <v>0.3129</v>
      </c>
      <c r="P794" s="3" t="n">
        <v>0.134</v>
      </c>
      <c r="Q794" s="3" t="n">
        <v>65033.94</v>
      </c>
      <c r="R794" s="3" t="n">
        <v>120</v>
      </c>
      <c r="S794" s="3" t="n">
        <v>9.2</v>
      </c>
      <c r="T794" s="3" t="n">
        <v>4.5</v>
      </c>
      <c r="U794" s="3"/>
      <c r="V794" s="3" t="n">
        <v>7.65</v>
      </c>
      <c r="W794" s="3" t="s">
        <v>5997</v>
      </c>
    </row>
    <row r="795" customFormat="false" ht="15" hidden="false" customHeight="true" outlineLevel="0" collapsed="false">
      <c r="A795" s="3" t="s">
        <v>6888</v>
      </c>
      <c r="B795" s="3" t="s">
        <v>2662</v>
      </c>
      <c r="C795" s="3" t="s">
        <v>6243</v>
      </c>
      <c r="D795" s="3" t="s">
        <v>107</v>
      </c>
      <c r="E795" s="3" t="s">
        <v>33</v>
      </c>
      <c r="F795" s="3" t="s">
        <v>70</v>
      </c>
      <c r="G795" s="3" t="s">
        <v>76</v>
      </c>
      <c r="H795" s="3" t="s">
        <v>56</v>
      </c>
      <c r="I795" s="3" t="s">
        <v>57</v>
      </c>
      <c r="J795" s="3" t="s">
        <v>5996</v>
      </c>
      <c r="K795" s="3" t="n">
        <v>1602826.96</v>
      </c>
      <c r="L795" s="3" t="n">
        <v>0.1331</v>
      </c>
      <c r="M795" s="3" t="n">
        <v>1389490.69</v>
      </c>
      <c r="N795" s="3" t="n">
        <v>450951.65</v>
      </c>
      <c r="O795" s="3" t="n">
        <v>0.3245</v>
      </c>
      <c r="P795" s="3" t="n">
        <v>0.972</v>
      </c>
      <c r="Q795" s="3" t="n">
        <v>1350584.95</v>
      </c>
      <c r="R795" s="3" t="n">
        <v>116</v>
      </c>
      <c r="S795" s="3" t="n">
        <v>9.4</v>
      </c>
      <c r="T795" s="3" t="n">
        <v>5.5</v>
      </c>
      <c r="U795" s="3"/>
      <c r="V795" s="3" t="n">
        <v>6.94</v>
      </c>
      <c r="W795" s="3" t="s">
        <v>5997</v>
      </c>
    </row>
    <row r="796" customFormat="false" ht="15" hidden="false" customHeight="true" outlineLevel="0" collapsed="false">
      <c r="A796" s="3" t="s">
        <v>6889</v>
      </c>
      <c r="B796" s="3" t="s">
        <v>907</v>
      </c>
      <c r="C796" s="3" t="s">
        <v>2318</v>
      </c>
      <c r="D796" s="3" t="s">
        <v>47</v>
      </c>
      <c r="E796" s="3" t="s">
        <v>48</v>
      </c>
      <c r="F796" s="3" t="s">
        <v>25</v>
      </c>
      <c r="G796" s="3" t="s">
        <v>55</v>
      </c>
      <c r="H796" s="3" t="s">
        <v>42</v>
      </c>
      <c r="I796" s="3" t="s">
        <v>72</v>
      </c>
      <c r="J796" s="3" t="s">
        <v>5996</v>
      </c>
      <c r="K796" s="3" t="n">
        <v>3110504.5</v>
      </c>
      <c r="L796" s="3" t="n">
        <v>0.0614</v>
      </c>
      <c r="M796" s="3" t="n">
        <v>2919519.52</v>
      </c>
      <c r="N796" s="3" t="n">
        <v>1014412.46</v>
      </c>
      <c r="O796" s="3" t="n">
        <v>0.3475</v>
      </c>
      <c r="P796" s="3" t="n">
        <v>1</v>
      </c>
      <c r="Q796" s="3" t="n">
        <v>2919519.52</v>
      </c>
      <c r="R796" s="3" t="n">
        <v>86</v>
      </c>
      <c r="S796" s="3" t="n">
        <v>8.2</v>
      </c>
      <c r="T796" s="3" t="n">
        <v>3.1</v>
      </c>
      <c r="U796" s="3"/>
      <c r="V796" s="3" t="n">
        <v>7.78</v>
      </c>
      <c r="W796" s="3" t="s">
        <v>5997</v>
      </c>
    </row>
    <row r="797" customFormat="false" ht="15" hidden="false" customHeight="true" outlineLevel="0" collapsed="false">
      <c r="A797" s="3" t="s">
        <v>6890</v>
      </c>
      <c r="B797" s="3" t="s">
        <v>659</v>
      </c>
      <c r="C797" s="3" t="s">
        <v>6141</v>
      </c>
      <c r="D797" s="3" t="s">
        <v>107</v>
      </c>
      <c r="E797" s="3" t="s">
        <v>33</v>
      </c>
      <c r="F797" s="3" t="s">
        <v>70</v>
      </c>
      <c r="G797" s="3" t="s">
        <v>41</v>
      </c>
      <c r="H797" s="3" t="s">
        <v>27</v>
      </c>
      <c r="I797" s="3" t="s">
        <v>173</v>
      </c>
      <c r="J797" s="3" t="s">
        <v>5989</v>
      </c>
      <c r="K797" s="3" t="n">
        <v>2173752.09</v>
      </c>
      <c r="L797" s="3" t="n">
        <v>0.1173</v>
      </c>
      <c r="M797" s="3" t="n">
        <v>1918770.97</v>
      </c>
      <c r="N797" s="3" t="n">
        <v>596250.5</v>
      </c>
      <c r="O797" s="3" t="n">
        <v>0.3107</v>
      </c>
      <c r="P797" s="3" t="n">
        <v>0.211</v>
      </c>
      <c r="Q797" s="3" t="n">
        <v>404860.67</v>
      </c>
      <c r="R797" s="3" t="n">
        <v>179</v>
      </c>
      <c r="S797" s="3" t="n">
        <v>6.8</v>
      </c>
      <c r="T797" s="3" t="n">
        <v>1.9</v>
      </c>
      <c r="U797" s="3"/>
      <c r="V797" s="3" t="n">
        <v>6.85</v>
      </c>
      <c r="W797" s="3" t="s">
        <v>5997</v>
      </c>
    </row>
    <row r="798" customFormat="false" ht="15" hidden="false" customHeight="true" outlineLevel="0" collapsed="false">
      <c r="A798" s="3" t="s">
        <v>6891</v>
      </c>
      <c r="B798" s="3" t="s">
        <v>1154</v>
      </c>
      <c r="C798" s="3" t="s">
        <v>1231</v>
      </c>
      <c r="D798" s="3" t="s">
        <v>47</v>
      </c>
      <c r="E798" s="3" t="s">
        <v>48</v>
      </c>
      <c r="F798" s="3" t="s">
        <v>25</v>
      </c>
      <c r="G798" s="3" t="s">
        <v>63</v>
      </c>
      <c r="H798" s="3" t="s">
        <v>64</v>
      </c>
      <c r="I798" s="3" t="s">
        <v>108</v>
      </c>
      <c r="J798" s="3" t="s">
        <v>5989</v>
      </c>
      <c r="K798" s="3" t="n">
        <v>1709000.54</v>
      </c>
      <c r="L798" s="3" t="n">
        <v>0.2851</v>
      </c>
      <c r="M798" s="3" t="n">
        <v>1221764.49</v>
      </c>
      <c r="N798" s="3" t="n">
        <v>425367.87</v>
      </c>
      <c r="O798" s="3" t="n">
        <v>0.3482</v>
      </c>
      <c r="P798" s="3" t="n">
        <v>0.209</v>
      </c>
      <c r="Q798" s="3" t="n">
        <v>255348.78</v>
      </c>
      <c r="R798" s="3" t="n">
        <v>65</v>
      </c>
      <c r="S798" s="3" t="n">
        <v>4.2</v>
      </c>
      <c r="T798" s="3" t="n">
        <v>6.7</v>
      </c>
      <c r="U798" s="3"/>
      <c r="V798" s="3" t="n">
        <v>4.37</v>
      </c>
      <c r="W798" s="3" t="s">
        <v>6000</v>
      </c>
    </row>
    <row r="799" customFormat="false" ht="15" hidden="false" customHeight="true" outlineLevel="0" collapsed="false">
      <c r="A799" s="3" t="s">
        <v>6892</v>
      </c>
      <c r="B799" s="3" t="s">
        <v>2230</v>
      </c>
      <c r="C799" s="3" t="s">
        <v>2414</v>
      </c>
      <c r="D799" s="3" t="s">
        <v>61</v>
      </c>
      <c r="E799" s="3" t="s">
        <v>33</v>
      </c>
      <c r="F799" s="3" t="s">
        <v>62</v>
      </c>
      <c r="G799" s="3" t="s">
        <v>63</v>
      </c>
      <c r="H799" s="3" t="s">
        <v>64</v>
      </c>
      <c r="I799" s="3" t="s">
        <v>145</v>
      </c>
      <c r="J799" s="3" t="s">
        <v>6003</v>
      </c>
      <c r="K799" s="3" t="n">
        <v>590911.83</v>
      </c>
      <c r="L799" s="3" t="n">
        <v>0.1611</v>
      </c>
      <c r="M799" s="3" t="n">
        <v>495715.93</v>
      </c>
      <c r="N799" s="3" t="n">
        <v>237465.82</v>
      </c>
      <c r="O799" s="3" t="n">
        <v>0.479</v>
      </c>
      <c r="P799" s="3" t="n">
        <v>0.079</v>
      </c>
      <c r="Q799" s="3" t="n">
        <v>39161.56</v>
      </c>
      <c r="R799" s="3" t="n">
        <v>143</v>
      </c>
      <c r="S799" s="3" t="n">
        <v>2.7</v>
      </c>
      <c r="T799" s="3" t="n">
        <v>3.8</v>
      </c>
      <c r="U799" s="3"/>
      <c r="V799" s="3" t="n">
        <v>6.25</v>
      </c>
      <c r="W799" s="3" t="s">
        <v>5990</v>
      </c>
    </row>
    <row r="800" customFormat="false" ht="15" hidden="false" customHeight="true" outlineLevel="0" collapsed="false">
      <c r="A800" s="3" t="s">
        <v>6893</v>
      </c>
      <c r="B800" s="3" t="s">
        <v>3738</v>
      </c>
      <c r="C800" s="3" t="s">
        <v>1699</v>
      </c>
      <c r="D800" s="3" t="s">
        <v>38</v>
      </c>
      <c r="E800" s="3" t="s">
        <v>39</v>
      </c>
      <c r="F800" s="3" t="s">
        <v>40</v>
      </c>
      <c r="G800" s="3" t="s">
        <v>41</v>
      </c>
      <c r="H800" s="3" t="s">
        <v>64</v>
      </c>
      <c r="I800" s="3" t="s">
        <v>90</v>
      </c>
      <c r="J800" s="3" t="s">
        <v>5996</v>
      </c>
      <c r="K800" s="3" t="n">
        <v>1171979.6</v>
      </c>
      <c r="L800" s="3" t="n">
        <v>0.2051</v>
      </c>
      <c r="M800" s="3" t="n">
        <v>931606.58</v>
      </c>
      <c r="N800" s="3" t="n">
        <v>296934.99</v>
      </c>
      <c r="O800" s="3" t="n">
        <v>0.3187</v>
      </c>
      <c r="P800" s="3" t="n">
        <v>1</v>
      </c>
      <c r="Q800" s="3" t="n">
        <v>931606.58</v>
      </c>
      <c r="R800" s="3" t="n">
        <v>137</v>
      </c>
      <c r="S800" s="3" t="n">
        <v>1.7</v>
      </c>
      <c r="T800" s="3" t="n">
        <v>7.3</v>
      </c>
      <c r="U800" s="3"/>
      <c r="V800" s="3" t="n">
        <v>4.12</v>
      </c>
      <c r="W800" s="3" t="s">
        <v>6000</v>
      </c>
    </row>
    <row r="801" customFormat="false" ht="15" hidden="false" customHeight="true" outlineLevel="0" collapsed="false">
      <c r="A801" s="3" t="s">
        <v>6894</v>
      </c>
      <c r="B801" s="3" t="s">
        <v>80</v>
      </c>
      <c r="C801" s="3" t="s">
        <v>543</v>
      </c>
      <c r="D801" s="3" t="s">
        <v>47</v>
      </c>
      <c r="E801" s="3" t="s">
        <v>48</v>
      </c>
      <c r="F801" s="3" t="s">
        <v>25</v>
      </c>
      <c r="G801" s="3" t="s">
        <v>41</v>
      </c>
      <c r="H801" s="3" t="s">
        <v>56</v>
      </c>
      <c r="I801" s="3" t="s">
        <v>188</v>
      </c>
      <c r="J801" s="3" t="s">
        <v>5999</v>
      </c>
      <c r="K801" s="3" t="n">
        <v>2754112.51</v>
      </c>
      <c r="L801" s="3" t="n">
        <v>0.2166</v>
      </c>
      <c r="M801" s="3" t="n">
        <v>2157571.74</v>
      </c>
      <c r="N801" s="3" t="n">
        <v>810095.67</v>
      </c>
      <c r="O801" s="3" t="n">
        <v>0.3755</v>
      </c>
      <c r="P801" s="3" t="n">
        <v>0.412</v>
      </c>
      <c r="Q801" s="3" t="n">
        <v>888919.56</v>
      </c>
      <c r="R801" s="3" t="n">
        <v>64</v>
      </c>
      <c r="S801" s="3" t="n">
        <v>6.7</v>
      </c>
      <c r="T801" s="3" t="n">
        <v>7.8</v>
      </c>
      <c r="U801" s="3"/>
      <c r="V801" s="3" t="n">
        <v>5.61</v>
      </c>
      <c r="W801" s="3" t="s">
        <v>5990</v>
      </c>
    </row>
    <row r="802" customFormat="false" ht="15" hidden="false" customHeight="true" outlineLevel="0" collapsed="false">
      <c r="A802" s="3" t="s">
        <v>6895</v>
      </c>
      <c r="B802" s="3" t="s">
        <v>960</v>
      </c>
      <c r="C802" s="3" t="s">
        <v>4530</v>
      </c>
      <c r="D802" s="3" t="s">
        <v>97</v>
      </c>
      <c r="E802" s="3" t="s">
        <v>48</v>
      </c>
      <c r="F802" s="3" t="s">
        <v>40</v>
      </c>
      <c r="G802" s="3" t="s">
        <v>104</v>
      </c>
      <c r="H802" s="3" t="s">
        <v>77</v>
      </c>
      <c r="I802" s="3" t="s">
        <v>78</v>
      </c>
      <c r="J802" s="3" t="s">
        <v>5992</v>
      </c>
      <c r="K802" s="3" t="n">
        <v>1571852.2</v>
      </c>
      <c r="L802" s="3" t="n">
        <v>0.1185</v>
      </c>
      <c r="M802" s="3" t="n">
        <v>1385587.71</v>
      </c>
      <c r="N802" s="3" t="n">
        <v>425304.55</v>
      </c>
      <c r="O802" s="3" t="n">
        <v>0.3069</v>
      </c>
      <c r="P802" s="3" t="n">
        <v>0.698</v>
      </c>
      <c r="Q802" s="3" t="n">
        <v>967140.22</v>
      </c>
      <c r="R802" s="3" t="n">
        <v>170</v>
      </c>
      <c r="S802" s="3" t="n">
        <v>6.2</v>
      </c>
      <c r="T802" s="3" t="n">
        <v>4.8</v>
      </c>
      <c r="U802" s="3"/>
      <c r="V802" s="3" t="n">
        <v>6.21</v>
      </c>
      <c r="W802" s="3" t="s">
        <v>5990</v>
      </c>
    </row>
    <row r="803" customFormat="false" ht="15" hidden="false" customHeight="true" outlineLevel="0" collapsed="false">
      <c r="A803" s="3" t="s">
        <v>6896</v>
      </c>
      <c r="B803" s="3" t="s">
        <v>3687</v>
      </c>
      <c r="C803" s="3" t="s">
        <v>3538</v>
      </c>
      <c r="D803" s="3" t="s">
        <v>97</v>
      </c>
      <c r="E803" s="3" t="s">
        <v>48</v>
      </c>
      <c r="F803" s="3" t="s">
        <v>40</v>
      </c>
      <c r="G803" s="3" t="s">
        <v>63</v>
      </c>
      <c r="H803" s="3" t="s">
        <v>77</v>
      </c>
      <c r="I803" s="3" t="s">
        <v>78</v>
      </c>
      <c r="J803" s="3" t="s">
        <v>5999</v>
      </c>
      <c r="K803" s="3" t="n">
        <v>2451269.18</v>
      </c>
      <c r="L803" s="3" t="n">
        <v>0.1929</v>
      </c>
      <c r="M803" s="3" t="n">
        <v>1978419.36</v>
      </c>
      <c r="N803" s="3" t="n">
        <v>613866.44</v>
      </c>
      <c r="O803" s="3" t="n">
        <v>0.3103</v>
      </c>
      <c r="P803" s="3" t="n">
        <v>0.451</v>
      </c>
      <c r="Q803" s="3" t="n">
        <v>892267.13</v>
      </c>
      <c r="R803" s="3" t="n">
        <v>45</v>
      </c>
      <c r="S803" s="3" t="n">
        <v>3.2</v>
      </c>
      <c r="T803" s="3" t="n">
        <v>3.6</v>
      </c>
      <c r="U803" s="3"/>
      <c r="V803" s="3" t="n">
        <v>5.08</v>
      </c>
      <c r="W803" s="3" t="s">
        <v>5990</v>
      </c>
    </row>
    <row r="804" customFormat="false" ht="15" hidden="false" customHeight="true" outlineLevel="0" collapsed="false">
      <c r="A804" s="3" t="s">
        <v>6897</v>
      </c>
      <c r="B804" s="3" t="s">
        <v>680</v>
      </c>
      <c r="C804" s="3" t="s">
        <v>5015</v>
      </c>
      <c r="D804" s="3" t="s">
        <v>75</v>
      </c>
      <c r="E804" s="3" t="s">
        <v>39</v>
      </c>
      <c r="F804" s="3" t="s">
        <v>25</v>
      </c>
      <c r="G804" s="3" t="s">
        <v>116</v>
      </c>
      <c r="H804" s="3" t="s">
        <v>42</v>
      </c>
      <c r="I804" s="3" t="s">
        <v>43</v>
      </c>
      <c r="J804" s="3" t="s">
        <v>5992</v>
      </c>
      <c r="K804" s="3" t="n">
        <v>3006735.37</v>
      </c>
      <c r="L804" s="3" t="n">
        <v>0.1152</v>
      </c>
      <c r="M804" s="3" t="n">
        <v>2660359.46</v>
      </c>
      <c r="N804" s="3" t="n">
        <v>1110312.64</v>
      </c>
      <c r="O804" s="3" t="n">
        <v>0.4174</v>
      </c>
      <c r="P804" s="3" t="n">
        <v>0.679</v>
      </c>
      <c r="Q804" s="3" t="n">
        <v>1806384.07</v>
      </c>
      <c r="R804" s="3" t="n">
        <v>46</v>
      </c>
      <c r="S804" s="3" t="n">
        <v>4.3</v>
      </c>
      <c r="T804" s="3" t="n">
        <v>2.2</v>
      </c>
      <c r="U804" s="3"/>
      <c r="V804" s="3" t="n">
        <v>7.05</v>
      </c>
      <c r="W804" s="3" t="s">
        <v>5997</v>
      </c>
    </row>
    <row r="805" customFormat="false" ht="15" hidden="false" customHeight="true" outlineLevel="0" collapsed="false">
      <c r="A805" s="3" t="s">
        <v>6898</v>
      </c>
      <c r="B805" s="3" t="s">
        <v>404</v>
      </c>
      <c r="C805" s="3" t="s">
        <v>6899</v>
      </c>
      <c r="D805" s="3" t="s">
        <v>47</v>
      </c>
      <c r="E805" s="3" t="s">
        <v>48</v>
      </c>
      <c r="F805" s="3" t="s">
        <v>25</v>
      </c>
      <c r="G805" s="3" t="s">
        <v>100</v>
      </c>
      <c r="H805" s="3" t="s">
        <v>64</v>
      </c>
      <c r="I805" s="3" t="s">
        <v>145</v>
      </c>
      <c r="J805" s="3" t="s">
        <v>5989</v>
      </c>
      <c r="K805" s="3" t="n">
        <v>380030.11</v>
      </c>
      <c r="L805" s="3" t="n">
        <v>0.1565</v>
      </c>
      <c r="M805" s="3" t="n">
        <v>320555.4</v>
      </c>
      <c r="N805" s="3" t="n">
        <v>104289.16</v>
      </c>
      <c r="O805" s="3" t="n">
        <v>0.3253</v>
      </c>
      <c r="P805" s="3" t="n">
        <v>0.205</v>
      </c>
      <c r="Q805" s="3" t="n">
        <v>65713.86</v>
      </c>
      <c r="R805" s="3" t="n">
        <v>129</v>
      </c>
      <c r="S805" s="3" t="n">
        <v>8.5</v>
      </c>
      <c r="T805" s="3" t="n">
        <v>7</v>
      </c>
      <c r="U805" s="3"/>
      <c r="V805" s="3" t="n">
        <v>6.29</v>
      </c>
      <c r="W805" s="3" t="s">
        <v>5990</v>
      </c>
    </row>
    <row r="806" customFormat="false" ht="15" hidden="false" customHeight="true" outlineLevel="0" collapsed="false">
      <c r="A806" s="3" t="s">
        <v>6900</v>
      </c>
      <c r="B806" s="3" t="s">
        <v>1383</v>
      </c>
      <c r="C806" s="3" t="s">
        <v>1078</v>
      </c>
      <c r="D806" s="3" t="s">
        <v>54</v>
      </c>
      <c r="E806" s="3" t="s">
        <v>24</v>
      </c>
      <c r="F806" s="3" t="s">
        <v>40</v>
      </c>
      <c r="G806" s="3" t="s">
        <v>76</v>
      </c>
      <c r="H806" s="3" t="s">
        <v>56</v>
      </c>
      <c r="I806" s="3" t="s">
        <v>188</v>
      </c>
      <c r="J806" s="3" t="s">
        <v>5999</v>
      </c>
      <c r="K806" s="3" t="n">
        <v>1101106.81</v>
      </c>
      <c r="L806" s="3" t="n">
        <v>0.1114</v>
      </c>
      <c r="M806" s="3" t="n">
        <v>978443.51</v>
      </c>
      <c r="N806" s="3" t="n">
        <v>334804.76</v>
      </c>
      <c r="O806" s="3" t="n">
        <v>0.3422</v>
      </c>
      <c r="P806" s="3" t="n">
        <v>0.402</v>
      </c>
      <c r="Q806" s="3" t="n">
        <v>393334.29</v>
      </c>
      <c r="R806" s="3" t="n">
        <v>59</v>
      </c>
      <c r="S806" s="3" t="n">
        <v>8.4</v>
      </c>
      <c r="T806" s="3" t="n">
        <v>4.4</v>
      </c>
      <c r="U806" s="3"/>
      <c r="V806" s="3" t="n">
        <v>7.17</v>
      </c>
      <c r="W806" s="3" t="s">
        <v>5997</v>
      </c>
    </row>
    <row r="807" customFormat="false" ht="15" hidden="false" customHeight="true" outlineLevel="0" collapsed="false">
      <c r="A807" s="3" t="s">
        <v>6901</v>
      </c>
      <c r="B807" s="3" t="s">
        <v>2896</v>
      </c>
      <c r="C807" s="3" t="s">
        <v>382</v>
      </c>
      <c r="D807" s="3" t="s">
        <v>61</v>
      </c>
      <c r="E807" s="3" t="s">
        <v>33</v>
      </c>
      <c r="F807" s="3" t="s">
        <v>62</v>
      </c>
      <c r="G807" s="3" t="s">
        <v>71</v>
      </c>
      <c r="H807" s="3" t="s">
        <v>42</v>
      </c>
      <c r="I807" s="3" t="s">
        <v>134</v>
      </c>
      <c r="J807" s="3" t="s">
        <v>6003</v>
      </c>
      <c r="K807" s="3" t="n">
        <v>3440164.5</v>
      </c>
      <c r="L807" s="3" t="n">
        <v>0.1247</v>
      </c>
      <c r="M807" s="3" t="n">
        <v>3011175.99</v>
      </c>
      <c r="N807" s="3" t="n">
        <v>1399237.21</v>
      </c>
      <c r="O807" s="3" t="n">
        <v>0.4647</v>
      </c>
      <c r="P807" s="3" t="n">
        <v>0.069</v>
      </c>
      <c r="Q807" s="3" t="n">
        <v>207771.14</v>
      </c>
      <c r="R807" s="3" t="n">
        <v>72</v>
      </c>
      <c r="S807" s="3" t="n">
        <v>4.8</v>
      </c>
      <c r="T807" s="3" t="n">
        <v>9.7</v>
      </c>
      <c r="U807" s="3"/>
      <c r="V807" s="3" t="n">
        <v>6.2</v>
      </c>
      <c r="W807" s="3" t="s">
        <v>5990</v>
      </c>
    </row>
    <row r="808" customFormat="false" ht="15" hidden="false" customHeight="true" outlineLevel="0" collapsed="false">
      <c r="A808" s="3" t="s">
        <v>6902</v>
      </c>
      <c r="B808" s="3" t="s">
        <v>1801</v>
      </c>
      <c r="C808" s="3" t="s">
        <v>1623</v>
      </c>
      <c r="D808" s="3" t="s">
        <v>54</v>
      </c>
      <c r="E808" s="3" t="s">
        <v>24</v>
      </c>
      <c r="F808" s="3" t="s">
        <v>40</v>
      </c>
      <c r="G808" s="3" t="s">
        <v>116</v>
      </c>
      <c r="H808" s="3" t="s">
        <v>27</v>
      </c>
      <c r="I808" s="3" t="s">
        <v>94</v>
      </c>
      <c r="J808" s="3" t="s">
        <v>5989</v>
      </c>
      <c r="K808" s="3" t="n">
        <v>404926.71</v>
      </c>
      <c r="L808" s="3" t="n">
        <v>0.1728</v>
      </c>
      <c r="M808" s="3" t="n">
        <v>334955.37</v>
      </c>
      <c r="N808" s="3" t="n">
        <v>156169.66</v>
      </c>
      <c r="O808" s="3" t="n">
        <v>0.4662</v>
      </c>
      <c r="P808" s="3" t="n">
        <v>0.249</v>
      </c>
      <c r="Q808" s="3" t="n">
        <v>83403.89</v>
      </c>
      <c r="R808" s="3" t="n">
        <v>15</v>
      </c>
      <c r="S808" s="3" t="n">
        <v>6.2</v>
      </c>
      <c r="T808" s="3" t="n">
        <v>5.3</v>
      </c>
      <c r="U808" s="3"/>
      <c r="V808" s="3" t="n">
        <v>6.8</v>
      </c>
      <c r="W808" s="3" t="s">
        <v>5997</v>
      </c>
    </row>
    <row r="809" customFormat="false" ht="15" hidden="false" customHeight="true" outlineLevel="0" collapsed="false">
      <c r="A809" s="3" t="s">
        <v>6903</v>
      </c>
      <c r="B809" s="3" t="s">
        <v>2750</v>
      </c>
      <c r="C809" s="3" t="s">
        <v>6033</v>
      </c>
      <c r="D809" s="3" t="s">
        <v>61</v>
      </c>
      <c r="E809" s="3" t="s">
        <v>33</v>
      </c>
      <c r="F809" s="3" t="s">
        <v>62</v>
      </c>
      <c r="G809" s="3" t="s">
        <v>116</v>
      </c>
      <c r="H809" s="3" t="s">
        <v>42</v>
      </c>
      <c r="I809" s="3" t="s">
        <v>134</v>
      </c>
      <c r="J809" s="3" t="s">
        <v>5999</v>
      </c>
      <c r="K809" s="3" t="n">
        <v>1824243.8</v>
      </c>
      <c r="L809" s="3" t="n">
        <v>0.1199</v>
      </c>
      <c r="M809" s="3" t="n">
        <v>1605516.97</v>
      </c>
      <c r="N809" s="3" t="n">
        <v>495413.93</v>
      </c>
      <c r="O809" s="3" t="n">
        <v>0.3086</v>
      </c>
      <c r="P809" s="3" t="n">
        <v>0.433</v>
      </c>
      <c r="Q809" s="3" t="n">
        <v>695188.85</v>
      </c>
      <c r="R809" s="3" t="n">
        <v>105</v>
      </c>
      <c r="S809" s="3" t="n">
        <v>8</v>
      </c>
      <c r="T809" s="3" t="n">
        <v>5.9</v>
      </c>
      <c r="U809" s="3"/>
      <c r="V809" s="3" t="n">
        <v>6.53</v>
      </c>
      <c r="W809" s="3" t="s">
        <v>5997</v>
      </c>
    </row>
    <row r="810" customFormat="false" ht="15" hidden="false" customHeight="true" outlineLevel="0" collapsed="false">
      <c r="A810" s="3" t="s">
        <v>6904</v>
      </c>
      <c r="B810" s="3" t="s">
        <v>559</v>
      </c>
      <c r="C810" s="3" t="s">
        <v>3808</v>
      </c>
      <c r="D810" s="3" t="s">
        <v>69</v>
      </c>
      <c r="E810" s="3" t="s">
        <v>39</v>
      </c>
      <c r="F810" s="3" t="s">
        <v>70</v>
      </c>
      <c r="G810" s="3" t="s">
        <v>104</v>
      </c>
      <c r="H810" s="3" t="s">
        <v>77</v>
      </c>
      <c r="I810" s="3" t="s">
        <v>85</v>
      </c>
      <c r="J810" s="3" t="s">
        <v>6009</v>
      </c>
      <c r="K810" s="3" t="n">
        <v>2361646.13</v>
      </c>
      <c r="L810" s="3" t="n">
        <v>0.1987</v>
      </c>
      <c r="M810" s="3" t="n">
        <v>1892387.04</v>
      </c>
      <c r="N810" s="3" t="n">
        <v>746985.84</v>
      </c>
      <c r="O810" s="3" t="n">
        <v>0.3947</v>
      </c>
      <c r="P810" s="3" t="n">
        <v>0</v>
      </c>
      <c r="Q810" s="3" t="n">
        <v>0</v>
      </c>
      <c r="R810" s="3" t="n">
        <v>146</v>
      </c>
      <c r="S810" s="3" t="n">
        <v>3.3</v>
      </c>
      <c r="T810" s="3" t="n">
        <v>9.1</v>
      </c>
      <c r="U810" s="3" t="s">
        <v>6025</v>
      </c>
      <c r="V810" s="3" t="n">
        <v>4.89</v>
      </c>
      <c r="W810" s="3" t="s">
        <v>6000</v>
      </c>
    </row>
    <row r="811" customFormat="false" ht="15" hidden="false" customHeight="true" outlineLevel="0" collapsed="false">
      <c r="A811" s="3" t="s">
        <v>6905</v>
      </c>
      <c r="B811" s="3" t="s">
        <v>2750</v>
      </c>
      <c r="C811" s="3" t="s">
        <v>404</v>
      </c>
      <c r="D811" s="3" t="s">
        <v>61</v>
      </c>
      <c r="E811" s="3" t="s">
        <v>33</v>
      </c>
      <c r="F811" s="3" t="s">
        <v>62</v>
      </c>
      <c r="G811" s="3" t="s">
        <v>76</v>
      </c>
      <c r="H811" s="3" t="s">
        <v>77</v>
      </c>
      <c r="I811" s="3" t="s">
        <v>85</v>
      </c>
      <c r="J811" s="3" t="s">
        <v>5992</v>
      </c>
      <c r="K811" s="3" t="n">
        <v>4295097.43</v>
      </c>
      <c r="L811" s="3" t="n">
        <v>0.2284</v>
      </c>
      <c r="M811" s="3" t="n">
        <v>3314097.18</v>
      </c>
      <c r="N811" s="3" t="n">
        <v>941842.57</v>
      </c>
      <c r="O811" s="3" t="n">
        <v>0.2842</v>
      </c>
      <c r="P811" s="3" t="n">
        <v>0.732</v>
      </c>
      <c r="Q811" s="3" t="n">
        <v>2425919.14</v>
      </c>
      <c r="R811" s="3" t="n">
        <v>19</v>
      </c>
      <c r="S811" s="3" t="n">
        <v>6.4</v>
      </c>
      <c r="T811" s="3" t="n">
        <v>5.1</v>
      </c>
      <c r="U811" s="3"/>
      <c r="V811" s="3" t="n">
        <v>5.14</v>
      </c>
      <c r="W811" s="3" t="s">
        <v>5990</v>
      </c>
    </row>
    <row r="812" customFormat="false" ht="15" hidden="false" customHeight="true" outlineLevel="0" collapsed="false">
      <c r="A812" s="3" t="s">
        <v>6906</v>
      </c>
      <c r="B812" s="3" t="s">
        <v>1204</v>
      </c>
      <c r="C812" s="3" t="s">
        <v>406</v>
      </c>
      <c r="D812" s="3" t="s">
        <v>32</v>
      </c>
      <c r="E812" s="3" t="s">
        <v>33</v>
      </c>
      <c r="F812" s="3" t="s">
        <v>25</v>
      </c>
      <c r="G812" s="3" t="s">
        <v>63</v>
      </c>
      <c r="H812" s="3" t="s">
        <v>42</v>
      </c>
      <c r="I812" s="3" t="s">
        <v>72</v>
      </c>
      <c r="J812" s="3" t="s">
        <v>5989</v>
      </c>
      <c r="K812" s="3" t="n">
        <v>1734906.66</v>
      </c>
      <c r="L812" s="3" t="n">
        <v>0.109</v>
      </c>
      <c r="M812" s="3" t="n">
        <v>1545801.83</v>
      </c>
      <c r="N812" s="3" t="n">
        <v>537012.4</v>
      </c>
      <c r="O812" s="3" t="n">
        <v>0.3474</v>
      </c>
      <c r="P812" s="3" t="n">
        <v>0.226</v>
      </c>
      <c r="Q812" s="3" t="n">
        <v>349351.21</v>
      </c>
      <c r="R812" s="3" t="n">
        <v>14</v>
      </c>
      <c r="S812" s="3" t="n">
        <v>7.4</v>
      </c>
      <c r="T812" s="3" t="n">
        <v>2.1</v>
      </c>
      <c r="U812" s="3"/>
      <c r="V812" s="3" t="n">
        <v>7.33</v>
      </c>
      <c r="W812" s="3" t="s">
        <v>5997</v>
      </c>
    </row>
    <row r="813" customFormat="false" ht="15" hidden="false" customHeight="true" outlineLevel="0" collapsed="false">
      <c r="A813" s="3" t="s">
        <v>6907</v>
      </c>
      <c r="B813" s="3" t="s">
        <v>4398</v>
      </c>
      <c r="C813" s="3" t="s">
        <v>1135</v>
      </c>
      <c r="D813" s="3" t="s">
        <v>38</v>
      </c>
      <c r="E813" s="3" t="s">
        <v>39</v>
      </c>
      <c r="F813" s="3" t="s">
        <v>40</v>
      </c>
      <c r="G813" s="3" t="s">
        <v>100</v>
      </c>
      <c r="H813" s="3" t="s">
        <v>56</v>
      </c>
      <c r="I813" s="3" t="s">
        <v>188</v>
      </c>
      <c r="J813" s="3" t="s">
        <v>6003</v>
      </c>
      <c r="K813" s="3" t="n">
        <v>2590563.33</v>
      </c>
      <c r="L813" s="3" t="n">
        <v>0.1077</v>
      </c>
      <c r="M813" s="3" t="n">
        <v>2311559.66</v>
      </c>
      <c r="N813" s="3" t="n">
        <v>1085157.35</v>
      </c>
      <c r="O813" s="3" t="n">
        <v>0.4694</v>
      </c>
      <c r="P813" s="3" t="n">
        <v>0.114</v>
      </c>
      <c r="Q813" s="3" t="n">
        <v>263517.8</v>
      </c>
      <c r="R813" s="3" t="n">
        <v>140</v>
      </c>
      <c r="S813" s="3" t="n">
        <v>4.4</v>
      </c>
      <c r="T813" s="3" t="n">
        <v>7.4</v>
      </c>
      <c r="U813" s="3"/>
      <c r="V813" s="3" t="n">
        <v>6.59</v>
      </c>
      <c r="W813" s="3" t="s">
        <v>5997</v>
      </c>
    </row>
    <row r="814" customFormat="false" ht="15" hidden="false" customHeight="true" outlineLevel="0" collapsed="false">
      <c r="A814" s="3" t="s">
        <v>6908</v>
      </c>
      <c r="B814" s="3" t="s">
        <v>3344</v>
      </c>
      <c r="C814" s="3" t="s">
        <v>362</v>
      </c>
      <c r="D814" s="3" t="s">
        <v>75</v>
      </c>
      <c r="E814" s="3" t="s">
        <v>39</v>
      </c>
      <c r="F814" s="3" t="s">
        <v>25</v>
      </c>
      <c r="G814" s="3" t="s">
        <v>41</v>
      </c>
      <c r="H814" s="3" t="s">
        <v>77</v>
      </c>
      <c r="I814" s="3" t="s">
        <v>131</v>
      </c>
      <c r="J814" s="3" t="s">
        <v>5989</v>
      </c>
      <c r="K814" s="3" t="n">
        <v>2506416.61</v>
      </c>
      <c r="L814" s="3" t="n">
        <v>0.2582</v>
      </c>
      <c r="M814" s="3" t="n">
        <v>1859259.84</v>
      </c>
      <c r="N814" s="3" t="n">
        <v>664459.15</v>
      </c>
      <c r="O814" s="3" t="n">
        <v>0.3574</v>
      </c>
      <c r="P814" s="3" t="n">
        <v>0.226</v>
      </c>
      <c r="Q814" s="3" t="n">
        <v>420192.72</v>
      </c>
      <c r="R814" s="3" t="n">
        <v>29</v>
      </c>
      <c r="S814" s="3" t="n">
        <v>2.9</v>
      </c>
      <c r="T814" s="3" t="n">
        <v>9.3</v>
      </c>
      <c r="U814" s="3"/>
      <c r="V814" s="3" t="n">
        <v>3.95</v>
      </c>
      <c r="W814" s="3" t="s">
        <v>6000</v>
      </c>
    </row>
    <row r="815" customFormat="false" ht="15" hidden="false" customHeight="true" outlineLevel="0" collapsed="false">
      <c r="A815" s="3" t="s">
        <v>6909</v>
      </c>
      <c r="B815" s="3" t="s">
        <v>1065</v>
      </c>
      <c r="C815" s="3" t="s">
        <v>229</v>
      </c>
      <c r="D815" s="3" t="s">
        <v>47</v>
      </c>
      <c r="E815" s="3" t="s">
        <v>48</v>
      </c>
      <c r="F815" s="3" t="s">
        <v>25</v>
      </c>
      <c r="G815" s="3" t="s">
        <v>55</v>
      </c>
      <c r="H815" s="3" t="s">
        <v>27</v>
      </c>
      <c r="I815" s="3" t="s">
        <v>50</v>
      </c>
      <c r="J815" s="3" t="s">
        <v>6003</v>
      </c>
      <c r="K815" s="3" t="n">
        <v>2348418.36</v>
      </c>
      <c r="L815" s="3" t="n">
        <v>0.1392</v>
      </c>
      <c r="M815" s="3" t="n">
        <v>2021518.52</v>
      </c>
      <c r="N815" s="3" t="n">
        <v>837971.5</v>
      </c>
      <c r="O815" s="3" t="n">
        <v>0.4145</v>
      </c>
      <c r="P815" s="3" t="n">
        <v>0.092</v>
      </c>
      <c r="Q815" s="3" t="n">
        <v>185979.7</v>
      </c>
      <c r="R815" s="3" t="n">
        <v>56</v>
      </c>
      <c r="S815" s="3" t="n">
        <v>8.4</v>
      </c>
      <c r="T815" s="3" t="n">
        <v>9.2</v>
      </c>
      <c r="U815" s="3"/>
      <c r="V815" s="3" t="n">
        <v>6.79</v>
      </c>
      <c r="W815" s="3" t="s">
        <v>5997</v>
      </c>
    </row>
    <row r="816" customFormat="false" ht="15" hidden="false" customHeight="true" outlineLevel="0" collapsed="false">
      <c r="A816" s="3" t="s">
        <v>6910</v>
      </c>
      <c r="B816" s="3" t="s">
        <v>3423</v>
      </c>
      <c r="C816" s="3" t="s">
        <v>850</v>
      </c>
      <c r="D816" s="3" t="s">
        <v>54</v>
      </c>
      <c r="E816" s="3" t="s">
        <v>24</v>
      </c>
      <c r="F816" s="3" t="s">
        <v>40</v>
      </c>
      <c r="G816" s="3" t="s">
        <v>104</v>
      </c>
      <c r="H816" s="3" t="s">
        <v>56</v>
      </c>
      <c r="I816" s="3" t="s">
        <v>188</v>
      </c>
      <c r="J816" s="3" t="s">
        <v>6009</v>
      </c>
      <c r="K816" s="3" t="n">
        <v>4090110.75</v>
      </c>
      <c r="L816" s="3" t="n">
        <v>0.136</v>
      </c>
      <c r="M816" s="3" t="n">
        <v>3533855.69</v>
      </c>
      <c r="N816" s="3" t="n">
        <v>1548381.61</v>
      </c>
      <c r="O816" s="3" t="n">
        <v>0.4382</v>
      </c>
      <c r="P816" s="3" t="n">
        <v>0.039</v>
      </c>
      <c r="Q816" s="3" t="n">
        <v>137820.37</v>
      </c>
      <c r="R816" s="3" t="n">
        <v>133</v>
      </c>
      <c r="S816" s="3" t="n">
        <v>7.9</v>
      </c>
      <c r="T816" s="3" t="n">
        <v>8.6</v>
      </c>
      <c r="U816" s="3" t="s">
        <v>6041</v>
      </c>
      <c r="V816" s="3" t="n">
        <v>6.95</v>
      </c>
      <c r="W816" s="3" t="s">
        <v>5997</v>
      </c>
    </row>
    <row r="817" customFormat="false" ht="15" hidden="false" customHeight="true" outlineLevel="0" collapsed="false">
      <c r="A817" s="3" t="s">
        <v>6911</v>
      </c>
      <c r="B817" s="3" t="s">
        <v>1575</v>
      </c>
      <c r="C817" s="3" t="s">
        <v>3439</v>
      </c>
      <c r="D817" s="3" t="s">
        <v>69</v>
      </c>
      <c r="E817" s="3" t="s">
        <v>39</v>
      </c>
      <c r="F817" s="3" t="s">
        <v>70</v>
      </c>
      <c r="G817" s="3" t="s">
        <v>55</v>
      </c>
      <c r="H817" s="3" t="s">
        <v>42</v>
      </c>
      <c r="I817" s="3" t="s">
        <v>72</v>
      </c>
      <c r="J817" s="3" t="s">
        <v>5999</v>
      </c>
      <c r="K817" s="3" t="n">
        <v>768080.07</v>
      </c>
      <c r="L817" s="3" t="n">
        <v>0.0648</v>
      </c>
      <c r="M817" s="3" t="n">
        <v>718308.48</v>
      </c>
      <c r="N817" s="3" t="n">
        <v>290218.93</v>
      </c>
      <c r="O817" s="3" t="n">
        <v>0.404</v>
      </c>
      <c r="P817" s="3" t="n">
        <v>0.461</v>
      </c>
      <c r="Q817" s="3" t="n">
        <v>331140.21</v>
      </c>
      <c r="R817" s="3" t="n">
        <v>20</v>
      </c>
      <c r="S817" s="3" t="n">
        <v>6.6</v>
      </c>
      <c r="T817" s="3" t="n">
        <v>5.1</v>
      </c>
      <c r="U817" s="3"/>
      <c r="V817" s="3" t="n">
        <v>7.49</v>
      </c>
      <c r="W817" s="3" t="s">
        <v>5997</v>
      </c>
    </row>
    <row r="818" customFormat="false" ht="15" hidden="false" customHeight="true" outlineLevel="0" collapsed="false">
      <c r="A818" s="3" t="s">
        <v>6912</v>
      </c>
      <c r="B818" s="3" t="s">
        <v>1941</v>
      </c>
      <c r="C818" s="3" t="s">
        <v>1505</v>
      </c>
      <c r="D818" s="3" t="s">
        <v>83</v>
      </c>
      <c r="E818" s="3" t="s">
        <v>48</v>
      </c>
      <c r="F818" s="3" t="s">
        <v>62</v>
      </c>
      <c r="G818" s="3" t="s">
        <v>26</v>
      </c>
      <c r="H818" s="3" t="s">
        <v>42</v>
      </c>
      <c r="I818" s="3" t="s">
        <v>43</v>
      </c>
      <c r="J818" s="3" t="s">
        <v>5999</v>
      </c>
      <c r="K818" s="3" t="n">
        <v>1328907.32</v>
      </c>
      <c r="L818" s="3" t="n">
        <v>0.2248</v>
      </c>
      <c r="M818" s="3" t="n">
        <v>1030168.95</v>
      </c>
      <c r="N818" s="3" t="n">
        <v>470899.67</v>
      </c>
      <c r="O818" s="3" t="n">
        <v>0.4571</v>
      </c>
      <c r="P818" s="3" t="n">
        <v>0.409</v>
      </c>
      <c r="Q818" s="3" t="n">
        <v>421339.1</v>
      </c>
      <c r="R818" s="3" t="n">
        <v>88</v>
      </c>
      <c r="S818" s="3" t="n">
        <v>1.6</v>
      </c>
      <c r="T818" s="3" t="n">
        <v>6.5</v>
      </c>
      <c r="U818" s="3"/>
      <c r="V818" s="3" t="n">
        <v>5.05</v>
      </c>
      <c r="W818" s="3" t="s">
        <v>5990</v>
      </c>
    </row>
    <row r="819" customFormat="false" ht="15" hidden="false" customHeight="true" outlineLevel="0" collapsed="false">
      <c r="A819" s="3" t="s">
        <v>6913</v>
      </c>
      <c r="B819" s="3" t="s">
        <v>2725</v>
      </c>
      <c r="C819" s="3" t="s">
        <v>358</v>
      </c>
      <c r="D819" s="3" t="s">
        <v>61</v>
      </c>
      <c r="E819" s="3" t="s">
        <v>33</v>
      </c>
      <c r="F819" s="3" t="s">
        <v>62</v>
      </c>
      <c r="G819" s="3" t="s">
        <v>49</v>
      </c>
      <c r="H819" s="3" t="s">
        <v>64</v>
      </c>
      <c r="I819" s="3" t="s">
        <v>90</v>
      </c>
      <c r="J819" s="3" t="s">
        <v>5999</v>
      </c>
      <c r="K819" s="3" t="n">
        <v>3600067.62</v>
      </c>
      <c r="L819" s="3" t="n">
        <v>0.2934</v>
      </c>
      <c r="M819" s="3" t="n">
        <v>2543807.78</v>
      </c>
      <c r="N819" s="3" t="n">
        <v>723440.26</v>
      </c>
      <c r="O819" s="3" t="n">
        <v>0.2844</v>
      </c>
      <c r="P819" s="3" t="n">
        <v>0.492</v>
      </c>
      <c r="Q819" s="3" t="n">
        <v>1251553.43</v>
      </c>
      <c r="R819" s="3" t="n">
        <v>106</v>
      </c>
      <c r="S819" s="3" t="n">
        <v>9</v>
      </c>
      <c r="T819" s="3" t="n">
        <v>2.6</v>
      </c>
      <c r="U819" s="3"/>
      <c r="V819" s="3" t="n">
        <v>5.61</v>
      </c>
      <c r="W819" s="3" t="s">
        <v>5990</v>
      </c>
    </row>
    <row r="820" customFormat="false" ht="15" hidden="false" customHeight="true" outlineLevel="0" collapsed="false">
      <c r="A820" s="3" t="s">
        <v>6914</v>
      </c>
      <c r="B820" s="3" t="s">
        <v>1640</v>
      </c>
      <c r="C820" s="3" t="s">
        <v>245</v>
      </c>
      <c r="D820" s="3" t="s">
        <v>32</v>
      </c>
      <c r="E820" s="3" t="s">
        <v>33</v>
      </c>
      <c r="F820" s="3" t="s">
        <v>25</v>
      </c>
      <c r="G820" s="3" t="s">
        <v>41</v>
      </c>
      <c r="H820" s="3" t="s">
        <v>27</v>
      </c>
      <c r="I820" s="3" t="s">
        <v>173</v>
      </c>
      <c r="J820" s="3" t="s">
        <v>5992</v>
      </c>
      <c r="K820" s="3" t="n">
        <v>3247345</v>
      </c>
      <c r="L820" s="3" t="n">
        <v>0.2147</v>
      </c>
      <c r="M820" s="3" t="n">
        <v>2550140.03</v>
      </c>
      <c r="N820" s="3" t="n">
        <v>1138762.73</v>
      </c>
      <c r="O820" s="3" t="n">
        <v>0.4465</v>
      </c>
      <c r="P820" s="3" t="n">
        <v>0.67</v>
      </c>
      <c r="Q820" s="3" t="n">
        <v>1708593.82</v>
      </c>
      <c r="R820" s="3" t="n">
        <v>80</v>
      </c>
      <c r="S820" s="3" t="n">
        <v>8.7</v>
      </c>
      <c r="T820" s="3" t="n">
        <v>6.5</v>
      </c>
      <c r="U820" s="3"/>
      <c r="V820" s="3" t="n">
        <v>6.87</v>
      </c>
      <c r="W820" s="3" t="s">
        <v>5997</v>
      </c>
    </row>
    <row r="821" customFormat="false" ht="15" hidden="false" customHeight="true" outlineLevel="0" collapsed="false">
      <c r="A821" s="3" t="s">
        <v>6915</v>
      </c>
      <c r="B821" s="3" t="s">
        <v>219</v>
      </c>
      <c r="C821" s="3" t="s">
        <v>3314</v>
      </c>
      <c r="D821" s="3" t="s">
        <v>38</v>
      </c>
      <c r="E821" s="3" t="s">
        <v>39</v>
      </c>
      <c r="F821" s="3" t="s">
        <v>40</v>
      </c>
      <c r="G821" s="3" t="s">
        <v>55</v>
      </c>
      <c r="H821" s="3" t="s">
        <v>64</v>
      </c>
      <c r="I821" s="3" t="s">
        <v>145</v>
      </c>
      <c r="J821" s="3" t="s">
        <v>5999</v>
      </c>
      <c r="K821" s="3" t="n">
        <v>4386236.7</v>
      </c>
      <c r="L821" s="3" t="n">
        <v>0.1906</v>
      </c>
      <c r="M821" s="3" t="n">
        <v>3550219.98</v>
      </c>
      <c r="N821" s="3" t="n">
        <v>1585369.17</v>
      </c>
      <c r="O821" s="3" t="n">
        <v>0.4466</v>
      </c>
      <c r="P821" s="3" t="n">
        <v>0.464</v>
      </c>
      <c r="Q821" s="3" t="n">
        <v>1647302.07</v>
      </c>
      <c r="R821" s="3" t="n">
        <v>30</v>
      </c>
      <c r="S821" s="3" t="n">
        <v>3.5</v>
      </c>
      <c r="T821" s="3" t="n">
        <v>5.4</v>
      </c>
      <c r="U821" s="3"/>
      <c r="V821" s="3" t="n">
        <v>5.93</v>
      </c>
      <c r="W821" s="3" t="s">
        <v>5990</v>
      </c>
    </row>
    <row r="822" customFormat="false" ht="15" hidden="false" customHeight="true" outlineLevel="0" collapsed="false">
      <c r="A822" s="3" t="s">
        <v>6916</v>
      </c>
      <c r="B822" s="3" t="s">
        <v>1952</v>
      </c>
      <c r="C822" s="3" t="s">
        <v>788</v>
      </c>
      <c r="D822" s="3" t="s">
        <v>75</v>
      </c>
      <c r="E822" s="3" t="s">
        <v>39</v>
      </c>
      <c r="F822" s="3" t="s">
        <v>25</v>
      </c>
      <c r="G822" s="3" t="s">
        <v>55</v>
      </c>
      <c r="H822" s="3" t="s">
        <v>56</v>
      </c>
      <c r="I822" s="3" t="s">
        <v>57</v>
      </c>
      <c r="J822" s="3" t="s">
        <v>5999</v>
      </c>
      <c r="K822" s="3" t="n">
        <v>1809071.56</v>
      </c>
      <c r="L822" s="3" t="n">
        <v>0.1416</v>
      </c>
      <c r="M822" s="3" t="n">
        <v>1552907.03</v>
      </c>
      <c r="N822" s="3" t="n">
        <v>713674.37</v>
      </c>
      <c r="O822" s="3" t="n">
        <v>0.4596</v>
      </c>
      <c r="P822" s="3" t="n">
        <v>0.467</v>
      </c>
      <c r="Q822" s="3" t="n">
        <v>725207.58</v>
      </c>
      <c r="R822" s="3" t="n">
        <v>145</v>
      </c>
      <c r="S822" s="3" t="n">
        <v>6.6</v>
      </c>
      <c r="T822" s="3" t="n">
        <v>4</v>
      </c>
      <c r="U822" s="3"/>
      <c r="V822" s="3" t="n">
        <v>7.38</v>
      </c>
      <c r="W822" s="3" t="s">
        <v>5997</v>
      </c>
    </row>
    <row r="823" customFormat="false" ht="15" hidden="false" customHeight="true" outlineLevel="0" collapsed="false">
      <c r="A823" s="3" t="s">
        <v>6917</v>
      </c>
      <c r="B823" s="3" t="s">
        <v>2237</v>
      </c>
      <c r="C823" s="3" t="s">
        <v>554</v>
      </c>
      <c r="D823" s="3" t="s">
        <v>47</v>
      </c>
      <c r="E823" s="3" t="s">
        <v>48</v>
      </c>
      <c r="F823" s="3" t="s">
        <v>25</v>
      </c>
      <c r="G823" s="3" t="s">
        <v>63</v>
      </c>
      <c r="H823" s="3" t="s">
        <v>64</v>
      </c>
      <c r="I823" s="3" t="s">
        <v>108</v>
      </c>
      <c r="J823" s="3" t="s">
        <v>5999</v>
      </c>
      <c r="K823" s="3" t="n">
        <v>2145940.32</v>
      </c>
      <c r="L823" s="3" t="n">
        <v>0.2431</v>
      </c>
      <c r="M823" s="3" t="n">
        <v>1624262.23</v>
      </c>
      <c r="N823" s="3" t="n">
        <v>760730.46</v>
      </c>
      <c r="O823" s="3" t="n">
        <v>0.4684</v>
      </c>
      <c r="P823" s="3" t="n">
        <v>0.408</v>
      </c>
      <c r="Q823" s="3" t="n">
        <v>662698.99</v>
      </c>
      <c r="R823" s="3" t="n">
        <v>14</v>
      </c>
      <c r="S823" s="3" t="n">
        <v>2.1</v>
      </c>
      <c r="T823" s="3" t="n">
        <v>1.6</v>
      </c>
      <c r="U823" s="3"/>
      <c r="V823" s="3" t="n">
        <v>5.76</v>
      </c>
      <c r="W823" s="3" t="s">
        <v>5990</v>
      </c>
    </row>
    <row r="824" customFormat="false" ht="15" hidden="false" customHeight="true" outlineLevel="0" collapsed="false">
      <c r="A824" s="3" t="s">
        <v>6918</v>
      </c>
      <c r="B824" s="3" t="s">
        <v>2125</v>
      </c>
      <c r="C824" s="3" t="s">
        <v>1954</v>
      </c>
      <c r="D824" s="3" t="s">
        <v>69</v>
      </c>
      <c r="E824" s="3" t="s">
        <v>39</v>
      </c>
      <c r="F824" s="3" t="s">
        <v>70</v>
      </c>
      <c r="G824" s="3" t="s">
        <v>49</v>
      </c>
      <c r="H824" s="3" t="s">
        <v>56</v>
      </c>
      <c r="I824" s="3" t="s">
        <v>57</v>
      </c>
      <c r="J824" s="3" t="s">
        <v>5996</v>
      </c>
      <c r="K824" s="3" t="n">
        <v>3222977.33</v>
      </c>
      <c r="L824" s="3" t="n">
        <v>0.2201</v>
      </c>
      <c r="M824" s="3" t="n">
        <v>2513600.02</v>
      </c>
      <c r="N824" s="3" t="n">
        <v>1074955.74</v>
      </c>
      <c r="O824" s="3" t="n">
        <v>0.4277</v>
      </c>
      <c r="P824" s="3" t="n">
        <v>0.979</v>
      </c>
      <c r="Q824" s="3" t="n">
        <v>2460814.42</v>
      </c>
      <c r="R824" s="3" t="n">
        <v>91</v>
      </c>
      <c r="S824" s="3" t="n">
        <v>5.6</v>
      </c>
      <c r="T824" s="3" t="n">
        <v>8.4</v>
      </c>
      <c r="U824" s="3"/>
      <c r="V824" s="3" t="n">
        <v>5.64</v>
      </c>
      <c r="W824" s="3" t="s">
        <v>5990</v>
      </c>
    </row>
    <row r="825" customFormat="false" ht="15" hidden="false" customHeight="true" outlineLevel="0" collapsed="false">
      <c r="A825" s="3" t="s">
        <v>6919</v>
      </c>
      <c r="B825" s="3" t="s">
        <v>4110</v>
      </c>
      <c r="C825" s="3" t="s">
        <v>3463</v>
      </c>
      <c r="D825" s="3" t="s">
        <v>103</v>
      </c>
      <c r="E825" s="3" t="s">
        <v>24</v>
      </c>
      <c r="F825" s="3" t="s">
        <v>62</v>
      </c>
      <c r="G825" s="3" t="s">
        <v>49</v>
      </c>
      <c r="H825" s="3" t="s">
        <v>42</v>
      </c>
      <c r="I825" s="3" t="s">
        <v>72</v>
      </c>
      <c r="J825" s="3" t="s">
        <v>5996</v>
      </c>
      <c r="K825" s="3" t="n">
        <v>2297638.44</v>
      </c>
      <c r="L825" s="3" t="n">
        <v>0.191</v>
      </c>
      <c r="M825" s="3" t="n">
        <v>1858789.5</v>
      </c>
      <c r="N825" s="3" t="n">
        <v>696533.93</v>
      </c>
      <c r="O825" s="3" t="n">
        <v>0.3747</v>
      </c>
      <c r="P825" s="3" t="n">
        <v>1</v>
      </c>
      <c r="Q825" s="3" t="n">
        <v>1858789.5</v>
      </c>
      <c r="R825" s="3" t="n">
        <v>73</v>
      </c>
      <c r="S825" s="3" t="n">
        <v>9</v>
      </c>
      <c r="T825" s="3" t="n">
        <v>9.7</v>
      </c>
      <c r="U825" s="3"/>
      <c r="V825" s="3" t="n">
        <v>6.1</v>
      </c>
      <c r="W825" s="3" t="s">
        <v>5990</v>
      </c>
    </row>
    <row r="826" customFormat="false" ht="15" hidden="false" customHeight="true" outlineLevel="0" collapsed="false">
      <c r="A826" s="3" t="s">
        <v>6920</v>
      </c>
      <c r="B826" s="3" t="s">
        <v>1141</v>
      </c>
      <c r="C826" s="3" t="s">
        <v>2624</v>
      </c>
      <c r="D826" s="3" t="s">
        <v>107</v>
      </c>
      <c r="E826" s="3" t="s">
        <v>33</v>
      </c>
      <c r="F826" s="3" t="s">
        <v>70</v>
      </c>
      <c r="G826" s="3" t="s">
        <v>41</v>
      </c>
      <c r="H826" s="3" t="s">
        <v>64</v>
      </c>
      <c r="I826" s="3" t="s">
        <v>145</v>
      </c>
      <c r="J826" s="3" t="s">
        <v>5999</v>
      </c>
      <c r="K826" s="3" t="n">
        <v>1467442.86</v>
      </c>
      <c r="L826" s="3" t="n">
        <v>0.059</v>
      </c>
      <c r="M826" s="3" t="n">
        <v>1380863.73</v>
      </c>
      <c r="N826" s="3" t="n">
        <v>426101.92</v>
      </c>
      <c r="O826" s="3" t="n">
        <v>0.3086</v>
      </c>
      <c r="P826" s="3" t="n">
        <v>0.493</v>
      </c>
      <c r="Q826" s="3" t="n">
        <v>680765.82</v>
      </c>
      <c r="R826" s="3" t="n">
        <v>77</v>
      </c>
      <c r="S826" s="3" t="n">
        <v>4.1</v>
      </c>
      <c r="T826" s="3" t="n">
        <v>9.7</v>
      </c>
      <c r="U826" s="3"/>
      <c r="V826" s="3" t="n">
        <v>5.48</v>
      </c>
      <c r="W826" s="3" t="s">
        <v>5990</v>
      </c>
    </row>
    <row r="827" customFormat="false" ht="15" hidden="false" customHeight="true" outlineLevel="0" collapsed="false">
      <c r="A827" s="3" t="s">
        <v>6921</v>
      </c>
      <c r="B827" s="3" t="s">
        <v>2586</v>
      </c>
      <c r="C827" s="3" t="s">
        <v>190</v>
      </c>
      <c r="D827" s="3" t="s">
        <v>103</v>
      </c>
      <c r="E827" s="3" t="s">
        <v>24</v>
      </c>
      <c r="F827" s="3" t="s">
        <v>62</v>
      </c>
      <c r="G827" s="3" t="s">
        <v>34</v>
      </c>
      <c r="H827" s="3" t="s">
        <v>27</v>
      </c>
      <c r="I827" s="3" t="s">
        <v>173</v>
      </c>
      <c r="J827" s="3" t="s">
        <v>5996</v>
      </c>
      <c r="K827" s="3" t="n">
        <v>1468315.61</v>
      </c>
      <c r="L827" s="3" t="n">
        <v>0.1449</v>
      </c>
      <c r="M827" s="3" t="n">
        <v>1255556.68</v>
      </c>
      <c r="N827" s="3" t="n">
        <v>365226.67</v>
      </c>
      <c r="O827" s="3" t="n">
        <v>0.2909</v>
      </c>
      <c r="P827" s="3" t="n">
        <v>1</v>
      </c>
      <c r="Q827" s="3" t="n">
        <v>1255556.68</v>
      </c>
      <c r="R827" s="3" t="n">
        <v>124</v>
      </c>
      <c r="S827" s="3" t="n">
        <v>7.5</v>
      </c>
      <c r="T827" s="3" t="n">
        <v>6.8</v>
      </c>
      <c r="U827" s="3"/>
      <c r="V827" s="3" t="n">
        <v>5.93</v>
      </c>
      <c r="W827" s="3" t="s">
        <v>5990</v>
      </c>
    </row>
    <row r="828" customFormat="false" ht="15" hidden="false" customHeight="true" outlineLevel="0" collapsed="false">
      <c r="A828" s="3" t="s">
        <v>6922</v>
      </c>
      <c r="B828" s="3" t="s">
        <v>1119</v>
      </c>
      <c r="C828" s="3" t="s">
        <v>274</v>
      </c>
      <c r="D828" s="3" t="s">
        <v>97</v>
      </c>
      <c r="E828" s="3" t="s">
        <v>48</v>
      </c>
      <c r="F828" s="3" t="s">
        <v>40</v>
      </c>
      <c r="G828" s="3" t="s">
        <v>84</v>
      </c>
      <c r="H828" s="3" t="s">
        <v>64</v>
      </c>
      <c r="I828" s="3" t="s">
        <v>145</v>
      </c>
      <c r="J828" s="3" t="s">
        <v>6003</v>
      </c>
      <c r="K828" s="3" t="n">
        <v>1821792.85</v>
      </c>
      <c r="L828" s="3" t="n">
        <v>0.2449</v>
      </c>
      <c r="M828" s="3" t="n">
        <v>1375635.78</v>
      </c>
      <c r="N828" s="3" t="n">
        <v>546067.26</v>
      </c>
      <c r="O828" s="3" t="n">
        <v>0.397</v>
      </c>
      <c r="P828" s="3" t="n">
        <v>0.105</v>
      </c>
      <c r="Q828" s="3" t="n">
        <v>144441.76</v>
      </c>
      <c r="R828" s="3" t="n">
        <v>18</v>
      </c>
      <c r="S828" s="3" t="n">
        <v>7</v>
      </c>
      <c r="T828" s="3" t="n">
        <v>1.7</v>
      </c>
      <c r="U828" s="3"/>
      <c r="V828" s="3" t="n">
        <v>6.53</v>
      </c>
      <c r="W828" s="3" t="s">
        <v>5997</v>
      </c>
    </row>
    <row r="829" customFormat="false" ht="15" hidden="false" customHeight="true" outlineLevel="0" collapsed="false">
      <c r="A829" s="3" t="s">
        <v>6923</v>
      </c>
      <c r="B829" s="3" t="s">
        <v>840</v>
      </c>
      <c r="C829" s="3" t="s">
        <v>486</v>
      </c>
      <c r="D829" s="3" t="s">
        <v>69</v>
      </c>
      <c r="E829" s="3" t="s">
        <v>39</v>
      </c>
      <c r="F829" s="3" t="s">
        <v>70</v>
      </c>
      <c r="G829" s="3" t="s">
        <v>41</v>
      </c>
      <c r="H829" s="3" t="s">
        <v>27</v>
      </c>
      <c r="I829" s="3" t="s">
        <v>117</v>
      </c>
      <c r="J829" s="3" t="s">
        <v>5996</v>
      </c>
      <c r="K829" s="3" t="n">
        <v>3592919.8</v>
      </c>
      <c r="L829" s="3" t="n">
        <v>0.1024</v>
      </c>
      <c r="M829" s="3" t="n">
        <v>3225004.81</v>
      </c>
      <c r="N829" s="3" t="n">
        <v>1329830.06</v>
      </c>
      <c r="O829" s="3" t="n">
        <v>0.4123</v>
      </c>
      <c r="P829" s="3" t="n">
        <v>0.968</v>
      </c>
      <c r="Q829" s="3" t="n">
        <v>3121804.66</v>
      </c>
      <c r="R829" s="3" t="n">
        <v>41</v>
      </c>
      <c r="S829" s="3" t="n">
        <v>8.7</v>
      </c>
      <c r="T829" s="3" t="n">
        <v>4.8</v>
      </c>
      <c r="U829" s="3"/>
      <c r="V829" s="3" t="n">
        <v>7.82</v>
      </c>
      <c r="W829" s="3" t="s">
        <v>5997</v>
      </c>
    </row>
    <row r="830" customFormat="false" ht="15" hidden="false" customHeight="true" outlineLevel="0" collapsed="false">
      <c r="A830" s="3" t="s">
        <v>6924</v>
      </c>
      <c r="B830" s="3" t="s">
        <v>2361</v>
      </c>
      <c r="C830" s="3" t="s">
        <v>3054</v>
      </c>
      <c r="D830" s="3" t="s">
        <v>107</v>
      </c>
      <c r="E830" s="3" t="s">
        <v>33</v>
      </c>
      <c r="F830" s="3" t="s">
        <v>70</v>
      </c>
      <c r="G830" s="3" t="s">
        <v>34</v>
      </c>
      <c r="H830" s="3" t="s">
        <v>64</v>
      </c>
      <c r="I830" s="3" t="s">
        <v>108</v>
      </c>
      <c r="J830" s="3" t="s">
        <v>5989</v>
      </c>
      <c r="K830" s="3" t="n">
        <v>1807693.28</v>
      </c>
      <c r="L830" s="3" t="n">
        <v>0.1148</v>
      </c>
      <c r="M830" s="3" t="n">
        <v>1600170.09</v>
      </c>
      <c r="N830" s="3" t="n">
        <v>684310.41</v>
      </c>
      <c r="O830" s="3" t="n">
        <v>0.4276</v>
      </c>
      <c r="P830" s="3" t="n">
        <v>0.241</v>
      </c>
      <c r="Q830" s="3" t="n">
        <v>385640.99</v>
      </c>
      <c r="R830" s="3" t="n">
        <v>56</v>
      </c>
      <c r="S830" s="3" t="n">
        <v>3.1</v>
      </c>
      <c r="T830" s="3" t="n">
        <v>2.2</v>
      </c>
      <c r="U830" s="3"/>
      <c r="V830" s="3" t="n">
        <v>6.82</v>
      </c>
      <c r="W830" s="3" t="s">
        <v>5997</v>
      </c>
    </row>
    <row r="831" customFormat="false" ht="15" hidden="false" customHeight="true" outlineLevel="0" collapsed="false">
      <c r="A831" s="3" t="s">
        <v>6925</v>
      </c>
      <c r="B831" s="3" t="s">
        <v>885</v>
      </c>
      <c r="C831" s="3" t="s">
        <v>128</v>
      </c>
      <c r="D831" s="3" t="s">
        <v>97</v>
      </c>
      <c r="E831" s="3" t="s">
        <v>48</v>
      </c>
      <c r="F831" s="3" t="s">
        <v>40</v>
      </c>
      <c r="G831" s="3" t="s">
        <v>76</v>
      </c>
      <c r="H831" s="3" t="s">
        <v>64</v>
      </c>
      <c r="I831" s="3" t="s">
        <v>65</v>
      </c>
      <c r="J831" s="3" t="s">
        <v>5989</v>
      </c>
      <c r="K831" s="3" t="n">
        <v>1054416.62</v>
      </c>
      <c r="L831" s="3" t="n">
        <v>0.1687</v>
      </c>
      <c r="M831" s="3" t="n">
        <v>876536.54</v>
      </c>
      <c r="N831" s="3" t="n">
        <v>361821.03</v>
      </c>
      <c r="O831" s="3" t="n">
        <v>0.4128</v>
      </c>
      <c r="P831" s="3" t="n">
        <v>0.232</v>
      </c>
      <c r="Q831" s="3" t="n">
        <v>203356.48</v>
      </c>
      <c r="R831" s="3" t="n">
        <v>82</v>
      </c>
      <c r="S831" s="3" t="n">
        <v>8.5</v>
      </c>
      <c r="T831" s="3" t="n">
        <v>4.5</v>
      </c>
      <c r="U831" s="3"/>
      <c r="V831" s="3" t="n">
        <v>7.27</v>
      </c>
      <c r="W831" s="3" t="s">
        <v>5997</v>
      </c>
    </row>
    <row r="832" customFormat="false" ht="15" hidden="false" customHeight="true" outlineLevel="0" collapsed="false">
      <c r="A832" s="3" t="s">
        <v>6926</v>
      </c>
      <c r="B832" s="3" t="s">
        <v>2017</v>
      </c>
      <c r="C832" s="3" t="s">
        <v>1424</v>
      </c>
      <c r="D832" s="3" t="s">
        <v>107</v>
      </c>
      <c r="E832" s="3" t="s">
        <v>33</v>
      </c>
      <c r="F832" s="3" t="s">
        <v>70</v>
      </c>
      <c r="G832" s="3" t="s">
        <v>100</v>
      </c>
      <c r="H832" s="3" t="s">
        <v>77</v>
      </c>
      <c r="I832" s="3" t="s">
        <v>78</v>
      </c>
      <c r="J832" s="3" t="s">
        <v>5992</v>
      </c>
      <c r="K832" s="3" t="n">
        <v>209592.1</v>
      </c>
      <c r="L832" s="3" t="n">
        <v>0.2574</v>
      </c>
      <c r="M832" s="3" t="n">
        <v>155643.09</v>
      </c>
      <c r="N832" s="3" t="n">
        <v>72266.62</v>
      </c>
      <c r="O832" s="3" t="n">
        <v>0.4643</v>
      </c>
      <c r="P832" s="3" t="n">
        <v>0.685</v>
      </c>
      <c r="Q832" s="3" t="n">
        <v>106615.52</v>
      </c>
      <c r="R832" s="3" t="n">
        <v>177</v>
      </c>
      <c r="S832" s="3" t="n">
        <v>6.4</v>
      </c>
      <c r="T832" s="3" t="n">
        <v>2.9</v>
      </c>
      <c r="U832" s="3"/>
      <c r="V832" s="3" t="n">
        <v>6.52</v>
      </c>
      <c r="W832" s="3" t="s">
        <v>5997</v>
      </c>
    </row>
    <row r="833" customFormat="false" ht="15" hidden="false" customHeight="true" outlineLevel="0" collapsed="false">
      <c r="A833" s="3" t="s">
        <v>6927</v>
      </c>
      <c r="B833" s="3" t="s">
        <v>3314</v>
      </c>
      <c r="C833" s="3" t="s">
        <v>302</v>
      </c>
      <c r="D833" s="3" t="s">
        <v>47</v>
      </c>
      <c r="E833" s="3" t="s">
        <v>48</v>
      </c>
      <c r="F833" s="3" t="s">
        <v>25</v>
      </c>
      <c r="G833" s="3" t="s">
        <v>41</v>
      </c>
      <c r="H833" s="3" t="s">
        <v>56</v>
      </c>
      <c r="I833" s="3" t="s">
        <v>57</v>
      </c>
      <c r="J833" s="3" t="s">
        <v>5989</v>
      </c>
      <c r="K833" s="3" t="n">
        <v>915721.37</v>
      </c>
      <c r="L833" s="3" t="n">
        <v>0.2215</v>
      </c>
      <c r="M833" s="3" t="n">
        <v>712889.09</v>
      </c>
      <c r="N833" s="3" t="n">
        <v>315072.17</v>
      </c>
      <c r="O833" s="3" t="n">
        <v>0.442</v>
      </c>
      <c r="P833" s="3" t="n">
        <v>0.241</v>
      </c>
      <c r="Q833" s="3" t="n">
        <v>171806.27</v>
      </c>
      <c r="R833" s="3" t="n">
        <v>82</v>
      </c>
      <c r="S833" s="3" t="n">
        <v>7.1</v>
      </c>
      <c r="T833" s="3" t="n">
        <v>2.9</v>
      </c>
      <c r="U833" s="3"/>
      <c r="V833" s="3" t="n">
        <v>6.92</v>
      </c>
      <c r="W833" s="3" t="s">
        <v>5997</v>
      </c>
    </row>
    <row r="834" customFormat="false" ht="15" hidden="false" customHeight="true" outlineLevel="0" collapsed="false">
      <c r="A834" s="3" t="s">
        <v>6928</v>
      </c>
      <c r="B834" s="3" t="s">
        <v>351</v>
      </c>
      <c r="C834" s="3" t="s">
        <v>2808</v>
      </c>
      <c r="D834" s="3" t="s">
        <v>97</v>
      </c>
      <c r="E834" s="3" t="s">
        <v>48</v>
      </c>
      <c r="F834" s="3" t="s">
        <v>40</v>
      </c>
      <c r="G834" s="3" t="s">
        <v>55</v>
      </c>
      <c r="H834" s="3" t="s">
        <v>77</v>
      </c>
      <c r="I834" s="3" t="s">
        <v>85</v>
      </c>
      <c r="J834" s="3" t="s">
        <v>5996</v>
      </c>
      <c r="K834" s="3" t="n">
        <v>478443.88</v>
      </c>
      <c r="L834" s="3" t="n">
        <v>0.2691</v>
      </c>
      <c r="M834" s="3" t="n">
        <v>349694.63</v>
      </c>
      <c r="N834" s="3" t="n">
        <v>108212.65</v>
      </c>
      <c r="O834" s="3" t="n">
        <v>0.3094</v>
      </c>
      <c r="P834" s="3" t="n">
        <v>1</v>
      </c>
      <c r="Q834" s="3" t="n">
        <v>349694.63</v>
      </c>
      <c r="R834" s="3" t="n">
        <v>35</v>
      </c>
      <c r="S834" s="3" t="n">
        <v>3.2</v>
      </c>
      <c r="T834" s="3" t="n">
        <v>2.8</v>
      </c>
      <c r="U834" s="3"/>
      <c r="V834" s="3" t="n">
        <v>4.54</v>
      </c>
      <c r="W834" s="3" t="s">
        <v>6000</v>
      </c>
    </row>
    <row r="835" customFormat="false" ht="15" hidden="false" customHeight="true" outlineLevel="0" collapsed="false">
      <c r="A835" s="3" t="s">
        <v>6929</v>
      </c>
      <c r="B835" s="3" t="s">
        <v>3158</v>
      </c>
      <c r="C835" s="3" t="s">
        <v>1982</v>
      </c>
      <c r="D835" s="3" t="s">
        <v>107</v>
      </c>
      <c r="E835" s="3" t="s">
        <v>33</v>
      </c>
      <c r="F835" s="3" t="s">
        <v>70</v>
      </c>
      <c r="G835" s="3" t="s">
        <v>76</v>
      </c>
      <c r="H835" s="3" t="s">
        <v>27</v>
      </c>
      <c r="I835" s="3" t="s">
        <v>50</v>
      </c>
      <c r="J835" s="3" t="s">
        <v>5999</v>
      </c>
      <c r="K835" s="3" t="n">
        <v>731347.08</v>
      </c>
      <c r="L835" s="3" t="n">
        <v>0.2918</v>
      </c>
      <c r="M835" s="3" t="n">
        <v>517940</v>
      </c>
      <c r="N835" s="3" t="n">
        <v>151312.83</v>
      </c>
      <c r="O835" s="3" t="n">
        <v>0.2921</v>
      </c>
      <c r="P835" s="3" t="n">
        <v>0.464</v>
      </c>
      <c r="Q835" s="3" t="n">
        <v>240324.16</v>
      </c>
      <c r="R835" s="3" t="n">
        <v>125</v>
      </c>
      <c r="S835" s="3" t="n">
        <v>2.5</v>
      </c>
      <c r="T835" s="3" t="n">
        <v>4.4</v>
      </c>
      <c r="U835" s="3"/>
      <c r="V835" s="3" t="n">
        <v>3.81</v>
      </c>
      <c r="W835" s="3" t="s">
        <v>6000</v>
      </c>
    </row>
    <row r="836" customFormat="false" ht="15" hidden="false" customHeight="true" outlineLevel="0" collapsed="false">
      <c r="A836" s="3" t="s">
        <v>6930</v>
      </c>
      <c r="B836" s="3" t="s">
        <v>1987</v>
      </c>
      <c r="C836" s="3" t="s">
        <v>6931</v>
      </c>
      <c r="D836" s="3" t="s">
        <v>75</v>
      </c>
      <c r="E836" s="3" t="s">
        <v>39</v>
      </c>
      <c r="F836" s="3" t="s">
        <v>25</v>
      </c>
      <c r="G836" s="3" t="s">
        <v>63</v>
      </c>
      <c r="H836" s="3" t="s">
        <v>64</v>
      </c>
      <c r="I836" s="3" t="s">
        <v>145</v>
      </c>
      <c r="J836" s="3" t="s">
        <v>5989</v>
      </c>
      <c r="K836" s="3" t="n">
        <v>4937856.56</v>
      </c>
      <c r="L836" s="3" t="n">
        <v>0.1958</v>
      </c>
      <c r="M836" s="3" t="n">
        <v>3971024.25</v>
      </c>
      <c r="N836" s="3" t="n">
        <v>1894541.5</v>
      </c>
      <c r="O836" s="3" t="n">
        <v>0.4771</v>
      </c>
      <c r="P836" s="3" t="n">
        <v>0.253</v>
      </c>
      <c r="Q836" s="3" t="n">
        <v>1004669.14</v>
      </c>
      <c r="R836" s="3" t="n">
        <v>171</v>
      </c>
      <c r="S836" s="3" t="n">
        <v>5.6</v>
      </c>
      <c r="T836" s="3" t="n">
        <v>9.8</v>
      </c>
      <c r="U836" s="3"/>
      <c r="V836" s="3" t="n">
        <v>5.81</v>
      </c>
      <c r="W836" s="3" t="s">
        <v>5990</v>
      </c>
    </row>
    <row r="837" customFormat="false" ht="15" hidden="false" customHeight="true" outlineLevel="0" collapsed="false">
      <c r="A837" s="3" t="s">
        <v>6932</v>
      </c>
      <c r="B837" s="3" t="s">
        <v>3510</v>
      </c>
      <c r="C837" s="3" t="s">
        <v>6565</v>
      </c>
      <c r="D837" s="3" t="s">
        <v>38</v>
      </c>
      <c r="E837" s="3" t="s">
        <v>39</v>
      </c>
      <c r="F837" s="3" t="s">
        <v>40</v>
      </c>
      <c r="G837" s="3" t="s">
        <v>84</v>
      </c>
      <c r="H837" s="3" t="s">
        <v>42</v>
      </c>
      <c r="I837" s="3" t="s">
        <v>43</v>
      </c>
      <c r="J837" s="3" t="s">
        <v>5996</v>
      </c>
      <c r="K837" s="3" t="n">
        <v>2211302.27</v>
      </c>
      <c r="L837" s="3" t="n">
        <v>0.2845</v>
      </c>
      <c r="M837" s="3" t="n">
        <v>1582186.77</v>
      </c>
      <c r="N837" s="3" t="n">
        <v>445796.83</v>
      </c>
      <c r="O837" s="3" t="n">
        <v>0.2818</v>
      </c>
      <c r="P837" s="3" t="n">
        <v>1</v>
      </c>
      <c r="Q837" s="3" t="n">
        <v>1582186.77</v>
      </c>
      <c r="R837" s="3" t="n">
        <v>160</v>
      </c>
      <c r="S837" s="3" t="n">
        <v>3</v>
      </c>
      <c r="T837" s="3" t="n">
        <v>5.7</v>
      </c>
      <c r="U837" s="3"/>
      <c r="V837" s="3" t="n">
        <v>3.72</v>
      </c>
      <c r="W837" s="3" t="s">
        <v>6000</v>
      </c>
    </row>
    <row r="838" customFormat="false" ht="15" hidden="false" customHeight="true" outlineLevel="0" collapsed="false">
      <c r="A838" s="3" t="s">
        <v>6933</v>
      </c>
      <c r="B838" s="3" t="s">
        <v>2837</v>
      </c>
      <c r="C838" s="3" t="s">
        <v>6934</v>
      </c>
      <c r="D838" s="3" t="s">
        <v>61</v>
      </c>
      <c r="E838" s="3" t="s">
        <v>33</v>
      </c>
      <c r="F838" s="3" t="s">
        <v>62</v>
      </c>
      <c r="G838" s="3" t="s">
        <v>116</v>
      </c>
      <c r="H838" s="3" t="s">
        <v>56</v>
      </c>
      <c r="I838" s="3" t="s">
        <v>121</v>
      </c>
      <c r="J838" s="3" t="s">
        <v>5996</v>
      </c>
      <c r="K838" s="3" t="n">
        <v>3156934.24</v>
      </c>
      <c r="L838" s="3" t="n">
        <v>0.1226</v>
      </c>
      <c r="M838" s="3" t="n">
        <v>2769894.1</v>
      </c>
      <c r="N838" s="3" t="n">
        <v>792171.75</v>
      </c>
      <c r="O838" s="3" t="n">
        <v>0.286</v>
      </c>
      <c r="P838" s="3" t="n">
        <v>0.977</v>
      </c>
      <c r="Q838" s="3" t="n">
        <v>2706186.54</v>
      </c>
      <c r="R838" s="3" t="n">
        <v>131</v>
      </c>
      <c r="S838" s="3" t="n">
        <v>2.1</v>
      </c>
      <c r="T838" s="3" t="n">
        <v>3.1</v>
      </c>
      <c r="U838" s="3"/>
      <c r="V838" s="3" t="n">
        <v>5.28</v>
      </c>
      <c r="W838" s="3" t="s">
        <v>5990</v>
      </c>
    </row>
    <row r="839" customFormat="false" ht="15" hidden="false" customHeight="true" outlineLevel="0" collapsed="false">
      <c r="A839" s="3" t="s">
        <v>6935</v>
      </c>
      <c r="B839" s="3" t="s">
        <v>1386</v>
      </c>
      <c r="C839" s="3" t="s">
        <v>454</v>
      </c>
      <c r="D839" s="3" t="s">
        <v>23</v>
      </c>
      <c r="E839" s="3" t="s">
        <v>24</v>
      </c>
      <c r="F839" s="3" t="s">
        <v>25</v>
      </c>
      <c r="G839" s="3" t="s">
        <v>26</v>
      </c>
      <c r="H839" s="3" t="s">
        <v>27</v>
      </c>
      <c r="I839" s="3" t="s">
        <v>94</v>
      </c>
      <c r="J839" s="3" t="s">
        <v>5996</v>
      </c>
      <c r="K839" s="3" t="n">
        <v>228778.61</v>
      </c>
      <c r="L839" s="3" t="n">
        <v>0.1223</v>
      </c>
      <c r="M839" s="3" t="n">
        <v>200798.99</v>
      </c>
      <c r="N839" s="3" t="n">
        <v>81834.15</v>
      </c>
      <c r="O839" s="3" t="n">
        <v>0.4075</v>
      </c>
      <c r="P839" s="3" t="n">
        <v>1</v>
      </c>
      <c r="Q839" s="3" t="n">
        <v>200798.99</v>
      </c>
      <c r="R839" s="3" t="n">
        <v>140</v>
      </c>
      <c r="S839" s="3" t="n">
        <v>3.9</v>
      </c>
      <c r="T839" s="3" t="n">
        <v>7.8</v>
      </c>
      <c r="U839" s="3"/>
      <c r="V839" s="3" t="n">
        <v>5.96</v>
      </c>
      <c r="W839" s="3" t="s">
        <v>5990</v>
      </c>
    </row>
    <row r="840" customFormat="false" ht="15" hidden="false" customHeight="true" outlineLevel="0" collapsed="false">
      <c r="A840" s="3" t="s">
        <v>6936</v>
      </c>
      <c r="B840" s="3" t="s">
        <v>194</v>
      </c>
      <c r="C840" s="3" t="s">
        <v>6172</v>
      </c>
      <c r="D840" s="3" t="s">
        <v>69</v>
      </c>
      <c r="E840" s="3" t="s">
        <v>39</v>
      </c>
      <c r="F840" s="3" t="s">
        <v>70</v>
      </c>
      <c r="G840" s="3" t="s">
        <v>49</v>
      </c>
      <c r="H840" s="3" t="s">
        <v>77</v>
      </c>
      <c r="I840" s="3" t="s">
        <v>131</v>
      </c>
      <c r="J840" s="3" t="s">
        <v>5989</v>
      </c>
      <c r="K840" s="3" t="n">
        <v>870810.74</v>
      </c>
      <c r="L840" s="3" t="n">
        <v>0.1684</v>
      </c>
      <c r="M840" s="3" t="n">
        <v>724166.21</v>
      </c>
      <c r="N840" s="3" t="n">
        <v>328689.58</v>
      </c>
      <c r="O840" s="3" t="n">
        <v>0.4539</v>
      </c>
      <c r="P840" s="3" t="n">
        <v>0.24</v>
      </c>
      <c r="Q840" s="3" t="n">
        <v>173799.89</v>
      </c>
      <c r="R840" s="3" t="n">
        <v>168</v>
      </c>
      <c r="S840" s="3" t="n">
        <v>9.7</v>
      </c>
      <c r="T840" s="3" t="n">
        <v>5.5</v>
      </c>
      <c r="U840" s="3"/>
      <c r="V840" s="3" t="n">
        <v>7.7</v>
      </c>
      <c r="W840" s="3" t="s">
        <v>5997</v>
      </c>
    </row>
    <row r="841" customFormat="false" ht="15" hidden="false" customHeight="true" outlineLevel="0" collapsed="false">
      <c r="A841" s="3" t="s">
        <v>6937</v>
      </c>
      <c r="B841" s="3" t="s">
        <v>712</v>
      </c>
      <c r="C841" s="3" t="s">
        <v>288</v>
      </c>
      <c r="D841" s="3" t="s">
        <v>107</v>
      </c>
      <c r="E841" s="3" t="s">
        <v>33</v>
      </c>
      <c r="F841" s="3" t="s">
        <v>70</v>
      </c>
      <c r="G841" s="3" t="s">
        <v>26</v>
      </c>
      <c r="H841" s="3" t="s">
        <v>42</v>
      </c>
      <c r="I841" s="3" t="s">
        <v>72</v>
      </c>
      <c r="J841" s="3" t="s">
        <v>5989</v>
      </c>
      <c r="K841" s="3" t="n">
        <v>394507.58</v>
      </c>
      <c r="L841" s="3" t="n">
        <v>0.1463</v>
      </c>
      <c r="M841" s="3" t="n">
        <v>336791.12</v>
      </c>
      <c r="N841" s="3" t="n">
        <v>100109.17</v>
      </c>
      <c r="O841" s="3" t="n">
        <v>0.2972</v>
      </c>
      <c r="P841" s="3" t="n">
        <v>0.235</v>
      </c>
      <c r="Q841" s="3" t="n">
        <v>79145.91</v>
      </c>
      <c r="R841" s="3" t="n">
        <v>117</v>
      </c>
      <c r="S841" s="3" t="n">
        <v>8.6</v>
      </c>
      <c r="T841" s="3" t="n">
        <v>1.8</v>
      </c>
      <c r="U841" s="3"/>
      <c r="V841" s="3" t="n">
        <v>6.96</v>
      </c>
      <c r="W841" s="3" t="s">
        <v>5997</v>
      </c>
    </row>
    <row r="842" customFormat="false" ht="15" hidden="false" customHeight="true" outlineLevel="0" collapsed="false">
      <c r="A842" s="3" t="s">
        <v>6938</v>
      </c>
      <c r="B842" s="3" t="s">
        <v>649</v>
      </c>
      <c r="C842" s="3" t="s">
        <v>615</v>
      </c>
      <c r="D842" s="3" t="s">
        <v>97</v>
      </c>
      <c r="E842" s="3" t="s">
        <v>48</v>
      </c>
      <c r="F842" s="3" t="s">
        <v>40</v>
      </c>
      <c r="G842" s="3" t="s">
        <v>84</v>
      </c>
      <c r="H842" s="3" t="s">
        <v>56</v>
      </c>
      <c r="I842" s="3" t="s">
        <v>57</v>
      </c>
      <c r="J842" s="3" t="s">
        <v>5989</v>
      </c>
      <c r="K842" s="3" t="n">
        <v>3087515.25</v>
      </c>
      <c r="L842" s="3" t="n">
        <v>0.1506</v>
      </c>
      <c r="M842" s="3" t="n">
        <v>2622535.45</v>
      </c>
      <c r="N842" s="3" t="n">
        <v>1068073.63</v>
      </c>
      <c r="O842" s="3" t="n">
        <v>0.4073</v>
      </c>
      <c r="P842" s="3" t="n">
        <v>0.208</v>
      </c>
      <c r="Q842" s="3" t="n">
        <v>545487.37</v>
      </c>
      <c r="R842" s="3" t="n">
        <v>65</v>
      </c>
      <c r="S842" s="3" t="n">
        <v>4.1</v>
      </c>
      <c r="T842" s="3" t="n">
        <v>5</v>
      </c>
      <c r="U842" s="3"/>
      <c r="V842" s="3" t="n">
        <v>6.21</v>
      </c>
      <c r="W842" s="3" t="s">
        <v>5990</v>
      </c>
    </row>
    <row r="843" customFormat="false" ht="15" hidden="false" customHeight="true" outlineLevel="0" collapsed="false">
      <c r="A843" s="3" t="s">
        <v>6939</v>
      </c>
      <c r="B843" s="3" t="s">
        <v>2253</v>
      </c>
      <c r="C843" s="3" t="s">
        <v>799</v>
      </c>
      <c r="D843" s="3" t="s">
        <v>61</v>
      </c>
      <c r="E843" s="3" t="s">
        <v>33</v>
      </c>
      <c r="F843" s="3" t="s">
        <v>62</v>
      </c>
      <c r="G843" s="3" t="s">
        <v>71</v>
      </c>
      <c r="H843" s="3" t="s">
        <v>27</v>
      </c>
      <c r="I843" s="3" t="s">
        <v>117</v>
      </c>
      <c r="J843" s="3" t="s">
        <v>6003</v>
      </c>
      <c r="K843" s="3" t="n">
        <v>3322747.08</v>
      </c>
      <c r="L843" s="3" t="n">
        <v>0.086</v>
      </c>
      <c r="M843" s="3" t="n">
        <v>3036990.83</v>
      </c>
      <c r="N843" s="3" t="n">
        <v>1256988.67</v>
      </c>
      <c r="O843" s="3" t="n">
        <v>0.4139</v>
      </c>
      <c r="P843" s="3" t="n">
        <v>0.106</v>
      </c>
      <c r="Q843" s="3" t="n">
        <v>321921.03</v>
      </c>
      <c r="R843" s="3" t="n">
        <v>24</v>
      </c>
      <c r="S843" s="3" t="n">
        <v>6.7</v>
      </c>
      <c r="T843" s="3" t="n">
        <v>9.9</v>
      </c>
      <c r="U843" s="3"/>
      <c r="V843" s="3" t="n">
        <v>6.68</v>
      </c>
      <c r="W843" s="3" t="s">
        <v>5997</v>
      </c>
    </row>
    <row r="844" customFormat="false" ht="15" hidden="false" customHeight="true" outlineLevel="0" collapsed="false">
      <c r="A844" s="3" t="s">
        <v>6940</v>
      </c>
      <c r="B844" s="3" t="s">
        <v>993</v>
      </c>
      <c r="C844" s="3" t="s">
        <v>481</v>
      </c>
      <c r="D844" s="3" t="s">
        <v>103</v>
      </c>
      <c r="E844" s="3" t="s">
        <v>24</v>
      </c>
      <c r="F844" s="3" t="s">
        <v>62</v>
      </c>
      <c r="G844" s="3" t="s">
        <v>55</v>
      </c>
      <c r="H844" s="3" t="s">
        <v>56</v>
      </c>
      <c r="I844" s="3" t="s">
        <v>57</v>
      </c>
      <c r="J844" s="3" t="s">
        <v>5999</v>
      </c>
      <c r="K844" s="3" t="n">
        <v>985808.36</v>
      </c>
      <c r="L844" s="3" t="n">
        <v>0.1329</v>
      </c>
      <c r="M844" s="3" t="n">
        <v>854794.43</v>
      </c>
      <c r="N844" s="3" t="n">
        <v>321162.82</v>
      </c>
      <c r="O844" s="3" t="n">
        <v>0.3757</v>
      </c>
      <c r="P844" s="3" t="n">
        <v>0.49</v>
      </c>
      <c r="Q844" s="3" t="n">
        <v>418849.27</v>
      </c>
      <c r="R844" s="3" t="n">
        <v>79</v>
      </c>
      <c r="S844" s="3" t="n">
        <v>2.7</v>
      </c>
      <c r="T844" s="3" t="n">
        <v>3.4</v>
      </c>
      <c r="U844" s="3"/>
      <c r="V844" s="3" t="n">
        <v>5.97</v>
      </c>
      <c r="W844" s="3" t="s">
        <v>5990</v>
      </c>
    </row>
    <row r="845" customFormat="false" ht="15" hidden="false" customHeight="true" outlineLevel="0" collapsed="false">
      <c r="A845" s="3" t="s">
        <v>6941</v>
      </c>
      <c r="B845" s="3" t="s">
        <v>722</v>
      </c>
      <c r="C845" s="3" t="s">
        <v>1409</v>
      </c>
      <c r="D845" s="3" t="s">
        <v>54</v>
      </c>
      <c r="E845" s="3" t="s">
        <v>24</v>
      </c>
      <c r="F845" s="3" t="s">
        <v>40</v>
      </c>
      <c r="G845" s="3" t="s">
        <v>26</v>
      </c>
      <c r="H845" s="3" t="s">
        <v>42</v>
      </c>
      <c r="I845" s="3" t="s">
        <v>43</v>
      </c>
      <c r="J845" s="3" t="s">
        <v>6003</v>
      </c>
      <c r="K845" s="3" t="n">
        <v>1760801.91</v>
      </c>
      <c r="L845" s="3" t="n">
        <v>0.2675</v>
      </c>
      <c r="M845" s="3" t="n">
        <v>1289787.4</v>
      </c>
      <c r="N845" s="3" t="n">
        <v>378390.99</v>
      </c>
      <c r="O845" s="3" t="n">
        <v>0.2934</v>
      </c>
      <c r="P845" s="3" t="n">
        <v>0.092</v>
      </c>
      <c r="Q845" s="3" t="n">
        <v>118660.44</v>
      </c>
      <c r="R845" s="3" t="n">
        <v>25</v>
      </c>
      <c r="S845" s="3" t="n">
        <v>6.8</v>
      </c>
      <c r="T845" s="3" t="n">
        <v>7.9</v>
      </c>
      <c r="U845" s="3"/>
      <c r="V845" s="3" t="n">
        <v>4.56</v>
      </c>
      <c r="W845" s="3" t="s">
        <v>6000</v>
      </c>
    </row>
    <row r="846" customFormat="false" ht="15" hidden="false" customHeight="true" outlineLevel="0" collapsed="false">
      <c r="A846" s="3" t="s">
        <v>6942</v>
      </c>
      <c r="B846" s="3" t="s">
        <v>1801</v>
      </c>
      <c r="C846" s="3" t="s">
        <v>6943</v>
      </c>
      <c r="D846" s="3" t="s">
        <v>38</v>
      </c>
      <c r="E846" s="3" t="s">
        <v>39</v>
      </c>
      <c r="F846" s="3" t="s">
        <v>40</v>
      </c>
      <c r="G846" s="3" t="s">
        <v>100</v>
      </c>
      <c r="H846" s="3" t="s">
        <v>56</v>
      </c>
      <c r="I846" s="3" t="s">
        <v>188</v>
      </c>
      <c r="J846" s="3" t="s">
        <v>6003</v>
      </c>
      <c r="K846" s="3" t="n">
        <v>1399054.28</v>
      </c>
      <c r="L846" s="3" t="n">
        <v>0.2133</v>
      </c>
      <c r="M846" s="3" t="n">
        <v>1100636</v>
      </c>
      <c r="N846" s="3" t="n">
        <v>336177.94</v>
      </c>
      <c r="O846" s="3" t="n">
        <v>0.3054</v>
      </c>
      <c r="P846" s="3" t="n">
        <v>0.062</v>
      </c>
      <c r="Q846" s="3" t="n">
        <v>68239.43</v>
      </c>
      <c r="R846" s="3" t="n">
        <v>163</v>
      </c>
      <c r="S846" s="3" t="n">
        <v>2.1</v>
      </c>
      <c r="T846" s="3" t="n">
        <v>9.7</v>
      </c>
      <c r="U846" s="3"/>
      <c r="V846" s="3" t="n">
        <v>3.67</v>
      </c>
      <c r="W846" s="3" t="s">
        <v>6000</v>
      </c>
    </row>
    <row r="847" customFormat="false" ht="15" hidden="false" customHeight="true" outlineLevel="0" collapsed="false">
      <c r="A847" s="3" t="s">
        <v>6944</v>
      </c>
      <c r="B847" s="3" t="s">
        <v>1762</v>
      </c>
      <c r="C847" s="3" t="s">
        <v>6396</v>
      </c>
      <c r="D847" s="3" t="s">
        <v>97</v>
      </c>
      <c r="E847" s="3" t="s">
        <v>48</v>
      </c>
      <c r="F847" s="3" t="s">
        <v>40</v>
      </c>
      <c r="G847" s="3" t="s">
        <v>104</v>
      </c>
      <c r="H847" s="3" t="s">
        <v>27</v>
      </c>
      <c r="I847" s="3" t="s">
        <v>50</v>
      </c>
      <c r="J847" s="3" t="s">
        <v>5999</v>
      </c>
      <c r="K847" s="3" t="n">
        <v>344940.12</v>
      </c>
      <c r="L847" s="3" t="n">
        <v>0.1372</v>
      </c>
      <c r="M847" s="3" t="n">
        <v>297614.34</v>
      </c>
      <c r="N847" s="3" t="n">
        <v>103258.28</v>
      </c>
      <c r="O847" s="3" t="n">
        <v>0.347</v>
      </c>
      <c r="P847" s="3" t="n">
        <v>0.467</v>
      </c>
      <c r="Q847" s="3" t="n">
        <v>138985.9</v>
      </c>
      <c r="R847" s="3" t="n">
        <v>75</v>
      </c>
      <c r="S847" s="3" t="n">
        <v>5.3</v>
      </c>
      <c r="T847" s="3" t="n">
        <v>3.5</v>
      </c>
      <c r="U847" s="3"/>
      <c r="V847" s="3" t="n">
        <v>6.34</v>
      </c>
      <c r="W847" s="3" t="s">
        <v>5990</v>
      </c>
    </row>
    <row r="848" customFormat="false" ht="15" hidden="false" customHeight="true" outlineLevel="0" collapsed="false">
      <c r="A848" s="3" t="s">
        <v>6945</v>
      </c>
      <c r="B848" s="3" t="s">
        <v>4897</v>
      </c>
      <c r="C848" s="3" t="s">
        <v>1726</v>
      </c>
      <c r="D848" s="3" t="s">
        <v>75</v>
      </c>
      <c r="E848" s="3" t="s">
        <v>39</v>
      </c>
      <c r="F848" s="3" t="s">
        <v>25</v>
      </c>
      <c r="G848" s="3" t="s">
        <v>63</v>
      </c>
      <c r="H848" s="3" t="s">
        <v>56</v>
      </c>
      <c r="I848" s="3" t="s">
        <v>121</v>
      </c>
      <c r="J848" s="3" t="s">
        <v>6009</v>
      </c>
      <c r="K848" s="3" t="n">
        <v>3928810.99</v>
      </c>
      <c r="L848" s="3" t="n">
        <v>0.1137</v>
      </c>
      <c r="M848" s="3" t="n">
        <v>3482105.18</v>
      </c>
      <c r="N848" s="3" t="n">
        <v>1052283.73</v>
      </c>
      <c r="O848" s="3" t="n">
        <v>0.3022</v>
      </c>
      <c r="P848" s="3" t="n">
        <v>0</v>
      </c>
      <c r="Q848" s="3" t="n">
        <v>0</v>
      </c>
      <c r="R848" s="3" t="n">
        <v>119</v>
      </c>
      <c r="S848" s="3" t="n">
        <v>2.2</v>
      </c>
      <c r="T848" s="3" t="n">
        <v>7.2</v>
      </c>
      <c r="U848" s="3"/>
      <c r="V848" s="3" t="n">
        <v>4.86</v>
      </c>
      <c r="W848" s="3" t="s">
        <v>6000</v>
      </c>
    </row>
    <row r="849" customFormat="false" ht="15" hidden="false" customHeight="true" outlineLevel="0" collapsed="false">
      <c r="A849" s="3" t="s">
        <v>6946</v>
      </c>
      <c r="B849" s="3" t="s">
        <v>374</v>
      </c>
      <c r="C849" s="3" t="s">
        <v>4045</v>
      </c>
      <c r="D849" s="3" t="s">
        <v>69</v>
      </c>
      <c r="E849" s="3" t="s">
        <v>39</v>
      </c>
      <c r="F849" s="3" t="s">
        <v>70</v>
      </c>
      <c r="G849" s="3" t="s">
        <v>41</v>
      </c>
      <c r="H849" s="3" t="s">
        <v>56</v>
      </c>
      <c r="I849" s="3" t="s">
        <v>121</v>
      </c>
      <c r="J849" s="3" t="s">
        <v>5989</v>
      </c>
      <c r="K849" s="3" t="n">
        <v>1098815.42</v>
      </c>
      <c r="L849" s="3" t="n">
        <v>0.282</v>
      </c>
      <c r="M849" s="3" t="n">
        <v>788949.47</v>
      </c>
      <c r="N849" s="3" t="n">
        <v>315921.13</v>
      </c>
      <c r="O849" s="3" t="n">
        <v>0.4004</v>
      </c>
      <c r="P849" s="3" t="n">
        <v>0.225</v>
      </c>
      <c r="Q849" s="3" t="n">
        <v>177513.63</v>
      </c>
      <c r="R849" s="3" t="n">
        <v>46</v>
      </c>
      <c r="S849" s="3" t="n">
        <v>5.8</v>
      </c>
      <c r="T849" s="3" t="n">
        <v>1.8</v>
      </c>
      <c r="U849" s="3"/>
      <c r="V849" s="3" t="n">
        <v>5.94</v>
      </c>
      <c r="W849" s="3" t="s">
        <v>5990</v>
      </c>
    </row>
    <row r="850" customFormat="false" ht="15" hidden="false" customHeight="true" outlineLevel="0" collapsed="false">
      <c r="A850" s="3" t="s">
        <v>6947</v>
      </c>
      <c r="B850" s="3" t="s">
        <v>1615</v>
      </c>
      <c r="C850" s="3" t="s">
        <v>225</v>
      </c>
      <c r="D850" s="3" t="s">
        <v>54</v>
      </c>
      <c r="E850" s="3" t="s">
        <v>24</v>
      </c>
      <c r="F850" s="3" t="s">
        <v>40</v>
      </c>
      <c r="G850" s="3" t="s">
        <v>49</v>
      </c>
      <c r="H850" s="3" t="s">
        <v>42</v>
      </c>
      <c r="I850" s="3" t="s">
        <v>43</v>
      </c>
      <c r="J850" s="3" t="s">
        <v>5996</v>
      </c>
      <c r="K850" s="3" t="n">
        <v>4649041.62</v>
      </c>
      <c r="L850" s="3" t="n">
        <v>0.2248</v>
      </c>
      <c r="M850" s="3" t="n">
        <v>3603937.06</v>
      </c>
      <c r="N850" s="3" t="n">
        <v>1137023.47</v>
      </c>
      <c r="O850" s="3" t="n">
        <v>0.3155</v>
      </c>
      <c r="P850" s="3" t="n">
        <v>1</v>
      </c>
      <c r="Q850" s="3" t="n">
        <v>3603937.06</v>
      </c>
      <c r="R850" s="3" t="n">
        <v>149</v>
      </c>
      <c r="S850" s="3" t="n">
        <v>7.8</v>
      </c>
      <c r="T850" s="3" t="n">
        <v>2.7</v>
      </c>
      <c r="U850" s="3"/>
      <c r="V850" s="3" t="n">
        <v>6.12</v>
      </c>
      <c r="W850" s="3" t="s">
        <v>5990</v>
      </c>
    </row>
    <row r="851" customFormat="false" ht="15" hidden="false" customHeight="true" outlineLevel="0" collapsed="false">
      <c r="A851" s="3" t="s">
        <v>6948</v>
      </c>
      <c r="B851" s="3" t="s">
        <v>589</v>
      </c>
      <c r="C851" s="3" t="s">
        <v>2624</v>
      </c>
      <c r="D851" s="3" t="s">
        <v>47</v>
      </c>
      <c r="E851" s="3" t="s">
        <v>48</v>
      </c>
      <c r="F851" s="3" t="s">
        <v>25</v>
      </c>
      <c r="G851" s="3" t="s">
        <v>104</v>
      </c>
      <c r="H851" s="3" t="s">
        <v>56</v>
      </c>
      <c r="I851" s="3" t="s">
        <v>188</v>
      </c>
      <c r="J851" s="3" t="s">
        <v>5992</v>
      </c>
      <c r="K851" s="3" t="n">
        <v>2763016.66</v>
      </c>
      <c r="L851" s="3" t="n">
        <v>0.1872</v>
      </c>
      <c r="M851" s="3" t="n">
        <v>2245779.94</v>
      </c>
      <c r="N851" s="3" t="n">
        <v>1003655.71</v>
      </c>
      <c r="O851" s="3" t="n">
        <v>0.4469</v>
      </c>
      <c r="P851" s="3" t="n">
        <v>0.689</v>
      </c>
      <c r="Q851" s="3" t="n">
        <v>1547342.38</v>
      </c>
      <c r="R851" s="3" t="n">
        <v>112</v>
      </c>
      <c r="S851" s="3" t="n">
        <v>9.4</v>
      </c>
      <c r="T851" s="3" t="n">
        <v>9</v>
      </c>
      <c r="U851" s="3"/>
      <c r="V851" s="3" t="n">
        <v>6.92</v>
      </c>
      <c r="W851" s="3" t="s">
        <v>5997</v>
      </c>
    </row>
    <row r="852" customFormat="false" ht="15" hidden="false" customHeight="true" outlineLevel="0" collapsed="false">
      <c r="A852" s="3" t="s">
        <v>6949</v>
      </c>
      <c r="B852" s="3" t="s">
        <v>504</v>
      </c>
      <c r="C852" s="3" t="s">
        <v>6108</v>
      </c>
      <c r="D852" s="3" t="s">
        <v>107</v>
      </c>
      <c r="E852" s="3" t="s">
        <v>33</v>
      </c>
      <c r="F852" s="3" t="s">
        <v>70</v>
      </c>
      <c r="G852" s="3" t="s">
        <v>84</v>
      </c>
      <c r="H852" s="3" t="s">
        <v>27</v>
      </c>
      <c r="I852" s="3" t="s">
        <v>94</v>
      </c>
      <c r="J852" s="3" t="s">
        <v>6003</v>
      </c>
      <c r="K852" s="3" t="n">
        <v>89651.66</v>
      </c>
      <c r="L852" s="3" t="n">
        <v>0.2405</v>
      </c>
      <c r="M852" s="3" t="n">
        <v>68090.44</v>
      </c>
      <c r="N852" s="3" t="n">
        <v>26309.51</v>
      </c>
      <c r="O852" s="3" t="n">
        <v>0.3864</v>
      </c>
      <c r="P852" s="3" t="n">
        <v>0.111</v>
      </c>
      <c r="Q852" s="3" t="n">
        <v>7558.04</v>
      </c>
      <c r="R852" s="3" t="n">
        <v>17</v>
      </c>
      <c r="S852" s="3" t="n">
        <v>7.1</v>
      </c>
      <c r="T852" s="3" t="n">
        <v>4.2</v>
      </c>
      <c r="U852" s="3"/>
      <c r="V852" s="3" t="n">
        <v>6.16</v>
      </c>
      <c r="W852" s="3" t="s">
        <v>5990</v>
      </c>
    </row>
    <row r="853" customFormat="false" ht="15" hidden="false" customHeight="true" outlineLevel="0" collapsed="false">
      <c r="A853" s="3" t="s">
        <v>6950</v>
      </c>
      <c r="B853" s="3" t="s">
        <v>4693</v>
      </c>
      <c r="C853" s="3" t="s">
        <v>2670</v>
      </c>
      <c r="D853" s="3" t="s">
        <v>61</v>
      </c>
      <c r="E853" s="3" t="s">
        <v>33</v>
      </c>
      <c r="F853" s="3" t="s">
        <v>62</v>
      </c>
      <c r="G853" s="3" t="s">
        <v>116</v>
      </c>
      <c r="H853" s="3" t="s">
        <v>42</v>
      </c>
      <c r="I853" s="3" t="s">
        <v>72</v>
      </c>
      <c r="J853" s="3" t="s">
        <v>6003</v>
      </c>
      <c r="K853" s="3" t="n">
        <v>1740804.81</v>
      </c>
      <c r="L853" s="3" t="n">
        <v>0.1033</v>
      </c>
      <c r="M853" s="3" t="n">
        <v>1560979.67</v>
      </c>
      <c r="N853" s="3" t="n">
        <v>712650.23</v>
      </c>
      <c r="O853" s="3" t="n">
        <v>0.4565</v>
      </c>
      <c r="P853" s="3" t="n">
        <v>0.117</v>
      </c>
      <c r="Q853" s="3" t="n">
        <v>182634.62</v>
      </c>
      <c r="R853" s="3" t="n">
        <v>48</v>
      </c>
      <c r="S853" s="3" t="n">
        <v>4.2</v>
      </c>
      <c r="T853" s="3" t="n">
        <v>2.8</v>
      </c>
      <c r="U853" s="3"/>
      <c r="V853" s="3" t="n">
        <v>7.28</v>
      </c>
      <c r="W853" s="3" t="s">
        <v>5997</v>
      </c>
    </row>
    <row r="854" customFormat="false" ht="15" hidden="false" customHeight="true" outlineLevel="0" collapsed="false">
      <c r="A854" s="3" t="s">
        <v>6951</v>
      </c>
      <c r="B854" s="3" t="s">
        <v>2808</v>
      </c>
      <c r="C854" s="3" t="s">
        <v>1398</v>
      </c>
      <c r="D854" s="3" t="s">
        <v>83</v>
      </c>
      <c r="E854" s="3" t="s">
        <v>48</v>
      </c>
      <c r="F854" s="3" t="s">
        <v>62</v>
      </c>
      <c r="G854" s="3" t="s">
        <v>104</v>
      </c>
      <c r="H854" s="3" t="s">
        <v>56</v>
      </c>
      <c r="I854" s="3" t="s">
        <v>57</v>
      </c>
      <c r="J854" s="3" t="s">
        <v>5992</v>
      </c>
      <c r="K854" s="3" t="n">
        <v>304587.04</v>
      </c>
      <c r="L854" s="3" t="n">
        <v>0.2745</v>
      </c>
      <c r="M854" s="3" t="n">
        <v>220977.9</v>
      </c>
      <c r="N854" s="3" t="n">
        <v>95653.84</v>
      </c>
      <c r="O854" s="3" t="n">
        <v>0.4329</v>
      </c>
      <c r="P854" s="3" t="n">
        <v>0.705</v>
      </c>
      <c r="Q854" s="3" t="n">
        <v>155789.42</v>
      </c>
      <c r="R854" s="3" t="n">
        <v>102</v>
      </c>
      <c r="S854" s="3" t="n">
        <v>2.6</v>
      </c>
      <c r="T854" s="3" t="n">
        <v>4.3</v>
      </c>
      <c r="U854" s="3"/>
      <c r="V854" s="3" t="n">
        <v>5.06</v>
      </c>
      <c r="W854" s="3" t="s">
        <v>5990</v>
      </c>
    </row>
    <row r="855" customFormat="false" ht="15" hidden="false" customHeight="true" outlineLevel="0" collapsed="false">
      <c r="A855" s="3" t="s">
        <v>6952</v>
      </c>
      <c r="B855" s="3" t="s">
        <v>944</v>
      </c>
      <c r="C855" s="3" t="s">
        <v>181</v>
      </c>
      <c r="D855" s="3" t="s">
        <v>83</v>
      </c>
      <c r="E855" s="3" t="s">
        <v>48</v>
      </c>
      <c r="F855" s="3" t="s">
        <v>62</v>
      </c>
      <c r="G855" s="3" t="s">
        <v>41</v>
      </c>
      <c r="H855" s="3" t="s">
        <v>27</v>
      </c>
      <c r="I855" s="3" t="s">
        <v>173</v>
      </c>
      <c r="J855" s="3" t="s">
        <v>6003</v>
      </c>
      <c r="K855" s="3" t="n">
        <v>618568.51</v>
      </c>
      <c r="L855" s="3" t="n">
        <v>0.1076</v>
      </c>
      <c r="M855" s="3" t="n">
        <v>552010.54</v>
      </c>
      <c r="N855" s="3" t="n">
        <v>239885.75</v>
      </c>
      <c r="O855" s="3" t="n">
        <v>0.4346</v>
      </c>
      <c r="P855" s="3" t="n">
        <v>0.142</v>
      </c>
      <c r="Q855" s="3" t="n">
        <v>78385.5</v>
      </c>
      <c r="R855" s="3" t="n">
        <v>65</v>
      </c>
      <c r="S855" s="3" t="n">
        <v>2.7</v>
      </c>
      <c r="T855" s="3" t="n">
        <v>9.6</v>
      </c>
      <c r="U855" s="3"/>
      <c r="V855" s="3" t="n">
        <v>5.73</v>
      </c>
      <c r="W855" s="3" t="s">
        <v>5990</v>
      </c>
    </row>
    <row r="856" customFormat="false" ht="15" hidden="false" customHeight="true" outlineLevel="0" collapsed="false">
      <c r="A856" s="3" t="s">
        <v>6953</v>
      </c>
      <c r="B856" s="3" t="s">
        <v>6217</v>
      </c>
      <c r="C856" s="3" t="s">
        <v>5148</v>
      </c>
      <c r="D856" s="3" t="s">
        <v>38</v>
      </c>
      <c r="E856" s="3" t="s">
        <v>39</v>
      </c>
      <c r="F856" s="3" t="s">
        <v>40</v>
      </c>
      <c r="G856" s="3" t="s">
        <v>84</v>
      </c>
      <c r="H856" s="3" t="s">
        <v>77</v>
      </c>
      <c r="I856" s="3" t="s">
        <v>78</v>
      </c>
      <c r="J856" s="3" t="s">
        <v>5996</v>
      </c>
      <c r="K856" s="3" t="n">
        <v>4585196.33</v>
      </c>
      <c r="L856" s="3" t="n">
        <v>0.0668</v>
      </c>
      <c r="M856" s="3" t="n">
        <v>4278905.22</v>
      </c>
      <c r="N856" s="3" t="n">
        <v>1263167.35</v>
      </c>
      <c r="O856" s="3" t="n">
        <v>0.2952</v>
      </c>
      <c r="P856" s="3" t="n">
        <v>1</v>
      </c>
      <c r="Q856" s="3" t="n">
        <v>4278905.22</v>
      </c>
      <c r="R856" s="3" t="n">
        <v>31</v>
      </c>
      <c r="S856" s="3" t="n">
        <v>4.2</v>
      </c>
      <c r="T856" s="3" t="n">
        <v>6.4</v>
      </c>
      <c r="U856" s="3"/>
      <c r="V856" s="3" t="n">
        <v>5.85</v>
      </c>
      <c r="W856" s="3" t="s">
        <v>5990</v>
      </c>
    </row>
    <row r="857" customFormat="false" ht="15" hidden="false" customHeight="true" outlineLevel="0" collapsed="false">
      <c r="A857" s="3" t="s">
        <v>6954</v>
      </c>
      <c r="B857" s="3" t="s">
        <v>3498</v>
      </c>
      <c r="C857" s="3" t="s">
        <v>1200</v>
      </c>
      <c r="D857" s="3" t="s">
        <v>107</v>
      </c>
      <c r="E857" s="3" t="s">
        <v>33</v>
      </c>
      <c r="F857" s="3" t="s">
        <v>70</v>
      </c>
      <c r="G857" s="3" t="s">
        <v>100</v>
      </c>
      <c r="H857" s="3" t="s">
        <v>64</v>
      </c>
      <c r="I857" s="3" t="s">
        <v>145</v>
      </c>
      <c r="J857" s="3" t="s">
        <v>5996</v>
      </c>
      <c r="K857" s="3" t="n">
        <v>3477150.36</v>
      </c>
      <c r="L857" s="3" t="n">
        <v>0.0895</v>
      </c>
      <c r="M857" s="3" t="n">
        <v>3165945.4</v>
      </c>
      <c r="N857" s="3" t="n">
        <v>1258619.93</v>
      </c>
      <c r="O857" s="3" t="n">
        <v>0.3975</v>
      </c>
      <c r="P857" s="3" t="n">
        <v>0.959</v>
      </c>
      <c r="Q857" s="3" t="n">
        <v>3036141.64</v>
      </c>
      <c r="R857" s="3" t="n">
        <v>64</v>
      </c>
      <c r="S857" s="3" t="n">
        <v>3.7</v>
      </c>
      <c r="T857" s="3" t="n">
        <v>2.9</v>
      </c>
      <c r="U857" s="3"/>
      <c r="V857" s="3" t="n">
        <v>6.82</v>
      </c>
      <c r="W857" s="3" t="s">
        <v>5997</v>
      </c>
    </row>
    <row r="858" customFormat="false" ht="15" hidden="false" customHeight="true" outlineLevel="0" collapsed="false">
      <c r="A858" s="3" t="s">
        <v>6955</v>
      </c>
      <c r="B858" s="3" t="s">
        <v>217</v>
      </c>
      <c r="C858" s="3" t="s">
        <v>1918</v>
      </c>
      <c r="D858" s="3" t="s">
        <v>38</v>
      </c>
      <c r="E858" s="3" t="s">
        <v>39</v>
      </c>
      <c r="F858" s="3" t="s">
        <v>40</v>
      </c>
      <c r="G858" s="3" t="s">
        <v>34</v>
      </c>
      <c r="H858" s="3" t="s">
        <v>56</v>
      </c>
      <c r="I858" s="3" t="s">
        <v>188</v>
      </c>
      <c r="J858" s="3" t="s">
        <v>5992</v>
      </c>
      <c r="K858" s="3" t="n">
        <v>3283045.29</v>
      </c>
      <c r="L858" s="3" t="n">
        <v>0.1278</v>
      </c>
      <c r="M858" s="3" t="n">
        <v>2863472.1</v>
      </c>
      <c r="N858" s="3" t="n">
        <v>1048952.36</v>
      </c>
      <c r="O858" s="3" t="n">
        <v>0.3663</v>
      </c>
      <c r="P858" s="3" t="n">
        <v>0.686</v>
      </c>
      <c r="Q858" s="3" t="n">
        <v>1964341.86</v>
      </c>
      <c r="R858" s="3" t="n">
        <v>33</v>
      </c>
      <c r="S858" s="3" t="n">
        <v>4.4</v>
      </c>
      <c r="T858" s="3" t="n">
        <v>4.1</v>
      </c>
      <c r="U858" s="3"/>
      <c r="V858" s="3" t="n">
        <v>6.24</v>
      </c>
      <c r="W858" s="3" t="s">
        <v>5990</v>
      </c>
    </row>
    <row r="859" customFormat="false" ht="15" hidden="false" customHeight="true" outlineLevel="0" collapsed="false">
      <c r="A859" s="3" t="s">
        <v>6956</v>
      </c>
      <c r="B859" s="3" t="s">
        <v>229</v>
      </c>
      <c r="C859" s="3" t="s">
        <v>330</v>
      </c>
      <c r="D859" s="3" t="s">
        <v>97</v>
      </c>
      <c r="E859" s="3" t="s">
        <v>48</v>
      </c>
      <c r="F859" s="3" t="s">
        <v>40</v>
      </c>
      <c r="G859" s="3" t="s">
        <v>84</v>
      </c>
      <c r="H859" s="3" t="s">
        <v>77</v>
      </c>
      <c r="I859" s="3" t="s">
        <v>78</v>
      </c>
      <c r="J859" s="3" t="s">
        <v>6003</v>
      </c>
      <c r="K859" s="3" t="n">
        <v>2034649.59</v>
      </c>
      <c r="L859" s="3" t="n">
        <v>0.1547</v>
      </c>
      <c r="M859" s="3" t="n">
        <v>1719889.3</v>
      </c>
      <c r="N859" s="3" t="n">
        <v>513575.89</v>
      </c>
      <c r="O859" s="3" t="n">
        <v>0.2986</v>
      </c>
      <c r="P859" s="3" t="n">
        <v>0.058</v>
      </c>
      <c r="Q859" s="3" t="n">
        <v>99753.58</v>
      </c>
      <c r="R859" s="3" t="n">
        <v>98</v>
      </c>
      <c r="S859" s="3" t="n">
        <v>9.4</v>
      </c>
      <c r="T859" s="3" t="n">
        <v>3.9</v>
      </c>
      <c r="U859" s="3"/>
      <c r="V859" s="3" t="n">
        <v>6.77</v>
      </c>
      <c r="W859" s="3" t="s">
        <v>5997</v>
      </c>
    </row>
    <row r="860" customFormat="false" ht="15" hidden="false" customHeight="true" outlineLevel="0" collapsed="false">
      <c r="A860" s="3" t="s">
        <v>6957</v>
      </c>
      <c r="B860" s="3" t="s">
        <v>1840</v>
      </c>
      <c r="C860" s="3" t="s">
        <v>402</v>
      </c>
      <c r="D860" s="3" t="s">
        <v>75</v>
      </c>
      <c r="E860" s="3" t="s">
        <v>39</v>
      </c>
      <c r="F860" s="3" t="s">
        <v>25</v>
      </c>
      <c r="G860" s="3" t="s">
        <v>41</v>
      </c>
      <c r="H860" s="3" t="s">
        <v>56</v>
      </c>
      <c r="I860" s="3" t="s">
        <v>121</v>
      </c>
      <c r="J860" s="3" t="s">
        <v>5989</v>
      </c>
      <c r="K860" s="3" t="n">
        <v>4412695.29</v>
      </c>
      <c r="L860" s="3" t="n">
        <v>0.2217</v>
      </c>
      <c r="M860" s="3" t="n">
        <v>3434400.74</v>
      </c>
      <c r="N860" s="3" t="n">
        <v>1077905.98</v>
      </c>
      <c r="O860" s="3" t="n">
        <v>0.3139</v>
      </c>
      <c r="P860" s="3" t="n">
        <v>0.273</v>
      </c>
      <c r="Q860" s="3" t="n">
        <v>937591.4</v>
      </c>
      <c r="R860" s="3" t="n">
        <v>96</v>
      </c>
      <c r="S860" s="3" t="n">
        <v>8.4</v>
      </c>
      <c r="T860" s="3" t="n">
        <v>6.4</v>
      </c>
      <c r="U860" s="3"/>
      <c r="V860" s="3" t="n">
        <v>5.74</v>
      </c>
      <c r="W860" s="3" t="s">
        <v>5990</v>
      </c>
    </row>
    <row r="861" customFormat="false" ht="15" hidden="false" customHeight="true" outlineLevel="0" collapsed="false">
      <c r="A861" s="3" t="s">
        <v>6958</v>
      </c>
      <c r="B861" s="3" t="s">
        <v>809</v>
      </c>
      <c r="C861" s="3" t="s">
        <v>939</v>
      </c>
      <c r="D861" s="3" t="s">
        <v>38</v>
      </c>
      <c r="E861" s="3" t="s">
        <v>39</v>
      </c>
      <c r="F861" s="3" t="s">
        <v>40</v>
      </c>
      <c r="G861" s="3" t="s">
        <v>26</v>
      </c>
      <c r="H861" s="3" t="s">
        <v>56</v>
      </c>
      <c r="I861" s="3" t="s">
        <v>188</v>
      </c>
      <c r="J861" s="3" t="s">
        <v>5989</v>
      </c>
      <c r="K861" s="3" t="n">
        <v>4251810.75</v>
      </c>
      <c r="L861" s="3" t="n">
        <v>0.1388</v>
      </c>
      <c r="M861" s="3" t="n">
        <v>3661659.42</v>
      </c>
      <c r="N861" s="3" t="n">
        <v>1436742.91</v>
      </c>
      <c r="O861" s="3" t="n">
        <v>0.3924</v>
      </c>
      <c r="P861" s="3" t="n">
        <v>0.224</v>
      </c>
      <c r="Q861" s="3" t="n">
        <v>820211.71</v>
      </c>
      <c r="R861" s="3" t="n">
        <v>154</v>
      </c>
      <c r="S861" s="3" t="n">
        <v>6.8</v>
      </c>
      <c r="T861" s="3" t="n">
        <v>4.1</v>
      </c>
      <c r="U861" s="3"/>
      <c r="V861" s="3" t="n">
        <v>6.98</v>
      </c>
      <c r="W861" s="3" t="s">
        <v>5997</v>
      </c>
    </row>
    <row r="862" customFormat="false" ht="15" hidden="false" customHeight="true" outlineLevel="0" collapsed="false">
      <c r="A862" s="3" t="s">
        <v>6959</v>
      </c>
      <c r="B862" s="3" t="s">
        <v>3334</v>
      </c>
      <c r="C862" s="3" t="s">
        <v>3854</v>
      </c>
      <c r="D862" s="3" t="s">
        <v>61</v>
      </c>
      <c r="E862" s="3" t="s">
        <v>33</v>
      </c>
      <c r="F862" s="3" t="s">
        <v>62</v>
      </c>
      <c r="G862" s="3" t="s">
        <v>104</v>
      </c>
      <c r="H862" s="3" t="s">
        <v>56</v>
      </c>
      <c r="I862" s="3" t="s">
        <v>57</v>
      </c>
      <c r="J862" s="3" t="s">
        <v>6009</v>
      </c>
      <c r="K862" s="3" t="n">
        <v>1968432.83</v>
      </c>
      <c r="L862" s="3" t="n">
        <v>0.0516</v>
      </c>
      <c r="M862" s="3" t="n">
        <v>1866861.7</v>
      </c>
      <c r="N862" s="3" t="n">
        <v>734342.32</v>
      </c>
      <c r="O862" s="3" t="n">
        <v>0.3934</v>
      </c>
      <c r="P862" s="3" t="n">
        <v>0</v>
      </c>
      <c r="Q862" s="3" t="n">
        <v>0</v>
      </c>
      <c r="R862" s="3" t="n">
        <v>50</v>
      </c>
      <c r="S862" s="3" t="n">
        <v>7.2</v>
      </c>
      <c r="T862" s="3" t="n">
        <v>8.1</v>
      </c>
      <c r="U862" s="3"/>
      <c r="V862" s="3" t="n">
        <v>7.2</v>
      </c>
      <c r="W862" s="3" t="s">
        <v>5997</v>
      </c>
    </row>
    <row r="863" customFormat="false" ht="15" hidden="false" customHeight="true" outlineLevel="0" collapsed="false">
      <c r="A863" s="3" t="s">
        <v>6960</v>
      </c>
      <c r="B863" s="3" t="s">
        <v>364</v>
      </c>
      <c r="C863" s="3" t="s">
        <v>4594</v>
      </c>
      <c r="D863" s="3" t="s">
        <v>61</v>
      </c>
      <c r="E863" s="3" t="s">
        <v>33</v>
      </c>
      <c r="F863" s="3" t="s">
        <v>62</v>
      </c>
      <c r="G863" s="3" t="s">
        <v>104</v>
      </c>
      <c r="H863" s="3" t="s">
        <v>42</v>
      </c>
      <c r="I863" s="3" t="s">
        <v>134</v>
      </c>
      <c r="J863" s="3" t="s">
        <v>5989</v>
      </c>
      <c r="K863" s="3" t="n">
        <v>1343383.98</v>
      </c>
      <c r="L863" s="3" t="n">
        <v>0.1651</v>
      </c>
      <c r="M863" s="3" t="n">
        <v>1121591.28</v>
      </c>
      <c r="N863" s="3" t="n">
        <v>492519.42</v>
      </c>
      <c r="O863" s="3" t="n">
        <v>0.4391</v>
      </c>
      <c r="P863" s="3" t="n">
        <v>0.201</v>
      </c>
      <c r="Q863" s="3" t="n">
        <v>225439.85</v>
      </c>
      <c r="R863" s="3" t="n">
        <v>99</v>
      </c>
      <c r="S863" s="3" t="n">
        <v>4.6</v>
      </c>
      <c r="T863" s="3" t="n">
        <v>2.3</v>
      </c>
      <c r="U863" s="3"/>
      <c r="V863" s="3" t="n">
        <v>6.86</v>
      </c>
      <c r="W863" s="3" t="s">
        <v>5997</v>
      </c>
    </row>
    <row r="864" customFormat="false" ht="15" hidden="false" customHeight="true" outlineLevel="0" collapsed="false">
      <c r="A864" s="3" t="s">
        <v>6961</v>
      </c>
      <c r="B864" s="3" t="s">
        <v>2544</v>
      </c>
      <c r="C864" s="3" t="s">
        <v>406</v>
      </c>
      <c r="D864" s="3" t="s">
        <v>23</v>
      </c>
      <c r="E864" s="3" t="s">
        <v>24</v>
      </c>
      <c r="F864" s="3" t="s">
        <v>25</v>
      </c>
      <c r="G864" s="3" t="s">
        <v>71</v>
      </c>
      <c r="H864" s="3" t="s">
        <v>27</v>
      </c>
      <c r="I864" s="3" t="s">
        <v>117</v>
      </c>
      <c r="J864" s="3" t="s">
        <v>5989</v>
      </c>
      <c r="K864" s="3" t="n">
        <v>619383.34</v>
      </c>
      <c r="L864" s="3" t="n">
        <v>0.0756</v>
      </c>
      <c r="M864" s="3" t="n">
        <v>572557.96</v>
      </c>
      <c r="N864" s="3" t="n">
        <v>272936.56</v>
      </c>
      <c r="O864" s="3" t="n">
        <v>0.4767</v>
      </c>
      <c r="P864" s="3" t="n">
        <v>0.238</v>
      </c>
      <c r="Q864" s="3" t="n">
        <v>136268.79</v>
      </c>
      <c r="R864" s="3" t="n">
        <v>46</v>
      </c>
      <c r="S864" s="3" t="n">
        <v>6.4</v>
      </c>
      <c r="T864" s="3" t="n">
        <v>4.6</v>
      </c>
      <c r="U864" s="3"/>
      <c r="V864" s="3" t="n">
        <v>7.79</v>
      </c>
      <c r="W864" s="3" t="s">
        <v>5997</v>
      </c>
    </row>
    <row r="865" customFormat="false" ht="15" hidden="false" customHeight="true" outlineLevel="0" collapsed="false">
      <c r="A865" s="3" t="s">
        <v>6962</v>
      </c>
      <c r="B865" s="3" t="s">
        <v>3205</v>
      </c>
      <c r="C865" s="3" t="s">
        <v>2100</v>
      </c>
      <c r="D865" s="3" t="s">
        <v>47</v>
      </c>
      <c r="E865" s="3" t="s">
        <v>48</v>
      </c>
      <c r="F865" s="3" t="s">
        <v>25</v>
      </c>
      <c r="G865" s="3" t="s">
        <v>84</v>
      </c>
      <c r="H865" s="3" t="s">
        <v>42</v>
      </c>
      <c r="I865" s="3" t="s">
        <v>43</v>
      </c>
      <c r="J865" s="3" t="s">
        <v>6009</v>
      </c>
      <c r="K865" s="3" t="n">
        <v>3665261.73</v>
      </c>
      <c r="L865" s="3" t="n">
        <v>0.0969</v>
      </c>
      <c r="M865" s="3" t="n">
        <v>3310097.87</v>
      </c>
      <c r="N865" s="3" t="n">
        <v>1010420.48</v>
      </c>
      <c r="O865" s="3" t="n">
        <v>0.3053</v>
      </c>
      <c r="P865" s="3" t="n">
        <v>0.044</v>
      </c>
      <c r="Q865" s="3" t="n">
        <v>145644.31</v>
      </c>
      <c r="R865" s="3" t="n">
        <v>94</v>
      </c>
      <c r="S865" s="3" t="n">
        <v>2.8</v>
      </c>
      <c r="T865" s="3" t="n">
        <v>5.4</v>
      </c>
      <c r="U865" s="3" t="s">
        <v>6025</v>
      </c>
      <c r="V865" s="3" t="n">
        <v>5.47</v>
      </c>
      <c r="W865" s="3" t="s">
        <v>5990</v>
      </c>
    </row>
    <row r="866" customFormat="false" ht="15" hidden="false" customHeight="true" outlineLevel="0" collapsed="false">
      <c r="A866" s="3" t="s">
        <v>6963</v>
      </c>
      <c r="B866" s="3" t="s">
        <v>502</v>
      </c>
      <c r="C866" s="3" t="s">
        <v>1180</v>
      </c>
      <c r="D866" s="3" t="s">
        <v>23</v>
      </c>
      <c r="E866" s="3" t="s">
        <v>24</v>
      </c>
      <c r="F866" s="3" t="s">
        <v>25</v>
      </c>
      <c r="G866" s="3" t="s">
        <v>63</v>
      </c>
      <c r="H866" s="3" t="s">
        <v>77</v>
      </c>
      <c r="I866" s="3" t="s">
        <v>85</v>
      </c>
      <c r="J866" s="3" t="s">
        <v>5999</v>
      </c>
      <c r="K866" s="3" t="n">
        <v>1563599.7</v>
      </c>
      <c r="L866" s="3" t="n">
        <v>0.1698</v>
      </c>
      <c r="M866" s="3" t="n">
        <v>1298100.47</v>
      </c>
      <c r="N866" s="3" t="n">
        <v>400981.19</v>
      </c>
      <c r="O866" s="3" t="n">
        <v>0.3089</v>
      </c>
      <c r="P866" s="3" t="n">
        <v>0.46</v>
      </c>
      <c r="Q866" s="3" t="n">
        <v>597126.22</v>
      </c>
      <c r="R866" s="3" t="n">
        <v>112</v>
      </c>
      <c r="S866" s="3" t="n">
        <v>4.7</v>
      </c>
      <c r="T866" s="3" t="n">
        <v>2.8</v>
      </c>
      <c r="U866" s="3"/>
      <c r="V866" s="3" t="n">
        <v>5.75</v>
      </c>
      <c r="W866" s="3" t="s">
        <v>5990</v>
      </c>
    </row>
    <row r="867" customFormat="false" ht="15" hidden="false" customHeight="true" outlineLevel="0" collapsed="false">
      <c r="A867" s="3" t="s">
        <v>6964</v>
      </c>
      <c r="B867" s="3" t="s">
        <v>1276</v>
      </c>
      <c r="C867" s="3" t="s">
        <v>2752</v>
      </c>
      <c r="D867" s="3" t="s">
        <v>61</v>
      </c>
      <c r="E867" s="3" t="s">
        <v>33</v>
      </c>
      <c r="F867" s="3" t="s">
        <v>62</v>
      </c>
      <c r="G867" s="3" t="s">
        <v>34</v>
      </c>
      <c r="H867" s="3" t="s">
        <v>64</v>
      </c>
      <c r="I867" s="3" t="s">
        <v>108</v>
      </c>
      <c r="J867" s="3" t="s">
        <v>5989</v>
      </c>
      <c r="K867" s="3" t="n">
        <v>3094492.97</v>
      </c>
      <c r="L867" s="3" t="n">
        <v>0.1902</v>
      </c>
      <c r="M867" s="3" t="n">
        <v>2505920.41</v>
      </c>
      <c r="N867" s="3" t="n">
        <v>800681.07</v>
      </c>
      <c r="O867" s="3" t="n">
        <v>0.3195</v>
      </c>
      <c r="P867" s="3" t="n">
        <v>0.281</v>
      </c>
      <c r="Q867" s="3" t="n">
        <v>704163.64</v>
      </c>
      <c r="R867" s="3" t="n">
        <v>48</v>
      </c>
      <c r="S867" s="3" t="n">
        <v>8.5</v>
      </c>
      <c r="T867" s="3" t="n">
        <v>1</v>
      </c>
      <c r="U867" s="3"/>
      <c r="V867" s="3" t="n">
        <v>6.88</v>
      </c>
      <c r="W867" s="3" t="s">
        <v>5997</v>
      </c>
    </row>
    <row r="868" customFormat="false" ht="15" hidden="false" customHeight="true" outlineLevel="0" collapsed="false">
      <c r="A868" s="3" t="s">
        <v>6965</v>
      </c>
      <c r="B868" s="3" t="s">
        <v>751</v>
      </c>
      <c r="C868" s="3" t="s">
        <v>1635</v>
      </c>
      <c r="D868" s="3" t="s">
        <v>23</v>
      </c>
      <c r="E868" s="3" t="s">
        <v>24</v>
      </c>
      <c r="F868" s="3" t="s">
        <v>25</v>
      </c>
      <c r="G868" s="3" t="s">
        <v>84</v>
      </c>
      <c r="H868" s="3" t="s">
        <v>77</v>
      </c>
      <c r="I868" s="3" t="s">
        <v>85</v>
      </c>
      <c r="J868" s="3" t="s">
        <v>5989</v>
      </c>
      <c r="K868" s="3" t="n">
        <v>2855028.76</v>
      </c>
      <c r="L868" s="3" t="n">
        <v>0.0676</v>
      </c>
      <c r="M868" s="3" t="n">
        <v>2662028.82</v>
      </c>
      <c r="N868" s="3" t="n">
        <v>821648</v>
      </c>
      <c r="O868" s="3" t="n">
        <v>0.3087</v>
      </c>
      <c r="P868" s="3" t="n">
        <v>0.209</v>
      </c>
      <c r="Q868" s="3" t="n">
        <v>556364.02</v>
      </c>
      <c r="R868" s="3" t="n">
        <v>173</v>
      </c>
      <c r="S868" s="3" t="n">
        <v>5.9</v>
      </c>
      <c r="T868" s="3" t="n">
        <v>2.1</v>
      </c>
      <c r="U868" s="3"/>
      <c r="V868" s="3" t="n">
        <v>7</v>
      </c>
      <c r="W868" s="3" t="s">
        <v>5997</v>
      </c>
    </row>
    <row r="869" customFormat="false" ht="15" hidden="false" customHeight="true" outlineLevel="0" collapsed="false">
      <c r="A869" s="3" t="s">
        <v>6966</v>
      </c>
      <c r="B869" s="3" t="s">
        <v>382</v>
      </c>
      <c r="C869" s="3" t="s">
        <v>4110</v>
      </c>
      <c r="D869" s="3" t="s">
        <v>97</v>
      </c>
      <c r="E869" s="3" t="s">
        <v>48</v>
      </c>
      <c r="F869" s="3" t="s">
        <v>40</v>
      </c>
      <c r="G869" s="3" t="s">
        <v>63</v>
      </c>
      <c r="H869" s="3" t="s">
        <v>77</v>
      </c>
      <c r="I869" s="3" t="s">
        <v>78</v>
      </c>
      <c r="J869" s="3" t="s">
        <v>6009</v>
      </c>
      <c r="K869" s="3" t="n">
        <v>4874625.15</v>
      </c>
      <c r="L869" s="3" t="n">
        <v>0.2348</v>
      </c>
      <c r="M869" s="3" t="n">
        <v>3730063.16</v>
      </c>
      <c r="N869" s="3" t="n">
        <v>1196441.81</v>
      </c>
      <c r="O869" s="3" t="n">
        <v>0.3208</v>
      </c>
      <c r="P869" s="3" t="n">
        <v>0.008</v>
      </c>
      <c r="Q869" s="3" t="n">
        <v>29840.51</v>
      </c>
      <c r="R869" s="3" t="n">
        <v>86</v>
      </c>
      <c r="S869" s="3" t="n">
        <v>3.9</v>
      </c>
      <c r="T869" s="3" t="n">
        <v>7.2</v>
      </c>
      <c r="U869" s="3" t="s">
        <v>6020</v>
      </c>
      <c r="V869" s="3" t="n">
        <v>4.43</v>
      </c>
      <c r="W869" s="3" t="s">
        <v>6000</v>
      </c>
    </row>
    <row r="870" customFormat="false" ht="15" hidden="false" customHeight="true" outlineLevel="0" collapsed="false">
      <c r="A870" s="3" t="s">
        <v>6967</v>
      </c>
      <c r="B870" s="3" t="s">
        <v>486</v>
      </c>
      <c r="C870" s="3" t="s">
        <v>302</v>
      </c>
      <c r="D870" s="3" t="s">
        <v>32</v>
      </c>
      <c r="E870" s="3" t="s">
        <v>33</v>
      </c>
      <c r="F870" s="3" t="s">
        <v>25</v>
      </c>
      <c r="G870" s="3" t="s">
        <v>41</v>
      </c>
      <c r="H870" s="3" t="s">
        <v>77</v>
      </c>
      <c r="I870" s="3" t="s">
        <v>85</v>
      </c>
      <c r="J870" s="3" t="s">
        <v>5996</v>
      </c>
      <c r="K870" s="3" t="n">
        <v>4854922.84</v>
      </c>
      <c r="L870" s="3" t="n">
        <v>0.1646</v>
      </c>
      <c r="M870" s="3" t="n">
        <v>4055802.54</v>
      </c>
      <c r="N870" s="3" t="n">
        <v>1692579.34</v>
      </c>
      <c r="O870" s="3" t="n">
        <v>0.4173</v>
      </c>
      <c r="P870" s="3" t="n">
        <v>0.981</v>
      </c>
      <c r="Q870" s="3" t="n">
        <v>3978742.29</v>
      </c>
      <c r="R870" s="3" t="n">
        <v>32</v>
      </c>
      <c r="S870" s="3" t="n">
        <v>1.8</v>
      </c>
      <c r="T870" s="3" t="n">
        <v>1.1</v>
      </c>
      <c r="U870" s="3"/>
      <c r="V870" s="3" t="n">
        <v>6.17</v>
      </c>
      <c r="W870" s="3" t="s">
        <v>5990</v>
      </c>
    </row>
    <row r="871" customFormat="false" ht="15" hidden="false" customHeight="true" outlineLevel="0" collapsed="false">
      <c r="A871" s="3" t="s">
        <v>6968</v>
      </c>
      <c r="B871" s="3" t="s">
        <v>3095</v>
      </c>
      <c r="C871" s="3" t="s">
        <v>1660</v>
      </c>
      <c r="D871" s="3" t="s">
        <v>47</v>
      </c>
      <c r="E871" s="3" t="s">
        <v>48</v>
      </c>
      <c r="F871" s="3" t="s">
        <v>25</v>
      </c>
      <c r="G871" s="3" t="s">
        <v>71</v>
      </c>
      <c r="H871" s="3" t="s">
        <v>77</v>
      </c>
      <c r="I871" s="3" t="s">
        <v>131</v>
      </c>
      <c r="J871" s="3" t="s">
        <v>6009</v>
      </c>
      <c r="K871" s="3" t="n">
        <v>3094314.89</v>
      </c>
      <c r="L871" s="3" t="n">
        <v>0.2052</v>
      </c>
      <c r="M871" s="3" t="n">
        <v>2459361.47</v>
      </c>
      <c r="N871" s="3" t="n">
        <v>1087042.73</v>
      </c>
      <c r="O871" s="3" t="n">
        <v>0.442</v>
      </c>
      <c r="P871" s="3" t="n">
        <v>0.003</v>
      </c>
      <c r="Q871" s="3" t="n">
        <v>7378.08</v>
      </c>
      <c r="R871" s="3" t="n">
        <v>129</v>
      </c>
      <c r="S871" s="3" t="n">
        <v>1.4</v>
      </c>
      <c r="T871" s="3" t="n">
        <v>5.9</v>
      </c>
      <c r="U871" s="3" t="s">
        <v>6010</v>
      </c>
      <c r="V871" s="3" t="n">
        <v>5.2</v>
      </c>
      <c r="W871" s="3" t="s">
        <v>5990</v>
      </c>
    </row>
    <row r="872" customFormat="false" ht="15" hidden="false" customHeight="true" outlineLevel="0" collapsed="false">
      <c r="A872" s="3" t="s">
        <v>6969</v>
      </c>
      <c r="B872" s="3" t="s">
        <v>30</v>
      </c>
      <c r="C872" s="3" t="s">
        <v>1183</v>
      </c>
      <c r="D872" s="3" t="s">
        <v>32</v>
      </c>
      <c r="E872" s="3" t="s">
        <v>33</v>
      </c>
      <c r="F872" s="3" t="s">
        <v>25</v>
      </c>
      <c r="G872" s="3" t="s">
        <v>104</v>
      </c>
      <c r="H872" s="3" t="s">
        <v>77</v>
      </c>
      <c r="I872" s="3" t="s">
        <v>85</v>
      </c>
      <c r="J872" s="3" t="s">
        <v>5989</v>
      </c>
      <c r="K872" s="3" t="n">
        <v>4079080.68</v>
      </c>
      <c r="L872" s="3" t="n">
        <v>0.2696</v>
      </c>
      <c r="M872" s="3" t="n">
        <v>2979360.53</v>
      </c>
      <c r="N872" s="3" t="n">
        <v>1297467.89</v>
      </c>
      <c r="O872" s="3" t="n">
        <v>0.4355</v>
      </c>
      <c r="P872" s="3" t="n">
        <v>0.208</v>
      </c>
      <c r="Q872" s="3" t="n">
        <v>619706.99</v>
      </c>
      <c r="R872" s="3" t="n">
        <v>32</v>
      </c>
      <c r="S872" s="3" t="n">
        <v>1.4</v>
      </c>
      <c r="T872" s="3" t="n">
        <v>5.2</v>
      </c>
      <c r="U872" s="3"/>
      <c r="V872" s="3" t="n">
        <v>4.71</v>
      </c>
      <c r="W872" s="3" t="s">
        <v>6000</v>
      </c>
    </row>
    <row r="873" customFormat="false" ht="15" hidden="false" customHeight="true" outlineLevel="0" collapsed="false">
      <c r="A873" s="3" t="s">
        <v>6970</v>
      </c>
      <c r="B873" s="3" t="s">
        <v>1104</v>
      </c>
      <c r="C873" s="3" t="s">
        <v>6679</v>
      </c>
      <c r="D873" s="3" t="s">
        <v>32</v>
      </c>
      <c r="E873" s="3" t="s">
        <v>33</v>
      </c>
      <c r="F873" s="3" t="s">
        <v>25</v>
      </c>
      <c r="G873" s="3" t="s">
        <v>100</v>
      </c>
      <c r="H873" s="3" t="s">
        <v>64</v>
      </c>
      <c r="I873" s="3" t="s">
        <v>108</v>
      </c>
      <c r="J873" s="3" t="s">
        <v>5992</v>
      </c>
      <c r="K873" s="3" t="n">
        <v>4800181.74</v>
      </c>
      <c r="L873" s="3" t="n">
        <v>0.2096</v>
      </c>
      <c r="M873" s="3" t="n">
        <v>3794063.65</v>
      </c>
      <c r="N873" s="3" t="n">
        <v>1189516.28</v>
      </c>
      <c r="O873" s="3" t="n">
        <v>0.3135</v>
      </c>
      <c r="P873" s="3" t="n">
        <v>0.719</v>
      </c>
      <c r="Q873" s="3" t="n">
        <v>2727931.76</v>
      </c>
      <c r="R873" s="3" t="n">
        <v>38</v>
      </c>
      <c r="S873" s="3" t="n">
        <v>2.3</v>
      </c>
      <c r="T873" s="3" t="n">
        <v>6.6</v>
      </c>
      <c r="U873" s="3"/>
      <c r="V873" s="3" t="n">
        <v>4.28</v>
      </c>
      <c r="W873" s="3" t="s">
        <v>6000</v>
      </c>
    </row>
    <row r="874" customFormat="false" ht="15" hidden="false" customHeight="true" outlineLevel="0" collapsed="false">
      <c r="A874" s="3" t="s">
        <v>6971</v>
      </c>
      <c r="B874" s="3" t="s">
        <v>3616</v>
      </c>
      <c r="C874" s="3" t="s">
        <v>292</v>
      </c>
      <c r="D874" s="3" t="s">
        <v>32</v>
      </c>
      <c r="E874" s="3" t="s">
        <v>33</v>
      </c>
      <c r="F874" s="3" t="s">
        <v>25</v>
      </c>
      <c r="G874" s="3" t="s">
        <v>41</v>
      </c>
      <c r="H874" s="3" t="s">
        <v>77</v>
      </c>
      <c r="I874" s="3" t="s">
        <v>131</v>
      </c>
      <c r="J874" s="3" t="s">
        <v>5989</v>
      </c>
      <c r="K874" s="3" t="n">
        <v>3957520.81</v>
      </c>
      <c r="L874" s="3" t="n">
        <v>0.1106</v>
      </c>
      <c r="M874" s="3" t="n">
        <v>3519819.01</v>
      </c>
      <c r="N874" s="3" t="n">
        <v>1171413.18</v>
      </c>
      <c r="O874" s="3" t="n">
        <v>0.3328</v>
      </c>
      <c r="P874" s="3" t="n">
        <v>0.222</v>
      </c>
      <c r="Q874" s="3" t="n">
        <v>781399.82</v>
      </c>
      <c r="R874" s="3" t="n">
        <v>70</v>
      </c>
      <c r="S874" s="3" t="n">
        <v>5.9</v>
      </c>
      <c r="T874" s="3" t="n">
        <v>7.1</v>
      </c>
      <c r="U874" s="3"/>
      <c r="V874" s="3" t="n">
        <v>6.08</v>
      </c>
      <c r="W874" s="3" t="s">
        <v>5990</v>
      </c>
    </row>
    <row r="875" customFormat="false" ht="15" hidden="false" customHeight="true" outlineLevel="0" collapsed="false">
      <c r="A875" s="3" t="s">
        <v>6972</v>
      </c>
      <c r="B875" s="3" t="s">
        <v>3158</v>
      </c>
      <c r="C875" s="3" t="s">
        <v>4651</v>
      </c>
      <c r="D875" s="3" t="s">
        <v>61</v>
      </c>
      <c r="E875" s="3" t="s">
        <v>33</v>
      </c>
      <c r="F875" s="3" t="s">
        <v>62</v>
      </c>
      <c r="G875" s="3" t="s">
        <v>34</v>
      </c>
      <c r="H875" s="3" t="s">
        <v>27</v>
      </c>
      <c r="I875" s="3" t="s">
        <v>28</v>
      </c>
      <c r="J875" s="3" t="s">
        <v>5992</v>
      </c>
      <c r="K875" s="3" t="n">
        <v>4959810.67</v>
      </c>
      <c r="L875" s="3" t="n">
        <v>0.1956</v>
      </c>
      <c r="M875" s="3" t="n">
        <v>3989671.7</v>
      </c>
      <c r="N875" s="3" t="n">
        <v>1306140</v>
      </c>
      <c r="O875" s="3" t="n">
        <v>0.3274</v>
      </c>
      <c r="P875" s="3" t="n">
        <v>0.704</v>
      </c>
      <c r="Q875" s="3" t="n">
        <v>2808728.88</v>
      </c>
      <c r="R875" s="3" t="n">
        <v>76</v>
      </c>
      <c r="S875" s="3" t="n">
        <v>7</v>
      </c>
      <c r="T875" s="3" t="n">
        <v>6.4</v>
      </c>
      <c r="U875" s="3"/>
      <c r="V875" s="3" t="n">
        <v>5.72</v>
      </c>
      <c r="W875" s="3" t="s">
        <v>5990</v>
      </c>
    </row>
    <row r="876" customFormat="false" ht="15" hidden="false" customHeight="true" outlineLevel="0" collapsed="false">
      <c r="A876" s="3" t="s">
        <v>6973</v>
      </c>
      <c r="B876" s="3" t="s">
        <v>944</v>
      </c>
      <c r="C876" s="3" t="s">
        <v>3578</v>
      </c>
      <c r="D876" s="3" t="s">
        <v>83</v>
      </c>
      <c r="E876" s="3" t="s">
        <v>48</v>
      </c>
      <c r="F876" s="3" t="s">
        <v>62</v>
      </c>
      <c r="G876" s="3" t="s">
        <v>63</v>
      </c>
      <c r="H876" s="3" t="s">
        <v>56</v>
      </c>
      <c r="I876" s="3" t="s">
        <v>57</v>
      </c>
      <c r="J876" s="3" t="s">
        <v>6009</v>
      </c>
      <c r="K876" s="3" t="n">
        <v>4713822.55</v>
      </c>
      <c r="L876" s="3" t="n">
        <v>0.2554</v>
      </c>
      <c r="M876" s="3" t="n">
        <v>3509912.27</v>
      </c>
      <c r="N876" s="3" t="n">
        <v>1512165.69</v>
      </c>
      <c r="O876" s="3" t="n">
        <v>0.4308</v>
      </c>
      <c r="P876" s="3" t="n">
        <v>0.005</v>
      </c>
      <c r="Q876" s="3" t="n">
        <v>17549.56</v>
      </c>
      <c r="R876" s="3" t="n">
        <v>176</v>
      </c>
      <c r="S876" s="3" t="n">
        <v>3.6</v>
      </c>
      <c r="T876" s="3" t="n">
        <v>2.2</v>
      </c>
      <c r="U876" s="3" t="s">
        <v>6020</v>
      </c>
      <c r="V876" s="3" t="n">
        <v>5.8</v>
      </c>
      <c r="W876" s="3" t="s">
        <v>5990</v>
      </c>
    </row>
    <row r="877" customFormat="false" ht="15" hidden="false" customHeight="true" outlineLevel="0" collapsed="false">
      <c r="A877" s="3" t="s">
        <v>6974</v>
      </c>
      <c r="B877" s="3" t="s">
        <v>175</v>
      </c>
      <c r="C877" s="3" t="s">
        <v>2156</v>
      </c>
      <c r="D877" s="3" t="s">
        <v>47</v>
      </c>
      <c r="E877" s="3" t="s">
        <v>48</v>
      </c>
      <c r="F877" s="3" t="s">
        <v>25</v>
      </c>
      <c r="G877" s="3" t="s">
        <v>76</v>
      </c>
      <c r="H877" s="3" t="s">
        <v>42</v>
      </c>
      <c r="I877" s="3" t="s">
        <v>43</v>
      </c>
      <c r="J877" s="3" t="s">
        <v>5989</v>
      </c>
      <c r="K877" s="3" t="n">
        <v>1338080.58</v>
      </c>
      <c r="L877" s="3" t="n">
        <v>0.1772</v>
      </c>
      <c r="M877" s="3" t="n">
        <v>1100972.7</v>
      </c>
      <c r="N877" s="3" t="n">
        <v>453863.27</v>
      </c>
      <c r="O877" s="3" t="n">
        <v>0.4122</v>
      </c>
      <c r="P877" s="3" t="n">
        <v>0.202</v>
      </c>
      <c r="Q877" s="3" t="n">
        <v>222396.49</v>
      </c>
      <c r="R877" s="3" t="n">
        <v>64</v>
      </c>
      <c r="S877" s="3" t="n">
        <v>4.6</v>
      </c>
      <c r="T877" s="3" t="n">
        <v>8.4</v>
      </c>
      <c r="U877" s="3"/>
      <c r="V877" s="3" t="n">
        <v>5.63</v>
      </c>
      <c r="W877" s="3" t="s">
        <v>5990</v>
      </c>
    </row>
    <row r="878" customFormat="false" ht="15" hidden="false" customHeight="true" outlineLevel="0" collapsed="false">
      <c r="A878" s="3" t="s">
        <v>6975</v>
      </c>
      <c r="B878" s="3" t="s">
        <v>1229</v>
      </c>
      <c r="C878" s="3" t="s">
        <v>6976</v>
      </c>
      <c r="D878" s="3" t="s">
        <v>47</v>
      </c>
      <c r="E878" s="3" t="s">
        <v>48</v>
      </c>
      <c r="F878" s="3" t="s">
        <v>25</v>
      </c>
      <c r="G878" s="3" t="s">
        <v>76</v>
      </c>
      <c r="H878" s="3" t="s">
        <v>56</v>
      </c>
      <c r="I878" s="3" t="s">
        <v>188</v>
      </c>
      <c r="J878" s="3" t="s">
        <v>5996</v>
      </c>
      <c r="K878" s="3" t="n">
        <v>4869322.65</v>
      </c>
      <c r="L878" s="3" t="n">
        <v>0.1893</v>
      </c>
      <c r="M878" s="3" t="n">
        <v>3947559.87</v>
      </c>
      <c r="N878" s="3" t="n">
        <v>1658952.74</v>
      </c>
      <c r="O878" s="3" t="n">
        <v>0.4202</v>
      </c>
      <c r="P878" s="3" t="n">
        <v>1</v>
      </c>
      <c r="Q878" s="3" t="n">
        <v>3947559.87</v>
      </c>
      <c r="R878" s="3" t="n">
        <v>171</v>
      </c>
      <c r="S878" s="3" t="n">
        <v>6.3</v>
      </c>
      <c r="T878" s="3" t="n">
        <v>7.3</v>
      </c>
      <c r="U878" s="3"/>
      <c r="V878" s="3" t="n">
        <v>6.16</v>
      </c>
      <c r="W878" s="3" t="s">
        <v>5990</v>
      </c>
    </row>
    <row r="879" customFormat="false" ht="15" hidden="false" customHeight="true" outlineLevel="0" collapsed="false">
      <c r="A879" s="3" t="s">
        <v>6977</v>
      </c>
      <c r="B879" s="3" t="s">
        <v>142</v>
      </c>
      <c r="C879" s="3" t="s">
        <v>3015</v>
      </c>
      <c r="D879" s="3" t="s">
        <v>75</v>
      </c>
      <c r="E879" s="3" t="s">
        <v>39</v>
      </c>
      <c r="F879" s="3" t="s">
        <v>25</v>
      </c>
      <c r="G879" s="3" t="s">
        <v>55</v>
      </c>
      <c r="H879" s="3" t="s">
        <v>27</v>
      </c>
      <c r="I879" s="3" t="s">
        <v>117</v>
      </c>
      <c r="J879" s="3" t="s">
        <v>5992</v>
      </c>
      <c r="K879" s="3" t="n">
        <v>361608.74</v>
      </c>
      <c r="L879" s="3" t="n">
        <v>0.0525</v>
      </c>
      <c r="M879" s="3" t="n">
        <v>342624.28</v>
      </c>
      <c r="N879" s="3" t="n">
        <v>164137.07</v>
      </c>
      <c r="O879" s="3" t="n">
        <v>0.4791</v>
      </c>
      <c r="P879" s="3" t="n">
        <v>0.742</v>
      </c>
      <c r="Q879" s="3" t="n">
        <v>254227.22</v>
      </c>
      <c r="R879" s="3" t="n">
        <v>74</v>
      </c>
      <c r="S879" s="3" t="n">
        <v>3</v>
      </c>
      <c r="T879" s="3" t="n">
        <v>2.1</v>
      </c>
      <c r="U879" s="3"/>
      <c r="V879" s="3" t="n">
        <v>7.48</v>
      </c>
      <c r="W879" s="3" t="s">
        <v>5997</v>
      </c>
    </row>
    <row r="880" customFormat="false" ht="15" hidden="false" customHeight="true" outlineLevel="0" collapsed="false">
      <c r="A880" s="3" t="s">
        <v>6978</v>
      </c>
      <c r="B880" s="3" t="s">
        <v>799</v>
      </c>
      <c r="C880" s="3" t="s">
        <v>245</v>
      </c>
      <c r="D880" s="3" t="s">
        <v>54</v>
      </c>
      <c r="E880" s="3" t="s">
        <v>24</v>
      </c>
      <c r="F880" s="3" t="s">
        <v>40</v>
      </c>
      <c r="G880" s="3" t="s">
        <v>26</v>
      </c>
      <c r="H880" s="3" t="s">
        <v>27</v>
      </c>
      <c r="I880" s="3" t="s">
        <v>94</v>
      </c>
      <c r="J880" s="3" t="s">
        <v>5992</v>
      </c>
      <c r="K880" s="3" t="n">
        <v>3786247.94</v>
      </c>
      <c r="L880" s="3" t="n">
        <v>0.0689</v>
      </c>
      <c r="M880" s="3" t="n">
        <v>3525375.46</v>
      </c>
      <c r="N880" s="3" t="n">
        <v>1015238.94</v>
      </c>
      <c r="O880" s="3" t="n">
        <v>0.288</v>
      </c>
      <c r="P880" s="3" t="n">
        <v>0.691</v>
      </c>
      <c r="Q880" s="3" t="n">
        <v>2436034.44</v>
      </c>
      <c r="R880" s="3" t="n">
        <v>165</v>
      </c>
      <c r="S880" s="3" t="n">
        <v>9</v>
      </c>
      <c r="T880" s="3" t="n">
        <v>1.2</v>
      </c>
      <c r="U880" s="3"/>
      <c r="V880" s="3" t="n">
        <v>7.74</v>
      </c>
      <c r="W880" s="3" t="s">
        <v>5997</v>
      </c>
    </row>
    <row r="881" customFormat="false" ht="15" hidden="false" customHeight="true" outlineLevel="0" collapsed="false">
      <c r="A881" s="3" t="s">
        <v>6979</v>
      </c>
      <c r="B881" s="3" t="s">
        <v>984</v>
      </c>
      <c r="C881" s="3" t="s">
        <v>227</v>
      </c>
      <c r="D881" s="3" t="s">
        <v>103</v>
      </c>
      <c r="E881" s="3" t="s">
        <v>24</v>
      </c>
      <c r="F881" s="3" t="s">
        <v>62</v>
      </c>
      <c r="G881" s="3" t="s">
        <v>76</v>
      </c>
      <c r="H881" s="3" t="s">
        <v>27</v>
      </c>
      <c r="I881" s="3" t="s">
        <v>173</v>
      </c>
      <c r="J881" s="3" t="s">
        <v>5992</v>
      </c>
      <c r="K881" s="3" t="n">
        <v>1731845.15</v>
      </c>
      <c r="L881" s="3" t="n">
        <v>0.267</v>
      </c>
      <c r="M881" s="3" t="n">
        <v>1269442.49</v>
      </c>
      <c r="N881" s="3" t="n">
        <v>537514.41</v>
      </c>
      <c r="O881" s="3" t="n">
        <v>0.4234</v>
      </c>
      <c r="P881" s="3" t="n">
        <v>0.66</v>
      </c>
      <c r="Q881" s="3" t="n">
        <v>837832.04</v>
      </c>
      <c r="R881" s="3" t="n">
        <v>126</v>
      </c>
      <c r="S881" s="3" t="n">
        <v>8.6</v>
      </c>
      <c r="T881" s="3" t="n">
        <v>2.5</v>
      </c>
      <c r="U881" s="3"/>
      <c r="V881" s="3" t="n">
        <v>6.84</v>
      </c>
      <c r="W881" s="3" t="s">
        <v>5997</v>
      </c>
    </row>
    <row r="882" customFormat="false" ht="15" hidden="false" customHeight="true" outlineLevel="0" collapsed="false">
      <c r="A882" s="3" t="s">
        <v>6980</v>
      </c>
      <c r="B882" s="3" t="s">
        <v>2194</v>
      </c>
      <c r="C882" s="3" t="s">
        <v>2433</v>
      </c>
      <c r="D882" s="3" t="s">
        <v>107</v>
      </c>
      <c r="E882" s="3" t="s">
        <v>33</v>
      </c>
      <c r="F882" s="3" t="s">
        <v>70</v>
      </c>
      <c r="G882" s="3" t="s">
        <v>26</v>
      </c>
      <c r="H882" s="3" t="s">
        <v>27</v>
      </c>
      <c r="I882" s="3" t="s">
        <v>117</v>
      </c>
      <c r="J882" s="3" t="s">
        <v>5992</v>
      </c>
      <c r="K882" s="3" t="n">
        <v>4883491.8</v>
      </c>
      <c r="L882" s="3" t="n">
        <v>0.2125</v>
      </c>
      <c r="M882" s="3" t="n">
        <v>3845749.79</v>
      </c>
      <c r="N882" s="3" t="n">
        <v>1259723.64</v>
      </c>
      <c r="O882" s="3" t="n">
        <v>0.3276</v>
      </c>
      <c r="P882" s="3" t="n">
        <v>0.659</v>
      </c>
      <c r="Q882" s="3" t="n">
        <v>2534349.11</v>
      </c>
      <c r="R882" s="3" t="n">
        <v>118</v>
      </c>
      <c r="S882" s="3" t="n">
        <v>4.4</v>
      </c>
      <c r="T882" s="3" t="n">
        <v>2.9</v>
      </c>
      <c r="U882" s="3"/>
      <c r="V882" s="3" t="n">
        <v>5.45</v>
      </c>
      <c r="W882" s="3" t="s">
        <v>5990</v>
      </c>
    </row>
    <row r="883" customFormat="false" ht="15" hidden="false" customHeight="true" outlineLevel="0" collapsed="false">
      <c r="A883" s="3" t="s">
        <v>6981</v>
      </c>
      <c r="B883" s="3" t="s">
        <v>1003</v>
      </c>
      <c r="C883" s="3" t="s">
        <v>649</v>
      </c>
      <c r="D883" s="3" t="s">
        <v>23</v>
      </c>
      <c r="E883" s="3" t="s">
        <v>24</v>
      </c>
      <c r="F883" s="3" t="s">
        <v>25</v>
      </c>
      <c r="G883" s="3" t="s">
        <v>76</v>
      </c>
      <c r="H883" s="3" t="s">
        <v>77</v>
      </c>
      <c r="I883" s="3" t="s">
        <v>131</v>
      </c>
      <c r="J883" s="3" t="s">
        <v>5996</v>
      </c>
      <c r="K883" s="3" t="n">
        <v>2622145.7</v>
      </c>
      <c r="L883" s="3" t="n">
        <v>0.1816</v>
      </c>
      <c r="M883" s="3" t="n">
        <v>2145964.04</v>
      </c>
      <c r="N883" s="3" t="n">
        <v>888238.27</v>
      </c>
      <c r="O883" s="3" t="n">
        <v>0.4139</v>
      </c>
      <c r="P883" s="3" t="n">
        <v>0.993</v>
      </c>
      <c r="Q883" s="3" t="n">
        <v>2130942.29</v>
      </c>
      <c r="R883" s="3" t="n">
        <v>180</v>
      </c>
      <c r="S883" s="3" t="n">
        <v>2.2</v>
      </c>
      <c r="T883" s="3" t="n">
        <v>5.6</v>
      </c>
      <c r="U883" s="3"/>
      <c r="V883" s="3" t="n">
        <v>5.41</v>
      </c>
      <c r="W883" s="3" t="s">
        <v>5990</v>
      </c>
    </row>
    <row r="884" customFormat="false" ht="15" hidden="false" customHeight="true" outlineLevel="0" collapsed="false">
      <c r="A884" s="3" t="s">
        <v>6982</v>
      </c>
      <c r="B884" s="3" t="s">
        <v>1268</v>
      </c>
      <c r="C884" s="3" t="s">
        <v>3361</v>
      </c>
      <c r="D884" s="3" t="s">
        <v>69</v>
      </c>
      <c r="E884" s="3" t="s">
        <v>39</v>
      </c>
      <c r="F884" s="3" t="s">
        <v>70</v>
      </c>
      <c r="G884" s="3" t="s">
        <v>26</v>
      </c>
      <c r="H884" s="3" t="s">
        <v>77</v>
      </c>
      <c r="I884" s="3" t="s">
        <v>131</v>
      </c>
      <c r="J884" s="3" t="s">
        <v>5999</v>
      </c>
      <c r="K884" s="3" t="n">
        <v>3574022.87</v>
      </c>
      <c r="L884" s="3" t="n">
        <v>0.1236</v>
      </c>
      <c r="M884" s="3" t="n">
        <v>3132273.64</v>
      </c>
      <c r="N884" s="3" t="n">
        <v>1479899.7</v>
      </c>
      <c r="O884" s="3" t="n">
        <v>0.4725</v>
      </c>
      <c r="P884" s="3" t="n">
        <v>0.493</v>
      </c>
      <c r="Q884" s="3" t="n">
        <v>1544210.9</v>
      </c>
      <c r="R884" s="3" t="n">
        <v>119</v>
      </c>
      <c r="S884" s="3" t="n">
        <v>2.6</v>
      </c>
      <c r="T884" s="3" t="n">
        <v>8.7</v>
      </c>
      <c r="U884" s="3"/>
      <c r="V884" s="3" t="n">
        <v>5.82</v>
      </c>
      <c r="W884" s="3" t="s">
        <v>5990</v>
      </c>
    </row>
    <row r="885" customFormat="false" ht="15" hidden="false" customHeight="true" outlineLevel="0" collapsed="false">
      <c r="A885" s="3" t="s">
        <v>6983</v>
      </c>
      <c r="B885" s="3" t="s">
        <v>1233</v>
      </c>
      <c r="C885" s="3" t="s">
        <v>3314</v>
      </c>
      <c r="D885" s="3" t="s">
        <v>103</v>
      </c>
      <c r="E885" s="3" t="s">
        <v>24</v>
      </c>
      <c r="F885" s="3" t="s">
        <v>62</v>
      </c>
      <c r="G885" s="3" t="s">
        <v>116</v>
      </c>
      <c r="H885" s="3" t="s">
        <v>56</v>
      </c>
      <c r="I885" s="3" t="s">
        <v>57</v>
      </c>
      <c r="J885" s="3" t="s">
        <v>5996</v>
      </c>
      <c r="K885" s="3" t="n">
        <v>686709.21</v>
      </c>
      <c r="L885" s="3" t="n">
        <v>0.2828</v>
      </c>
      <c r="M885" s="3" t="n">
        <v>492507.85</v>
      </c>
      <c r="N885" s="3" t="n">
        <v>157988.89</v>
      </c>
      <c r="O885" s="3" t="n">
        <v>0.3208</v>
      </c>
      <c r="P885" s="3" t="n">
        <v>0.985</v>
      </c>
      <c r="Q885" s="3" t="n">
        <v>485120.23</v>
      </c>
      <c r="R885" s="3" t="n">
        <v>148</v>
      </c>
      <c r="S885" s="3" t="n">
        <v>8.2</v>
      </c>
      <c r="T885" s="3" t="n">
        <v>3.1</v>
      </c>
      <c r="U885" s="3"/>
      <c r="V885" s="3" t="n">
        <v>5.72</v>
      </c>
      <c r="W885" s="3" t="s">
        <v>5990</v>
      </c>
    </row>
    <row r="886" customFormat="false" ht="15" hidden="false" customHeight="true" outlineLevel="0" collapsed="false">
      <c r="A886" s="3" t="s">
        <v>6984</v>
      </c>
      <c r="B886" s="3" t="s">
        <v>1684</v>
      </c>
      <c r="C886" s="3" t="s">
        <v>565</v>
      </c>
      <c r="D886" s="3" t="s">
        <v>83</v>
      </c>
      <c r="E886" s="3" t="s">
        <v>48</v>
      </c>
      <c r="F886" s="3" t="s">
        <v>62</v>
      </c>
      <c r="G886" s="3" t="s">
        <v>116</v>
      </c>
      <c r="H886" s="3" t="s">
        <v>56</v>
      </c>
      <c r="I886" s="3" t="s">
        <v>188</v>
      </c>
      <c r="J886" s="3" t="s">
        <v>5999</v>
      </c>
      <c r="K886" s="3" t="n">
        <v>3947495.05</v>
      </c>
      <c r="L886" s="3" t="n">
        <v>0.1195</v>
      </c>
      <c r="M886" s="3" t="n">
        <v>3475769.39</v>
      </c>
      <c r="N886" s="3" t="n">
        <v>1366862.09</v>
      </c>
      <c r="O886" s="3" t="n">
        <v>0.3933</v>
      </c>
      <c r="P886" s="3" t="n">
        <v>0.481</v>
      </c>
      <c r="Q886" s="3" t="n">
        <v>1671845.08</v>
      </c>
      <c r="R886" s="3" t="n">
        <v>84</v>
      </c>
      <c r="S886" s="3" t="n">
        <v>2</v>
      </c>
      <c r="T886" s="3" t="n">
        <v>2.7</v>
      </c>
      <c r="U886" s="3"/>
      <c r="V886" s="3" t="n">
        <v>6.14</v>
      </c>
      <c r="W886" s="3" t="s">
        <v>5990</v>
      </c>
    </row>
    <row r="887" customFormat="false" ht="15" hidden="false" customHeight="true" outlineLevel="0" collapsed="false">
      <c r="A887" s="3" t="s">
        <v>6985</v>
      </c>
      <c r="B887" s="3" t="s">
        <v>1023</v>
      </c>
      <c r="C887" s="3" t="s">
        <v>202</v>
      </c>
      <c r="D887" s="3" t="s">
        <v>23</v>
      </c>
      <c r="E887" s="3" t="s">
        <v>24</v>
      </c>
      <c r="F887" s="3" t="s">
        <v>25</v>
      </c>
      <c r="G887" s="3" t="s">
        <v>116</v>
      </c>
      <c r="H887" s="3" t="s">
        <v>56</v>
      </c>
      <c r="I887" s="3" t="s">
        <v>188</v>
      </c>
      <c r="J887" s="3" t="s">
        <v>5996</v>
      </c>
      <c r="K887" s="3" t="n">
        <v>4442458.63</v>
      </c>
      <c r="L887" s="3" t="n">
        <v>0.258</v>
      </c>
      <c r="M887" s="3" t="n">
        <v>3296304.3</v>
      </c>
      <c r="N887" s="3" t="n">
        <v>1154442.82</v>
      </c>
      <c r="O887" s="3" t="n">
        <v>0.3502</v>
      </c>
      <c r="P887" s="3" t="n">
        <v>1</v>
      </c>
      <c r="Q887" s="3" t="n">
        <v>3296304.3</v>
      </c>
      <c r="R887" s="3" t="n">
        <v>147</v>
      </c>
      <c r="S887" s="3" t="n">
        <v>9.3</v>
      </c>
      <c r="T887" s="3" t="n">
        <v>7.1</v>
      </c>
      <c r="U887" s="3"/>
      <c r="V887" s="3" t="n">
        <v>5.84</v>
      </c>
      <c r="W887" s="3" t="s">
        <v>5990</v>
      </c>
    </row>
    <row r="888" customFormat="false" ht="15" hidden="false" customHeight="true" outlineLevel="0" collapsed="false">
      <c r="A888" s="3" t="s">
        <v>6986</v>
      </c>
      <c r="B888" s="3" t="s">
        <v>554</v>
      </c>
      <c r="C888" s="3" t="s">
        <v>3578</v>
      </c>
      <c r="D888" s="3" t="s">
        <v>103</v>
      </c>
      <c r="E888" s="3" t="s">
        <v>24</v>
      </c>
      <c r="F888" s="3" t="s">
        <v>62</v>
      </c>
      <c r="G888" s="3" t="s">
        <v>100</v>
      </c>
      <c r="H888" s="3" t="s">
        <v>27</v>
      </c>
      <c r="I888" s="3" t="s">
        <v>28</v>
      </c>
      <c r="J888" s="3" t="s">
        <v>5999</v>
      </c>
      <c r="K888" s="3" t="n">
        <v>452022.41</v>
      </c>
      <c r="L888" s="3" t="n">
        <v>0.0802</v>
      </c>
      <c r="M888" s="3" t="n">
        <v>415770.21</v>
      </c>
      <c r="N888" s="3" t="n">
        <v>121022.4</v>
      </c>
      <c r="O888" s="3" t="n">
        <v>0.2911</v>
      </c>
      <c r="P888" s="3" t="n">
        <v>0.438</v>
      </c>
      <c r="Q888" s="3" t="n">
        <v>182107.35</v>
      </c>
      <c r="R888" s="3" t="n">
        <v>87</v>
      </c>
      <c r="S888" s="3" t="n">
        <v>2.2</v>
      </c>
      <c r="T888" s="3" t="n">
        <v>7.9</v>
      </c>
      <c r="U888" s="3"/>
      <c r="V888" s="3" t="n">
        <v>4.96</v>
      </c>
      <c r="W888" s="3" t="s">
        <v>6000</v>
      </c>
    </row>
    <row r="889" customFormat="false" ht="15" hidden="false" customHeight="true" outlineLevel="0" collapsed="false">
      <c r="A889" s="3" t="s">
        <v>6987</v>
      </c>
      <c r="B889" s="3" t="s">
        <v>1202</v>
      </c>
      <c r="C889" s="3" t="s">
        <v>1307</v>
      </c>
      <c r="D889" s="3" t="s">
        <v>103</v>
      </c>
      <c r="E889" s="3" t="s">
        <v>24</v>
      </c>
      <c r="F889" s="3" t="s">
        <v>62</v>
      </c>
      <c r="G889" s="3" t="s">
        <v>71</v>
      </c>
      <c r="H889" s="3" t="s">
        <v>64</v>
      </c>
      <c r="I889" s="3" t="s">
        <v>145</v>
      </c>
      <c r="J889" s="3" t="s">
        <v>5996</v>
      </c>
      <c r="K889" s="3" t="n">
        <v>4859752.32</v>
      </c>
      <c r="L889" s="3" t="n">
        <v>0.1773</v>
      </c>
      <c r="M889" s="3" t="n">
        <v>3998118.23</v>
      </c>
      <c r="N889" s="3" t="n">
        <v>1511089.75</v>
      </c>
      <c r="O889" s="3" t="n">
        <v>0.378</v>
      </c>
      <c r="P889" s="3" t="n">
        <v>1</v>
      </c>
      <c r="Q889" s="3" t="n">
        <v>3998118.23</v>
      </c>
      <c r="R889" s="3" t="n">
        <v>38</v>
      </c>
      <c r="S889" s="3" t="n">
        <v>9.7</v>
      </c>
      <c r="T889" s="3" t="n">
        <v>5.8</v>
      </c>
      <c r="U889" s="3"/>
      <c r="V889" s="3" t="n">
        <v>7.02</v>
      </c>
      <c r="W889" s="3" t="s">
        <v>5997</v>
      </c>
    </row>
    <row r="890" customFormat="false" ht="15" hidden="false" customHeight="true" outlineLevel="0" collapsed="false">
      <c r="A890" s="3" t="s">
        <v>6988</v>
      </c>
      <c r="B890" s="3" t="s">
        <v>1262</v>
      </c>
      <c r="C890" s="3" t="s">
        <v>3434</v>
      </c>
      <c r="D890" s="3" t="s">
        <v>75</v>
      </c>
      <c r="E890" s="3" t="s">
        <v>39</v>
      </c>
      <c r="F890" s="3" t="s">
        <v>25</v>
      </c>
      <c r="G890" s="3" t="s">
        <v>63</v>
      </c>
      <c r="H890" s="3" t="s">
        <v>64</v>
      </c>
      <c r="I890" s="3" t="s">
        <v>145</v>
      </c>
      <c r="J890" s="3" t="s">
        <v>5989</v>
      </c>
      <c r="K890" s="3" t="n">
        <v>453823.03</v>
      </c>
      <c r="L890" s="3" t="n">
        <v>0.1738</v>
      </c>
      <c r="M890" s="3" t="n">
        <v>374948.59</v>
      </c>
      <c r="N890" s="3" t="n">
        <v>151288.25</v>
      </c>
      <c r="O890" s="3" t="n">
        <v>0.4035</v>
      </c>
      <c r="P890" s="3" t="n">
        <v>0.245</v>
      </c>
      <c r="Q890" s="3" t="n">
        <v>91862.4</v>
      </c>
      <c r="R890" s="3" t="n">
        <v>50</v>
      </c>
      <c r="S890" s="3" t="n">
        <v>4.6</v>
      </c>
      <c r="T890" s="3" t="n">
        <v>6.2</v>
      </c>
      <c r="U890" s="3"/>
      <c r="V890" s="3" t="n">
        <v>5.92</v>
      </c>
      <c r="W890" s="3" t="s">
        <v>5990</v>
      </c>
    </row>
    <row r="891" customFormat="false" ht="15" hidden="false" customHeight="true" outlineLevel="0" collapsed="false">
      <c r="A891" s="3" t="s">
        <v>6989</v>
      </c>
      <c r="B891" s="3" t="s">
        <v>3838</v>
      </c>
      <c r="C891" s="3" t="s">
        <v>1200</v>
      </c>
      <c r="D891" s="3" t="s">
        <v>83</v>
      </c>
      <c r="E891" s="3" t="s">
        <v>48</v>
      </c>
      <c r="F891" s="3" t="s">
        <v>62</v>
      </c>
      <c r="G891" s="3" t="s">
        <v>100</v>
      </c>
      <c r="H891" s="3" t="s">
        <v>56</v>
      </c>
      <c r="I891" s="3" t="s">
        <v>121</v>
      </c>
      <c r="J891" s="3" t="s">
        <v>5992</v>
      </c>
      <c r="K891" s="3" t="n">
        <v>4360567.98</v>
      </c>
      <c r="L891" s="3" t="n">
        <v>0.1781</v>
      </c>
      <c r="M891" s="3" t="n">
        <v>3583950.82</v>
      </c>
      <c r="N891" s="3" t="n">
        <v>1228283.26</v>
      </c>
      <c r="O891" s="3" t="n">
        <v>0.3427</v>
      </c>
      <c r="P891" s="3" t="n">
        <v>0.705</v>
      </c>
      <c r="Q891" s="3" t="n">
        <v>2526685.33</v>
      </c>
      <c r="R891" s="3" t="n">
        <v>36</v>
      </c>
      <c r="S891" s="3" t="n">
        <v>8.7</v>
      </c>
      <c r="T891" s="3" t="n">
        <v>2.8</v>
      </c>
      <c r="U891" s="3"/>
      <c r="V891" s="3" t="n">
        <v>6.94</v>
      </c>
      <c r="W891" s="3" t="s">
        <v>5997</v>
      </c>
    </row>
    <row r="892" customFormat="false" ht="15" hidden="false" customHeight="true" outlineLevel="0" collapsed="false">
      <c r="A892" s="3" t="s">
        <v>6990</v>
      </c>
      <c r="B892" s="3" t="s">
        <v>3877</v>
      </c>
      <c r="C892" s="3" t="s">
        <v>1029</v>
      </c>
      <c r="D892" s="3" t="s">
        <v>107</v>
      </c>
      <c r="E892" s="3" t="s">
        <v>33</v>
      </c>
      <c r="F892" s="3" t="s">
        <v>70</v>
      </c>
      <c r="G892" s="3" t="s">
        <v>84</v>
      </c>
      <c r="H892" s="3" t="s">
        <v>64</v>
      </c>
      <c r="I892" s="3" t="s">
        <v>145</v>
      </c>
      <c r="J892" s="3" t="s">
        <v>5996</v>
      </c>
      <c r="K892" s="3" t="n">
        <v>2245948.62</v>
      </c>
      <c r="L892" s="3" t="n">
        <v>0.0614</v>
      </c>
      <c r="M892" s="3" t="n">
        <v>2108047.37</v>
      </c>
      <c r="N892" s="3" t="n">
        <v>600861.94</v>
      </c>
      <c r="O892" s="3" t="n">
        <v>0.285</v>
      </c>
      <c r="P892" s="3" t="n">
        <v>1</v>
      </c>
      <c r="Q892" s="3" t="n">
        <v>2108047.37</v>
      </c>
      <c r="R892" s="3" t="n">
        <v>179</v>
      </c>
      <c r="S892" s="3" t="n">
        <v>7.7</v>
      </c>
      <c r="T892" s="3" t="n">
        <v>3.3</v>
      </c>
      <c r="U892" s="3"/>
      <c r="V892" s="3" t="n">
        <v>7.13</v>
      </c>
      <c r="W892" s="3" t="s">
        <v>5997</v>
      </c>
    </row>
    <row r="893" customFormat="false" ht="15" hidden="false" customHeight="true" outlineLevel="0" collapsed="false">
      <c r="A893" s="3" t="s">
        <v>6991</v>
      </c>
      <c r="B893" s="3" t="s">
        <v>1444</v>
      </c>
      <c r="C893" s="3" t="s">
        <v>6992</v>
      </c>
      <c r="D893" s="3" t="s">
        <v>69</v>
      </c>
      <c r="E893" s="3" t="s">
        <v>39</v>
      </c>
      <c r="F893" s="3" t="s">
        <v>70</v>
      </c>
      <c r="G893" s="3" t="s">
        <v>104</v>
      </c>
      <c r="H893" s="3" t="s">
        <v>27</v>
      </c>
      <c r="I893" s="3" t="s">
        <v>94</v>
      </c>
      <c r="J893" s="3" t="s">
        <v>5989</v>
      </c>
      <c r="K893" s="3" t="n">
        <v>2609923.85</v>
      </c>
      <c r="L893" s="3" t="n">
        <v>0.2854</v>
      </c>
      <c r="M893" s="3" t="n">
        <v>1865051.58</v>
      </c>
      <c r="N893" s="3" t="n">
        <v>814814.53</v>
      </c>
      <c r="O893" s="3" t="n">
        <v>0.4369</v>
      </c>
      <c r="P893" s="3" t="n">
        <v>0.27</v>
      </c>
      <c r="Q893" s="3" t="n">
        <v>503563.93</v>
      </c>
      <c r="R893" s="3" t="n">
        <v>34</v>
      </c>
      <c r="S893" s="3" t="n">
        <v>8.5</v>
      </c>
      <c r="T893" s="3" t="n">
        <v>2.6</v>
      </c>
      <c r="U893" s="3"/>
      <c r="V893" s="3" t="n">
        <v>6.75</v>
      </c>
      <c r="W893" s="3" t="s">
        <v>5997</v>
      </c>
    </row>
    <row r="894" customFormat="false" ht="15" hidden="false" customHeight="true" outlineLevel="0" collapsed="false">
      <c r="A894" s="3" t="s">
        <v>6993</v>
      </c>
      <c r="B894" s="3" t="s">
        <v>1428</v>
      </c>
      <c r="C894" s="3" t="s">
        <v>929</v>
      </c>
      <c r="D894" s="3" t="s">
        <v>23</v>
      </c>
      <c r="E894" s="3" t="s">
        <v>24</v>
      </c>
      <c r="F894" s="3" t="s">
        <v>25</v>
      </c>
      <c r="G894" s="3" t="s">
        <v>26</v>
      </c>
      <c r="H894" s="3" t="s">
        <v>27</v>
      </c>
      <c r="I894" s="3" t="s">
        <v>50</v>
      </c>
      <c r="J894" s="3" t="s">
        <v>5989</v>
      </c>
      <c r="K894" s="3" t="n">
        <v>1406447.38</v>
      </c>
      <c r="L894" s="3" t="n">
        <v>0.1239</v>
      </c>
      <c r="M894" s="3" t="n">
        <v>1232188.55</v>
      </c>
      <c r="N894" s="3" t="n">
        <v>497363</v>
      </c>
      <c r="O894" s="3" t="n">
        <v>0.4036</v>
      </c>
      <c r="P894" s="3" t="n">
        <v>0.263</v>
      </c>
      <c r="Q894" s="3" t="n">
        <v>324065.59</v>
      </c>
      <c r="R894" s="3" t="n">
        <v>150</v>
      </c>
      <c r="S894" s="3" t="n">
        <v>3.7</v>
      </c>
      <c r="T894" s="3" t="n">
        <v>8.2</v>
      </c>
      <c r="U894" s="3"/>
      <c r="V894" s="3" t="n">
        <v>5.82</v>
      </c>
      <c r="W894" s="3" t="s">
        <v>5990</v>
      </c>
    </row>
    <row r="895" customFormat="false" ht="15" hidden="false" customHeight="true" outlineLevel="0" collapsed="false">
      <c r="A895" s="3" t="s">
        <v>6994</v>
      </c>
      <c r="B895" s="3" t="s">
        <v>1735</v>
      </c>
      <c r="C895" s="3" t="s">
        <v>860</v>
      </c>
      <c r="D895" s="3" t="s">
        <v>38</v>
      </c>
      <c r="E895" s="3" t="s">
        <v>39</v>
      </c>
      <c r="F895" s="3" t="s">
        <v>40</v>
      </c>
      <c r="G895" s="3" t="s">
        <v>76</v>
      </c>
      <c r="H895" s="3" t="s">
        <v>77</v>
      </c>
      <c r="I895" s="3" t="s">
        <v>131</v>
      </c>
      <c r="J895" s="3" t="s">
        <v>5992</v>
      </c>
      <c r="K895" s="3" t="n">
        <v>4190140.76</v>
      </c>
      <c r="L895" s="3" t="n">
        <v>0.0539</v>
      </c>
      <c r="M895" s="3" t="n">
        <v>3964292.17</v>
      </c>
      <c r="N895" s="3" t="n">
        <v>1885980.05</v>
      </c>
      <c r="O895" s="3" t="n">
        <v>0.4757</v>
      </c>
      <c r="P895" s="3" t="n">
        <v>0.695</v>
      </c>
      <c r="Q895" s="3" t="n">
        <v>2755183.06</v>
      </c>
      <c r="R895" s="3" t="n">
        <v>165</v>
      </c>
      <c r="S895" s="3" t="n">
        <v>5.7</v>
      </c>
      <c r="T895" s="3" t="n">
        <v>7.6</v>
      </c>
      <c r="U895" s="3"/>
      <c r="V895" s="3" t="n">
        <v>7.33</v>
      </c>
      <c r="W895" s="3" t="s">
        <v>5997</v>
      </c>
    </row>
    <row r="896" customFormat="false" ht="15" hidden="false" customHeight="true" outlineLevel="0" collapsed="false">
      <c r="A896" s="3" t="s">
        <v>6995</v>
      </c>
      <c r="B896" s="3" t="s">
        <v>2867</v>
      </c>
      <c r="C896" s="3" t="s">
        <v>5161</v>
      </c>
      <c r="D896" s="3" t="s">
        <v>69</v>
      </c>
      <c r="E896" s="3" t="s">
        <v>39</v>
      </c>
      <c r="F896" s="3" t="s">
        <v>70</v>
      </c>
      <c r="G896" s="3" t="s">
        <v>49</v>
      </c>
      <c r="H896" s="3" t="s">
        <v>64</v>
      </c>
      <c r="I896" s="3" t="s">
        <v>145</v>
      </c>
      <c r="J896" s="3" t="s">
        <v>6003</v>
      </c>
      <c r="K896" s="3" t="n">
        <v>1328683.58</v>
      </c>
      <c r="L896" s="3" t="n">
        <v>0.2046</v>
      </c>
      <c r="M896" s="3" t="n">
        <v>1056834.92</v>
      </c>
      <c r="N896" s="3" t="n">
        <v>488407.94</v>
      </c>
      <c r="O896" s="3" t="n">
        <v>0.4621</v>
      </c>
      <c r="P896" s="3" t="n">
        <v>0.113</v>
      </c>
      <c r="Q896" s="3" t="n">
        <v>119422.35</v>
      </c>
      <c r="R896" s="3" t="n">
        <v>64</v>
      </c>
      <c r="S896" s="3" t="n">
        <v>2.9</v>
      </c>
      <c r="T896" s="3" t="n">
        <v>5</v>
      </c>
      <c r="U896" s="3"/>
      <c r="V896" s="3" t="n">
        <v>5.77</v>
      </c>
      <c r="W896" s="3" t="s">
        <v>5990</v>
      </c>
    </row>
    <row r="897" customFormat="false" ht="15" hidden="false" customHeight="true" outlineLevel="0" collapsed="false">
      <c r="A897" s="3" t="s">
        <v>6996</v>
      </c>
      <c r="B897" s="3" t="s">
        <v>208</v>
      </c>
      <c r="C897" s="3" t="s">
        <v>283</v>
      </c>
      <c r="D897" s="3" t="s">
        <v>47</v>
      </c>
      <c r="E897" s="3" t="s">
        <v>48</v>
      </c>
      <c r="F897" s="3" t="s">
        <v>25</v>
      </c>
      <c r="G897" s="3" t="s">
        <v>84</v>
      </c>
      <c r="H897" s="3" t="s">
        <v>77</v>
      </c>
      <c r="I897" s="3" t="s">
        <v>131</v>
      </c>
      <c r="J897" s="3" t="s">
        <v>6003</v>
      </c>
      <c r="K897" s="3" t="n">
        <v>3529064.45</v>
      </c>
      <c r="L897" s="3" t="n">
        <v>0.0766</v>
      </c>
      <c r="M897" s="3" t="n">
        <v>3258738.11</v>
      </c>
      <c r="N897" s="3" t="n">
        <v>1117566.02</v>
      </c>
      <c r="O897" s="3" t="n">
        <v>0.3429</v>
      </c>
      <c r="P897" s="3" t="n">
        <v>0.123</v>
      </c>
      <c r="Q897" s="3" t="n">
        <v>400824.79</v>
      </c>
      <c r="R897" s="3" t="n">
        <v>156</v>
      </c>
      <c r="S897" s="3" t="n">
        <v>8.7</v>
      </c>
      <c r="T897" s="3" t="n">
        <v>3.8</v>
      </c>
      <c r="U897" s="3"/>
      <c r="V897" s="3" t="n">
        <v>7.61</v>
      </c>
      <c r="W897" s="3" t="s">
        <v>5997</v>
      </c>
    </row>
    <row r="898" customFormat="false" ht="15" hidden="false" customHeight="true" outlineLevel="0" collapsed="false">
      <c r="A898" s="3" t="s">
        <v>6997</v>
      </c>
      <c r="B898" s="3" t="s">
        <v>2361</v>
      </c>
      <c r="C898" s="3" t="s">
        <v>142</v>
      </c>
      <c r="D898" s="3" t="s">
        <v>97</v>
      </c>
      <c r="E898" s="3" t="s">
        <v>48</v>
      </c>
      <c r="F898" s="3" t="s">
        <v>40</v>
      </c>
      <c r="G898" s="3" t="s">
        <v>41</v>
      </c>
      <c r="H898" s="3" t="s">
        <v>56</v>
      </c>
      <c r="I898" s="3" t="s">
        <v>121</v>
      </c>
      <c r="J898" s="3" t="s">
        <v>5996</v>
      </c>
      <c r="K898" s="3" t="n">
        <v>4870692.5</v>
      </c>
      <c r="L898" s="3" t="n">
        <v>0.2828</v>
      </c>
      <c r="M898" s="3" t="n">
        <v>3493260.66</v>
      </c>
      <c r="N898" s="3" t="n">
        <v>1311924.1</v>
      </c>
      <c r="O898" s="3" t="n">
        <v>0.3756</v>
      </c>
      <c r="P898" s="3" t="n">
        <v>0.981</v>
      </c>
      <c r="Q898" s="3" t="n">
        <v>3426888.71</v>
      </c>
      <c r="R898" s="3" t="n">
        <v>149</v>
      </c>
      <c r="S898" s="3" t="n">
        <v>5.7</v>
      </c>
      <c r="T898" s="3" t="n">
        <v>8.5</v>
      </c>
      <c r="U898" s="3"/>
      <c r="V898" s="3" t="n">
        <v>4.71</v>
      </c>
      <c r="W898" s="3" t="s">
        <v>6000</v>
      </c>
    </row>
    <row r="899" customFormat="false" ht="15" hidden="false" customHeight="true" outlineLevel="0" collapsed="false">
      <c r="A899" s="3" t="s">
        <v>6998</v>
      </c>
      <c r="B899" s="3" t="s">
        <v>1426</v>
      </c>
      <c r="C899" s="3" t="s">
        <v>914</v>
      </c>
      <c r="D899" s="3" t="s">
        <v>61</v>
      </c>
      <c r="E899" s="3" t="s">
        <v>33</v>
      </c>
      <c r="F899" s="3" t="s">
        <v>62</v>
      </c>
      <c r="G899" s="3" t="s">
        <v>100</v>
      </c>
      <c r="H899" s="3" t="s">
        <v>56</v>
      </c>
      <c r="I899" s="3" t="s">
        <v>188</v>
      </c>
      <c r="J899" s="3" t="s">
        <v>5999</v>
      </c>
      <c r="K899" s="3" t="n">
        <v>1996319.6</v>
      </c>
      <c r="L899" s="3" t="n">
        <v>0.0849</v>
      </c>
      <c r="M899" s="3" t="n">
        <v>1826832.07</v>
      </c>
      <c r="N899" s="3" t="n">
        <v>591622.8</v>
      </c>
      <c r="O899" s="3" t="n">
        <v>0.3239</v>
      </c>
      <c r="P899" s="3" t="n">
        <v>0.406</v>
      </c>
      <c r="Q899" s="3" t="n">
        <v>741693.82</v>
      </c>
      <c r="R899" s="3" t="n">
        <v>79</v>
      </c>
      <c r="S899" s="3" t="n">
        <v>4.3</v>
      </c>
      <c r="T899" s="3" t="n">
        <v>2.3</v>
      </c>
      <c r="U899" s="3"/>
      <c r="V899" s="3" t="n">
        <v>6.55</v>
      </c>
      <c r="W899" s="3" t="s">
        <v>5997</v>
      </c>
    </row>
    <row r="900" customFormat="false" ht="15" hidden="false" customHeight="true" outlineLevel="0" collapsed="false">
      <c r="A900" s="3" t="s">
        <v>6999</v>
      </c>
      <c r="B900" s="3" t="s">
        <v>3296</v>
      </c>
      <c r="C900" s="3" t="s">
        <v>6552</v>
      </c>
      <c r="D900" s="3" t="s">
        <v>54</v>
      </c>
      <c r="E900" s="3" t="s">
        <v>24</v>
      </c>
      <c r="F900" s="3" t="s">
        <v>40</v>
      </c>
      <c r="G900" s="3" t="s">
        <v>41</v>
      </c>
      <c r="H900" s="3" t="s">
        <v>77</v>
      </c>
      <c r="I900" s="3" t="s">
        <v>78</v>
      </c>
      <c r="J900" s="3" t="s">
        <v>6003</v>
      </c>
      <c r="K900" s="3" t="n">
        <v>1151073.37</v>
      </c>
      <c r="L900" s="3" t="n">
        <v>0.1927</v>
      </c>
      <c r="M900" s="3" t="n">
        <v>929261.53</v>
      </c>
      <c r="N900" s="3" t="n">
        <v>287428.65</v>
      </c>
      <c r="O900" s="3" t="n">
        <v>0.3093</v>
      </c>
      <c r="P900" s="3" t="n">
        <v>0.065</v>
      </c>
      <c r="Q900" s="3" t="n">
        <v>60402</v>
      </c>
      <c r="R900" s="3" t="n">
        <v>117</v>
      </c>
      <c r="S900" s="3" t="n">
        <v>7.4</v>
      </c>
      <c r="T900" s="3" t="n">
        <v>6.2</v>
      </c>
      <c r="U900" s="3"/>
      <c r="V900" s="3" t="n">
        <v>5.74</v>
      </c>
      <c r="W900" s="3" t="s">
        <v>5990</v>
      </c>
    </row>
    <row r="901" customFormat="false" ht="15" hidden="false" customHeight="true" outlineLevel="0" collapsed="false">
      <c r="A901" s="3" t="s">
        <v>7000</v>
      </c>
      <c r="B901" s="3" t="s">
        <v>310</v>
      </c>
      <c r="C901" s="3" t="s">
        <v>500</v>
      </c>
      <c r="D901" s="3" t="s">
        <v>47</v>
      </c>
      <c r="E901" s="3" t="s">
        <v>48</v>
      </c>
      <c r="F901" s="3" t="s">
        <v>25</v>
      </c>
      <c r="G901" s="3" t="s">
        <v>55</v>
      </c>
      <c r="H901" s="3" t="s">
        <v>27</v>
      </c>
      <c r="I901" s="3" t="s">
        <v>50</v>
      </c>
      <c r="J901" s="3" t="s">
        <v>5996</v>
      </c>
      <c r="K901" s="3" t="n">
        <v>1508001.01</v>
      </c>
      <c r="L901" s="3" t="n">
        <v>0.0774</v>
      </c>
      <c r="M901" s="3" t="n">
        <v>1391281.73</v>
      </c>
      <c r="N901" s="3" t="n">
        <v>463127.87</v>
      </c>
      <c r="O901" s="3" t="n">
        <v>0.3329</v>
      </c>
      <c r="P901" s="3" t="n">
        <v>0.957</v>
      </c>
      <c r="Q901" s="3" t="n">
        <v>1331456.62</v>
      </c>
      <c r="R901" s="3" t="n">
        <v>63</v>
      </c>
      <c r="S901" s="3" t="n">
        <v>6.6</v>
      </c>
      <c r="T901" s="3" t="n">
        <v>1.6</v>
      </c>
      <c r="U901" s="3"/>
      <c r="V901" s="3" t="n">
        <v>7.35</v>
      </c>
      <c r="W901" s="3" t="s">
        <v>5997</v>
      </c>
    </row>
    <row r="902" customFormat="false" ht="15" hidden="false" customHeight="true" outlineLevel="0" collapsed="false">
      <c r="A902" s="3" t="s">
        <v>7001</v>
      </c>
      <c r="B902" s="3" t="s">
        <v>225</v>
      </c>
      <c r="C902" s="3" t="s">
        <v>3151</v>
      </c>
      <c r="D902" s="3" t="s">
        <v>32</v>
      </c>
      <c r="E902" s="3" t="s">
        <v>33</v>
      </c>
      <c r="F902" s="3" t="s">
        <v>25</v>
      </c>
      <c r="G902" s="3" t="s">
        <v>100</v>
      </c>
      <c r="H902" s="3" t="s">
        <v>77</v>
      </c>
      <c r="I902" s="3" t="s">
        <v>78</v>
      </c>
      <c r="J902" s="3" t="s">
        <v>6009</v>
      </c>
      <c r="K902" s="3" t="n">
        <v>1251779.1</v>
      </c>
      <c r="L902" s="3" t="n">
        <v>0.1595</v>
      </c>
      <c r="M902" s="3" t="n">
        <v>1052120.33</v>
      </c>
      <c r="N902" s="3" t="n">
        <v>484002.66</v>
      </c>
      <c r="O902" s="3" t="n">
        <v>0.46</v>
      </c>
      <c r="P902" s="3" t="n">
        <v>0.029</v>
      </c>
      <c r="Q902" s="3" t="n">
        <v>30511.49</v>
      </c>
      <c r="R902" s="3" t="n">
        <v>106</v>
      </c>
      <c r="S902" s="3" t="n">
        <v>6.2</v>
      </c>
      <c r="T902" s="3" t="n">
        <v>8.6</v>
      </c>
      <c r="U902" s="3" t="s">
        <v>6025</v>
      </c>
      <c r="V902" s="3" t="n">
        <v>6.43</v>
      </c>
      <c r="W902" s="3" t="s">
        <v>5990</v>
      </c>
    </row>
    <row r="903" customFormat="false" ht="15" hidden="false" customHeight="true" outlineLevel="0" collapsed="false">
      <c r="A903" s="3" t="s">
        <v>7002</v>
      </c>
      <c r="B903" s="3" t="s">
        <v>979</v>
      </c>
      <c r="C903" s="3" t="s">
        <v>907</v>
      </c>
      <c r="D903" s="3" t="s">
        <v>54</v>
      </c>
      <c r="E903" s="3" t="s">
        <v>24</v>
      </c>
      <c r="F903" s="3" t="s">
        <v>40</v>
      </c>
      <c r="G903" s="3" t="s">
        <v>84</v>
      </c>
      <c r="H903" s="3" t="s">
        <v>27</v>
      </c>
      <c r="I903" s="3" t="s">
        <v>50</v>
      </c>
      <c r="J903" s="3" t="s">
        <v>6003</v>
      </c>
      <c r="K903" s="3" t="n">
        <v>4328952.3</v>
      </c>
      <c r="L903" s="3" t="n">
        <v>0.1415</v>
      </c>
      <c r="M903" s="3" t="n">
        <v>3716405.55</v>
      </c>
      <c r="N903" s="3" t="n">
        <v>1444494.8</v>
      </c>
      <c r="O903" s="3" t="n">
        <v>0.3887</v>
      </c>
      <c r="P903" s="3" t="n">
        <v>0.082</v>
      </c>
      <c r="Q903" s="3" t="n">
        <v>304745.26</v>
      </c>
      <c r="R903" s="3" t="n">
        <v>120</v>
      </c>
      <c r="S903" s="3" t="n">
        <v>9.7</v>
      </c>
      <c r="T903" s="3" t="n">
        <v>4.5</v>
      </c>
      <c r="U903" s="3"/>
      <c r="V903" s="3" t="n">
        <v>7.58</v>
      </c>
      <c r="W903" s="3" t="s">
        <v>5997</v>
      </c>
    </row>
    <row r="904" customFormat="false" ht="15" hidden="false" customHeight="true" outlineLevel="0" collapsed="false">
      <c r="A904" s="3" t="s">
        <v>7003</v>
      </c>
      <c r="B904" s="3" t="s">
        <v>3232</v>
      </c>
      <c r="C904" s="3" t="s">
        <v>1287</v>
      </c>
      <c r="D904" s="3" t="s">
        <v>97</v>
      </c>
      <c r="E904" s="3" t="s">
        <v>48</v>
      </c>
      <c r="F904" s="3" t="s">
        <v>40</v>
      </c>
      <c r="G904" s="3" t="s">
        <v>71</v>
      </c>
      <c r="H904" s="3" t="s">
        <v>42</v>
      </c>
      <c r="I904" s="3" t="s">
        <v>43</v>
      </c>
      <c r="J904" s="3" t="s">
        <v>5999</v>
      </c>
      <c r="K904" s="3" t="n">
        <v>2005455.09</v>
      </c>
      <c r="L904" s="3" t="n">
        <v>0.1549</v>
      </c>
      <c r="M904" s="3" t="n">
        <v>1694810.1</v>
      </c>
      <c r="N904" s="3" t="n">
        <v>781264.26</v>
      </c>
      <c r="O904" s="3" t="n">
        <v>0.461</v>
      </c>
      <c r="P904" s="3" t="n">
        <v>0.497</v>
      </c>
      <c r="Q904" s="3" t="n">
        <v>842320.62</v>
      </c>
      <c r="R904" s="3" t="n">
        <v>42</v>
      </c>
      <c r="S904" s="3" t="n">
        <v>8.4</v>
      </c>
      <c r="T904" s="3" t="n">
        <v>2.3</v>
      </c>
      <c r="U904" s="3"/>
      <c r="V904" s="3" t="n">
        <v>7.96</v>
      </c>
      <c r="W904" s="3" t="s">
        <v>5997</v>
      </c>
    </row>
    <row r="905" customFormat="false" ht="15" hidden="false" customHeight="true" outlineLevel="0" collapsed="false">
      <c r="A905" s="3" t="s">
        <v>7004</v>
      </c>
      <c r="B905" s="3" t="s">
        <v>1662</v>
      </c>
      <c r="C905" s="3" t="s">
        <v>4110</v>
      </c>
      <c r="D905" s="3" t="s">
        <v>83</v>
      </c>
      <c r="E905" s="3" t="s">
        <v>48</v>
      </c>
      <c r="F905" s="3" t="s">
        <v>62</v>
      </c>
      <c r="G905" s="3" t="s">
        <v>100</v>
      </c>
      <c r="H905" s="3" t="s">
        <v>27</v>
      </c>
      <c r="I905" s="3" t="s">
        <v>28</v>
      </c>
      <c r="J905" s="3" t="s">
        <v>5996</v>
      </c>
      <c r="K905" s="3" t="n">
        <v>137579.26</v>
      </c>
      <c r="L905" s="3" t="n">
        <v>0.1344</v>
      </c>
      <c r="M905" s="3" t="n">
        <v>119088.61</v>
      </c>
      <c r="N905" s="3" t="n">
        <v>44623.3</v>
      </c>
      <c r="O905" s="3" t="n">
        <v>0.3747</v>
      </c>
      <c r="P905" s="3" t="n">
        <v>1</v>
      </c>
      <c r="Q905" s="3" t="n">
        <v>119088.61</v>
      </c>
      <c r="R905" s="3" t="n">
        <v>63</v>
      </c>
      <c r="S905" s="3" t="n">
        <v>6.1</v>
      </c>
      <c r="T905" s="3" t="n">
        <v>5.4</v>
      </c>
      <c r="U905" s="3"/>
      <c r="V905" s="3" t="n">
        <v>6.49</v>
      </c>
      <c r="W905" s="3" t="s">
        <v>5990</v>
      </c>
    </row>
    <row r="906" customFormat="false" ht="15" hidden="false" customHeight="true" outlineLevel="0" collapsed="false">
      <c r="A906" s="3" t="s">
        <v>7005</v>
      </c>
      <c r="B906" s="3" t="s">
        <v>1188</v>
      </c>
      <c r="C906" s="3" t="s">
        <v>3578</v>
      </c>
      <c r="D906" s="3" t="s">
        <v>38</v>
      </c>
      <c r="E906" s="3" t="s">
        <v>39</v>
      </c>
      <c r="F906" s="3" t="s">
        <v>40</v>
      </c>
      <c r="G906" s="3" t="s">
        <v>41</v>
      </c>
      <c r="H906" s="3" t="s">
        <v>64</v>
      </c>
      <c r="I906" s="3" t="s">
        <v>90</v>
      </c>
      <c r="J906" s="3" t="s">
        <v>5999</v>
      </c>
      <c r="K906" s="3" t="n">
        <v>4363418.31</v>
      </c>
      <c r="L906" s="3" t="n">
        <v>0.0843</v>
      </c>
      <c r="M906" s="3" t="n">
        <v>3995582.15</v>
      </c>
      <c r="N906" s="3" t="n">
        <v>1549944.48</v>
      </c>
      <c r="O906" s="3" t="n">
        <v>0.3879</v>
      </c>
      <c r="P906" s="3" t="n">
        <v>0.403</v>
      </c>
      <c r="Q906" s="3" t="n">
        <v>1610219.61</v>
      </c>
      <c r="R906" s="3" t="n">
        <v>103</v>
      </c>
      <c r="S906" s="3" t="n">
        <v>7.4</v>
      </c>
      <c r="T906" s="3" t="n">
        <v>8.6</v>
      </c>
      <c r="U906" s="3"/>
      <c r="V906" s="3" t="n">
        <v>6.87</v>
      </c>
      <c r="W906" s="3" t="s">
        <v>5997</v>
      </c>
    </row>
    <row r="907" customFormat="false" ht="15" hidden="false" customHeight="true" outlineLevel="0" collapsed="false">
      <c r="A907" s="3" t="s">
        <v>7006</v>
      </c>
      <c r="B907" s="3" t="s">
        <v>170</v>
      </c>
      <c r="C907" s="3" t="s">
        <v>1623</v>
      </c>
      <c r="D907" s="3" t="s">
        <v>69</v>
      </c>
      <c r="E907" s="3" t="s">
        <v>39</v>
      </c>
      <c r="F907" s="3" t="s">
        <v>70</v>
      </c>
      <c r="G907" s="3" t="s">
        <v>55</v>
      </c>
      <c r="H907" s="3" t="s">
        <v>64</v>
      </c>
      <c r="I907" s="3" t="s">
        <v>145</v>
      </c>
      <c r="J907" s="3" t="s">
        <v>5996</v>
      </c>
      <c r="K907" s="3" t="n">
        <v>2590660.07</v>
      </c>
      <c r="L907" s="3" t="n">
        <v>0.1145</v>
      </c>
      <c r="M907" s="3" t="n">
        <v>2294029.49</v>
      </c>
      <c r="N907" s="3" t="n">
        <v>1079492.03</v>
      </c>
      <c r="O907" s="3" t="n">
        <v>0.4706</v>
      </c>
      <c r="P907" s="3" t="n">
        <v>0.957</v>
      </c>
      <c r="Q907" s="3" t="n">
        <v>2195386.22</v>
      </c>
      <c r="R907" s="3" t="n">
        <v>120</v>
      </c>
      <c r="S907" s="3" t="n">
        <v>4.9</v>
      </c>
      <c r="T907" s="3" t="n">
        <v>7.8</v>
      </c>
      <c r="U907" s="3"/>
      <c r="V907" s="3" t="n">
        <v>6.61</v>
      </c>
      <c r="W907" s="3" t="s">
        <v>5997</v>
      </c>
    </row>
    <row r="908" customFormat="false" ht="15" hidden="false" customHeight="true" outlineLevel="0" collapsed="false">
      <c r="A908" s="3" t="s">
        <v>7007</v>
      </c>
      <c r="B908" s="3" t="s">
        <v>2760</v>
      </c>
      <c r="C908" s="3" t="s">
        <v>1492</v>
      </c>
      <c r="D908" s="3" t="s">
        <v>97</v>
      </c>
      <c r="E908" s="3" t="s">
        <v>48</v>
      </c>
      <c r="F908" s="3" t="s">
        <v>40</v>
      </c>
      <c r="G908" s="3" t="s">
        <v>34</v>
      </c>
      <c r="H908" s="3" t="s">
        <v>56</v>
      </c>
      <c r="I908" s="3" t="s">
        <v>121</v>
      </c>
      <c r="J908" s="3" t="s">
        <v>5996</v>
      </c>
      <c r="K908" s="3" t="n">
        <v>4104665.94</v>
      </c>
      <c r="L908" s="3" t="n">
        <v>0.101</v>
      </c>
      <c r="M908" s="3" t="n">
        <v>3690094.68</v>
      </c>
      <c r="N908" s="3" t="n">
        <v>1067368.62</v>
      </c>
      <c r="O908" s="3" t="n">
        <v>0.2893</v>
      </c>
      <c r="P908" s="3" t="n">
        <v>1</v>
      </c>
      <c r="Q908" s="3" t="n">
        <v>3690094.68</v>
      </c>
      <c r="R908" s="3" t="n">
        <v>165</v>
      </c>
      <c r="S908" s="3" t="n">
        <v>7</v>
      </c>
      <c r="T908" s="3" t="n">
        <v>5.5</v>
      </c>
      <c r="U908" s="3"/>
      <c r="V908" s="3" t="n">
        <v>6.31</v>
      </c>
      <c r="W908" s="3" t="s">
        <v>5990</v>
      </c>
    </row>
    <row r="909" customFormat="false" ht="15" hidden="false" customHeight="true" outlineLevel="0" collapsed="false">
      <c r="A909" s="3" t="s">
        <v>7008</v>
      </c>
      <c r="B909" s="3" t="s">
        <v>565</v>
      </c>
      <c r="C909" s="3" t="s">
        <v>7009</v>
      </c>
      <c r="D909" s="3" t="s">
        <v>103</v>
      </c>
      <c r="E909" s="3" t="s">
        <v>24</v>
      </c>
      <c r="F909" s="3" t="s">
        <v>62</v>
      </c>
      <c r="G909" s="3" t="s">
        <v>116</v>
      </c>
      <c r="H909" s="3" t="s">
        <v>64</v>
      </c>
      <c r="I909" s="3" t="s">
        <v>108</v>
      </c>
      <c r="J909" s="3" t="s">
        <v>5996</v>
      </c>
      <c r="K909" s="3" t="n">
        <v>66561.54</v>
      </c>
      <c r="L909" s="3" t="n">
        <v>0.228</v>
      </c>
      <c r="M909" s="3" t="n">
        <v>51385.51</v>
      </c>
      <c r="N909" s="3" t="n">
        <v>22414.37</v>
      </c>
      <c r="O909" s="3" t="n">
        <v>0.4362</v>
      </c>
      <c r="P909" s="3" t="n">
        <v>1</v>
      </c>
      <c r="Q909" s="3" t="n">
        <v>51385.51</v>
      </c>
      <c r="R909" s="3" t="n">
        <v>153</v>
      </c>
      <c r="S909" s="3" t="n">
        <v>3</v>
      </c>
      <c r="T909" s="3" t="n">
        <v>6.1</v>
      </c>
      <c r="U909" s="3"/>
      <c r="V909" s="3" t="n">
        <v>5.33</v>
      </c>
      <c r="W909" s="3" t="s">
        <v>5990</v>
      </c>
    </row>
    <row r="910" customFormat="false" ht="15" hidden="false" customHeight="true" outlineLevel="0" collapsed="false">
      <c r="A910" s="3" t="s">
        <v>7010</v>
      </c>
      <c r="B910" s="3" t="s">
        <v>788</v>
      </c>
      <c r="C910" s="3" t="s">
        <v>6073</v>
      </c>
      <c r="D910" s="3" t="s">
        <v>54</v>
      </c>
      <c r="E910" s="3" t="s">
        <v>24</v>
      </c>
      <c r="F910" s="3" t="s">
        <v>40</v>
      </c>
      <c r="G910" s="3" t="s">
        <v>34</v>
      </c>
      <c r="H910" s="3" t="s">
        <v>27</v>
      </c>
      <c r="I910" s="3" t="s">
        <v>28</v>
      </c>
      <c r="J910" s="3" t="s">
        <v>5999</v>
      </c>
      <c r="K910" s="3" t="n">
        <v>4075527.15</v>
      </c>
      <c r="L910" s="3" t="n">
        <v>0.1551</v>
      </c>
      <c r="M910" s="3" t="n">
        <v>3443412.89</v>
      </c>
      <c r="N910" s="3" t="n">
        <v>1271208.28</v>
      </c>
      <c r="O910" s="3" t="n">
        <v>0.3692</v>
      </c>
      <c r="P910" s="3" t="n">
        <v>0.466</v>
      </c>
      <c r="Q910" s="3" t="n">
        <v>1604630.41</v>
      </c>
      <c r="R910" s="3" t="n">
        <v>159</v>
      </c>
      <c r="S910" s="3" t="n">
        <v>1.1</v>
      </c>
      <c r="T910" s="3" t="n">
        <v>9</v>
      </c>
      <c r="U910" s="3"/>
      <c r="V910" s="3" t="n">
        <v>4.5</v>
      </c>
      <c r="W910" s="3" t="s">
        <v>6000</v>
      </c>
    </row>
    <row r="911" customFormat="false" ht="15" hidden="false" customHeight="true" outlineLevel="0" collapsed="false">
      <c r="A911" s="3" t="s">
        <v>7011</v>
      </c>
      <c r="B911" s="3" t="s">
        <v>3951</v>
      </c>
      <c r="C911" s="3" t="s">
        <v>125</v>
      </c>
      <c r="D911" s="3" t="s">
        <v>32</v>
      </c>
      <c r="E911" s="3" t="s">
        <v>33</v>
      </c>
      <c r="F911" s="3" t="s">
        <v>25</v>
      </c>
      <c r="G911" s="3" t="s">
        <v>49</v>
      </c>
      <c r="H911" s="3" t="s">
        <v>42</v>
      </c>
      <c r="I911" s="3" t="s">
        <v>134</v>
      </c>
      <c r="J911" s="3" t="s">
        <v>5996</v>
      </c>
      <c r="K911" s="3" t="n">
        <v>782876.38</v>
      </c>
      <c r="L911" s="3" t="n">
        <v>0.138</v>
      </c>
      <c r="M911" s="3" t="n">
        <v>674839.44</v>
      </c>
      <c r="N911" s="3" t="n">
        <v>249924.4</v>
      </c>
      <c r="O911" s="3" t="n">
        <v>0.3703</v>
      </c>
      <c r="P911" s="3" t="n">
        <v>0.955</v>
      </c>
      <c r="Q911" s="3" t="n">
        <v>644471.67</v>
      </c>
      <c r="R911" s="3" t="n">
        <v>167</v>
      </c>
      <c r="S911" s="3" t="n">
        <v>3.9</v>
      </c>
      <c r="T911" s="3" t="n">
        <v>1.5</v>
      </c>
      <c r="U911" s="3"/>
      <c r="V911" s="3" t="n">
        <v>6.47</v>
      </c>
      <c r="W911" s="3" t="s">
        <v>5990</v>
      </c>
    </row>
    <row r="912" customFormat="false" ht="15" hidden="false" customHeight="true" outlineLevel="0" collapsed="false">
      <c r="A912" s="3" t="s">
        <v>7012</v>
      </c>
      <c r="B912" s="3" t="s">
        <v>3040</v>
      </c>
      <c r="C912" s="3" t="s">
        <v>2006</v>
      </c>
      <c r="D912" s="3" t="s">
        <v>23</v>
      </c>
      <c r="E912" s="3" t="s">
        <v>24</v>
      </c>
      <c r="F912" s="3" t="s">
        <v>25</v>
      </c>
      <c r="G912" s="3" t="s">
        <v>55</v>
      </c>
      <c r="H912" s="3" t="s">
        <v>77</v>
      </c>
      <c r="I912" s="3" t="s">
        <v>85</v>
      </c>
      <c r="J912" s="3" t="s">
        <v>5992</v>
      </c>
      <c r="K912" s="3" t="n">
        <v>1392609.01</v>
      </c>
      <c r="L912" s="3" t="n">
        <v>0.0982</v>
      </c>
      <c r="M912" s="3" t="n">
        <v>1255854.81</v>
      </c>
      <c r="N912" s="3" t="n">
        <v>450943.6</v>
      </c>
      <c r="O912" s="3" t="n">
        <v>0.3591</v>
      </c>
      <c r="P912" s="3" t="n">
        <v>0.726</v>
      </c>
      <c r="Q912" s="3" t="n">
        <v>911750.59</v>
      </c>
      <c r="R912" s="3" t="n">
        <v>166</v>
      </c>
      <c r="S912" s="3" t="n">
        <v>9.2</v>
      </c>
      <c r="T912" s="3" t="n">
        <v>5.6</v>
      </c>
      <c r="U912" s="3"/>
      <c r="V912" s="3" t="n">
        <v>7.43</v>
      </c>
      <c r="W912" s="3" t="s">
        <v>5997</v>
      </c>
    </row>
    <row r="913" customFormat="false" ht="15" hidden="false" customHeight="true" outlineLevel="0" collapsed="false">
      <c r="A913" s="3" t="s">
        <v>7013</v>
      </c>
      <c r="B913" s="3" t="s">
        <v>2253</v>
      </c>
      <c r="C913" s="3" t="s">
        <v>2720</v>
      </c>
      <c r="D913" s="3" t="s">
        <v>69</v>
      </c>
      <c r="E913" s="3" t="s">
        <v>39</v>
      </c>
      <c r="F913" s="3" t="s">
        <v>70</v>
      </c>
      <c r="G913" s="3" t="s">
        <v>76</v>
      </c>
      <c r="H913" s="3" t="s">
        <v>56</v>
      </c>
      <c r="I913" s="3" t="s">
        <v>57</v>
      </c>
      <c r="J913" s="3" t="s">
        <v>5992</v>
      </c>
      <c r="K913" s="3" t="n">
        <v>2726875.65</v>
      </c>
      <c r="L913" s="3" t="n">
        <v>0.1451</v>
      </c>
      <c r="M913" s="3" t="n">
        <v>2331205.99</v>
      </c>
      <c r="N913" s="3" t="n">
        <v>928487.07</v>
      </c>
      <c r="O913" s="3" t="n">
        <v>0.3983</v>
      </c>
      <c r="P913" s="3" t="n">
        <v>0.691</v>
      </c>
      <c r="Q913" s="3" t="n">
        <v>1610863.34</v>
      </c>
      <c r="R913" s="3" t="n">
        <v>34</v>
      </c>
      <c r="S913" s="3" t="n">
        <v>2.7</v>
      </c>
      <c r="T913" s="3" t="n">
        <v>9.6</v>
      </c>
      <c r="U913" s="3"/>
      <c r="V913" s="3" t="n">
        <v>5.15</v>
      </c>
      <c r="W913" s="3" t="s">
        <v>5990</v>
      </c>
    </row>
    <row r="914" customFormat="false" ht="15" hidden="false" customHeight="true" outlineLevel="0" collapsed="false">
      <c r="A914" s="3" t="s">
        <v>7014</v>
      </c>
      <c r="B914" s="3" t="s">
        <v>452</v>
      </c>
      <c r="C914" s="3" t="s">
        <v>7015</v>
      </c>
      <c r="D914" s="3" t="s">
        <v>23</v>
      </c>
      <c r="E914" s="3" t="s">
        <v>24</v>
      </c>
      <c r="F914" s="3" t="s">
        <v>25</v>
      </c>
      <c r="G914" s="3" t="s">
        <v>84</v>
      </c>
      <c r="H914" s="3" t="s">
        <v>77</v>
      </c>
      <c r="I914" s="3" t="s">
        <v>131</v>
      </c>
      <c r="J914" s="3" t="s">
        <v>6009</v>
      </c>
      <c r="K914" s="3" t="n">
        <v>2315585.02</v>
      </c>
      <c r="L914" s="3" t="n">
        <v>0.0963</v>
      </c>
      <c r="M914" s="3" t="n">
        <v>2092594.18</v>
      </c>
      <c r="N914" s="3" t="n">
        <v>832413.75</v>
      </c>
      <c r="O914" s="3" t="n">
        <v>0.3978</v>
      </c>
      <c r="P914" s="3" t="n">
        <v>0.021</v>
      </c>
      <c r="Q914" s="3" t="n">
        <v>43944.48</v>
      </c>
      <c r="R914" s="3" t="n">
        <v>160</v>
      </c>
      <c r="S914" s="3" t="n">
        <v>9.4</v>
      </c>
      <c r="T914" s="3" t="n">
        <v>8.1</v>
      </c>
      <c r="U914" s="3"/>
      <c r="V914" s="3" t="n">
        <v>7.42</v>
      </c>
      <c r="W914" s="3" t="s">
        <v>5997</v>
      </c>
    </row>
    <row r="915" customFormat="false" ht="15" hidden="false" customHeight="true" outlineLevel="0" collapsed="false">
      <c r="A915" s="3" t="s">
        <v>7016</v>
      </c>
      <c r="B915" s="3" t="s">
        <v>2408</v>
      </c>
      <c r="C915" s="3" t="s">
        <v>249</v>
      </c>
      <c r="D915" s="3" t="s">
        <v>47</v>
      </c>
      <c r="E915" s="3" t="s">
        <v>48</v>
      </c>
      <c r="F915" s="3" t="s">
        <v>25</v>
      </c>
      <c r="G915" s="3" t="s">
        <v>49</v>
      </c>
      <c r="H915" s="3" t="s">
        <v>56</v>
      </c>
      <c r="I915" s="3" t="s">
        <v>188</v>
      </c>
      <c r="J915" s="3" t="s">
        <v>5996</v>
      </c>
      <c r="K915" s="3" t="n">
        <v>3551213.76</v>
      </c>
      <c r="L915" s="3" t="n">
        <v>0.2081</v>
      </c>
      <c r="M915" s="3" t="n">
        <v>2812206.18</v>
      </c>
      <c r="N915" s="3" t="n">
        <v>1089933.01</v>
      </c>
      <c r="O915" s="3" t="n">
        <v>0.3876</v>
      </c>
      <c r="P915" s="3" t="n">
        <v>1</v>
      </c>
      <c r="Q915" s="3" t="n">
        <v>2812206.18</v>
      </c>
      <c r="R915" s="3" t="n">
        <v>153</v>
      </c>
      <c r="S915" s="3" t="n">
        <v>7</v>
      </c>
      <c r="T915" s="3" t="n">
        <v>3.4</v>
      </c>
      <c r="U915" s="3"/>
      <c r="V915" s="3" t="n">
        <v>6.53</v>
      </c>
      <c r="W915" s="3" t="s">
        <v>5997</v>
      </c>
    </row>
    <row r="916" customFormat="false" ht="15" hidden="false" customHeight="true" outlineLevel="0" collapsed="false">
      <c r="A916" s="3" t="s">
        <v>7017</v>
      </c>
      <c r="B916" s="3" t="s">
        <v>1251</v>
      </c>
      <c r="C916" s="3" t="s">
        <v>2799</v>
      </c>
      <c r="D916" s="3" t="s">
        <v>97</v>
      </c>
      <c r="E916" s="3" t="s">
        <v>48</v>
      </c>
      <c r="F916" s="3" t="s">
        <v>40</v>
      </c>
      <c r="G916" s="3" t="s">
        <v>49</v>
      </c>
      <c r="H916" s="3" t="s">
        <v>64</v>
      </c>
      <c r="I916" s="3" t="s">
        <v>145</v>
      </c>
      <c r="J916" s="3" t="s">
        <v>5996</v>
      </c>
      <c r="K916" s="3" t="n">
        <v>3984876.1</v>
      </c>
      <c r="L916" s="3" t="n">
        <v>0.2381</v>
      </c>
      <c r="M916" s="3" t="n">
        <v>3036077.1</v>
      </c>
      <c r="N916" s="3" t="n">
        <v>1170520.97</v>
      </c>
      <c r="O916" s="3" t="n">
        <v>0.3855</v>
      </c>
      <c r="P916" s="3" t="n">
        <v>1</v>
      </c>
      <c r="Q916" s="3" t="n">
        <v>3036077.1</v>
      </c>
      <c r="R916" s="3" t="n">
        <v>23</v>
      </c>
      <c r="S916" s="3" t="n">
        <v>8.2</v>
      </c>
      <c r="T916" s="3" t="n">
        <v>5.3</v>
      </c>
      <c r="U916" s="3"/>
      <c r="V916" s="3" t="n">
        <v>6.29</v>
      </c>
      <c r="W916" s="3" t="s">
        <v>5990</v>
      </c>
    </row>
    <row r="917" customFormat="false" ht="15" hidden="false" customHeight="true" outlineLevel="0" collapsed="false">
      <c r="A917" s="3" t="s">
        <v>7018</v>
      </c>
      <c r="B917" s="3" t="s">
        <v>1590</v>
      </c>
      <c r="C917" s="3" t="s">
        <v>1375</v>
      </c>
      <c r="D917" s="3" t="s">
        <v>103</v>
      </c>
      <c r="E917" s="3" t="s">
        <v>24</v>
      </c>
      <c r="F917" s="3" t="s">
        <v>62</v>
      </c>
      <c r="G917" s="3" t="s">
        <v>63</v>
      </c>
      <c r="H917" s="3" t="s">
        <v>27</v>
      </c>
      <c r="I917" s="3" t="s">
        <v>50</v>
      </c>
      <c r="J917" s="3" t="s">
        <v>5989</v>
      </c>
      <c r="K917" s="3" t="n">
        <v>1511696.45</v>
      </c>
      <c r="L917" s="3" t="n">
        <v>0.2558</v>
      </c>
      <c r="M917" s="3" t="n">
        <v>1125004.5</v>
      </c>
      <c r="N917" s="3" t="n">
        <v>521923.95</v>
      </c>
      <c r="O917" s="3" t="n">
        <v>0.4639</v>
      </c>
      <c r="P917" s="3" t="n">
        <v>0.266</v>
      </c>
      <c r="Q917" s="3" t="n">
        <v>299251.2</v>
      </c>
      <c r="R917" s="3" t="n">
        <v>150</v>
      </c>
      <c r="S917" s="3" t="n">
        <v>9.2</v>
      </c>
      <c r="T917" s="3" t="n">
        <v>5</v>
      </c>
      <c r="U917" s="3"/>
      <c r="V917" s="3" t="n">
        <v>6.92</v>
      </c>
      <c r="W917" s="3" t="s">
        <v>5997</v>
      </c>
    </row>
    <row r="918" customFormat="false" ht="15" hidden="false" customHeight="true" outlineLevel="0" collapsed="false">
      <c r="A918" s="3" t="s">
        <v>7019</v>
      </c>
      <c r="B918" s="3" t="s">
        <v>958</v>
      </c>
      <c r="C918" s="3" t="s">
        <v>1465</v>
      </c>
      <c r="D918" s="3" t="s">
        <v>38</v>
      </c>
      <c r="E918" s="3" t="s">
        <v>39</v>
      </c>
      <c r="F918" s="3" t="s">
        <v>40</v>
      </c>
      <c r="G918" s="3" t="s">
        <v>116</v>
      </c>
      <c r="H918" s="3" t="s">
        <v>42</v>
      </c>
      <c r="I918" s="3" t="s">
        <v>43</v>
      </c>
      <c r="J918" s="3" t="s">
        <v>5989</v>
      </c>
      <c r="K918" s="3" t="n">
        <v>2891203.57</v>
      </c>
      <c r="L918" s="3" t="n">
        <v>0.28</v>
      </c>
      <c r="M918" s="3" t="n">
        <v>2081666.57</v>
      </c>
      <c r="N918" s="3" t="n">
        <v>915557.97</v>
      </c>
      <c r="O918" s="3" t="n">
        <v>0.4398</v>
      </c>
      <c r="P918" s="3" t="n">
        <v>0.244</v>
      </c>
      <c r="Q918" s="3" t="n">
        <v>507926.64</v>
      </c>
      <c r="R918" s="3" t="n">
        <v>29</v>
      </c>
      <c r="S918" s="3" t="n">
        <v>3.5</v>
      </c>
      <c r="T918" s="3" t="n">
        <v>7.4</v>
      </c>
      <c r="U918" s="3"/>
      <c r="V918" s="3" t="n">
        <v>4.87</v>
      </c>
      <c r="W918" s="3" t="s">
        <v>6000</v>
      </c>
    </row>
    <row r="919" customFormat="false" ht="15" hidden="false" customHeight="true" outlineLevel="0" collapsed="false">
      <c r="A919" s="3" t="s">
        <v>7020</v>
      </c>
      <c r="B919" s="3" t="s">
        <v>479</v>
      </c>
      <c r="C919" s="3" t="s">
        <v>2934</v>
      </c>
      <c r="D919" s="3" t="s">
        <v>54</v>
      </c>
      <c r="E919" s="3" t="s">
        <v>24</v>
      </c>
      <c r="F919" s="3" t="s">
        <v>40</v>
      </c>
      <c r="G919" s="3" t="s">
        <v>116</v>
      </c>
      <c r="H919" s="3" t="s">
        <v>64</v>
      </c>
      <c r="I919" s="3" t="s">
        <v>65</v>
      </c>
      <c r="J919" s="3" t="s">
        <v>5989</v>
      </c>
      <c r="K919" s="3" t="n">
        <v>4189720.28</v>
      </c>
      <c r="L919" s="3" t="n">
        <v>0.2539</v>
      </c>
      <c r="M919" s="3" t="n">
        <v>3125950.3</v>
      </c>
      <c r="N919" s="3" t="n">
        <v>1006719.05</v>
      </c>
      <c r="O919" s="3" t="n">
        <v>0.3221</v>
      </c>
      <c r="P919" s="3" t="n">
        <v>0.255</v>
      </c>
      <c r="Q919" s="3" t="n">
        <v>797117.33</v>
      </c>
      <c r="R919" s="3" t="n">
        <v>68</v>
      </c>
      <c r="S919" s="3" t="n">
        <v>9</v>
      </c>
      <c r="T919" s="3" t="n">
        <v>2.6</v>
      </c>
      <c r="U919" s="3"/>
      <c r="V919" s="3" t="n">
        <v>6.25</v>
      </c>
      <c r="W919" s="3" t="s">
        <v>5990</v>
      </c>
    </row>
    <row r="920" customFormat="false" ht="15" hidden="false" customHeight="true" outlineLevel="0" collapsed="false">
      <c r="A920" s="3" t="s">
        <v>7021</v>
      </c>
      <c r="B920" s="3" t="s">
        <v>229</v>
      </c>
      <c r="C920" s="3" t="s">
        <v>1430</v>
      </c>
      <c r="D920" s="3" t="s">
        <v>23</v>
      </c>
      <c r="E920" s="3" t="s">
        <v>24</v>
      </c>
      <c r="F920" s="3" t="s">
        <v>25</v>
      </c>
      <c r="G920" s="3" t="s">
        <v>104</v>
      </c>
      <c r="H920" s="3" t="s">
        <v>27</v>
      </c>
      <c r="I920" s="3" t="s">
        <v>50</v>
      </c>
      <c r="J920" s="3" t="s">
        <v>5989</v>
      </c>
      <c r="K920" s="3" t="n">
        <v>925649.22</v>
      </c>
      <c r="L920" s="3" t="n">
        <v>0.1687</v>
      </c>
      <c r="M920" s="3" t="n">
        <v>769492.2</v>
      </c>
      <c r="N920" s="3" t="n">
        <v>302031.07</v>
      </c>
      <c r="O920" s="3" t="n">
        <v>0.3925</v>
      </c>
      <c r="P920" s="3" t="n">
        <v>0.284</v>
      </c>
      <c r="Q920" s="3" t="n">
        <v>218535.78</v>
      </c>
      <c r="R920" s="3" t="n">
        <v>105</v>
      </c>
      <c r="S920" s="3" t="n">
        <v>9.3</v>
      </c>
      <c r="T920" s="3" t="n">
        <v>2.7</v>
      </c>
      <c r="U920" s="3"/>
      <c r="V920" s="3" t="n">
        <v>7.56</v>
      </c>
      <c r="W920" s="3" t="s">
        <v>5997</v>
      </c>
    </row>
    <row r="921" customFormat="false" ht="15" hidden="false" customHeight="true" outlineLevel="0" collapsed="false">
      <c r="A921" s="3" t="s">
        <v>7022</v>
      </c>
      <c r="B921" s="3" t="s">
        <v>456</v>
      </c>
      <c r="C921" s="3" t="s">
        <v>285</v>
      </c>
      <c r="D921" s="3" t="s">
        <v>47</v>
      </c>
      <c r="E921" s="3" t="s">
        <v>48</v>
      </c>
      <c r="F921" s="3" t="s">
        <v>25</v>
      </c>
      <c r="G921" s="3" t="s">
        <v>34</v>
      </c>
      <c r="H921" s="3" t="s">
        <v>64</v>
      </c>
      <c r="I921" s="3" t="s">
        <v>90</v>
      </c>
      <c r="J921" s="3" t="s">
        <v>5989</v>
      </c>
      <c r="K921" s="3" t="n">
        <v>2532676.19</v>
      </c>
      <c r="L921" s="3" t="n">
        <v>0.1926</v>
      </c>
      <c r="M921" s="3" t="n">
        <v>2044882.76</v>
      </c>
      <c r="N921" s="3" t="n">
        <v>882612.91</v>
      </c>
      <c r="O921" s="3" t="n">
        <v>0.4316</v>
      </c>
      <c r="P921" s="3" t="n">
        <v>0.231</v>
      </c>
      <c r="Q921" s="3" t="n">
        <v>472367.92</v>
      </c>
      <c r="R921" s="3" t="n">
        <v>89</v>
      </c>
      <c r="S921" s="3" t="n">
        <v>6.9</v>
      </c>
      <c r="T921" s="3" t="n">
        <v>3.5</v>
      </c>
      <c r="U921" s="3"/>
      <c r="V921" s="3" t="n">
        <v>6.96</v>
      </c>
      <c r="W921" s="3" t="s">
        <v>5997</v>
      </c>
    </row>
    <row r="922" customFormat="false" ht="15" hidden="false" customHeight="true" outlineLevel="0" collapsed="false">
      <c r="A922" s="3" t="s">
        <v>7023</v>
      </c>
      <c r="B922" s="3" t="s">
        <v>561</v>
      </c>
      <c r="C922" s="3" t="s">
        <v>67</v>
      </c>
      <c r="D922" s="3" t="s">
        <v>69</v>
      </c>
      <c r="E922" s="3" t="s">
        <v>39</v>
      </c>
      <c r="F922" s="3" t="s">
        <v>70</v>
      </c>
      <c r="G922" s="3" t="s">
        <v>26</v>
      </c>
      <c r="H922" s="3" t="s">
        <v>64</v>
      </c>
      <c r="I922" s="3" t="s">
        <v>65</v>
      </c>
      <c r="J922" s="3" t="s">
        <v>6009</v>
      </c>
      <c r="K922" s="3" t="n">
        <v>257875.82</v>
      </c>
      <c r="L922" s="3" t="n">
        <v>0.2788</v>
      </c>
      <c r="M922" s="3" t="n">
        <v>185980.04</v>
      </c>
      <c r="N922" s="3" t="n">
        <v>77297.79</v>
      </c>
      <c r="O922" s="3" t="n">
        <v>0.4156</v>
      </c>
      <c r="P922" s="3" t="n">
        <v>0.006</v>
      </c>
      <c r="Q922" s="3" t="n">
        <v>1115.88</v>
      </c>
      <c r="R922" s="3" t="n">
        <v>113</v>
      </c>
      <c r="S922" s="3" t="n">
        <v>1.9</v>
      </c>
      <c r="T922" s="3" t="n">
        <v>5.1</v>
      </c>
      <c r="U922" s="3"/>
      <c r="V922" s="3" t="n">
        <v>4.6</v>
      </c>
      <c r="W922" s="3" t="s">
        <v>6000</v>
      </c>
    </row>
    <row r="923" customFormat="false" ht="15" hidden="false" customHeight="true" outlineLevel="0" collapsed="false">
      <c r="A923" s="3" t="s">
        <v>7024</v>
      </c>
      <c r="B923" s="3" t="s">
        <v>1335</v>
      </c>
      <c r="C923" s="3" t="s">
        <v>6309</v>
      </c>
      <c r="D923" s="3" t="s">
        <v>23</v>
      </c>
      <c r="E923" s="3" t="s">
        <v>24</v>
      </c>
      <c r="F923" s="3" t="s">
        <v>25</v>
      </c>
      <c r="G923" s="3" t="s">
        <v>84</v>
      </c>
      <c r="H923" s="3" t="s">
        <v>64</v>
      </c>
      <c r="I923" s="3" t="s">
        <v>65</v>
      </c>
      <c r="J923" s="3" t="s">
        <v>5992</v>
      </c>
      <c r="K923" s="3" t="n">
        <v>64764.89</v>
      </c>
      <c r="L923" s="3" t="n">
        <v>0.2051</v>
      </c>
      <c r="M923" s="3" t="n">
        <v>51481.61</v>
      </c>
      <c r="N923" s="3" t="n">
        <v>17554.38</v>
      </c>
      <c r="O923" s="3" t="n">
        <v>0.341</v>
      </c>
      <c r="P923" s="3" t="n">
        <v>0.714</v>
      </c>
      <c r="Q923" s="3" t="n">
        <v>36757.87</v>
      </c>
      <c r="R923" s="3" t="n">
        <v>170</v>
      </c>
      <c r="S923" s="3" t="n">
        <v>9.7</v>
      </c>
      <c r="T923" s="3" t="n">
        <v>6.9</v>
      </c>
      <c r="U923" s="3"/>
      <c r="V923" s="3" t="n">
        <v>6.35</v>
      </c>
      <c r="W923" s="3" t="s">
        <v>5990</v>
      </c>
    </row>
    <row r="924" customFormat="false" ht="15" hidden="false" customHeight="true" outlineLevel="0" collapsed="false">
      <c r="A924" s="3" t="s">
        <v>7025</v>
      </c>
      <c r="B924" s="3" t="s">
        <v>210</v>
      </c>
      <c r="C924" s="3" t="s">
        <v>1106</v>
      </c>
      <c r="D924" s="3" t="s">
        <v>107</v>
      </c>
      <c r="E924" s="3" t="s">
        <v>33</v>
      </c>
      <c r="F924" s="3" t="s">
        <v>70</v>
      </c>
      <c r="G924" s="3" t="s">
        <v>84</v>
      </c>
      <c r="H924" s="3" t="s">
        <v>42</v>
      </c>
      <c r="I924" s="3" t="s">
        <v>134</v>
      </c>
      <c r="J924" s="3" t="s">
        <v>5999</v>
      </c>
      <c r="K924" s="3" t="n">
        <v>2353589.17</v>
      </c>
      <c r="L924" s="3" t="n">
        <v>0.1992</v>
      </c>
      <c r="M924" s="3" t="n">
        <v>1884754.21</v>
      </c>
      <c r="N924" s="3" t="n">
        <v>764371.45</v>
      </c>
      <c r="O924" s="3" t="n">
        <v>0.4056</v>
      </c>
      <c r="P924" s="3" t="n">
        <v>0.422</v>
      </c>
      <c r="Q924" s="3" t="n">
        <v>795366.28</v>
      </c>
      <c r="R924" s="3" t="n">
        <v>24</v>
      </c>
      <c r="S924" s="3" t="n">
        <v>8.6</v>
      </c>
      <c r="T924" s="3" t="n">
        <v>4.6</v>
      </c>
      <c r="U924" s="3"/>
      <c r="V924" s="3" t="n">
        <v>6.96</v>
      </c>
      <c r="W924" s="3" t="s">
        <v>5997</v>
      </c>
    </row>
    <row r="925" customFormat="false" ht="15" hidden="false" customHeight="true" outlineLevel="0" collapsed="false">
      <c r="A925" s="3" t="s">
        <v>7026</v>
      </c>
      <c r="B925" s="3" t="s">
        <v>4987</v>
      </c>
      <c r="C925" s="3" t="s">
        <v>133</v>
      </c>
      <c r="D925" s="3" t="s">
        <v>75</v>
      </c>
      <c r="E925" s="3" t="s">
        <v>39</v>
      </c>
      <c r="F925" s="3" t="s">
        <v>25</v>
      </c>
      <c r="G925" s="3" t="s">
        <v>26</v>
      </c>
      <c r="H925" s="3" t="s">
        <v>42</v>
      </c>
      <c r="I925" s="3" t="s">
        <v>134</v>
      </c>
      <c r="J925" s="3" t="s">
        <v>5999</v>
      </c>
      <c r="K925" s="3" t="n">
        <v>391353.49</v>
      </c>
      <c r="L925" s="3" t="n">
        <v>0.2948</v>
      </c>
      <c r="M925" s="3" t="n">
        <v>275982.48</v>
      </c>
      <c r="N925" s="3" t="n">
        <v>92386.85</v>
      </c>
      <c r="O925" s="3" t="n">
        <v>0.3348</v>
      </c>
      <c r="P925" s="3" t="n">
        <v>0.414</v>
      </c>
      <c r="Q925" s="3" t="n">
        <v>114256.75</v>
      </c>
      <c r="R925" s="3" t="n">
        <v>22</v>
      </c>
      <c r="S925" s="3" t="n">
        <v>1.2</v>
      </c>
      <c r="T925" s="3" t="n">
        <v>5.1</v>
      </c>
      <c r="U925" s="3"/>
      <c r="V925" s="3" t="n">
        <v>3.67</v>
      </c>
      <c r="W925" s="3" t="s">
        <v>6000</v>
      </c>
    </row>
    <row r="926" customFormat="false" ht="15" hidden="false" customHeight="true" outlineLevel="0" collapsed="false">
      <c r="A926" s="3" t="s">
        <v>7027</v>
      </c>
      <c r="B926" s="3" t="s">
        <v>3015</v>
      </c>
      <c r="C926" s="3" t="s">
        <v>1428</v>
      </c>
      <c r="D926" s="3" t="s">
        <v>38</v>
      </c>
      <c r="E926" s="3" t="s">
        <v>39</v>
      </c>
      <c r="F926" s="3" t="s">
        <v>40</v>
      </c>
      <c r="G926" s="3" t="s">
        <v>104</v>
      </c>
      <c r="H926" s="3" t="s">
        <v>42</v>
      </c>
      <c r="I926" s="3" t="s">
        <v>134</v>
      </c>
      <c r="J926" s="3" t="s">
        <v>6003</v>
      </c>
      <c r="K926" s="3" t="n">
        <v>321299.84</v>
      </c>
      <c r="L926" s="3" t="n">
        <v>0.1142</v>
      </c>
      <c r="M926" s="3" t="n">
        <v>284607.4</v>
      </c>
      <c r="N926" s="3" t="n">
        <v>121004.7</v>
      </c>
      <c r="O926" s="3" t="n">
        <v>0.4252</v>
      </c>
      <c r="P926" s="3" t="n">
        <v>0.135</v>
      </c>
      <c r="Q926" s="3" t="n">
        <v>38422</v>
      </c>
      <c r="R926" s="3" t="n">
        <v>123</v>
      </c>
      <c r="S926" s="3" t="n">
        <v>8.5</v>
      </c>
      <c r="T926" s="3" t="n">
        <v>4.4</v>
      </c>
      <c r="U926" s="3"/>
      <c r="V926" s="3" t="n">
        <v>7.8</v>
      </c>
      <c r="W926" s="3" t="s">
        <v>5997</v>
      </c>
    </row>
    <row r="927" customFormat="false" ht="15" hidden="false" customHeight="true" outlineLevel="0" collapsed="false">
      <c r="A927" s="3" t="s">
        <v>7028</v>
      </c>
      <c r="B927" s="3" t="s">
        <v>1029</v>
      </c>
      <c r="C927" s="3" t="s">
        <v>732</v>
      </c>
      <c r="D927" s="3" t="s">
        <v>69</v>
      </c>
      <c r="E927" s="3" t="s">
        <v>39</v>
      </c>
      <c r="F927" s="3" t="s">
        <v>70</v>
      </c>
      <c r="G927" s="3" t="s">
        <v>26</v>
      </c>
      <c r="H927" s="3" t="s">
        <v>27</v>
      </c>
      <c r="I927" s="3" t="s">
        <v>50</v>
      </c>
      <c r="J927" s="3" t="s">
        <v>5999</v>
      </c>
      <c r="K927" s="3" t="n">
        <v>824087.83</v>
      </c>
      <c r="L927" s="3" t="n">
        <v>0.1432</v>
      </c>
      <c r="M927" s="3" t="n">
        <v>706078.45</v>
      </c>
      <c r="N927" s="3" t="n">
        <v>317063.58</v>
      </c>
      <c r="O927" s="3" t="n">
        <v>0.449</v>
      </c>
      <c r="P927" s="3" t="n">
        <v>0.416</v>
      </c>
      <c r="Q927" s="3" t="n">
        <v>293728.64</v>
      </c>
      <c r="R927" s="3" t="n">
        <v>19</v>
      </c>
      <c r="S927" s="3" t="n">
        <v>5.1</v>
      </c>
      <c r="T927" s="3" t="n">
        <v>5.9</v>
      </c>
      <c r="U927" s="3"/>
      <c r="V927" s="3" t="n">
        <v>6.69</v>
      </c>
      <c r="W927" s="3" t="s">
        <v>5997</v>
      </c>
    </row>
    <row r="928" customFormat="false" ht="15" hidden="false" customHeight="true" outlineLevel="0" collapsed="false">
      <c r="A928" s="3" t="s">
        <v>7029</v>
      </c>
      <c r="B928" s="3" t="s">
        <v>2433</v>
      </c>
      <c r="C928" s="3" t="s">
        <v>45</v>
      </c>
      <c r="D928" s="3" t="s">
        <v>75</v>
      </c>
      <c r="E928" s="3" t="s">
        <v>39</v>
      </c>
      <c r="F928" s="3" t="s">
        <v>25</v>
      </c>
      <c r="G928" s="3" t="s">
        <v>55</v>
      </c>
      <c r="H928" s="3" t="s">
        <v>56</v>
      </c>
      <c r="I928" s="3" t="s">
        <v>188</v>
      </c>
      <c r="J928" s="3" t="s">
        <v>5996</v>
      </c>
      <c r="K928" s="3" t="n">
        <v>1636091.61</v>
      </c>
      <c r="L928" s="3" t="n">
        <v>0.1649</v>
      </c>
      <c r="M928" s="3" t="n">
        <v>1366300.1</v>
      </c>
      <c r="N928" s="3" t="n">
        <v>623708.2</v>
      </c>
      <c r="O928" s="3" t="n">
        <v>0.4565</v>
      </c>
      <c r="P928" s="3" t="n">
        <v>0.998</v>
      </c>
      <c r="Q928" s="3" t="n">
        <v>1363567.5</v>
      </c>
      <c r="R928" s="3" t="n">
        <v>178</v>
      </c>
      <c r="S928" s="3" t="n">
        <v>4.5</v>
      </c>
      <c r="T928" s="3" t="n">
        <v>7.7</v>
      </c>
      <c r="U928" s="3"/>
      <c r="V928" s="3" t="n">
        <v>6.09</v>
      </c>
      <c r="W928" s="3" t="s">
        <v>5990</v>
      </c>
    </row>
    <row r="929" customFormat="false" ht="15" hidden="false" customHeight="true" outlineLevel="0" collapsed="false">
      <c r="A929" s="3" t="s">
        <v>7030</v>
      </c>
      <c r="B929" s="3" t="s">
        <v>2271</v>
      </c>
      <c r="C929" s="3" t="s">
        <v>1831</v>
      </c>
      <c r="D929" s="3" t="s">
        <v>23</v>
      </c>
      <c r="E929" s="3" t="s">
        <v>24</v>
      </c>
      <c r="F929" s="3" t="s">
        <v>25</v>
      </c>
      <c r="G929" s="3" t="s">
        <v>104</v>
      </c>
      <c r="H929" s="3" t="s">
        <v>77</v>
      </c>
      <c r="I929" s="3" t="s">
        <v>131</v>
      </c>
      <c r="J929" s="3" t="s">
        <v>5996</v>
      </c>
      <c r="K929" s="3" t="n">
        <v>1121879.21</v>
      </c>
      <c r="L929" s="3" t="n">
        <v>0.2728</v>
      </c>
      <c r="M929" s="3" t="n">
        <v>815830.56</v>
      </c>
      <c r="N929" s="3" t="n">
        <v>346037.01</v>
      </c>
      <c r="O929" s="3" t="n">
        <v>0.4242</v>
      </c>
      <c r="P929" s="3" t="n">
        <v>1</v>
      </c>
      <c r="Q929" s="3" t="n">
        <v>815830.56</v>
      </c>
      <c r="R929" s="3" t="n">
        <v>63</v>
      </c>
      <c r="S929" s="3" t="n">
        <v>2.3</v>
      </c>
      <c r="T929" s="3" t="n">
        <v>6.8</v>
      </c>
      <c r="U929" s="3"/>
      <c r="V929" s="3" t="n">
        <v>4.57</v>
      </c>
      <c r="W929" s="3" t="s">
        <v>6000</v>
      </c>
    </row>
    <row r="930" customFormat="false" ht="15" hidden="false" customHeight="true" outlineLevel="0" collapsed="false">
      <c r="A930" s="3" t="s">
        <v>7031</v>
      </c>
      <c r="B930" s="3" t="s">
        <v>225</v>
      </c>
      <c r="C930" s="3" t="s">
        <v>1502</v>
      </c>
      <c r="D930" s="3" t="s">
        <v>83</v>
      </c>
      <c r="E930" s="3" t="s">
        <v>48</v>
      </c>
      <c r="F930" s="3" t="s">
        <v>62</v>
      </c>
      <c r="G930" s="3" t="s">
        <v>84</v>
      </c>
      <c r="H930" s="3" t="s">
        <v>42</v>
      </c>
      <c r="I930" s="3" t="s">
        <v>134</v>
      </c>
      <c r="J930" s="3" t="s">
        <v>5999</v>
      </c>
      <c r="K930" s="3" t="n">
        <v>4623839.08</v>
      </c>
      <c r="L930" s="3" t="n">
        <v>0.2839</v>
      </c>
      <c r="M930" s="3" t="n">
        <v>3311131.17</v>
      </c>
      <c r="N930" s="3" t="n">
        <v>1332420.57</v>
      </c>
      <c r="O930" s="3" t="n">
        <v>0.4024</v>
      </c>
      <c r="P930" s="3" t="n">
        <v>0.42</v>
      </c>
      <c r="Q930" s="3" t="n">
        <v>1390675.09</v>
      </c>
      <c r="R930" s="3" t="n">
        <v>97</v>
      </c>
      <c r="S930" s="3" t="n">
        <v>2.7</v>
      </c>
      <c r="T930" s="3" t="n">
        <v>2.1</v>
      </c>
      <c r="U930" s="3"/>
      <c r="V930" s="3" t="n">
        <v>5.1</v>
      </c>
      <c r="W930" s="3" t="s">
        <v>5990</v>
      </c>
    </row>
    <row r="931" customFormat="false" ht="15" hidden="false" customHeight="true" outlineLevel="0" collapsed="false">
      <c r="A931" s="3" t="s">
        <v>7032</v>
      </c>
      <c r="B931" s="3" t="s">
        <v>1086</v>
      </c>
      <c r="C931" s="3" t="s">
        <v>984</v>
      </c>
      <c r="D931" s="3" t="s">
        <v>54</v>
      </c>
      <c r="E931" s="3" t="s">
        <v>24</v>
      </c>
      <c r="F931" s="3" t="s">
        <v>40</v>
      </c>
      <c r="G931" s="3" t="s">
        <v>41</v>
      </c>
      <c r="H931" s="3" t="s">
        <v>56</v>
      </c>
      <c r="I931" s="3" t="s">
        <v>57</v>
      </c>
      <c r="J931" s="3" t="s">
        <v>5999</v>
      </c>
      <c r="K931" s="3" t="n">
        <v>4886190.47</v>
      </c>
      <c r="L931" s="3" t="n">
        <v>0.2011</v>
      </c>
      <c r="M931" s="3" t="n">
        <v>3903577.57</v>
      </c>
      <c r="N931" s="3" t="n">
        <v>1114432.38</v>
      </c>
      <c r="O931" s="3" t="n">
        <v>0.2855</v>
      </c>
      <c r="P931" s="3" t="n">
        <v>0.444</v>
      </c>
      <c r="Q931" s="3" t="n">
        <v>1733188.44</v>
      </c>
      <c r="R931" s="3" t="n">
        <v>138</v>
      </c>
      <c r="S931" s="3" t="n">
        <v>5.3</v>
      </c>
      <c r="T931" s="3" t="n">
        <v>6.7</v>
      </c>
      <c r="U931" s="3"/>
      <c r="V931" s="3" t="n">
        <v>4.85</v>
      </c>
      <c r="W931" s="3" t="s">
        <v>6000</v>
      </c>
    </row>
    <row r="932" customFormat="false" ht="15" hidden="false" customHeight="true" outlineLevel="0" collapsed="false">
      <c r="A932" s="3" t="s">
        <v>7033</v>
      </c>
      <c r="B932" s="3" t="s">
        <v>2865</v>
      </c>
      <c r="C932" s="3" t="s">
        <v>486</v>
      </c>
      <c r="D932" s="3" t="s">
        <v>54</v>
      </c>
      <c r="E932" s="3" t="s">
        <v>24</v>
      </c>
      <c r="F932" s="3" t="s">
        <v>40</v>
      </c>
      <c r="G932" s="3" t="s">
        <v>100</v>
      </c>
      <c r="H932" s="3" t="s">
        <v>77</v>
      </c>
      <c r="I932" s="3" t="s">
        <v>78</v>
      </c>
      <c r="J932" s="3" t="s">
        <v>5999</v>
      </c>
      <c r="K932" s="3" t="n">
        <v>3761595.64</v>
      </c>
      <c r="L932" s="3" t="n">
        <v>0.1873</v>
      </c>
      <c r="M932" s="3" t="n">
        <v>3057048.78</v>
      </c>
      <c r="N932" s="3" t="n">
        <v>1226196.11</v>
      </c>
      <c r="O932" s="3" t="n">
        <v>0.4011</v>
      </c>
      <c r="P932" s="3" t="n">
        <v>0.409</v>
      </c>
      <c r="Q932" s="3" t="n">
        <v>1250332.95</v>
      </c>
      <c r="R932" s="3" t="n">
        <v>107</v>
      </c>
      <c r="S932" s="3" t="n">
        <v>7.3</v>
      </c>
      <c r="T932" s="3" t="n">
        <v>2.6</v>
      </c>
      <c r="U932" s="3"/>
      <c r="V932" s="3" t="n">
        <v>7</v>
      </c>
      <c r="W932" s="3" t="s">
        <v>5997</v>
      </c>
    </row>
    <row r="933" customFormat="false" ht="15" hidden="false" customHeight="true" outlineLevel="0" collapsed="false">
      <c r="A933" s="3" t="s">
        <v>7034</v>
      </c>
      <c r="B933" s="3" t="s">
        <v>2873</v>
      </c>
      <c r="C933" s="3" t="s">
        <v>7035</v>
      </c>
      <c r="D933" s="3" t="s">
        <v>75</v>
      </c>
      <c r="E933" s="3" t="s">
        <v>39</v>
      </c>
      <c r="F933" s="3" t="s">
        <v>25</v>
      </c>
      <c r="G933" s="3" t="s">
        <v>34</v>
      </c>
      <c r="H933" s="3" t="s">
        <v>77</v>
      </c>
      <c r="I933" s="3" t="s">
        <v>85</v>
      </c>
      <c r="J933" s="3" t="s">
        <v>5989</v>
      </c>
      <c r="K933" s="3" t="n">
        <v>2713893.96</v>
      </c>
      <c r="L933" s="3" t="n">
        <v>0.0819</v>
      </c>
      <c r="M933" s="3" t="n">
        <v>2491626.04</v>
      </c>
      <c r="N933" s="3" t="n">
        <v>870816.65</v>
      </c>
      <c r="O933" s="3" t="n">
        <v>0.3495</v>
      </c>
      <c r="P933" s="3" t="n">
        <v>0.295</v>
      </c>
      <c r="Q933" s="3" t="n">
        <v>735029.68</v>
      </c>
      <c r="R933" s="3" t="n">
        <v>157</v>
      </c>
      <c r="S933" s="3" t="n">
        <v>1.8</v>
      </c>
      <c r="T933" s="3" t="n">
        <v>4.1</v>
      </c>
      <c r="U933" s="3"/>
      <c r="V933" s="3" t="n">
        <v>5.89</v>
      </c>
      <c r="W933" s="3" t="s">
        <v>5990</v>
      </c>
    </row>
    <row r="934" customFormat="false" ht="15" hidden="false" customHeight="true" outlineLevel="0" collapsed="false">
      <c r="A934" s="3" t="s">
        <v>7036</v>
      </c>
      <c r="B934" s="3" t="s">
        <v>541</v>
      </c>
      <c r="C934" s="3" t="s">
        <v>456</v>
      </c>
      <c r="D934" s="3" t="s">
        <v>75</v>
      </c>
      <c r="E934" s="3" t="s">
        <v>39</v>
      </c>
      <c r="F934" s="3" t="s">
        <v>25</v>
      </c>
      <c r="G934" s="3" t="s">
        <v>34</v>
      </c>
      <c r="H934" s="3" t="s">
        <v>56</v>
      </c>
      <c r="I934" s="3" t="s">
        <v>57</v>
      </c>
      <c r="J934" s="3" t="s">
        <v>5999</v>
      </c>
      <c r="K934" s="3" t="n">
        <v>478091.73</v>
      </c>
      <c r="L934" s="3" t="n">
        <v>0.1667</v>
      </c>
      <c r="M934" s="3" t="n">
        <v>398393.84</v>
      </c>
      <c r="N934" s="3" t="n">
        <v>148975.79</v>
      </c>
      <c r="O934" s="3" t="n">
        <v>0.3739</v>
      </c>
      <c r="P934" s="3" t="n">
        <v>0.499</v>
      </c>
      <c r="Q934" s="3" t="n">
        <v>198798.53</v>
      </c>
      <c r="R934" s="3" t="n">
        <v>80</v>
      </c>
      <c r="S934" s="3" t="n">
        <v>1.6</v>
      </c>
      <c r="T934" s="3" t="n">
        <v>3.6</v>
      </c>
      <c r="U934" s="3"/>
      <c r="V934" s="3" t="n">
        <v>5.37</v>
      </c>
      <c r="W934" s="3" t="s">
        <v>5990</v>
      </c>
    </row>
    <row r="935" customFormat="false" ht="15" hidden="false" customHeight="true" outlineLevel="0" collapsed="false">
      <c r="A935" s="3" t="s">
        <v>7037</v>
      </c>
      <c r="B935" s="3" t="s">
        <v>559</v>
      </c>
      <c r="C935" s="3" t="s">
        <v>580</v>
      </c>
      <c r="D935" s="3" t="s">
        <v>83</v>
      </c>
      <c r="E935" s="3" t="s">
        <v>48</v>
      </c>
      <c r="F935" s="3" t="s">
        <v>62</v>
      </c>
      <c r="G935" s="3" t="s">
        <v>76</v>
      </c>
      <c r="H935" s="3" t="s">
        <v>77</v>
      </c>
      <c r="I935" s="3" t="s">
        <v>78</v>
      </c>
      <c r="J935" s="3" t="s">
        <v>5999</v>
      </c>
      <c r="K935" s="3" t="n">
        <v>2067561.76</v>
      </c>
      <c r="L935" s="3" t="n">
        <v>0.0992</v>
      </c>
      <c r="M935" s="3" t="n">
        <v>1862459.63</v>
      </c>
      <c r="N935" s="3" t="n">
        <v>727933.84</v>
      </c>
      <c r="O935" s="3" t="n">
        <v>0.3908</v>
      </c>
      <c r="P935" s="3" t="n">
        <v>0.419</v>
      </c>
      <c r="Q935" s="3" t="n">
        <v>780370.58</v>
      </c>
      <c r="R935" s="3" t="n">
        <v>18</v>
      </c>
      <c r="S935" s="3" t="n">
        <v>5.7</v>
      </c>
      <c r="T935" s="3" t="n">
        <v>4.9</v>
      </c>
      <c r="U935" s="3"/>
      <c r="V935" s="3" t="n">
        <v>6.91</v>
      </c>
      <c r="W935" s="3" t="s">
        <v>5997</v>
      </c>
    </row>
    <row r="936" customFormat="false" ht="15" hidden="false" customHeight="true" outlineLevel="0" collapsed="false">
      <c r="A936" s="3" t="s">
        <v>7038</v>
      </c>
      <c r="B936" s="3" t="s">
        <v>2964</v>
      </c>
      <c r="C936" s="3" t="s">
        <v>3151</v>
      </c>
      <c r="D936" s="3" t="s">
        <v>75</v>
      </c>
      <c r="E936" s="3" t="s">
        <v>39</v>
      </c>
      <c r="F936" s="3" t="s">
        <v>25</v>
      </c>
      <c r="G936" s="3" t="s">
        <v>55</v>
      </c>
      <c r="H936" s="3" t="s">
        <v>77</v>
      </c>
      <c r="I936" s="3" t="s">
        <v>78</v>
      </c>
      <c r="J936" s="3" t="s">
        <v>6009</v>
      </c>
      <c r="K936" s="3" t="n">
        <v>4844732.52</v>
      </c>
      <c r="L936" s="3" t="n">
        <v>0.2687</v>
      </c>
      <c r="M936" s="3" t="n">
        <v>3542952.89</v>
      </c>
      <c r="N936" s="3" t="n">
        <v>1227728.16</v>
      </c>
      <c r="O936" s="3" t="n">
        <v>0.3465</v>
      </c>
      <c r="P936" s="3" t="n">
        <v>0.017</v>
      </c>
      <c r="Q936" s="3" t="n">
        <v>60230.2</v>
      </c>
      <c r="R936" s="3" t="n">
        <v>147</v>
      </c>
      <c r="S936" s="3" t="n">
        <v>4.9</v>
      </c>
      <c r="T936" s="3" t="n">
        <v>7.4</v>
      </c>
      <c r="U936" s="3" t="s">
        <v>6010</v>
      </c>
      <c r="V936" s="3" t="n">
        <v>4.56</v>
      </c>
      <c r="W936" s="3" t="s">
        <v>6000</v>
      </c>
    </row>
    <row r="937" customFormat="false" ht="15" hidden="false" customHeight="true" outlineLevel="0" collapsed="false">
      <c r="A937" s="3" t="s">
        <v>7039</v>
      </c>
      <c r="B937" s="3" t="s">
        <v>1324</v>
      </c>
      <c r="C937" s="3" t="s">
        <v>1619</v>
      </c>
      <c r="D937" s="3" t="s">
        <v>97</v>
      </c>
      <c r="E937" s="3" t="s">
        <v>48</v>
      </c>
      <c r="F937" s="3" t="s">
        <v>40</v>
      </c>
      <c r="G937" s="3" t="s">
        <v>49</v>
      </c>
      <c r="H937" s="3" t="s">
        <v>64</v>
      </c>
      <c r="I937" s="3" t="s">
        <v>65</v>
      </c>
      <c r="J937" s="3" t="s">
        <v>5996</v>
      </c>
      <c r="K937" s="3" t="n">
        <v>200531.48</v>
      </c>
      <c r="L937" s="3" t="n">
        <v>0.2551</v>
      </c>
      <c r="M937" s="3" t="n">
        <v>149375.9</v>
      </c>
      <c r="N937" s="3" t="n">
        <v>62008.73</v>
      </c>
      <c r="O937" s="3" t="n">
        <v>0.4151</v>
      </c>
      <c r="P937" s="3" t="n">
        <v>0.99</v>
      </c>
      <c r="Q937" s="3" t="n">
        <v>147882.14</v>
      </c>
      <c r="R937" s="3" t="n">
        <v>89</v>
      </c>
      <c r="S937" s="3" t="n">
        <v>2.3</v>
      </c>
      <c r="T937" s="3" t="n">
        <v>1.6</v>
      </c>
      <c r="U937" s="3"/>
      <c r="V937" s="3" t="n">
        <v>5.43</v>
      </c>
      <c r="W937" s="3" t="s">
        <v>5990</v>
      </c>
    </row>
    <row r="938" customFormat="false" ht="15" hidden="false" customHeight="true" outlineLevel="0" collapsed="false">
      <c r="A938" s="3" t="s">
        <v>7040</v>
      </c>
      <c r="B938" s="3" t="s">
        <v>2544</v>
      </c>
      <c r="C938" s="3" t="s">
        <v>2441</v>
      </c>
      <c r="D938" s="3" t="s">
        <v>69</v>
      </c>
      <c r="E938" s="3" t="s">
        <v>39</v>
      </c>
      <c r="F938" s="3" t="s">
        <v>70</v>
      </c>
      <c r="G938" s="3" t="s">
        <v>49</v>
      </c>
      <c r="H938" s="3" t="s">
        <v>42</v>
      </c>
      <c r="I938" s="3" t="s">
        <v>134</v>
      </c>
      <c r="J938" s="3" t="s">
        <v>6003</v>
      </c>
      <c r="K938" s="3" t="n">
        <v>3620090.91</v>
      </c>
      <c r="L938" s="3" t="n">
        <v>0.2644</v>
      </c>
      <c r="M938" s="3" t="n">
        <v>2662938.87</v>
      </c>
      <c r="N938" s="3" t="n">
        <v>867106.7</v>
      </c>
      <c r="O938" s="3" t="n">
        <v>0.3256</v>
      </c>
      <c r="P938" s="3" t="n">
        <v>0.059</v>
      </c>
      <c r="Q938" s="3" t="n">
        <v>157113.39</v>
      </c>
      <c r="R938" s="3" t="n">
        <v>73</v>
      </c>
      <c r="S938" s="3" t="n">
        <v>1.6</v>
      </c>
      <c r="T938" s="3" t="n">
        <v>9</v>
      </c>
      <c r="U938" s="3"/>
      <c r="V938" s="3" t="n">
        <v>3.37</v>
      </c>
      <c r="W938" s="3" t="s">
        <v>6000</v>
      </c>
    </row>
    <row r="939" customFormat="false" ht="15" hidden="false" customHeight="true" outlineLevel="0" collapsed="false">
      <c r="A939" s="3" t="s">
        <v>7041</v>
      </c>
      <c r="B939" s="3" t="s">
        <v>469</v>
      </c>
      <c r="C939" s="3" t="s">
        <v>1335</v>
      </c>
      <c r="D939" s="3" t="s">
        <v>23</v>
      </c>
      <c r="E939" s="3" t="s">
        <v>24</v>
      </c>
      <c r="F939" s="3" t="s">
        <v>25</v>
      </c>
      <c r="G939" s="3" t="s">
        <v>71</v>
      </c>
      <c r="H939" s="3" t="s">
        <v>64</v>
      </c>
      <c r="I939" s="3" t="s">
        <v>108</v>
      </c>
      <c r="J939" s="3" t="s">
        <v>5992</v>
      </c>
      <c r="K939" s="3" t="n">
        <v>3226101.73</v>
      </c>
      <c r="L939" s="3" t="n">
        <v>0.1711</v>
      </c>
      <c r="M939" s="3" t="n">
        <v>2674115.72</v>
      </c>
      <c r="N939" s="3" t="n">
        <v>1258493.97</v>
      </c>
      <c r="O939" s="3" t="n">
        <v>0.4706</v>
      </c>
      <c r="P939" s="3" t="n">
        <v>0.693</v>
      </c>
      <c r="Q939" s="3" t="n">
        <v>1853162.19</v>
      </c>
      <c r="R939" s="3" t="n">
        <v>144</v>
      </c>
      <c r="S939" s="3" t="n">
        <v>8.1</v>
      </c>
      <c r="T939" s="3" t="n">
        <v>9.3</v>
      </c>
      <c r="U939" s="3"/>
      <c r="V939" s="3" t="n">
        <v>6.7</v>
      </c>
      <c r="W939" s="3" t="s">
        <v>5997</v>
      </c>
    </row>
    <row r="940" customFormat="false" ht="15" hidden="false" customHeight="true" outlineLevel="0" collapsed="false">
      <c r="A940" s="3" t="s">
        <v>7042</v>
      </c>
      <c r="B940" s="3" t="s">
        <v>1313</v>
      </c>
      <c r="C940" s="3" t="s">
        <v>2964</v>
      </c>
      <c r="D940" s="3" t="s">
        <v>54</v>
      </c>
      <c r="E940" s="3" t="s">
        <v>24</v>
      </c>
      <c r="F940" s="3" t="s">
        <v>40</v>
      </c>
      <c r="G940" s="3" t="s">
        <v>104</v>
      </c>
      <c r="H940" s="3" t="s">
        <v>77</v>
      </c>
      <c r="I940" s="3" t="s">
        <v>78</v>
      </c>
      <c r="J940" s="3" t="s">
        <v>5996</v>
      </c>
      <c r="K940" s="3" t="n">
        <v>557298.56</v>
      </c>
      <c r="L940" s="3" t="n">
        <v>0.0535</v>
      </c>
      <c r="M940" s="3" t="n">
        <v>527483.09</v>
      </c>
      <c r="N940" s="3" t="n">
        <v>172354.77</v>
      </c>
      <c r="O940" s="3" t="n">
        <v>0.3267</v>
      </c>
      <c r="P940" s="3" t="n">
        <v>0.974</v>
      </c>
      <c r="Q940" s="3" t="n">
        <v>513768.53</v>
      </c>
      <c r="R940" s="3" t="n">
        <v>159</v>
      </c>
      <c r="S940" s="3" t="n">
        <v>4.7</v>
      </c>
      <c r="T940" s="3" t="n">
        <v>1.3</v>
      </c>
      <c r="U940" s="3"/>
      <c r="V940" s="3" t="n">
        <v>7.08</v>
      </c>
      <c r="W940" s="3" t="s">
        <v>5997</v>
      </c>
    </row>
    <row r="941" customFormat="false" ht="15" hidden="false" customHeight="true" outlineLevel="0" collapsed="false">
      <c r="A941" s="3" t="s">
        <v>7043</v>
      </c>
      <c r="B941" s="3" t="s">
        <v>4078</v>
      </c>
      <c r="C941" s="3" t="s">
        <v>1400</v>
      </c>
      <c r="D941" s="3" t="s">
        <v>97</v>
      </c>
      <c r="E941" s="3" t="s">
        <v>48</v>
      </c>
      <c r="F941" s="3" t="s">
        <v>40</v>
      </c>
      <c r="G941" s="3" t="s">
        <v>26</v>
      </c>
      <c r="H941" s="3" t="s">
        <v>42</v>
      </c>
      <c r="I941" s="3" t="s">
        <v>134</v>
      </c>
      <c r="J941" s="3" t="s">
        <v>5996</v>
      </c>
      <c r="K941" s="3" t="n">
        <v>960685.95</v>
      </c>
      <c r="L941" s="3" t="n">
        <v>0.1271</v>
      </c>
      <c r="M941" s="3" t="n">
        <v>838582.77</v>
      </c>
      <c r="N941" s="3" t="n">
        <v>278750.73</v>
      </c>
      <c r="O941" s="3" t="n">
        <v>0.3324</v>
      </c>
      <c r="P941" s="3" t="n">
        <v>1</v>
      </c>
      <c r="Q941" s="3" t="n">
        <v>838582.77</v>
      </c>
      <c r="R941" s="3" t="n">
        <v>112</v>
      </c>
      <c r="S941" s="3" t="n">
        <v>4.4</v>
      </c>
      <c r="T941" s="3" t="n">
        <v>2.4</v>
      </c>
      <c r="U941" s="3"/>
      <c r="V941" s="3" t="n">
        <v>6.28</v>
      </c>
      <c r="W941" s="3" t="s">
        <v>5990</v>
      </c>
    </row>
    <row r="942" customFormat="false" ht="15" hidden="false" customHeight="true" outlineLevel="0" collapsed="false">
      <c r="A942" s="3" t="s">
        <v>7044</v>
      </c>
      <c r="B942" s="3" t="s">
        <v>36</v>
      </c>
      <c r="C942" s="3" t="s">
        <v>2024</v>
      </c>
      <c r="D942" s="3" t="s">
        <v>23</v>
      </c>
      <c r="E942" s="3" t="s">
        <v>24</v>
      </c>
      <c r="F942" s="3" t="s">
        <v>25</v>
      </c>
      <c r="G942" s="3" t="s">
        <v>26</v>
      </c>
      <c r="H942" s="3" t="s">
        <v>56</v>
      </c>
      <c r="I942" s="3" t="s">
        <v>57</v>
      </c>
      <c r="J942" s="3" t="s">
        <v>5999</v>
      </c>
      <c r="K942" s="3" t="n">
        <v>2289071.12</v>
      </c>
      <c r="L942" s="3" t="n">
        <v>0.2485</v>
      </c>
      <c r="M942" s="3" t="n">
        <v>1720236.95</v>
      </c>
      <c r="N942" s="3" t="n">
        <v>504685.01</v>
      </c>
      <c r="O942" s="3" t="n">
        <v>0.2934</v>
      </c>
      <c r="P942" s="3" t="n">
        <v>0.438</v>
      </c>
      <c r="Q942" s="3" t="n">
        <v>753463.78</v>
      </c>
      <c r="R942" s="3" t="n">
        <v>43</v>
      </c>
      <c r="S942" s="3" t="n">
        <v>3.1</v>
      </c>
      <c r="T942" s="3" t="n">
        <v>1.1</v>
      </c>
      <c r="U942" s="3"/>
      <c r="V942" s="3" t="n">
        <v>4.81</v>
      </c>
      <c r="W942" s="3" t="s">
        <v>6000</v>
      </c>
    </row>
    <row r="943" customFormat="false" ht="15" hidden="false" customHeight="true" outlineLevel="0" collapsed="false">
      <c r="A943" s="3" t="s">
        <v>7045</v>
      </c>
      <c r="B943" s="3" t="s">
        <v>718</v>
      </c>
      <c r="C943" s="3" t="s">
        <v>4398</v>
      </c>
      <c r="D943" s="3" t="s">
        <v>75</v>
      </c>
      <c r="E943" s="3" t="s">
        <v>39</v>
      </c>
      <c r="F943" s="3" t="s">
        <v>25</v>
      </c>
      <c r="G943" s="3" t="s">
        <v>26</v>
      </c>
      <c r="H943" s="3" t="s">
        <v>64</v>
      </c>
      <c r="I943" s="3" t="s">
        <v>90</v>
      </c>
      <c r="J943" s="3" t="s">
        <v>5989</v>
      </c>
      <c r="K943" s="3" t="n">
        <v>1110848.71</v>
      </c>
      <c r="L943" s="3" t="n">
        <v>0.0702</v>
      </c>
      <c r="M943" s="3" t="n">
        <v>1032867.13</v>
      </c>
      <c r="N943" s="3" t="n">
        <v>485407.92</v>
      </c>
      <c r="O943" s="3" t="n">
        <v>0.47</v>
      </c>
      <c r="P943" s="3" t="n">
        <v>0.275</v>
      </c>
      <c r="Q943" s="3" t="n">
        <v>284038.46</v>
      </c>
      <c r="R943" s="3" t="n">
        <v>35</v>
      </c>
      <c r="S943" s="3" t="n">
        <v>6.4</v>
      </c>
      <c r="T943" s="3" t="n">
        <v>1.5</v>
      </c>
      <c r="U943" s="3"/>
      <c r="V943" s="3" t="n">
        <v>8.3</v>
      </c>
      <c r="W943" s="3" t="s">
        <v>5997</v>
      </c>
    </row>
    <row r="944" customFormat="false" ht="15" hidden="false" customHeight="true" outlineLevel="0" collapsed="false">
      <c r="A944" s="3" t="s">
        <v>7046</v>
      </c>
      <c r="B944" s="3" t="s">
        <v>1729</v>
      </c>
      <c r="C944" s="3" t="s">
        <v>6157</v>
      </c>
      <c r="D944" s="3" t="s">
        <v>97</v>
      </c>
      <c r="E944" s="3" t="s">
        <v>48</v>
      </c>
      <c r="F944" s="3" t="s">
        <v>40</v>
      </c>
      <c r="G944" s="3" t="s">
        <v>84</v>
      </c>
      <c r="H944" s="3" t="s">
        <v>56</v>
      </c>
      <c r="I944" s="3" t="s">
        <v>57</v>
      </c>
      <c r="J944" s="3" t="s">
        <v>6009</v>
      </c>
      <c r="K944" s="3" t="n">
        <v>1609470.67</v>
      </c>
      <c r="L944" s="3" t="n">
        <v>0.2634</v>
      </c>
      <c r="M944" s="3" t="n">
        <v>1185536.1</v>
      </c>
      <c r="N944" s="3" t="n">
        <v>483720.22</v>
      </c>
      <c r="O944" s="3" t="n">
        <v>0.408</v>
      </c>
      <c r="P944" s="3" t="n">
        <v>0</v>
      </c>
      <c r="Q944" s="3" t="n">
        <v>0</v>
      </c>
      <c r="R944" s="3" t="n">
        <v>138</v>
      </c>
      <c r="S944" s="3" t="n">
        <v>7.2</v>
      </c>
      <c r="T944" s="3" t="n">
        <v>2.9</v>
      </c>
      <c r="U944" s="3" t="s">
        <v>6025</v>
      </c>
      <c r="V944" s="3" t="n">
        <v>6.35</v>
      </c>
      <c r="W944" s="3" t="s">
        <v>5990</v>
      </c>
    </row>
    <row r="945" customFormat="false" ht="15" hidden="false" customHeight="true" outlineLevel="0" collapsed="false">
      <c r="A945" s="3" t="s">
        <v>7047</v>
      </c>
      <c r="B945" s="3" t="s">
        <v>2662</v>
      </c>
      <c r="C945" s="3" t="s">
        <v>1545</v>
      </c>
      <c r="D945" s="3" t="s">
        <v>75</v>
      </c>
      <c r="E945" s="3" t="s">
        <v>39</v>
      </c>
      <c r="F945" s="3" t="s">
        <v>25</v>
      </c>
      <c r="G945" s="3" t="s">
        <v>34</v>
      </c>
      <c r="H945" s="3" t="s">
        <v>64</v>
      </c>
      <c r="I945" s="3" t="s">
        <v>65</v>
      </c>
      <c r="J945" s="3" t="s">
        <v>5989</v>
      </c>
      <c r="K945" s="3" t="n">
        <v>3329072.1</v>
      </c>
      <c r="L945" s="3" t="n">
        <v>0.3</v>
      </c>
      <c r="M945" s="3" t="n">
        <v>2330350.47</v>
      </c>
      <c r="N945" s="3" t="n">
        <v>862324.48</v>
      </c>
      <c r="O945" s="3" t="n">
        <v>0.37</v>
      </c>
      <c r="P945" s="3" t="n">
        <v>0.242</v>
      </c>
      <c r="Q945" s="3" t="n">
        <v>563944.81</v>
      </c>
      <c r="R945" s="3" t="n">
        <v>75</v>
      </c>
      <c r="S945" s="3" t="n">
        <v>6.2</v>
      </c>
      <c r="T945" s="3" t="n">
        <v>7.5</v>
      </c>
      <c r="U945" s="3"/>
      <c r="V945" s="3" t="n">
        <v>4.79</v>
      </c>
      <c r="W945" s="3" t="s">
        <v>6000</v>
      </c>
    </row>
    <row r="946" customFormat="false" ht="15" hidden="false" customHeight="true" outlineLevel="0" collapsed="false">
      <c r="A946" s="3" t="s">
        <v>7048</v>
      </c>
      <c r="B946" s="3" t="s">
        <v>1855</v>
      </c>
      <c r="C946" s="3" t="s">
        <v>7049</v>
      </c>
      <c r="D946" s="3" t="s">
        <v>54</v>
      </c>
      <c r="E946" s="3" t="s">
        <v>24</v>
      </c>
      <c r="F946" s="3" t="s">
        <v>40</v>
      </c>
      <c r="G946" s="3" t="s">
        <v>34</v>
      </c>
      <c r="H946" s="3" t="s">
        <v>56</v>
      </c>
      <c r="I946" s="3" t="s">
        <v>121</v>
      </c>
      <c r="J946" s="3" t="s">
        <v>5999</v>
      </c>
      <c r="K946" s="3" t="n">
        <v>2589177.22</v>
      </c>
      <c r="L946" s="3" t="n">
        <v>0.0525</v>
      </c>
      <c r="M946" s="3" t="n">
        <v>2453245.42</v>
      </c>
      <c r="N946" s="3" t="n">
        <v>1044327.52</v>
      </c>
      <c r="O946" s="3" t="n">
        <v>0.4257</v>
      </c>
      <c r="P946" s="3" t="n">
        <v>0.481</v>
      </c>
      <c r="Q946" s="3" t="n">
        <v>1180011.05</v>
      </c>
      <c r="R946" s="3" t="n">
        <v>146</v>
      </c>
      <c r="S946" s="3" t="n">
        <v>5.5</v>
      </c>
      <c r="T946" s="3" t="n">
        <v>2.2</v>
      </c>
      <c r="U946" s="3"/>
      <c r="V946" s="3" t="n">
        <v>7.92</v>
      </c>
      <c r="W946" s="3" t="s">
        <v>5997</v>
      </c>
    </row>
    <row r="947" customFormat="false" ht="15" hidden="false" customHeight="true" outlineLevel="0" collapsed="false">
      <c r="A947" s="3" t="s">
        <v>7050</v>
      </c>
      <c r="B947" s="3" t="s">
        <v>1776</v>
      </c>
      <c r="C947" s="3" t="s">
        <v>386</v>
      </c>
      <c r="D947" s="3" t="s">
        <v>83</v>
      </c>
      <c r="E947" s="3" t="s">
        <v>48</v>
      </c>
      <c r="F947" s="3" t="s">
        <v>62</v>
      </c>
      <c r="G947" s="3" t="s">
        <v>76</v>
      </c>
      <c r="H947" s="3" t="s">
        <v>42</v>
      </c>
      <c r="I947" s="3" t="s">
        <v>72</v>
      </c>
      <c r="J947" s="3" t="s">
        <v>5996</v>
      </c>
      <c r="K947" s="3" t="n">
        <v>2163608.59</v>
      </c>
      <c r="L947" s="3" t="n">
        <v>0.1685</v>
      </c>
      <c r="M947" s="3" t="n">
        <v>1799040.54</v>
      </c>
      <c r="N947" s="3" t="n">
        <v>539456.67</v>
      </c>
      <c r="O947" s="3" t="n">
        <v>0.2999</v>
      </c>
      <c r="P947" s="3" t="n">
        <v>0.955</v>
      </c>
      <c r="Q947" s="3" t="n">
        <v>1718083.72</v>
      </c>
      <c r="R947" s="3" t="n">
        <v>133</v>
      </c>
      <c r="S947" s="3" t="n">
        <v>2.3</v>
      </c>
      <c r="T947" s="3" t="n">
        <v>9.2</v>
      </c>
      <c r="U947" s="3"/>
      <c r="V947" s="3" t="n">
        <v>4.14</v>
      </c>
      <c r="W947" s="3" t="s">
        <v>6000</v>
      </c>
    </row>
    <row r="948" customFormat="false" ht="15" hidden="false" customHeight="true" outlineLevel="0" collapsed="false">
      <c r="A948" s="3" t="s">
        <v>7051</v>
      </c>
      <c r="B948" s="3" t="s">
        <v>1060</v>
      </c>
      <c r="C948" s="3" t="s">
        <v>82</v>
      </c>
      <c r="D948" s="3" t="s">
        <v>47</v>
      </c>
      <c r="E948" s="3" t="s">
        <v>48</v>
      </c>
      <c r="F948" s="3" t="s">
        <v>25</v>
      </c>
      <c r="G948" s="3" t="s">
        <v>76</v>
      </c>
      <c r="H948" s="3" t="s">
        <v>56</v>
      </c>
      <c r="I948" s="3" t="s">
        <v>121</v>
      </c>
      <c r="J948" s="3" t="s">
        <v>5999</v>
      </c>
      <c r="K948" s="3" t="n">
        <v>2731947.32</v>
      </c>
      <c r="L948" s="3" t="n">
        <v>0.2036</v>
      </c>
      <c r="M948" s="3" t="n">
        <v>2175722.85</v>
      </c>
      <c r="N948" s="3" t="n">
        <v>1031682.17</v>
      </c>
      <c r="O948" s="3" t="n">
        <v>0.4742</v>
      </c>
      <c r="P948" s="3" t="n">
        <v>0.44</v>
      </c>
      <c r="Q948" s="3" t="n">
        <v>957318.05</v>
      </c>
      <c r="R948" s="3" t="n">
        <v>111</v>
      </c>
      <c r="S948" s="3" t="n">
        <v>8.3</v>
      </c>
      <c r="T948" s="3" t="n">
        <v>6.2</v>
      </c>
      <c r="U948" s="3"/>
      <c r="V948" s="3" t="n">
        <v>6.95</v>
      </c>
      <c r="W948" s="3" t="s">
        <v>5997</v>
      </c>
    </row>
    <row r="949" customFormat="false" ht="15" hidden="false" customHeight="true" outlineLevel="0" collapsed="false">
      <c r="A949" s="3" t="s">
        <v>7052</v>
      </c>
      <c r="B949" s="3" t="s">
        <v>914</v>
      </c>
      <c r="C949" s="3" t="s">
        <v>1957</v>
      </c>
      <c r="D949" s="3" t="s">
        <v>83</v>
      </c>
      <c r="E949" s="3" t="s">
        <v>48</v>
      </c>
      <c r="F949" s="3" t="s">
        <v>62</v>
      </c>
      <c r="G949" s="3" t="s">
        <v>104</v>
      </c>
      <c r="H949" s="3" t="s">
        <v>56</v>
      </c>
      <c r="I949" s="3" t="s">
        <v>188</v>
      </c>
      <c r="J949" s="3" t="s">
        <v>5996</v>
      </c>
      <c r="K949" s="3" t="n">
        <v>777869.73</v>
      </c>
      <c r="L949" s="3" t="n">
        <v>0.2611</v>
      </c>
      <c r="M949" s="3" t="n">
        <v>574767.94</v>
      </c>
      <c r="N949" s="3" t="n">
        <v>242435.43</v>
      </c>
      <c r="O949" s="3" t="n">
        <v>0.4218</v>
      </c>
      <c r="P949" s="3" t="n">
        <v>1</v>
      </c>
      <c r="Q949" s="3" t="n">
        <v>574767.94</v>
      </c>
      <c r="R949" s="3" t="n">
        <v>142</v>
      </c>
      <c r="S949" s="3" t="n">
        <v>9.3</v>
      </c>
      <c r="T949" s="3" t="n">
        <v>6.3</v>
      </c>
      <c r="U949" s="3"/>
      <c r="V949" s="3" t="n">
        <v>6.5</v>
      </c>
      <c r="W949" s="3" t="s">
        <v>5997</v>
      </c>
    </row>
    <row r="950" customFormat="false" ht="15" hidden="false" customHeight="true" outlineLevel="0" collapsed="false">
      <c r="A950" s="3" t="s">
        <v>7053</v>
      </c>
      <c r="B950" s="3" t="s">
        <v>190</v>
      </c>
      <c r="C950" s="3" t="s">
        <v>1726</v>
      </c>
      <c r="D950" s="3" t="s">
        <v>83</v>
      </c>
      <c r="E950" s="3" t="s">
        <v>48</v>
      </c>
      <c r="F950" s="3" t="s">
        <v>62</v>
      </c>
      <c r="G950" s="3" t="s">
        <v>76</v>
      </c>
      <c r="H950" s="3" t="s">
        <v>64</v>
      </c>
      <c r="I950" s="3" t="s">
        <v>145</v>
      </c>
      <c r="J950" s="3" t="s">
        <v>5996</v>
      </c>
      <c r="K950" s="3" t="n">
        <v>1974757.87</v>
      </c>
      <c r="L950" s="3" t="n">
        <v>0.2897</v>
      </c>
      <c r="M950" s="3" t="n">
        <v>1402670.52</v>
      </c>
      <c r="N950" s="3" t="n">
        <v>605247.94</v>
      </c>
      <c r="O950" s="3" t="n">
        <v>0.4315</v>
      </c>
      <c r="P950" s="3" t="n">
        <v>1</v>
      </c>
      <c r="Q950" s="3" t="n">
        <v>1402670.52</v>
      </c>
      <c r="R950" s="3" t="n">
        <v>149</v>
      </c>
      <c r="S950" s="3" t="n">
        <v>8.2</v>
      </c>
      <c r="T950" s="3" t="n">
        <v>7.2</v>
      </c>
      <c r="U950" s="3"/>
      <c r="V950" s="3" t="n">
        <v>5.9</v>
      </c>
      <c r="W950" s="3" t="s">
        <v>5990</v>
      </c>
    </row>
    <row r="951" customFormat="false" ht="15" hidden="false" customHeight="true" outlineLevel="0" collapsed="false">
      <c r="A951" s="3" t="s">
        <v>7054</v>
      </c>
      <c r="B951" s="3" t="s">
        <v>170</v>
      </c>
      <c r="C951" s="3" t="s">
        <v>862</v>
      </c>
      <c r="D951" s="3" t="s">
        <v>32</v>
      </c>
      <c r="E951" s="3" t="s">
        <v>33</v>
      </c>
      <c r="F951" s="3" t="s">
        <v>25</v>
      </c>
      <c r="G951" s="3" t="s">
        <v>84</v>
      </c>
      <c r="H951" s="3" t="s">
        <v>56</v>
      </c>
      <c r="I951" s="3" t="s">
        <v>188</v>
      </c>
      <c r="J951" s="3" t="s">
        <v>5999</v>
      </c>
      <c r="K951" s="3" t="n">
        <v>1266051.14</v>
      </c>
      <c r="L951" s="3" t="n">
        <v>0.1918</v>
      </c>
      <c r="M951" s="3" t="n">
        <v>1023222.53</v>
      </c>
      <c r="N951" s="3" t="n">
        <v>482083.71</v>
      </c>
      <c r="O951" s="3" t="n">
        <v>0.4711</v>
      </c>
      <c r="P951" s="3" t="n">
        <v>0.469</v>
      </c>
      <c r="Q951" s="3" t="n">
        <v>479891.37</v>
      </c>
      <c r="R951" s="3" t="n">
        <v>37</v>
      </c>
      <c r="S951" s="3" t="n">
        <v>2.3</v>
      </c>
      <c r="T951" s="3" t="n">
        <v>1.3</v>
      </c>
      <c r="U951" s="3"/>
      <c r="V951" s="3" t="n">
        <v>6.28</v>
      </c>
      <c r="W951" s="3" t="s">
        <v>5990</v>
      </c>
    </row>
    <row r="952" customFormat="false" ht="15" hidden="false" customHeight="true" outlineLevel="0" collapsed="false">
      <c r="A952" s="3" t="s">
        <v>7055</v>
      </c>
      <c r="B952" s="3" t="s">
        <v>1265</v>
      </c>
      <c r="C952" s="3" t="s">
        <v>1529</v>
      </c>
      <c r="D952" s="3" t="s">
        <v>61</v>
      </c>
      <c r="E952" s="3" t="s">
        <v>33</v>
      </c>
      <c r="F952" s="3" t="s">
        <v>62</v>
      </c>
      <c r="G952" s="3" t="s">
        <v>116</v>
      </c>
      <c r="H952" s="3" t="s">
        <v>42</v>
      </c>
      <c r="I952" s="3" t="s">
        <v>72</v>
      </c>
      <c r="J952" s="3" t="s">
        <v>6009</v>
      </c>
      <c r="K952" s="3" t="n">
        <v>3244874.35</v>
      </c>
      <c r="L952" s="3" t="n">
        <v>0.177</v>
      </c>
      <c r="M952" s="3" t="n">
        <v>2670531.59</v>
      </c>
      <c r="N952" s="3" t="n">
        <v>1240052.76</v>
      </c>
      <c r="O952" s="3" t="n">
        <v>0.4643</v>
      </c>
      <c r="P952" s="3" t="n">
        <v>0</v>
      </c>
      <c r="Q952" s="3" t="n">
        <v>0</v>
      </c>
      <c r="R952" s="3" t="n">
        <v>144</v>
      </c>
      <c r="S952" s="3" t="n">
        <v>3.9</v>
      </c>
      <c r="T952" s="3" t="n">
        <v>8.6</v>
      </c>
      <c r="U952" s="3"/>
      <c r="V952" s="3" t="n">
        <v>5.71</v>
      </c>
      <c r="W952" s="3" t="s">
        <v>5990</v>
      </c>
    </row>
    <row r="953" customFormat="false" ht="15" hidden="false" customHeight="true" outlineLevel="0" collapsed="false">
      <c r="A953" s="3" t="s">
        <v>7056</v>
      </c>
      <c r="B953" s="3" t="s">
        <v>6813</v>
      </c>
      <c r="C953" s="3" t="s">
        <v>5015</v>
      </c>
      <c r="D953" s="3" t="s">
        <v>47</v>
      </c>
      <c r="E953" s="3" t="s">
        <v>48</v>
      </c>
      <c r="F953" s="3" t="s">
        <v>25</v>
      </c>
      <c r="G953" s="3" t="s">
        <v>34</v>
      </c>
      <c r="H953" s="3" t="s">
        <v>42</v>
      </c>
      <c r="I953" s="3" t="s">
        <v>43</v>
      </c>
      <c r="J953" s="3" t="s">
        <v>5999</v>
      </c>
      <c r="K953" s="3" t="n">
        <v>56051.99</v>
      </c>
      <c r="L953" s="3" t="n">
        <v>0.1844</v>
      </c>
      <c r="M953" s="3" t="n">
        <v>45716</v>
      </c>
      <c r="N953" s="3" t="n">
        <v>13659.55</v>
      </c>
      <c r="O953" s="3" t="n">
        <v>0.2988</v>
      </c>
      <c r="P953" s="3" t="n">
        <v>0.437</v>
      </c>
      <c r="Q953" s="3" t="n">
        <v>19977.89</v>
      </c>
      <c r="R953" s="3" t="n">
        <v>135</v>
      </c>
      <c r="S953" s="3" t="n">
        <v>6.5</v>
      </c>
      <c r="T953" s="3" t="n">
        <v>7.8</v>
      </c>
      <c r="U953" s="3"/>
      <c r="V953" s="3" t="n">
        <v>5.24</v>
      </c>
      <c r="W953" s="3" t="s">
        <v>5990</v>
      </c>
    </row>
    <row r="954" customFormat="false" ht="15" hidden="false" customHeight="true" outlineLevel="0" collapsed="false">
      <c r="A954" s="3" t="s">
        <v>7057</v>
      </c>
      <c r="B954" s="3" t="s">
        <v>1395</v>
      </c>
      <c r="C954" s="3" t="s">
        <v>3203</v>
      </c>
      <c r="D954" s="3" t="s">
        <v>69</v>
      </c>
      <c r="E954" s="3" t="s">
        <v>39</v>
      </c>
      <c r="F954" s="3" t="s">
        <v>70</v>
      </c>
      <c r="G954" s="3" t="s">
        <v>26</v>
      </c>
      <c r="H954" s="3" t="s">
        <v>64</v>
      </c>
      <c r="I954" s="3" t="s">
        <v>108</v>
      </c>
      <c r="J954" s="3" t="s">
        <v>5999</v>
      </c>
      <c r="K954" s="3" t="n">
        <v>2405260.98</v>
      </c>
      <c r="L954" s="3" t="n">
        <v>0.1217</v>
      </c>
      <c r="M954" s="3" t="n">
        <v>2112540.72</v>
      </c>
      <c r="N954" s="3" t="n">
        <v>645436.9</v>
      </c>
      <c r="O954" s="3" t="n">
        <v>0.3055</v>
      </c>
      <c r="P954" s="3" t="n">
        <v>0.424</v>
      </c>
      <c r="Q954" s="3" t="n">
        <v>895717.27</v>
      </c>
      <c r="R954" s="3" t="n">
        <v>87</v>
      </c>
      <c r="S954" s="3" t="n">
        <v>4.8</v>
      </c>
      <c r="T954" s="3" t="n">
        <v>9.6</v>
      </c>
      <c r="U954" s="3"/>
      <c r="V954" s="3" t="n">
        <v>5.12</v>
      </c>
      <c r="W954" s="3" t="s">
        <v>5990</v>
      </c>
    </row>
    <row r="955" customFormat="false" ht="15" hidden="false" customHeight="true" outlineLevel="0" collapsed="false">
      <c r="A955" s="3" t="s">
        <v>7058</v>
      </c>
      <c r="B955" s="3" t="s">
        <v>5747</v>
      </c>
      <c r="C955" s="3" t="s">
        <v>3139</v>
      </c>
      <c r="D955" s="3" t="s">
        <v>107</v>
      </c>
      <c r="E955" s="3" t="s">
        <v>33</v>
      </c>
      <c r="F955" s="3" t="s">
        <v>70</v>
      </c>
      <c r="G955" s="3" t="s">
        <v>76</v>
      </c>
      <c r="H955" s="3" t="s">
        <v>42</v>
      </c>
      <c r="I955" s="3" t="s">
        <v>134</v>
      </c>
      <c r="J955" s="3" t="s">
        <v>6009</v>
      </c>
      <c r="K955" s="3" t="n">
        <v>1135226.58</v>
      </c>
      <c r="L955" s="3" t="n">
        <v>0.2441</v>
      </c>
      <c r="M955" s="3" t="n">
        <v>858117.77</v>
      </c>
      <c r="N955" s="3" t="n">
        <v>271673.17</v>
      </c>
      <c r="O955" s="3" t="n">
        <v>0.3166</v>
      </c>
      <c r="P955" s="3" t="n">
        <v>0</v>
      </c>
      <c r="Q955" s="3" t="n">
        <v>0</v>
      </c>
      <c r="R955" s="3" t="n">
        <v>49</v>
      </c>
      <c r="S955" s="3" t="n">
        <v>3.1</v>
      </c>
      <c r="T955" s="3" t="n">
        <v>9.4</v>
      </c>
      <c r="U955" s="3" t="s">
        <v>6010</v>
      </c>
      <c r="V955" s="3" t="n">
        <v>3.79</v>
      </c>
      <c r="W955" s="3" t="s">
        <v>6000</v>
      </c>
    </row>
    <row r="956" customFormat="false" ht="15" hidden="false" customHeight="true" outlineLevel="0" collapsed="false">
      <c r="A956" s="3" t="s">
        <v>7059</v>
      </c>
      <c r="B956" s="3" t="s">
        <v>880</v>
      </c>
      <c r="C956" s="3" t="s">
        <v>1084</v>
      </c>
      <c r="D956" s="3" t="s">
        <v>54</v>
      </c>
      <c r="E956" s="3" t="s">
        <v>24</v>
      </c>
      <c r="F956" s="3" t="s">
        <v>40</v>
      </c>
      <c r="G956" s="3" t="s">
        <v>26</v>
      </c>
      <c r="H956" s="3" t="s">
        <v>64</v>
      </c>
      <c r="I956" s="3" t="s">
        <v>90</v>
      </c>
      <c r="J956" s="3" t="s">
        <v>5999</v>
      </c>
      <c r="K956" s="3" t="n">
        <v>4452573.38</v>
      </c>
      <c r="L956" s="3" t="n">
        <v>0.109</v>
      </c>
      <c r="M956" s="3" t="n">
        <v>3967242.88</v>
      </c>
      <c r="N956" s="3" t="n">
        <v>1311578.99</v>
      </c>
      <c r="O956" s="3" t="n">
        <v>0.3306</v>
      </c>
      <c r="P956" s="3" t="n">
        <v>0.454</v>
      </c>
      <c r="Q956" s="3" t="n">
        <v>1801128.27</v>
      </c>
      <c r="R956" s="3" t="n">
        <v>101</v>
      </c>
      <c r="S956" s="3" t="n">
        <v>1.7</v>
      </c>
      <c r="T956" s="3" t="n">
        <v>4.8</v>
      </c>
      <c r="U956" s="3"/>
      <c r="V956" s="3" t="n">
        <v>5.36</v>
      </c>
      <c r="W956" s="3" t="s">
        <v>5990</v>
      </c>
    </row>
    <row r="957" customFormat="false" ht="15" hidden="false" customHeight="true" outlineLevel="0" collapsed="false">
      <c r="A957" s="3" t="s">
        <v>7060</v>
      </c>
      <c r="B957" s="3" t="s">
        <v>256</v>
      </c>
      <c r="C957" s="3" t="s">
        <v>871</v>
      </c>
      <c r="D957" s="3" t="s">
        <v>97</v>
      </c>
      <c r="E957" s="3" t="s">
        <v>48</v>
      </c>
      <c r="F957" s="3" t="s">
        <v>40</v>
      </c>
      <c r="G957" s="3" t="s">
        <v>55</v>
      </c>
      <c r="H957" s="3" t="s">
        <v>42</v>
      </c>
      <c r="I957" s="3" t="s">
        <v>134</v>
      </c>
      <c r="J957" s="3" t="s">
        <v>6009</v>
      </c>
      <c r="K957" s="3" t="n">
        <v>2126849.53</v>
      </c>
      <c r="L957" s="3" t="n">
        <v>0.0871</v>
      </c>
      <c r="M957" s="3" t="n">
        <v>1941600.94</v>
      </c>
      <c r="N957" s="3" t="n">
        <v>826564.63</v>
      </c>
      <c r="O957" s="3" t="n">
        <v>0.4257</v>
      </c>
      <c r="P957" s="3" t="n">
        <v>0.018</v>
      </c>
      <c r="Q957" s="3" t="n">
        <v>34948.82</v>
      </c>
      <c r="R957" s="3" t="n">
        <v>48</v>
      </c>
      <c r="S957" s="3" t="n">
        <v>8.9</v>
      </c>
      <c r="T957" s="3" t="n">
        <v>2.3</v>
      </c>
      <c r="U957" s="3" t="s">
        <v>6010</v>
      </c>
      <c r="V957" s="3" t="n">
        <v>8.48</v>
      </c>
      <c r="W957" s="3" t="s">
        <v>5997</v>
      </c>
    </row>
    <row r="958" customFormat="false" ht="15" hidden="false" customHeight="true" outlineLevel="0" collapsed="false">
      <c r="A958" s="3" t="s">
        <v>7061</v>
      </c>
      <c r="B958" s="3" t="s">
        <v>4651</v>
      </c>
      <c r="C958" s="3" t="s">
        <v>999</v>
      </c>
      <c r="D958" s="3" t="s">
        <v>107</v>
      </c>
      <c r="E958" s="3" t="s">
        <v>33</v>
      </c>
      <c r="F958" s="3" t="s">
        <v>70</v>
      </c>
      <c r="G958" s="3" t="s">
        <v>100</v>
      </c>
      <c r="H958" s="3" t="s">
        <v>56</v>
      </c>
      <c r="I958" s="3" t="s">
        <v>121</v>
      </c>
      <c r="J958" s="3" t="s">
        <v>5989</v>
      </c>
      <c r="K958" s="3" t="n">
        <v>3102910.71</v>
      </c>
      <c r="L958" s="3" t="n">
        <v>0.2223</v>
      </c>
      <c r="M958" s="3" t="n">
        <v>2413133.66</v>
      </c>
      <c r="N958" s="3" t="n">
        <v>1148188.14</v>
      </c>
      <c r="O958" s="3" t="n">
        <v>0.4758</v>
      </c>
      <c r="P958" s="3" t="n">
        <v>0.227</v>
      </c>
      <c r="Q958" s="3" t="n">
        <v>547781.34</v>
      </c>
      <c r="R958" s="3" t="n">
        <v>44</v>
      </c>
      <c r="S958" s="3" t="n">
        <v>2.1</v>
      </c>
      <c r="T958" s="3" t="n">
        <v>8</v>
      </c>
      <c r="U958" s="3"/>
      <c r="V958" s="3" t="n">
        <v>4.98</v>
      </c>
      <c r="W958" s="3" t="s">
        <v>6000</v>
      </c>
    </row>
    <row r="959" customFormat="false" ht="15" hidden="false" customHeight="true" outlineLevel="0" collapsed="false">
      <c r="A959" s="3" t="s">
        <v>7062</v>
      </c>
      <c r="B959" s="3" t="s">
        <v>1762</v>
      </c>
      <c r="C959" s="3" t="s">
        <v>7063</v>
      </c>
      <c r="D959" s="3" t="s">
        <v>103</v>
      </c>
      <c r="E959" s="3" t="s">
        <v>24</v>
      </c>
      <c r="F959" s="3" t="s">
        <v>62</v>
      </c>
      <c r="G959" s="3" t="s">
        <v>71</v>
      </c>
      <c r="H959" s="3" t="s">
        <v>77</v>
      </c>
      <c r="I959" s="3" t="s">
        <v>131</v>
      </c>
      <c r="J959" s="3" t="s">
        <v>5999</v>
      </c>
      <c r="K959" s="3" t="n">
        <v>4519853.53</v>
      </c>
      <c r="L959" s="3" t="n">
        <v>0.1643</v>
      </c>
      <c r="M959" s="3" t="n">
        <v>3777241.6</v>
      </c>
      <c r="N959" s="3" t="n">
        <v>1184834.46</v>
      </c>
      <c r="O959" s="3" t="n">
        <v>0.3137</v>
      </c>
      <c r="P959" s="3" t="n">
        <v>0.482</v>
      </c>
      <c r="Q959" s="3" t="n">
        <v>1820630.45</v>
      </c>
      <c r="R959" s="3" t="n">
        <v>180</v>
      </c>
      <c r="S959" s="3" t="n">
        <v>2.7</v>
      </c>
      <c r="T959" s="3" t="n">
        <v>8.6</v>
      </c>
      <c r="U959" s="3"/>
      <c r="V959" s="3" t="n">
        <v>4.46</v>
      </c>
      <c r="W959" s="3" t="s">
        <v>6000</v>
      </c>
    </row>
    <row r="960" customFormat="false" ht="15" hidden="false" customHeight="true" outlineLevel="0" collapsed="false">
      <c r="A960" s="3" t="s">
        <v>7064</v>
      </c>
      <c r="B960" s="3" t="s">
        <v>670</v>
      </c>
      <c r="C960" s="3" t="s">
        <v>1034</v>
      </c>
      <c r="D960" s="3" t="s">
        <v>54</v>
      </c>
      <c r="E960" s="3" t="s">
        <v>24</v>
      </c>
      <c r="F960" s="3" t="s">
        <v>40</v>
      </c>
      <c r="G960" s="3" t="s">
        <v>26</v>
      </c>
      <c r="H960" s="3" t="s">
        <v>42</v>
      </c>
      <c r="I960" s="3" t="s">
        <v>134</v>
      </c>
      <c r="J960" s="3" t="s">
        <v>5996</v>
      </c>
      <c r="K960" s="3" t="n">
        <v>2371037.54</v>
      </c>
      <c r="L960" s="3" t="n">
        <v>0.2135</v>
      </c>
      <c r="M960" s="3" t="n">
        <v>1864821.03</v>
      </c>
      <c r="N960" s="3" t="n">
        <v>535663.56</v>
      </c>
      <c r="O960" s="3" t="n">
        <v>0.2872</v>
      </c>
      <c r="P960" s="3" t="n">
        <v>0.973</v>
      </c>
      <c r="Q960" s="3" t="n">
        <v>1814470.86</v>
      </c>
      <c r="R960" s="3" t="n">
        <v>40</v>
      </c>
      <c r="S960" s="3" t="n">
        <v>2</v>
      </c>
      <c r="T960" s="3" t="n">
        <v>8.3</v>
      </c>
      <c r="U960" s="3"/>
      <c r="V960" s="3" t="n">
        <v>3.72</v>
      </c>
      <c r="W960" s="3" t="s">
        <v>6000</v>
      </c>
    </row>
    <row r="961" customFormat="false" ht="15" hidden="false" customHeight="true" outlineLevel="0" collapsed="false">
      <c r="A961" s="3" t="s">
        <v>7065</v>
      </c>
      <c r="B961" s="3" t="s">
        <v>1180</v>
      </c>
      <c r="C961" s="3" t="s">
        <v>1001</v>
      </c>
      <c r="D961" s="3" t="s">
        <v>97</v>
      </c>
      <c r="E961" s="3" t="s">
        <v>48</v>
      </c>
      <c r="F961" s="3" t="s">
        <v>40</v>
      </c>
      <c r="G961" s="3" t="s">
        <v>84</v>
      </c>
      <c r="H961" s="3" t="s">
        <v>77</v>
      </c>
      <c r="I961" s="3" t="s">
        <v>85</v>
      </c>
      <c r="J961" s="3" t="s">
        <v>5989</v>
      </c>
      <c r="K961" s="3" t="n">
        <v>3385190.03</v>
      </c>
      <c r="L961" s="3" t="n">
        <v>0.0826</v>
      </c>
      <c r="M961" s="3" t="n">
        <v>3105573.33</v>
      </c>
      <c r="N961" s="3" t="n">
        <v>1392965.48</v>
      </c>
      <c r="O961" s="3" t="n">
        <v>0.4485</v>
      </c>
      <c r="P961" s="3" t="n">
        <v>0.26</v>
      </c>
      <c r="Q961" s="3" t="n">
        <v>807449.07</v>
      </c>
      <c r="R961" s="3" t="n">
        <v>95</v>
      </c>
      <c r="S961" s="3" t="n">
        <v>8.2</v>
      </c>
      <c r="T961" s="3" t="n">
        <v>9</v>
      </c>
      <c r="U961" s="3"/>
      <c r="V961" s="3" t="n">
        <v>7.5</v>
      </c>
      <c r="W961" s="3" t="s">
        <v>5997</v>
      </c>
    </row>
    <row r="962" customFormat="false" ht="15" hidden="false" customHeight="true" outlineLevel="0" collapsed="false">
      <c r="A962" s="3" t="s">
        <v>7066</v>
      </c>
      <c r="B962" s="3" t="s">
        <v>461</v>
      </c>
      <c r="C962" s="3" t="s">
        <v>4992</v>
      </c>
      <c r="D962" s="3" t="s">
        <v>38</v>
      </c>
      <c r="E962" s="3" t="s">
        <v>39</v>
      </c>
      <c r="F962" s="3" t="s">
        <v>40</v>
      </c>
      <c r="G962" s="3" t="s">
        <v>100</v>
      </c>
      <c r="H962" s="3" t="s">
        <v>42</v>
      </c>
      <c r="I962" s="3" t="s">
        <v>134</v>
      </c>
      <c r="J962" s="3" t="s">
        <v>5989</v>
      </c>
      <c r="K962" s="3" t="n">
        <v>2592068.48</v>
      </c>
      <c r="L962" s="3" t="n">
        <v>0.2272</v>
      </c>
      <c r="M962" s="3" t="n">
        <v>2003150.52</v>
      </c>
      <c r="N962" s="3" t="n">
        <v>638021.37</v>
      </c>
      <c r="O962" s="3" t="n">
        <v>0.3185</v>
      </c>
      <c r="P962" s="3" t="n">
        <v>0.219</v>
      </c>
      <c r="Q962" s="3" t="n">
        <v>438689.96</v>
      </c>
      <c r="R962" s="3" t="n">
        <v>17</v>
      </c>
      <c r="S962" s="3" t="n">
        <v>4.1</v>
      </c>
      <c r="T962" s="3" t="n">
        <v>7.1</v>
      </c>
      <c r="U962" s="3"/>
      <c r="V962" s="3" t="n">
        <v>4.54</v>
      </c>
      <c r="W962" s="3" t="s">
        <v>6000</v>
      </c>
    </row>
    <row r="963" customFormat="false" ht="15" hidden="false" customHeight="true" outlineLevel="0" collapsed="false">
      <c r="A963" s="3" t="s">
        <v>7067</v>
      </c>
      <c r="B963" s="3" t="s">
        <v>1029</v>
      </c>
      <c r="C963" s="3" t="s">
        <v>6057</v>
      </c>
      <c r="D963" s="3" t="s">
        <v>107</v>
      </c>
      <c r="E963" s="3" t="s">
        <v>33</v>
      </c>
      <c r="F963" s="3" t="s">
        <v>70</v>
      </c>
      <c r="G963" s="3" t="s">
        <v>63</v>
      </c>
      <c r="H963" s="3" t="s">
        <v>77</v>
      </c>
      <c r="I963" s="3" t="s">
        <v>131</v>
      </c>
      <c r="J963" s="3" t="s">
        <v>5989</v>
      </c>
      <c r="K963" s="3" t="n">
        <v>977855.32</v>
      </c>
      <c r="L963" s="3" t="n">
        <v>0.2507</v>
      </c>
      <c r="M963" s="3" t="n">
        <v>732706.99</v>
      </c>
      <c r="N963" s="3" t="n">
        <v>300413.87</v>
      </c>
      <c r="O963" s="3" t="n">
        <v>0.41</v>
      </c>
      <c r="P963" s="3" t="n">
        <v>0.263</v>
      </c>
      <c r="Q963" s="3" t="n">
        <v>192701.94</v>
      </c>
      <c r="R963" s="3" t="n">
        <v>139</v>
      </c>
      <c r="S963" s="3" t="n">
        <v>6.5</v>
      </c>
      <c r="T963" s="3" t="n">
        <v>4.5</v>
      </c>
      <c r="U963" s="3"/>
      <c r="V963" s="3" t="n">
        <v>6.03</v>
      </c>
      <c r="W963" s="3" t="s">
        <v>5990</v>
      </c>
    </row>
    <row r="964" customFormat="false" ht="15" hidden="false" customHeight="true" outlineLevel="0" collapsed="false">
      <c r="A964" s="3" t="s">
        <v>7068</v>
      </c>
      <c r="B964" s="3" t="s">
        <v>170</v>
      </c>
      <c r="C964" s="3" t="s">
        <v>1074</v>
      </c>
      <c r="D964" s="3" t="s">
        <v>75</v>
      </c>
      <c r="E964" s="3" t="s">
        <v>39</v>
      </c>
      <c r="F964" s="3" t="s">
        <v>25</v>
      </c>
      <c r="G964" s="3" t="s">
        <v>41</v>
      </c>
      <c r="H964" s="3" t="s">
        <v>27</v>
      </c>
      <c r="I964" s="3" t="s">
        <v>28</v>
      </c>
      <c r="J964" s="3" t="s">
        <v>5989</v>
      </c>
      <c r="K964" s="3" t="n">
        <v>3917165.83</v>
      </c>
      <c r="L964" s="3" t="n">
        <v>0.2535</v>
      </c>
      <c r="M964" s="3" t="n">
        <v>2924164.29</v>
      </c>
      <c r="N964" s="3" t="n">
        <v>860085.95</v>
      </c>
      <c r="O964" s="3" t="n">
        <v>0.2941</v>
      </c>
      <c r="P964" s="3" t="n">
        <v>0.203</v>
      </c>
      <c r="Q964" s="3" t="n">
        <v>593605.35</v>
      </c>
      <c r="R964" s="3" t="n">
        <v>154</v>
      </c>
      <c r="S964" s="3" t="n">
        <v>3.2</v>
      </c>
      <c r="T964" s="3" t="n">
        <v>9.8</v>
      </c>
      <c r="U964" s="3"/>
      <c r="V964" s="3" t="n">
        <v>3.48</v>
      </c>
      <c r="W964" s="3" t="s">
        <v>6000</v>
      </c>
    </row>
    <row r="965" customFormat="false" ht="15" hidden="false" customHeight="true" outlineLevel="0" collapsed="false">
      <c r="A965" s="3" t="s">
        <v>7069</v>
      </c>
      <c r="B965" s="3" t="s">
        <v>99</v>
      </c>
      <c r="C965" s="3" t="s">
        <v>2662</v>
      </c>
      <c r="D965" s="3" t="s">
        <v>97</v>
      </c>
      <c r="E965" s="3" t="s">
        <v>48</v>
      </c>
      <c r="F965" s="3" t="s">
        <v>40</v>
      </c>
      <c r="G965" s="3" t="s">
        <v>84</v>
      </c>
      <c r="H965" s="3" t="s">
        <v>42</v>
      </c>
      <c r="I965" s="3" t="s">
        <v>72</v>
      </c>
      <c r="J965" s="3" t="s">
        <v>6003</v>
      </c>
      <c r="K965" s="3" t="n">
        <v>3260854.91</v>
      </c>
      <c r="L965" s="3" t="n">
        <v>0.2561</v>
      </c>
      <c r="M965" s="3" t="n">
        <v>2425749.97</v>
      </c>
      <c r="N965" s="3" t="n">
        <v>883550.05</v>
      </c>
      <c r="O965" s="3" t="n">
        <v>0.3642</v>
      </c>
      <c r="P965" s="3" t="n">
        <v>0.123</v>
      </c>
      <c r="Q965" s="3" t="n">
        <v>298367.25</v>
      </c>
      <c r="R965" s="3" t="n">
        <v>14</v>
      </c>
      <c r="S965" s="3" t="n">
        <v>7.1</v>
      </c>
      <c r="T965" s="3" t="n">
        <v>2.1</v>
      </c>
      <c r="U965" s="3"/>
      <c r="V965" s="3" t="n">
        <v>6.17</v>
      </c>
      <c r="W965" s="3" t="s">
        <v>5990</v>
      </c>
    </row>
    <row r="966" customFormat="false" ht="15" hidden="false" customHeight="true" outlineLevel="0" collapsed="false">
      <c r="A966" s="3" t="s">
        <v>7070</v>
      </c>
      <c r="B966" s="3" t="s">
        <v>3250</v>
      </c>
      <c r="C966" s="3" t="s">
        <v>110</v>
      </c>
      <c r="D966" s="3" t="s">
        <v>47</v>
      </c>
      <c r="E966" s="3" t="s">
        <v>48</v>
      </c>
      <c r="F966" s="3" t="s">
        <v>25</v>
      </c>
      <c r="G966" s="3" t="s">
        <v>26</v>
      </c>
      <c r="H966" s="3" t="s">
        <v>42</v>
      </c>
      <c r="I966" s="3" t="s">
        <v>43</v>
      </c>
      <c r="J966" s="3" t="s">
        <v>5996</v>
      </c>
      <c r="K966" s="3" t="n">
        <v>3570553.12</v>
      </c>
      <c r="L966" s="3" t="n">
        <v>0.1364</v>
      </c>
      <c r="M966" s="3" t="n">
        <v>3083529.67</v>
      </c>
      <c r="N966" s="3" t="n">
        <v>1391568.54</v>
      </c>
      <c r="O966" s="3" t="n">
        <v>0.4513</v>
      </c>
      <c r="P966" s="3" t="n">
        <v>1</v>
      </c>
      <c r="Q966" s="3" t="n">
        <v>3083529.67</v>
      </c>
      <c r="R966" s="3" t="n">
        <v>99</v>
      </c>
      <c r="S966" s="3" t="n">
        <v>2.5</v>
      </c>
      <c r="T966" s="3" t="n">
        <v>9</v>
      </c>
      <c r="U966" s="3"/>
      <c r="V966" s="3" t="n">
        <v>5.65</v>
      </c>
      <c r="W966" s="3" t="s">
        <v>5990</v>
      </c>
    </row>
    <row r="967" customFormat="false" ht="15" hidden="false" customHeight="true" outlineLevel="0" collapsed="false">
      <c r="A967" s="3" t="s">
        <v>7071</v>
      </c>
      <c r="B967" s="3" t="s">
        <v>3578</v>
      </c>
      <c r="C967" s="3" t="s">
        <v>443</v>
      </c>
      <c r="D967" s="3" t="s">
        <v>61</v>
      </c>
      <c r="E967" s="3" t="s">
        <v>33</v>
      </c>
      <c r="F967" s="3" t="s">
        <v>62</v>
      </c>
      <c r="G967" s="3" t="s">
        <v>104</v>
      </c>
      <c r="H967" s="3" t="s">
        <v>56</v>
      </c>
      <c r="I967" s="3" t="s">
        <v>57</v>
      </c>
      <c r="J967" s="3" t="s">
        <v>5996</v>
      </c>
      <c r="K967" s="3" t="n">
        <v>4804636.66</v>
      </c>
      <c r="L967" s="3" t="n">
        <v>0.06</v>
      </c>
      <c r="M967" s="3" t="n">
        <v>4516358.46</v>
      </c>
      <c r="N967" s="3" t="n">
        <v>1380184.9</v>
      </c>
      <c r="O967" s="3" t="n">
        <v>0.3056</v>
      </c>
      <c r="P967" s="3" t="n">
        <v>1</v>
      </c>
      <c r="Q967" s="3" t="n">
        <v>4516358.46</v>
      </c>
      <c r="R967" s="3" t="n">
        <v>46</v>
      </c>
      <c r="S967" s="3" t="n">
        <v>4.2</v>
      </c>
      <c r="T967" s="3" t="n">
        <v>2.2</v>
      </c>
      <c r="U967" s="3"/>
      <c r="V967" s="3" t="n">
        <v>6.6</v>
      </c>
      <c r="W967" s="3" t="s">
        <v>5997</v>
      </c>
    </row>
    <row r="968" customFormat="false" ht="15" hidden="false" customHeight="true" outlineLevel="0" collapsed="false">
      <c r="A968" s="3" t="s">
        <v>7072</v>
      </c>
      <c r="B968" s="3" t="s">
        <v>192</v>
      </c>
      <c r="C968" s="3" t="s">
        <v>892</v>
      </c>
      <c r="D968" s="3" t="s">
        <v>75</v>
      </c>
      <c r="E968" s="3" t="s">
        <v>39</v>
      </c>
      <c r="F968" s="3" t="s">
        <v>25</v>
      </c>
      <c r="G968" s="3" t="s">
        <v>55</v>
      </c>
      <c r="H968" s="3" t="s">
        <v>27</v>
      </c>
      <c r="I968" s="3" t="s">
        <v>94</v>
      </c>
      <c r="J968" s="3" t="s">
        <v>5989</v>
      </c>
      <c r="K968" s="3" t="n">
        <v>3606592.1</v>
      </c>
      <c r="L968" s="3" t="n">
        <v>0.1459</v>
      </c>
      <c r="M968" s="3" t="n">
        <v>3080390.31</v>
      </c>
      <c r="N968" s="3" t="n">
        <v>1006463.39</v>
      </c>
      <c r="O968" s="3" t="n">
        <v>0.3267</v>
      </c>
      <c r="P968" s="3" t="n">
        <v>0.253</v>
      </c>
      <c r="Q968" s="3" t="n">
        <v>779338.75</v>
      </c>
      <c r="R968" s="3" t="n">
        <v>160</v>
      </c>
      <c r="S968" s="3" t="n">
        <v>3.6</v>
      </c>
      <c r="T968" s="3" t="n">
        <v>4.4</v>
      </c>
      <c r="U968" s="3"/>
      <c r="V968" s="3" t="n">
        <v>5.57</v>
      </c>
      <c r="W968" s="3" t="s">
        <v>5990</v>
      </c>
    </row>
    <row r="969" customFormat="false" ht="15" hidden="false" customHeight="true" outlineLevel="0" collapsed="false">
      <c r="A969" s="3" t="s">
        <v>7073</v>
      </c>
      <c r="B969" s="3" t="s">
        <v>362</v>
      </c>
      <c r="C969" s="3" t="s">
        <v>3503</v>
      </c>
      <c r="D969" s="3" t="s">
        <v>83</v>
      </c>
      <c r="E969" s="3" t="s">
        <v>48</v>
      </c>
      <c r="F969" s="3" t="s">
        <v>62</v>
      </c>
      <c r="G969" s="3" t="s">
        <v>116</v>
      </c>
      <c r="H969" s="3" t="s">
        <v>27</v>
      </c>
      <c r="I969" s="3" t="s">
        <v>28</v>
      </c>
      <c r="J969" s="3" t="s">
        <v>5989</v>
      </c>
      <c r="K969" s="3" t="n">
        <v>4323485.4</v>
      </c>
      <c r="L969" s="3" t="n">
        <v>0.0953</v>
      </c>
      <c r="M969" s="3" t="n">
        <v>3911457.24</v>
      </c>
      <c r="N969" s="3" t="n">
        <v>1244744.35</v>
      </c>
      <c r="O969" s="3" t="n">
        <v>0.3182</v>
      </c>
      <c r="P969" s="3" t="n">
        <v>0.261</v>
      </c>
      <c r="Q969" s="3" t="n">
        <v>1020890.34</v>
      </c>
      <c r="R969" s="3" t="n">
        <v>158</v>
      </c>
      <c r="S969" s="3" t="n">
        <v>1.9</v>
      </c>
      <c r="T969" s="3" t="n">
        <v>2.1</v>
      </c>
      <c r="U969" s="3"/>
      <c r="V969" s="3" t="n">
        <v>5.84</v>
      </c>
      <c r="W969" s="3" t="s">
        <v>5990</v>
      </c>
    </row>
    <row r="970" customFormat="false" ht="15" hidden="false" customHeight="true" outlineLevel="0" collapsed="false">
      <c r="A970" s="3" t="s">
        <v>7074</v>
      </c>
      <c r="B970" s="3" t="s">
        <v>1811</v>
      </c>
      <c r="C970" s="3" t="s">
        <v>2936</v>
      </c>
      <c r="D970" s="3" t="s">
        <v>83</v>
      </c>
      <c r="E970" s="3" t="s">
        <v>48</v>
      </c>
      <c r="F970" s="3" t="s">
        <v>62</v>
      </c>
      <c r="G970" s="3" t="s">
        <v>63</v>
      </c>
      <c r="H970" s="3" t="s">
        <v>64</v>
      </c>
      <c r="I970" s="3" t="s">
        <v>65</v>
      </c>
      <c r="J970" s="3" t="s">
        <v>5999</v>
      </c>
      <c r="K970" s="3" t="n">
        <v>338526.77</v>
      </c>
      <c r="L970" s="3" t="n">
        <v>0.1507</v>
      </c>
      <c r="M970" s="3" t="n">
        <v>287510.79</v>
      </c>
      <c r="N970" s="3" t="n">
        <v>107479.98</v>
      </c>
      <c r="O970" s="3" t="n">
        <v>0.3738</v>
      </c>
      <c r="P970" s="3" t="n">
        <v>0.446</v>
      </c>
      <c r="Q970" s="3" t="n">
        <v>128229.81</v>
      </c>
      <c r="R970" s="3" t="n">
        <v>107</v>
      </c>
      <c r="S970" s="3" t="n">
        <v>4.9</v>
      </c>
      <c r="T970" s="3" t="n">
        <v>1.3</v>
      </c>
      <c r="U970" s="3"/>
      <c r="V970" s="3" t="n">
        <v>6.69</v>
      </c>
      <c r="W970" s="3" t="s">
        <v>5997</v>
      </c>
    </row>
    <row r="971" customFormat="false" ht="15" hidden="false" customHeight="true" outlineLevel="0" collapsed="false">
      <c r="A971" s="3" t="s">
        <v>7075</v>
      </c>
      <c r="B971" s="3" t="s">
        <v>854</v>
      </c>
      <c r="C971" s="3" t="s">
        <v>486</v>
      </c>
      <c r="D971" s="3" t="s">
        <v>83</v>
      </c>
      <c r="E971" s="3" t="s">
        <v>48</v>
      </c>
      <c r="F971" s="3" t="s">
        <v>62</v>
      </c>
      <c r="G971" s="3" t="s">
        <v>63</v>
      </c>
      <c r="H971" s="3" t="s">
        <v>64</v>
      </c>
      <c r="I971" s="3" t="s">
        <v>65</v>
      </c>
      <c r="J971" s="3" t="s">
        <v>6003</v>
      </c>
      <c r="K971" s="3" t="n">
        <v>4154304.37</v>
      </c>
      <c r="L971" s="3" t="n">
        <v>0.1371</v>
      </c>
      <c r="M971" s="3" t="n">
        <v>3584749.24</v>
      </c>
      <c r="N971" s="3" t="n">
        <v>1610463.24</v>
      </c>
      <c r="O971" s="3" t="n">
        <v>0.4493</v>
      </c>
      <c r="P971" s="3" t="n">
        <v>0.052</v>
      </c>
      <c r="Q971" s="3" t="n">
        <v>186406.96</v>
      </c>
      <c r="R971" s="3" t="n">
        <v>101</v>
      </c>
      <c r="S971" s="3" t="n">
        <v>8.4</v>
      </c>
      <c r="T971" s="3" t="n">
        <v>9.6</v>
      </c>
      <c r="U971" s="3"/>
      <c r="V971" s="3" t="n">
        <v>7.01</v>
      </c>
      <c r="W971" s="3" t="s">
        <v>5997</v>
      </c>
    </row>
    <row r="972" customFormat="false" ht="15" hidden="false" customHeight="true" outlineLevel="0" collapsed="false">
      <c r="A972" s="3" t="s">
        <v>7076</v>
      </c>
      <c r="B972" s="3" t="s">
        <v>3334</v>
      </c>
      <c r="C972" s="3" t="s">
        <v>5747</v>
      </c>
      <c r="D972" s="3" t="s">
        <v>75</v>
      </c>
      <c r="E972" s="3" t="s">
        <v>39</v>
      </c>
      <c r="F972" s="3" t="s">
        <v>25</v>
      </c>
      <c r="G972" s="3" t="s">
        <v>26</v>
      </c>
      <c r="H972" s="3" t="s">
        <v>77</v>
      </c>
      <c r="I972" s="3" t="s">
        <v>131</v>
      </c>
      <c r="J972" s="3" t="s">
        <v>5996</v>
      </c>
      <c r="K972" s="3" t="n">
        <v>1779883.65</v>
      </c>
      <c r="L972" s="3" t="n">
        <v>0.2611</v>
      </c>
      <c r="M972" s="3" t="n">
        <v>1315156.03</v>
      </c>
      <c r="N972" s="3" t="n">
        <v>558840.15</v>
      </c>
      <c r="O972" s="3" t="n">
        <v>0.4249</v>
      </c>
      <c r="P972" s="3" t="n">
        <v>1</v>
      </c>
      <c r="Q972" s="3" t="n">
        <v>1315156.03</v>
      </c>
      <c r="R972" s="3" t="n">
        <v>123</v>
      </c>
      <c r="S972" s="3" t="n">
        <v>3.3</v>
      </c>
      <c r="T972" s="3" t="n">
        <v>7.9</v>
      </c>
      <c r="U972" s="3"/>
      <c r="V972" s="3" t="n">
        <v>4.76</v>
      </c>
      <c r="W972" s="3" t="s">
        <v>6000</v>
      </c>
    </row>
    <row r="973" customFormat="false" ht="15" hidden="false" customHeight="true" outlineLevel="0" collapsed="false">
      <c r="A973" s="3" t="s">
        <v>7077</v>
      </c>
      <c r="B973" s="3" t="s">
        <v>2970</v>
      </c>
      <c r="C973" s="3" t="s">
        <v>6309</v>
      </c>
      <c r="D973" s="3" t="s">
        <v>97</v>
      </c>
      <c r="E973" s="3" t="s">
        <v>48</v>
      </c>
      <c r="F973" s="3" t="s">
        <v>40</v>
      </c>
      <c r="G973" s="3" t="s">
        <v>76</v>
      </c>
      <c r="H973" s="3" t="s">
        <v>42</v>
      </c>
      <c r="I973" s="3" t="s">
        <v>134</v>
      </c>
      <c r="J973" s="3" t="s">
        <v>5999</v>
      </c>
      <c r="K973" s="3" t="n">
        <v>2107632.12</v>
      </c>
      <c r="L973" s="3" t="n">
        <v>0.1667</v>
      </c>
      <c r="M973" s="3" t="n">
        <v>1756289.85</v>
      </c>
      <c r="N973" s="3" t="n">
        <v>571409.06</v>
      </c>
      <c r="O973" s="3" t="n">
        <v>0.3254</v>
      </c>
      <c r="P973" s="3" t="n">
        <v>0.441</v>
      </c>
      <c r="Q973" s="3" t="n">
        <v>774523.82</v>
      </c>
      <c r="R973" s="3" t="n">
        <v>79</v>
      </c>
      <c r="S973" s="3" t="n">
        <v>8.7</v>
      </c>
      <c r="T973" s="3" t="n">
        <v>2.1</v>
      </c>
      <c r="U973" s="3"/>
      <c r="V973" s="3" t="n">
        <v>6.98</v>
      </c>
      <c r="W973" s="3" t="s">
        <v>5997</v>
      </c>
    </row>
    <row r="974" customFormat="false" ht="15" hidden="false" customHeight="true" outlineLevel="0" collapsed="false">
      <c r="A974" s="3" t="s">
        <v>7078</v>
      </c>
      <c r="B974" s="3" t="s">
        <v>3738</v>
      </c>
      <c r="C974" s="3" t="s">
        <v>3294</v>
      </c>
      <c r="D974" s="3" t="s">
        <v>75</v>
      </c>
      <c r="E974" s="3" t="s">
        <v>39</v>
      </c>
      <c r="F974" s="3" t="s">
        <v>25</v>
      </c>
      <c r="G974" s="3" t="s">
        <v>104</v>
      </c>
      <c r="H974" s="3" t="s">
        <v>56</v>
      </c>
      <c r="I974" s="3" t="s">
        <v>57</v>
      </c>
      <c r="J974" s="3" t="s">
        <v>6003</v>
      </c>
      <c r="K974" s="3" t="n">
        <v>4676016.31</v>
      </c>
      <c r="L974" s="3" t="n">
        <v>0.2589</v>
      </c>
      <c r="M974" s="3" t="n">
        <v>3465395.69</v>
      </c>
      <c r="N974" s="3" t="n">
        <v>1083358.36</v>
      </c>
      <c r="O974" s="3" t="n">
        <v>0.3126</v>
      </c>
      <c r="P974" s="3" t="n">
        <v>0.126</v>
      </c>
      <c r="Q974" s="3" t="n">
        <v>436639.86</v>
      </c>
      <c r="R974" s="3" t="n">
        <v>68</v>
      </c>
      <c r="S974" s="3" t="n">
        <v>9.7</v>
      </c>
      <c r="T974" s="3" t="n">
        <v>3.4</v>
      </c>
      <c r="U974" s="3"/>
      <c r="V974" s="3" t="n">
        <v>6.18</v>
      </c>
      <c r="W974" s="3" t="s">
        <v>5990</v>
      </c>
    </row>
    <row r="975" customFormat="false" ht="15" hidden="false" customHeight="true" outlineLevel="0" collapsed="false">
      <c r="A975" s="3" t="s">
        <v>7079</v>
      </c>
      <c r="B975" s="3" t="s">
        <v>349</v>
      </c>
      <c r="C975" s="3" t="s">
        <v>1473</v>
      </c>
      <c r="D975" s="3" t="s">
        <v>83</v>
      </c>
      <c r="E975" s="3" t="s">
        <v>48</v>
      </c>
      <c r="F975" s="3" t="s">
        <v>62</v>
      </c>
      <c r="G975" s="3" t="s">
        <v>84</v>
      </c>
      <c r="H975" s="3" t="s">
        <v>56</v>
      </c>
      <c r="I975" s="3" t="s">
        <v>57</v>
      </c>
      <c r="J975" s="3" t="s">
        <v>5996</v>
      </c>
      <c r="K975" s="3" t="n">
        <v>135346.89</v>
      </c>
      <c r="L975" s="3" t="n">
        <v>0.1687</v>
      </c>
      <c r="M975" s="3" t="n">
        <v>112513.87</v>
      </c>
      <c r="N975" s="3" t="n">
        <v>42583.34</v>
      </c>
      <c r="O975" s="3" t="n">
        <v>0.3785</v>
      </c>
      <c r="P975" s="3" t="n">
        <v>1</v>
      </c>
      <c r="Q975" s="3" t="n">
        <v>112513.87</v>
      </c>
      <c r="R975" s="3" t="n">
        <v>62</v>
      </c>
      <c r="S975" s="3" t="n">
        <v>2.3</v>
      </c>
      <c r="T975" s="3" t="n">
        <v>8.6</v>
      </c>
      <c r="U975" s="3"/>
      <c r="V975" s="3" t="n">
        <v>4.83</v>
      </c>
      <c r="W975" s="3" t="s">
        <v>6000</v>
      </c>
    </row>
    <row r="976" customFormat="false" ht="15" hidden="false" customHeight="true" outlineLevel="0" collapsed="false">
      <c r="A976" s="3" t="s">
        <v>7080</v>
      </c>
      <c r="B976" s="3" t="s">
        <v>1065</v>
      </c>
      <c r="C976" s="3" t="s">
        <v>1154</v>
      </c>
      <c r="D976" s="3" t="s">
        <v>23</v>
      </c>
      <c r="E976" s="3" t="s">
        <v>24</v>
      </c>
      <c r="F976" s="3" t="s">
        <v>25</v>
      </c>
      <c r="G976" s="3" t="s">
        <v>34</v>
      </c>
      <c r="H976" s="3" t="s">
        <v>56</v>
      </c>
      <c r="I976" s="3" t="s">
        <v>121</v>
      </c>
      <c r="J976" s="3" t="s">
        <v>5989</v>
      </c>
      <c r="K976" s="3" t="n">
        <v>2166117.59</v>
      </c>
      <c r="L976" s="3" t="n">
        <v>0.2427</v>
      </c>
      <c r="M976" s="3" t="n">
        <v>1640400.85</v>
      </c>
      <c r="N976" s="3" t="n">
        <v>733444.74</v>
      </c>
      <c r="O976" s="3" t="n">
        <v>0.4471</v>
      </c>
      <c r="P976" s="3" t="n">
        <v>0.272</v>
      </c>
      <c r="Q976" s="3" t="n">
        <v>446189.03</v>
      </c>
      <c r="R976" s="3" t="n">
        <v>67</v>
      </c>
      <c r="S976" s="3" t="n">
        <v>3.4</v>
      </c>
      <c r="T976" s="3" t="n">
        <v>1.4</v>
      </c>
      <c r="U976" s="3"/>
      <c r="V976" s="3" t="n">
        <v>6.08</v>
      </c>
      <c r="W976" s="3" t="s">
        <v>5990</v>
      </c>
    </row>
    <row r="977" customFormat="false" ht="15" hidden="false" customHeight="true" outlineLevel="0" collapsed="false">
      <c r="A977" s="3" t="s">
        <v>7081</v>
      </c>
      <c r="B977" s="3" t="s">
        <v>3994</v>
      </c>
      <c r="C977" s="3" t="s">
        <v>1957</v>
      </c>
      <c r="D977" s="3" t="s">
        <v>103</v>
      </c>
      <c r="E977" s="3" t="s">
        <v>24</v>
      </c>
      <c r="F977" s="3" t="s">
        <v>62</v>
      </c>
      <c r="G977" s="3" t="s">
        <v>84</v>
      </c>
      <c r="H977" s="3" t="s">
        <v>42</v>
      </c>
      <c r="I977" s="3" t="s">
        <v>43</v>
      </c>
      <c r="J977" s="3" t="s">
        <v>5999</v>
      </c>
      <c r="K977" s="3" t="n">
        <v>1876935.95</v>
      </c>
      <c r="L977" s="3" t="n">
        <v>0.1848</v>
      </c>
      <c r="M977" s="3" t="n">
        <v>1530078.19</v>
      </c>
      <c r="N977" s="3" t="n">
        <v>605439.87</v>
      </c>
      <c r="O977" s="3" t="n">
        <v>0.3957</v>
      </c>
      <c r="P977" s="3" t="n">
        <v>0.404</v>
      </c>
      <c r="Q977" s="3" t="n">
        <v>618151.59</v>
      </c>
      <c r="R977" s="3" t="n">
        <v>34</v>
      </c>
      <c r="S977" s="3" t="n">
        <v>6.9</v>
      </c>
      <c r="T977" s="3" t="n">
        <v>1.3</v>
      </c>
      <c r="U977" s="3"/>
      <c r="V977" s="3" t="n">
        <v>7.06</v>
      </c>
      <c r="W977" s="3" t="s">
        <v>5997</v>
      </c>
    </row>
    <row r="978" customFormat="false" ht="15" hidden="false" customHeight="true" outlineLevel="0" collapsed="false">
      <c r="A978" s="3" t="s">
        <v>7082</v>
      </c>
      <c r="B978" s="3" t="s">
        <v>2271</v>
      </c>
      <c r="C978" s="3" t="s">
        <v>452</v>
      </c>
      <c r="D978" s="3" t="s">
        <v>103</v>
      </c>
      <c r="E978" s="3" t="s">
        <v>24</v>
      </c>
      <c r="F978" s="3" t="s">
        <v>62</v>
      </c>
      <c r="G978" s="3" t="s">
        <v>116</v>
      </c>
      <c r="H978" s="3" t="s">
        <v>56</v>
      </c>
      <c r="I978" s="3" t="s">
        <v>188</v>
      </c>
      <c r="J978" s="3" t="s">
        <v>5992</v>
      </c>
      <c r="K978" s="3" t="n">
        <v>1937007.83</v>
      </c>
      <c r="L978" s="3" t="n">
        <v>0.211</v>
      </c>
      <c r="M978" s="3" t="n">
        <v>1528299.18</v>
      </c>
      <c r="N978" s="3" t="n">
        <v>651627.05</v>
      </c>
      <c r="O978" s="3" t="n">
        <v>0.4264</v>
      </c>
      <c r="P978" s="3" t="n">
        <v>0.712</v>
      </c>
      <c r="Q978" s="3" t="n">
        <v>1088149.02</v>
      </c>
      <c r="R978" s="3" t="n">
        <v>75</v>
      </c>
      <c r="S978" s="3" t="n">
        <v>6.6</v>
      </c>
      <c r="T978" s="3" t="n">
        <v>2.9</v>
      </c>
      <c r="U978" s="3"/>
      <c r="V978" s="3" t="n">
        <v>6.79</v>
      </c>
      <c r="W978" s="3" t="s">
        <v>5997</v>
      </c>
    </row>
    <row r="979" customFormat="false" ht="15" hidden="false" customHeight="true" outlineLevel="0" collapsed="false">
      <c r="A979" s="3" t="s">
        <v>7083</v>
      </c>
      <c r="B979" s="3" t="s">
        <v>3648</v>
      </c>
      <c r="C979" s="3" t="s">
        <v>6250</v>
      </c>
      <c r="D979" s="3" t="s">
        <v>54</v>
      </c>
      <c r="E979" s="3" t="s">
        <v>24</v>
      </c>
      <c r="F979" s="3" t="s">
        <v>40</v>
      </c>
      <c r="G979" s="3" t="s">
        <v>55</v>
      </c>
      <c r="H979" s="3" t="s">
        <v>56</v>
      </c>
      <c r="I979" s="3" t="s">
        <v>121</v>
      </c>
      <c r="J979" s="3" t="s">
        <v>6003</v>
      </c>
      <c r="K979" s="3" t="n">
        <v>327657.62</v>
      </c>
      <c r="L979" s="3" t="n">
        <v>0.1487</v>
      </c>
      <c r="M979" s="3" t="n">
        <v>278934.93</v>
      </c>
      <c r="N979" s="3" t="n">
        <v>101039.08</v>
      </c>
      <c r="O979" s="3" t="n">
        <v>0.3622</v>
      </c>
      <c r="P979" s="3" t="n">
        <v>0.146</v>
      </c>
      <c r="Q979" s="3" t="n">
        <v>40724.5</v>
      </c>
      <c r="R979" s="3" t="n">
        <v>113</v>
      </c>
      <c r="S979" s="3" t="n">
        <v>9.1</v>
      </c>
      <c r="T979" s="3" t="n">
        <v>1.8</v>
      </c>
      <c r="U979" s="3"/>
      <c r="V979" s="3" t="n">
        <v>7.55</v>
      </c>
      <c r="W979" s="3" t="s">
        <v>5997</v>
      </c>
    </row>
    <row r="980" customFormat="false" ht="15" hidden="false" customHeight="true" outlineLevel="0" collapsed="false">
      <c r="A980" s="3" t="s">
        <v>7084</v>
      </c>
      <c r="B980" s="3" t="s">
        <v>6813</v>
      </c>
      <c r="C980" s="3" t="s">
        <v>231</v>
      </c>
      <c r="D980" s="3" t="s">
        <v>103</v>
      </c>
      <c r="E980" s="3" t="s">
        <v>24</v>
      </c>
      <c r="F980" s="3" t="s">
        <v>62</v>
      </c>
      <c r="G980" s="3" t="s">
        <v>49</v>
      </c>
      <c r="H980" s="3" t="s">
        <v>42</v>
      </c>
      <c r="I980" s="3" t="s">
        <v>72</v>
      </c>
      <c r="J980" s="3" t="s">
        <v>5996</v>
      </c>
      <c r="K980" s="3" t="n">
        <v>286814.92</v>
      </c>
      <c r="L980" s="3" t="n">
        <v>0.0547</v>
      </c>
      <c r="M980" s="3" t="n">
        <v>271126.14</v>
      </c>
      <c r="N980" s="3" t="n">
        <v>104062.67</v>
      </c>
      <c r="O980" s="3" t="n">
        <v>0.3838</v>
      </c>
      <c r="P980" s="3" t="n">
        <v>0.996</v>
      </c>
      <c r="Q980" s="3" t="n">
        <v>270041.64</v>
      </c>
      <c r="R980" s="3" t="n">
        <v>100</v>
      </c>
      <c r="S980" s="3" t="n">
        <v>1.9</v>
      </c>
      <c r="T980" s="3" t="n">
        <v>7.2</v>
      </c>
      <c r="U980" s="3"/>
      <c r="V980" s="3" t="n">
        <v>5.92</v>
      </c>
      <c r="W980" s="3" t="s">
        <v>5990</v>
      </c>
    </row>
    <row r="981" customFormat="false" ht="15" hidden="false" customHeight="true" outlineLevel="0" collapsed="false">
      <c r="A981" s="3" t="s">
        <v>7085</v>
      </c>
      <c r="B981" s="3" t="s">
        <v>1010</v>
      </c>
      <c r="C981" s="3" t="s">
        <v>99</v>
      </c>
      <c r="D981" s="3" t="s">
        <v>61</v>
      </c>
      <c r="E981" s="3" t="s">
        <v>33</v>
      </c>
      <c r="F981" s="3" t="s">
        <v>62</v>
      </c>
      <c r="G981" s="3" t="s">
        <v>26</v>
      </c>
      <c r="H981" s="3" t="s">
        <v>56</v>
      </c>
      <c r="I981" s="3" t="s">
        <v>188</v>
      </c>
      <c r="J981" s="3" t="s">
        <v>5996</v>
      </c>
      <c r="K981" s="3" t="n">
        <v>722272.01</v>
      </c>
      <c r="L981" s="3" t="n">
        <v>0.0981</v>
      </c>
      <c r="M981" s="3" t="n">
        <v>651417.13</v>
      </c>
      <c r="N981" s="3" t="n">
        <v>305616.23</v>
      </c>
      <c r="O981" s="3" t="n">
        <v>0.4692</v>
      </c>
      <c r="P981" s="3" t="n">
        <v>0.977</v>
      </c>
      <c r="Q981" s="3" t="n">
        <v>636434.54</v>
      </c>
      <c r="R981" s="3" t="n">
        <v>85</v>
      </c>
      <c r="S981" s="3" t="n">
        <v>4.5</v>
      </c>
      <c r="T981" s="3" t="n">
        <v>9.4</v>
      </c>
      <c r="U981" s="3"/>
      <c r="V981" s="3" t="n">
        <v>6.39</v>
      </c>
      <c r="W981" s="3" t="s">
        <v>5990</v>
      </c>
    </row>
    <row r="982" customFormat="false" ht="15" hidden="false" customHeight="true" outlineLevel="0" collapsed="false">
      <c r="A982" s="3" t="s">
        <v>7086</v>
      </c>
      <c r="B982" s="3" t="s">
        <v>1166</v>
      </c>
      <c r="C982" s="3" t="s">
        <v>6552</v>
      </c>
      <c r="D982" s="3" t="s">
        <v>103</v>
      </c>
      <c r="E982" s="3" t="s">
        <v>24</v>
      </c>
      <c r="F982" s="3" t="s">
        <v>62</v>
      </c>
      <c r="G982" s="3" t="s">
        <v>71</v>
      </c>
      <c r="H982" s="3" t="s">
        <v>27</v>
      </c>
      <c r="I982" s="3" t="s">
        <v>28</v>
      </c>
      <c r="J982" s="3" t="s">
        <v>5989</v>
      </c>
      <c r="K982" s="3" t="n">
        <v>2731284.22</v>
      </c>
      <c r="L982" s="3" t="n">
        <v>0.1111</v>
      </c>
      <c r="M982" s="3" t="n">
        <v>2427838.54</v>
      </c>
      <c r="N982" s="3" t="n">
        <v>987222.68</v>
      </c>
      <c r="O982" s="3" t="n">
        <v>0.4066</v>
      </c>
      <c r="P982" s="3" t="n">
        <v>0.285</v>
      </c>
      <c r="Q982" s="3" t="n">
        <v>691933.98</v>
      </c>
      <c r="R982" s="3" t="n">
        <v>90</v>
      </c>
      <c r="S982" s="3" t="n">
        <v>5.9</v>
      </c>
      <c r="T982" s="3" t="n">
        <v>3.8</v>
      </c>
      <c r="U982" s="3"/>
      <c r="V982" s="3" t="n">
        <v>7.13</v>
      </c>
      <c r="W982" s="3" t="s">
        <v>5997</v>
      </c>
    </row>
    <row r="983" customFormat="false" ht="15" hidden="false" customHeight="true" outlineLevel="0" collapsed="false">
      <c r="A983" s="3" t="s">
        <v>7087</v>
      </c>
      <c r="B983" s="3" t="s">
        <v>4274</v>
      </c>
      <c r="C983" s="3" t="s">
        <v>1529</v>
      </c>
      <c r="D983" s="3" t="s">
        <v>38</v>
      </c>
      <c r="E983" s="3" t="s">
        <v>39</v>
      </c>
      <c r="F983" s="3" t="s">
        <v>40</v>
      </c>
      <c r="G983" s="3" t="s">
        <v>63</v>
      </c>
      <c r="H983" s="3" t="s">
        <v>64</v>
      </c>
      <c r="I983" s="3" t="s">
        <v>108</v>
      </c>
      <c r="J983" s="3" t="s">
        <v>5996</v>
      </c>
      <c r="K983" s="3" t="n">
        <v>4954492.47</v>
      </c>
      <c r="L983" s="3" t="n">
        <v>0.1634</v>
      </c>
      <c r="M983" s="3" t="n">
        <v>4144928.4</v>
      </c>
      <c r="N983" s="3" t="n">
        <v>1935080.05</v>
      </c>
      <c r="O983" s="3" t="n">
        <v>0.4669</v>
      </c>
      <c r="P983" s="3" t="n">
        <v>0.973</v>
      </c>
      <c r="Q983" s="3" t="n">
        <v>4033015.33</v>
      </c>
      <c r="R983" s="3" t="n">
        <v>77</v>
      </c>
      <c r="S983" s="3" t="n">
        <v>8.8</v>
      </c>
      <c r="T983" s="3" t="n">
        <v>6.9</v>
      </c>
      <c r="U983" s="3"/>
      <c r="V983" s="3" t="n">
        <v>7.32</v>
      </c>
      <c r="W983" s="3" t="s">
        <v>5997</v>
      </c>
    </row>
    <row r="984" customFormat="false" ht="15" hidden="false" customHeight="true" outlineLevel="0" collapsed="false">
      <c r="A984" s="3" t="s">
        <v>7088</v>
      </c>
      <c r="B984" s="3" t="s">
        <v>2470</v>
      </c>
      <c r="C984" s="3" t="s">
        <v>3463</v>
      </c>
      <c r="D984" s="3" t="s">
        <v>61</v>
      </c>
      <c r="E984" s="3" t="s">
        <v>33</v>
      </c>
      <c r="F984" s="3" t="s">
        <v>62</v>
      </c>
      <c r="G984" s="3" t="s">
        <v>49</v>
      </c>
      <c r="H984" s="3" t="s">
        <v>27</v>
      </c>
      <c r="I984" s="3" t="s">
        <v>173</v>
      </c>
      <c r="J984" s="3" t="s">
        <v>5989</v>
      </c>
      <c r="K984" s="3" t="n">
        <v>268898.83</v>
      </c>
      <c r="L984" s="3" t="n">
        <v>0.1236</v>
      </c>
      <c r="M984" s="3" t="n">
        <v>235662.93</v>
      </c>
      <c r="N984" s="3" t="n">
        <v>78981.03</v>
      </c>
      <c r="O984" s="3" t="n">
        <v>0.3351</v>
      </c>
      <c r="P984" s="3" t="n">
        <v>0.208</v>
      </c>
      <c r="Q984" s="3" t="n">
        <v>49017.89</v>
      </c>
      <c r="R984" s="3" t="n">
        <v>138</v>
      </c>
      <c r="S984" s="3" t="n">
        <v>5.3</v>
      </c>
      <c r="T984" s="3" t="n">
        <v>3.1</v>
      </c>
      <c r="U984" s="3"/>
      <c r="V984" s="3" t="n">
        <v>6.42</v>
      </c>
      <c r="W984" s="3" t="s">
        <v>5990</v>
      </c>
    </row>
    <row r="985" customFormat="false" ht="15" hidden="false" customHeight="true" outlineLevel="0" collapsed="false">
      <c r="A985" s="3" t="s">
        <v>7089</v>
      </c>
      <c r="B985" s="3" t="s">
        <v>1055</v>
      </c>
      <c r="C985" s="3" t="s">
        <v>3250</v>
      </c>
      <c r="D985" s="3" t="s">
        <v>23</v>
      </c>
      <c r="E985" s="3" t="s">
        <v>24</v>
      </c>
      <c r="F985" s="3" t="s">
        <v>25</v>
      </c>
      <c r="G985" s="3" t="s">
        <v>41</v>
      </c>
      <c r="H985" s="3" t="s">
        <v>27</v>
      </c>
      <c r="I985" s="3" t="s">
        <v>94</v>
      </c>
      <c r="J985" s="3" t="s">
        <v>5996</v>
      </c>
      <c r="K985" s="3" t="n">
        <v>866890.68</v>
      </c>
      <c r="L985" s="3" t="n">
        <v>0.212</v>
      </c>
      <c r="M985" s="3" t="n">
        <v>683109.86</v>
      </c>
      <c r="N985" s="3" t="n">
        <v>263970.36</v>
      </c>
      <c r="O985" s="3" t="n">
        <v>0.3864</v>
      </c>
      <c r="P985" s="3" t="n">
        <v>1</v>
      </c>
      <c r="Q985" s="3" t="n">
        <v>683109.86</v>
      </c>
      <c r="R985" s="3" t="n">
        <v>167</v>
      </c>
      <c r="S985" s="3" t="n">
        <v>6.5</v>
      </c>
      <c r="T985" s="3" t="n">
        <v>1</v>
      </c>
      <c r="U985" s="3"/>
      <c r="V985" s="3" t="n">
        <v>6.71</v>
      </c>
      <c r="W985" s="3" t="s">
        <v>5997</v>
      </c>
    </row>
    <row r="986" customFormat="false" ht="15" hidden="false" customHeight="true" outlineLevel="0" collapsed="false">
      <c r="A986" s="3" t="s">
        <v>7090</v>
      </c>
      <c r="B986" s="3" t="s">
        <v>2318</v>
      </c>
      <c r="C986" s="3" t="s">
        <v>3158</v>
      </c>
      <c r="D986" s="3" t="s">
        <v>97</v>
      </c>
      <c r="E986" s="3" t="s">
        <v>48</v>
      </c>
      <c r="F986" s="3" t="s">
        <v>40</v>
      </c>
      <c r="G986" s="3" t="s">
        <v>116</v>
      </c>
      <c r="H986" s="3" t="s">
        <v>27</v>
      </c>
      <c r="I986" s="3" t="s">
        <v>50</v>
      </c>
      <c r="J986" s="3" t="s">
        <v>5992</v>
      </c>
      <c r="K986" s="3" t="n">
        <v>3100380.78</v>
      </c>
      <c r="L986" s="3" t="n">
        <v>0.1471</v>
      </c>
      <c r="M986" s="3" t="n">
        <v>2644314.77</v>
      </c>
      <c r="N986" s="3" t="n">
        <v>946281.24</v>
      </c>
      <c r="O986" s="3" t="n">
        <v>0.3579</v>
      </c>
      <c r="P986" s="3" t="n">
        <v>0.69</v>
      </c>
      <c r="Q986" s="3" t="n">
        <v>1824577.19</v>
      </c>
      <c r="R986" s="3" t="n">
        <v>112</v>
      </c>
      <c r="S986" s="3" t="n">
        <v>8.6</v>
      </c>
      <c r="T986" s="3" t="n">
        <v>1.8</v>
      </c>
      <c r="U986" s="3"/>
      <c r="V986" s="3" t="n">
        <v>7.45</v>
      </c>
      <c r="W986" s="3" t="s">
        <v>5997</v>
      </c>
    </row>
    <row r="987" customFormat="false" ht="15" hidden="false" customHeight="true" outlineLevel="0" collapsed="false">
      <c r="A987" s="3" t="s">
        <v>7091</v>
      </c>
      <c r="B987" s="3" t="s">
        <v>2542</v>
      </c>
      <c r="C987" s="3" t="s">
        <v>1635</v>
      </c>
      <c r="D987" s="3" t="s">
        <v>97</v>
      </c>
      <c r="E987" s="3" t="s">
        <v>48</v>
      </c>
      <c r="F987" s="3" t="s">
        <v>40</v>
      </c>
      <c r="G987" s="3" t="s">
        <v>100</v>
      </c>
      <c r="H987" s="3" t="s">
        <v>56</v>
      </c>
      <c r="I987" s="3" t="s">
        <v>188</v>
      </c>
      <c r="J987" s="3" t="s">
        <v>5992</v>
      </c>
      <c r="K987" s="3" t="n">
        <v>4324534.22</v>
      </c>
      <c r="L987" s="3" t="n">
        <v>0.2265</v>
      </c>
      <c r="M987" s="3" t="n">
        <v>3345027.22</v>
      </c>
      <c r="N987" s="3" t="n">
        <v>945302.11</v>
      </c>
      <c r="O987" s="3" t="n">
        <v>0.2826</v>
      </c>
      <c r="P987" s="3" t="n">
        <v>0.693</v>
      </c>
      <c r="Q987" s="3" t="n">
        <v>2318103.86</v>
      </c>
      <c r="R987" s="3" t="n">
        <v>142</v>
      </c>
      <c r="S987" s="3" t="n">
        <v>3</v>
      </c>
      <c r="T987" s="3" t="n">
        <v>6.1</v>
      </c>
      <c r="U987" s="3"/>
      <c r="V987" s="3" t="n">
        <v>4.17</v>
      </c>
      <c r="W987" s="3" t="s">
        <v>6000</v>
      </c>
    </row>
    <row r="988" customFormat="false" ht="15" hidden="false" customHeight="true" outlineLevel="0" collapsed="false">
      <c r="A988" s="3" t="s">
        <v>7092</v>
      </c>
      <c r="B988" s="3" t="s">
        <v>1884</v>
      </c>
      <c r="C988" s="3" t="s">
        <v>2444</v>
      </c>
      <c r="D988" s="3" t="s">
        <v>69</v>
      </c>
      <c r="E988" s="3" t="s">
        <v>39</v>
      </c>
      <c r="F988" s="3" t="s">
        <v>70</v>
      </c>
      <c r="G988" s="3" t="s">
        <v>84</v>
      </c>
      <c r="H988" s="3" t="s">
        <v>27</v>
      </c>
      <c r="I988" s="3" t="s">
        <v>94</v>
      </c>
      <c r="J988" s="3" t="s">
        <v>5999</v>
      </c>
      <c r="K988" s="3" t="n">
        <v>4943748.81</v>
      </c>
      <c r="L988" s="3" t="n">
        <v>0.2228</v>
      </c>
      <c r="M988" s="3" t="n">
        <v>3842281.58</v>
      </c>
      <c r="N988" s="3" t="n">
        <v>1691965.64</v>
      </c>
      <c r="O988" s="3" t="n">
        <v>0.4404</v>
      </c>
      <c r="P988" s="3" t="n">
        <v>0.486</v>
      </c>
      <c r="Q988" s="3" t="n">
        <v>1867348.85</v>
      </c>
      <c r="R988" s="3" t="n">
        <v>162</v>
      </c>
      <c r="S988" s="3" t="n">
        <v>9.5</v>
      </c>
      <c r="T988" s="3" t="n">
        <v>5.5</v>
      </c>
      <c r="U988" s="3"/>
      <c r="V988" s="3" t="n">
        <v>7.13</v>
      </c>
      <c r="W988" s="3" t="s">
        <v>5997</v>
      </c>
    </row>
    <row r="989" customFormat="false" ht="15" hidden="false" customHeight="true" outlineLevel="0" collapsed="false">
      <c r="A989" s="3" t="s">
        <v>7093</v>
      </c>
      <c r="B989" s="3" t="s">
        <v>3368</v>
      </c>
      <c r="C989" s="3" t="s">
        <v>382</v>
      </c>
      <c r="D989" s="3" t="s">
        <v>38</v>
      </c>
      <c r="E989" s="3" t="s">
        <v>39</v>
      </c>
      <c r="F989" s="3" t="s">
        <v>40</v>
      </c>
      <c r="G989" s="3" t="s">
        <v>116</v>
      </c>
      <c r="H989" s="3" t="s">
        <v>77</v>
      </c>
      <c r="I989" s="3" t="s">
        <v>85</v>
      </c>
      <c r="J989" s="3" t="s">
        <v>5992</v>
      </c>
      <c r="K989" s="3" t="n">
        <v>2051229.93</v>
      </c>
      <c r="L989" s="3" t="n">
        <v>0.2148</v>
      </c>
      <c r="M989" s="3" t="n">
        <v>1610625.74</v>
      </c>
      <c r="N989" s="3" t="n">
        <v>670096.14</v>
      </c>
      <c r="O989" s="3" t="n">
        <v>0.416</v>
      </c>
      <c r="P989" s="3" t="n">
        <v>0.693</v>
      </c>
      <c r="Q989" s="3" t="n">
        <v>1116163.64</v>
      </c>
      <c r="R989" s="3" t="n">
        <v>153</v>
      </c>
      <c r="S989" s="3" t="n">
        <v>3.3</v>
      </c>
      <c r="T989" s="3" t="n">
        <v>3.9</v>
      </c>
      <c r="U989" s="3"/>
      <c r="V989" s="3" t="n">
        <v>5.66</v>
      </c>
      <c r="W989" s="3" t="s">
        <v>5990</v>
      </c>
    </row>
    <row r="990" customFormat="false" ht="15" hidden="false" customHeight="true" outlineLevel="0" collapsed="false">
      <c r="A990" s="3" t="s">
        <v>7094</v>
      </c>
      <c r="B990" s="3" t="s">
        <v>270</v>
      </c>
      <c r="C990" s="3" t="s">
        <v>6307</v>
      </c>
      <c r="D990" s="3" t="s">
        <v>54</v>
      </c>
      <c r="E990" s="3" t="s">
        <v>24</v>
      </c>
      <c r="F990" s="3" t="s">
        <v>40</v>
      </c>
      <c r="G990" s="3" t="s">
        <v>76</v>
      </c>
      <c r="H990" s="3" t="s">
        <v>56</v>
      </c>
      <c r="I990" s="3" t="s">
        <v>57</v>
      </c>
      <c r="J990" s="3" t="s">
        <v>5996</v>
      </c>
      <c r="K990" s="3" t="n">
        <v>889423.83</v>
      </c>
      <c r="L990" s="3" t="n">
        <v>0.0572</v>
      </c>
      <c r="M990" s="3" t="n">
        <v>838548.79</v>
      </c>
      <c r="N990" s="3" t="n">
        <v>266790.27</v>
      </c>
      <c r="O990" s="3" t="n">
        <v>0.3182</v>
      </c>
      <c r="P990" s="3" t="n">
        <v>1</v>
      </c>
      <c r="Q990" s="3" t="n">
        <v>838548.79</v>
      </c>
      <c r="R990" s="3" t="n">
        <v>160</v>
      </c>
      <c r="S990" s="3" t="n">
        <v>4</v>
      </c>
      <c r="T990" s="3" t="n">
        <v>4.1</v>
      </c>
      <c r="U990" s="3"/>
      <c r="V990" s="3" t="n">
        <v>6.39</v>
      </c>
      <c r="W990" s="3" t="s">
        <v>5990</v>
      </c>
    </row>
    <row r="991" customFormat="false" ht="15" hidden="false" customHeight="true" outlineLevel="0" collapsed="false">
      <c r="A991" s="3" t="s">
        <v>7095</v>
      </c>
      <c r="B991" s="3" t="s">
        <v>862</v>
      </c>
      <c r="C991" s="3" t="s">
        <v>1345</v>
      </c>
      <c r="D991" s="3" t="s">
        <v>69</v>
      </c>
      <c r="E991" s="3" t="s">
        <v>39</v>
      </c>
      <c r="F991" s="3" t="s">
        <v>70</v>
      </c>
      <c r="G991" s="3" t="s">
        <v>34</v>
      </c>
      <c r="H991" s="3" t="s">
        <v>27</v>
      </c>
      <c r="I991" s="3" t="s">
        <v>28</v>
      </c>
      <c r="J991" s="3" t="s">
        <v>5996</v>
      </c>
      <c r="K991" s="3" t="n">
        <v>1780983.54</v>
      </c>
      <c r="L991" s="3" t="n">
        <v>0.0648</v>
      </c>
      <c r="M991" s="3" t="n">
        <v>1665575.81</v>
      </c>
      <c r="N991" s="3" t="n">
        <v>565349.21</v>
      </c>
      <c r="O991" s="3" t="n">
        <v>0.3394</v>
      </c>
      <c r="P991" s="3" t="n">
        <v>0.987</v>
      </c>
      <c r="Q991" s="3" t="n">
        <v>1643923.32</v>
      </c>
      <c r="R991" s="3" t="n">
        <v>131</v>
      </c>
      <c r="S991" s="3" t="n">
        <v>6.6</v>
      </c>
      <c r="T991" s="3" t="n">
        <v>9.6</v>
      </c>
      <c r="U991" s="3"/>
      <c r="V991" s="3" t="n">
        <v>6.29</v>
      </c>
      <c r="W991" s="3" t="s">
        <v>5990</v>
      </c>
    </row>
    <row r="992" customFormat="false" ht="15" hidden="false" customHeight="true" outlineLevel="0" collapsed="false">
      <c r="A992" s="3" t="s">
        <v>7096</v>
      </c>
      <c r="B992" s="3" t="s">
        <v>1212</v>
      </c>
      <c r="C992" s="3" t="s">
        <v>456</v>
      </c>
      <c r="D992" s="3" t="s">
        <v>54</v>
      </c>
      <c r="E992" s="3" t="s">
        <v>24</v>
      </c>
      <c r="F992" s="3" t="s">
        <v>40</v>
      </c>
      <c r="G992" s="3" t="s">
        <v>116</v>
      </c>
      <c r="H992" s="3" t="s">
        <v>42</v>
      </c>
      <c r="I992" s="3" t="s">
        <v>72</v>
      </c>
      <c r="J992" s="3" t="s">
        <v>5996</v>
      </c>
      <c r="K992" s="3" t="n">
        <v>4318259.47</v>
      </c>
      <c r="L992" s="3" t="n">
        <v>0.1767</v>
      </c>
      <c r="M992" s="3" t="n">
        <v>3555223.02</v>
      </c>
      <c r="N992" s="3" t="n">
        <v>1459072.31</v>
      </c>
      <c r="O992" s="3" t="n">
        <v>0.4104</v>
      </c>
      <c r="P992" s="3" t="n">
        <v>1</v>
      </c>
      <c r="Q992" s="3" t="n">
        <v>3555223.02</v>
      </c>
      <c r="R992" s="3" t="n">
        <v>88</v>
      </c>
      <c r="S992" s="3" t="n">
        <v>9.2</v>
      </c>
      <c r="T992" s="3" t="n">
        <v>3.2</v>
      </c>
      <c r="U992" s="3"/>
      <c r="V992" s="3" t="n">
        <v>7.53</v>
      </c>
      <c r="W992" s="3" t="s">
        <v>5997</v>
      </c>
    </row>
    <row r="993" customFormat="false" ht="15" hidden="false" customHeight="true" outlineLevel="0" collapsed="false">
      <c r="A993" s="3" t="s">
        <v>7097</v>
      </c>
      <c r="B993" s="3" t="s">
        <v>2204</v>
      </c>
      <c r="C993" s="3" t="s">
        <v>565</v>
      </c>
      <c r="D993" s="3" t="s">
        <v>61</v>
      </c>
      <c r="E993" s="3" t="s">
        <v>33</v>
      </c>
      <c r="F993" s="3" t="s">
        <v>62</v>
      </c>
      <c r="G993" s="3" t="s">
        <v>84</v>
      </c>
      <c r="H993" s="3" t="s">
        <v>56</v>
      </c>
      <c r="I993" s="3" t="s">
        <v>188</v>
      </c>
      <c r="J993" s="3" t="s">
        <v>5996</v>
      </c>
      <c r="K993" s="3" t="n">
        <v>859743.57</v>
      </c>
      <c r="L993" s="3" t="n">
        <v>0.1632</v>
      </c>
      <c r="M993" s="3" t="n">
        <v>719433.42</v>
      </c>
      <c r="N993" s="3" t="n">
        <v>209971.93</v>
      </c>
      <c r="O993" s="3" t="n">
        <v>0.2919</v>
      </c>
      <c r="P993" s="3" t="n">
        <v>1</v>
      </c>
      <c r="Q993" s="3" t="n">
        <v>719433.42</v>
      </c>
      <c r="R993" s="3" t="n">
        <v>143</v>
      </c>
      <c r="S993" s="3" t="n">
        <v>3.6</v>
      </c>
      <c r="T993" s="3" t="n">
        <v>5.5</v>
      </c>
      <c r="U993" s="3"/>
      <c r="V993" s="3" t="n">
        <v>5</v>
      </c>
      <c r="W993" s="3" t="s">
        <v>5990</v>
      </c>
    </row>
    <row r="994" customFormat="false" ht="15" hidden="false" customHeight="true" outlineLevel="0" collapsed="false">
      <c r="A994" s="3" t="s">
        <v>7098</v>
      </c>
      <c r="B994" s="3" t="s">
        <v>153</v>
      </c>
      <c r="C994" s="3" t="s">
        <v>133</v>
      </c>
      <c r="D994" s="3" t="s">
        <v>23</v>
      </c>
      <c r="E994" s="3" t="s">
        <v>24</v>
      </c>
      <c r="F994" s="3" t="s">
        <v>25</v>
      </c>
      <c r="G994" s="3" t="s">
        <v>100</v>
      </c>
      <c r="H994" s="3" t="s">
        <v>64</v>
      </c>
      <c r="I994" s="3" t="s">
        <v>108</v>
      </c>
      <c r="J994" s="3" t="s">
        <v>6003</v>
      </c>
      <c r="K994" s="3" t="n">
        <v>2806724.42</v>
      </c>
      <c r="L994" s="3" t="n">
        <v>0.1465</v>
      </c>
      <c r="M994" s="3" t="n">
        <v>2395539.29</v>
      </c>
      <c r="N994" s="3" t="n">
        <v>922843.54</v>
      </c>
      <c r="O994" s="3" t="n">
        <v>0.3852</v>
      </c>
      <c r="P994" s="3" t="n">
        <v>0.117</v>
      </c>
      <c r="Q994" s="3" t="n">
        <v>280278.1</v>
      </c>
      <c r="R994" s="3" t="n">
        <v>129</v>
      </c>
      <c r="S994" s="3" t="n">
        <v>2.1</v>
      </c>
      <c r="T994" s="3" t="n">
        <v>3</v>
      </c>
      <c r="U994" s="3"/>
      <c r="V994" s="3" t="n">
        <v>5.86</v>
      </c>
      <c r="W994" s="3" t="s">
        <v>5990</v>
      </c>
    </row>
    <row r="995" customFormat="false" ht="15" hidden="false" customHeight="true" outlineLevel="0" collapsed="false">
      <c r="A995" s="3" t="s">
        <v>7099</v>
      </c>
      <c r="B995" s="3" t="s">
        <v>3205</v>
      </c>
      <c r="C995" s="3" t="s">
        <v>6067</v>
      </c>
      <c r="D995" s="3" t="s">
        <v>32</v>
      </c>
      <c r="E995" s="3" t="s">
        <v>33</v>
      </c>
      <c r="F995" s="3" t="s">
        <v>25</v>
      </c>
      <c r="G995" s="3" t="s">
        <v>84</v>
      </c>
      <c r="H995" s="3" t="s">
        <v>64</v>
      </c>
      <c r="I995" s="3" t="s">
        <v>65</v>
      </c>
      <c r="J995" s="3" t="s">
        <v>5996</v>
      </c>
      <c r="K995" s="3" t="n">
        <v>2211931.43</v>
      </c>
      <c r="L995" s="3" t="n">
        <v>0.1745</v>
      </c>
      <c r="M995" s="3" t="n">
        <v>1825949.4</v>
      </c>
      <c r="N995" s="3" t="n">
        <v>759833.75</v>
      </c>
      <c r="O995" s="3" t="n">
        <v>0.4161</v>
      </c>
      <c r="P995" s="3" t="n">
        <v>0.997</v>
      </c>
      <c r="Q995" s="3" t="n">
        <v>1820471.55</v>
      </c>
      <c r="R995" s="3" t="n">
        <v>41</v>
      </c>
      <c r="S995" s="3" t="n">
        <v>6.5</v>
      </c>
      <c r="T995" s="3" t="n">
        <v>5.5</v>
      </c>
      <c r="U995" s="3"/>
      <c r="V995" s="3" t="n">
        <v>6.57</v>
      </c>
      <c r="W995" s="3" t="s">
        <v>5997</v>
      </c>
    </row>
    <row r="996" customFormat="false" ht="15" hidden="false" customHeight="true" outlineLevel="0" collapsed="false">
      <c r="A996" s="3" t="s">
        <v>7100</v>
      </c>
      <c r="B996" s="3" t="s">
        <v>2057</v>
      </c>
      <c r="C996" s="3" t="s">
        <v>6067</v>
      </c>
      <c r="D996" s="3" t="s">
        <v>23</v>
      </c>
      <c r="E996" s="3" t="s">
        <v>24</v>
      </c>
      <c r="F996" s="3" t="s">
        <v>25</v>
      </c>
      <c r="G996" s="3" t="s">
        <v>104</v>
      </c>
      <c r="H996" s="3" t="s">
        <v>56</v>
      </c>
      <c r="I996" s="3" t="s">
        <v>188</v>
      </c>
      <c r="J996" s="3" t="s">
        <v>5996</v>
      </c>
      <c r="K996" s="3" t="n">
        <v>189938.18</v>
      </c>
      <c r="L996" s="3" t="n">
        <v>0.0538</v>
      </c>
      <c r="M996" s="3" t="n">
        <v>179719.51</v>
      </c>
      <c r="N996" s="3" t="n">
        <v>56569.81</v>
      </c>
      <c r="O996" s="3" t="n">
        <v>0.3148</v>
      </c>
      <c r="P996" s="3" t="n">
        <v>0.956</v>
      </c>
      <c r="Q996" s="3" t="n">
        <v>171811.85</v>
      </c>
      <c r="R996" s="3" t="n">
        <v>75</v>
      </c>
      <c r="S996" s="3" t="n">
        <v>8.5</v>
      </c>
      <c r="T996" s="3" t="n">
        <v>6.7</v>
      </c>
      <c r="U996" s="3"/>
      <c r="V996" s="3" t="n">
        <v>7.12</v>
      </c>
      <c r="W996" s="3" t="s">
        <v>5997</v>
      </c>
    </row>
    <row r="997" customFormat="false" ht="15" hidden="false" customHeight="true" outlineLevel="0" collapsed="false">
      <c r="A997" s="3" t="s">
        <v>7101</v>
      </c>
      <c r="B997" s="3" t="s">
        <v>300</v>
      </c>
      <c r="C997" s="3" t="s">
        <v>1253</v>
      </c>
      <c r="D997" s="3" t="s">
        <v>97</v>
      </c>
      <c r="E997" s="3" t="s">
        <v>48</v>
      </c>
      <c r="F997" s="3" t="s">
        <v>40</v>
      </c>
      <c r="G997" s="3" t="s">
        <v>100</v>
      </c>
      <c r="H997" s="3" t="s">
        <v>27</v>
      </c>
      <c r="I997" s="3" t="s">
        <v>50</v>
      </c>
      <c r="J997" s="3" t="s">
        <v>5992</v>
      </c>
      <c r="K997" s="3" t="n">
        <v>1313564.43</v>
      </c>
      <c r="L997" s="3" t="n">
        <v>0.052</v>
      </c>
      <c r="M997" s="3" t="n">
        <v>1245259.08</v>
      </c>
      <c r="N997" s="3" t="n">
        <v>574399.97</v>
      </c>
      <c r="O997" s="3" t="n">
        <v>0.4613</v>
      </c>
      <c r="P997" s="3" t="n">
        <v>0.707</v>
      </c>
      <c r="Q997" s="3" t="n">
        <v>880398.17</v>
      </c>
      <c r="R997" s="3" t="n">
        <v>178</v>
      </c>
      <c r="S997" s="3" t="n">
        <v>2</v>
      </c>
      <c r="T997" s="3" t="n">
        <v>6.9</v>
      </c>
      <c r="U997" s="3"/>
      <c r="V997" s="3" t="n">
        <v>6.54</v>
      </c>
      <c r="W997" s="3" t="s">
        <v>5997</v>
      </c>
    </row>
    <row r="998" customFormat="false" ht="15" hidden="false" customHeight="true" outlineLevel="0" collapsed="false">
      <c r="A998" s="3" t="s">
        <v>7102</v>
      </c>
      <c r="B998" s="3" t="s">
        <v>4712</v>
      </c>
      <c r="C998" s="3" t="s">
        <v>6704</v>
      </c>
      <c r="D998" s="3" t="s">
        <v>107</v>
      </c>
      <c r="E998" s="3" t="s">
        <v>33</v>
      </c>
      <c r="F998" s="3" t="s">
        <v>70</v>
      </c>
      <c r="G998" s="3" t="s">
        <v>41</v>
      </c>
      <c r="H998" s="3" t="s">
        <v>27</v>
      </c>
      <c r="I998" s="3" t="s">
        <v>94</v>
      </c>
      <c r="J998" s="3" t="s">
        <v>5999</v>
      </c>
      <c r="K998" s="3" t="n">
        <v>2485502.96</v>
      </c>
      <c r="L998" s="3" t="n">
        <v>0.0868</v>
      </c>
      <c r="M998" s="3" t="n">
        <v>2269761.3</v>
      </c>
      <c r="N998" s="3" t="n">
        <v>958480.13</v>
      </c>
      <c r="O998" s="3" t="n">
        <v>0.4223</v>
      </c>
      <c r="P998" s="3" t="n">
        <v>0.471</v>
      </c>
      <c r="Q998" s="3" t="n">
        <v>1069057.57</v>
      </c>
      <c r="R998" s="3" t="n">
        <v>128</v>
      </c>
      <c r="S998" s="3" t="n">
        <v>9.6</v>
      </c>
      <c r="T998" s="3" t="n">
        <v>3.9</v>
      </c>
      <c r="U998" s="3"/>
      <c r="V998" s="3" t="n">
        <v>8.38</v>
      </c>
      <c r="W998" s="3" t="s">
        <v>5997</v>
      </c>
    </row>
    <row r="999" customFormat="false" ht="15" hidden="false" customHeight="true" outlineLevel="0" collapsed="false">
      <c r="A999" s="3" t="s">
        <v>7103</v>
      </c>
      <c r="B999" s="3" t="s">
        <v>4284</v>
      </c>
      <c r="C999" s="3" t="s">
        <v>225</v>
      </c>
      <c r="D999" s="3" t="s">
        <v>61</v>
      </c>
      <c r="E999" s="3" t="s">
        <v>33</v>
      </c>
      <c r="F999" s="3" t="s">
        <v>62</v>
      </c>
      <c r="G999" s="3" t="s">
        <v>26</v>
      </c>
      <c r="H999" s="3" t="s">
        <v>56</v>
      </c>
      <c r="I999" s="3" t="s">
        <v>121</v>
      </c>
      <c r="J999" s="3" t="s">
        <v>5996</v>
      </c>
      <c r="K999" s="3" t="n">
        <v>1585740.39</v>
      </c>
      <c r="L999" s="3" t="n">
        <v>0.1902</v>
      </c>
      <c r="M999" s="3" t="n">
        <v>1284132.57</v>
      </c>
      <c r="N999" s="3" t="n">
        <v>387939.52</v>
      </c>
      <c r="O999" s="3" t="n">
        <v>0.3021</v>
      </c>
      <c r="P999" s="3" t="n">
        <v>1</v>
      </c>
      <c r="Q999" s="3" t="n">
        <v>1284132.57</v>
      </c>
      <c r="R999" s="3" t="n">
        <v>176</v>
      </c>
      <c r="S999" s="3" t="n">
        <v>8.5</v>
      </c>
      <c r="T999" s="3" t="n">
        <v>2.9</v>
      </c>
      <c r="U999" s="3"/>
      <c r="V999" s="3" t="n">
        <v>6.46</v>
      </c>
      <c r="W999" s="3" t="s">
        <v>5990</v>
      </c>
    </row>
    <row r="1000" customFormat="false" ht="15" hidden="false" customHeight="true" outlineLevel="0" collapsed="false">
      <c r="A1000" s="3" t="s">
        <v>7104</v>
      </c>
      <c r="B1000" s="3" t="s">
        <v>424</v>
      </c>
      <c r="C1000" s="3" t="s">
        <v>2019</v>
      </c>
      <c r="D1000" s="3" t="s">
        <v>47</v>
      </c>
      <c r="E1000" s="3" t="s">
        <v>48</v>
      </c>
      <c r="F1000" s="3" t="s">
        <v>25</v>
      </c>
      <c r="G1000" s="3" t="s">
        <v>84</v>
      </c>
      <c r="H1000" s="3" t="s">
        <v>42</v>
      </c>
      <c r="I1000" s="3" t="s">
        <v>72</v>
      </c>
      <c r="J1000" s="3" t="s">
        <v>5999</v>
      </c>
      <c r="K1000" s="3" t="n">
        <v>4425609.13</v>
      </c>
      <c r="L1000" s="3" t="n">
        <v>0.2826</v>
      </c>
      <c r="M1000" s="3" t="n">
        <v>3174931.99</v>
      </c>
      <c r="N1000" s="3" t="n">
        <v>1124222.31</v>
      </c>
      <c r="O1000" s="3" t="n">
        <v>0.3541</v>
      </c>
      <c r="P1000" s="3" t="n">
        <v>0.429</v>
      </c>
      <c r="Q1000" s="3" t="n">
        <v>1362045.82</v>
      </c>
      <c r="R1000" s="3" t="n">
        <v>40</v>
      </c>
      <c r="S1000" s="3" t="n">
        <v>5.2</v>
      </c>
      <c r="T1000" s="3" t="n">
        <v>10</v>
      </c>
      <c r="U1000" s="3"/>
      <c r="V1000" s="3" t="n">
        <v>4.21</v>
      </c>
      <c r="W1000" s="3" t="s">
        <v>6000</v>
      </c>
    </row>
    <row r="1001" customFormat="false" ht="15" hidden="false" customHeight="true" outlineLevel="0" collapsed="false">
      <c r="A1001" s="3" t="s">
        <v>7105</v>
      </c>
      <c r="B1001" s="3" t="s">
        <v>1031</v>
      </c>
      <c r="C1001" s="3" t="s">
        <v>1338</v>
      </c>
      <c r="D1001" s="3" t="s">
        <v>61</v>
      </c>
      <c r="E1001" s="3" t="s">
        <v>33</v>
      </c>
      <c r="F1001" s="3" t="s">
        <v>62</v>
      </c>
      <c r="G1001" s="3" t="s">
        <v>26</v>
      </c>
      <c r="H1001" s="3" t="s">
        <v>56</v>
      </c>
      <c r="I1001" s="3" t="s">
        <v>188</v>
      </c>
      <c r="J1001" s="3" t="s">
        <v>5996</v>
      </c>
      <c r="K1001" s="3" t="n">
        <v>3781704.46</v>
      </c>
      <c r="L1001" s="3" t="n">
        <v>0.2664</v>
      </c>
      <c r="M1001" s="3" t="n">
        <v>2774258.39</v>
      </c>
      <c r="N1001" s="3" t="n">
        <v>894226.64</v>
      </c>
      <c r="O1001" s="3" t="n">
        <v>0.3223</v>
      </c>
      <c r="P1001" s="3" t="n">
        <v>1</v>
      </c>
      <c r="Q1001" s="3" t="n">
        <v>2774258.39</v>
      </c>
      <c r="R1001" s="3" t="n">
        <v>147</v>
      </c>
      <c r="S1001" s="3" t="n">
        <v>8.6</v>
      </c>
      <c r="T1001" s="3" t="n">
        <v>4.4</v>
      </c>
      <c r="U1001" s="3"/>
      <c r="V1001" s="3" t="n">
        <v>5.79</v>
      </c>
      <c r="W1001" s="3" t="s">
        <v>5990</v>
      </c>
    </row>
    <row r="1002" customFormat="false" ht="15" hidden="false" customHeight="true" outlineLevel="0" collapsed="false">
      <c r="A1002" s="3" t="s">
        <v>7106</v>
      </c>
      <c r="B1002" s="3" t="s">
        <v>181</v>
      </c>
      <c r="C1002" s="3" t="s">
        <v>3380</v>
      </c>
      <c r="D1002" s="3" t="s">
        <v>47</v>
      </c>
      <c r="E1002" s="3" t="s">
        <v>48</v>
      </c>
      <c r="F1002" s="3" t="s">
        <v>25</v>
      </c>
      <c r="G1002" s="3" t="s">
        <v>84</v>
      </c>
      <c r="H1002" s="3" t="s">
        <v>27</v>
      </c>
      <c r="I1002" s="3" t="s">
        <v>94</v>
      </c>
      <c r="J1002" s="3" t="s">
        <v>5992</v>
      </c>
      <c r="K1002" s="3" t="n">
        <v>4026252.72</v>
      </c>
      <c r="L1002" s="3" t="n">
        <v>0.1952</v>
      </c>
      <c r="M1002" s="3" t="n">
        <v>3240328.19</v>
      </c>
      <c r="N1002" s="3" t="n">
        <v>1203164.95</v>
      </c>
      <c r="O1002" s="3" t="n">
        <v>0.3713</v>
      </c>
      <c r="P1002" s="3" t="n">
        <v>0.688</v>
      </c>
      <c r="Q1002" s="3" t="n">
        <v>2229345.79</v>
      </c>
      <c r="R1002" s="3" t="n">
        <v>48</v>
      </c>
      <c r="S1002" s="3" t="n">
        <v>4.7</v>
      </c>
      <c r="T1002" s="3" t="n">
        <v>6.6</v>
      </c>
      <c r="U1002" s="3"/>
      <c r="V1002" s="3" t="n">
        <v>5.46</v>
      </c>
      <c r="W1002" s="3" t="s">
        <v>5990</v>
      </c>
    </row>
    <row r="1003" customFormat="false" ht="15" hidden="false" customHeight="true" outlineLevel="0" collapsed="false">
      <c r="A1003" s="3" t="s">
        <v>7107</v>
      </c>
      <c r="B1003" s="3" t="s">
        <v>364</v>
      </c>
      <c r="C1003" s="3" t="s">
        <v>3757</v>
      </c>
      <c r="D1003" s="3" t="s">
        <v>61</v>
      </c>
      <c r="E1003" s="3" t="s">
        <v>33</v>
      </c>
      <c r="F1003" s="3" t="s">
        <v>62</v>
      </c>
      <c r="G1003" s="3" t="s">
        <v>55</v>
      </c>
      <c r="H1003" s="3" t="s">
        <v>77</v>
      </c>
      <c r="I1003" s="3" t="s">
        <v>85</v>
      </c>
      <c r="J1003" s="3" t="s">
        <v>5996</v>
      </c>
      <c r="K1003" s="3" t="n">
        <v>4367915.06</v>
      </c>
      <c r="L1003" s="3" t="n">
        <v>0.2322</v>
      </c>
      <c r="M1003" s="3" t="n">
        <v>3353685.18</v>
      </c>
      <c r="N1003" s="3" t="n">
        <v>953731.21</v>
      </c>
      <c r="O1003" s="3" t="n">
        <v>0.2844</v>
      </c>
      <c r="P1003" s="3" t="n">
        <v>1</v>
      </c>
      <c r="Q1003" s="3" t="n">
        <v>3353685.18</v>
      </c>
      <c r="R1003" s="3" t="n">
        <v>20</v>
      </c>
      <c r="S1003" s="3" t="n">
        <v>5.5</v>
      </c>
      <c r="T1003" s="3" t="n">
        <v>6.7</v>
      </c>
      <c r="U1003" s="3"/>
      <c r="V1003" s="3" t="n">
        <v>4.65</v>
      </c>
      <c r="W1003" s="3" t="s">
        <v>6000</v>
      </c>
    </row>
    <row r="1004" customFormat="false" ht="15" hidden="false" customHeight="true" outlineLevel="0" collapsed="false">
      <c r="A1004" s="3" t="s">
        <v>7108</v>
      </c>
      <c r="B1004" s="3" t="s">
        <v>2384</v>
      </c>
      <c r="C1004" s="3" t="s">
        <v>4263</v>
      </c>
      <c r="D1004" s="3" t="s">
        <v>97</v>
      </c>
      <c r="E1004" s="3" t="s">
        <v>48</v>
      </c>
      <c r="F1004" s="3" t="s">
        <v>40</v>
      </c>
      <c r="G1004" s="3" t="s">
        <v>84</v>
      </c>
      <c r="H1004" s="3" t="s">
        <v>77</v>
      </c>
      <c r="I1004" s="3" t="s">
        <v>78</v>
      </c>
      <c r="J1004" s="3" t="s">
        <v>6009</v>
      </c>
      <c r="K1004" s="3" t="n">
        <v>3966706.57</v>
      </c>
      <c r="L1004" s="3" t="n">
        <v>0.2816</v>
      </c>
      <c r="M1004" s="3" t="n">
        <v>2849682</v>
      </c>
      <c r="N1004" s="3" t="n">
        <v>949892.52</v>
      </c>
      <c r="O1004" s="3" t="n">
        <v>0.3333</v>
      </c>
      <c r="P1004" s="3" t="n">
        <v>0</v>
      </c>
      <c r="Q1004" s="3" t="n">
        <v>0</v>
      </c>
      <c r="R1004" s="3" t="n">
        <v>166</v>
      </c>
      <c r="S1004" s="3" t="n">
        <v>7</v>
      </c>
      <c r="T1004" s="3" t="n">
        <v>3.9</v>
      </c>
      <c r="U1004" s="3" t="s">
        <v>6020</v>
      </c>
      <c r="V1004" s="3" t="n">
        <v>5.41</v>
      </c>
      <c r="W1004" s="3" t="s">
        <v>5990</v>
      </c>
    </row>
    <row r="1005" customFormat="false" ht="15" hidden="false" customHeight="true" outlineLevel="0" collapsed="false">
      <c r="A1005" s="3" t="s">
        <v>7109</v>
      </c>
      <c r="B1005" s="3" t="s">
        <v>1332</v>
      </c>
      <c r="C1005" s="3" t="s">
        <v>1908</v>
      </c>
      <c r="D1005" s="3" t="s">
        <v>83</v>
      </c>
      <c r="E1005" s="3" t="s">
        <v>48</v>
      </c>
      <c r="F1005" s="3" t="s">
        <v>62</v>
      </c>
      <c r="G1005" s="3" t="s">
        <v>34</v>
      </c>
      <c r="H1005" s="3" t="s">
        <v>77</v>
      </c>
      <c r="I1005" s="3" t="s">
        <v>78</v>
      </c>
      <c r="J1005" s="3" t="s">
        <v>5996</v>
      </c>
      <c r="K1005" s="3" t="n">
        <v>3971848.67</v>
      </c>
      <c r="L1005" s="3" t="n">
        <v>0.2067</v>
      </c>
      <c r="M1005" s="3" t="n">
        <v>3150867.55</v>
      </c>
      <c r="N1005" s="3" t="n">
        <v>1502538.85</v>
      </c>
      <c r="O1005" s="3" t="n">
        <v>0.4769</v>
      </c>
      <c r="P1005" s="3" t="n">
        <v>0.953</v>
      </c>
      <c r="Q1005" s="3" t="n">
        <v>3002776.78</v>
      </c>
      <c r="R1005" s="3" t="n">
        <v>95</v>
      </c>
      <c r="S1005" s="3" t="n">
        <v>8.3</v>
      </c>
      <c r="T1005" s="3" t="n">
        <v>5.7</v>
      </c>
      <c r="U1005" s="3"/>
      <c r="V1005" s="3" t="n">
        <v>7</v>
      </c>
      <c r="W1005" s="3" t="s">
        <v>5997</v>
      </c>
    </row>
    <row r="1006" customFormat="false" ht="15" hidden="false" customHeight="true" outlineLevel="0" collapsed="false">
      <c r="A1006" s="3" t="s">
        <v>7110</v>
      </c>
      <c r="B1006" s="3" t="s">
        <v>751</v>
      </c>
      <c r="C1006" s="3" t="s">
        <v>456</v>
      </c>
      <c r="D1006" s="3" t="s">
        <v>69</v>
      </c>
      <c r="E1006" s="3" t="s">
        <v>39</v>
      </c>
      <c r="F1006" s="3" t="s">
        <v>70</v>
      </c>
      <c r="G1006" s="3" t="s">
        <v>34</v>
      </c>
      <c r="H1006" s="3" t="s">
        <v>64</v>
      </c>
      <c r="I1006" s="3" t="s">
        <v>90</v>
      </c>
      <c r="J1006" s="3" t="s">
        <v>5996</v>
      </c>
      <c r="K1006" s="3" t="n">
        <v>1158685.21</v>
      </c>
      <c r="L1006" s="3" t="n">
        <v>0.1097</v>
      </c>
      <c r="M1006" s="3" t="n">
        <v>1031577.44</v>
      </c>
      <c r="N1006" s="3" t="n">
        <v>398678.65</v>
      </c>
      <c r="O1006" s="3" t="n">
        <v>0.3865</v>
      </c>
      <c r="P1006" s="3" t="n">
        <v>1</v>
      </c>
      <c r="Q1006" s="3" t="n">
        <v>1031577.44</v>
      </c>
      <c r="R1006" s="3" t="n">
        <v>37</v>
      </c>
      <c r="S1006" s="3" t="n">
        <v>7.5</v>
      </c>
      <c r="T1006" s="3" t="n">
        <v>4.9</v>
      </c>
      <c r="U1006" s="3"/>
      <c r="V1006" s="3" t="n">
        <v>7.22</v>
      </c>
      <c r="W1006" s="3" t="s">
        <v>5997</v>
      </c>
    </row>
    <row r="1007" customFormat="false" ht="15" hidden="false" customHeight="true" outlineLevel="0" collapsed="false">
      <c r="A1007" s="3" t="s">
        <v>7111</v>
      </c>
      <c r="B1007" s="3" t="s">
        <v>5689</v>
      </c>
      <c r="C1007" s="3" t="s">
        <v>1889</v>
      </c>
      <c r="D1007" s="3" t="s">
        <v>107</v>
      </c>
      <c r="E1007" s="3" t="s">
        <v>33</v>
      </c>
      <c r="F1007" s="3" t="s">
        <v>70</v>
      </c>
      <c r="G1007" s="3" t="s">
        <v>49</v>
      </c>
      <c r="H1007" s="3" t="s">
        <v>56</v>
      </c>
      <c r="I1007" s="3" t="s">
        <v>57</v>
      </c>
      <c r="J1007" s="3" t="s">
        <v>5999</v>
      </c>
      <c r="K1007" s="3" t="n">
        <v>2261446.14</v>
      </c>
      <c r="L1007" s="3" t="n">
        <v>0.2112</v>
      </c>
      <c r="M1007" s="3" t="n">
        <v>1783828.72</v>
      </c>
      <c r="N1007" s="3" t="n">
        <v>661934.52</v>
      </c>
      <c r="O1007" s="3" t="n">
        <v>0.3711</v>
      </c>
      <c r="P1007" s="3" t="n">
        <v>0.484</v>
      </c>
      <c r="Q1007" s="3" t="n">
        <v>863373.1</v>
      </c>
      <c r="R1007" s="3" t="n">
        <v>80</v>
      </c>
      <c r="S1007" s="3" t="n">
        <v>1</v>
      </c>
      <c r="T1007" s="3" t="n">
        <v>7.7</v>
      </c>
      <c r="U1007" s="3"/>
      <c r="V1007" s="3" t="n">
        <v>4.21</v>
      </c>
      <c r="W1007" s="3" t="s">
        <v>6000</v>
      </c>
    </row>
    <row r="1008" customFormat="false" ht="15" hidden="false" customHeight="true" outlineLevel="0" collapsed="false">
      <c r="A1008" s="3" t="s">
        <v>7112</v>
      </c>
      <c r="B1008" s="3" t="s">
        <v>295</v>
      </c>
      <c r="C1008" s="3" t="s">
        <v>3294</v>
      </c>
      <c r="D1008" s="3" t="s">
        <v>103</v>
      </c>
      <c r="E1008" s="3" t="s">
        <v>24</v>
      </c>
      <c r="F1008" s="3" t="s">
        <v>62</v>
      </c>
      <c r="G1008" s="3" t="s">
        <v>84</v>
      </c>
      <c r="H1008" s="3" t="s">
        <v>64</v>
      </c>
      <c r="I1008" s="3" t="s">
        <v>65</v>
      </c>
      <c r="J1008" s="3" t="s">
        <v>6009</v>
      </c>
      <c r="K1008" s="3" t="n">
        <v>4697321.82</v>
      </c>
      <c r="L1008" s="3" t="n">
        <v>0.0838</v>
      </c>
      <c r="M1008" s="3" t="n">
        <v>4303686.25</v>
      </c>
      <c r="N1008" s="3" t="n">
        <v>1851837.66</v>
      </c>
      <c r="O1008" s="3" t="n">
        <v>0.4303</v>
      </c>
      <c r="P1008" s="3" t="n">
        <v>0</v>
      </c>
      <c r="Q1008" s="3" t="n">
        <v>0</v>
      </c>
      <c r="R1008" s="3" t="n">
        <v>177</v>
      </c>
      <c r="S1008" s="3" t="n">
        <v>8.2</v>
      </c>
      <c r="T1008" s="3" t="n">
        <v>7.1</v>
      </c>
      <c r="U1008" s="3" t="s">
        <v>6025</v>
      </c>
      <c r="V1008" s="3" t="n">
        <v>7.64</v>
      </c>
      <c r="W1008" s="3" t="s">
        <v>5997</v>
      </c>
    </row>
    <row r="1009" customFormat="false" ht="15" hidden="false" customHeight="true" outlineLevel="0" collapsed="false">
      <c r="A1009" s="3" t="s">
        <v>7113</v>
      </c>
      <c r="B1009" s="3" t="s">
        <v>1208</v>
      </c>
      <c r="C1009" s="3" t="s">
        <v>3042</v>
      </c>
      <c r="D1009" s="3" t="s">
        <v>75</v>
      </c>
      <c r="E1009" s="3" t="s">
        <v>39</v>
      </c>
      <c r="F1009" s="3" t="s">
        <v>25</v>
      </c>
      <c r="G1009" s="3" t="s">
        <v>104</v>
      </c>
      <c r="H1009" s="3" t="s">
        <v>56</v>
      </c>
      <c r="I1009" s="3" t="s">
        <v>121</v>
      </c>
      <c r="J1009" s="3" t="s">
        <v>6009</v>
      </c>
      <c r="K1009" s="3" t="n">
        <v>4916758.37</v>
      </c>
      <c r="L1009" s="3" t="n">
        <v>0.2439</v>
      </c>
      <c r="M1009" s="3" t="n">
        <v>3717561</v>
      </c>
      <c r="N1009" s="3" t="n">
        <v>1083721.36</v>
      </c>
      <c r="O1009" s="3" t="n">
        <v>0.2915</v>
      </c>
      <c r="P1009" s="3" t="n">
        <v>0</v>
      </c>
      <c r="Q1009" s="3" t="n">
        <v>0</v>
      </c>
      <c r="R1009" s="3" t="n">
        <v>102</v>
      </c>
      <c r="S1009" s="3" t="n">
        <v>7.8</v>
      </c>
      <c r="T1009" s="3" t="n">
        <v>8.4</v>
      </c>
      <c r="U1009" s="3" t="s">
        <v>6020</v>
      </c>
      <c r="V1009" s="3" t="n">
        <v>4.94</v>
      </c>
      <c r="W1009" s="3" t="s">
        <v>6000</v>
      </c>
    </row>
    <row r="1010" customFormat="false" ht="15" hidden="false" customHeight="true" outlineLevel="0" collapsed="false">
      <c r="A1010" s="3" t="s">
        <v>7114</v>
      </c>
      <c r="B1010" s="3" t="s">
        <v>521</v>
      </c>
      <c r="C1010" s="3" t="s">
        <v>6172</v>
      </c>
      <c r="D1010" s="3" t="s">
        <v>38</v>
      </c>
      <c r="E1010" s="3" t="s">
        <v>39</v>
      </c>
      <c r="F1010" s="3" t="s">
        <v>40</v>
      </c>
      <c r="G1010" s="3" t="s">
        <v>100</v>
      </c>
      <c r="H1010" s="3" t="s">
        <v>64</v>
      </c>
      <c r="I1010" s="3" t="s">
        <v>65</v>
      </c>
      <c r="J1010" s="3" t="s">
        <v>5992</v>
      </c>
      <c r="K1010" s="3" t="n">
        <v>1115675.5</v>
      </c>
      <c r="L1010" s="3" t="n">
        <v>0.2536</v>
      </c>
      <c r="M1010" s="3" t="n">
        <v>832740.19</v>
      </c>
      <c r="N1010" s="3" t="n">
        <v>394405.3</v>
      </c>
      <c r="O1010" s="3" t="n">
        <v>0.4736</v>
      </c>
      <c r="P1010" s="3" t="n">
        <v>0.723</v>
      </c>
      <c r="Q1010" s="3" t="n">
        <v>602071.16</v>
      </c>
      <c r="R1010" s="3" t="n">
        <v>163</v>
      </c>
      <c r="S1010" s="3" t="n">
        <v>8.5</v>
      </c>
      <c r="T1010" s="3" t="n">
        <v>7.1</v>
      </c>
      <c r="U1010" s="3"/>
      <c r="V1010" s="3" t="n">
        <v>6.44</v>
      </c>
      <c r="W1010" s="3" t="s">
        <v>5990</v>
      </c>
    </row>
    <row r="1011" customFormat="false" ht="15" hidden="false" customHeight="true" outlineLevel="0" collapsed="false">
      <c r="A1011" s="3" t="s">
        <v>7115</v>
      </c>
      <c r="B1011" s="3" t="s">
        <v>926</v>
      </c>
      <c r="C1011" s="3" t="s">
        <v>809</v>
      </c>
      <c r="D1011" s="3" t="s">
        <v>97</v>
      </c>
      <c r="E1011" s="3" t="s">
        <v>48</v>
      </c>
      <c r="F1011" s="3" t="s">
        <v>40</v>
      </c>
      <c r="G1011" s="3" t="s">
        <v>41</v>
      </c>
      <c r="H1011" s="3" t="s">
        <v>27</v>
      </c>
      <c r="I1011" s="3" t="s">
        <v>173</v>
      </c>
      <c r="J1011" s="3" t="s">
        <v>5989</v>
      </c>
      <c r="K1011" s="3" t="n">
        <v>3328064.38</v>
      </c>
      <c r="L1011" s="3" t="n">
        <v>0.0708</v>
      </c>
      <c r="M1011" s="3" t="n">
        <v>3092437.42</v>
      </c>
      <c r="N1011" s="3" t="n">
        <v>1026142.15</v>
      </c>
      <c r="O1011" s="3" t="n">
        <v>0.3318</v>
      </c>
      <c r="P1011" s="3" t="n">
        <v>0.229</v>
      </c>
      <c r="Q1011" s="3" t="n">
        <v>708168.17</v>
      </c>
      <c r="R1011" s="3" t="n">
        <v>92</v>
      </c>
      <c r="S1011" s="3" t="n">
        <v>1.7</v>
      </c>
      <c r="T1011" s="3" t="n">
        <v>8.4</v>
      </c>
      <c r="U1011" s="3"/>
      <c r="V1011" s="3" t="n">
        <v>5.16</v>
      </c>
      <c r="W1011" s="3" t="s">
        <v>5990</v>
      </c>
    </row>
    <row r="1012" customFormat="false" ht="15" hidden="false" customHeight="true" outlineLevel="0" collapsed="false">
      <c r="A1012" s="3" t="s">
        <v>7116</v>
      </c>
      <c r="B1012" s="3" t="s">
        <v>2017</v>
      </c>
      <c r="C1012" s="3" t="s">
        <v>2510</v>
      </c>
      <c r="D1012" s="3" t="s">
        <v>54</v>
      </c>
      <c r="E1012" s="3" t="s">
        <v>24</v>
      </c>
      <c r="F1012" s="3" t="s">
        <v>40</v>
      </c>
      <c r="G1012" s="3" t="s">
        <v>71</v>
      </c>
      <c r="H1012" s="3" t="s">
        <v>77</v>
      </c>
      <c r="I1012" s="3" t="s">
        <v>131</v>
      </c>
      <c r="J1012" s="3" t="s">
        <v>5992</v>
      </c>
      <c r="K1012" s="3" t="n">
        <v>4453966.27</v>
      </c>
      <c r="L1012" s="3" t="n">
        <v>0.1853</v>
      </c>
      <c r="M1012" s="3" t="n">
        <v>3628646.32</v>
      </c>
      <c r="N1012" s="3" t="n">
        <v>1453635.51</v>
      </c>
      <c r="O1012" s="3" t="n">
        <v>0.4006</v>
      </c>
      <c r="P1012" s="3" t="n">
        <v>0.72</v>
      </c>
      <c r="Q1012" s="3" t="n">
        <v>2612625.35</v>
      </c>
      <c r="R1012" s="3" t="n">
        <v>42</v>
      </c>
      <c r="S1012" s="3" t="n">
        <v>7.8</v>
      </c>
      <c r="T1012" s="3" t="n">
        <v>2.4</v>
      </c>
      <c r="U1012" s="3"/>
      <c r="V1012" s="3" t="n">
        <v>7.15</v>
      </c>
      <c r="W1012" s="3" t="s">
        <v>5997</v>
      </c>
    </row>
    <row r="1013" customFormat="false" ht="15" hidden="false" customHeight="true" outlineLevel="0" collapsed="false">
      <c r="A1013" s="3" t="s">
        <v>7117</v>
      </c>
      <c r="B1013" s="3" t="s">
        <v>1825</v>
      </c>
      <c r="C1013" s="3" t="s">
        <v>3018</v>
      </c>
      <c r="D1013" s="3" t="s">
        <v>38</v>
      </c>
      <c r="E1013" s="3" t="s">
        <v>39</v>
      </c>
      <c r="F1013" s="3" t="s">
        <v>40</v>
      </c>
      <c r="G1013" s="3" t="s">
        <v>49</v>
      </c>
      <c r="H1013" s="3" t="s">
        <v>56</v>
      </c>
      <c r="I1013" s="3" t="s">
        <v>121</v>
      </c>
      <c r="J1013" s="3" t="s">
        <v>5996</v>
      </c>
      <c r="K1013" s="3" t="n">
        <v>1916801.37</v>
      </c>
      <c r="L1013" s="3" t="n">
        <v>0.114</v>
      </c>
      <c r="M1013" s="3" t="n">
        <v>1698286.01</v>
      </c>
      <c r="N1013" s="3" t="n">
        <v>671674.23</v>
      </c>
      <c r="O1013" s="3" t="n">
        <v>0.3955</v>
      </c>
      <c r="P1013" s="3" t="n">
        <v>0.975</v>
      </c>
      <c r="Q1013" s="3" t="n">
        <v>1655828.86</v>
      </c>
      <c r="R1013" s="3" t="n">
        <v>171</v>
      </c>
      <c r="S1013" s="3" t="n">
        <v>4.8</v>
      </c>
      <c r="T1013" s="3" t="n">
        <v>2.3</v>
      </c>
      <c r="U1013" s="3"/>
      <c r="V1013" s="3" t="n">
        <v>6.99</v>
      </c>
      <c r="W1013" s="3" t="s">
        <v>5997</v>
      </c>
    </row>
    <row r="1014" customFormat="false" ht="15" hidden="false" customHeight="true" outlineLevel="0" collapsed="false">
      <c r="A1014" s="3" t="s">
        <v>7118</v>
      </c>
      <c r="B1014" s="3" t="s">
        <v>1369</v>
      </c>
      <c r="C1014" s="3" t="s">
        <v>435</v>
      </c>
      <c r="D1014" s="3" t="s">
        <v>97</v>
      </c>
      <c r="E1014" s="3" t="s">
        <v>48</v>
      </c>
      <c r="F1014" s="3" t="s">
        <v>40</v>
      </c>
      <c r="G1014" s="3" t="s">
        <v>41</v>
      </c>
      <c r="H1014" s="3" t="s">
        <v>77</v>
      </c>
      <c r="I1014" s="3" t="s">
        <v>78</v>
      </c>
      <c r="J1014" s="3" t="s">
        <v>5989</v>
      </c>
      <c r="K1014" s="3" t="n">
        <v>2551965.4</v>
      </c>
      <c r="L1014" s="3" t="n">
        <v>0.1449</v>
      </c>
      <c r="M1014" s="3" t="n">
        <v>2182185.61</v>
      </c>
      <c r="N1014" s="3" t="n">
        <v>803200.03</v>
      </c>
      <c r="O1014" s="3" t="n">
        <v>0.3681</v>
      </c>
      <c r="P1014" s="3" t="n">
        <v>0.208</v>
      </c>
      <c r="Q1014" s="3" t="n">
        <v>453894.61</v>
      </c>
      <c r="R1014" s="3" t="n">
        <v>28</v>
      </c>
      <c r="S1014" s="3" t="n">
        <v>7.4</v>
      </c>
      <c r="T1014" s="3" t="n">
        <v>2.3</v>
      </c>
      <c r="U1014" s="3"/>
      <c r="V1014" s="3" t="n">
        <v>7.17</v>
      </c>
      <c r="W1014" s="3" t="s">
        <v>5997</v>
      </c>
    </row>
    <row r="1015" customFormat="false" ht="15" hidden="false" customHeight="true" outlineLevel="0" collapsed="false">
      <c r="A1015" s="3" t="s">
        <v>7119</v>
      </c>
      <c r="B1015" s="3" t="s">
        <v>939</v>
      </c>
      <c r="C1015" s="3" t="s">
        <v>4282</v>
      </c>
      <c r="D1015" s="3" t="s">
        <v>61</v>
      </c>
      <c r="E1015" s="3" t="s">
        <v>33</v>
      </c>
      <c r="F1015" s="3" t="s">
        <v>62</v>
      </c>
      <c r="G1015" s="3" t="s">
        <v>63</v>
      </c>
      <c r="H1015" s="3" t="s">
        <v>42</v>
      </c>
      <c r="I1015" s="3" t="s">
        <v>134</v>
      </c>
      <c r="J1015" s="3" t="s">
        <v>5999</v>
      </c>
      <c r="K1015" s="3" t="n">
        <v>361968.9</v>
      </c>
      <c r="L1015" s="3" t="n">
        <v>0.2664</v>
      </c>
      <c r="M1015" s="3" t="n">
        <v>265540.39</v>
      </c>
      <c r="N1015" s="3" t="n">
        <v>123390.08</v>
      </c>
      <c r="O1015" s="3" t="n">
        <v>0.4647</v>
      </c>
      <c r="P1015" s="3" t="n">
        <v>0.446</v>
      </c>
      <c r="Q1015" s="3" t="n">
        <v>118431.01</v>
      </c>
      <c r="R1015" s="3" t="n">
        <v>44</v>
      </c>
      <c r="S1015" s="3" t="n">
        <v>1.1</v>
      </c>
      <c r="T1015" s="3" t="n">
        <v>8.1</v>
      </c>
      <c r="U1015" s="3"/>
      <c r="V1015" s="3" t="n">
        <v>4.33</v>
      </c>
      <c r="W1015" s="3" t="s">
        <v>6000</v>
      </c>
    </row>
    <row r="1016" customFormat="false" ht="15" hidden="false" customHeight="true" outlineLevel="0" collapsed="false">
      <c r="A1016" s="3" t="s">
        <v>7120</v>
      </c>
      <c r="B1016" s="3" t="s">
        <v>170</v>
      </c>
      <c r="C1016" s="3" t="s">
        <v>452</v>
      </c>
      <c r="D1016" s="3" t="s">
        <v>97</v>
      </c>
      <c r="E1016" s="3" t="s">
        <v>48</v>
      </c>
      <c r="F1016" s="3" t="s">
        <v>40</v>
      </c>
      <c r="G1016" s="3" t="s">
        <v>55</v>
      </c>
      <c r="H1016" s="3" t="s">
        <v>56</v>
      </c>
      <c r="I1016" s="3" t="s">
        <v>121</v>
      </c>
      <c r="J1016" s="3" t="s">
        <v>5989</v>
      </c>
      <c r="K1016" s="3" t="n">
        <v>4457663.22</v>
      </c>
      <c r="L1016" s="3" t="n">
        <v>0.1691</v>
      </c>
      <c r="M1016" s="3" t="n">
        <v>3703872.37</v>
      </c>
      <c r="N1016" s="3" t="n">
        <v>1719700.56</v>
      </c>
      <c r="O1016" s="3" t="n">
        <v>0.4643</v>
      </c>
      <c r="P1016" s="3" t="n">
        <v>0.255</v>
      </c>
      <c r="Q1016" s="3" t="n">
        <v>944487.45</v>
      </c>
      <c r="R1016" s="3" t="n">
        <v>169</v>
      </c>
      <c r="S1016" s="3" t="n">
        <v>7</v>
      </c>
      <c r="T1016" s="3" t="n">
        <v>1.2</v>
      </c>
      <c r="U1016" s="3"/>
      <c r="V1016" s="3" t="n">
        <v>7.67</v>
      </c>
      <c r="W1016" s="3" t="s">
        <v>5997</v>
      </c>
    </row>
    <row r="1017" customFormat="false" ht="15" hidden="false" customHeight="true" outlineLevel="0" collapsed="false">
      <c r="A1017" s="3" t="s">
        <v>7121</v>
      </c>
      <c r="B1017" s="3" t="s">
        <v>933</v>
      </c>
      <c r="C1017" s="3" t="s">
        <v>549</v>
      </c>
      <c r="D1017" s="3" t="s">
        <v>75</v>
      </c>
      <c r="E1017" s="3" t="s">
        <v>39</v>
      </c>
      <c r="F1017" s="3" t="s">
        <v>25</v>
      </c>
      <c r="G1017" s="3" t="s">
        <v>116</v>
      </c>
      <c r="H1017" s="3" t="s">
        <v>27</v>
      </c>
      <c r="I1017" s="3" t="s">
        <v>117</v>
      </c>
      <c r="J1017" s="3" t="s">
        <v>6009</v>
      </c>
      <c r="K1017" s="3" t="n">
        <v>2933981.02</v>
      </c>
      <c r="L1017" s="3" t="n">
        <v>0.1494</v>
      </c>
      <c r="M1017" s="3" t="n">
        <v>2495644.26</v>
      </c>
      <c r="N1017" s="3" t="n">
        <v>1041592.08</v>
      </c>
      <c r="O1017" s="3" t="n">
        <v>0.4174</v>
      </c>
      <c r="P1017" s="3" t="n">
        <v>0</v>
      </c>
      <c r="Q1017" s="3" t="n">
        <v>0</v>
      </c>
      <c r="R1017" s="3" t="n">
        <v>93</v>
      </c>
      <c r="S1017" s="3" t="n">
        <v>8.8</v>
      </c>
      <c r="T1017" s="3" t="n">
        <v>6.7</v>
      </c>
      <c r="U1017" s="3" t="s">
        <v>6020</v>
      </c>
      <c r="V1017" s="3" t="n">
        <v>7.2</v>
      </c>
      <c r="W1017" s="3" t="s">
        <v>5997</v>
      </c>
    </row>
    <row r="1018" customFormat="false" ht="15" hidden="false" customHeight="true" outlineLevel="0" collapsed="false">
      <c r="A1018" s="3" t="s">
        <v>7122</v>
      </c>
      <c r="B1018" s="3" t="s">
        <v>4779</v>
      </c>
      <c r="C1018" s="3" t="s">
        <v>2142</v>
      </c>
      <c r="D1018" s="3" t="s">
        <v>69</v>
      </c>
      <c r="E1018" s="3" t="s">
        <v>39</v>
      </c>
      <c r="F1018" s="3" t="s">
        <v>70</v>
      </c>
      <c r="G1018" s="3" t="s">
        <v>84</v>
      </c>
      <c r="H1018" s="3" t="s">
        <v>42</v>
      </c>
      <c r="I1018" s="3" t="s">
        <v>43</v>
      </c>
      <c r="J1018" s="3" t="s">
        <v>5996</v>
      </c>
      <c r="K1018" s="3" t="n">
        <v>1320976.39</v>
      </c>
      <c r="L1018" s="3" t="n">
        <v>0.072</v>
      </c>
      <c r="M1018" s="3" t="n">
        <v>1225866.09</v>
      </c>
      <c r="N1018" s="3" t="n">
        <v>488457.31</v>
      </c>
      <c r="O1018" s="3" t="n">
        <v>0.3985</v>
      </c>
      <c r="P1018" s="3" t="n">
        <v>0.98</v>
      </c>
      <c r="Q1018" s="3" t="n">
        <v>1201348.77</v>
      </c>
      <c r="R1018" s="3" t="n">
        <v>107</v>
      </c>
      <c r="S1018" s="3" t="n">
        <v>1.8</v>
      </c>
      <c r="T1018" s="3" t="n">
        <v>9.9</v>
      </c>
      <c r="U1018" s="3"/>
      <c r="V1018" s="3" t="n">
        <v>5.48</v>
      </c>
      <c r="W1018" s="3" t="s">
        <v>5990</v>
      </c>
    </row>
    <row r="1019" customFormat="false" ht="15" hidden="false" customHeight="true" outlineLevel="0" collapsed="false">
      <c r="A1019" s="3" t="s">
        <v>7123</v>
      </c>
      <c r="B1019" s="3" t="s">
        <v>575</v>
      </c>
      <c r="C1019" s="3" t="s">
        <v>2179</v>
      </c>
      <c r="D1019" s="3" t="s">
        <v>69</v>
      </c>
      <c r="E1019" s="3" t="s">
        <v>39</v>
      </c>
      <c r="F1019" s="3" t="s">
        <v>70</v>
      </c>
      <c r="G1019" s="3" t="s">
        <v>49</v>
      </c>
      <c r="H1019" s="3" t="s">
        <v>64</v>
      </c>
      <c r="I1019" s="3" t="s">
        <v>145</v>
      </c>
      <c r="J1019" s="3" t="s">
        <v>5992</v>
      </c>
      <c r="K1019" s="3" t="n">
        <v>2104398.14</v>
      </c>
      <c r="L1019" s="3" t="n">
        <v>0.2969</v>
      </c>
      <c r="M1019" s="3" t="n">
        <v>1479602.33</v>
      </c>
      <c r="N1019" s="3" t="n">
        <v>620931.59</v>
      </c>
      <c r="O1019" s="3" t="n">
        <v>0.4197</v>
      </c>
      <c r="P1019" s="3" t="n">
        <v>0.685</v>
      </c>
      <c r="Q1019" s="3" t="n">
        <v>1013527.6</v>
      </c>
      <c r="R1019" s="3" t="n">
        <v>36</v>
      </c>
      <c r="S1019" s="3" t="n">
        <v>4.7</v>
      </c>
      <c r="T1019" s="3" t="n">
        <v>2.7</v>
      </c>
      <c r="U1019" s="3"/>
      <c r="V1019" s="3" t="n">
        <v>5.55</v>
      </c>
      <c r="W1019" s="3" t="s">
        <v>5990</v>
      </c>
    </row>
    <row r="1020" customFormat="false" ht="15" hidden="false" customHeight="true" outlineLevel="0" collapsed="false">
      <c r="A1020" s="3" t="s">
        <v>7124</v>
      </c>
      <c r="B1020" s="3" t="s">
        <v>786</v>
      </c>
      <c r="C1020" s="3" t="s">
        <v>2412</v>
      </c>
      <c r="D1020" s="3" t="s">
        <v>97</v>
      </c>
      <c r="E1020" s="3" t="s">
        <v>48</v>
      </c>
      <c r="F1020" s="3" t="s">
        <v>40</v>
      </c>
      <c r="G1020" s="3" t="s">
        <v>34</v>
      </c>
      <c r="H1020" s="3" t="s">
        <v>64</v>
      </c>
      <c r="I1020" s="3" t="s">
        <v>90</v>
      </c>
      <c r="J1020" s="3" t="s">
        <v>5989</v>
      </c>
      <c r="K1020" s="3" t="n">
        <v>2089741.47</v>
      </c>
      <c r="L1020" s="3" t="n">
        <v>0.1269</v>
      </c>
      <c r="M1020" s="3" t="n">
        <v>1824553.28</v>
      </c>
      <c r="N1020" s="3" t="n">
        <v>729961.21</v>
      </c>
      <c r="O1020" s="3" t="n">
        <v>0.4001</v>
      </c>
      <c r="P1020" s="3" t="n">
        <v>0.245</v>
      </c>
      <c r="Q1020" s="3" t="n">
        <v>447015.55</v>
      </c>
      <c r="R1020" s="3" t="n">
        <v>27</v>
      </c>
      <c r="S1020" s="3" t="n">
        <v>3.7</v>
      </c>
      <c r="T1020" s="3" t="n">
        <v>2.9</v>
      </c>
      <c r="U1020" s="3"/>
      <c r="V1020" s="3" t="n">
        <v>6.55</v>
      </c>
      <c r="W1020" s="3" t="s">
        <v>5997</v>
      </c>
    </row>
    <row r="1021" customFormat="false" ht="15" hidden="false" customHeight="true" outlineLevel="0" collapsed="false">
      <c r="A1021" s="3" t="s">
        <v>7125</v>
      </c>
      <c r="B1021" s="3" t="s">
        <v>1327</v>
      </c>
      <c r="C1021" s="3" t="s">
        <v>1001</v>
      </c>
      <c r="D1021" s="3" t="s">
        <v>75</v>
      </c>
      <c r="E1021" s="3" t="s">
        <v>39</v>
      </c>
      <c r="F1021" s="3" t="s">
        <v>25</v>
      </c>
      <c r="G1021" s="3" t="s">
        <v>104</v>
      </c>
      <c r="H1021" s="3" t="s">
        <v>42</v>
      </c>
      <c r="I1021" s="3" t="s">
        <v>72</v>
      </c>
      <c r="J1021" s="3" t="s">
        <v>6003</v>
      </c>
      <c r="K1021" s="3" t="n">
        <v>2854957.83</v>
      </c>
      <c r="L1021" s="3" t="n">
        <v>0.1533</v>
      </c>
      <c r="M1021" s="3" t="n">
        <v>2417292.79</v>
      </c>
      <c r="N1021" s="3" t="n">
        <v>1048620.25</v>
      </c>
      <c r="O1021" s="3" t="n">
        <v>0.4338</v>
      </c>
      <c r="P1021" s="3" t="n">
        <v>0.052</v>
      </c>
      <c r="Q1021" s="3" t="n">
        <v>125699.23</v>
      </c>
      <c r="R1021" s="3" t="n">
        <v>132</v>
      </c>
      <c r="S1021" s="3" t="n">
        <v>4.5</v>
      </c>
      <c r="T1021" s="3" t="n">
        <v>4.9</v>
      </c>
      <c r="U1021" s="3"/>
      <c r="V1021" s="3" t="n">
        <v>6.47</v>
      </c>
      <c r="W1021" s="3" t="s">
        <v>5990</v>
      </c>
    </row>
    <row r="1022" customFormat="false" ht="15" hidden="false" customHeight="true" outlineLevel="0" collapsed="false">
      <c r="A1022" s="3" t="s">
        <v>7126</v>
      </c>
      <c r="B1022" s="3" t="s">
        <v>370</v>
      </c>
      <c r="C1022" s="3" t="s">
        <v>1415</v>
      </c>
      <c r="D1022" s="3" t="s">
        <v>47</v>
      </c>
      <c r="E1022" s="3" t="s">
        <v>48</v>
      </c>
      <c r="F1022" s="3" t="s">
        <v>25</v>
      </c>
      <c r="G1022" s="3" t="s">
        <v>100</v>
      </c>
      <c r="H1022" s="3" t="s">
        <v>77</v>
      </c>
      <c r="I1022" s="3" t="s">
        <v>78</v>
      </c>
      <c r="J1022" s="3" t="s">
        <v>5992</v>
      </c>
      <c r="K1022" s="3" t="n">
        <v>4120181.02</v>
      </c>
      <c r="L1022" s="3" t="n">
        <v>0.102</v>
      </c>
      <c r="M1022" s="3" t="n">
        <v>3699922.56</v>
      </c>
      <c r="N1022" s="3" t="n">
        <v>1728229.08</v>
      </c>
      <c r="O1022" s="3" t="n">
        <v>0.4671</v>
      </c>
      <c r="P1022" s="3" t="n">
        <v>0.677</v>
      </c>
      <c r="Q1022" s="3" t="n">
        <v>2504847.57</v>
      </c>
      <c r="R1022" s="3" t="n">
        <v>52</v>
      </c>
      <c r="S1022" s="3" t="n">
        <v>8.7</v>
      </c>
      <c r="T1022" s="3" t="n">
        <v>5.9</v>
      </c>
      <c r="U1022" s="3"/>
      <c r="V1022" s="3" t="n">
        <v>7.94</v>
      </c>
      <c r="W1022" s="3" t="s">
        <v>5997</v>
      </c>
    </row>
    <row r="1023" customFormat="false" ht="15" hidden="false" customHeight="true" outlineLevel="0" collapsed="false">
      <c r="A1023" s="3" t="s">
        <v>7127</v>
      </c>
      <c r="B1023" s="3" t="s">
        <v>2610</v>
      </c>
      <c r="C1023" s="3" t="s">
        <v>347</v>
      </c>
      <c r="D1023" s="3" t="s">
        <v>47</v>
      </c>
      <c r="E1023" s="3" t="s">
        <v>48</v>
      </c>
      <c r="F1023" s="3" t="s">
        <v>25</v>
      </c>
      <c r="G1023" s="3" t="s">
        <v>116</v>
      </c>
      <c r="H1023" s="3" t="s">
        <v>42</v>
      </c>
      <c r="I1023" s="3" t="s">
        <v>72</v>
      </c>
      <c r="J1023" s="3" t="s">
        <v>5996</v>
      </c>
      <c r="K1023" s="3" t="n">
        <v>1615919.59</v>
      </c>
      <c r="L1023" s="3" t="n">
        <v>0.1365</v>
      </c>
      <c r="M1023" s="3" t="n">
        <v>1395346.57</v>
      </c>
      <c r="N1023" s="3" t="n">
        <v>662927.46</v>
      </c>
      <c r="O1023" s="3" t="n">
        <v>0.4751</v>
      </c>
      <c r="P1023" s="3" t="n">
        <v>0.97</v>
      </c>
      <c r="Q1023" s="3" t="n">
        <v>1353486.17</v>
      </c>
      <c r="R1023" s="3" t="n">
        <v>81</v>
      </c>
      <c r="S1023" s="3" t="n">
        <v>4.2</v>
      </c>
      <c r="T1023" s="3" t="n">
        <v>7.8</v>
      </c>
      <c r="U1023" s="3"/>
      <c r="V1023" s="3" t="n">
        <v>6.23</v>
      </c>
      <c r="W1023" s="3" t="s">
        <v>5990</v>
      </c>
    </row>
    <row r="1024" customFormat="false" ht="15" hidden="false" customHeight="true" outlineLevel="0" collapsed="false">
      <c r="A1024" s="3" t="s">
        <v>7128</v>
      </c>
      <c r="B1024" s="3" t="s">
        <v>486</v>
      </c>
      <c r="C1024" s="3" t="s">
        <v>4282</v>
      </c>
      <c r="D1024" s="3" t="s">
        <v>107</v>
      </c>
      <c r="E1024" s="3" t="s">
        <v>33</v>
      </c>
      <c r="F1024" s="3" t="s">
        <v>70</v>
      </c>
      <c r="G1024" s="3" t="s">
        <v>63</v>
      </c>
      <c r="H1024" s="3" t="s">
        <v>42</v>
      </c>
      <c r="I1024" s="3" t="s">
        <v>43</v>
      </c>
      <c r="J1024" s="3" t="s">
        <v>6009</v>
      </c>
      <c r="K1024" s="3" t="n">
        <v>3012939.19</v>
      </c>
      <c r="L1024" s="3" t="n">
        <v>0.2003</v>
      </c>
      <c r="M1024" s="3" t="n">
        <v>2409447.47</v>
      </c>
      <c r="N1024" s="3" t="n">
        <v>1032450.12</v>
      </c>
      <c r="O1024" s="3" t="n">
        <v>0.4285</v>
      </c>
      <c r="P1024" s="3" t="n">
        <v>0</v>
      </c>
      <c r="Q1024" s="3" t="n">
        <v>0</v>
      </c>
      <c r="R1024" s="3" t="n">
        <v>107</v>
      </c>
      <c r="S1024" s="3" t="n">
        <v>9.1</v>
      </c>
      <c r="T1024" s="3" t="n">
        <v>2.3</v>
      </c>
      <c r="U1024" s="3" t="s">
        <v>6020</v>
      </c>
      <c r="V1024" s="3" t="n">
        <v>7.58</v>
      </c>
      <c r="W1024" s="3" t="s">
        <v>5997</v>
      </c>
    </row>
    <row r="1025" customFormat="false" ht="15" hidden="false" customHeight="true" outlineLevel="0" collapsed="false">
      <c r="A1025" s="3" t="s">
        <v>7129</v>
      </c>
      <c r="B1025" s="3" t="s">
        <v>1564</v>
      </c>
      <c r="C1025" s="3" t="s">
        <v>362</v>
      </c>
      <c r="D1025" s="3" t="s">
        <v>61</v>
      </c>
      <c r="E1025" s="3" t="s">
        <v>33</v>
      </c>
      <c r="F1025" s="3" t="s">
        <v>62</v>
      </c>
      <c r="G1025" s="3" t="s">
        <v>76</v>
      </c>
      <c r="H1025" s="3" t="s">
        <v>27</v>
      </c>
      <c r="I1025" s="3" t="s">
        <v>28</v>
      </c>
      <c r="J1025" s="3" t="s">
        <v>5992</v>
      </c>
      <c r="K1025" s="3" t="n">
        <v>2935100.54</v>
      </c>
      <c r="L1025" s="3" t="n">
        <v>0.2664</v>
      </c>
      <c r="M1025" s="3" t="n">
        <v>2153189.76</v>
      </c>
      <c r="N1025" s="3" t="n">
        <v>848674.37</v>
      </c>
      <c r="O1025" s="3" t="n">
        <v>0.3941</v>
      </c>
      <c r="P1025" s="3" t="n">
        <v>0.747</v>
      </c>
      <c r="Q1025" s="3" t="n">
        <v>1608432.75</v>
      </c>
      <c r="R1025" s="3" t="n">
        <v>74</v>
      </c>
      <c r="S1025" s="3" t="n">
        <v>3.4</v>
      </c>
      <c r="T1025" s="3" t="n">
        <v>5.2</v>
      </c>
      <c r="U1025" s="3"/>
      <c r="V1025" s="3" t="n">
        <v>4.92</v>
      </c>
      <c r="W1025" s="3" t="s">
        <v>6000</v>
      </c>
    </row>
    <row r="1026" customFormat="false" ht="15" hidden="false" customHeight="true" outlineLevel="0" collapsed="false">
      <c r="A1026" s="3" t="s">
        <v>7130</v>
      </c>
      <c r="B1026" s="3" t="s">
        <v>1695</v>
      </c>
      <c r="C1026" s="3" t="s">
        <v>1642</v>
      </c>
      <c r="D1026" s="3" t="s">
        <v>32</v>
      </c>
      <c r="E1026" s="3" t="s">
        <v>33</v>
      </c>
      <c r="F1026" s="3" t="s">
        <v>25</v>
      </c>
      <c r="G1026" s="3" t="s">
        <v>116</v>
      </c>
      <c r="H1026" s="3" t="s">
        <v>56</v>
      </c>
      <c r="I1026" s="3" t="s">
        <v>121</v>
      </c>
      <c r="J1026" s="3" t="s">
        <v>5992</v>
      </c>
      <c r="K1026" s="3" t="n">
        <v>833245.9</v>
      </c>
      <c r="L1026" s="3" t="n">
        <v>0.0543</v>
      </c>
      <c r="M1026" s="3" t="n">
        <v>788000.65</v>
      </c>
      <c r="N1026" s="3" t="n">
        <v>370565.27</v>
      </c>
      <c r="O1026" s="3" t="n">
        <v>0.4703</v>
      </c>
      <c r="P1026" s="3" t="n">
        <v>0.749</v>
      </c>
      <c r="Q1026" s="3" t="n">
        <v>590212.49</v>
      </c>
      <c r="R1026" s="3" t="n">
        <v>38</v>
      </c>
      <c r="S1026" s="3" t="n">
        <v>8.7</v>
      </c>
      <c r="T1026" s="3" t="n">
        <v>3.2</v>
      </c>
      <c r="U1026" s="3"/>
      <c r="V1026" s="3" t="n">
        <v>8.74</v>
      </c>
      <c r="W1026" s="3" t="s">
        <v>5997</v>
      </c>
    </row>
    <row r="1027" customFormat="false" ht="15" hidden="false" customHeight="true" outlineLevel="0" collapsed="false">
      <c r="A1027" s="3" t="s">
        <v>7131</v>
      </c>
      <c r="B1027" s="3" t="s">
        <v>4404</v>
      </c>
      <c r="C1027" s="3" t="s">
        <v>856</v>
      </c>
      <c r="D1027" s="3" t="s">
        <v>23</v>
      </c>
      <c r="E1027" s="3" t="s">
        <v>24</v>
      </c>
      <c r="F1027" s="3" t="s">
        <v>25</v>
      </c>
      <c r="G1027" s="3" t="s">
        <v>63</v>
      </c>
      <c r="H1027" s="3" t="s">
        <v>64</v>
      </c>
      <c r="I1027" s="3" t="s">
        <v>108</v>
      </c>
      <c r="J1027" s="3" t="s">
        <v>5989</v>
      </c>
      <c r="K1027" s="3" t="n">
        <v>2933534.93</v>
      </c>
      <c r="L1027" s="3" t="n">
        <v>0.105</v>
      </c>
      <c r="M1027" s="3" t="n">
        <v>2625513.76</v>
      </c>
      <c r="N1027" s="3" t="n">
        <v>802784.56</v>
      </c>
      <c r="O1027" s="3" t="n">
        <v>0.3058</v>
      </c>
      <c r="P1027" s="3" t="n">
        <v>0.249</v>
      </c>
      <c r="Q1027" s="3" t="n">
        <v>653752.93</v>
      </c>
      <c r="R1027" s="3" t="n">
        <v>106</v>
      </c>
      <c r="S1027" s="3" t="n">
        <v>8.1</v>
      </c>
      <c r="T1027" s="3" t="n">
        <v>2</v>
      </c>
      <c r="U1027" s="3"/>
      <c r="V1027" s="3" t="n">
        <v>7.23</v>
      </c>
      <c r="W1027" s="3" t="s">
        <v>5997</v>
      </c>
    </row>
    <row r="1028" customFormat="false" ht="15" hidden="false" customHeight="true" outlineLevel="0" collapsed="false">
      <c r="A1028" s="3" t="s">
        <v>7132</v>
      </c>
      <c r="B1028" s="3" t="s">
        <v>2979</v>
      </c>
      <c r="C1028" s="3" t="s">
        <v>926</v>
      </c>
      <c r="D1028" s="3" t="s">
        <v>97</v>
      </c>
      <c r="E1028" s="3" t="s">
        <v>48</v>
      </c>
      <c r="F1028" s="3" t="s">
        <v>40</v>
      </c>
      <c r="G1028" s="3" t="s">
        <v>26</v>
      </c>
      <c r="H1028" s="3" t="s">
        <v>56</v>
      </c>
      <c r="I1028" s="3" t="s">
        <v>188</v>
      </c>
      <c r="J1028" s="3" t="s">
        <v>5989</v>
      </c>
      <c r="K1028" s="3" t="n">
        <v>2890763.09</v>
      </c>
      <c r="L1028" s="3" t="n">
        <v>0.077</v>
      </c>
      <c r="M1028" s="3" t="n">
        <v>2668174.33</v>
      </c>
      <c r="N1028" s="3" t="n">
        <v>1008109.51</v>
      </c>
      <c r="O1028" s="3" t="n">
        <v>0.3778</v>
      </c>
      <c r="P1028" s="3" t="n">
        <v>0.288</v>
      </c>
      <c r="Q1028" s="3" t="n">
        <v>768434.21</v>
      </c>
      <c r="R1028" s="3" t="n">
        <v>14</v>
      </c>
      <c r="S1028" s="3" t="n">
        <v>4.8</v>
      </c>
      <c r="T1028" s="3" t="n">
        <v>8.8</v>
      </c>
      <c r="U1028" s="3"/>
      <c r="V1028" s="3" t="n">
        <v>6.17</v>
      </c>
      <c r="W1028" s="3" t="s">
        <v>5990</v>
      </c>
    </row>
    <row r="1029" customFormat="false" ht="15" hidden="false" customHeight="true" outlineLevel="0" collapsed="false">
      <c r="A1029" s="3" t="s">
        <v>7133</v>
      </c>
      <c r="B1029" s="3" t="s">
        <v>1106</v>
      </c>
      <c r="C1029" s="3" t="s">
        <v>1212</v>
      </c>
      <c r="D1029" s="3" t="s">
        <v>107</v>
      </c>
      <c r="E1029" s="3" t="s">
        <v>33</v>
      </c>
      <c r="F1029" s="3" t="s">
        <v>70</v>
      </c>
      <c r="G1029" s="3" t="s">
        <v>34</v>
      </c>
      <c r="H1029" s="3" t="s">
        <v>27</v>
      </c>
      <c r="I1029" s="3" t="s">
        <v>94</v>
      </c>
      <c r="J1029" s="3" t="s">
        <v>6009</v>
      </c>
      <c r="K1029" s="3" t="n">
        <v>4964404.27</v>
      </c>
      <c r="L1029" s="3" t="n">
        <v>0.2056</v>
      </c>
      <c r="M1029" s="3" t="n">
        <v>3943722.75</v>
      </c>
      <c r="N1029" s="3" t="n">
        <v>1681403.42</v>
      </c>
      <c r="O1029" s="3" t="n">
        <v>0.4263</v>
      </c>
      <c r="P1029" s="3" t="n">
        <v>0</v>
      </c>
      <c r="Q1029" s="3" t="n">
        <v>0</v>
      </c>
      <c r="R1029" s="3" t="n">
        <v>120</v>
      </c>
      <c r="S1029" s="3" t="n">
        <v>1.8</v>
      </c>
      <c r="T1029" s="3" t="n">
        <v>5.1</v>
      </c>
      <c r="U1029" s="3" t="s">
        <v>6041</v>
      </c>
      <c r="V1029" s="3" t="n">
        <v>5.29</v>
      </c>
      <c r="W1029" s="3" t="s">
        <v>5990</v>
      </c>
    </row>
    <row r="1030" customFormat="false" ht="15" hidden="false" customHeight="true" outlineLevel="0" collapsed="false">
      <c r="A1030" s="3" t="s">
        <v>7134</v>
      </c>
      <c r="B1030" s="3" t="s">
        <v>5161</v>
      </c>
      <c r="C1030" s="3" t="s">
        <v>258</v>
      </c>
      <c r="D1030" s="3" t="s">
        <v>23</v>
      </c>
      <c r="E1030" s="3" t="s">
        <v>24</v>
      </c>
      <c r="F1030" s="3" t="s">
        <v>25</v>
      </c>
      <c r="G1030" s="3" t="s">
        <v>104</v>
      </c>
      <c r="H1030" s="3" t="s">
        <v>56</v>
      </c>
      <c r="I1030" s="3" t="s">
        <v>57</v>
      </c>
      <c r="J1030" s="3" t="s">
        <v>5999</v>
      </c>
      <c r="K1030" s="3" t="n">
        <v>4058196.77</v>
      </c>
      <c r="L1030" s="3" t="n">
        <v>0.0737</v>
      </c>
      <c r="M1030" s="3" t="n">
        <v>3759107.67</v>
      </c>
      <c r="N1030" s="3" t="n">
        <v>1698631.81</v>
      </c>
      <c r="O1030" s="3" t="n">
        <v>0.4519</v>
      </c>
      <c r="P1030" s="3" t="n">
        <v>0.423</v>
      </c>
      <c r="Q1030" s="3" t="n">
        <v>1590102.54</v>
      </c>
      <c r="R1030" s="3" t="n">
        <v>74</v>
      </c>
      <c r="S1030" s="3" t="n">
        <v>9.8</v>
      </c>
      <c r="T1030" s="3" t="n">
        <v>3.9</v>
      </c>
      <c r="U1030" s="3"/>
      <c r="V1030" s="3" t="n">
        <v>8.74</v>
      </c>
      <c r="W1030" s="3" t="s">
        <v>5997</v>
      </c>
    </row>
    <row r="1031" customFormat="false" ht="15" hidden="false" customHeight="true" outlineLevel="0" collapsed="false">
      <c r="A1031" s="3" t="s">
        <v>7135</v>
      </c>
      <c r="B1031" s="3" t="s">
        <v>67</v>
      </c>
      <c r="C1031" s="3" t="s">
        <v>7136</v>
      </c>
      <c r="D1031" s="3" t="s">
        <v>61</v>
      </c>
      <c r="E1031" s="3" t="s">
        <v>33</v>
      </c>
      <c r="F1031" s="3" t="s">
        <v>62</v>
      </c>
      <c r="G1031" s="3" t="s">
        <v>49</v>
      </c>
      <c r="H1031" s="3" t="s">
        <v>64</v>
      </c>
      <c r="I1031" s="3" t="s">
        <v>108</v>
      </c>
      <c r="J1031" s="3" t="s">
        <v>5989</v>
      </c>
      <c r="K1031" s="3" t="n">
        <v>4533476.04</v>
      </c>
      <c r="L1031" s="3" t="n">
        <v>0.1118</v>
      </c>
      <c r="M1031" s="3" t="n">
        <v>4026633.42</v>
      </c>
      <c r="N1031" s="3" t="n">
        <v>1585067.73</v>
      </c>
      <c r="O1031" s="3" t="n">
        <v>0.3936</v>
      </c>
      <c r="P1031" s="3" t="n">
        <v>0.286</v>
      </c>
      <c r="Q1031" s="3" t="n">
        <v>1151617.16</v>
      </c>
      <c r="R1031" s="3" t="n">
        <v>153</v>
      </c>
      <c r="S1031" s="3" t="n">
        <v>7.5</v>
      </c>
      <c r="T1031" s="3" t="n">
        <v>7.5</v>
      </c>
      <c r="U1031" s="3"/>
      <c r="V1031" s="3" t="n">
        <v>6.87</v>
      </c>
      <c r="W1031" s="3" t="s">
        <v>5997</v>
      </c>
    </row>
    <row r="1032" customFormat="false" ht="15" hidden="false" customHeight="true" outlineLevel="0" collapsed="false">
      <c r="A1032" s="3" t="s">
        <v>7137</v>
      </c>
      <c r="B1032" s="3" t="s">
        <v>5148</v>
      </c>
      <c r="C1032" s="3" t="s">
        <v>406</v>
      </c>
      <c r="D1032" s="3" t="s">
        <v>103</v>
      </c>
      <c r="E1032" s="3" t="s">
        <v>24</v>
      </c>
      <c r="F1032" s="3" t="s">
        <v>62</v>
      </c>
      <c r="G1032" s="3" t="s">
        <v>26</v>
      </c>
      <c r="H1032" s="3" t="s">
        <v>27</v>
      </c>
      <c r="I1032" s="3" t="s">
        <v>50</v>
      </c>
      <c r="J1032" s="3" t="s">
        <v>6009</v>
      </c>
      <c r="K1032" s="3" t="n">
        <v>4558438.61</v>
      </c>
      <c r="L1032" s="3" t="n">
        <v>0.057</v>
      </c>
      <c r="M1032" s="3" t="n">
        <v>4298607.61</v>
      </c>
      <c r="N1032" s="3" t="n">
        <v>1845232.47</v>
      </c>
      <c r="O1032" s="3" t="n">
        <v>0.4293</v>
      </c>
      <c r="P1032" s="3" t="n">
        <v>0.017</v>
      </c>
      <c r="Q1032" s="3" t="n">
        <v>73076.33</v>
      </c>
      <c r="R1032" s="3" t="n">
        <v>128</v>
      </c>
      <c r="S1032" s="3" t="n">
        <v>1.8</v>
      </c>
      <c r="T1032" s="3" t="n">
        <v>8.5</v>
      </c>
      <c r="U1032" s="3" t="s">
        <v>6025</v>
      </c>
      <c r="V1032" s="3" t="n">
        <v>6.02</v>
      </c>
      <c r="W1032" s="3" t="s">
        <v>5990</v>
      </c>
    </row>
    <row r="1033" customFormat="false" ht="15" hidden="false" customHeight="true" outlineLevel="0" collapsed="false">
      <c r="A1033" s="3" t="s">
        <v>7138</v>
      </c>
      <c r="B1033" s="3" t="s">
        <v>991</v>
      </c>
      <c r="C1033" s="3" t="s">
        <v>1590</v>
      </c>
      <c r="D1033" s="3" t="s">
        <v>75</v>
      </c>
      <c r="E1033" s="3" t="s">
        <v>39</v>
      </c>
      <c r="F1033" s="3" t="s">
        <v>25</v>
      </c>
      <c r="G1033" s="3" t="s">
        <v>55</v>
      </c>
      <c r="H1033" s="3" t="s">
        <v>56</v>
      </c>
      <c r="I1033" s="3" t="s">
        <v>121</v>
      </c>
      <c r="J1033" s="3" t="s">
        <v>5992</v>
      </c>
      <c r="K1033" s="3" t="n">
        <v>433724.19</v>
      </c>
      <c r="L1033" s="3" t="n">
        <v>0.2126</v>
      </c>
      <c r="M1033" s="3" t="n">
        <v>341514.43</v>
      </c>
      <c r="N1033" s="3" t="n">
        <v>144103.7</v>
      </c>
      <c r="O1033" s="3" t="n">
        <v>0.422</v>
      </c>
      <c r="P1033" s="3" t="n">
        <v>0.666</v>
      </c>
      <c r="Q1033" s="3" t="n">
        <v>227448.61</v>
      </c>
      <c r="R1033" s="3" t="n">
        <v>154</v>
      </c>
      <c r="S1033" s="3" t="n">
        <v>9.3</v>
      </c>
      <c r="T1033" s="3" t="n">
        <v>4.6</v>
      </c>
      <c r="U1033" s="3"/>
      <c r="V1033" s="3" t="n">
        <v>7.15</v>
      </c>
      <c r="W1033" s="3" t="s">
        <v>5997</v>
      </c>
    </row>
    <row r="1034" customFormat="false" ht="15" hidden="false" customHeight="true" outlineLevel="0" collapsed="false">
      <c r="A1034" s="3" t="s">
        <v>7139</v>
      </c>
      <c r="B1034" s="3" t="s">
        <v>392</v>
      </c>
      <c r="C1034" s="3" t="s">
        <v>7140</v>
      </c>
      <c r="D1034" s="3" t="s">
        <v>47</v>
      </c>
      <c r="E1034" s="3" t="s">
        <v>48</v>
      </c>
      <c r="F1034" s="3" t="s">
        <v>25</v>
      </c>
      <c r="G1034" s="3" t="s">
        <v>104</v>
      </c>
      <c r="H1034" s="3" t="s">
        <v>64</v>
      </c>
      <c r="I1034" s="3" t="s">
        <v>90</v>
      </c>
      <c r="J1034" s="3" t="s">
        <v>5989</v>
      </c>
      <c r="K1034" s="3" t="n">
        <v>2185157.79</v>
      </c>
      <c r="L1034" s="3" t="n">
        <v>0.2106</v>
      </c>
      <c r="M1034" s="3" t="n">
        <v>1724963.56</v>
      </c>
      <c r="N1034" s="3" t="n">
        <v>605856.47</v>
      </c>
      <c r="O1034" s="3" t="n">
        <v>0.3512</v>
      </c>
      <c r="P1034" s="3" t="n">
        <v>0.264</v>
      </c>
      <c r="Q1034" s="3" t="n">
        <v>455390.38</v>
      </c>
      <c r="R1034" s="3" t="n">
        <v>177</v>
      </c>
      <c r="S1034" s="3" t="n">
        <v>8.9</v>
      </c>
      <c r="T1034" s="3" t="n">
        <v>2.3</v>
      </c>
      <c r="U1034" s="3"/>
      <c r="V1034" s="3" t="n">
        <v>6.86</v>
      </c>
      <c r="W1034" s="3" t="s">
        <v>5997</v>
      </c>
    </row>
    <row r="1035" customFormat="false" ht="15" hidden="false" customHeight="true" outlineLevel="0" collapsed="false">
      <c r="A1035" s="3" t="s">
        <v>7141</v>
      </c>
      <c r="B1035" s="3" t="s">
        <v>661</v>
      </c>
      <c r="C1035" s="3" t="s">
        <v>281</v>
      </c>
      <c r="D1035" s="3" t="s">
        <v>97</v>
      </c>
      <c r="E1035" s="3" t="s">
        <v>48</v>
      </c>
      <c r="F1035" s="3" t="s">
        <v>40</v>
      </c>
      <c r="G1035" s="3" t="s">
        <v>41</v>
      </c>
      <c r="H1035" s="3" t="s">
        <v>64</v>
      </c>
      <c r="I1035" s="3" t="s">
        <v>108</v>
      </c>
      <c r="J1035" s="3" t="s">
        <v>6009</v>
      </c>
      <c r="K1035" s="3" t="n">
        <v>1298393.14</v>
      </c>
      <c r="L1035" s="3" t="n">
        <v>0.264</v>
      </c>
      <c r="M1035" s="3" t="n">
        <v>955617.35</v>
      </c>
      <c r="N1035" s="3" t="n">
        <v>420480.89</v>
      </c>
      <c r="O1035" s="3" t="n">
        <v>0.44</v>
      </c>
      <c r="P1035" s="3" t="n">
        <v>0</v>
      </c>
      <c r="Q1035" s="3" t="n">
        <v>0</v>
      </c>
      <c r="R1035" s="3" t="n">
        <v>68</v>
      </c>
      <c r="S1035" s="3" t="n">
        <v>7.7</v>
      </c>
      <c r="T1035" s="3" t="n">
        <v>2.4</v>
      </c>
      <c r="U1035" s="3" t="s">
        <v>6010</v>
      </c>
      <c r="V1035" s="3" t="n">
        <v>6.79</v>
      </c>
      <c r="W1035" s="3" t="s">
        <v>5997</v>
      </c>
    </row>
    <row r="1036" customFormat="false" ht="15" hidden="false" customHeight="true" outlineLevel="0" collapsed="false">
      <c r="A1036" s="3" t="s">
        <v>7142</v>
      </c>
      <c r="B1036" s="3" t="s">
        <v>415</v>
      </c>
      <c r="C1036" s="3" t="s">
        <v>1582</v>
      </c>
      <c r="D1036" s="3" t="s">
        <v>61</v>
      </c>
      <c r="E1036" s="3" t="s">
        <v>33</v>
      </c>
      <c r="F1036" s="3" t="s">
        <v>62</v>
      </c>
      <c r="G1036" s="3" t="s">
        <v>41</v>
      </c>
      <c r="H1036" s="3" t="s">
        <v>42</v>
      </c>
      <c r="I1036" s="3" t="s">
        <v>134</v>
      </c>
      <c r="J1036" s="3" t="s">
        <v>6009</v>
      </c>
      <c r="K1036" s="3" t="n">
        <v>3900382.27</v>
      </c>
      <c r="L1036" s="3" t="n">
        <v>0.2853</v>
      </c>
      <c r="M1036" s="3" t="n">
        <v>2787603.21</v>
      </c>
      <c r="N1036" s="3" t="n">
        <v>1036152.62</v>
      </c>
      <c r="O1036" s="3" t="n">
        <v>0.3717</v>
      </c>
      <c r="P1036" s="3" t="n">
        <v>0.011</v>
      </c>
      <c r="Q1036" s="3" t="n">
        <v>30663.64</v>
      </c>
      <c r="R1036" s="3" t="n">
        <v>102</v>
      </c>
      <c r="S1036" s="3" t="n">
        <v>3.5</v>
      </c>
      <c r="T1036" s="3" t="n">
        <v>5.2</v>
      </c>
      <c r="U1036" s="3"/>
      <c r="V1036" s="3" t="n">
        <v>4.62</v>
      </c>
      <c r="W1036" s="3" t="s">
        <v>6000</v>
      </c>
    </row>
    <row r="1037" customFormat="false" ht="15" hidden="false" customHeight="true" outlineLevel="0" collapsed="false">
      <c r="A1037" s="3" t="s">
        <v>7143</v>
      </c>
      <c r="B1037" s="3" t="s">
        <v>2865</v>
      </c>
      <c r="C1037" s="3" t="s">
        <v>420</v>
      </c>
      <c r="D1037" s="3" t="s">
        <v>61</v>
      </c>
      <c r="E1037" s="3" t="s">
        <v>33</v>
      </c>
      <c r="F1037" s="3" t="s">
        <v>62</v>
      </c>
      <c r="G1037" s="3" t="s">
        <v>76</v>
      </c>
      <c r="H1037" s="3" t="s">
        <v>77</v>
      </c>
      <c r="I1037" s="3" t="s">
        <v>78</v>
      </c>
      <c r="J1037" s="3" t="s">
        <v>5989</v>
      </c>
      <c r="K1037" s="3" t="n">
        <v>1380822.17</v>
      </c>
      <c r="L1037" s="3" t="n">
        <v>0.0509</v>
      </c>
      <c r="M1037" s="3" t="n">
        <v>1310538.32</v>
      </c>
      <c r="N1037" s="3" t="n">
        <v>508949.58</v>
      </c>
      <c r="O1037" s="3" t="n">
        <v>0.3884</v>
      </c>
      <c r="P1037" s="3" t="n">
        <v>0.239</v>
      </c>
      <c r="Q1037" s="3" t="n">
        <v>313218.66</v>
      </c>
      <c r="R1037" s="3" t="n">
        <v>22</v>
      </c>
      <c r="S1037" s="3" t="n">
        <v>3.9</v>
      </c>
      <c r="T1037" s="3" t="n">
        <v>7.8</v>
      </c>
      <c r="U1037" s="3"/>
      <c r="V1037" s="3" t="n">
        <v>6.39</v>
      </c>
      <c r="W1037" s="3" t="s">
        <v>5990</v>
      </c>
    </row>
    <row r="1038" customFormat="false" ht="15" hidden="false" customHeight="true" outlineLevel="0" collapsed="false">
      <c r="A1038" s="3" t="s">
        <v>7144</v>
      </c>
      <c r="B1038" s="3" t="s">
        <v>1193</v>
      </c>
      <c r="C1038" s="3" t="s">
        <v>809</v>
      </c>
      <c r="D1038" s="3" t="s">
        <v>69</v>
      </c>
      <c r="E1038" s="3" t="s">
        <v>39</v>
      </c>
      <c r="F1038" s="3" t="s">
        <v>70</v>
      </c>
      <c r="G1038" s="3" t="s">
        <v>71</v>
      </c>
      <c r="H1038" s="3" t="s">
        <v>64</v>
      </c>
      <c r="I1038" s="3" t="s">
        <v>108</v>
      </c>
      <c r="J1038" s="3" t="s">
        <v>5989</v>
      </c>
      <c r="K1038" s="3" t="n">
        <v>1529585.87</v>
      </c>
      <c r="L1038" s="3" t="n">
        <v>0.1172</v>
      </c>
      <c r="M1038" s="3" t="n">
        <v>1350318.41</v>
      </c>
      <c r="N1038" s="3" t="n">
        <v>502965.55</v>
      </c>
      <c r="O1038" s="3" t="n">
        <v>0.3725</v>
      </c>
      <c r="P1038" s="3" t="n">
        <v>0.273</v>
      </c>
      <c r="Q1038" s="3" t="n">
        <v>368636.93</v>
      </c>
      <c r="R1038" s="3" t="n">
        <v>85</v>
      </c>
      <c r="S1038" s="3" t="n">
        <v>2.1</v>
      </c>
      <c r="T1038" s="3" t="n">
        <v>9.6</v>
      </c>
      <c r="U1038" s="3"/>
      <c r="V1038" s="3" t="n">
        <v>5.02</v>
      </c>
      <c r="W1038" s="3" t="s">
        <v>5990</v>
      </c>
    </row>
    <row r="1039" customFormat="false" ht="15" hidden="false" customHeight="true" outlineLevel="0" collapsed="false">
      <c r="A1039" s="3" t="s">
        <v>7145</v>
      </c>
      <c r="B1039" s="3" t="s">
        <v>368</v>
      </c>
      <c r="C1039" s="3" t="s">
        <v>45</v>
      </c>
      <c r="D1039" s="3" t="s">
        <v>103</v>
      </c>
      <c r="E1039" s="3" t="s">
        <v>24</v>
      </c>
      <c r="F1039" s="3" t="s">
        <v>62</v>
      </c>
      <c r="G1039" s="3" t="s">
        <v>100</v>
      </c>
      <c r="H1039" s="3" t="s">
        <v>42</v>
      </c>
      <c r="I1039" s="3" t="s">
        <v>43</v>
      </c>
      <c r="J1039" s="3" t="s">
        <v>5996</v>
      </c>
      <c r="K1039" s="3" t="n">
        <v>3038184.08</v>
      </c>
      <c r="L1039" s="3" t="n">
        <v>0.1707</v>
      </c>
      <c r="M1039" s="3" t="n">
        <v>2519566.06</v>
      </c>
      <c r="N1039" s="3" t="n">
        <v>744737.44</v>
      </c>
      <c r="O1039" s="3" t="n">
        <v>0.2956</v>
      </c>
      <c r="P1039" s="3" t="n">
        <v>0.964</v>
      </c>
      <c r="Q1039" s="3" t="n">
        <v>2428861.68</v>
      </c>
      <c r="R1039" s="3" t="n">
        <v>140</v>
      </c>
      <c r="S1039" s="3" t="n">
        <v>5.9</v>
      </c>
      <c r="T1039" s="3" t="n">
        <v>2.1</v>
      </c>
      <c r="U1039" s="3"/>
      <c r="V1039" s="3" t="n">
        <v>6.04</v>
      </c>
      <c r="W1039" s="3" t="s">
        <v>5990</v>
      </c>
    </row>
    <row r="1040" customFormat="false" ht="15" hidden="false" customHeight="true" outlineLevel="0" collapsed="false">
      <c r="A1040" s="3" t="s">
        <v>7146</v>
      </c>
      <c r="B1040" s="3" t="s">
        <v>3538</v>
      </c>
      <c r="C1040" s="3" t="s">
        <v>602</v>
      </c>
      <c r="D1040" s="3" t="s">
        <v>103</v>
      </c>
      <c r="E1040" s="3" t="s">
        <v>24</v>
      </c>
      <c r="F1040" s="3" t="s">
        <v>62</v>
      </c>
      <c r="G1040" s="3" t="s">
        <v>63</v>
      </c>
      <c r="H1040" s="3" t="s">
        <v>77</v>
      </c>
      <c r="I1040" s="3" t="s">
        <v>131</v>
      </c>
      <c r="J1040" s="3" t="s">
        <v>5999</v>
      </c>
      <c r="K1040" s="3" t="n">
        <v>1764071.13</v>
      </c>
      <c r="L1040" s="3" t="n">
        <v>0.2283</v>
      </c>
      <c r="M1040" s="3" t="n">
        <v>1361333.69</v>
      </c>
      <c r="N1040" s="3" t="n">
        <v>625252.03</v>
      </c>
      <c r="O1040" s="3" t="n">
        <v>0.4593</v>
      </c>
      <c r="P1040" s="3" t="n">
        <v>0.419</v>
      </c>
      <c r="Q1040" s="3" t="n">
        <v>570398.82</v>
      </c>
      <c r="R1040" s="3" t="n">
        <v>58</v>
      </c>
      <c r="S1040" s="3" t="n">
        <v>3.7</v>
      </c>
      <c r="T1040" s="3" t="n">
        <v>6.9</v>
      </c>
      <c r="U1040" s="3"/>
      <c r="V1040" s="3" t="n">
        <v>5.49</v>
      </c>
      <c r="W1040" s="3" t="s">
        <v>5990</v>
      </c>
    </row>
    <row r="1041" customFormat="false" ht="15" hidden="false" customHeight="true" outlineLevel="0" collapsed="false">
      <c r="A1041" s="3" t="s">
        <v>7147</v>
      </c>
      <c r="B1041" s="3" t="s">
        <v>591</v>
      </c>
      <c r="C1041" s="3" t="s">
        <v>3203</v>
      </c>
      <c r="D1041" s="3" t="s">
        <v>83</v>
      </c>
      <c r="E1041" s="3" t="s">
        <v>48</v>
      </c>
      <c r="F1041" s="3" t="s">
        <v>62</v>
      </c>
      <c r="G1041" s="3" t="s">
        <v>76</v>
      </c>
      <c r="H1041" s="3" t="s">
        <v>77</v>
      </c>
      <c r="I1041" s="3" t="s">
        <v>131</v>
      </c>
      <c r="J1041" s="3" t="s">
        <v>5992</v>
      </c>
      <c r="K1041" s="3" t="n">
        <v>1462030.16</v>
      </c>
      <c r="L1041" s="3" t="n">
        <v>0.2815</v>
      </c>
      <c r="M1041" s="3" t="n">
        <v>1050468.67</v>
      </c>
      <c r="N1041" s="3" t="n">
        <v>469556.42</v>
      </c>
      <c r="O1041" s="3" t="n">
        <v>0.447</v>
      </c>
      <c r="P1041" s="3" t="n">
        <v>0.708</v>
      </c>
      <c r="Q1041" s="3" t="n">
        <v>743731.82</v>
      </c>
      <c r="R1041" s="3" t="n">
        <v>78</v>
      </c>
      <c r="S1041" s="3" t="n">
        <v>2.2</v>
      </c>
      <c r="T1041" s="3" t="n">
        <v>2.1</v>
      </c>
      <c r="U1041" s="3"/>
      <c r="V1041" s="3" t="n">
        <v>5.35</v>
      </c>
      <c r="W1041" s="3" t="s">
        <v>5990</v>
      </c>
    </row>
    <row r="1042" customFormat="false" ht="15" hidden="false" customHeight="true" outlineLevel="0" collapsed="false">
      <c r="A1042" s="3" t="s">
        <v>7148</v>
      </c>
      <c r="B1042" s="3" t="s">
        <v>2889</v>
      </c>
      <c r="C1042" s="3" t="s">
        <v>585</v>
      </c>
      <c r="D1042" s="3" t="s">
        <v>75</v>
      </c>
      <c r="E1042" s="3" t="s">
        <v>39</v>
      </c>
      <c r="F1042" s="3" t="s">
        <v>25</v>
      </c>
      <c r="G1042" s="3" t="s">
        <v>71</v>
      </c>
      <c r="H1042" s="3" t="s">
        <v>56</v>
      </c>
      <c r="I1042" s="3" t="s">
        <v>121</v>
      </c>
      <c r="J1042" s="3" t="s">
        <v>5989</v>
      </c>
      <c r="K1042" s="3" t="n">
        <v>1647472.36</v>
      </c>
      <c r="L1042" s="3" t="n">
        <v>0.1562</v>
      </c>
      <c r="M1042" s="3" t="n">
        <v>1390137.18</v>
      </c>
      <c r="N1042" s="3" t="n">
        <v>630146.63</v>
      </c>
      <c r="O1042" s="3" t="n">
        <v>0.4533</v>
      </c>
      <c r="P1042" s="3" t="n">
        <v>0.286</v>
      </c>
      <c r="Q1042" s="3" t="n">
        <v>397579.23</v>
      </c>
      <c r="R1042" s="3" t="n">
        <v>157</v>
      </c>
      <c r="S1042" s="3" t="n">
        <v>5.6</v>
      </c>
      <c r="T1042" s="3" t="n">
        <v>1.2</v>
      </c>
      <c r="U1042" s="3"/>
      <c r="V1042" s="3" t="n">
        <v>7.42</v>
      </c>
      <c r="W1042" s="3" t="s">
        <v>5997</v>
      </c>
    </row>
    <row r="1043" customFormat="false" ht="15" hidden="false" customHeight="true" outlineLevel="0" collapsed="false">
      <c r="A1043" s="3" t="s">
        <v>7149</v>
      </c>
      <c r="B1043" s="3" t="s">
        <v>556</v>
      </c>
      <c r="C1043" s="3" t="s">
        <v>1193</v>
      </c>
      <c r="D1043" s="3" t="s">
        <v>83</v>
      </c>
      <c r="E1043" s="3" t="s">
        <v>48</v>
      </c>
      <c r="F1043" s="3" t="s">
        <v>62</v>
      </c>
      <c r="G1043" s="3" t="s">
        <v>55</v>
      </c>
      <c r="H1043" s="3" t="s">
        <v>56</v>
      </c>
      <c r="I1043" s="3" t="s">
        <v>188</v>
      </c>
      <c r="J1043" s="3" t="s">
        <v>5992</v>
      </c>
      <c r="K1043" s="3" t="n">
        <v>4493268.5</v>
      </c>
      <c r="L1043" s="3" t="n">
        <v>0.0928</v>
      </c>
      <c r="M1043" s="3" t="n">
        <v>4076293.18</v>
      </c>
      <c r="N1043" s="3" t="n">
        <v>1927265.58</v>
      </c>
      <c r="O1043" s="3" t="n">
        <v>0.4728</v>
      </c>
      <c r="P1043" s="3" t="n">
        <v>0.668</v>
      </c>
      <c r="Q1043" s="3" t="n">
        <v>2722963.84</v>
      </c>
      <c r="R1043" s="3" t="n">
        <v>105</v>
      </c>
      <c r="S1043" s="3" t="n">
        <v>2</v>
      </c>
      <c r="T1043" s="3" t="n">
        <v>6.8</v>
      </c>
      <c r="U1043" s="3"/>
      <c r="V1043" s="3" t="n">
        <v>6.21</v>
      </c>
      <c r="W1043" s="3" t="s">
        <v>5990</v>
      </c>
    </row>
    <row r="1044" customFormat="false" ht="15" hidden="false" customHeight="true" outlineLevel="0" collapsed="false">
      <c r="A1044" s="3" t="s">
        <v>7150</v>
      </c>
      <c r="B1044" s="3" t="s">
        <v>1262</v>
      </c>
      <c r="C1044" s="3" t="s">
        <v>2670</v>
      </c>
      <c r="D1044" s="3" t="s">
        <v>38</v>
      </c>
      <c r="E1044" s="3" t="s">
        <v>39</v>
      </c>
      <c r="F1044" s="3" t="s">
        <v>40</v>
      </c>
      <c r="G1044" s="3" t="s">
        <v>34</v>
      </c>
      <c r="H1044" s="3" t="s">
        <v>42</v>
      </c>
      <c r="I1044" s="3" t="s">
        <v>43</v>
      </c>
      <c r="J1044" s="3" t="s">
        <v>5992</v>
      </c>
      <c r="K1044" s="3" t="n">
        <v>3409743.81</v>
      </c>
      <c r="L1044" s="3" t="n">
        <v>0.1728</v>
      </c>
      <c r="M1044" s="3" t="n">
        <v>2820540.08</v>
      </c>
      <c r="N1044" s="3" t="n">
        <v>1307602.55</v>
      </c>
      <c r="O1044" s="3" t="n">
        <v>0.4636</v>
      </c>
      <c r="P1044" s="3" t="n">
        <v>0.699</v>
      </c>
      <c r="Q1044" s="3" t="n">
        <v>1971557.52</v>
      </c>
      <c r="R1044" s="3" t="n">
        <v>54</v>
      </c>
      <c r="S1044" s="3" t="n">
        <v>8</v>
      </c>
      <c r="T1044" s="3" t="n">
        <v>2.2</v>
      </c>
      <c r="U1044" s="3"/>
      <c r="V1044" s="3" t="n">
        <v>7.72</v>
      </c>
      <c r="W1044" s="3" t="s">
        <v>5997</v>
      </c>
    </row>
    <row r="1045" customFormat="false" ht="15" hidden="false" customHeight="true" outlineLevel="0" collapsed="false">
      <c r="A1045" s="3" t="s">
        <v>7151</v>
      </c>
      <c r="B1045" s="3" t="s">
        <v>2808</v>
      </c>
      <c r="C1045" s="3" t="s">
        <v>5083</v>
      </c>
      <c r="D1045" s="3" t="s">
        <v>38</v>
      </c>
      <c r="E1045" s="3" t="s">
        <v>39</v>
      </c>
      <c r="F1045" s="3" t="s">
        <v>40</v>
      </c>
      <c r="G1045" s="3" t="s">
        <v>49</v>
      </c>
      <c r="H1045" s="3" t="s">
        <v>27</v>
      </c>
      <c r="I1045" s="3" t="s">
        <v>117</v>
      </c>
      <c r="J1045" s="3" t="s">
        <v>6003</v>
      </c>
      <c r="K1045" s="3" t="n">
        <v>126522.12</v>
      </c>
      <c r="L1045" s="3" t="n">
        <v>0.2181</v>
      </c>
      <c r="M1045" s="3" t="n">
        <v>98927.65</v>
      </c>
      <c r="N1045" s="3" t="n">
        <v>44164.77</v>
      </c>
      <c r="O1045" s="3" t="n">
        <v>0.4464</v>
      </c>
      <c r="P1045" s="3" t="n">
        <v>0.106</v>
      </c>
      <c r="Q1045" s="3" t="n">
        <v>10486.33</v>
      </c>
      <c r="R1045" s="3" t="n">
        <v>167</v>
      </c>
      <c r="S1045" s="3" t="n">
        <v>8.2</v>
      </c>
      <c r="T1045" s="3" t="n">
        <v>8.6</v>
      </c>
      <c r="U1045" s="3"/>
      <c r="V1045" s="3" t="n">
        <v>6.4</v>
      </c>
      <c r="W1045" s="3" t="s">
        <v>5990</v>
      </c>
    </row>
    <row r="1046" customFormat="false" ht="15" hidden="false" customHeight="true" outlineLevel="0" collapsed="false">
      <c r="A1046" s="3" t="s">
        <v>7152</v>
      </c>
      <c r="B1046" s="3" t="s">
        <v>3881</v>
      </c>
      <c r="C1046" s="3" t="s">
        <v>6793</v>
      </c>
      <c r="D1046" s="3" t="s">
        <v>83</v>
      </c>
      <c r="E1046" s="3" t="s">
        <v>48</v>
      </c>
      <c r="F1046" s="3" t="s">
        <v>62</v>
      </c>
      <c r="G1046" s="3" t="s">
        <v>100</v>
      </c>
      <c r="H1046" s="3" t="s">
        <v>56</v>
      </c>
      <c r="I1046" s="3" t="s">
        <v>121</v>
      </c>
      <c r="J1046" s="3" t="s">
        <v>6009</v>
      </c>
      <c r="K1046" s="3" t="n">
        <v>1275786.81</v>
      </c>
      <c r="L1046" s="3" t="n">
        <v>0.2472</v>
      </c>
      <c r="M1046" s="3" t="n">
        <v>960412.31</v>
      </c>
      <c r="N1046" s="3" t="n">
        <v>328211.06</v>
      </c>
      <c r="O1046" s="3" t="n">
        <v>0.3417</v>
      </c>
      <c r="P1046" s="3" t="n">
        <v>0.043</v>
      </c>
      <c r="Q1046" s="3" t="n">
        <v>41297.73</v>
      </c>
      <c r="R1046" s="3" t="n">
        <v>78</v>
      </c>
      <c r="S1046" s="3" t="n">
        <v>2.5</v>
      </c>
      <c r="T1046" s="3" t="n">
        <v>8.1</v>
      </c>
      <c r="U1046" s="3" t="s">
        <v>6116</v>
      </c>
      <c r="V1046" s="3" t="n">
        <v>4.02</v>
      </c>
      <c r="W1046" s="3" t="s">
        <v>6000</v>
      </c>
    </row>
    <row r="1047" customFormat="false" ht="15" hidden="false" customHeight="true" outlineLevel="0" collapsed="false">
      <c r="A1047" s="3" t="s">
        <v>7153</v>
      </c>
      <c r="B1047" s="3" t="s">
        <v>3877</v>
      </c>
      <c r="C1047" s="3" t="s">
        <v>4100</v>
      </c>
      <c r="D1047" s="3" t="s">
        <v>75</v>
      </c>
      <c r="E1047" s="3" t="s">
        <v>39</v>
      </c>
      <c r="F1047" s="3" t="s">
        <v>25</v>
      </c>
      <c r="G1047" s="3" t="s">
        <v>104</v>
      </c>
      <c r="H1047" s="3" t="s">
        <v>64</v>
      </c>
      <c r="I1047" s="3" t="s">
        <v>145</v>
      </c>
      <c r="J1047" s="3" t="s">
        <v>5992</v>
      </c>
      <c r="K1047" s="3" t="n">
        <v>4285609.18</v>
      </c>
      <c r="L1047" s="3" t="n">
        <v>0.1669</v>
      </c>
      <c r="M1047" s="3" t="n">
        <v>3570341.01</v>
      </c>
      <c r="N1047" s="3" t="n">
        <v>1255448.29</v>
      </c>
      <c r="O1047" s="3" t="n">
        <v>0.3516</v>
      </c>
      <c r="P1047" s="3" t="n">
        <v>0.698</v>
      </c>
      <c r="Q1047" s="3" t="n">
        <v>2492098.02</v>
      </c>
      <c r="R1047" s="3" t="n">
        <v>73</v>
      </c>
      <c r="S1047" s="3" t="n">
        <v>5.8</v>
      </c>
      <c r="T1047" s="3" t="n">
        <v>5.4</v>
      </c>
      <c r="U1047" s="3"/>
      <c r="V1047" s="3" t="n">
        <v>5.97</v>
      </c>
      <c r="W1047" s="3" t="s">
        <v>5990</v>
      </c>
    </row>
    <row r="1048" customFormat="false" ht="15" hidden="false" customHeight="true" outlineLevel="0" collapsed="false">
      <c r="A1048" s="3" t="s">
        <v>7154</v>
      </c>
      <c r="B1048" s="3" t="s">
        <v>2584</v>
      </c>
      <c r="C1048" s="3" t="s">
        <v>7155</v>
      </c>
      <c r="D1048" s="3" t="s">
        <v>103</v>
      </c>
      <c r="E1048" s="3" t="s">
        <v>24</v>
      </c>
      <c r="F1048" s="3" t="s">
        <v>62</v>
      </c>
      <c r="G1048" s="3" t="s">
        <v>100</v>
      </c>
      <c r="H1048" s="3" t="s">
        <v>27</v>
      </c>
      <c r="I1048" s="3" t="s">
        <v>173</v>
      </c>
      <c r="J1048" s="3" t="s">
        <v>5999</v>
      </c>
      <c r="K1048" s="3" t="n">
        <v>1503747.02</v>
      </c>
      <c r="L1048" s="3" t="n">
        <v>0.0534</v>
      </c>
      <c r="M1048" s="3" t="n">
        <v>1423446.93</v>
      </c>
      <c r="N1048" s="3" t="n">
        <v>538036.39</v>
      </c>
      <c r="O1048" s="3" t="n">
        <v>0.378</v>
      </c>
      <c r="P1048" s="3" t="n">
        <v>0.437</v>
      </c>
      <c r="Q1048" s="3" t="n">
        <v>622046.31</v>
      </c>
      <c r="R1048" s="3" t="n">
        <v>163</v>
      </c>
      <c r="S1048" s="3" t="n">
        <v>6.2</v>
      </c>
      <c r="T1048" s="3" t="n">
        <v>9.6</v>
      </c>
      <c r="U1048" s="3"/>
      <c r="V1048" s="3" t="n">
        <v>6.6</v>
      </c>
      <c r="W1048" s="3" t="s">
        <v>5997</v>
      </c>
    </row>
    <row r="1049" customFormat="false" ht="15" hidden="false" customHeight="true" outlineLevel="0" collapsed="false">
      <c r="A1049" s="3" t="s">
        <v>7156</v>
      </c>
      <c r="B1049" s="3" t="s">
        <v>1992</v>
      </c>
      <c r="C1049" s="3" t="s">
        <v>3187</v>
      </c>
      <c r="D1049" s="3" t="s">
        <v>32</v>
      </c>
      <c r="E1049" s="3" t="s">
        <v>33</v>
      </c>
      <c r="F1049" s="3" t="s">
        <v>25</v>
      </c>
      <c r="G1049" s="3" t="s">
        <v>116</v>
      </c>
      <c r="H1049" s="3" t="s">
        <v>56</v>
      </c>
      <c r="I1049" s="3" t="s">
        <v>57</v>
      </c>
      <c r="J1049" s="3" t="s">
        <v>6009</v>
      </c>
      <c r="K1049" s="3" t="n">
        <v>467103.52</v>
      </c>
      <c r="L1049" s="3" t="n">
        <v>0.0967</v>
      </c>
      <c r="M1049" s="3" t="n">
        <v>421934.61</v>
      </c>
      <c r="N1049" s="3" t="n">
        <v>148004.82</v>
      </c>
      <c r="O1049" s="3" t="n">
        <v>0.3508</v>
      </c>
      <c r="P1049" s="3" t="n">
        <v>0.042</v>
      </c>
      <c r="Q1049" s="3" t="n">
        <v>17721.25</v>
      </c>
      <c r="R1049" s="3" t="n">
        <v>120</v>
      </c>
      <c r="S1049" s="3" t="n">
        <v>9.7</v>
      </c>
      <c r="T1049" s="3" t="n">
        <v>1.2</v>
      </c>
      <c r="U1049" s="3" t="s">
        <v>6025</v>
      </c>
      <c r="V1049" s="3" t="n">
        <v>8.17</v>
      </c>
      <c r="W1049" s="3" t="s">
        <v>5997</v>
      </c>
    </row>
    <row r="1050" customFormat="false" ht="15" hidden="false" customHeight="true" outlineLevel="0" collapsed="false">
      <c r="A1050" s="3" t="s">
        <v>7157</v>
      </c>
      <c r="B1050" s="3" t="s">
        <v>3669</v>
      </c>
      <c r="C1050" s="3" t="s">
        <v>30</v>
      </c>
      <c r="D1050" s="3" t="s">
        <v>38</v>
      </c>
      <c r="E1050" s="3" t="s">
        <v>39</v>
      </c>
      <c r="F1050" s="3" t="s">
        <v>40</v>
      </c>
      <c r="G1050" s="3" t="s">
        <v>84</v>
      </c>
      <c r="H1050" s="3" t="s">
        <v>56</v>
      </c>
      <c r="I1050" s="3" t="s">
        <v>121</v>
      </c>
      <c r="J1050" s="3" t="s">
        <v>6009</v>
      </c>
      <c r="K1050" s="3" t="n">
        <v>1484284.7</v>
      </c>
      <c r="L1050" s="3" t="n">
        <v>0.1202</v>
      </c>
      <c r="M1050" s="3" t="n">
        <v>1305873.68</v>
      </c>
      <c r="N1050" s="3" t="n">
        <v>598196.69</v>
      </c>
      <c r="O1050" s="3" t="n">
        <v>0.4581</v>
      </c>
      <c r="P1050" s="3" t="n">
        <v>0</v>
      </c>
      <c r="Q1050" s="3" t="n">
        <v>0</v>
      </c>
      <c r="R1050" s="3" t="n">
        <v>42</v>
      </c>
      <c r="S1050" s="3" t="n">
        <v>6.2</v>
      </c>
      <c r="T1050" s="3" t="n">
        <v>1.6</v>
      </c>
      <c r="U1050" s="3" t="s">
        <v>6020</v>
      </c>
      <c r="V1050" s="3" t="n">
        <v>7.81</v>
      </c>
      <c r="W1050" s="3" t="s">
        <v>5997</v>
      </c>
    </row>
    <row r="1051" customFormat="false" ht="15" hidden="false" customHeight="true" outlineLevel="0" collapsed="false">
      <c r="A1051" s="3" t="s">
        <v>7158</v>
      </c>
      <c r="B1051" s="3" t="s">
        <v>2102</v>
      </c>
      <c r="C1051" s="3" t="s">
        <v>452</v>
      </c>
      <c r="D1051" s="3" t="s">
        <v>54</v>
      </c>
      <c r="E1051" s="3" t="s">
        <v>24</v>
      </c>
      <c r="F1051" s="3" t="s">
        <v>40</v>
      </c>
      <c r="G1051" s="3" t="s">
        <v>84</v>
      </c>
      <c r="H1051" s="3" t="s">
        <v>56</v>
      </c>
      <c r="I1051" s="3" t="s">
        <v>121</v>
      </c>
      <c r="J1051" s="3" t="s">
        <v>5989</v>
      </c>
      <c r="K1051" s="3" t="n">
        <v>672867.98</v>
      </c>
      <c r="L1051" s="3" t="n">
        <v>0.136</v>
      </c>
      <c r="M1051" s="3" t="n">
        <v>581357.93</v>
      </c>
      <c r="N1051" s="3" t="n">
        <v>200782.63</v>
      </c>
      <c r="O1051" s="3" t="n">
        <v>0.3454</v>
      </c>
      <c r="P1051" s="3" t="n">
        <v>0.275</v>
      </c>
      <c r="Q1051" s="3" t="n">
        <v>159873.43</v>
      </c>
      <c r="R1051" s="3" t="n">
        <v>19</v>
      </c>
      <c r="S1051" s="3" t="n">
        <v>2.3</v>
      </c>
      <c r="T1051" s="3" t="n">
        <v>6.4</v>
      </c>
      <c r="U1051" s="3"/>
      <c r="V1051" s="3" t="n">
        <v>5.19</v>
      </c>
      <c r="W1051" s="3" t="s">
        <v>5990</v>
      </c>
    </row>
    <row r="1052" customFormat="false" ht="15" hidden="false" customHeight="true" outlineLevel="0" collapsed="false">
      <c r="A1052" s="3" t="s">
        <v>7159</v>
      </c>
      <c r="B1052" s="3" t="s">
        <v>366</v>
      </c>
      <c r="C1052" s="3" t="s">
        <v>3042</v>
      </c>
      <c r="D1052" s="3" t="s">
        <v>47</v>
      </c>
      <c r="E1052" s="3" t="s">
        <v>48</v>
      </c>
      <c r="F1052" s="3" t="s">
        <v>25</v>
      </c>
      <c r="G1052" s="3" t="s">
        <v>100</v>
      </c>
      <c r="H1052" s="3" t="s">
        <v>56</v>
      </c>
      <c r="I1052" s="3" t="s">
        <v>57</v>
      </c>
      <c r="J1052" s="3" t="s">
        <v>5996</v>
      </c>
      <c r="K1052" s="3" t="n">
        <v>1381912.46</v>
      </c>
      <c r="L1052" s="3" t="n">
        <v>0.1073</v>
      </c>
      <c r="M1052" s="3" t="n">
        <v>1233633.25</v>
      </c>
      <c r="N1052" s="3" t="n">
        <v>558759.61</v>
      </c>
      <c r="O1052" s="3" t="n">
        <v>0.4529</v>
      </c>
      <c r="P1052" s="3" t="n">
        <v>1</v>
      </c>
      <c r="Q1052" s="3" t="n">
        <v>1233633.25</v>
      </c>
      <c r="R1052" s="3" t="n">
        <v>127</v>
      </c>
      <c r="S1052" s="3" t="n">
        <v>6.9</v>
      </c>
      <c r="T1052" s="3" t="n">
        <v>6.7</v>
      </c>
      <c r="U1052" s="3"/>
      <c r="V1052" s="3" t="n">
        <v>7.32</v>
      </c>
      <c r="W1052" s="3" t="s">
        <v>5997</v>
      </c>
    </row>
    <row r="1053" customFormat="false" ht="15" hidden="false" customHeight="true" outlineLevel="0" collapsed="false">
      <c r="A1053" s="3" t="s">
        <v>7160</v>
      </c>
      <c r="B1053" s="3" t="s">
        <v>539</v>
      </c>
      <c r="C1053" s="3" t="s">
        <v>1227</v>
      </c>
      <c r="D1053" s="3" t="s">
        <v>61</v>
      </c>
      <c r="E1053" s="3" t="s">
        <v>33</v>
      </c>
      <c r="F1053" s="3" t="s">
        <v>62</v>
      </c>
      <c r="G1053" s="3" t="s">
        <v>71</v>
      </c>
      <c r="H1053" s="3" t="s">
        <v>42</v>
      </c>
      <c r="I1053" s="3" t="s">
        <v>134</v>
      </c>
      <c r="J1053" s="3" t="s">
        <v>5996</v>
      </c>
      <c r="K1053" s="3" t="n">
        <v>4056792.14</v>
      </c>
      <c r="L1053" s="3" t="n">
        <v>0.233</v>
      </c>
      <c r="M1053" s="3" t="n">
        <v>3111559.57</v>
      </c>
      <c r="N1053" s="3" t="n">
        <v>1140707.31</v>
      </c>
      <c r="O1053" s="3" t="n">
        <v>0.3666</v>
      </c>
      <c r="P1053" s="3" t="n">
        <v>1</v>
      </c>
      <c r="Q1053" s="3" t="n">
        <v>3111559.57</v>
      </c>
      <c r="R1053" s="3" t="n">
        <v>172</v>
      </c>
      <c r="S1053" s="3" t="n">
        <v>6.4</v>
      </c>
      <c r="T1053" s="3" t="n">
        <v>9.1</v>
      </c>
      <c r="U1053" s="3"/>
      <c r="V1053" s="3" t="n">
        <v>5.12</v>
      </c>
      <c r="W1053" s="3" t="s">
        <v>5990</v>
      </c>
    </row>
    <row r="1054" customFormat="false" ht="15" hidden="false" customHeight="true" outlineLevel="0" collapsed="false">
      <c r="A1054" s="3" t="s">
        <v>7161</v>
      </c>
      <c r="B1054" s="3" t="s">
        <v>3334</v>
      </c>
      <c r="C1054" s="3" t="s">
        <v>247</v>
      </c>
      <c r="D1054" s="3" t="s">
        <v>83</v>
      </c>
      <c r="E1054" s="3" t="s">
        <v>48</v>
      </c>
      <c r="F1054" s="3" t="s">
        <v>62</v>
      </c>
      <c r="G1054" s="3" t="s">
        <v>76</v>
      </c>
      <c r="H1054" s="3" t="s">
        <v>27</v>
      </c>
      <c r="I1054" s="3" t="s">
        <v>94</v>
      </c>
      <c r="J1054" s="3" t="s">
        <v>5999</v>
      </c>
      <c r="K1054" s="3" t="n">
        <v>4354214.68</v>
      </c>
      <c r="L1054" s="3" t="n">
        <v>0.1742</v>
      </c>
      <c r="M1054" s="3" t="n">
        <v>3595710.48</v>
      </c>
      <c r="N1054" s="3" t="n">
        <v>1693962.86</v>
      </c>
      <c r="O1054" s="3" t="n">
        <v>0.4711</v>
      </c>
      <c r="P1054" s="3" t="n">
        <v>0.481</v>
      </c>
      <c r="Q1054" s="3" t="n">
        <v>1729536.74</v>
      </c>
      <c r="R1054" s="3" t="n">
        <v>167</v>
      </c>
      <c r="S1054" s="3" t="n">
        <v>7.7</v>
      </c>
      <c r="T1054" s="3" t="n">
        <v>7.3</v>
      </c>
      <c r="U1054" s="3"/>
      <c r="V1054" s="3" t="n">
        <v>6.88</v>
      </c>
      <c r="W1054" s="3" t="s">
        <v>5997</v>
      </c>
    </row>
    <row r="1055" customFormat="false" ht="15" hidden="false" customHeight="true" outlineLevel="0" collapsed="false">
      <c r="A1055" s="3" t="s">
        <v>7162</v>
      </c>
      <c r="B1055" s="3" t="s">
        <v>1003</v>
      </c>
      <c r="C1055" s="3" t="s">
        <v>2535</v>
      </c>
      <c r="D1055" s="3" t="s">
        <v>32</v>
      </c>
      <c r="E1055" s="3" t="s">
        <v>33</v>
      </c>
      <c r="F1055" s="3" t="s">
        <v>25</v>
      </c>
      <c r="G1055" s="3" t="s">
        <v>34</v>
      </c>
      <c r="H1055" s="3" t="s">
        <v>64</v>
      </c>
      <c r="I1055" s="3" t="s">
        <v>145</v>
      </c>
      <c r="J1055" s="3" t="s">
        <v>5989</v>
      </c>
      <c r="K1055" s="3" t="n">
        <v>4083098.44</v>
      </c>
      <c r="L1055" s="3" t="n">
        <v>0.2757</v>
      </c>
      <c r="M1055" s="3" t="n">
        <v>2957388.2</v>
      </c>
      <c r="N1055" s="3" t="n">
        <v>1050421.88</v>
      </c>
      <c r="O1055" s="3" t="n">
        <v>0.3552</v>
      </c>
      <c r="P1055" s="3" t="n">
        <v>0.293</v>
      </c>
      <c r="Q1055" s="3" t="n">
        <v>866514.74</v>
      </c>
      <c r="R1055" s="3" t="n">
        <v>174</v>
      </c>
      <c r="S1055" s="3" t="n">
        <v>2.6</v>
      </c>
      <c r="T1055" s="3" t="n">
        <v>3.4</v>
      </c>
      <c r="U1055" s="3"/>
      <c r="V1055" s="3" t="n">
        <v>4.61</v>
      </c>
      <c r="W1055" s="3" t="s">
        <v>6000</v>
      </c>
    </row>
    <row r="1056" customFormat="false" ht="15" hidden="false" customHeight="true" outlineLevel="0" collapsed="false">
      <c r="A1056" s="3" t="s">
        <v>7163</v>
      </c>
      <c r="B1056" s="3" t="s">
        <v>2444</v>
      </c>
      <c r="C1056" s="3" t="s">
        <v>432</v>
      </c>
      <c r="D1056" s="3" t="s">
        <v>103</v>
      </c>
      <c r="E1056" s="3" t="s">
        <v>24</v>
      </c>
      <c r="F1056" s="3" t="s">
        <v>62</v>
      </c>
      <c r="G1056" s="3" t="s">
        <v>49</v>
      </c>
      <c r="H1056" s="3" t="s">
        <v>27</v>
      </c>
      <c r="I1056" s="3" t="s">
        <v>50</v>
      </c>
      <c r="J1056" s="3" t="s">
        <v>5992</v>
      </c>
      <c r="K1056" s="3" t="n">
        <v>3621952.51</v>
      </c>
      <c r="L1056" s="3" t="n">
        <v>0.1858</v>
      </c>
      <c r="M1056" s="3" t="n">
        <v>2948993.73</v>
      </c>
      <c r="N1056" s="3" t="n">
        <v>833856.29</v>
      </c>
      <c r="O1056" s="3" t="n">
        <v>0.2828</v>
      </c>
      <c r="P1056" s="3" t="n">
        <v>0.732</v>
      </c>
      <c r="Q1056" s="3" t="n">
        <v>2158663.41</v>
      </c>
      <c r="R1056" s="3" t="n">
        <v>77</v>
      </c>
      <c r="S1056" s="3" t="n">
        <v>2</v>
      </c>
      <c r="T1056" s="3" t="n">
        <v>6.9</v>
      </c>
      <c r="U1056" s="3"/>
      <c r="V1056" s="3" t="n">
        <v>4.12</v>
      </c>
      <c r="W1056" s="3" t="s">
        <v>6000</v>
      </c>
    </row>
    <row r="1057" customFormat="false" ht="15" hidden="false" customHeight="true" outlineLevel="0" collapsed="false">
      <c r="A1057" s="3" t="s">
        <v>7164</v>
      </c>
      <c r="B1057" s="3" t="s">
        <v>1106</v>
      </c>
      <c r="C1057" s="3" t="s">
        <v>2725</v>
      </c>
      <c r="D1057" s="3" t="s">
        <v>54</v>
      </c>
      <c r="E1057" s="3" t="s">
        <v>24</v>
      </c>
      <c r="F1057" s="3" t="s">
        <v>40</v>
      </c>
      <c r="G1057" s="3" t="s">
        <v>104</v>
      </c>
      <c r="H1057" s="3" t="s">
        <v>64</v>
      </c>
      <c r="I1057" s="3" t="s">
        <v>90</v>
      </c>
      <c r="J1057" s="3" t="s">
        <v>5999</v>
      </c>
      <c r="K1057" s="3" t="n">
        <v>368284.68</v>
      </c>
      <c r="L1057" s="3" t="n">
        <v>0.126</v>
      </c>
      <c r="M1057" s="3" t="n">
        <v>321880.81</v>
      </c>
      <c r="N1057" s="3" t="n">
        <v>99251.43</v>
      </c>
      <c r="O1057" s="3" t="n">
        <v>0.3083</v>
      </c>
      <c r="P1057" s="3" t="n">
        <v>0.484</v>
      </c>
      <c r="Q1057" s="3" t="n">
        <v>155790.31</v>
      </c>
      <c r="R1057" s="3" t="n">
        <v>42</v>
      </c>
      <c r="S1057" s="3" t="n">
        <v>7.3</v>
      </c>
      <c r="T1057" s="3" t="n">
        <v>7.8</v>
      </c>
      <c r="U1057" s="3"/>
      <c r="V1057" s="3" t="n">
        <v>6.02</v>
      </c>
      <c r="W1057" s="3" t="s">
        <v>5990</v>
      </c>
    </row>
    <row r="1058" customFormat="false" ht="15" hidden="false" customHeight="true" outlineLevel="0" collapsed="false">
      <c r="A1058" s="3" t="s">
        <v>7165</v>
      </c>
      <c r="B1058" s="3" t="s">
        <v>991</v>
      </c>
      <c r="C1058" s="3" t="s">
        <v>488</v>
      </c>
      <c r="D1058" s="3" t="s">
        <v>38</v>
      </c>
      <c r="E1058" s="3" t="s">
        <v>39</v>
      </c>
      <c r="F1058" s="3" t="s">
        <v>40</v>
      </c>
      <c r="G1058" s="3" t="s">
        <v>76</v>
      </c>
      <c r="H1058" s="3" t="s">
        <v>42</v>
      </c>
      <c r="I1058" s="3" t="s">
        <v>72</v>
      </c>
      <c r="J1058" s="3" t="s">
        <v>5992</v>
      </c>
      <c r="K1058" s="3" t="n">
        <v>4477573.54</v>
      </c>
      <c r="L1058" s="3" t="n">
        <v>0.206</v>
      </c>
      <c r="M1058" s="3" t="n">
        <v>3555193.39</v>
      </c>
      <c r="N1058" s="3" t="n">
        <v>1190841.97</v>
      </c>
      <c r="O1058" s="3" t="n">
        <v>0.335</v>
      </c>
      <c r="P1058" s="3" t="n">
        <v>0.717</v>
      </c>
      <c r="Q1058" s="3" t="n">
        <v>2549073.66</v>
      </c>
      <c r="R1058" s="3" t="n">
        <v>97</v>
      </c>
      <c r="S1058" s="3" t="n">
        <v>4</v>
      </c>
      <c r="T1058" s="3" t="n">
        <v>5.3</v>
      </c>
      <c r="U1058" s="3"/>
      <c r="V1058" s="3" t="n">
        <v>5.07</v>
      </c>
      <c r="W1058" s="3" t="s">
        <v>5990</v>
      </c>
    </row>
    <row r="1059" customFormat="false" ht="15" hidden="false" customHeight="true" outlineLevel="0" collapsed="false">
      <c r="A1059" s="3" t="s">
        <v>7166</v>
      </c>
      <c r="B1059" s="3" t="s">
        <v>2031</v>
      </c>
      <c r="C1059" s="3" t="s">
        <v>1069</v>
      </c>
      <c r="D1059" s="3" t="s">
        <v>69</v>
      </c>
      <c r="E1059" s="3" t="s">
        <v>39</v>
      </c>
      <c r="F1059" s="3" t="s">
        <v>70</v>
      </c>
      <c r="G1059" s="3" t="s">
        <v>63</v>
      </c>
      <c r="H1059" s="3" t="s">
        <v>77</v>
      </c>
      <c r="I1059" s="3" t="s">
        <v>85</v>
      </c>
      <c r="J1059" s="3" t="s">
        <v>5999</v>
      </c>
      <c r="K1059" s="3" t="n">
        <v>2766149</v>
      </c>
      <c r="L1059" s="3" t="n">
        <v>0.1196</v>
      </c>
      <c r="M1059" s="3" t="n">
        <v>2435317.58</v>
      </c>
      <c r="N1059" s="3" t="n">
        <v>1125997.01</v>
      </c>
      <c r="O1059" s="3" t="n">
        <v>0.4624</v>
      </c>
      <c r="P1059" s="3" t="n">
        <v>0.402</v>
      </c>
      <c r="Q1059" s="3" t="n">
        <v>978997.67</v>
      </c>
      <c r="R1059" s="3" t="n">
        <v>81</v>
      </c>
      <c r="S1059" s="3" t="n">
        <v>7.9</v>
      </c>
      <c r="T1059" s="3" t="n">
        <v>1</v>
      </c>
      <c r="U1059" s="3"/>
      <c r="V1059" s="3" t="n">
        <v>8.32</v>
      </c>
      <c r="W1059" s="3" t="s">
        <v>5997</v>
      </c>
    </row>
    <row r="1060" customFormat="false" ht="15" hidden="false" customHeight="true" outlineLevel="0" collapsed="false">
      <c r="A1060" s="3" t="s">
        <v>7167</v>
      </c>
      <c r="B1060" s="3" t="s">
        <v>1908</v>
      </c>
      <c r="C1060" s="3" t="s">
        <v>3665</v>
      </c>
      <c r="D1060" s="3" t="s">
        <v>61</v>
      </c>
      <c r="E1060" s="3" t="s">
        <v>33</v>
      </c>
      <c r="F1060" s="3" t="s">
        <v>62</v>
      </c>
      <c r="G1060" s="3" t="s">
        <v>104</v>
      </c>
      <c r="H1060" s="3" t="s">
        <v>56</v>
      </c>
      <c r="I1060" s="3" t="s">
        <v>121</v>
      </c>
      <c r="J1060" s="3" t="s">
        <v>5996</v>
      </c>
      <c r="K1060" s="3" t="n">
        <v>4137593.73</v>
      </c>
      <c r="L1060" s="3" t="n">
        <v>0.0512</v>
      </c>
      <c r="M1060" s="3" t="n">
        <v>3925748.93</v>
      </c>
      <c r="N1060" s="3" t="n">
        <v>1562558.77</v>
      </c>
      <c r="O1060" s="3" t="n">
        <v>0.398</v>
      </c>
      <c r="P1060" s="3" t="n">
        <v>0.968</v>
      </c>
      <c r="Q1060" s="3" t="n">
        <v>3800124.96</v>
      </c>
      <c r="R1060" s="3" t="n">
        <v>56</v>
      </c>
      <c r="S1060" s="3" t="n">
        <v>8.5</v>
      </c>
      <c r="T1060" s="3" t="n">
        <v>3.1</v>
      </c>
      <c r="U1060" s="3"/>
      <c r="V1060" s="3" t="n">
        <v>8.31</v>
      </c>
      <c r="W1060" s="3" t="s">
        <v>5997</v>
      </c>
    </row>
    <row r="1061" customFormat="false" ht="15" hidden="false" customHeight="true" outlineLevel="0" collapsed="false">
      <c r="A1061" s="3" t="s">
        <v>7168</v>
      </c>
      <c r="B1061" s="3" t="s">
        <v>788</v>
      </c>
      <c r="C1061" s="3" t="s">
        <v>6469</v>
      </c>
      <c r="D1061" s="3" t="s">
        <v>47</v>
      </c>
      <c r="E1061" s="3" t="s">
        <v>48</v>
      </c>
      <c r="F1061" s="3" t="s">
        <v>25</v>
      </c>
      <c r="G1061" s="3" t="s">
        <v>55</v>
      </c>
      <c r="H1061" s="3" t="s">
        <v>42</v>
      </c>
      <c r="I1061" s="3" t="s">
        <v>134</v>
      </c>
      <c r="J1061" s="3" t="s">
        <v>5996</v>
      </c>
      <c r="K1061" s="3" t="n">
        <v>1605478.12</v>
      </c>
      <c r="L1061" s="3" t="n">
        <v>0.2165</v>
      </c>
      <c r="M1061" s="3" t="n">
        <v>1257892.11</v>
      </c>
      <c r="N1061" s="3" t="n">
        <v>450865.08</v>
      </c>
      <c r="O1061" s="3" t="n">
        <v>0.3584</v>
      </c>
      <c r="P1061" s="3" t="n">
        <v>0.962</v>
      </c>
      <c r="Q1061" s="3" t="n">
        <v>1210092.21</v>
      </c>
      <c r="R1061" s="3" t="n">
        <v>142</v>
      </c>
      <c r="S1061" s="3" t="n">
        <v>6.2</v>
      </c>
      <c r="T1061" s="3" t="n">
        <v>5.5</v>
      </c>
      <c r="U1061" s="3"/>
      <c r="V1061" s="3" t="n">
        <v>5.72</v>
      </c>
      <c r="W1061" s="3" t="s">
        <v>5990</v>
      </c>
    </row>
    <row r="1062" customFormat="false" ht="15" hidden="false" customHeight="true" outlineLevel="0" collapsed="false">
      <c r="A1062" s="3" t="s">
        <v>7169</v>
      </c>
      <c r="B1062" s="3" t="s">
        <v>45</v>
      </c>
      <c r="C1062" s="3" t="s">
        <v>422</v>
      </c>
      <c r="D1062" s="3" t="s">
        <v>23</v>
      </c>
      <c r="E1062" s="3" t="s">
        <v>24</v>
      </c>
      <c r="F1062" s="3" t="s">
        <v>25</v>
      </c>
      <c r="G1062" s="3" t="s">
        <v>116</v>
      </c>
      <c r="H1062" s="3" t="s">
        <v>42</v>
      </c>
      <c r="I1062" s="3" t="s">
        <v>134</v>
      </c>
      <c r="J1062" s="3" t="s">
        <v>6009</v>
      </c>
      <c r="K1062" s="3" t="n">
        <v>3010666.44</v>
      </c>
      <c r="L1062" s="3" t="n">
        <v>0.1366</v>
      </c>
      <c r="M1062" s="3" t="n">
        <v>2599409.4</v>
      </c>
      <c r="N1062" s="3" t="n">
        <v>794112.22</v>
      </c>
      <c r="O1062" s="3" t="n">
        <v>0.3055</v>
      </c>
      <c r="P1062" s="3" t="n">
        <v>0.006</v>
      </c>
      <c r="Q1062" s="3" t="n">
        <v>15596.46</v>
      </c>
      <c r="R1062" s="3" t="n">
        <v>162</v>
      </c>
      <c r="S1062" s="3" t="n">
        <v>8.1</v>
      </c>
      <c r="T1062" s="3" t="n">
        <v>9</v>
      </c>
      <c r="U1062" s="3" t="s">
        <v>6116</v>
      </c>
      <c r="V1062" s="3" t="n">
        <v>5.91</v>
      </c>
      <c r="W1062" s="3" t="s">
        <v>5990</v>
      </c>
    </row>
    <row r="1063" customFormat="false" ht="15" hidden="false" customHeight="true" outlineLevel="0" collapsed="false">
      <c r="A1063" s="3" t="s">
        <v>7170</v>
      </c>
      <c r="B1063" s="3" t="s">
        <v>3818</v>
      </c>
      <c r="C1063" s="3" t="s">
        <v>2031</v>
      </c>
      <c r="D1063" s="3" t="s">
        <v>54</v>
      </c>
      <c r="E1063" s="3" t="s">
        <v>24</v>
      </c>
      <c r="F1063" s="3" t="s">
        <v>40</v>
      </c>
      <c r="G1063" s="3" t="s">
        <v>26</v>
      </c>
      <c r="H1063" s="3" t="s">
        <v>42</v>
      </c>
      <c r="I1063" s="3" t="s">
        <v>72</v>
      </c>
      <c r="J1063" s="3" t="s">
        <v>5989</v>
      </c>
      <c r="K1063" s="3" t="n">
        <v>4779265.45</v>
      </c>
      <c r="L1063" s="3" t="n">
        <v>0.1012</v>
      </c>
      <c r="M1063" s="3" t="n">
        <v>4295603.79</v>
      </c>
      <c r="N1063" s="3" t="n">
        <v>1224531.04</v>
      </c>
      <c r="O1063" s="3" t="n">
        <v>0.2851</v>
      </c>
      <c r="P1063" s="3" t="n">
        <v>0.227</v>
      </c>
      <c r="Q1063" s="3" t="n">
        <v>975102.06</v>
      </c>
      <c r="R1063" s="3" t="n">
        <v>171</v>
      </c>
      <c r="S1063" s="3" t="n">
        <v>5.7</v>
      </c>
      <c r="T1063" s="3" t="n">
        <v>6.5</v>
      </c>
      <c r="U1063" s="3"/>
      <c r="V1063" s="3" t="n">
        <v>5.8</v>
      </c>
      <c r="W1063" s="3" t="s">
        <v>5990</v>
      </c>
    </row>
    <row r="1064" customFormat="false" ht="15" hidden="false" customHeight="true" outlineLevel="0" collapsed="false">
      <c r="A1064" s="3" t="s">
        <v>7171</v>
      </c>
      <c r="B1064" s="3" t="s">
        <v>1148</v>
      </c>
      <c r="C1064" s="3" t="s">
        <v>7172</v>
      </c>
      <c r="D1064" s="3" t="s">
        <v>61</v>
      </c>
      <c r="E1064" s="3" t="s">
        <v>33</v>
      </c>
      <c r="F1064" s="3" t="s">
        <v>62</v>
      </c>
      <c r="G1064" s="3" t="s">
        <v>63</v>
      </c>
      <c r="H1064" s="3" t="s">
        <v>27</v>
      </c>
      <c r="I1064" s="3" t="s">
        <v>28</v>
      </c>
      <c r="J1064" s="3" t="s">
        <v>5992</v>
      </c>
      <c r="K1064" s="3" t="n">
        <v>2033601.86</v>
      </c>
      <c r="L1064" s="3" t="n">
        <v>0.1852</v>
      </c>
      <c r="M1064" s="3" t="n">
        <v>1656978.8</v>
      </c>
      <c r="N1064" s="3" t="n">
        <v>595558.6</v>
      </c>
      <c r="O1064" s="3" t="n">
        <v>0.3594</v>
      </c>
      <c r="P1064" s="3" t="n">
        <v>0.669</v>
      </c>
      <c r="Q1064" s="3" t="n">
        <v>1108518.82</v>
      </c>
      <c r="R1064" s="3" t="n">
        <v>69</v>
      </c>
      <c r="S1064" s="3" t="n">
        <v>9.7</v>
      </c>
      <c r="T1064" s="3" t="n">
        <v>9.1</v>
      </c>
      <c r="U1064" s="3"/>
      <c r="V1064" s="3" t="n">
        <v>6.31</v>
      </c>
      <c r="W1064" s="3" t="s">
        <v>5990</v>
      </c>
    </row>
    <row r="1065" customFormat="false" ht="15" hidden="false" customHeight="true" outlineLevel="0" collapsed="false">
      <c r="A1065" s="3" t="s">
        <v>7173</v>
      </c>
      <c r="B1065" s="3" t="s">
        <v>3463</v>
      </c>
      <c r="C1065" s="3" t="s">
        <v>7174</v>
      </c>
      <c r="D1065" s="3" t="s">
        <v>61</v>
      </c>
      <c r="E1065" s="3" t="s">
        <v>33</v>
      </c>
      <c r="F1065" s="3" t="s">
        <v>62</v>
      </c>
      <c r="G1065" s="3" t="s">
        <v>55</v>
      </c>
      <c r="H1065" s="3" t="s">
        <v>77</v>
      </c>
      <c r="I1065" s="3" t="s">
        <v>78</v>
      </c>
      <c r="J1065" s="3" t="s">
        <v>6009</v>
      </c>
      <c r="K1065" s="3" t="n">
        <v>883802.17</v>
      </c>
      <c r="L1065" s="3" t="n">
        <v>0.2498</v>
      </c>
      <c r="M1065" s="3" t="n">
        <v>663028.39</v>
      </c>
      <c r="N1065" s="3" t="n">
        <v>280054.85</v>
      </c>
      <c r="O1065" s="3" t="n">
        <v>0.4224</v>
      </c>
      <c r="P1065" s="3" t="n">
        <v>0.021</v>
      </c>
      <c r="Q1065" s="3" t="n">
        <v>13923.6</v>
      </c>
      <c r="R1065" s="3" t="n">
        <v>74</v>
      </c>
      <c r="S1065" s="3" t="n">
        <v>5</v>
      </c>
      <c r="T1065" s="3" t="n">
        <v>1</v>
      </c>
      <c r="U1065" s="3" t="s">
        <v>6025</v>
      </c>
      <c r="V1065" s="3" t="n">
        <v>6.31</v>
      </c>
      <c r="W1065" s="3" t="s">
        <v>5990</v>
      </c>
    </row>
    <row r="1066" customFormat="false" ht="15" hidden="false" customHeight="true" outlineLevel="0" collapsed="false">
      <c r="A1066" s="3" t="s">
        <v>7175</v>
      </c>
      <c r="B1066" s="3" t="s">
        <v>2720</v>
      </c>
      <c r="C1066" s="3" t="s">
        <v>3292</v>
      </c>
      <c r="D1066" s="3" t="s">
        <v>38</v>
      </c>
      <c r="E1066" s="3" t="s">
        <v>39</v>
      </c>
      <c r="F1066" s="3" t="s">
        <v>40</v>
      </c>
      <c r="G1066" s="3" t="s">
        <v>71</v>
      </c>
      <c r="H1066" s="3" t="s">
        <v>56</v>
      </c>
      <c r="I1066" s="3" t="s">
        <v>188</v>
      </c>
      <c r="J1066" s="3" t="s">
        <v>6009</v>
      </c>
      <c r="K1066" s="3" t="n">
        <v>1426541.3</v>
      </c>
      <c r="L1066" s="3" t="n">
        <v>0.179</v>
      </c>
      <c r="M1066" s="3" t="n">
        <v>1171190.41</v>
      </c>
      <c r="N1066" s="3" t="n">
        <v>548074.18</v>
      </c>
      <c r="O1066" s="3" t="n">
        <v>0.468</v>
      </c>
      <c r="P1066" s="3" t="n">
        <v>0</v>
      </c>
      <c r="Q1066" s="3" t="n">
        <v>0</v>
      </c>
      <c r="R1066" s="3" t="n">
        <v>42</v>
      </c>
      <c r="S1066" s="3" t="n">
        <v>1.9</v>
      </c>
      <c r="T1066" s="3" t="n">
        <v>6.6</v>
      </c>
      <c r="U1066" s="3" t="s">
        <v>6010</v>
      </c>
      <c r="V1066" s="3" t="n">
        <v>5.48</v>
      </c>
      <c r="W1066" s="3" t="s">
        <v>5990</v>
      </c>
    </row>
    <row r="1067" customFormat="false" ht="15" hidden="false" customHeight="true" outlineLevel="0" collapsed="false">
      <c r="A1067" s="3" t="s">
        <v>7176</v>
      </c>
      <c r="B1067" s="3" t="s">
        <v>6813</v>
      </c>
      <c r="C1067" s="3" t="s">
        <v>471</v>
      </c>
      <c r="D1067" s="3" t="s">
        <v>61</v>
      </c>
      <c r="E1067" s="3" t="s">
        <v>33</v>
      </c>
      <c r="F1067" s="3" t="s">
        <v>62</v>
      </c>
      <c r="G1067" s="3" t="s">
        <v>55</v>
      </c>
      <c r="H1067" s="3" t="s">
        <v>27</v>
      </c>
      <c r="I1067" s="3" t="s">
        <v>50</v>
      </c>
      <c r="J1067" s="3" t="s">
        <v>5989</v>
      </c>
      <c r="K1067" s="3" t="n">
        <v>4202414.67</v>
      </c>
      <c r="L1067" s="3" t="n">
        <v>0.1851</v>
      </c>
      <c r="M1067" s="3" t="n">
        <v>3424547.71</v>
      </c>
      <c r="N1067" s="3" t="n">
        <v>1419022.67</v>
      </c>
      <c r="O1067" s="3" t="n">
        <v>0.4144</v>
      </c>
      <c r="P1067" s="3" t="n">
        <v>0.258</v>
      </c>
      <c r="Q1067" s="3" t="n">
        <v>883533.31</v>
      </c>
      <c r="R1067" s="3" t="n">
        <v>88</v>
      </c>
      <c r="S1067" s="3" t="n">
        <v>4.2</v>
      </c>
      <c r="T1067" s="3" t="n">
        <v>4.2</v>
      </c>
      <c r="U1067" s="3"/>
      <c r="V1067" s="3" t="n">
        <v>6.09</v>
      </c>
      <c r="W1067" s="3" t="s">
        <v>5990</v>
      </c>
    </row>
    <row r="1068" customFormat="false" ht="15" hidden="false" customHeight="true" outlineLevel="0" collapsed="false">
      <c r="A1068" s="3" t="s">
        <v>7177</v>
      </c>
      <c r="B1068" s="3" t="s">
        <v>1712</v>
      </c>
      <c r="C1068" s="3" t="s">
        <v>2593</v>
      </c>
      <c r="D1068" s="3" t="s">
        <v>107</v>
      </c>
      <c r="E1068" s="3" t="s">
        <v>33</v>
      </c>
      <c r="F1068" s="3" t="s">
        <v>70</v>
      </c>
      <c r="G1068" s="3" t="s">
        <v>116</v>
      </c>
      <c r="H1068" s="3" t="s">
        <v>64</v>
      </c>
      <c r="I1068" s="3" t="s">
        <v>108</v>
      </c>
      <c r="J1068" s="3" t="s">
        <v>5992</v>
      </c>
      <c r="K1068" s="3" t="n">
        <v>4345178.04</v>
      </c>
      <c r="L1068" s="3" t="n">
        <v>0.2327</v>
      </c>
      <c r="M1068" s="3" t="n">
        <v>3334055.11</v>
      </c>
      <c r="N1068" s="3" t="n">
        <v>1343480.19</v>
      </c>
      <c r="O1068" s="3" t="n">
        <v>0.403</v>
      </c>
      <c r="P1068" s="3" t="n">
        <v>0.738</v>
      </c>
      <c r="Q1068" s="3" t="n">
        <v>2460532.67</v>
      </c>
      <c r="R1068" s="3" t="n">
        <v>79</v>
      </c>
      <c r="S1068" s="3" t="n">
        <v>9.7</v>
      </c>
      <c r="T1068" s="3" t="n">
        <v>3.3</v>
      </c>
      <c r="U1068" s="3"/>
      <c r="V1068" s="3" t="n">
        <v>7.13</v>
      </c>
      <c r="W1068" s="3" t="s">
        <v>5997</v>
      </c>
    </row>
    <row r="1069" customFormat="false" ht="15" hidden="false" customHeight="true" outlineLevel="0" collapsed="false">
      <c r="A1069" s="3" t="s">
        <v>7178</v>
      </c>
      <c r="B1069" s="3" t="s">
        <v>944</v>
      </c>
      <c r="C1069" s="3" t="s">
        <v>652</v>
      </c>
      <c r="D1069" s="3" t="s">
        <v>83</v>
      </c>
      <c r="E1069" s="3" t="s">
        <v>48</v>
      </c>
      <c r="F1069" s="3" t="s">
        <v>62</v>
      </c>
      <c r="G1069" s="3" t="s">
        <v>41</v>
      </c>
      <c r="H1069" s="3" t="s">
        <v>56</v>
      </c>
      <c r="I1069" s="3" t="s">
        <v>188</v>
      </c>
      <c r="J1069" s="3" t="s">
        <v>5996</v>
      </c>
      <c r="K1069" s="3" t="n">
        <v>2081104.22</v>
      </c>
      <c r="L1069" s="3" t="n">
        <v>0.1871</v>
      </c>
      <c r="M1069" s="3" t="n">
        <v>1691729.62</v>
      </c>
      <c r="N1069" s="3" t="n">
        <v>564333.93</v>
      </c>
      <c r="O1069" s="3" t="n">
        <v>0.3336</v>
      </c>
      <c r="P1069" s="3" t="n">
        <v>1</v>
      </c>
      <c r="Q1069" s="3" t="n">
        <v>1691729.62</v>
      </c>
      <c r="R1069" s="3" t="n">
        <v>134</v>
      </c>
      <c r="S1069" s="3" t="n">
        <v>8.2</v>
      </c>
      <c r="T1069" s="3" t="n">
        <v>7.7</v>
      </c>
      <c r="U1069" s="3"/>
      <c r="V1069" s="3" t="n">
        <v>5.93</v>
      </c>
      <c r="W1069" s="3" t="s">
        <v>5990</v>
      </c>
    </row>
    <row r="1070" customFormat="false" ht="15" hidden="false" customHeight="true" outlineLevel="0" collapsed="false">
      <c r="A1070" s="3" t="s">
        <v>7179</v>
      </c>
      <c r="B1070" s="3" t="s">
        <v>153</v>
      </c>
      <c r="C1070" s="3" t="s">
        <v>2104</v>
      </c>
      <c r="D1070" s="3" t="s">
        <v>47</v>
      </c>
      <c r="E1070" s="3" t="s">
        <v>48</v>
      </c>
      <c r="F1070" s="3" t="s">
        <v>25</v>
      </c>
      <c r="G1070" s="3" t="s">
        <v>104</v>
      </c>
      <c r="H1070" s="3" t="s">
        <v>64</v>
      </c>
      <c r="I1070" s="3" t="s">
        <v>108</v>
      </c>
      <c r="J1070" s="3" t="s">
        <v>6003</v>
      </c>
      <c r="K1070" s="3" t="n">
        <v>2348537.96</v>
      </c>
      <c r="L1070" s="3" t="n">
        <v>0.207</v>
      </c>
      <c r="M1070" s="3" t="n">
        <v>1862390.6</v>
      </c>
      <c r="N1070" s="3" t="n">
        <v>812769.57</v>
      </c>
      <c r="O1070" s="3" t="n">
        <v>0.4364</v>
      </c>
      <c r="P1070" s="3" t="n">
        <v>0.128</v>
      </c>
      <c r="Q1070" s="3" t="n">
        <v>238386</v>
      </c>
      <c r="R1070" s="3" t="n">
        <v>174</v>
      </c>
      <c r="S1070" s="3" t="n">
        <v>2.1</v>
      </c>
      <c r="T1070" s="3" t="n">
        <v>7.6</v>
      </c>
      <c r="U1070" s="3"/>
      <c r="V1070" s="3" t="n">
        <v>5.06</v>
      </c>
      <c r="W1070" s="3" t="s">
        <v>5990</v>
      </c>
    </row>
    <row r="1071" customFormat="false" ht="15" hidden="false" customHeight="true" outlineLevel="0" collapsed="false">
      <c r="A1071" s="3" t="s">
        <v>7180</v>
      </c>
      <c r="B1071" s="3" t="s">
        <v>1619</v>
      </c>
      <c r="C1071" s="3" t="s">
        <v>7181</v>
      </c>
      <c r="D1071" s="3" t="s">
        <v>75</v>
      </c>
      <c r="E1071" s="3" t="s">
        <v>39</v>
      </c>
      <c r="F1071" s="3" t="s">
        <v>25</v>
      </c>
      <c r="G1071" s="3" t="s">
        <v>49</v>
      </c>
      <c r="H1071" s="3" t="s">
        <v>64</v>
      </c>
      <c r="I1071" s="3" t="s">
        <v>108</v>
      </c>
      <c r="J1071" s="3" t="s">
        <v>5999</v>
      </c>
      <c r="K1071" s="3" t="n">
        <v>2678874.68</v>
      </c>
      <c r="L1071" s="3" t="n">
        <v>0.0785</v>
      </c>
      <c r="M1071" s="3" t="n">
        <v>2468583.02</v>
      </c>
      <c r="N1071" s="3" t="n">
        <v>865572.42</v>
      </c>
      <c r="O1071" s="3" t="n">
        <v>0.3506</v>
      </c>
      <c r="P1071" s="3" t="n">
        <v>0.412</v>
      </c>
      <c r="Q1071" s="3" t="n">
        <v>1017056.2</v>
      </c>
      <c r="R1071" s="3" t="n">
        <v>180</v>
      </c>
      <c r="S1071" s="3" t="n">
        <v>7.6</v>
      </c>
      <c r="T1071" s="3" t="n">
        <v>5.2</v>
      </c>
      <c r="U1071" s="3"/>
      <c r="V1071" s="3" t="n">
        <v>7.2</v>
      </c>
      <c r="W1071" s="3" t="s">
        <v>5997</v>
      </c>
    </row>
    <row r="1072" customFormat="false" ht="15" hidden="false" customHeight="true" outlineLevel="0" collapsed="false">
      <c r="A1072" s="3" t="s">
        <v>7182</v>
      </c>
      <c r="B1072" s="3" t="s">
        <v>4078</v>
      </c>
      <c r="C1072" s="3" t="s">
        <v>4284</v>
      </c>
      <c r="D1072" s="3" t="s">
        <v>61</v>
      </c>
      <c r="E1072" s="3" t="s">
        <v>33</v>
      </c>
      <c r="F1072" s="3" t="s">
        <v>62</v>
      </c>
      <c r="G1072" s="3" t="s">
        <v>100</v>
      </c>
      <c r="H1072" s="3" t="s">
        <v>42</v>
      </c>
      <c r="I1072" s="3" t="s">
        <v>43</v>
      </c>
      <c r="J1072" s="3" t="s">
        <v>6003</v>
      </c>
      <c r="K1072" s="3" t="n">
        <v>4987560.9</v>
      </c>
      <c r="L1072" s="3" t="n">
        <v>0.2649</v>
      </c>
      <c r="M1072" s="3" t="n">
        <v>3666356.02</v>
      </c>
      <c r="N1072" s="3" t="n">
        <v>1531760.9</v>
      </c>
      <c r="O1072" s="3" t="n">
        <v>0.4178</v>
      </c>
      <c r="P1072" s="3" t="n">
        <v>0.097</v>
      </c>
      <c r="Q1072" s="3" t="n">
        <v>355636.53</v>
      </c>
      <c r="R1072" s="3" t="n">
        <v>113</v>
      </c>
      <c r="S1072" s="3" t="n">
        <v>8</v>
      </c>
      <c r="T1072" s="3" t="n">
        <v>8.2</v>
      </c>
      <c r="U1072" s="3"/>
      <c r="V1072" s="3" t="n">
        <v>5.83</v>
      </c>
      <c r="W1072" s="3" t="s">
        <v>5990</v>
      </c>
    </row>
    <row r="1073" customFormat="false" ht="15" hidden="false" customHeight="true" outlineLevel="0" collapsed="false">
      <c r="A1073" s="3" t="s">
        <v>7183</v>
      </c>
      <c r="B1073" s="3" t="s">
        <v>1133</v>
      </c>
      <c r="C1073" s="3" t="s">
        <v>3198</v>
      </c>
      <c r="D1073" s="3" t="s">
        <v>32</v>
      </c>
      <c r="E1073" s="3" t="s">
        <v>33</v>
      </c>
      <c r="F1073" s="3" t="s">
        <v>25</v>
      </c>
      <c r="G1073" s="3" t="s">
        <v>71</v>
      </c>
      <c r="H1073" s="3" t="s">
        <v>27</v>
      </c>
      <c r="I1073" s="3" t="s">
        <v>50</v>
      </c>
      <c r="J1073" s="3" t="s">
        <v>6009</v>
      </c>
      <c r="K1073" s="3" t="n">
        <v>4032155.8</v>
      </c>
      <c r="L1073" s="3" t="n">
        <v>0.1363</v>
      </c>
      <c r="M1073" s="3" t="n">
        <v>3482572.96</v>
      </c>
      <c r="N1073" s="3" t="n">
        <v>1362547.13</v>
      </c>
      <c r="O1073" s="3" t="n">
        <v>0.3912</v>
      </c>
      <c r="P1073" s="3" t="n">
        <v>0</v>
      </c>
      <c r="Q1073" s="3" t="n">
        <v>0</v>
      </c>
      <c r="R1073" s="3" t="n">
        <v>94</v>
      </c>
      <c r="S1073" s="3" t="n">
        <v>2.7</v>
      </c>
      <c r="T1073" s="3" t="n">
        <v>3.3</v>
      </c>
      <c r="U1073" s="3" t="s">
        <v>6010</v>
      </c>
      <c r="V1073" s="3" t="n">
        <v>6.1</v>
      </c>
      <c r="W1073" s="3" t="s">
        <v>5990</v>
      </c>
    </row>
    <row r="1074" customFormat="false" ht="15" hidden="false" customHeight="true" outlineLevel="0" collapsed="false">
      <c r="A1074" s="3" t="s">
        <v>7184</v>
      </c>
      <c r="B1074" s="3" t="s">
        <v>1426</v>
      </c>
      <c r="C1074" s="3" t="s">
        <v>2551</v>
      </c>
      <c r="D1074" s="3" t="s">
        <v>107</v>
      </c>
      <c r="E1074" s="3" t="s">
        <v>33</v>
      </c>
      <c r="F1074" s="3" t="s">
        <v>70</v>
      </c>
      <c r="G1074" s="3" t="s">
        <v>55</v>
      </c>
      <c r="H1074" s="3" t="s">
        <v>42</v>
      </c>
      <c r="I1074" s="3" t="s">
        <v>134</v>
      </c>
      <c r="J1074" s="3" t="s">
        <v>5996</v>
      </c>
      <c r="K1074" s="3" t="n">
        <v>4004053.07</v>
      </c>
      <c r="L1074" s="3" t="n">
        <v>0.0719</v>
      </c>
      <c r="M1074" s="3" t="n">
        <v>3716161.65</v>
      </c>
      <c r="N1074" s="3" t="n">
        <v>1493194.3</v>
      </c>
      <c r="O1074" s="3" t="n">
        <v>0.4018</v>
      </c>
      <c r="P1074" s="3" t="n">
        <v>1</v>
      </c>
      <c r="Q1074" s="3" t="n">
        <v>3716161.65</v>
      </c>
      <c r="R1074" s="3" t="n">
        <v>160</v>
      </c>
      <c r="S1074" s="3" t="n">
        <v>6.5</v>
      </c>
      <c r="T1074" s="3" t="n">
        <v>9.7</v>
      </c>
      <c r="U1074" s="3"/>
      <c r="V1074" s="3" t="n">
        <v>6.68</v>
      </c>
      <c r="W1074" s="3" t="s">
        <v>5997</v>
      </c>
    </row>
    <row r="1075" customFormat="false" ht="15" hidden="false" customHeight="true" outlineLevel="0" collapsed="false">
      <c r="A1075" s="3" t="s">
        <v>7185</v>
      </c>
      <c r="B1075" s="3" t="s">
        <v>3352</v>
      </c>
      <c r="C1075" s="3" t="s">
        <v>406</v>
      </c>
      <c r="D1075" s="3" t="s">
        <v>61</v>
      </c>
      <c r="E1075" s="3" t="s">
        <v>33</v>
      </c>
      <c r="F1075" s="3" t="s">
        <v>62</v>
      </c>
      <c r="G1075" s="3" t="s">
        <v>26</v>
      </c>
      <c r="H1075" s="3" t="s">
        <v>42</v>
      </c>
      <c r="I1075" s="3" t="s">
        <v>43</v>
      </c>
      <c r="J1075" s="3" t="s">
        <v>5996</v>
      </c>
      <c r="K1075" s="3" t="n">
        <v>4786363.98</v>
      </c>
      <c r="L1075" s="3" t="n">
        <v>0.1337</v>
      </c>
      <c r="M1075" s="3" t="n">
        <v>4146427.12</v>
      </c>
      <c r="N1075" s="3" t="n">
        <v>1218347.13</v>
      </c>
      <c r="O1075" s="3" t="n">
        <v>0.2938</v>
      </c>
      <c r="P1075" s="3" t="n">
        <v>1</v>
      </c>
      <c r="Q1075" s="3" t="n">
        <v>4146427.12</v>
      </c>
      <c r="R1075" s="3" t="n">
        <v>93</v>
      </c>
      <c r="S1075" s="3" t="n">
        <v>4.8</v>
      </c>
      <c r="T1075" s="3" t="n">
        <v>6.8</v>
      </c>
      <c r="U1075" s="3"/>
      <c r="V1075" s="3" t="n">
        <v>5.33</v>
      </c>
      <c r="W1075" s="3" t="s">
        <v>5990</v>
      </c>
    </row>
    <row r="1076" customFormat="false" ht="15" hidden="false" customHeight="true" outlineLevel="0" collapsed="false">
      <c r="A1076" s="3" t="s">
        <v>7186</v>
      </c>
      <c r="B1076" s="3" t="s">
        <v>2091</v>
      </c>
      <c r="C1076" s="3" t="s">
        <v>2934</v>
      </c>
      <c r="D1076" s="3" t="s">
        <v>103</v>
      </c>
      <c r="E1076" s="3" t="s">
        <v>24</v>
      </c>
      <c r="F1076" s="3" t="s">
        <v>62</v>
      </c>
      <c r="G1076" s="3" t="s">
        <v>63</v>
      </c>
      <c r="H1076" s="3" t="s">
        <v>64</v>
      </c>
      <c r="I1076" s="3" t="s">
        <v>65</v>
      </c>
      <c r="J1076" s="3" t="s">
        <v>5999</v>
      </c>
      <c r="K1076" s="3" t="n">
        <v>2780698.6</v>
      </c>
      <c r="L1076" s="3" t="n">
        <v>0.2563</v>
      </c>
      <c r="M1076" s="3" t="n">
        <v>2068005.55</v>
      </c>
      <c r="N1076" s="3" t="n">
        <v>803729.46</v>
      </c>
      <c r="O1076" s="3" t="n">
        <v>0.3886</v>
      </c>
      <c r="P1076" s="3" t="n">
        <v>0.498</v>
      </c>
      <c r="Q1076" s="3" t="n">
        <v>1029866.76</v>
      </c>
      <c r="R1076" s="3" t="n">
        <v>163</v>
      </c>
      <c r="S1076" s="3" t="n">
        <v>8.1</v>
      </c>
      <c r="T1076" s="3" t="n">
        <v>7.1</v>
      </c>
      <c r="U1076" s="3"/>
      <c r="V1076" s="3" t="n">
        <v>5.85</v>
      </c>
      <c r="W1076" s="3" t="s">
        <v>5990</v>
      </c>
    </row>
    <row r="1077" customFormat="false" ht="15" hidden="false" customHeight="true" outlineLevel="0" collapsed="false">
      <c r="A1077" s="3" t="s">
        <v>7187</v>
      </c>
      <c r="B1077" s="3" t="s">
        <v>1424</v>
      </c>
      <c r="C1077" s="3" t="s">
        <v>1371</v>
      </c>
      <c r="D1077" s="3" t="s">
        <v>83</v>
      </c>
      <c r="E1077" s="3" t="s">
        <v>48</v>
      </c>
      <c r="F1077" s="3" t="s">
        <v>62</v>
      </c>
      <c r="G1077" s="3" t="s">
        <v>26</v>
      </c>
      <c r="H1077" s="3" t="s">
        <v>77</v>
      </c>
      <c r="I1077" s="3" t="s">
        <v>78</v>
      </c>
      <c r="J1077" s="3" t="s">
        <v>5999</v>
      </c>
      <c r="K1077" s="3" t="n">
        <v>1815291.85</v>
      </c>
      <c r="L1077" s="3" t="n">
        <v>0.0879</v>
      </c>
      <c r="M1077" s="3" t="n">
        <v>1655727.7</v>
      </c>
      <c r="N1077" s="3" t="n">
        <v>709724.29</v>
      </c>
      <c r="O1077" s="3" t="n">
        <v>0.4286</v>
      </c>
      <c r="P1077" s="3" t="n">
        <v>0.401</v>
      </c>
      <c r="Q1077" s="3" t="n">
        <v>663946.81</v>
      </c>
      <c r="R1077" s="3" t="n">
        <v>60</v>
      </c>
      <c r="S1077" s="3" t="n">
        <v>8.6</v>
      </c>
      <c r="T1077" s="3" t="n">
        <v>1.9</v>
      </c>
      <c r="U1077" s="3"/>
      <c r="V1077" s="3" t="n">
        <v>8.46</v>
      </c>
      <c r="W1077" s="3" t="s">
        <v>5997</v>
      </c>
    </row>
    <row r="1078" customFormat="false" ht="15" hidden="false" customHeight="true" outlineLevel="0" collapsed="false">
      <c r="A1078" s="3" t="s">
        <v>7188</v>
      </c>
      <c r="B1078" s="3" t="s">
        <v>3685</v>
      </c>
      <c r="C1078" s="3" t="s">
        <v>1119</v>
      </c>
      <c r="D1078" s="3" t="s">
        <v>103</v>
      </c>
      <c r="E1078" s="3" t="s">
        <v>24</v>
      </c>
      <c r="F1078" s="3" t="s">
        <v>62</v>
      </c>
      <c r="G1078" s="3" t="s">
        <v>55</v>
      </c>
      <c r="H1078" s="3" t="s">
        <v>77</v>
      </c>
      <c r="I1078" s="3" t="s">
        <v>85</v>
      </c>
      <c r="J1078" s="3" t="s">
        <v>5999</v>
      </c>
      <c r="K1078" s="3" t="n">
        <v>2051691.18</v>
      </c>
      <c r="L1078" s="3" t="n">
        <v>0.2756</v>
      </c>
      <c r="M1078" s="3" t="n">
        <v>1486245.09</v>
      </c>
      <c r="N1078" s="3" t="n">
        <v>480474.46</v>
      </c>
      <c r="O1078" s="3" t="n">
        <v>0.3233</v>
      </c>
      <c r="P1078" s="3" t="n">
        <v>0.5</v>
      </c>
      <c r="Q1078" s="3" t="n">
        <v>743122.55</v>
      </c>
      <c r="R1078" s="3" t="n">
        <v>40</v>
      </c>
      <c r="S1078" s="3" t="n">
        <v>3.5</v>
      </c>
      <c r="T1078" s="3" t="n">
        <v>7.8</v>
      </c>
      <c r="U1078" s="3"/>
      <c r="V1078" s="3" t="n">
        <v>3.93</v>
      </c>
      <c r="W1078" s="3" t="s">
        <v>6000</v>
      </c>
    </row>
    <row r="1079" customFormat="false" ht="15" hidden="false" customHeight="true" outlineLevel="0" collapsed="false">
      <c r="A1079" s="3" t="s">
        <v>7189</v>
      </c>
      <c r="B1079" s="3" t="s">
        <v>1840</v>
      </c>
      <c r="C1079" s="3" t="s">
        <v>1590</v>
      </c>
      <c r="D1079" s="3" t="s">
        <v>83</v>
      </c>
      <c r="E1079" s="3" t="s">
        <v>48</v>
      </c>
      <c r="F1079" s="3" t="s">
        <v>62</v>
      </c>
      <c r="G1079" s="3" t="s">
        <v>34</v>
      </c>
      <c r="H1079" s="3" t="s">
        <v>77</v>
      </c>
      <c r="I1079" s="3" t="s">
        <v>85</v>
      </c>
      <c r="J1079" s="3" t="s">
        <v>5999</v>
      </c>
      <c r="K1079" s="3" t="n">
        <v>1670118.02</v>
      </c>
      <c r="L1079" s="3" t="n">
        <v>0.2189</v>
      </c>
      <c r="M1079" s="3" t="n">
        <v>1304529.19</v>
      </c>
      <c r="N1079" s="3" t="n">
        <v>463384.9</v>
      </c>
      <c r="O1079" s="3" t="n">
        <v>0.3552</v>
      </c>
      <c r="P1079" s="3" t="n">
        <v>0.487</v>
      </c>
      <c r="Q1079" s="3" t="n">
        <v>635305.72</v>
      </c>
      <c r="R1079" s="3" t="n">
        <v>26</v>
      </c>
      <c r="S1079" s="3" t="n">
        <v>6.1</v>
      </c>
      <c r="T1079" s="3" t="n">
        <v>9.9</v>
      </c>
      <c r="U1079" s="3"/>
      <c r="V1079" s="3" t="n">
        <v>4.98</v>
      </c>
      <c r="W1079" s="3" t="s">
        <v>6000</v>
      </c>
    </row>
    <row r="1080" customFormat="false" ht="15" hidden="false" customHeight="true" outlineLevel="0" collapsed="false">
      <c r="A1080" s="3" t="s">
        <v>7190</v>
      </c>
      <c r="B1080" s="3" t="s">
        <v>2146</v>
      </c>
      <c r="C1080" s="3" t="s">
        <v>1430</v>
      </c>
      <c r="D1080" s="3" t="s">
        <v>83</v>
      </c>
      <c r="E1080" s="3" t="s">
        <v>48</v>
      </c>
      <c r="F1080" s="3" t="s">
        <v>62</v>
      </c>
      <c r="G1080" s="3" t="s">
        <v>63</v>
      </c>
      <c r="H1080" s="3" t="s">
        <v>27</v>
      </c>
      <c r="I1080" s="3" t="s">
        <v>173</v>
      </c>
      <c r="J1080" s="3" t="s">
        <v>5989</v>
      </c>
      <c r="K1080" s="3" t="n">
        <v>4289895.98</v>
      </c>
      <c r="L1080" s="3" t="n">
        <v>0.2018</v>
      </c>
      <c r="M1080" s="3" t="n">
        <v>3424194.97</v>
      </c>
      <c r="N1080" s="3" t="n">
        <v>1486831.07</v>
      </c>
      <c r="O1080" s="3" t="n">
        <v>0.4342</v>
      </c>
      <c r="P1080" s="3" t="n">
        <v>0.2</v>
      </c>
      <c r="Q1080" s="3" t="n">
        <v>684838.99</v>
      </c>
      <c r="R1080" s="3" t="n">
        <v>121</v>
      </c>
      <c r="S1080" s="3" t="n">
        <v>5.2</v>
      </c>
      <c r="T1080" s="3" t="n">
        <v>6.7</v>
      </c>
      <c r="U1080" s="3"/>
      <c r="V1080" s="3" t="n">
        <v>5.98</v>
      </c>
      <c r="W1080" s="3" t="s">
        <v>5990</v>
      </c>
    </row>
    <row r="1081" customFormat="false" ht="15" hidden="false" customHeight="true" outlineLevel="0" collapsed="false">
      <c r="A1081" s="3" t="s">
        <v>7191</v>
      </c>
      <c r="B1081" s="3" t="s">
        <v>302</v>
      </c>
      <c r="C1081" s="3" t="s">
        <v>1505</v>
      </c>
      <c r="D1081" s="3" t="s">
        <v>83</v>
      </c>
      <c r="E1081" s="3" t="s">
        <v>48</v>
      </c>
      <c r="F1081" s="3" t="s">
        <v>62</v>
      </c>
      <c r="G1081" s="3" t="s">
        <v>49</v>
      </c>
      <c r="H1081" s="3" t="s">
        <v>64</v>
      </c>
      <c r="I1081" s="3" t="s">
        <v>90</v>
      </c>
      <c r="J1081" s="3" t="s">
        <v>5999</v>
      </c>
      <c r="K1081" s="3" t="n">
        <v>383311.68</v>
      </c>
      <c r="L1081" s="3" t="n">
        <v>0.2743</v>
      </c>
      <c r="M1081" s="3" t="n">
        <v>278169.29</v>
      </c>
      <c r="N1081" s="3" t="n">
        <v>126446.1</v>
      </c>
      <c r="O1081" s="3" t="n">
        <v>0.4546</v>
      </c>
      <c r="P1081" s="3" t="n">
        <v>0.419</v>
      </c>
      <c r="Q1081" s="3" t="n">
        <v>116552.93</v>
      </c>
      <c r="R1081" s="3" t="n">
        <v>39</v>
      </c>
      <c r="S1081" s="3" t="n">
        <v>6.9</v>
      </c>
      <c r="T1081" s="3" t="n">
        <v>3.3</v>
      </c>
      <c r="U1081" s="3"/>
      <c r="V1081" s="3" t="n">
        <v>6.46</v>
      </c>
      <c r="W1081" s="3" t="s">
        <v>5990</v>
      </c>
    </row>
    <row r="1082" customFormat="false" ht="15" hidden="false" customHeight="true" outlineLevel="0" collapsed="false">
      <c r="A1082" s="3" t="s">
        <v>7192</v>
      </c>
      <c r="B1082" s="3" t="s">
        <v>475</v>
      </c>
      <c r="C1082" s="3" t="s">
        <v>1204</v>
      </c>
      <c r="D1082" s="3" t="s">
        <v>75</v>
      </c>
      <c r="E1082" s="3" t="s">
        <v>39</v>
      </c>
      <c r="F1082" s="3" t="s">
        <v>25</v>
      </c>
      <c r="G1082" s="3" t="s">
        <v>116</v>
      </c>
      <c r="H1082" s="3" t="s">
        <v>77</v>
      </c>
      <c r="I1082" s="3" t="s">
        <v>131</v>
      </c>
      <c r="J1082" s="3" t="s">
        <v>5996</v>
      </c>
      <c r="K1082" s="3" t="n">
        <v>4938250.93</v>
      </c>
      <c r="L1082" s="3" t="n">
        <v>0.2604</v>
      </c>
      <c r="M1082" s="3" t="n">
        <v>3652330.39</v>
      </c>
      <c r="N1082" s="3" t="n">
        <v>1659610.67</v>
      </c>
      <c r="O1082" s="3" t="n">
        <v>0.4544</v>
      </c>
      <c r="P1082" s="3" t="n">
        <v>1</v>
      </c>
      <c r="Q1082" s="3" t="n">
        <v>3652330.39</v>
      </c>
      <c r="R1082" s="3" t="n">
        <v>179</v>
      </c>
      <c r="S1082" s="3" t="n">
        <v>2.2</v>
      </c>
      <c r="T1082" s="3" t="n">
        <v>6.6</v>
      </c>
      <c r="U1082" s="3"/>
      <c r="V1082" s="3" t="n">
        <v>4.88</v>
      </c>
      <c r="W1082" s="3" t="s">
        <v>6000</v>
      </c>
    </row>
    <row r="1083" customFormat="false" ht="15" hidden="false" customHeight="true" outlineLevel="0" collapsed="false">
      <c r="A1083" s="3" t="s">
        <v>7193</v>
      </c>
      <c r="B1083" s="3" t="s">
        <v>1870</v>
      </c>
      <c r="C1083" s="3" t="s">
        <v>1069</v>
      </c>
      <c r="D1083" s="3" t="s">
        <v>32</v>
      </c>
      <c r="E1083" s="3" t="s">
        <v>33</v>
      </c>
      <c r="F1083" s="3" t="s">
        <v>25</v>
      </c>
      <c r="G1083" s="3" t="s">
        <v>49</v>
      </c>
      <c r="H1083" s="3" t="s">
        <v>27</v>
      </c>
      <c r="I1083" s="3" t="s">
        <v>117</v>
      </c>
      <c r="J1083" s="3" t="s">
        <v>5996</v>
      </c>
      <c r="K1083" s="3" t="n">
        <v>3436112.83</v>
      </c>
      <c r="L1083" s="3" t="n">
        <v>0.0608</v>
      </c>
      <c r="M1083" s="3" t="n">
        <v>3227197.17</v>
      </c>
      <c r="N1083" s="3" t="n">
        <v>1013335.43</v>
      </c>
      <c r="O1083" s="3" t="n">
        <v>0.314</v>
      </c>
      <c r="P1083" s="3" t="n">
        <v>1</v>
      </c>
      <c r="Q1083" s="3" t="n">
        <v>3227197.17</v>
      </c>
      <c r="R1083" s="3" t="n">
        <v>134</v>
      </c>
      <c r="S1083" s="3" t="n">
        <v>1.2</v>
      </c>
      <c r="T1083" s="3" t="n">
        <v>5.1</v>
      </c>
      <c r="U1083" s="3"/>
      <c r="V1083" s="3" t="n">
        <v>5.48</v>
      </c>
      <c r="W1083" s="3" t="s">
        <v>5990</v>
      </c>
    </row>
    <row r="1084" customFormat="false" ht="15" hidden="false" customHeight="true" outlineLevel="0" collapsed="false">
      <c r="A1084" s="3" t="s">
        <v>7194</v>
      </c>
      <c r="B1084" s="3" t="s">
        <v>3808</v>
      </c>
      <c r="C1084" s="3" t="s">
        <v>1135</v>
      </c>
      <c r="D1084" s="3" t="s">
        <v>107</v>
      </c>
      <c r="E1084" s="3" t="s">
        <v>33</v>
      </c>
      <c r="F1084" s="3" t="s">
        <v>70</v>
      </c>
      <c r="G1084" s="3" t="s">
        <v>34</v>
      </c>
      <c r="H1084" s="3" t="s">
        <v>42</v>
      </c>
      <c r="I1084" s="3" t="s">
        <v>43</v>
      </c>
      <c r="J1084" s="3" t="s">
        <v>6003</v>
      </c>
      <c r="K1084" s="3" t="n">
        <v>433714.12</v>
      </c>
      <c r="L1084" s="3" t="n">
        <v>0.1509</v>
      </c>
      <c r="M1084" s="3" t="n">
        <v>368266.66</v>
      </c>
      <c r="N1084" s="3" t="n">
        <v>125426.32</v>
      </c>
      <c r="O1084" s="3" t="n">
        <v>0.3406</v>
      </c>
      <c r="P1084" s="3" t="n">
        <v>0.135</v>
      </c>
      <c r="Q1084" s="3" t="n">
        <v>49716</v>
      </c>
      <c r="R1084" s="3" t="n">
        <v>96</v>
      </c>
      <c r="S1084" s="3" t="n">
        <v>2.6</v>
      </c>
      <c r="T1084" s="3" t="n">
        <v>8.6</v>
      </c>
      <c r="U1084" s="3"/>
      <c r="V1084" s="3" t="n">
        <v>4.77</v>
      </c>
      <c r="W1084" s="3" t="s">
        <v>6000</v>
      </c>
    </row>
    <row r="1085" customFormat="false" ht="15" hidden="false" customHeight="true" outlineLevel="0" collapsed="false">
      <c r="A1085" s="3" t="s">
        <v>7195</v>
      </c>
      <c r="B1085" s="3" t="s">
        <v>1743</v>
      </c>
      <c r="C1085" s="3" t="s">
        <v>1240</v>
      </c>
      <c r="D1085" s="3" t="s">
        <v>97</v>
      </c>
      <c r="E1085" s="3" t="s">
        <v>48</v>
      </c>
      <c r="F1085" s="3" t="s">
        <v>40</v>
      </c>
      <c r="G1085" s="3" t="s">
        <v>49</v>
      </c>
      <c r="H1085" s="3" t="s">
        <v>56</v>
      </c>
      <c r="I1085" s="3" t="s">
        <v>57</v>
      </c>
      <c r="J1085" s="3" t="s">
        <v>5989</v>
      </c>
      <c r="K1085" s="3" t="n">
        <v>577164.18</v>
      </c>
      <c r="L1085" s="3" t="n">
        <v>0.1773</v>
      </c>
      <c r="M1085" s="3" t="n">
        <v>474832.97</v>
      </c>
      <c r="N1085" s="3" t="n">
        <v>176359.95</v>
      </c>
      <c r="O1085" s="3" t="n">
        <v>0.3714</v>
      </c>
      <c r="P1085" s="3" t="n">
        <v>0.238</v>
      </c>
      <c r="Q1085" s="3" t="n">
        <v>113010.25</v>
      </c>
      <c r="R1085" s="3" t="n">
        <v>74</v>
      </c>
      <c r="S1085" s="3" t="n">
        <v>6.1</v>
      </c>
      <c r="T1085" s="3" t="n">
        <v>2</v>
      </c>
      <c r="U1085" s="3"/>
      <c r="V1085" s="3" t="n">
        <v>6.66</v>
      </c>
      <c r="W1085" s="3" t="s">
        <v>5997</v>
      </c>
    </row>
    <row r="1086" customFormat="false" ht="15" hidden="false" customHeight="true" outlineLevel="0" collapsed="false">
      <c r="A1086" s="3" t="s">
        <v>7196</v>
      </c>
      <c r="B1086" s="3" t="s">
        <v>551</v>
      </c>
      <c r="C1086" s="3" t="s">
        <v>4607</v>
      </c>
      <c r="D1086" s="3" t="s">
        <v>75</v>
      </c>
      <c r="E1086" s="3" t="s">
        <v>39</v>
      </c>
      <c r="F1086" s="3" t="s">
        <v>25</v>
      </c>
      <c r="G1086" s="3" t="s">
        <v>76</v>
      </c>
      <c r="H1086" s="3" t="s">
        <v>56</v>
      </c>
      <c r="I1086" s="3" t="s">
        <v>57</v>
      </c>
      <c r="J1086" s="3" t="s">
        <v>5999</v>
      </c>
      <c r="K1086" s="3" t="n">
        <v>2628533.74</v>
      </c>
      <c r="L1086" s="3" t="n">
        <v>0.2379</v>
      </c>
      <c r="M1086" s="3" t="n">
        <v>2003205.56</v>
      </c>
      <c r="N1086" s="3" t="n">
        <v>810013.51</v>
      </c>
      <c r="O1086" s="3" t="n">
        <v>0.4044</v>
      </c>
      <c r="P1086" s="3" t="n">
        <v>0.461</v>
      </c>
      <c r="Q1086" s="3" t="n">
        <v>923477.76</v>
      </c>
      <c r="R1086" s="3" t="n">
        <v>180</v>
      </c>
      <c r="S1086" s="3" t="n">
        <v>7.5</v>
      </c>
      <c r="T1086" s="3" t="n">
        <v>2.9</v>
      </c>
      <c r="U1086" s="3"/>
      <c r="V1086" s="3" t="n">
        <v>6.62</v>
      </c>
      <c r="W1086" s="3" t="s">
        <v>5997</v>
      </c>
    </row>
    <row r="1087" customFormat="false" ht="15" hidden="false" customHeight="true" outlineLevel="0" collapsed="false">
      <c r="A1087" s="3" t="s">
        <v>7197</v>
      </c>
      <c r="B1087" s="3" t="s">
        <v>295</v>
      </c>
      <c r="C1087" s="3" t="s">
        <v>1805</v>
      </c>
      <c r="D1087" s="3" t="s">
        <v>75</v>
      </c>
      <c r="E1087" s="3" t="s">
        <v>39</v>
      </c>
      <c r="F1087" s="3" t="s">
        <v>25</v>
      </c>
      <c r="G1087" s="3" t="s">
        <v>63</v>
      </c>
      <c r="H1087" s="3" t="s">
        <v>64</v>
      </c>
      <c r="I1087" s="3" t="s">
        <v>65</v>
      </c>
      <c r="J1087" s="3" t="s">
        <v>5996</v>
      </c>
      <c r="K1087" s="3" t="n">
        <v>2782800.52</v>
      </c>
      <c r="L1087" s="3" t="n">
        <v>0.2454</v>
      </c>
      <c r="M1087" s="3" t="n">
        <v>2099901.27</v>
      </c>
      <c r="N1087" s="3" t="n">
        <v>988488.42</v>
      </c>
      <c r="O1087" s="3" t="n">
        <v>0.4707</v>
      </c>
      <c r="P1087" s="3" t="n">
        <v>1</v>
      </c>
      <c r="Q1087" s="3" t="n">
        <v>2099901.27</v>
      </c>
      <c r="R1087" s="3" t="n">
        <v>38</v>
      </c>
      <c r="S1087" s="3" t="n">
        <v>8.8</v>
      </c>
      <c r="T1087" s="3" t="n">
        <v>1.8</v>
      </c>
      <c r="U1087" s="3"/>
      <c r="V1087" s="3" t="n">
        <v>7.38</v>
      </c>
      <c r="W1087" s="3" t="s">
        <v>5997</v>
      </c>
    </row>
    <row r="1088" customFormat="false" ht="15" hidden="false" customHeight="true" outlineLevel="0" collapsed="false">
      <c r="A1088" s="3" t="s">
        <v>7198</v>
      </c>
      <c r="B1088" s="3" t="s">
        <v>5689</v>
      </c>
      <c r="C1088" s="3" t="s">
        <v>285</v>
      </c>
      <c r="D1088" s="3" t="s">
        <v>97</v>
      </c>
      <c r="E1088" s="3" t="s">
        <v>48</v>
      </c>
      <c r="F1088" s="3" t="s">
        <v>40</v>
      </c>
      <c r="G1088" s="3" t="s">
        <v>84</v>
      </c>
      <c r="H1088" s="3" t="s">
        <v>42</v>
      </c>
      <c r="I1088" s="3" t="s">
        <v>134</v>
      </c>
      <c r="J1088" s="3" t="s">
        <v>5989</v>
      </c>
      <c r="K1088" s="3" t="n">
        <v>4071718.18</v>
      </c>
      <c r="L1088" s="3" t="n">
        <v>0.2183</v>
      </c>
      <c r="M1088" s="3" t="n">
        <v>3182862.1</v>
      </c>
      <c r="N1088" s="3" t="n">
        <v>956322.88</v>
      </c>
      <c r="O1088" s="3" t="n">
        <v>0.3005</v>
      </c>
      <c r="P1088" s="3" t="n">
        <v>0.218</v>
      </c>
      <c r="Q1088" s="3" t="n">
        <v>693863.94</v>
      </c>
      <c r="R1088" s="3" t="n">
        <v>39</v>
      </c>
      <c r="S1088" s="3" t="n">
        <v>5.9</v>
      </c>
      <c r="T1088" s="3" t="n">
        <v>2.7</v>
      </c>
      <c r="U1088" s="3"/>
      <c r="V1088" s="3" t="n">
        <v>5.59</v>
      </c>
      <c r="W1088" s="3" t="s">
        <v>5990</v>
      </c>
    </row>
    <row r="1089" customFormat="false" ht="15" hidden="false" customHeight="true" outlineLevel="0" collapsed="false">
      <c r="A1089" s="3" t="s">
        <v>7199</v>
      </c>
      <c r="B1089" s="3" t="s">
        <v>889</v>
      </c>
      <c r="C1089" s="3" t="s">
        <v>2799</v>
      </c>
      <c r="D1089" s="3" t="s">
        <v>97</v>
      </c>
      <c r="E1089" s="3" t="s">
        <v>48</v>
      </c>
      <c r="F1089" s="3" t="s">
        <v>40</v>
      </c>
      <c r="G1089" s="3" t="s">
        <v>104</v>
      </c>
      <c r="H1089" s="3" t="s">
        <v>64</v>
      </c>
      <c r="I1089" s="3" t="s">
        <v>145</v>
      </c>
      <c r="J1089" s="3" t="s">
        <v>5996</v>
      </c>
      <c r="K1089" s="3" t="n">
        <v>435865.95</v>
      </c>
      <c r="L1089" s="3" t="n">
        <v>0.1938</v>
      </c>
      <c r="M1089" s="3" t="n">
        <v>351395.13</v>
      </c>
      <c r="N1089" s="3" t="n">
        <v>163582.37</v>
      </c>
      <c r="O1089" s="3" t="n">
        <v>0.4655</v>
      </c>
      <c r="P1089" s="3" t="n">
        <v>1</v>
      </c>
      <c r="Q1089" s="3" t="n">
        <v>351395.13</v>
      </c>
      <c r="R1089" s="3" t="n">
        <v>82</v>
      </c>
      <c r="S1089" s="3" t="n">
        <v>7.4</v>
      </c>
      <c r="T1089" s="3" t="n">
        <v>6.7</v>
      </c>
      <c r="U1089" s="3"/>
      <c r="V1089" s="3" t="n">
        <v>6.72</v>
      </c>
      <c r="W1089" s="3" t="s">
        <v>5997</v>
      </c>
    </row>
    <row r="1090" customFormat="false" ht="15" hidden="false" customHeight="true" outlineLevel="0" collapsed="false">
      <c r="A1090" s="3" t="s">
        <v>7200</v>
      </c>
      <c r="B1090" s="3" t="s">
        <v>2551</v>
      </c>
      <c r="C1090" s="3" t="s">
        <v>1590</v>
      </c>
      <c r="D1090" s="3" t="s">
        <v>83</v>
      </c>
      <c r="E1090" s="3" t="s">
        <v>48</v>
      </c>
      <c r="F1090" s="3" t="s">
        <v>62</v>
      </c>
      <c r="G1090" s="3" t="s">
        <v>63</v>
      </c>
      <c r="H1090" s="3" t="s">
        <v>77</v>
      </c>
      <c r="I1090" s="3" t="s">
        <v>85</v>
      </c>
      <c r="J1090" s="3" t="s">
        <v>6009</v>
      </c>
      <c r="K1090" s="3" t="n">
        <v>3788279.63</v>
      </c>
      <c r="L1090" s="3" t="n">
        <v>0.1442</v>
      </c>
      <c r="M1090" s="3" t="n">
        <v>3242009.71</v>
      </c>
      <c r="N1090" s="3" t="n">
        <v>1333229.27</v>
      </c>
      <c r="O1090" s="3" t="n">
        <v>0.4112</v>
      </c>
      <c r="P1090" s="3" t="n">
        <v>0.033</v>
      </c>
      <c r="Q1090" s="3" t="n">
        <v>106986.32</v>
      </c>
      <c r="R1090" s="3" t="n">
        <v>129</v>
      </c>
      <c r="S1090" s="3" t="n">
        <v>1.9</v>
      </c>
      <c r="T1090" s="3" t="n">
        <v>2.1</v>
      </c>
      <c r="U1090" s="3" t="s">
        <v>6116</v>
      </c>
      <c r="V1090" s="3" t="n">
        <v>6.14</v>
      </c>
      <c r="W1090" s="3" t="s">
        <v>5990</v>
      </c>
    </row>
    <row r="1091" customFormat="false" ht="15" hidden="false" customHeight="true" outlineLevel="0" collapsed="false">
      <c r="A1091" s="3" t="s">
        <v>7201</v>
      </c>
      <c r="B1091" s="3" t="s">
        <v>351</v>
      </c>
      <c r="C1091" s="3" t="s">
        <v>4651</v>
      </c>
      <c r="D1091" s="3" t="s">
        <v>32</v>
      </c>
      <c r="E1091" s="3" t="s">
        <v>33</v>
      </c>
      <c r="F1091" s="3" t="s">
        <v>25</v>
      </c>
      <c r="G1091" s="3" t="s">
        <v>49</v>
      </c>
      <c r="H1091" s="3" t="s">
        <v>64</v>
      </c>
      <c r="I1091" s="3" t="s">
        <v>145</v>
      </c>
      <c r="J1091" s="3" t="s">
        <v>5996</v>
      </c>
      <c r="K1091" s="3" t="n">
        <v>2423821.3</v>
      </c>
      <c r="L1091" s="3" t="n">
        <v>0.1171</v>
      </c>
      <c r="M1091" s="3" t="n">
        <v>2139991.83</v>
      </c>
      <c r="N1091" s="3" t="n">
        <v>756675.13</v>
      </c>
      <c r="O1091" s="3" t="n">
        <v>0.3536</v>
      </c>
      <c r="P1091" s="3" t="n">
        <v>0.988</v>
      </c>
      <c r="Q1091" s="3" t="n">
        <v>2114311.93</v>
      </c>
      <c r="R1091" s="3" t="n">
        <v>101</v>
      </c>
      <c r="S1091" s="3" t="n">
        <v>9.8</v>
      </c>
      <c r="T1091" s="3" t="n">
        <v>8.3</v>
      </c>
      <c r="U1091" s="3"/>
      <c r="V1091" s="3" t="n">
        <v>7</v>
      </c>
      <c r="W1091" s="3" t="s">
        <v>5997</v>
      </c>
    </row>
    <row r="1092" customFormat="false" ht="15" hidden="false" customHeight="true" outlineLevel="0" collapsed="false">
      <c r="A1092" s="3" t="s">
        <v>7202</v>
      </c>
      <c r="B1092" s="3" t="s">
        <v>2379</v>
      </c>
      <c r="C1092" s="3" t="s">
        <v>747</v>
      </c>
      <c r="D1092" s="3" t="s">
        <v>97</v>
      </c>
      <c r="E1092" s="3" t="s">
        <v>48</v>
      </c>
      <c r="F1092" s="3" t="s">
        <v>40</v>
      </c>
      <c r="G1092" s="3" t="s">
        <v>104</v>
      </c>
      <c r="H1092" s="3" t="s">
        <v>64</v>
      </c>
      <c r="I1092" s="3" t="s">
        <v>108</v>
      </c>
      <c r="J1092" s="3" t="s">
        <v>6003</v>
      </c>
      <c r="K1092" s="3" t="n">
        <v>695813.56</v>
      </c>
      <c r="L1092" s="3" t="n">
        <v>0.1231</v>
      </c>
      <c r="M1092" s="3" t="n">
        <v>610158.91</v>
      </c>
      <c r="N1092" s="3" t="n">
        <v>271122.45</v>
      </c>
      <c r="O1092" s="3" t="n">
        <v>0.4443</v>
      </c>
      <c r="P1092" s="3" t="n">
        <v>0.059</v>
      </c>
      <c r="Q1092" s="3" t="n">
        <v>35999.38</v>
      </c>
      <c r="R1092" s="3" t="n">
        <v>129</v>
      </c>
      <c r="S1092" s="3" t="n">
        <v>9.9</v>
      </c>
      <c r="T1092" s="3" t="n">
        <v>3.8</v>
      </c>
      <c r="U1092" s="3"/>
      <c r="V1092" s="3" t="n">
        <v>8.34</v>
      </c>
      <c r="W1092" s="3" t="s">
        <v>5997</v>
      </c>
    </row>
    <row r="1093" customFormat="false" ht="15" hidden="false" customHeight="true" outlineLevel="0" collapsed="false">
      <c r="A1093" s="3" t="s">
        <v>7203</v>
      </c>
      <c r="B1093" s="3" t="s">
        <v>3685</v>
      </c>
      <c r="C1093" s="3" t="s">
        <v>580</v>
      </c>
      <c r="D1093" s="3" t="s">
        <v>69</v>
      </c>
      <c r="E1093" s="3" t="s">
        <v>39</v>
      </c>
      <c r="F1093" s="3" t="s">
        <v>70</v>
      </c>
      <c r="G1093" s="3" t="s">
        <v>116</v>
      </c>
      <c r="H1093" s="3" t="s">
        <v>64</v>
      </c>
      <c r="I1093" s="3" t="s">
        <v>145</v>
      </c>
      <c r="J1093" s="3" t="s">
        <v>5996</v>
      </c>
      <c r="K1093" s="3" t="n">
        <v>3131704.89</v>
      </c>
      <c r="L1093" s="3" t="n">
        <v>0.1629</v>
      </c>
      <c r="M1093" s="3" t="n">
        <v>2621550.16</v>
      </c>
      <c r="N1093" s="3" t="n">
        <v>868414.78</v>
      </c>
      <c r="O1093" s="3" t="n">
        <v>0.3313</v>
      </c>
      <c r="P1093" s="3" t="n">
        <v>0.957</v>
      </c>
      <c r="Q1093" s="3" t="n">
        <v>2508823.5</v>
      </c>
      <c r="R1093" s="3" t="n">
        <v>30</v>
      </c>
      <c r="S1093" s="3" t="n">
        <v>2.2</v>
      </c>
      <c r="T1093" s="3" t="n">
        <v>9.9</v>
      </c>
      <c r="U1093" s="3"/>
      <c r="V1093" s="3" t="n">
        <v>4.3</v>
      </c>
      <c r="W1093" s="3" t="s">
        <v>6000</v>
      </c>
    </row>
    <row r="1094" customFormat="false" ht="15" hidden="false" customHeight="true" outlineLevel="0" collapsed="false">
      <c r="A1094" s="3" t="s">
        <v>7204</v>
      </c>
      <c r="B1094" s="3" t="s">
        <v>1116</v>
      </c>
      <c r="C1094" s="3" t="s">
        <v>1982</v>
      </c>
      <c r="D1094" s="3" t="s">
        <v>75</v>
      </c>
      <c r="E1094" s="3" t="s">
        <v>39</v>
      </c>
      <c r="F1094" s="3" t="s">
        <v>25</v>
      </c>
      <c r="G1094" s="3" t="s">
        <v>55</v>
      </c>
      <c r="H1094" s="3" t="s">
        <v>77</v>
      </c>
      <c r="I1094" s="3" t="s">
        <v>131</v>
      </c>
      <c r="J1094" s="3" t="s">
        <v>6009</v>
      </c>
      <c r="K1094" s="3" t="n">
        <v>2913133.34</v>
      </c>
      <c r="L1094" s="3" t="n">
        <v>0.2314</v>
      </c>
      <c r="M1094" s="3" t="n">
        <v>2239034.29</v>
      </c>
      <c r="N1094" s="3" t="n">
        <v>885908.49</v>
      </c>
      <c r="O1094" s="3" t="n">
        <v>0.3957</v>
      </c>
      <c r="P1094" s="3" t="n">
        <v>0.013</v>
      </c>
      <c r="Q1094" s="3" t="n">
        <v>29107.45</v>
      </c>
      <c r="R1094" s="3" t="n">
        <v>123</v>
      </c>
      <c r="S1094" s="3" t="n">
        <v>2.1</v>
      </c>
      <c r="T1094" s="3" t="n">
        <v>6.7</v>
      </c>
      <c r="U1094" s="3"/>
      <c r="V1094" s="3" t="n">
        <v>4.68</v>
      </c>
      <c r="W1094" s="3" t="s">
        <v>6000</v>
      </c>
    </row>
    <row r="1095" customFormat="false" ht="15" hidden="false" customHeight="true" outlineLevel="0" collapsed="false">
      <c r="A1095" s="3" t="s">
        <v>7205</v>
      </c>
      <c r="B1095" s="3" t="s">
        <v>1805</v>
      </c>
      <c r="C1095" s="3" t="s">
        <v>629</v>
      </c>
      <c r="D1095" s="3" t="s">
        <v>97</v>
      </c>
      <c r="E1095" s="3" t="s">
        <v>48</v>
      </c>
      <c r="F1095" s="3" t="s">
        <v>40</v>
      </c>
      <c r="G1095" s="3" t="s">
        <v>84</v>
      </c>
      <c r="H1095" s="3" t="s">
        <v>27</v>
      </c>
      <c r="I1095" s="3" t="s">
        <v>28</v>
      </c>
      <c r="J1095" s="3" t="s">
        <v>6009</v>
      </c>
      <c r="K1095" s="3" t="n">
        <v>4183002.67</v>
      </c>
      <c r="L1095" s="3" t="n">
        <v>0.2658</v>
      </c>
      <c r="M1095" s="3" t="n">
        <v>3071160.56</v>
      </c>
      <c r="N1095" s="3" t="n">
        <v>1323309.59</v>
      </c>
      <c r="O1095" s="3" t="n">
        <v>0.4309</v>
      </c>
      <c r="P1095" s="3" t="n">
        <v>0</v>
      </c>
      <c r="Q1095" s="3" t="n">
        <v>0</v>
      </c>
      <c r="R1095" s="3" t="n">
        <v>33</v>
      </c>
      <c r="S1095" s="3" t="n">
        <v>8.8</v>
      </c>
      <c r="T1095" s="3" t="n">
        <v>1.3</v>
      </c>
      <c r="U1095" s="3"/>
      <c r="V1095" s="3" t="n">
        <v>7.14</v>
      </c>
      <c r="W1095" s="3" t="s">
        <v>5997</v>
      </c>
    </row>
    <row r="1096" customFormat="false" ht="15" hidden="false" customHeight="true" outlineLevel="0" collapsed="false">
      <c r="A1096" s="3" t="s">
        <v>7206</v>
      </c>
      <c r="B1096" s="3" t="s">
        <v>1704</v>
      </c>
      <c r="C1096" s="3" t="s">
        <v>2031</v>
      </c>
      <c r="D1096" s="3" t="s">
        <v>54</v>
      </c>
      <c r="E1096" s="3" t="s">
        <v>24</v>
      </c>
      <c r="F1096" s="3" t="s">
        <v>40</v>
      </c>
      <c r="G1096" s="3" t="s">
        <v>104</v>
      </c>
      <c r="H1096" s="3" t="s">
        <v>77</v>
      </c>
      <c r="I1096" s="3" t="s">
        <v>131</v>
      </c>
      <c r="J1096" s="3" t="s">
        <v>5996</v>
      </c>
      <c r="K1096" s="3" t="n">
        <v>970400.95</v>
      </c>
      <c r="L1096" s="3" t="n">
        <v>0.2809</v>
      </c>
      <c r="M1096" s="3" t="n">
        <v>697815.32</v>
      </c>
      <c r="N1096" s="3" t="n">
        <v>291499.8</v>
      </c>
      <c r="O1096" s="3" t="n">
        <v>0.4177</v>
      </c>
      <c r="P1096" s="3" t="n">
        <v>1</v>
      </c>
      <c r="Q1096" s="3" t="n">
        <v>697815.32</v>
      </c>
      <c r="R1096" s="3" t="n">
        <v>113</v>
      </c>
      <c r="S1096" s="3" t="n">
        <v>5.8</v>
      </c>
      <c r="T1096" s="3" t="n">
        <v>4.6</v>
      </c>
      <c r="U1096" s="3"/>
      <c r="V1096" s="3" t="n">
        <v>5.66</v>
      </c>
      <c r="W1096" s="3" t="s">
        <v>5990</v>
      </c>
    </row>
    <row r="1097" customFormat="false" ht="15" hidden="false" customHeight="true" outlineLevel="0" collapsed="false">
      <c r="A1097" s="3" t="s">
        <v>7207</v>
      </c>
      <c r="B1097" s="3" t="s">
        <v>3054</v>
      </c>
      <c r="C1097" s="3" t="s">
        <v>2057</v>
      </c>
      <c r="D1097" s="3" t="s">
        <v>103</v>
      </c>
      <c r="E1097" s="3" t="s">
        <v>24</v>
      </c>
      <c r="F1097" s="3" t="s">
        <v>62</v>
      </c>
      <c r="G1097" s="3" t="s">
        <v>34</v>
      </c>
      <c r="H1097" s="3" t="s">
        <v>27</v>
      </c>
      <c r="I1097" s="3" t="s">
        <v>28</v>
      </c>
      <c r="J1097" s="3" t="s">
        <v>5992</v>
      </c>
      <c r="K1097" s="3" t="n">
        <v>3005992.49</v>
      </c>
      <c r="L1097" s="3" t="n">
        <v>0.1026</v>
      </c>
      <c r="M1097" s="3" t="n">
        <v>2697577.66</v>
      </c>
      <c r="N1097" s="3" t="n">
        <v>924921.17</v>
      </c>
      <c r="O1097" s="3" t="n">
        <v>0.3429</v>
      </c>
      <c r="P1097" s="3" t="n">
        <v>0.696</v>
      </c>
      <c r="Q1097" s="3" t="n">
        <v>1877514.05</v>
      </c>
      <c r="R1097" s="3" t="n">
        <v>48</v>
      </c>
      <c r="S1097" s="3" t="n">
        <v>7.4</v>
      </c>
      <c r="T1097" s="3" t="n">
        <v>5.8</v>
      </c>
      <c r="U1097" s="3"/>
      <c r="V1097" s="3" t="n">
        <v>6.79</v>
      </c>
      <c r="W1097" s="3" t="s">
        <v>5997</v>
      </c>
    </row>
    <row r="1098" customFormat="false" ht="15" hidden="false" customHeight="true" outlineLevel="0" collapsed="false">
      <c r="A1098" s="3" t="s">
        <v>7208</v>
      </c>
      <c r="B1098" s="3" t="s">
        <v>382</v>
      </c>
      <c r="C1098" s="3" t="s">
        <v>3423</v>
      </c>
      <c r="D1098" s="3" t="s">
        <v>38</v>
      </c>
      <c r="E1098" s="3" t="s">
        <v>39</v>
      </c>
      <c r="F1098" s="3" t="s">
        <v>40</v>
      </c>
      <c r="G1098" s="3" t="s">
        <v>41</v>
      </c>
      <c r="H1098" s="3" t="s">
        <v>64</v>
      </c>
      <c r="I1098" s="3" t="s">
        <v>65</v>
      </c>
      <c r="J1098" s="3" t="s">
        <v>5999</v>
      </c>
      <c r="K1098" s="3" t="n">
        <v>1111611.64</v>
      </c>
      <c r="L1098" s="3" t="n">
        <v>0.1269</v>
      </c>
      <c r="M1098" s="3" t="n">
        <v>970548.12</v>
      </c>
      <c r="N1098" s="3" t="n">
        <v>363217.02</v>
      </c>
      <c r="O1098" s="3" t="n">
        <v>0.3742</v>
      </c>
      <c r="P1098" s="3" t="n">
        <v>0.449</v>
      </c>
      <c r="Q1098" s="3" t="n">
        <v>435776.11</v>
      </c>
      <c r="R1098" s="3" t="n">
        <v>19</v>
      </c>
      <c r="S1098" s="3" t="n">
        <v>10</v>
      </c>
      <c r="T1098" s="3" t="n">
        <v>6.4</v>
      </c>
      <c r="U1098" s="3"/>
      <c r="V1098" s="3" t="n">
        <v>7.4</v>
      </c>
      <c r="W1098" s="3" t="s">
        <v>5997</v>
      </c>
    </row>
    <row r="1099" customFormat="false" ht="15" hidden="false" customHeight="true" outlineLevel="0" collapsed="false">
      <c r="A1099" s="3" t="s">
        <v>7209</v>
      </c>
      <c r="B1099" s="3" t="s">
        <v>231</v>
      </c>
      <c r="C1099" s="3" t="s">
        <v>3592</v>
      </c>
      <c r="D1099" s="3" t="s">
        <v>97</v>
      </c>
      <c r="E1099" s="3" t="s">
        <v>48</v>
      </c>
      <c r="F1099" s="3" t="s">
        <v>40</v>
      </c>
      <c r="G1099" s="3" t="s">
        <v>84</v>
      </c>
      <c r="H1099" s="3" t="s">
        <v>77</v>
      </c>
      <c r="I1099" s="3" t="s">
        <v>78</v>
      </c>
      <c r="J1099" s="3" t="s">
        <v>5999</v>
      </c>
      <c r="K1099" s="3" t="n">
        <v>2024603.19</v>
      </c>
      <c r="L1099" s="3" t="n">
        <v>0.128</v>
      </c>
      <c r="M1099" s="3" t="n">
        <v>1765453.98</v>
      </c>
      <c r="N1099" s="3" t="n">
        <v>645528.3</v>
      </c>
      <c r="O1099" s="3" t="n">
        <v>0.3656</v>
      </c>
      <c r="P1099" s="3" t="n">
        <v>0.455</v>
      </c>
      <c r="Q1099" s="3" t="n">
        <v>803281.56</v>
      </c>
      <c r="R1099" s="3" t="n">
        <v>56</v>
      </c>
      <c r="S1099" s="3" t="n">
        <v>1.9</v>
      </c>
      <c r="T1099" s="3" t="n">
        <v>4.8</v>
      </c>
      <c r="U1099" s="3"/>
      <c r="V1099" s="3" t="n">
        <v>5.51</v>
      </c>
      <c r="W1099" s="3" t="s">
        <v>5990</v>
      </c>
    </row>
    <row r="1100" customFormat="false" ht="15" hidden="false" customHeight="true" outlineLevel="0" collapsed="false">
      <c r="A1100" s="3" t="s">
        <v>7210</v>
      </c>
      <c r="B1100" s="3" t="s">
        <v>3685</v>
      </c>
      <c r="C1100" s="3" t="s">
        <v>3434</v>
      </c>
      <c r="D1100" s="3" t="s">
        <v>61</v>
      </c>
      <c r="E1100" s="3" t="s">
        <v>33</v>
      </c>
      <c r="F1100" s="3" t="s">
        <v>62</v>
      </c>
      <c r="G1100" s="3" t="s">
        <v>49</v>
      </c>
      <c r="H1100" s="3" t="s">
        <v>64</v>
      </c>
      <c r="I1100" s="3" t="s">
        <v>145</v>
      </c>
      <c r="J1100" s="3" t="s">
        <v>5996</v>
      </c>
      <c r="K1100" s="3" t="n">
        <v>1332889.58</v>
      </c>
      <c r="L1100" s="3" t="n">
        <v>0.1154</v>
      </c>
      <c r="M1100" s="3" t="n">
        <v>1179074.12</v>
      </c>
      <c r="N1100" s="3" t="n">
        <v>400084.83</v>
      </c>
      <c r="O1100" s="3" t="n">
        <v>0.3393</v>
      </c>
      <c r="P1100" s="3" t="n">
        <v>0.991</v>
      </c>
      <c r="Q1100" s="3" t="n">
        <v>1168462.45</v>
      </c>
      <c r="R1100" s="3" t="n">
        <v>33</v>
      </c>
      <c r="S1100" s="3" t="n">
        <v>7.5</v>
      </c>
      <c r="T1100" s="3" t="n">
        <v>3.4</v>
      </c>
      <c r="U1100" s="3"/>
      <c r="V1100" s="3" t="n">
        <v>7.04</v>
      </c>
      <c r="W1100" s="3" t="s">
        <v>5997</v>
      </c>
    </row>
    <row r="1101" customFormat="false" ht="15" hidden="false" customHeight="true" outlineLevel="0" collapsed="false">
      <c r="A1101" s="3" t="s">
        <v>7211</v>
      </c>
      <c r="B1101" s="3" t="s">
        <v>4960</v>
      </c>
      <c r="C1101" s="3" t="s">
        <v>6611</v>
      </c>
      <c r="D1101" s="3" t="s">
        <v>83</v>
      </c>
      <c r="E1101" s="3" t="s">
        <v>48</v>
      </c>
      <c r="F1101" s="3" t="s">
        <v>62</v>
      </c>
      <c r="G1101" s="3" t="s">
        <v>116</v>
      </c>
      <c r="H1101" s="3" t="s">
        <v>56</v>
      </c>
      <c r="I1101" s="3" t="s">
        <v>121</v>
      </c>
      <c r="J1101" s="3" t="s">
        <v>5992</v>
      </c>
      <c r="K1101" s="3" t="n">
        <v>767745.6</v>
      </c>
      <c r="L1101" s="3" t="n">
        <v>0.1034</v>
      </c>
      <c r="M1101" s="3" t="n">
        <v>688360.7</v>
      </c>
      <c r="N1101" s="3" t="n">
        <v>232160.75</v>
      </c>
      <c r="O1101" s="3" t="n">
        <v>0.3373</v>
      </c>
      <c r="P1101" s="3" t="n">
        <v>0.713</v>
      </c>
      <c r="Q1101" s="3" t="n">
        <v>490801.18</v>
      </c>
      <c r="R1101" s="3" t="n">
        <v>83</v>
      </c>
      <c r="S1101" s="3" t="n">
        <v>8.2</v>
      </c>
      <c r="T1101" s="3" t="n">
        <v>3.5</v>
      </c>
      <c r="U1101" s="3"/>
      <c r="V1101" s="3" t="n">
        <v>7.3</v>
      </c>
      <c r="W1101" s="3" t="s">
        <v>5997</v>
      </c>
    </row>
    <row r="1102" customFormat="false" ht="15" hidden="false" customHeight="true" outlineLevel="0" collapsed="false">
      <c r="A1102" s="3" t="s">
        <v>7212</v>
      </c>
      <c r="B1102" s="3" t="s">
        <v>479</v>
      </c>
      <c r="C1102" s="3" t="s">
        <v>1870</v>
      </c>
      <c r="D1102" s="3" t="s">
        <v>23</v>
      </c>
      <c r="E1102" s="3" t="s">
        <v>24</v>
      </c>
      <c r="F1102" s="3" t="s">
        <v>25</v>
      </c>
      <c r="G1102" s="3" t="s">
        <v>76</v>
      </c>
      <c r="H1102" s="3" t="s">
        <v>42</v>
      </c>
      <c r="I1102" s="3" t="s">
        <v>72</v>
      </c>
      <c r="J1102" s="3" t="s">
        <v>5992</v>
      </c>
      <c r="K1102" s="3" t="n">
        <v>3936557.39</v>
      </c>
      <c r="L1102" s="3" t="n">
        <v>0.1488</v>
      </c>
      <c r="M1102" s="3" t="n">
        <v>3350797.65</v>
      </c>
      <c r="N1102" s="3" t="n">
        <v>1193367.76</v>
      </c>
      <c r="O1102" s="3" t="n">
        <v>0.3561</v>
      </c>
      <c r="P1102" s="3" t="n">
        <v>0.747</v>
      </c>
      <c r="Q1102" s="3" t="n">
        <v>2503045.84</v>
      </c>
      <c r="R1102" s="3" t="n">
        <v>91</v>
      </c>
      <c r="S1102" s="3" t="n">
        <v>1.7</v>
      </c>
      <c r="T1102" s="3" t="n">
        <v>3.4</v>
      </c>
      <c r="U1102" s="3"/>
      <c r="V1102" s="3" t="n">
        <v>5.43</v>
      </c>
      <c r="W1102" s="3" t="s">
        <v>5990</v>
      </c>
    </row>
    <row r="1103" customFormat="false" ht="15" hidden="false" customHeight="true" outlineLevel="0" collapsed="false">
      <c r="A1103" s="3" t="s">
        <v>7213</v>
      </c>
      <c r="B1103" s="3" t="s">
        <v>4693</v>
      </c>
      <c r="C1103" s="3" t="s">
        <v>3389</v>
      </c>
      <c r="D1103" s="3" t="s">
        <v>61</v>
      </c>
      <c r="E1103" s="3" t="s">
        <v>33</v>
      </c>
      <c r="F1103" s="3" t="s">
        <v>62</v>
      </c>
      <c r="G1103" s="3" t="s">
        <v>41</v>
      </c>
      <c r="H1103" s="3" t="s">
        <v>42</v>
      </c>
      <c r="I1103" s="3" t="s">
        <v>134</v>
      </c>
      <c r="J1103" s="3" t="s">
        <v>5992</v>
      </c>
      <c r="K1103" s="3" t="n">
        <v>2952803.9</v>
      </c>
      <c r="L1103" s="3" t="n">
        <v>0.1142</v>
      </c>
      <c r="M1103" s="3" t="n">
        <v>2615593.69</v>
      </c>
      <c r="N1103" s="3" t="n">
        <v>1056995.9</v>
      </c>
      <c r="O1103" s="3" t="n">
        <v>0.4041</v>
      </c>
      <c r="P1103" s="3" t="n">
        <v>0.656</v>
      </c>
      <c r="Q1103" s="3" t="n">
        <v>1715829.46</v>
      </c>
      <c r="R1103" s="3" t="n">
        <v>136</v>
      </c>
      <c r="S1103" s="3" t="n">
        <v>2.8</v>
      </c>
      <c r="T1103" s="3" t="n">
        <v>6.2</v>
      </c>
      <c r="U1103" s="3"/>
      <c r="V1103" s="3" t="n">
        <v>5.97</v>
      </c>
      <c r="W1103" s="3" t="s">
        <v>5990</v>
      </c>
    </row>
    <row r="1104" customFormat="false" ht="15" hidden="false" customHeight="true" outlineLevel="0" collapsed="false">
      <c r="A1104" s="3" t="s">
        <v>7214</v>
      </c>
      <c r="B1104" s="3" t="s">
        <v>1790</v>
      </c>
      <c r="C1104" s="3" t="s">
        <v>1357</v>
      </c>
      <c r="D1104" s="3" t="s">
        <v>54</v>
      </c>
      <c r="E1104" s="3" t="s">
        <v>24</v>
      </c>
      <c r="F1104" s="3" t="s">
        <v>40</v>
      </c>
      <c r="G1104" s="3" t="s">
        <v>84</v>
      </c>
      <c r="H1104" s="3" t="s">
        <v>64</v>
      </c>
      <c r="I1104" s="3" t="s">
        <v>108</v>
      </c>
      <c r="J1104" s="3" t="s">
        <v>5999</v>
      </c>
      <c r="K1104" s="3" t="n">
        <v>1444039.88</v>
      </c>
      <c r="L1104" s="3" t="n">
        <v>0.1491</v>
      </c>
      <c r="M1104" s="3" t="n">
        <v>1228733.53</v>
      </c>
      <c r="N1104" s="3" t="n">
        <v>358341.46</v>
      </c>
      <c r="O1104" s="3" t="n">
        <v>0.2916</v>
      </c>
      <c r="P1104" s="3" t="n">
        <v>0.473</v>
      </c>
      <c r="Q1104" s="3" t="n">
        <v>581190.96</v>
      </c>
      <c r="R1104" s="3" t="n">
        <v>68</v>
      </c>
      <c r="S1104" s="3" t="n">
        <v>4.2</v>
      </c>
      <c r="T1104" s="3" t="n">
        <v>3.4</v>
      </c>
      <c r="U1104" s="3"/>
      <c r="V1104" s="3" t="n">
        <v>5.57</v>
      </c>
      <c r="W1104" s="3" t="s">
        <v>5990</v>
      </c>
    </row>
    <row r="1105" customFormat="false" ht="15" hidden="false" customHeight="true" outlineLevel="0" collapsed="false">
      <c r="A1105" s="3" t="s">
        <v>7215</v>
      </c>
      <c r="B1105" s="3" t="s">
        <v>3448</v>
      </c>
      <c r="C1105" s="3" t="s">
        <v>2361</v>
      </c>
      <c r="D1105" s="3" t="s">
        <v>97</v>
      </c>
      <c r="E1105" s="3" t="s">
        <v>48</v>
      </c>
      <c r="F1105" s="3" t="s">
        <v>40</v>
      </c>
      <c r="G1105" s="3" t="s">
        <v>26</v>
      </c>
      <c r="H1105" s="3" t="s">
        <v>64</v>
      </c>
      <c r="I1105" s="3" t="s">
        <v>145</v>
      </c>
      <c r="J1105" s="3" t="s">
        <v>5992</v>
      </c>
      <c r="K1105" s="3" t="n">
        <v>603341.84</v>
      </c>
      <c r="L1105" s="3" t="n">
        <v>0.102</v>
      </c>
      <c r="M1105" s="3" t="n">
        <v>541800.97</v>
      </c>
      <c r="N1105" s="3" t="n">
        <v>241340.73</v>
      </c>
      <c r="O1105" s="3" t="n">
        <v>0.4454</v>
      </c>
      <c r="P1105" s="3" t="n">
        <v>0.729</v>
      </c>
      <c r="Q1105" s="3" t="n">
        <v>394972.91</v>
      </c>
      <c r="R1105" s="3" t="n">
        <v>119</v>
      </c>
      <c r="S1105" s="3" t="n">
        <v>5</v>
      </c>
      <c r="T1105" s="3" t="n">
        <v>8.7</v>
      </c>
      <c r="U1105" s="3"/>
      <c r="V1105" s="3" t="n">
        <v>6.56</v>
      </c>
      <c r="W1105" s="3" t="s">
        <v>5997</v>
      </c>
    </row>
    <row r="1106" customFormat="false" ht="15" hidden="false" customHeight="true" outlineLevel="0" collapsed="false">
      <c r="A1106" s="3" t="s">
        <v>7216</v>
      </c>
      <c r="B1106" s="3" t="s">
        <v>674</v>
      </c>
      <c r="C1106" s="3" t="s">
        <v>649</v>
      </c>
      <c r="D1106" s="3" t="s">
        <v>69</v>
      </c>
      <c r="E1106" s="3" t="s">
        <v>39</v>
      </c>
      <c r="F1106" s="3" t="s">
        <v>70</v>
      </c>
      <c r="G1106" s="3" t="s">
        <v>71</v>
      </c>
      <c r="H1106" s="3" t="s">
        <v>27</v>
      </c>
      <c r="I1106" s="3" t="s">
        <v>94</v>
      </c>
      <c r="J1106" s="3" t="s">
        <v>5999</v>
      </c>
      <c r="K1106" s="3" t="n">
        <v>180631.84</v>
      </c>
      <c r="L1106" s="3" t="n">
        <v>0.2632</v>
      </c>
      <c r="M1106" s="3" t="n">
        <v>133089.54</v>
      </c>
      <c r="N1106" s="3" t="n">
        <v>47596.29</v>
      </c>
      <c r="O1106" s="3" t="n">
        <v>0.3576</v>
      </c>
      <c r="P1106" s="3" t="n">
        <v>0.44</v>
      </c>
      <c r="Q1106" s="3" t="n">
        <v>58559.4</v>
      </c>
      <c r="R1106" s="3" t="n">
        <v>79</v>
      </c>
      <c r="S1106" s="3" t="n">
        <v>4.6</v>
      </c>
      <c r="T1106" s="3" t="n">
        <v>1.5</v>
      </c>
      <c r="U1106" s="3"/>
      <c r="V1106" s="3" t="n">
        <v>5.49</v>
      </c>
      <c r="W1106" s="3" t="s">
        <v>5990</v>
      </c>
    </row>
    <row r="1107" customFormat="false" ht="15" hidden="false" customHeight="true" outlineLevel="0" collapsed="false">
      <c r="A1107" s="3" t="s">
        <v>7217</v>
      </c>
      <c r="B1107" s="3" t="s">
        <v>565</v>
      </c>
      <c r="C1107" s="3" t="s">
        <v>1642</v>
      </c>
      <c r="D1107" s="3" t="s">
        <v>83</v>
      </c>
      <c r="E1107" s="3" t="s">
        <v>48</v>
      </c>
      <c r="F1107" s="3" t="s">
        <v>62</v>
      </c>
      <c r="G1107" s="3" t="s">
        <v>55</v>
      </c>
      <c r="H1107" s="3" t="s">
        <v>42</v>
      </c>
      <c r="I1107" s="3" t="s">
        <v>43</v>
      </c>
      <c r="J1107" s="3" t="s">
        <v>6003</v>
      </c>
      <c r="K1107" s="3" t="n">
        <v>3016902.87</v>
      </c>
      <c r="L1107" s="3" t="n">
        <v>0.2402</v>
      </c>
      <c r="M1107" s="3" t="n">
        <v>2292242.8</v>
      </c>
      <c r="N1107" s="3" t="n">
        <v>741236</v>
      </c>
      <c r="O1107" s="3" t="n">
        <v>0.3234</v>
      </c>
      <c r="P1107" s="3" t="n">
        <v>0.105</v>
      </c>
      <c r="Q1107" s="3" t="n">
        <v>240685.49</v>
      </c>
      <c r="R1107" s="3" t="n">
        <v>62</v>
      </c>
      <c r="S1107" s="3" t="n">
        <v>2.4</v>
      </c>
      <c r="T1107" s="3" t="n">
        <v>9.4</v>
      </c>
      <c r="U1107" s="3"/>
      <c r="V1107" s="3" t="n">
        <v>3.71</v>
      </c>
      <c r="W1107" s="3" t="s">
        <v>6000</v>
      </c>
    </row>
    <row r="1108" customFormat="false" ht="15" hidden="false" customHeight="true" outlineLevel="0" collapsed="false">
      <c r="A1108" s="3" t="s">
        <v>7218</v>
      </c>
      <c r="B1108" s="3" t="s">
        <v>281</v>
      </c>
      <c r="C1108" s="3" t="s">
        <v>7219</v>
      </c>
      <c r="D1108" s="3" t="s">
        <v>38</v>
      </c>
      <c r="E1108" s="3" t="s">
        <v>39</v>
      </c>
      <c r="F1108" s="3" t="s">
        <v>40</v>
      </c>
      <c r="G1108" s="3" t="s">
        <v>26</v>
      </c>
      <c r="H1108" s="3" t="s">
        <v>27</v>
      </c>
      <c r="I1108" s="3" t="s">
        <v>94</v>
      </c>
      <c r="J1108" s="3" t="s">
        <v>5989</v>
      </c>
      <c r="K1108" s="3" t="n">
        <v>4594873.54</v>
      </c>
      <c r="L1108" s="3" t="n">
        <v>0.1301</v>
      </c>
      <c r="M1108" s="3" t="n">
        <v>3997080.49</v>
      </c>
      <c r="N1108" s="3" t="n">
        <v>1564927.3</v>
      </c>
      <c r="O1108" s="3" t="n">
        <v>0.3915</v>
      </c>
      <c r="P1108" s="3" t="n">
        <v>0.23</v>
      </c>
      <c r="Q1108" s="3" t="n">
        <v>919328.51</v>
      </c>
      <c r="R1108" s="3" t="n">
        <v>142</v>
      </c>
      <c r="S1108" s="3" t="n">
        <v>6.7</v>
      </c>
      <c r="T1108" s="3" t="n">
        <v>3.9</v>
      </c>
      <c r="U1108" s="3"/>
      <c r="V1108" s="3" t="n">
        <v>7.06</v>
      </c>
      <c r="W1108" s="3" t="s">
        <v>5997</v>
      </c>
    </row>
    <row r="1109" customFormat="false" ht="15" hidden="false" customHeight="true" outlineLevel="0" collapsed="false">
      <c r="A1109" s="3" t="s">
        <v>7220</v>
      </c>
      <c r="B1109" s="3" t="s">
        <v>459</v>
      </c>
      <c r="C1109" s="3" t="s">
        <v>3205</v>
      </c>
      <c r="D1109" s="3" t="s">
        <v>32</v>
      </c>
      <c r="E1109" s="3" t="s">
        <v>33</v>
      </c>
      <c r="F1109" s="3" t="s">
        <v>25</v>
      </c>
      <c r="G1109" s="3" t="s">
        <v>63</v>
      </c>
      <c r="H1109" s="3" t="s">
        <v>42</v>
      </c>
      <c r="I1109" s="3" t="s">
        <v>43</v>
      </c>
      <c r="J1109" s="3" t="s">
        <v>5992</v>
      </c>
      <c r="K1109" s="3" t="n">
        <v>1761309.1</v>
      </c>
      <c r="L1109" s="3" t="n">
        <v>0.2212</v>
      </c>
      <c r="M1109" s="3" t="n">
        <v>1371707.53</v>
      </c>
      <c r="N1109" s="3" t="n">
        <v>585685.64</v>
      </c>
      <c r="O1109" s="3" t="n">
        <v>0.427</v>
      </c>
      <c r="P1109" s="3" t="n">
        <v>0.747</v>
      </c>
      <c r="Q1109" s="3" t="n">
        <v>1024665.52</v>
      </c>
      <c r="R1109" s="3" t="n">
        <v>131</v>
      </c>
      <c r="S1109" s="3" t="n">
        <v>4</v>
      </c>
      <c r="T1109" s="3" t="n">
        <v>7.9</v>
      </c>
      <c r="U1109" s="3"/>
      <c r="V1109" s="3" t="n">
        <v>5.29</v>
      </c>
      <c r="W1109" s="3" t="s">
        <v>5990</v>
      </c>
    </row>
    <row r="1110" customFormat="false" ht="15" hidden="false" customHeight="true" outlineLevel="0" collapsed="false">
      <c r="A1110" s="3" t="s">
        <v>7221</v>
      </c>
      <c r="B1110" s="3" t="s">
        <v>3648</v>
      </c>
      <c r="C1110" s="3" t="s">
        <v>6330</v>
      </c>
      <c r="D1110" s="3" t="s">
        <v>23</v>
      </c>
      <c r="E1110" s="3" t="s">
        <v>24</v>
      </c>
      <c r="F1110" s="3" t="s">
        <v>25</v>
      </c>
      <c r="G1110" s="3" t="s">
        <v>116</v>
      </c>
      <c r="H1110" s="3" t="s">
        <v>77</v>
      </c>
      <c r="I1110" s="3" t="s">
        <v>131</v>
      </c>
      <c r="J1110" s="3" t="s">
        <v>5999</v>
      </c>
      <c r="K1110" s="3" t="n">
        <v>4694882.16</v>
      </c>
      <c r="L1110" s="3" t="n">
        <v>0.2384</v>
      </c>
      <c r="M1110" s="3" t="n">
        <v>3575622.25</v>
      </c>
      <c r="N1110" s="3" t="n">
        <v>1054115.43</v>
      </c>
      <c r="O1110" s="3" t="n">
        <v>0.2948</v>
      </c>
      <c r="P1110" s="3" t="n">
        <v>0.488</v>
      </c>
      <c r="Q1110" s="3" t="n">
        <v>1744903.66</v>
      </c>
      <c r="R1110" s="3" t="n">
        <v>132</v>
      </c>
      <c r="S1110" s="3" t="n">
        <v>2.6</v>
      </c>
      <c r="T1110" s="3" t="n">
        <v>3.1</v>
      </c>
      <c r="U1110" s="3"/>
      <c r="V1110" s="3" t="n">
        <v>4.52</v>
      </c>
      <c r="W1110" s="3" t="s">
        <v>6000</v>
      </c>
    </row>
    <row r="1111" customFormat="false" ht="15" hidden="false" customHeight="true" outlineLevel="0" collapsed="false">
      <c r="A1111" s="3" t="s">
        <v>7222</v>
      </c>
      <c r="B1111" s="3" t="s">
        <v>1304</v>
      </c>
      <c r="C1111" s="3" t="s">
        <v>7223</v>
      </c>
      <c r="D1111" s="3" t="s">
        <v>107</v>
      </c>
      <c r="E1111" s="3" t="s">
        <v>33</v>
      </c>
      <c r="F1111" s="3" t="s">
        <v>70</v>
      </c>
      <c r="G1111" s="3" t="s">
        <v>76</v>
      </c>
      <c r="H1111" s="3" t="s">
        <v>27</v>
      </c>
      <c r="I1111" s="3" t="s">
        <v>50</v>
      </c>
      <c r="J1111" s="3" t="s">
        <v>5996</v>
      </c>
      <c r="K1111" s="3" t="n">
        <v>2077196.87</v>
      </c>
      <c r="L1111" s="3" t="n">
        <v>0.2564</v>
      </c>
      <c r="M1111" s="3" t="n">
        <v>1544603.59</v>
      </c>
      <c r="N1111" s="3" t="n">
        <v>633007.24</v>
      </c>
      <c r="O1111" s="3" t="n">
        <v>0.4098</v>
      </c>
      <c r="P1111" s="3" t="n">
        <v>1</v>
      </c>
      <c r="Q1111" s="3" t="n">
        <v>1544603.59</v>
      </c>
      <c r="R1111" s="3" t="n">
        <v>82</v>
      </c>
      <c r="S1111" s="3" t="n">
        <v>5.1</v>
      </c>
      <c r="T1111" s="3" t="n">
        <v>2.8</v>
      </c>
      <c r="U1111" s="3"/>
      <c r="V1111" s="3" t="n">
        <v>5.91</v>
      </c>
      <c r="W1111" s="3" t="s">
        <v>5990</v>
      </c>
    </row>
    <row r="1112" customFormat="false" ht="15" hidden="false" customHeight="true" outlineLevel="0" collapsed="false">
      <c r="A1112" s="3" t="s">
        <v>7224</v>
      </c>
      <c r="B1112" s="3" t="s">
        <v>3818</v>
      </c>
      <c r="C1112" s="3" t="s">
        <v>2561</v>
      </c>
      <c r="D1112" s="3" t="s">
        <v>32</v>
      </c>
      <c r="E1112" s="3" t="s">
        <v>33</v>
      </c>
      <c r="F1112" s="3" t="s">
        <v>25</v>
      </c>
      <c r="G1112" s="3" t="s">
        <v>76</v>
      </c>
      <c r="H1112" s="3" t="s">
        <v>27</v>
      </c>
      <c r="I1112" s="3" t="s">
        <v>50</v>
      </c>
      <c r="J1112" s="3" t="s">
        <v>5999</v>
      </c>
      <c r="K1112" s="3" t="n">
        <v>1101524.31</v>
      </c>
      <c r="L1112" s="3" t="n">
        <v>0.186</v>
      </c>
      <c r="M1112" s="3" t="n">
        <v>896640.79</v>
      </c>
      <c r="N1112" s="3" t="n">
        <v>372743.32</v>
      </c>
      <c r="O1112" s="3" t="n">
        <v>0.4157</v>
      </c>
      <c r="P1112" s="3" t="n">
        <v>0.48</v>
      </c>
      <c r="Q1112" s="3" t="n">
        <v>430387.58</v>
      </c>
      <c r="R1112" s="3" t="n">
        <v>99</v>
      </c>
      <c r="S1112" s="3" t="n">
        <v>1.8</v>
      </c>
      <c r="T1112" s="3" t="n">
        <v>6.9</v>
      </c>
      <c r="U1112" s="3"/>
      <c r="V1112" s="3" t="n">
        <v>5.08</v>
      </c>
      <c r="W1112" s="3" t="s">
        <v>5990</v>
      </c>
    </row>
    <row r="1113" customFormat="false" ht="15" hidden="false" customHeight="true" outlineLevel="0" collapsed="false">
      <c r="A1113" s="3" t="s">
        <v>7225</v>
      </c>
      <c r="B1113" s="3" t="s">
        <v>585</v>
      </c>
      <c r="C1113" s="3" t="s">
        <v>2694</v>
      </c>
      <c r="D1113" s="3" t="s">
        <v>75</v>
      </c>
      <c r="E1113" s="3" t="s">
        <v>39</v>
      </c>
      <c r="F1113" s="3" t="s">
        <v>25</v>
      </c>
      <c r="G1113" s="3" t="s">
        <v>71</v>
      </c>
      <c r="H1113" s="3" t="s">
        <v>27</v>
      </c>
      <c r="I1113" s="3" t="s">
        <v>94</v>
      </c>
      <c r="J1113" s="3" t="s">
        <v>5996</v>
      </c>
      <c r="K1113" s="3" t="n">
        <v>3252876.55</v>
      </c>
      <c r="L1113" s="3" t="n">
        <v>0.1757</v>
      </c>
      <c r="M1113" s="3" t="n">
        <v>2681346.14</v>
      </c>
      <c r="N1113" s="3" t="n">
        <v>986819.48</v>
      </c>
      <c r="O1113" s="3" t="n">
        <v>0.368</v>
      </c>
      <c r="P1113" s="3" t="n">
        <v>0.963</v>
      </c>
      <c r="Q1113" s="3" t="n">
        <v>2582136.33</v>
      </c>
      <c r="R1113" s="3" t="n">
        <v>34</v>
      </c>
      <c r="S1113" s="3" t="n">
        <v>1.5</v>
      </c>
      <c r="T1113" s="3" t="n">
        <v>4.2</v>
      </c>
      <c r="U1113" s="3"/>
      <c r="V1113" s="3" t="n">
        <v>5.14</v>
      </c>
      <c r="W1113" s="3" t="s">
        <v>5990</v>
      </c>
    </row>
    <row r="1114" customFormat="false" ht="15" hidden="false" customHeight="true" outlineLevel="0" collapsed="false">
      <c r="A1114" s="3" t="s">
        <v>7226</v>
      </c>
      <c r="B1114" s="3" t="s">
        <v>1148</v>
      </c>
      <c r="C1114" s="3" t="s">
        <v>6540</v>
      </c>
      <c r="D1114" s="3" t="s">
        <v>38</v>
      </c>
      <c r="E1114" s="3" t="s">
        <v>39</v>
      </c>
      <c r="F1114" s="3" t="s">
        <v>40</v>
      </c>
      <c r="G1114" s="3" t="s">
        <v>100</v>
      </c>
      <c r="H1114" s="3" t="s">
        <v>64</v>
      </c>
      <c r="I1114" s="3" t="s">
        <v>65</v>
      </c>
      <c r="J1114" s="3" t="s">
        <v>5992</v>
      </c>
      <c r="K1114" s="3" t="n">
        <v>3107292.15</v>
      </c>
      <c r="L1114" s="3" t="n">
        <v>0.1086</v>
      </c>
      <c r="M1114" s="3" t="n">
        <v>2769840.22</v>
      </c>
      <c r="N1114" s="3" t="n">
        <v>777107.12</v>
      </c>
      <c r="O1114" s="3" t="n">
        <v>0.2806</v>
      </c>
      <c r="P1114" s="3" t="n">
        <v>0.715</v>
      </c>
      <c r="Q1114" s="3" t="n">
        <v>1980435.76</v>
      </c>
      <c r="R1114" s="3" t="n">
        <v>52</v>
      </c>
      <c r="S1114" s="3" t="n">
        <v>2.7</v>
      </c>
      <c r="T1114" s="3" t="n">
        <v>7.4</v>
      </c>
      <c r="U1114" s="3"/>
      <c r="V1114" s="3" t="n">
        <v>4.83</v>
      </c>
      <c r="W1114" s="3" t="s">
        <v>6000</v>
      </c>
    </row>
    <row r="1115" customFormat="false" ht="15" hidden="false" customHeight="true" outlineLevel="0" collapsed="false">
      <c r="A1115" s="3" t="s">
        <v>7227</v>
      </c>
      <c r="B1115" s="3" t="s">
        <v>1345</v>
      </c>
      <c r="C1115" s="3" t="s">
        <v>6505</v>
      </c>
      <c r="D1115" s="3" t="s">
        <v>75</v>
      </c>
      <c r="E1115" s="3" t="s">
        <v>39</v>
      </c>
      <c r="F1115" s="3" t="s">
        <v>25</v>
      </c>
      <c r="G1115" s="3" t="s">
        <v>84</v>
      </c>
      <c r="H1115" s="3" t="s">
        <v>42</v>
      </c>
      <c r="I1115" s="3" t="s">
        <v>43</v>
      </c>
      <c r="J1115" s="3" t="s">
        <v>5999</v>
      </c>
      <c r="K1115" s="3" t="n">
        <v>4582204.51</v>
      </c>
      <c r="L1115" s="3" t="n">
        <v>0.198</v>
      </c>
      <c r="M1115" s="3" t="n">
        <v>3674928.02</v>
      </c>
      <c r="N1115" s="3" t="n">
        <v>1730429.55</v>
      </c>
      <c r="O1115" s="3" t="n">
        <v>0.4709</v>
      </c>
      <c r="P1115" s="3" t="n">
        <v>0.487</v>
      </c>
      <c r="Q1115" s="3" t="n">
        <v>1789689.95</v>
      </c>
      <c r="R1115" s="3" t="n">
        <v>117</v>
      </c>
      <c r="S1115" s="3" t="n">
        <v>2.8</v>
      </c>
      <c r="T1115" s="3" t="n">
        <v>5.9</v>
      </c>
      <c r="U1115" s="3"/>
      <c r="V1115" s="3" t="n">
        <v>5.67</v>
      </c>
      <c r="W1115" s="3" t="s">
        <v>5990</v>
      </c>
    </row>
    <row r="1116" customFormat="false" ht="15" hidden="false" customHeight="true" outlineLevel="0" collapsed="false">
      <c r="A1116" s="3" t="s">
        <v>7228</v>
      </c>
      <c r="B1116" s="3" t="s">
        <v>944</v>
      </c>
      <c r="C1116" s="3" t="s">
        <v>984</v>
      </c>
      <c r="D1116" s="3" t="s">
        <v>107</v>
      </c>
      <c r="E1116" s="3" t="s">
        <v>33</v>
      </c>
      <c r="F1116" s="3" t="s">
        <v>70</v>
      </c>
      <c r="G1116" s="3" t="s">
        <v>26</v>
      </c>
      <c r="H1116" s="3" t="s">
        <v>64</v>
      </c>
      <c r="I1116" s="3" t="s">
        <v>90</v>
      </c>
      <c r="J1116" s="3" t="s">
        <v>5999</v>
      </c>
      <c r="K1116" s="3" t="n">
        <v>1483137.66</v>
      </c>
      <c r="L1116" s="3" t="n">
        <v>0.2209</v>
      </c>
      <c r="M1116" s="3" t="n">
        <v>1155512.55</v>
      </c>
      <c r="N1116" s="3" t="n">
        <v>550396.04</v>
      </c>
      <c r="O1116" s="3" t="n">
        <v>0.4763</v>
      </c>
      <c r="P1116" s="3" t="n">
        <v>0.495</v>
      </c>
      <c r="Q1116" s="3" t="n">
        <v>571978.71</v>
      </c>
      <c r="R1116" s="3" t="n">
        <v>167</v>
      </c>
      <c r="S1116" s="3" t="n">
        <v>7</v>
      </c>
      <c r="T1116" s="3" t="n">
        <v>5.4</v>
      </c>
      <c r="U1116" s="3"/>
      <c r="V1116" s="3" t="n">
        <v>6.59</v>
      </c>
      <c r="W1116" s="3" t="s">
        <v>5997</v>
      </c>
    </row>
    <row r="1117" customFormat="false" ht="15" hidden="false" customHeight="true" outlineLevel="0" collapsed="false">
      <c r="A1117" s="3" t="s">
        <v>7229</v>
      </c>
      <c r="B1117" s="3" t="s">
        <v>1475</v>
      </c>
      <c r="C1117" s="3" t="s">
        <v>3501</v>
      </c>
      <c r="D1117" s="3" t="s">
        <v>103</v>
      </c>
      <c r="E1117" s="3" t="s">
        <v>24</v>
      </c>
      <c r="F1117" s="3" t="s">
        <v>62</v>
      </c>
      <c r="G1117" s="3" t="s">
        <v>71</v>
      </c>
      <c r="H1117" s="3" t="s">
        <v>42</v>
      </c>
      <c r="I1117" s="3" t="s">
        <v>72</v>
      </c>
      <c r="J1117" s="3" t="s">
        <v>5999</v>
      </c>
      <c r="K1117" s="3" t="n">
        <v>1858469.14</v>
      </c>
      <c r="L1117" s="3" t="n">
        <v>0.2573</v>
      </c>
      <c r="M1117" s="3" t="n">
        <v>1380285.03</v>
      </c>
      <c r="N1117" s="3" t="n">
        <v>565906.33</v>
      </c>
      <c r="O1117" s="3" t="n">
        <v>0.41</v>
      </c>
      <c r="P1117" s="3" t="n">
        <v>0.414</v>
      </c>
      <c r="Q1117" s="3" t="n">
        <v>571438</v>
      </c>
      <c r="R1117" s="3" t="n">
        <v>43</v>
      </c>
      <c r="S1117" s="3" t="n">
        <v>3</v>
      </c>
      <c r="T1117" s="3" t="n">
        <v>4</v>
      </c>
      <c r="U1117" s="3"/>
      <c r="V1117" s="3" t="n">
        <v>5.19</v>
      </c>
      <c r="W1117" s="3" t="s">
        <v>5990</v>
      </c>
    </row>
    <row r="1118" customFormat="false" ht="15" hidden="false" customHeight="true" outlineLevel="0" collapsed="false">
      <c r="A1118" s="3" t="s">
        <v>7230</v>
      </c>
      <c r="B1118" s="3" t="s">
        <v>1966</v>
      </c>
      <c r="C1118" s="3" t="s">
        <v>323</v>
      </c>
      <c r="D1118" s="3" t="s">
        <v>69</v>
      </c>
      <c r="E1118" s="3" t="s">
        <v>39</v>
      </c>
      <c r="F1118" s="3" t="s">
        <v>70</v>
      </c>
      <c r="G1118" s="3" t="s">
        <v>41</v>
      </c>
      <c r="H1118" s="3" t="s">
        <v>27</v>
      </c>
      <c r="I1118" s="3" t="s">
        <v>28</v>
      </c>
      <c r="J1118" s="3" t="s">
        <v>5999</v>
      </c>
      <c r="K1118" s="3" t="n">
        <v>1299788.68</v>
      </c>
      <c r="L1118" s="3" t="n">
        <v>0.299</v>
      </c>
      <c r="M1118" s="3" t="n">
        <v>911151.86</v>
      </c>
      <c r="N1118" s="3" t="n">
        <v>358692.87</v>
      </c>
      <c r="O1118" s="3" t="n">
        <v>0.3937</v>
      </c>
      <c r="P1118" s="3" t="n">
        <v>0.443</v>
      </c>
      <c r="Q1118" s="3" t="n">
        <v>403640.27</v>
      </c>
      <c r="R1118" s="3" t="n">
        <v>113</v>
      </c>
      <c r="S1118" s="3" t="n">
        <v>3</v>
      </c>
      <c r="T1118" s="3" t="n">
        <v>1.6</v>
      </c>
      <c r="U1118" s="3"/>
      <c r="V1118" s="3" t="n">
        <v>5.05</v>
      </c>
      <c r="W1118" s="3" t="s">
        <v>5990</v>
      </c>
    </row>
    <row r="1119" customFormat="false" ht="15" hidden="false" customHeight="true" outlineLevel="0" collapsed="false">
      <c r="A1119" s="3" t="s">
        <v>7231</v>
      </c>
      <c r="B1119" s="3" t="s">
        <v>1123</v>
      </c>
      <c r="C1119" s="3" t="s">
        <v>607</v>
      </c>
      <c r="D1119" s="3" t="s">
        <v>83</v>
      </c>
      <c r="E1119" s="3" t="s">
        <v>48</v>
      </c>
      <c r="F1119" s="3" t="s">
        <v>62</v>
      </c>
      <c r="G1119" s="3" t="s">
        <v>76</v>
      </c>
      <c r="H1119" s="3" t="s">
        <v>42</v>
      </c>
      <c r="I1119" s="3" t="s">
        <v>134</v>
      </c>
      <c r="J1119" s="3" t="s">
        <v>5989</v>
      </c>
      <c r="K1119" s="3" t="n">
        <v>1092123.73</v>
      </c>
      <c r="L1119" s="3" t="n">
        <v>0.0716</v>
      </c>
      <c r="M1119" s="3" t="n">
        <v>1013927.67</v>
      </c>
      <c r="N1119" s="3" t="n">
        <v>382246.6</v>
      </c>
      <c r="O1119" s="3" t="n">
        <v>0.377</v>
      </c>
      <c r="P1119" s="3" t="n">
        <v>0.207</v>
      </c>
      <c r="Q1119" s="3" t="n">
        <v>209883.03</v>
      </c>
      <c r="R1119" s="3" t="n">
        <v>44</v>
      </c>
      <c r="S1119" s="3" t="n">
        <v>7.5</v>
      </c>
      <c r="T1119" s="3" t="n">
        <v>9.2</v>
      </c>
      <c r="U1119" s="3"/>
      <c r="V1119" s="3" t="n">
        <v>6.83</v>
      </c>
      <c r="W1119" s="3" t="s">
        <v>5997</v>
      </c>
    </row>
    <row r="1120" customFormat="false" ht="15" hidden="false" customHeight="true" outlineLevel="0" collapsed="false">
      <c r="A1120" s="3" t="s">
        <v>7232</v>
      </c>
      <c r="B1120" s="3" t="s">
        <v>1783</v>
      </c>
      <c r="C1120" s="3" t="s">
        <v>674</v>
      </c>
      <c r="D1120" s="3" t="s">
        <v>103</v>
      </c>
      <c r="E1120" s="3" t="s">
        <v>24</v>
      </c>
      <c r="F1120" s="3" t="s">
        <v>62</v>
      </c>
      <c r="G1120" s="3" t="s">
        <v>104</v>
      </c>
      <c r="H1120" s="3" t="s">
        <v>77</v>
      </c>
      <c r="I1120" s="3" t="s">
        <v>131</v>
      </c>
      <c r="J1120" s="3" t="s">
        <v>5996</v>
      </c>
      <c r="K1120" s="3" t="n">
        <v>1767671.53</v>
      </c>
      <c r="L1120" s="3" t="n">
        <v>0.1301</v>
      </c>
      <c r="M1120" s="3" t="n">
        <v>1537697.46</v>
      </c>
      <c r="N1120" s="3" t="n">
        <v>668253</v>
      </c>
      <c r="O1120" s="3" t="n">
        <v>0.4346</v>
      </c>
      <c r="P1120" s="3" t="n">
        <v>1</v>
      </c>
      <c r="Q1120" s="3" t="n">
        <v>1537697.46</v>
      </c>
      <c r="R1120" s="3" t="n">
        <v>115</v>
      </c>
      <c r="S1120" s="3" t="n">
        <v>9.4</v>
      </c>
      <c r="T1120" s="3" t="n">
        <v>7.6</v>
      </c>
      <c r="U1120" s="3"/>
      <c r="V1120" s="3" t="n">
        <v>7.53</v>
      </c>
      <c r="W1120" s="3" t="s">
        <v>5997</v>
      </c>
    </row>
    <row r="1121" customFormat="false" ht="15" hidden="false" customHeight="true" outlineLevel="0" collapsed="false">
      <c r="A1121" s="3" t="s">
        <v>7233</v>
      </c>
      <c r="B1121" s="3" t="s">
        <v>5689</v>
      </c>
      <c r="C1121" s="3" t="s">
        <v>2799</v>
      </c>
      <c r="D1121" s="3" t="s">
        <v>107</v>
      </c>
      <c r="E1121" s="3" t="s">
        <v>33</v>
      </c>
      <c r="F1121" s="3" t="s">
        <v>70</v>
      </c>
      <c r="G1121" s="3" t="s">
        <v>49</v>
      </c>
      <c r="H1121" s="3" t="s">
        <v>42</v>
      </c>
      <c r="I1121" s="3" t="s">
        <v>134</v>
      </c>
      <c r="J1121" s="3" t="s">
        <v>6003</v>
      </c>
      <c r="K1121" s="3" t="n">
        <v>1968171.07</v>
      </c>
      <c r="L1121" s="3" t="n">
        <v>0.2812</v>
      </c>
      <c r="M1121" s="3" t="n">
        <v>1414721.37</v>
      </c>
      <c r="N1121" s="3" t="n">
        <v>598387.14</v>
      </c>
      <c r="O1121" s="3" t="n">
        <v>0.423</v>
      </c>
      <c r="P1121" s="3" t="n">
        <v>0.085</v>
      </c>
      <c r="Q1121" s="3" t="n">
        <v>120251.32</v>
      </c>
      <c r="R1121" s="3" t="n">
        <v>17</v>
      </c>
      <c r="S1121" s="3" t="n">
        <v>5.7</v>
      </c>
      <c r="T1121" s="3" t="n">
        <v>2.9</v>
      </c>
      <c r="U1121" s="3"/>
      <c r="V1121" s="3" t="n">
        <v>5.93</v>
      </c>
      <c r="W1121" s="3" t="s">
        <v>5990</v>
      </c>
    </row>
    <row r="1122" customFormat="false" ht="15" hidden="false" customHeight="true" outlineLevel="0" collapsed="false">
      <c r="A1122" s="3" t="s">
        <v>7234</v>
      </c>
      <c r="B1122" s="3" t="s">
        <v>1216</v>
      </c>
      <c r="C1122" s="3" t="s">
        <v>2059</v>
      </c>
      <c r="D1122" s="3" t="s">
        <v>47</v>
      </c>
      <c r="E1122" s="3" t="s">
        <v>48</v>
      </c>
      <c r="F1122" s="3" t="s">
        <v>25</v>
      </c>
      <c r="G1122" s="3" t="s">
        <v>41</v>
      </c>
      <c r="H1122" s="3" t="s">
        <v>27</v>
      </c>
      <c r="I1122" s="3" t="s">
        <v>173</v>
      </c>
      <c r="J1122" s="3" t="s">
        <v>5989</v>
      </c>
      <c r="K1122" s="3" t="n">
        <v>2824675.48</v>
      </c>
      <c r="L1122" s="3" t="n">
        <v>0.1205</v>
      </c>
      <c r="M1122" s="3" t="n">
        <v>2484302.08</v>
      </c>
      <c r="N1122" s="3" t="n">
        <v>905166.78</v>
      </c>
      <c r="O1122" s="3" t="n">
        <v>0.3644</v>
      </c>
      <c r="P1122" s="3" t="n">
        <v>0.215</v>
      </c>
      <c r="Q1122" s="3" t="n">
        <v>534124.95</v>
      </c>
      <c r="R1122" s="3" t="n">
        <v>162</v>
      </c>
      <c r="S1122" s="3" t="n">
        <v>7.6</v>
      </c>
      <c r="T1122" s="3" t="n">
        <v>5.8</v>
      </c>
      <c r="U1122" s="3"/>
      <c r="V1122" s="3" t="n">
        <v>6.86</v>
      </c>
      <c r="W1122" s="3" t="s">
        <v>5997</v>
      </c>
    </row>
    <row r="1123" customFormat="false" ht="15" hidden="false" customHeight="true" outlineLevel="0" collapsed="false">
      <c r="A1123" s="3" t="s">
        <v>7235</v>
      </c>
      <c r="B1123" s="3" t="s">
        <v>1704</v>
      </c>
      <c r="C1123" s="3" t="s">
        <v>1870</v>
      </c>
      <c r="D1123" s="3" t="s">
        <v>107</v>
      </c>
      <c r="E1123" s="3" t="s">
        <v>33</v>
      </c>
      <c r="F1123" s="3" t="s">
        <v>70</v>
      </c>
      <c r="G1123" s="3" t="s">
        <v>100</v>
      </c>
      <c r="H1123" s="3" t="s">
        <v>77</v>
      </c>
      <c r="I1123" s="3" t="s">
        <v>78</v>
      </c>
      <c r="J1123" s="3" t="s">
        <v>5992</v>
      </c>
      <c r="K1123" s="3" t="n">
        <v>121963.87</v>
      </c>
      <c r="L1123" s="3" t="n">
        <v>0.0578</v>
      </c>
      <c r="M1123" s="3" t="n">
        <v>114914.36</v>
      </c>
      <c r="N1123" s="3" t="n">
        <v>40623.86</v>
      </c>
      <c r="O1123" s="3" t="n">
        <v>0.3535</v>
      </c>
      <c r="P1123" s="3" t="n">
        <v>0.703</v>
      </c>
      <c r="Q1123" s="3" t="n">
        <v>80784.8</v>
      </c>
      <c r="R1123" s="3" t="n">
        <v>60</v>
      </c>
      <c r="S1123" s="3" t="n">
        <v>3.6</v>
      </c>
      <c r="T1123" s="3" t="n">
        <v>3.8</v>
      </c>
      <c r="U1123" s="3"/>
      <c r="V1123" s="3" t="n">
        <v>6.62</v>
      </c>
      <c r="W1123" s="3" t="s">
        <v>5997</v>
      </c>
    </row>
    <row r="1124" customFormat="false" ht="15" hidden="false" customHeight="true" outlineLevel="0" collapsed="false">
      <c r="A1124" s="3" t="s">
        <v>7236</v>
      </c>
      <c r="B1124" s="3" t="s">
        <v>580</v>
      </c>
      <c r="C1124" s="3" t="s">
        <v>2426</v>
      </c>
      <c r="D1124" s="3" t="s">
        <v>69</v>
      </c>
      <c r="E1124" s="3" t="s">
        <v>39</v>
      </c>
      <c r="F1124" s="3" t="s">
        <v>70</v>
      </c>
      <c r="G1124" s="3" t="s">
        <v>41</v>
      </c>
      <c r="H1124" s="3" t="s">
        <v>27</v>
      </c>
      <c r="I1124" s="3" t="s">
        <v>50</v>
      </c>
      <c r="J1124" s="3" t="s">
        <v>5996</v>
      </c>
      <c r="K1124" s="3" t="n">
        <v>3746680.68</v>
      </c>
      <c r="L1124" s="3" t="n">
        <v>0.1563</v>
      </c>
      <c r="M1124" s="3" t="n">
        <v>3161074.49</v>
      </c>
      <c r="N1124" s="3" t="n">
        <v>917621.72</v>
      </c>
      <c r="O1124" s="3" t="n">
        <v>0.2903</v>
      </c>
      <c r="P1124" s="3" t="n">
        <v>1</v>
      </c>
      <c r="Q1124" s="3" t="n">
        <v>3161074.49</v>
      </c>
      <c r="R1124" s="3" t="n">
        <v>124</v>
      </c>
      <c r="S1124" s="3" t="n">
        <v>9.4</v>
      </c>
      <c r="T1124" s="3" t="n">
        <v>3.1</v>
      </c>
      <c r="U1124" s="3"/>
      <c r="V1124" s="3" t="n">
        <v>6.86</v>
      </c>
      <c r="W1124" s="3" t="s">
        <v>5997</v>
      </c>
    </row>
    <row r="1125" customFormat="false" ht="15" hidden="false" customHeight="true" outlineLevel="0" collapsed="false">
      <c r="A1125" s="3" t="s">
        <v>7237</v>
      </c>
      <c r="B1125" s="3" t="s">
        <v>2412</v>
      </c>
      <c r="C1125" s="3" t="s">
        <v>292</v>
      </c>
      <c r="D1125" s="3" t="s">
        <v>83</v>
      </c>
      <c r="E1125" s="3" t="s">
        <v>48</v>
      </c>
      <c r="F1125" s="3" t="s">
        <v>62</v>
      </c>
      <c r="G1125" s="3" t="s">
        <v>71</v>
      </c>
      <c r="H1125" s="3" t="s">
        <v>27</v>
      </c>
      <c r="I1125" s="3" t="s">
        <v>173</v>
      </c>
      <c r="J1125" s="3" t="s">
        <v>5989</v>
      </c>
      <c r="K1125" s="3" t="n">
        <v>4565423</v>
      </c>
      <c r="L1125" s="3" t="n">
        <v>0.2264</v>
      </c>
      <c r="M1125" s="3" t="n">
        <v>3531811.23</v>
      </c>
      <c r="N1125" s="3" t="n">
        <v>1062300.5</v>
      </c>
      <c r="O1125" s="3" t="n">
        <v>0.3008</v>
      </c>
      <c r="P1125" s="3" t="n">
        <v>0.285</v>
      </c>
      <c r="Q1125" s="3" t="n">
        <v>1006566.2</v>
      </c>
      <c r="R1125" s="3" t="n">
        <v>177</v>
      </c>
      <c r="S1125" s="3" t="n">
        <v>1.5</v>
      </c>
      <c r="T1125" s="3" t="n">
        <v>6.8</v>
      </c>
      <c r="U1125" s="3"/>
      <c r="V1125" s="3" t="n">
        <v>3.82</v>
      </c>
      <c r="W1125" s="3" t="s">
        <v>6000</v>
      </c>
    </row>
    <row r="1126" customFormat="false" ht="15" hidden="false" customHeight="true" outlineLevel="0" collapsed="false">
      <c r="A1126" s="3" t="s">
        <v>7238</v>
      </c>
      <c r="B1126" s="3" t="s">
        <v>1067</v>
      </c>
      <c r="C1126" s="3" t="s">
        <v>1104</v>
      </c>
      <c r="D1126" s="3" t="s">
        <v>54</v>
      </c>
      <c r="E1126" s="3" t="s">
        <v>24</v>
      </c>
      <c r="F1126" s="3" t="s">
        <v>40</v>
      </c>
      <c r="G1126" s="3" t="s">
        <v>55</v>
      </c>
      <c r="H1126" s="3" t="s">
        <v>27</v>
      </c>
      <c r="I1126" s="3" t="s">
        <v>173</v>
      </c>
      <c r="J1126" s="3" t="s">
        <v>5992</v>
      </c>
      <c r="K1126" s="3" t="n">
        <v>1172623.34</v>
      </c>
      <c r="L1126" s="3" t="n">
        <v>0.2774</v>
      </c>
      <c r="M1126" s="3" t="n">
        <v>847337.63</v>
      </c>
      <c r="N1126" s="3" t="n">
        <v>326447.68</v>
      </c>
      <c r="O1126" s="3" t="n">
        <v>0.3853</v>
      </c>
      <c r="P1126" s="3" t="n">
        <v>0.734</v>
      </c>
      <c r="Q1126" s="3" t="n">
        <v>621945.82</v>
      </c>
      <c r="R1126" s="3" t="n">
        <v>145</v>
      </c>
      <c r="S1126" s="3" t="n">
        <v>1.4</v>
      </c>
      <c r="T1126" s="3" t="n">
        <v>3.4</v>
      </c>
      <c r="U1126" s="3"/>
      <c r="V1126" s="3" t="n">
        <v>4.55</v>
      </c>
      <c r="W1126" s="3" t="s">
        <v>6000</v>
      </c>
    </row>
    <row r="1127" customFormat="false" ht="15" hidden="false" customHeight="true" outlineLevel="0" collapsed="false">
      <c r="A1127" s="3" t="s">
        <v>7239</v>
      </c>
      <c r="B1127" s="3" t="s">
        <v>593</v>
      </c>
      <c r="C1127" s="3" t="s">
        <v>4274</v>
      </c>
      <c r="D1127" s="3" t="s">
        <v>103</v>
      </c>
      <c r="E1127" s="3" t="s">
        <v>24</v>
      </c>
      <c r="F1127" s="3" t="s">
        <v>62</v>
      </c>
      <c r="G1127" s="3" t="s">
        <v>49</v>
      </c>
      <c r="H1127" s="3" t="s">
        <v>56</v>
      </c>
      <c r="I1127" s="3" t="s">
        <v>188</v>
      </c>
      <c r="J1127" s="3" t="s">
        <v>5996</v>
      </c>
      <c r="K1127" s="3" t="n">
        <v>172405.4</v>
      </c>
      <c r="L1127" s="3" t="n">
        <v>0.1397</v>
      </c>
      <c r="M1127" s="3" t="n">
        <v>148320.37</v>
      </c>
      <c r="N1127" s="3" t="n">
        <v>63325.75</v>
      </c>
      <c r="O1127" s="3" t="n">
        <v>0.427</v>
      </c>
      <c r="P1127" s="3" t="n">
        <v>1</v>
      </c>
      <c r="Q1127" s="3" t="n">
        <v>148320.37</v>
      </c>
      <c r="R1127" s="3" t="n">
        <v>156</v>
      </c>
      <c r="S1127" s="3" t="n">
        <v>5.7</v>
      </c>
      <c r="T1127" s="3" t="n">
        <v>6.7</v>
      </c>
      <c r="U1127" s="3"/>
      <c r="V1127" s="3" t="n">
        <v>6.57</v>
      </c>
      <c r="W1127" s="3" t="s">
        <v>5997</v>
      </c>
    </row>
    <row r="1128" customFormat="false" ht="15" hidden="false" customHeight="true" outlineLevel="0" collapsed="false">
      <c r="A1128" s="3" t="s">
        <v>7240</v>
      </c>
      <c r="B1128" s="3" t="s">
        <v>591</v>
      </c>
      <c r="C1128" s="3" t="s">
        <v>1084</v>
      </c>
      <c r="D1128" s="3" t="s">
        <v>54</v>
      </c>
      <c r="E1128" s="3" t="s">
        <v>24</v>
      </c>
      <c r="F1128" s="3" t="s">
        <v>40</v>
      </c>
      <c r="G1128" s="3" t="s">
        <v>84</v>
      </c>
      <c r="H1128" s="3" t="s">
        <v>27</v>
      </c>
      <c r="I1128" s="3" t="s">
        <v>50</v>
      </c>
      <c r="J1128" s="3" t="s">
        <v>6009</v>
      </c>
      <c r="K1128" s="3" t="n">
        <v>1338373.38</v>
      </c>
      <c r="L1128" s="3" t="n">
        <v>0.22</v>
      </c>
      <c r="M1128" s="3" t="n">
        <v>1043931.24</v>
      </c>
      <c r="N1128" s="3" t="n">
        <v>321627.37</v>
      </c>
      <c r="O1128" s="3" t="n">
        <v>0.3081</v>
      </c>
      <c r="P1128" s="3" t="n">
        <v>0</v>
      </c>
      <c r="Q1128" s="3" t="n">
        <v>0</v>
      </c>
      <c r="R1128" s="3" t="n">
        <v>132</v>
      </c>
      <c r="S1128" s="3" t="n">
        <v>6.2</v>
      </c>
      <c r="T1128" s="3" t="n">
        <v>4.1</v>
      </c>
      <c r="U1128" s="3" t="s">
        <v>6041</v>
      </c>
      <c r="V1128" s="3" t="n">
        <v>5.49</v>
      </c>
      <c r="W1128" s="3" t="s">
        <v>5990</v>
      </c>
    </row>
    <row r="1129" customFormat="false" ht="15" hidden="false" customHeight="true" outlineLevel="0" collapsed="false">
      <c r="A1129" s="3" t="s">
        <v>7241</v>
      </c>
      <c r="B1129" s="3" t="s">
        <v>160</v>
      </c>
      <c r="C1129" s="3" t="s">
        <v>3187</v>
      </c>
      <c r="D1129" s="3" t="s">
        <v>103</v>
      </c>
      <c r="E1129" s="3" t="s">
        <v>24</v>
      </c>
      <c r="F1129" s="3" t="s">
        <v>62</v>
      </c>
      <c r="G1129" s="3" t="s">
        <v>55</v>
      </c>
      <c r="H1129" s="3" t="s">
        <v>77</v>
      </c>
      <c r="I1129" s="3" t="s">
        <v>85</v>
      </c>
      <c r="J1129" s="3" t="s">
        <v>5996</v>
      </c>
      <c r="K1129" s="3" t="n">
        <v>712314.41</v>
      </c>
      <c r="L1129" s="3" t="n">
        <v>0.0787</v>
      </c>
      <c r="M1129" s="3" t="n">
        <v>656255.27</v>
      </c>
      <c r="N1129" s="3" t="n">
        <v>230240.65</v>
      </c>
      <c r="O1129" s="3" t="n">
        <v>0.3508</v>
      </c>
      <c r="P1129" s="3" t="n">
        <v>1</v>
      </c>
      <c r="Q1129" s="3" t="n">
        <v>656255.27</v>
      </c>
      <c r="R1129" s="3" t="n">
        <v>175</v>
      </c>
      <c r="S1129" s="3" t="n">
        <v>1.3</v>
      </c>
      <c r="T1129" s="3" t="n">
        <v>1.6</v>
      </c>
      <c r="U1129" s="3"/>
      <c r="V1129" s="3" t="n">
        <v>6.17</v>
      </c>
      <c r="W1129" s="3" t="s">
        <v>5990</v>
      </c>
    </row>
    <row r="1130" customFormat="false" ht="15" hidden="false" customHeight="true" outlineLevel="0" collapsed="false">
      <c r="A1130" s="3" t="s">
        <v>7242</v>
      </c>
      <c r="B1130" s="3" t="s">
        <v>2006</v>
      </c>
      <c r="C1130" s="3" t="s">
        <v>179</v>
      </c>
      <c r="D1130" s="3" t="s">
        <v>107</v>
      </c>
      <c r="E1130" s="3" t="s">
        <v>33</v>
      </c>
      <c r="F1130" s="3" t="s">
        <v>70</v>
      </c>
      <c r="G1130" s="3" t="s">
        <v>71</v>
      </c>
      <c r="H1130" s="3" t="s">
        <v>56</v>
      </c>
      <c r="I1130" s="3" t="s">
        <v>57</v>
      </c>
      <c r="J1130" s="3" t="s">
        <v>6003</v>
      </c>
      <c r="K1130" s="3" t="n">
        <v>3508908.72</v>
      </c>
      <c r="L1130" s="3" t="n">
        <v>0.2617</v>
      </c>
      <c r="M1130" s="3" t="n">
        <v>2590627.31</v>
      </c>
      <c r="N1130" s="3" t="n">
        <v>886189.54</v>
      </c>
      <c r="O1130" s="3" t="n">
        <v>0.3421</v>
      </c>
      <c r="P1130" s="3" t="n">
        <v>0.128</v>
      </c>
      <c r="Q1130" s="3" t="n">
        <v>331600.3</v>
      </c>
      <c r="R1130" s="3" t="n">
        <v>16</v>
      </c>
      <c r="S1130" s="3" t="n">
        <v>7.2</v>
      </c>
      <c r="T1130" s="3" t="n">
        <v>9.4</v>
      </c>
      <c r="U1130" s="3"/>
      <c r="V1130" s="3" t="n">
        <v>4.88</v>
      </c>
      <c r="W1130" s="3" t="s">
        <v>6000</v>
      </c>
    </row>
    <row r="1131" customFormat="false" ht="15" hidden="false" customHeight="true" outlineLevel="0" collapsed="false">
      <c r="A1131" s="3" t="s">
        <v>7243</v>
      </c>
      <c r="B1131" s="3" t="s">
        <v>1582</v>
      </c>
      <c r="C1131" s="3" t="s">
        <v>3196</v>
      </c>
      <c r="D1131" s="3" t="s">
        <v>54</v>
      </c>
      <c r="E1131" s="3" t="s">
        <v>24</v>
      </c>
      <c r="F1131" s="3" t="s">
        <v>40</v>
      </c>
      <c r="G1131" s="3" t="s">
        <v>55</v>
      </c>
      <c r="H1131" s="3" t="s">
        <v>77</v>
      </c>
      <c r="I1131" s="3" t="s">
        <v>85</v>
      </c>
      <c r="J1131" s="3" t="s">
        <v>6003</v>
      </c>
      <c r="K1131" s="3" t="n">
        <v>557251.22</v>
      </c>
      <c r="L1131" s="3" t="n">
        <v>0.1286</v>
      </c>
      <c r="M1131" s="3" t="n">
        <v>485588.71</v>
      </c>
      <c r="N1131" s="3" t="n">
        <v>136536.73</v>
      </c>
      <c r="O1131" s="3" t="n">
        <v>0.2812</v>
      </c>
      <c r="P1131" s="3" t="n">
        <v>0.127</v>
      </c>
      <c r="Q1131" s="3" t="n">
        <v>61669.77</v>
      </c>
      <c r="R1131" s="3" t="n">
        <v>61</v>
      </c>
      <c r="S1131" s="3" t="n">
        <v>9</v>
      </c>
      <c r="T1131" s="3" t="n">
        <v>3.7</v>
      </c>
      <c r="U1131" s="3"/>
      <c r="V1131" s="3" t="n">
        <v>6.79</v>
      </c>
      <c r="W1131" s="3" t="s">
        <v>5997</v>
      </c>
    </row>
    <row r="1132" customFormat="false" ht="15" hidden="false" customHeight="true" outlineLevel="0" collapsed="false">
      <c r="A1132" s="3" t="s">
        <v>7244</v>
      </c>
      <c r="B1132" s="3" t="s">
        <v>1110</v>
      </c>
      <c r="C1132" s="3" t="s">
        <v>1952</v>
      </c>
      <c r="D1132" s="3" t="s">
        <v>83</v>
      </c>
      <c r="E1132" s="3" t="s">
        <v>48</v>
      </c>
      <c r="F1132" s="3" t="s">
        <v>62</v>
      </c>
      <c r="G1132" s="3" t="s">
        <v>84</v>
      </c>
      <c r="H1132" s="3" t="s">
        <v>77</v>
      </c>
      <c r="I1132" s="3" t="s">
        <v>78</v>
      </c>
      <c r="J1132" s="3" t="s">
        <v>5989</v>
      </c>
      <c r="K1132" s="3" t="n">
        <v>2195454.14</v>
      </c>
      <c r="L1132" s="3" t="n">
        <v>0.1105</v>
      </c>
      <c r="M1132" s="3" t="n">
        <v>1952856.46</v>
      </c>
      <c r="N1132" s="3" t="n">
        <v>763720.72</v>
      </c>
      <c r="O1132" s="3" t="n">
        <v>0.3911</v>
      </c>
      <c r="P1132" s="3" t="n">
        <v>0.276</v>
      </c>
      <c r="Q1132" s="3" t="n">
        <v>538988.38</v>
      </c>
      <c r="R1132" s="3" t="n">
        <v>110</v>
      </c>
      <c r="S1132" s="3" t="n">
        <v>5</v>
      </c>
      <c r="T1132" s="3" t="n">
        <v>4.1</v>
      </c>
      <c r="U1132" s="3"/>
      <c r="V1132" s="3" t="n">
        <v>6.75</v>
      </c>
      <c r="W1132" s="3" t="s">
        <v>5997</v>
      </c>
    </row>
    <row r="1133" customFormat="false" ht="15" hidden="false" customHeight="true" outlineLevel="0" collapsed="false">
      <c r="A1133" s="3" t="s">
        <v>7245</v>
      </c>
      <c r="B1133" s="3" t="s">
        <v>1278</v>
      </c>
      <c r="C1133" s="3" t="s">
        <v>4394</v>
      </c>
      <c r="D1133" s="3" t="s">
        <v>47</v>
      </c>
      <c r="E1133" s="3" t="s">
        <v>48</v>
      </c>
      <c r="F1133" s="3" t="s">
        <v>25</v>
      </c>
      <c r="G1133" s="3" t="s">
        <v>116</v>
      </c>
      <c r="H1133" s="3" t="s">
        <v>64</v>
      </c>
      <c r="I1133" s="3" t="s">
        <v>90</v>
      </c>
      <c r="J1133" s="3" t="s">
        <v>5999</v>
      </c>
      <c r="K1133" s="3" t="n">
        <v>1220938.5</v>
      </c>
      <c r="L1133" s="3" t="n">
        <v>0.067</v>
      </c>
      <c r="M1133" s="3" t="n">
        <v>1139135.62</v>
      </c>
      <c r="N1133" s="3" t="n">
        <v>322762.86</v>
      </c>
      <c r="O1133" s="3" t="n">
        <v>0.2833</v>
      </c>
      <c r="P1133" s="3" t="n">
        <v>0.496</v>
      </c>
      <c r="Q1133" s="3" t="n">
        <v>565011.27</v>
      </c>
      <c r="R1133" s="3" t="n">
        <v>38</v>
      </c>
      <c r="S1133" s="3" t="n">
        <v>8.2</v>
      </c>
      <c r="T1133" s="3" t="n">
        <v>4.3</v>
      </c>
      <c r="U1133" s="3"/>
      <c r="V1133" s="3" t="n">
        <v>7.06</v>
      </c>
      <c r="W1133" s="3" t="s">
        <v>5997</v>
      </c>
    </row>
    <row r="1134" customFormat="false" ht="15" hidden="false" customHeight="true" outlineLevel="0" collapsed="false">
      <c r="A1134" s="3" t="s">
        <v>7246</v>
      </c>
      <c r="B1134" s="3" t="s">
        <v>4104</v>
      </c>
      <c r="C1134" s="3" t="s">
        <v>561</v>
      </c>
      <c r="D1134" s="3" t="s">
        <v>103</v>
      </c>
      <c r="E1134" s="3" t="s">
        <v>24</v>
      </c>
      <c r="F1134" s="3" t="s">
        <v>62</v>
      </c>
      <c r="G1134" s="3" t="s">
        <v>116</v>
      </c>
      <c r="H1134" s="3" t="s">
        <v>64</v>
      </c>
      <c r="I1134" s="3" t="s">
        <v>145</v>
      </c>
      <c r="J1134" s="3" t="s">
        <v>6009</v>
      </c>
      <c r="K1134" s="3" t="n">
        <v>632461.98</v>
      </c>
      <c r="L1134" s="3" t="n">
        <v>0.1805</v>
      </c>
      <c r="M1134" s="3" t="n">
        <v>518302.59</v>
      </c>
      <c r="N1134" s="3" t="n">
        <v>217603.8</v>
      </c>
      <c r="O1134" s="3" t="n">
        <v>0.4198</v>
      </c>
      <c r="P1134" s="3" t="n">
        <v>0</v>
      </c>
      <c r="Q1134" s="3" t="n">
        <v>0</v>
      </c>
      <c r="R1134" s="3" t="n">
        <v>55</v>
      </c>
      <c r="S1134" s="3" t="n">
        <v>6.7</v>
      </c>
      <c r="T1134" s="3" t="n">
        <v>3.5</v>
      </c>
      <c r="U1134" s="3"/>
      <c r="V1134" s="3" t="n">
        <v>6.9</v>
      </c>
      <c r="W1134" s="3" t="s">
        <v>5997</v>
      </c>
    </row>
    <row r="1135" customFormat="false" ht="15" hidden="false" customHeight="true" outlineLevel="0" collapsed="false">
      <c r="A1135" s="3" t="s">
        <v>7247</v>
      </c>
      <c r="B1135" s="3" t="s">
        <v>838</v>
      </c>
      <c r="C1135" s="3" t="s">
        <v>2797</v>
      </c>
      <c r="D1135" s="3" t="s">
        <v>69</v>
      </c>
      <c r="E1135" s="3" t="s">
        <v>39</v>
      </c>
      <c r="F1135" s="3" t="s">
        <v>70</v>
      </c>
      <c r="G1135" s="3" t="s">
        <v>116</v>
      </c>
      <c r="H1135" s="3" t="s">
        <v>64</v>
      </c>
      <c r="I1135" s="3" t="s">
        <v>145</v>
      </c>
      <c r="J1135" s="3" t="s">
        <v>6003</v>
      </c>
      <c r="K1135" s="3" t="n">
        <v>4267600.44</v>
      </c>
      <c r="L1135" s="3" t="n">
        <v>0.0568</v>
      </c>
      <c r="M1135" s="3" t="n">
        <v>4025200.74</v>
      </c>
      <c r="N1135" s="3" t="n">
        <v>1402360.31</v>
      </c>
      <c r="O1135" s="3" t="n">
        <v>0.3484</v>
      </c>
      <c r="P1135" s="3" t="n">
        <v>0.07</v>
      </c>
      <c r="Q1135" s="3" t="n">
        <v>281764.05</v>
      </c>
      <c r="R1135" s="3" t="n">
        <v>147</v>
      </c>
      <c r="S1135" s="3" t="n">
        <v>2.1</v>
      </c>
      <c r="T1135" s="3" t="n">
        <v>3.4</v>
      </c>
      <c r="U1135" s="3"/>
      <c r="V1135" s="3" t="n">
        <v>6.24</v>
      </c>
      <c r="W1135" s="3" t="s">
        <v>5990</v>
      </c>
    </row>
    <row r="1136" customFormat="false" ht="15" hidden="false" customHeight="true" outlineLevel="0" collapsed="false">
      <c r="A1136" s="3" t="s">
        <v>7248</v>
      </c>
      <c r="B1136" s="3" t="s">
        <v>1084</v>
      </c>
      <c r="C1136" s="3" t="s">
        <v>7249</v>
      </c>
      <c r="D1136" s="3" t="s">
        <v>23</v>
      </c>
      <c r="E1136" s="3" t="s">
        <v>24</v>
      </c>
      <c r="F1136" s="3" t="s">
        <v>25</v>
      </c>
      <c r="G1136" s="3" t="s">
        <v>116</v>
      </c>
      <c r="H1136" s="3" t="s">
        <v>27</v>
      </c>
      <c r="I1136" s="3" t="s">
        <v>50</v>
      </c>
      <c r="J1136" s="3" t="s">
        <v>6003</v>
      </c>
      <c r="K1136" s="3" t="n">
        <v>494236.01</v>
      </c>
      <c r="L1136" s="3" t="n">
        <v>0.0823</v>
      </c>
      <c r="M1136" s="3" t="n">
        <v>453560.39</v>
      </c>
      <c r="N1136" s="3" t="n">
        <v>144538.94</v>
      </c>
      <c r="O1136" s="3" t="n">
        <v>0.3187</v>
      </c>
      <c r="P1136" s="3" t="n">
        <v>0.131</v>
      </c>
      <c r="Q1136" s="3" t="n">
        <v>59416.41</v>
      </c>
      <c r="R1136" s="3" t="n">
        <v>130</v>
      </c>
      <c r="S1136" s="3" t="n">
        <v>5.2</v>
      </c>
      <c r="T1136" s="3" t="n">
        <v>7.3</v>
      </c>
      <c r="U1136" s="3"/>
      <c r="V1136" s="3" t="n">
        <v>6.01</v>
      </c>
      <c r="W1136" s="3" t="s">
        <v>5990</v>
      </c>
    </row>
    <row r="1137" customFormat="false" ht="15" hidden="false" customHeight="true" outlineLevel="0" collapsed="false">
      <c r="A1137" s="3" t="s">
        <v>7250</v>
      </c>
      <c r="B1137" s="3" t="s">
        <v>556</v>
      </c>
      <c r="C1137" s="3" t="s">
        <v>1776</v>
      </c>
      <c r="D1137" s="3" t="s">
        <v>61</v>
      </c>
      <c r="E1137" s="3" t="s">
        <v>33</v>
      </c>
      <c r="F1137" s="3" t="s">
        <v>62</v>
      </c>
      <c r="G1137" s="3" t="s">
        <v>84</v>
      </c>
      <c r="H1137" s="3" t="s">
        <v>42</v>
      </c>
      <c r="I1137" s="3" t="s">
        <v>72</v>
      </c>
      <c r="J1137" s="3" t="s">
        <v>5992</v>
      </c>
      <c r="K1137" s="3" t="n">
        <v>527548.4</v>
      </c>
      <c r="L1137" s="3" t="n">
        <v>0.197</v>
      </c>
      <c r="M1137" s="3" t="n">
        <v>423621.37</v>
      </c>
      <c r="N1137" s="3" t="n">
        <v>134611.25</v>
      </c>
      <c r="O1137" s="3" t="n">
        <v>0.3178</v>
      </c>
      <c r="P1137" s="3" t="n">
        <v>0.728</v>
      </c>
      <c r="Q1137" s="3" t="n">
        <v>308396.36</v>
      </c>
      <c r="R1137" s="3" t="n">
        <v>62</v>
      </c>
      <c r="S1137" s="3" t="n">
        <v>1.5</v>
      </c>
      <c r="T1137" s="3" t="n">
        <v>7.7</v>
      </c>
      <c r="U1137" s="3"/>
      <c r="V1137" s="3" t="n">
        <v>4.05</v>
      </c>
      <c r="W1137" s="3" t="s">
        <v>6000</v>
      </c>
    </row>
    <row r="1138" customFormat="false" ht="15" hidden="false" customHeight="true" outlineLevel="0" collapsed="false">
      <c r="A1138" s="3" t="s">
        <v>7251</v>
      </c>
      <c r="B1138" s="3" t="s">
        <v>1395</v>
      </c>
      <c r="C1138" s="3" t="s">
        <v>192</v>
      </c>
      <c r="D1138" s="3" t="s">
        <v>75</v>
      </c>
      <c r="E1138" s="3" t="s">
        <v>39</v>
      </c>
      <c r="F1138" s="3" t="s">
        <v>25</v>
      </c>
      <c r="G1138" s="3" t="s">
        <v>26</v>
      </c>
      <c r="H1138" s="3" t="s">
        <v>42</v>
      </c>
      <c r="I1138" s="3" t="s">
        <v>134</v>
      </c>
      <c r="J1138" s="3" t="s">
        <v>5992</v>
      </c>
      <c r="K1138" s="3" t="n">
        <v>1350115.6</v>
      </c>
      <c r="L1138" s="3" t="n">
        <v>0.2449</v>
      </c>
      <c r="M1138" s="3" t="n">
        <v>1019472.29</v>
      </c>
      <c r="N1138" s="3" t="n">
        <v>336521.4</v>
      </c>
      <c r="O1138" s="3" t="n">
        <v>0.3301</v>
      </c>
      <c r="P1138" s="3" t="n">
        <v>0.725</v>
      </c>
      <c r="Q1138" s="3" t="n">
        <v>739117.41</v>
      </c>
      <c r="R1138" s="3" t="n">
        <v>20</v>
      </c>
      <c r="S1138" s="3" t="n">
        <v>1.4</v>
      </c>
      <c r="T1138" s="3" t="n">
        <v>2.6</v>
      </c>
      <c r="U1138" s="3"/>
      <c r="V1138" s="3" t="n">
        <v>4.46</v>
      </c>
      <c r="W1138" s="3" t="s">
        <v>6000</v>
      </c>
    </row>
    <row r="1139" customFormat="false" ht="15" hidden="false" customHeight="true" outlineLevel="0" collapsed="false">
      <c r="A1139" s="3" t="s">
        <v>7252</v>
      </c>
      <c r="B1139" s="3" t="s">
        <v>349</v>
      </c>
      <c r="C1139" s="3" t="s">
        <v>467</v>
      </c>
      <c r="D1139" s="3" t="s">
        <v>107</v>
      </c>
      <c r="E1139" s="3" t="s">
        <v>33</v>
      </c>
      <c r="F1139" s="3" t="s">
        <v>70</v>
      </c>
      <c r="G1139" s="3" t="s">
        <v>76</v>
      </c>
      <c r="H1139" s="3" t="s">
        <v>42</v>
      </c>
      <c r="I1139" s="3" t="s">
        <v>134</v>
      </c>
      <c r="J1139" s="3" t="s">
        <v>5996</v>
      </c>
      <c r="K1139" s="3" t="n">
        <v>2078121.9</v>
      </c>
      <c r="L1139" s="3" t="n">
        <v>0.122</v>
      </c>
      <c r="M1139" s="3" t="n">
        <v>1824591.03</v>
      </c>
      <c r="N1139" s="3" t="n">
        <v>755354.68</v>
      </c>
      <c r="O1139" s="3" t="n">
        <v>0.414</v>
      </c>
      <c r="P1139" s="3" t="n">
        <v>1</v>
      </c>
      <c r="Q1139" s="3" t="n">
        <v>1824591.03</v>
      </c>
      <c r="R1139" s="3" t="n">
        <v>93</v>
      </c>
      <c r="S1139" s="3" t="n">
        <v>1.5</v>
      </c>
      <c r="T1139" s="3" t="n">
        <v>2.6</v>
      </c>
      <c r="U1139" s="3"/>
      <c r="V1139" s="3" t="n">
        <v>6.18</v>
      </c>
      <c r="W1139" s="3" t="s">
        <v>5990</v>
      </c>
    </row>
    <row r="1140" customFormat="false" ht="15" hidden="false" customHeight="true" outlineLevel="0" collapsed="false">
      <c r="A1140" s="3" t="s">
        <v>7253</v>
      </c>
      <c r="B1140" s="3" t="s">
        <v>2073</v>
      </c>
      <c r="C1140" s="3" t="s">
        <v>2613</v>
      </c>
      <c r="D1140" s="3" t="s">
        <v>38</v>
      </c>
      <c r="E1140" s="3" t="s">
        <v>39</v>
      </c>
      <c r="F1140" s="3" t="s">
        <v>40</v>
      </c>
      <c r="G1140" s="3" t="s">
        <v>71</v>
      </c>
      <c r="H1140" s="3" t="s">
        <v>27</v>
      </c>
      <c r="I1140" s="3" t="s">
        <v>50</v>
      </c>
      <c r="J1140" s="3" t="s">
        <v>5989</v>
      </c>
      <c r="K1140" s="3" t="n">
        <v>2058168.98</v>
      </c>
      <c r="L1140" s="3" t="n">
        <v>0.2016</v>
      </c>
      <c r="M1140" s="3" t="n">
        <v>1643242.11</v>
      </c>
      <c r="N1140" s="3" t="n">
        <v>745507.8</v>
      </c>
      <c r="O1140" s="3" t="n">
        <v>0.4537</v>
      </c>
      <c r="P1140" s="3" t="n">
        <v>0.278</v>
      </c>
      <c r="Q1140" s="3" t="n">
        <v>456821.31</v>
      </c>
      <c r="R1140" s="3" t="n">
        <v>137</v>
      </c>
      <c r="S1140" s="3" t="n">
        <v>2.6</v>
      </c>
      <c r="T1140" s="3" t="n">
        <v>5.1</v>
      </c>
      <c r="U1140" s="3"/>
      <c r="V1140" s="3" t="n">
        <v>5.71</v>
      </c>
      <c r="W1140" s="3" t="s">
        <v>5990</v>
      </c>
    </row>
    <row r="1141" customFormat="false" ht="15" hidden="false" customHeight="true" outlineLevel="0" collapsed="false">
      <c r="A1141" s="3" t="s">
        <v>7254</v>
      </c>
      <c r="B1141" s="3" t="s">
        <v>2551</v>
      </c>
      <c r="C1141" s="3" t="s">
        <v>537</v>
      </c>
      <c r="D1141" s="3" t="s">
        <v>75</v>
      </c>
      <c r="E1141" s="3" t="s">
        <v>39</v>
      </c>
      <c r="F1141" s="3" t="s">
        <v>25</v>
      </c>
      <c r="G1141" s="3" t="s">
        <v>26</v>
      </c>
      <c r="H1141" s="3" t="s">
        <v>64</v>
      </c>
      <c r="I1141" s="3" t="s">
        <v>65</v>
      </c>
      <c r="J1141" s="3" t="s">
        <v>6009</v>
      </c>
      <c r="K1141" s="3" t="n">
        <v>3257357.43</v>
      </c>
      <c r="L1141" s="3" t="n">
        <v>0.2941</v>
      </c>
      <c r="M1141" s="3" t="n">
        <v>2299368.61</v>
      </c>
      <c r="N1141" s="3" t="n">
        <v>869725.45</v>
      </c>
      <c r="O1141" s="3" t="n">
        <v>0.3782</v>
      </c>
      <c r="P1141" s="3" t="n">
        <v>0</v>
      </c>
      <c r="Q1141" s="3" t="n">
        <v>0</v>
      </c>
      <c r="R1141" s="3" t="n">
        <v>75</v>
      </c>
      <c r="S1141" s="3" t="n">
        <v>9.8</v>
      </c>
      <c r="T1141" s="3" t="n">
        <v>7.8</v>
      </c>
      <c r="U1141" s="3" t="s">
        <v>6010</v>
      </c>
      <c r="V1141" s="3" t="n">
        <v>5.77</v>
      </c>
      <c r="W1141" s="3" t="s">
        <v>5990</v>
      </c>
    </row>
    <row r="1142" customFormat="false" ht="15" hidden="false" customHeight="true" outlineLevel="0" collapsed="false">
      <c r="A1142" s="3" t="s">
        <v>7255</v>
      </c>
      <c r="B1142" s="3" t="s">
        <v>1738</v>
      </c>
      <c r="C1142" s="3" t="s">
        <v>4100</v>
      </c>
      <c r="D1142" s="3" t="s">
        <v>103</v>
      </c>
      <c r="E1142" s="3" t="s">
        <v>24</v>
      </c>
      <c r="F1142" s="3" t="s">
        <v>62</v>
      </c>
      <c r="G1142" s="3" t="s">
        <v>49</v>
      </c>
      <c r="H1142" s="3" t="s">
        <v>64</v>
      </c>
      <c r="I1142" s="3" t="s">
        <v>90</v>
      </c>
      <c r="J1142" s="3" t="s">
        <v>5996</v>
      </c>
      <c r="K1142" s="3" t="n">
        <v>281649.96</v>
      </c>
      <c r="L1142" s="3" t="n">
        <v>0.0931</v>
      </c>
      <c r="M1142" s="3" t="n">
        <v>255428.35</v>
      </c>
      <c r="N1142" s="3" t="n">
        <v>76956.86</v>
      </c>
      <c r="O1142" s="3" t="n">
        <v>0.3013</v>
      </c>
      <c r="P1142" s="3" t="n">
        <v>1</v>
      </c>
      <c r="Q1142" s="3" t="n">
        <v>255428.35</v>
      </c>
      <c r="R1142" s="3" t="n">
        <v>65</v>
      </c>
      <c r="S1142" s="3" t="n">
        <v>7.5</v>
      </c>
      <c r="T1142" s="3" t="n">
        <v>3.9</v>
      </c>
      <c r="U1142" s="3"/>
      <c r="V1142" s="3" t="n">
        <v>6.86</v>
      </c>
      <c r="W1142" s="3" t="s">
        <v>5997</v>
      </c>
    </row>
    <row r="1143" customFormat="false" ht="15" hidden="false" customHeight="true" outlineLevel="0" collapsed="false">
      <c r="A1143" s="3" t="s">
        <v>7256</v>
      </c>
      <c r="B1143" s="3" t="s">
        <v>1771</v>
      </c>
      <c r="C1143" s="3" t="s">
        <v>1564</v>
      </c>
      <c r="D1143" s="3" t="s">
        <v>97</v>
      </c>
      <c r="E1143" s="3" t="s">
        <v>48</v>
      </c>
      <c r="F1143" s="3" t="s">
        <v>40</v>
      </c>
      <c r="G1143" s="3" t="s">
        <v>104</v>
      </c>
      <c r="H1143" s="3" t="s">
        <v>56</v>
      </c>
      <c r="I1143" s="3" t="s">
        <v>121</v>
      </c>
      <c r="J1143" s="3" t="s">
        <v>6009</v>
      </c>
      <c r="K1143" s="3" t="n">
        <v>2807767.04</v>
      </c>
      <c r="L1143" s="3" t="n">
        <v>0.1196</v>
      </c>
      <c r="M1143" s="3" t="n">
        <v>2471958.1</v>
      </c>
      <c r="N1143" s="3" t="n">
        <v>725091.97</v>
      </c>
      <c r="O1143" s="3" t="n">
        <v>0.2933</v>
      </c>
      <c r="P1143" s="3" t="n">
        <v>0.002</v>
      </c>
      <c r="Q1143" s="3" t="n">
        <v>4943.92</v>
      </c>
      <c r="R1143" s="3" t="n">
        <v>129</v>
      </c>
      <c r="S1143" s="3" t="n">
        <v>4.8</v>
      </c>
      <c r="T1143" s="3" t="n">
        <v>2.2</v>
      </c>
      <c r="U1143" s="3" t="s">
        <v>6020</v>
      </c>
      <c r="V1143" s="3" t="n">
        <v>6.14</v>
      </c>
      <c r="W1143" s="3" t="s">
        <v>5990</v>
      </c>
    </row>
    <row r="1144" customFormat="false" ht="15" hidden="false" customHeight="true" outlineLevel="0" collapsed="false">
      <c r="A1144" s="3" t="s">
        <v>7257</v>
      </c>
      <c r="B1144" s="3" t="s">
        <v>1409</v>
      </c>
      <c r="C1144" s="3" t="s">
        <v>99</v>
      </c>
      <c r="D1144" s="3" t="s">
        <v>107</v>
      </c>
      <c r="E1144" s="3" t="s">
        <v>33</v>
      </c>
      <c r="F1144" s="3" t="s">
        <v>70</v>
      </c>
      <c r="G1144" s="3" t="s">
        <v>76</v>
      </c>
      <c r="H1144" s="3" t="s">
        <v>42</v>
      </c>
      <c r="I1144" s="3" t="s">
        <v>72</v>
      </c>
      <c r="J1144" s="3" t="s">
        <v>6003</v>
      </c>
      <c r="K1144" s="3" t="n">
        <v>4383118.94</v>
      </c>
      <c r="L1144" s="3" t="n">
        <v>0.2704</v>
      </c>
      <c r="M1144" s="3" t="n">
        <v>3197923.58</v>
      </c>
      <c r="N1144" s="3" t="n">
        <v>1018456.7</v>
      </c>
      <c r="O1144" s="3" t="n">
        <v>0.3185</v>
      </c>
      <c r="P1144" s="3" t="n">
        <v>0.056</v>
      </c>
      <c r="Q1144" s="3" t="n">
        <v>179083.72</v>
      </c>
      <c r="R1144" s="3" t="n">
        <v>167</v>
      </c>
      <c r="S1144" s="3" t="n">
        <v>3.6</v>
      </c>
      <c r="T1144" s="3" t="n">
        <v>3.9</v>
      </c>
      <c r="U1144" s="3"/>
      <c r="V1144" s="3" t="n">
        <v>4.55</v>
      </c>
      <c r="W1144" s="3" t="s">
        <v>6000</v>
      </c>
    </row>
    <row r="1145" customFormat="false" ht="15" hidden="false" customHeight="true" outlineLevel="0" collapsed="false">
      <c r="A1145" s="3" t="s">
        <v>7258</v>
      </c>
      <c r="B1145" s="3" t="s">
        <v>1795</v>
      </c>
      <c r="C1145" s="3" t="s">
        <v>2142</v>
      </c>
      <c r="D1145" s="3" t="s">
        <v>103</v>
      </c>
      <c r="E1145" s="3" t="s">
        <v>24</v>
      </c>
      <c r="F1145" s="3" t="s">
        <v>62</v>
      </c>
      <c r="G1145" s="3" t="s">
        <v>71</v>
      </c>
      <c r="H1145" s="3" t="s">
        <v>64</v>
      </c>
      <c r="I1145" s="3" t="s">
        <v>90</v>
      </c>
      <c r="J1145" s="3" t="s">
        <v>5992</v>
      </c>
      <c r="K1145" s="3" t="n">
        <v>2033948.44</v>
      </c>
      <c r="L1145" s="3" t="n">
        <v>0.2095</v>
      </c>
      <c r="M1145" s="3" t="n">
        <v>1607836.24</v>
      </c>
      <c r="N1145" s="3" t="n">
        <v>502769.8</v>
      </c>
      <c r="O1145" s="3" t="n">
        <v>0.3127</v>
      </c>
      <c r="P1145" s="3" t="n">
        <v>0.74</v>
      </c>
      <c r="Q1145" s="3" t="n">
        <v>1189798.82</v>
      </c>
      <c r="R1145" s="3" t="n">
        <v>19</v>
      </c>
      <c r="S1145" s="3" t="n">
        <v>7.9</v>
      </c>
      <c r="T1145" s="3" t="n">
        <v>8.8</v>
      </c>
      <c r="U1145" s="3"/>
      <c r="V1145" s="3" t="n">
        <v>5.32</v>
      </c>
      <c r="W1145" s="3" t="s">
        <v>5990</v>
      </c>
    </row>
    <row r="1146" customFormat="false" ht="15" hidden="false" customHeight="true" outlineLevel="0" collapsed="false">
      <c r="A1146" s="3" t="s">
        <v>7259</v>
      </c>
      <c r="B1146" s="3" t="s">
        <v>3757</v>
      </c>
      <c r="C1146" s="3" t="s">
        <v>575</v>
      </c>
      <c r="D1146" s="3" t="s">
        <v>69</v>
      </c>
      <c r="E1146" s="3" t="s">
        <v>39</v>
      </c>
      <c r="F1146" s="3" t="s">
        <v>70</v>
      </c>
      <c r="G1146" s="3" t="s">
        <v>104</v>
      </c>
      <c r="H1146" s="3" t="s">
        <v>56</v>
      </c>
      <c r="I1146" s="3" t="s">
        <v>188</v>
      </c>
      <c r="J1146" s="3" t="s">
        <v>6009</v>
      </c>
      <c r="K1146" s="3" t="n">
        <v>130587.16</v>
      </c>
      <c r="L1146" s="3" t="n">
        <v>0.2205</v>
      </c>
      <c r="M1146" s="3" t="n">
        <v>101792.69</v>
      </c>
      <c r="N1146" s="3" t="n">
        <v>45352.92</v>
      </c>
      <c r="O1146" s="3" t="n">
        <v>0.4455</v>
      </c>
      <c r="P1146" s="3" t="n">
        <v>0</v>
      </c>
      <c r="Q1146" s="3" t="n">
        <v>0</v>
      </c>
      <c r="R1146" s="3" t="n">
        <v>151</v>
      </c>
      <c r="S1146" s="3" t="n">
        <v>6.7</v>
      </c>
      <c r="T1146" s="3" t="n">
        <v>7.6</v>
      </c>
      <c r="U1146" s="3" t="s">
        <v>6025</v>
      </c>
      <c r="V1146" s="3" t="n">
        <v>6.17</v>
      </c>
      <c r="W1146" s="3" t="s">
        <v>5990</v>
      </c>
    </row>
    <row r="1147" customFormat="false" ht="15" hidden="false" customHeight="true" outlineLevel="0" collapsed="false">
      <c r="A1147" s="3" t="s">
        <v>7260</v>
      </c>
      <c r="B1147" s="3" t="s">
        <v>984</v>
      </c>
      <c r="C1147" s="3" t="s">
        <v>674</v>
      </c>
      <c r="D1147" s="3" t="s">
        <v>75</v>
      </c>
      <c r="E1147" s="3" t="s">
        <v>39</v>
      </c>
      <c r="F1147" s="3" t="s">
        <v>25</v>
      </c>
      <c r="G1147" s="3" t="s">
        <v>49</v>
      </c>
      <c r="H1147" s="3" t="s">
        <v>42</v>
      </c>
      <c r="I1147" s="3" t="s">
        <v>134</v>
      </c>
      <c r="J1147" s="3" t="s">
        <v>5992</v>
      </c>
      <c r="K1147" s="3" t="n">
        <v>1052526.77</v>
      </c>
      <c r="L1147" s="3" t="n">
        <v>0.2024</v>
      </c>
      <c r="M1147" s="3" t="n">
        <v>839495.35</v>
      </c>
      <c r="N1147" s="3" t="n">
        <v>377901.34</v>
      </c>
      <c r="O1147" s="3" t="n">
        <v>0.4502</v>
      </c>
      <c r="P1147" s="3" t="n">
        <v>0.663</v>
      </c>
      <c r="Q1147" s="3" t="n">
        <v>556585.42</v>
      </c>
      <c r="R1147" s="3" t="n">
        <v>44</v>
      </c>
      <c r="S1147" s="3" t="n">
        <v>5.9</v>
      </c>
      <c r="T1147" s="3" t="n">
        <v>4.6</v>
      </c>
      <c r="U1147" s="3"/>
      <c r="V1147" s="3" t="n">
        <v>6.61</v>
      </c>
      <c r="W1147" s="3" t="s">
        <v>5997</v>
      </c>
    </row>
    <row r="1148" customFormat="false" ht="15" hidden="false" customHeight="true" outlineLevel="0" collapsed="false">
      <c r="A1148" s="3" t="s">
        <v>7261</v>
      </c>
      <c r="B1148" s="3" t="s">
        <v>3616</v>
      </c>
      <c r="C1148" s="3" t="s">
        <v>3808</v>
      </c>
      <c r="D1148" s="3" t="s">
        <v>32</v>
      </c>
      <c r="E1148" s="3" t="s">
        <v>33</v>
      </c>
      <c r="F1148" s="3" t="s">
        <v>25</v>
      </c>
      <c r="G1148" s="3" t="s">
        <v>100</v>
      </c>
      <c r="H1148" s="3" t="s">
        <v>64</v>
      </c>
      <c r="I1148" s="3" t="s">
        <v>145</v>
      </c>
      <c r="J1148" s="3" t="s">
        <v>5996</v>
      </c>
      <c r="K1148" s="3" t="n">
        <v>3879254.26</v>
      </c>
      <c r="L1148" s="3" t="n">
        <v>0.2763</v>
      </c>
      <c r="M1148" s="3" t="n">
        <v>2807416.31</v>
      </c>
      <c r="N1148" s="3" t="n">
        <v>945036.36</v>
      </c>
      <c r="O1148" s="3" t="n">
        <v>0.3366</v>
      </c>
      <c r="P1148" s="3" t="n">
        <v>0.967</v>
      </c>
      <c r="Q1148" s="3" t="n">
        <v>2714771.57</v>
      </c>
      <c r="R1148" s="3" t="n">
        <v>72</v>
      </c>
      <c r="S1148" s="3" t="n">
        <v>2.3</v>
      </c>
      <c r="T1148" s="3" t="n">
        <v>3.7</v>
      </c>
      <c r="U1148" s="3"/>
      <c r="V1148" s="3" t="n">
        <v>4.35</v>
      </c>
      <c r="W1148" s="3" t="s">
        <v>6000</v>
      </c>
    </row>
    <row r="1149" customFormat="false" ht="15" hidden="false" customHeight="true" outlineLevel="0" collapsed="false">
      <c r="A1149" s="3" t="s">
        <v>7262</v>
      </c>
      <c r="B1149" s="3" t="s">
        <v>3881</v>
      </c>
      <c r="C1149" s="3" t="s">
        <v>2797</v>
      </c>
      <c r="D1149" s="3" t="s">
        <v>75</v>
      </c>
      <c r="E1149" s="3" t="s">
        <v>39</v>
      </c>
      <c r="F1149" s="3" t="s">
        <v>25</v>
      </c>
      <c r="G1149" s="3" t="s">
        <v>63</v>
      </c>
      <c r="H1149" s="3" t="s">
        <v>42</v>
      </c>
      <c r="I1149" s="3" t="s">
        <v>43</v>
      </c>
      <c r="J1149" s="3" t="s">
        <v>5996</v>
      </c>
      <c r="K1149" s="3" t="n">
        <v>2602966.15</v>
      </c>
      <c r="L1149" s="3" t="n">
        <v>0.189</v>
      </c>
      <c r="M1149" s="3" t="n">
        <v>2111005.55</v>
      </c>
      <c r="N1149" s="3" t="n">
        <v>618896.14</v>
      </c>
      <c r="O1149" s="3" t="n">
        <v>0.2932</v>
      </c>
      <c r="P1149" s="3" t="n">
        <v>0.975</v>
      </c>
      <c r="Q1149" s="3" t="n">
        <v>2058230.41</v>
      </c>
      <c r="R1149" s="3" t="n">
        <v>34</v>
      </c>
      <c r="S1149" s="3" t="n">
        <v>5.9</v>
      </c>
      <c r="T1149" s="3" t="n">
        <v>6.8</v>
      </c>
      <c r="U1149" s="3"/>
      <c r="V1149" s="3" t="n">
        <v>5.16</v>
      </c>
      <c r="W1149" s="3" t="s">
        <v>5990</v>
      </c>
    </row>
    <row r="1150" customFormat="false" ht="15" hidden="false" customHeight="true" outlineLevel="0" collapsed="false">
      <c r="A1150" s="3" t="s">
        <v>7263</v>
      </c>
      <c r="B1150" s="3" t="s">
        <v>3294</v>
      </c>
      <c r="C1150" s="3" t="s">
        <v>809</v>
      </c>
      <c r="D1150" s="3" t="s">
        <v>54</v>
      </c>
      <c r="E1150" s="3" t="s">
        <v>24</v>
      </c>
      <c r="F1150" s="3" t="s">
        <v>40</v>
      </c>
      <c r="G1150" s="3" t="s">
        <v>41</v>
      </c>
      <c r="H1150" s="3" t="s">
        <v>56</v>
      </c>
      <c r="I1150" s="3" t="s">
        <v>121</v>
      </c>
      <c r="J1150" s="3" t="s">
        <v>6009</v>
      </c>
      <c r="K1150" s="3" t="n">
        <v>862203.61</v>
      </c>
      <c r="L1150" s="3" t="n">
        <v>0.2214</v>
      </c>
      <c r="M1150" s="3" t="n">
        <v>671311.73</v>
      </c>
      <c r="N1150" s="3" t="n">
        <v>296511.14</v>
      </c>
      <c r="O1150" s="3" t="n">
        <v>0.4417</v>
      </c>
      <c r="P1150" s="3" t="n">
        <v>0.044</v>
      </c>
      <c r="Q1150" s="3" t="n">
        <v>29537.72</v>
      </c>
      <c r="R1150" s="3" t="n">
        <v>142</v>
      </c>
      <c r="S1150" s="3" t="n">
        <v>3.7</v>
      </c>
      <c r="T1150" s="3" t="n">
        <v>7.8</v>
      </c>
      <c r="U1150" s="3" t="s">
        <v>6020</v>
      </c>
      <c r="V1150" s="3" t="n">
        <v>5.33</v>
      </c>
      <c r="W1150" s="3" t="s">
        <v>5990</v>
      </c>
    </row>
    <row r="1151" customFormat="false" ht="15" hidden="false" customHeight="true" outlineLevel="0" collapsed="false">
      <c r="A1151" s="3" t="s">
        <v>7264</v>
      </c>
      <c r="B1151" s="3" t="s">
        <v>1615</v>
      </c>
      <c r="C1151" s="3" t="s">
        <v>1332</v>
      </c>
      <c r="D1151" s="3" t="s">
        <v>61</v>
      </c>
      <c r="E1151" s="3" t="s">
        <v>33</v>
      </c>
      <c r="F1151" s="3" t="s">
        <v>62</v>
      </c>
      <c r="G1151" s="3" t="s">
        <v>55</v>
      </c>
      <c r="H1151" s="3" t="s">
        <v>56</v>
      </c>
      <c r="I1151" s="3" t="s">
        <v>121</v>
      </c>
      <c r="J1151" s="3" t="s">
        <v>5999</v>
      </c>
      <c r="K1151" s="3" t="n">
        <v>274716.42</v>
      </c>
      <c r="L1151" s="3" t="n">
        <v>0.2268</v>
      </c>
      <c r="M1151" s="3" t="n">
        <v>212410.74</v>
      </c>
      <c r="N1151" s="3" t="n">
        <v>69412.21</v>
      </c>
      <c r="O1151" s="3" t="n">
        <v>0.3268</v>
      </c>
      <c r="P1151" s="3" t="n">
        <v>0.415</v>
      </c>
      <c r="Q1151" s="3" t="n">
        <v>88150.46</v>
      </c>
      <c r="R1151" s="3" t="n">
        <v>64</v>
      </c>
      <c r="S1151" s="3" t="n">
        <v>9.2</v>
      </c>
      <c r="T1151" s="3" t="n">
        <v>2</v>
      </c>
      <c r="U1151" s="3"/>
      <c r="V1151" s="3" t="n">
        <v>6.66</v>
      </c>
      <c r="W1151" s="3" t="s">
        <v>5997</v>
      </c>
    </row>
    <row r="1152" customFormat="false" ht="15" hidden="false" customHeight="true" outlineLevel="0" collapsed="false">
      <c r="A1152" s="3" t="s">
        <v>7265</v>
      </c>
      <c r="B1152" s="3" t="s">
        <v>358</v>
      </c>
      <c r="C1152" s="3" t="s">
        <v>2318</v>
      </c>
      <c r="D1152" s="3" t="s">
        <v>23</v>
      </c>
      <c r="E1152" s="3" t="s">
        <v>24</v>
      </c>
      <c r="F1152" s="3" t="s">
        <v>25</v>
      </c>
      <c r="G1152" s="3" t="s">
        <v>26</v>
      </c>
      <c r="H1152" s="3" t="s">
        <v>64</v>
      </c>
      <c r="I1152" s="3" t="s">
        <v>90</v>
      </c>
      <c r="J1152" s="3" t="s">
        <v>5999</v>
      </c>
      <c r="K1152" s="3" t="n">
        <v>4727555.04</v>
      </c>
      <c r="L1152" s="3" t="n">
        <v>0.2639</v>
      </c>
      <c r="M1152" s="3" t="n">
        <v>3479953.26</v>
      </c>
      <c r="N1152" s="3" t="n">
        <v>1614220.19</v>
      </c>
      <c r="O1152" s="3" t="n">
        <v>0.4639</v>
      </c>
      <c r="P1152" s="3" t="n">
        <v>0.466</v>
      </c>
      <c r="Q1152" s="3" t="n">
        <v>1621658.22</v>
      </c>
      <c r="R1152" s="3" t="n">
        <v>102</v>
      </c>
      <c r="S1152" s="3" t="n">
        <v>8.4</v>
      </c>
      <c r="T1152" s="3" t="n">
        <v>3.3</v>
      </c>
      <c r="U1152" s="3"/>
      <c r="V1152" s="3" t="n">
        <v>6.91</v>
      </c>
      <c r="W1152" s="3" t="s">
        <v>5997</v>
      </c>
    </row>
    <row r="1153" customFormat="false" ht="15" hidden="false" customHeight="true" outlineLevel="0" collapsed="false">
      <c r="A1153" s="3" t="s">
        <v>7266</v>
      </c>
      <c r="B1153" s="3" t="s">
        <v>452</v>
      </c>
      <c r="C1153" s="3" t="s">
        <v>7267</v>
      </c>
      <c r="D1153" s="3" t="s">
        <v>75</v>
      </c>
      <c r="E1153" s="3" t="s">
        <v>39</v>
      </c>
      <c r="F1153" s="3" t="s">
        <v>25</v>
      </c>
      <c r="G1153" s="3" t="s">
        <v>104</v>
      </c>
      <c r="H1153" s="3" t="s">
        <v>64</v>
      </c>
      <c r="I1153" s="3" t="s">
        <v>90</v>
      </c>
      <c r="J1153" s="3" t="s">
        <v>5996</v>
      </c>
      <c r="K1153" s="3" t="n">
        <v>4372795.22</v>
      </c>
      <c r="L1153" s="3" t="n">
        <v>0.2976</v>
      </c>
      <c r="M1153" s="3" t="n">
        <v>3071451.36</v>
      </c>
      <c r="N1153" s="3" t="n">
        <v>916439.32</v>
      </c>
      <c r="O1153" s="3" t="n">
        <v>0.2984</v>
      </c>
      <c r="P1153" s="3" t="n">
        <v>1</v>
      </c>
      <c r="Q1153" s="3" t="n">
        <v>3071451.36</v>
      </c>
      <c r="R1153" s="3" t="n">
        <v>177</v>
      </c>
      <c r="S1153" s="3" t="n">
        <v>5.4</v>
      </c>
      <c r="T1153" s="3" t="n">
        <v>3.4</v>
      </c>
      <c r="U1153" s="3"/>
      <c r="V1153" s="3" t="n">
        <v>4.67</v>
      </c>
      <c r="W1153" s="3" t="s">
        <v>6000</v>
      </c>
    </row>
    <row r="1154" customFormat="false" ht="15" hidden="false" customHeight="true" outlineLevel="0" collapsed="false">
      <c r="A1154" s="3" t="s">
        <v>7268</v>
      </c>
      <c r="B1154" s="3" t="s">
        <v>1787</v>
      </c>
      <c r="C1154" s="3" t="s">
        <v>270</v>
      </c>
      <c r="D1154" s="3" t="s">
        <v>54</v>
      </c>
      <c r="E1154" s="3" t="s">
        <v>24</v>
      </c>
      <c r="F1154" s="3" t="s">
        <v>40</v>
      </c>
      <c r="G1154" s="3" t="s">
        <v>71</v>
      </c>
      <c r="H1154" s="3" t="s">
        <v>64</v>
      </c>
      <c r="I1154" s="3" t="s">
        <v>108</v>
      </c>
      <c r="J1154" s="3" t="s">
        <v>5999</v>
      </c>
      <c r="K1154" s="3" t="n">
        <v>3430364.6</v>
      </c>
      <c r="L1154" s="3" t="n">
        <v>0.1631</v>
      </c>
      <c r="M1154" s="3" t="n">
        <v>2870872.13</v>
      </c>
      <c r="N1154" s="3" t="n">
        <v>1359735.33</v>
      </c>
      <c r="O1154" s="3" t="n">
        <v>0.4736</v>
      </c>
      <c r="P1154" s="3" t="n">
        <v>0.452</v>
      </c>
      <c r="Q1154" s="3" t="n">
        <v>1297634.2</v>
      </c>
      <c r="R1154" s="3" t="n">
        <v>78</v>
      </c>
      <c r="S1154" s="3" t="n">
        <v>8.3</v>
      </c>
      <c r="T1154" s="3" t="n">
        <v>6.8</v>
      </c>
      <c r="U1154" s="3"/>
      <c r="V1154" s="3" t="n">
        <v>7.21</v>
      </c>
      <c r="W1154" s="3" t="s">
        <v>5997</v>
      </c>
    </row>
    <row r="1155" customFormat="false" ht="15" hidden="false" customHeight="true" outlineLevel="0" collapsed="false">
      <c r="A1155" s="3" t="s">
        <v>7269</v>
      </c>
      <c r="B1155" s="3" t="s">
        <v>1307</v>
      </c>
      <c r="C1155" s="3" t="s">
        <v>2510</v>
      </c>
      <c r="D1155" s="3" t="s">
        <v>107</v>
      </c>
      <c r="E1155" s="3" t="s">
        <v>33</v>
      </c>
      <c r="F1155" s="3" t="s">
        <v>70</v>
      </c>
      <c r="G1155" s="3" t="s">
        <v>76</v>
      </c>
      <c r="H1155" s="3" t="s">
        <v>64</v>
      </c>
      <c r="I1155" s="3" t="s">
        <v>90</v>
      </c>
      <c r="J1155" s="3" t="s">
        <v>5996</v>
      </c>
      <c r="K1155" s="3" t="n">
        <v>768035.68</v>
      </c>
      <c r="L1155" s="3" t="n">
        <v>0.0626</v>
      </c>
      <c r="M1155" s="3" t="n">
        <v>719956.65</v>
      </c>
      <c r="N1155" s="3" t="n">
        <v>215323.86</v>
      </c>
      <c r="O1155" s="3" t="n">
        <v>0.2991</v>
      </c>
      <c r="P1155" s="3" t="n">
        <v>1</v>
      </c>
      <c r="Q1155" s="3" t="n">
        <v>719956.65</v>
      </c>
      <c r="R1155" s="3" t="n">
        <v>116</v>
      </c>
      <c r="S1155" s="3" t="n">
        <v>8.5</v>
      </c>
      <c r="T1155" s="3" t="n">
        <v>8</v>
      </c>
      <c r="U1155" s="3"/>
      <c r="V1155" s="3" t="n">
        <v>6.71</v>
      </c>
      <c r="W1155" s="3" t="s">
        <v>5997</v>
      </c>
    </row>
    <row r="1156" customFormat="false" ht="15" hidden="false" customHeight="true" outlineLevel="0" collapsed="false">
      <c r="A1156" s="3" t="s">
        <v>7270</v>
      </c>
      <c r="B1156" s="3" t="s">
        <v>840</v>
      </c>
      <c r="C1156" s="3" t="s">
        <v>3198</v>
      </c>
      <c r="D1156" s="3" t="s">
        <v>69</v>
      </c>
      <c r="E1156" s="3" t="s">
        <v>39</v>
      </c>
      <c r="F1156" s="3" t="s">
        <v>70</v>
      </c>
      <c r="G1156" s="3" t="s">
        <v>84</v>
      </c>
      <c r="H1156" s="3" t="s">
        <v>27</v>
      </c>
      <c r="I1156" s="3" t="s">
        <v>173</v>
      </c>
      <c r="J1156" s="3" t="s">
        <v>5989</v>
      </c>
      <c r="K1156" s="3" t="n">
        <v>2201812.77</v>
      </c>
      <c r="L1156" s="3" t="n">
        <v>0.216</v>
      </c>
      <c r="M1156" s="3" t="n">
        <v>1726221.21</v>
      </c>
      <c r="N1156" s="3" t="n">
        <v>661838.35</v>
      </c>
      <c r="O1156" s="3" t="n">
        <v>0.3834</v>
      </c>
      <c r="P1156" s="3" t="n">
        <v>0.236</v>
      </c>
      <c r="Q1156" s="3" t="n">
        <v>407388.21</v>
      </c>
      <c r="R1156" s="3" t="n">
        <v>143</v>
      </c>
      <c r="S1156" s="3" t="n">
        <v>5.7</v>
      </c>
      <c r="T1156" s="3" t="n">
        <v>9.1</v>
      </c>
      <c r="U1156" s="3"/>
      <c r="V1156" s="3" t="n">
        <v>5.23</v>
      </c>
      <c r="W1156" s="3" t="s">
        <v>5990</v>
      </c>
    </row>
    <row r="1157" customFormat="false" ht="15" hidden="false" customHeight="true" outlineLevel="0" collapsed="false">
      <c r="A1157" s="3" t="s">
        <v>7271</v>
      </c>
      <c r="B1157" s="3" t="s">
        <v>4992</v>
      </c>
      <c r="C1157" s="3" t="s">
        <v>1987</v>
      </c>
      <c r="D1157" s="3" t="s">
        <v>61</v>
      </c>
      <c r="E1157" s="3" t="s">
        <v>33</v>
      </c>
      <c r="F1157" s="3" t="s">
        <v>62</v>
      </c>
      <c r="G1157" s="3" t="s">
        <v>34</v>
      </c>
      <c r="H1157" s="3" t="s">
        <v>42</v>
      </c>
      <c r="I1157" s="3" t="s">
        <v>134</v>
      </c>
      <c r="J1157" s="3" t="s">
        <v>5989</v>
      </c>
      <c r="K1157" s="3" t="n">
        <v>1695360.5</v>
      </c>
      <c r="L1157" s="3" t="n">
        <v>0.1056</v>
      </c>
      <c r="M1157" s="3" t="n">
        <v>1516330.43</v>
      </c>
      <c r="N1157" s="3" t="n">
        <v>663585.07</v>
      </c>
      <c r="O1157" s="3" t="n">
        <v>0.4376</v>
      </c>
      <c r="P1157" s="3" t="n">
        <v>0.218</v>
      </c>
      <c r="Q1157" s="3" t="n">
        <v>330560.03</v>
      </c>
      <c r="R1157" s="3" t="n">
        <v>23</v>
      </c>
      <c r="S1157" s="3" t="n">
        <v>5.8</v>
      </c>
      <c r="T1157" s="3" t="n">
        <v>9.4</v>
      </c>
      <c r="U1157" s="3"/>
      <c r="V1157" s="3" t="n">
        <v>6.56</v>
      </c>
      <c r="W1157" s="3" t="s">
        <v>5997</v>
      </c>
    </row>
    <row r="1158" customFormat="false" ht="15" hidden="false" customHeight="true" outlineLevel="0" collapsed="false">
      <c r="A1158" s="3" t="s">
        <v>7272</v>
      </c>
      <c r="B1158" s="3" t="s">
        <v>3232</v>
      </c>
      <c r="C1158" s="3" t="s">
        <v>1662</v>
      </c>
      <c r="D1158" s="3" t="s">
        <v>97</v>
      </c>
      <c r="E1158" s="3" t="s">
        <v>48</v>
      </c>
      <c r="F1158" s="3" t="s">
        <v>40</v>
      </c>
      <c r="G1158" s="3" t="s">
        <v>71</v>
      </c>
      <c r="H1158" s="3" t="s">
        <v>56</v>
      </c>
      <c r="I1158" s="3" t="s">
        <v>57</v>
      </c>
      <c r="J1158" s="3" t="s">
        <v>6003</v>
      </c>
      <c r="K1158" s="3" t="n">
        <v>2212253.49</v>
      </c>
      <c r="L1158" s="3" t="n">
        <v>0.2329</v>
      </c>
      <c r="M1158" s="3" t="n">
        <v>1697019.65</v>
      </c>
      <c r="N1158" s="3" t="n">
        <v>584099.17</v>
      </c>
      <c r="O1158" s="3" t="n">
        <v>0.3442</v>
      </c>
      <c r="P1158" s="3" t="n">
        <v>0.126</v>
      </c>
      <c r="Q1158" s="3" t="n">
        <v>213824.48</v>
      </c>
      <c r="R1158" s="3" t="n">
        <v>111</v>
      </c>
      <c r="S1158" s="3" t="n">
        <v>9.6</v>
      </c>
      <c r="T1158" s="3" t="n">
        <v>2.5</v>
      </c>
      <c r="U1158" s="3"/>
      <c r="V1158" s="3" t="n">
        <v>6.73</v>
      </c>
      <c r="W1158" s="3" t="s">
        <v>5997</v>
      </c>
    </row>
    <row r="1159" customFormat="false" ht="15" hidden="false" customHeight="true" outlineLevel="0" collapsed="false">
      <c r="A1159" s="3" t="s">
        <v>7273</v>
      </c>
      <c r="B1159" s="3" t="s">
        <v>829</v>
      </c>
      <c r="C1159" s="3" t="s">
        <v>2694</v>
      </c>
      <c r="D1159" s="3" t="s">
        <v>97</v>
      </c>
      <c r="E1159" s="3" t="s">
        <v>48</v>
      </c>
      <c r="F1159" s="3" t="s">
        <v>40</v>
      </c>
      <c r="G1159" s="3" t="s">
        <v>41</v>
      </c>
      <c r="H1159" s="3" t="s">
        <v>56</v>
      </c>
      <c r="I1159" s="3" t="s">
        <v>188</v>
      </c>
      <c r="J1159" s="3" t="s">
        <v>5996</v>
      </c>
      <c r="K1159" s="3" t="n">
        <v>4512335.24</v>
      </c>
      <c r="L1159" s="3" t="n">
        <v>0.1654</v>
      </c>
      <c r="M1159" s="3" t="n">
        <v>3765994.99</v>
      </c>
      <c r="N1159" s="3" t="n">
        <v>1331667.49</v>
      </c>
      <c r="O1159" s="3" t="n">
        <v>0.3536</v>
      </c>
      <c r="P1159" s="3" t="n">
        <v>1</v>
      </c>
      <c r="Q1159" s="3" t="n">
        <v>3765994.99</v>
      </c>
      <c r="R1159" s="3" t="n">
        <v>85</v>
      </c>
      <c r="S1159" s="3" t="n">
        <v>8.9</v>
      </c>
      <c r="T1159" s="3" t="n">
        <v>8.2</v>
      </c>
      <c r="U1159" s="3"/>
      <c r="V1159" s="3" t="n">
        <v>6.39</v>
      </c>
      <c r="W1159" s="3" t="s">
        <v>5990</v>
      </c>
    </row>
    <row r="1160" customFormat="false" ht="15" hidden="false" customHeight="true" outlineLevel="0" collapsed="false">
      <c r="A1160" s="3" t="s">
        <v>7274</v>
      </c>
      <c r="B1160" s="3" t="s">
        <v>2142</v>
      </c>
      <c r="C1160" s="3" t="s">
        <v>1529</v>
      </c>
      <c r="D1160" s="3" t="s">
        <v>103</v>
      </c>
      <c r="E1160" s="3" t="s">
        <v>24</v>
      </c>
      <c r="F1160" s="3" t="s">
        <v>62</v>
      </c>
      <c r="G1160" s="3" t="s">
        <v>76</v>
      </c>
      <c r="H1160" s="3" t="s">
        <v>64</v>
      </c>
      <c r="I1160" s="3" t="s">
        <v>108</v>
      </c>
      <c r="J1160" s="3" t="s">
        <v>5996</v>
      </c>
      <c r="K1160" s="3" t="n">
        <v>3784134.34</v>
      </c>
      <c r="L1160" s="3" t="n">
        <v>0.1319</v>
      </c>
      <c r="M1160" s="3" t="n">
        <v>3285007.02</v>
      </c>
      <c r="N1160" s="3" t="n">
        <v>1500695.17</v>
      </c>
      <c r="O1160" s="3" t="n">
        <v>0.4568</v>
      </c>
      <c r="P1160" s="3" t="n">
        <v>1</v>
      </c>
      <c r="Q1160" s="3" t="n">
        <v>3285007.02</v>
      </c>
      <c r="R1160" s="3" t="n">
        <v>76</v>
      </c>
      <c r="S1160" s="3" t="n">
        <v>5</v>
      </c>
      <c r="T1160" s="3" t="n">
        <v>1.5</v>
      </c>
      <c r="U1160" s="3"/>
      <c r="V1160" s="3" t="n">
        <v>7.43</v>
      </c>
      <c r="W1160" s="3" t="s">
        <v>5997</v>
      </c>
    </row>
    <row r="1161" customFormat="false" ht="15" hidden="false" customHeight="true" outlineLevel="0" collapsed="false">
      <c r="A1161" s="3" t="s">
        <v>7275</v>
      </c>
      <c r="B1161" s="3" t="s">
        <v>3838</v>
      </c>
      <c r="C1161" s="3" t="s">
        <v>1647</v>
      </c>
      <c r="D1161" s="3" t="s">
        <v>83</v>
      </c>
      <c r="E1161" s="3" t="s">
        <v>48</v>
      </c>
      <c r="F1161" s="3" t="s">
        <v>62</v>
      </c>
      <c r="G1161" s="3" t="s">
        <v>116</v>
      </c>
      <c r="H1161" s="3" t="s">
        <v>27</v>
      </c>
      <c r="I1161" s="3" t="s">
        <v>28</v>
      </c>
      <c r="J1161" s="3" t="s">
        <v>5999</v>
      </c>
      <c r="K1161" s="3" t="n">
        <v>3208404.33</v>
      </c>
      <c r="L1161" s="3" t="n">
        <v>0.1332</v>
      </c>
      <c r="M1161" s="3" t="n">
        <v>2781044.87</v>
      </c>
      <c r="N1161" s="3" t="n">
        <v>1117170.69</v>
      </c>
      <c r="O1161" s="3" t="n">
        <v>0.4017</v>
      </c>
      <c r="P1161" s="3" t="n">
        <v>0.448</v>
      </c>
      <c r="Q1161" s="3" t="n">
        <v>1245908.1</v>
      </c>
      <c r="R1161" s="3" t="n">
        <v>89</v>
      </c>
      <c r="S1161" s="3" t="n">
        <v>4.3</v>
      </c>
      <c r="T1161" s="3" t="n">
        <v>1.4</v>
      </c>
      <c r="U1161" s="3"/>
      <c r="V1161" s="3" t="n">
        <v>6.88</v>
      </c>
      <c r="W1161" s="3" t="s">
        <v>5997</v>
      </c>
    </row>
    <row r="1162" customFormat="false" ht="15" hidden="false" customHeight="true" outlineLevel="0" collapsed="false">
      <c r="A1162" s="3" t="s">
        <v>7276</v>
      </c>
      <c r="B1162" s="3" t="s">
        <v>4282</v>
      </c>
      <c r="C1162" s="3" t="s">
        <v>2102</v>
      </c>
      <c r="D1162" s="3" t="s">
        <v>47</v>
      </c>
      <c r="E1162" s="3" t="s">
        <v>48</v>
      </c>
      <c r="F1162" s="3" t="s">
        <v>25</v>
      </c>
      <c r="G1162" s="3" t="s">
        <v>76</v>
      </c>
      <c r="H1162" s="3" t="s">
        <v>77</v>
      </c>
      <c r="I1162" s="3" t="s">
        <v>85</v>
      </c>
      <c r="J1162" s="3" t="s">
        <v>5996</v>
      </c>
      <c r="K1162" s="3" t="n">
        <v>1339088.03</v>
      </c>
      <c r="L1162" s="3" t="n">
        <v>0.2012</v>
      </c>
      <c r="M1162" s="3" t="n">
        <v>1069663.52</v>
      </c>
      <c r="N1162" s="3" t="n">
        <v>383903.71</v>
      </c>
      <c r="O1162" s="3" t="n">
        <v>0.3589</v>
      </c>
      <c r="P1162" s="3" t="n">
        <v>1</v>
      </c>
      <c r="Q1162" s="3" t="n">
        <v>1069663.52</v>
      </c>
      <c r="R1162" s="3" t="n">
        <v>158</v>
      </c>
      <c r="S1162" s="3" t="n">
        <v>8.1</v>
      </c>
      <c r="T1162" s="3" t="n">
        <v>5.4</v>
      </c>
      <c r="U1162" s="3"/>
      <c r="V1162" s="3" t="n">
        <v>6.34</v>
      </c>
      <c r="W1162" s="3" t="s">
        <v>5990</v>
      </c>
    </row>
    <row r="1163" customFormat="false" ht="15" hidden="false" customHeight="true" outlineLevel="0" collapsed="false">
      <c r="A1163" s="3" t="s">
        <v>7277</v>
      </c>
      <c r="B1163" s="3" t="s">
        <v>177</v>
      </c>
      <c r="C1163" s="3" t="s">
        <v>860</v>
      </c>
      <c r="D1163" s="3" t="s">
        <v>61</v>
      </c>
      <c r="E1163" s="3" t="s">
        <v>33</v>
      </c>
      <c r="F1163" s="3" t="s">
        <v>62</v>
      </c>
      <c r="G1163" s="3" t="s">
        <v>71</v>
      </c>
      <c r="H1163" s="3" t="s">
        <v>77</v>
      </c>
      <c r="I1163" s="3" t="s">
        <v>78</v>
      </c>
      <c r="J1163" s="3" t="s">
        <v>5999</v>
      </c>
      <c r="K1163" s="3" t="n">
        <v>4486158.14</v>
      </c>
      <c r="L1163" s="3" t="n">
        <v>0.2346</v>
      </c>
      <c r="M1163" s="3" t="n">
        <v>3433705.44</v>
      </c>
      <c r="N1163" s="3" t="n">
        <v>1294338.6</v>
      </c>
      <c r="O1163" s="3" t="n">
        <v>0.377</v>
      </c>
      <c r="P1163" s="3" t="n">
        <v>0.481</v>
      </c>
      <c r="Q1163" s="3" t="n">
        <v>1651612.32</v>
      </c>
      <c r="R1163" s="3" t="n">
        <v>18</v>
      </c>
      <c r="S1163" s="3" t="n">
        <v>9.8</v>
      </c>
      <c r="T1163" s="3" t="n">
        <v>9.9</v>
      </c>
      <c r="U1163" s="3"/>
      <c r="V1163" s="3" t="n">
        <v>5.96</v>
      </c>
      <c r="W1163" s="3" t="s">
        <v>5990</v>
      </c>
    </row>
    <row r="1164" customFormat="false" ht="15" hidden="false" customHeight="true" outlineLevel="0" collapsed="false">
      <c r="A1164" s="3" t="s">
        <v>7278</v>
      </c>
      <c r="B1164" s="3" t="s">
        <v>443</v>
      </c>
      <c r="C1164" s="3" t="s">
        <v>2542</v>
      </c>
      <c r="D1164" s="3" t="s">
        <v>38</v>
      </c>
      <c r="E1164" s="3" t="s">
        <v>39</v>
      </c>
      <c r="F1164" s="3" t="s">
        <v>40</v>
      </c>
      <c r="G1164" s="3" t="s">
        <v>71</v>
      </c>
      <c r="H1164" s="3" t="s">
        <v>64</v>
      </c>
      <c r="I1164" s="3" t="s">
        <v>108</v>
      </c>
      <c r="J1164" s="3" t="s">
        <v>5996</v>
      </c>
      <c r="K1164" s="3" t="n">
        <v>59588.93</v>
      </c>
      <c r="L1164" s="3" t="n">
        <v>0.28</v>
      </c>
      <c r="M1164" s="3" t="n">
        <v>42904.03</v>
      </c>
      <c r="N1164" s="3" t="n">
        <v>15788.17</v>
      </c>
      <c r="O1164" s="3" t="n">
        <v>0.368</v>
      </c>
      <c r="P1164" s="3" t="n">
        <v>0.962</v>
      </c>
      <c r="Q1164" s="3" t="n">
        <v>41273.68</v>
      </c>
      <c r="R1164" s="3" t="n">
        <v>91</v>
      </c>
      <c r="S1164" s="3" t="n">
        <v>5.8</v>
      </c>
      <c r="T1164" s="3" t="n">
        <v>8.2</v>
      </c>
      <c r="U1164" s="3"/>
      <c r="V1164" s="3" t="n">
        <v>4.76</v>
      </c>
      <c r="W1164" s="3" t="s">
        <v>6000</v>
      </c>
    </row>
    <row r="1165" customFormat="false" ht="15" hidden="false" customHeight="true" outlineLevel="0" collapsed="false">
      <c r="A1165" s="3" t="s">
        <v>7279</v>
      </c>
      <c r="B1165" s="3" t="s">
        <v>551</v>
      </c>
      <c r="C1165" s="3" t="s">
        <v>258</v>
      </c>
      <c r="D1165" s="3" t="s">
        <v>61</v>
      </c>
      <c r="E1165" s="3" t="s">
        <v>33</v>
      </c>
      <c r="F1165" s="3" t="s">
        <v>62</v>
      </c>
      <c r="G1165" s="3" t="s">
        <v>49</v>
      </c>
      <c r="H1165" s="3" t="s">
        <v>42</v>
      </c>
      <c r="I1165" s="3" t="s">
        <v>72</v>
      </c>
      <c r="J1165" s="3" t="s">
        <v>5996</v>
      </c>
      <c r="K1165" s="3" t="n">
        <v>140348.4</v>
      </c>
      <c r="L1165" s="3" t="n">
        <v>0.2522</v>
      </c>
      <c r="M1165" s="3" t="n">
        <v>104952.53</v>
      </c>
      <c r="N1165" s="3" t="n">
        <v>37425.48</v>
      </c>
      <c r="O1165" s="3" t="n">
        <v>0.3566</v>
      </c>
      <c r="P1165" s="3" t="n">
        <v>1</v>
      </c>
      <c r="Q1165" s="3" t="n">
        <v>104952.53</v>
      </c>
      <c r="R1165" s="3" t="n">
        <v>28</v>
      </c>
      <c r="S1165" s="3" t="n">
        <v>3.1</v>
      </c>
      <c r="T1165" s="3" t="n">
        <v>9.5</v>
      </c>
      <c r="U1165" s="3"/>
      <c r="V1165" s="3" t="n">
        <v>4.01</v>
      </c>
      <c r="W1165" s="3" t="s">
        <v>6000</v>
      </c>
    </row>
    <row r="1166" customFormat="false" ht="15" hidden="false" customHeight="true" outlineLevel="0" collapsed="false">
      <c r="A1166" s="3" t="s">
        <v>7280</v>
      </c>
      <c r="B1166" s="3" t="s">
        <v>1034</v>
      </c>
      <c r="C1166" s="3" t="s">
        <v>1868</v>
      </c>
      <c r="D1166" s="3" t="s">
        <v>32</v>
      </c>
      <c r="E1166" s="3" t="s">
        <v>33</v>
      </c>
      <c r="F1166" s="3" t="s">
        <v>25</v>
      </c>
      <c r="G1166" s="3" t="s">
        <v>76</v>
      </c>
      <c r="H1166" s="3" t="s">
        <v>64</v>
      </c>
      <c r="I1166" s="3" t="s">
        <v>145</v>
      </c>
      <c r="J1166" s="3" t="s">
        <v>5989</v>
      </c>
      <c r="K1166" s="3" t="n">
        <v>4143091.07</v>
      </c>
      <c r="L1166" s="3" t="n">
        <v>0.1123</v>
      </c>
      <c r="M1166" s="3" t="n">
        <v>3677821.94</v>
      </c>
      <c r="N1166" s="3" t="n">
        <v>1224231.59</v>
      </c>
      <c r="O1166" s="3" t="n">
        <v>0.3329</v>
      </c>
      <c r="P1166" s="3" t="n">
        <v>0.293</v>
      </c>
      <c r="Q1166" s="3" t="n">
        <v>1077601.83</v>
      </c>
      <c r="R1166" s="3" t="n">
        <v>52</v>
      </c>
      <c r="S1166" s="3" t="n">
        <v>6.1</v>
      </c>
      <c r="T1166" s="3" t="n">
        <v>8.2</v>
      </c>
      <c r="U1166" s="3"/>
      <c r="V1166" s="3" t="n">
        <v>5.96</v>
      </c>
      <c r="W1166" s="3" t="s">
        <v>5990</v>
      </c>
    </row>
    <row r="1167" customFormat="false" ht="15" hidden="false" customHeight="true" outlineLevel="0" collapsed="false">
      <c r="A1167" s="3" t="s">
        <v>7281</v>
      </c>
      <c r="B1167" s="3" t="s">
        <v>133</v>
      </c>
      <c r="C1167" s="3" t="s">
        <v>6878</v>
      </c>
      <c r="D1167" s="3" t="s">
        <v>32</v>
      </c>
      <c r="E1167" s="3" t="s">
        <v>33</v>
      </c>
      <c r="F1167" s="3" t="s">
        <v>25</v>
      </c>
      <c r="G1167" s="3" t="s">
        <v>100</v>
      </c>
      <c r="H1167" s="3" t="s">
        <v>42</v>
      </c>
      <c r="I1167" s="3" t="s">
        <v>72</v>
      </c>
      <c r="J1167" s="3" t="s">
        <v>5992</v>
      </c>
      <c r="K1167" s="3" t="n">
        <v>4872619.39</v>
      </c>
      <c r="L1167" s="3" t="n">
        <v>0.2332</v>
      </c>
      <c r="M1167" s="3" t="n">
        <v>3736324.55</v>
      </c>
      <c r="N1167" s="3" t="n">
        <v>1712486.43</v>
      </c>
      <c r="O1167" s="3" t="n">
        <v>0.4583</v>
      </c>
      <c r="P1167" s="3" t="n">
        <v>0.7</v>
      </c>
      <c r="Q1167" s="3" t="n">
        <v>2615427.18</v>
      </c>
      <c r="R1167" s="3" t="n">
        <v>152</v>
      </c>
      <c r="S1167" s="3" t="n">
        <v>4.3</v>
      </c>
      <c r="T1167" s="3" t="n">
        <v>8.6</v>
      </c>
      <c r="U1167" s="3"/>
      <c r="V1167" s="3" t="n">
        <v>5.33</v>
      </c>
      <c r="W1167" s="3" t="s">
        <v>5990</v>
      </c>
    </row>
    <row r="1168" customFormat="false" ht="15" hidden="false" customHeight="true" outlineLevel="0" collapsed="false">
      <c r="A1168" s="3" t="s">
        <v>7282</v>
      </c>
      <c r="B1168" s="3" t="s">
        <v>2435</v>
      </c>
      <c r="C1168" s="3" t="s">
        <v>4104</v>
      </c>
      <c r="D1168" s="3" t="s">
        <v>38</v>
      </c>
      <c r="E1168" s="3" t="s">
        <v>39</v>
      </c>
      <c r="F1168" s="3" t="s">
        <v>40</v>
      </c>
      <c r="G1168" s="3" t="s">
        <v>41</v>
      </c>
      <c r="H1168" s="3" t="s">
        <v>77</v>
      </c>
      <c r="I1168" s="3" t="s">
        <v>131</v>
      </c>
      <c r="J1168" s="3" t="s">
        <v>5996</v>
      </c>
      <c r="K1168" s="3" t="n">
        <v>3228611.98</v>
      </c>
      <c r="L1168" s="3" t="n">
        <v>0.0833</v>
      </c>
      <c r="M1168" s="3" t="n">
        <v>2959668.6</v>
      </c>
      <c r="N1168" s="3" t="n">
        <v>927232.63</v>
      </c>
      <c r="O1168" s="3" t="n">
        <v>0.3133</v>
      </c>
      <c r="P1168" s="3" t="n">
        <v>1</v>
      </c>
      <c r="Q1168" s="3" t="n">
        <v>2959668.6</v>
      </c>
      <c r="R1168" s="3" t="n">
        <v>23</v>
      </c>
      <c r="S1168" s="3" t="n">
        <v>2.3</v>
      </c>
      <c r="T1168" s="3" t="n">
        <v>5.7</v>
      </c>
      <c r="U1168" s="3"/>
      <c r="V1168" s="3" t="n">
        <v>5.47</v>
      </c>
      <c r="W1168" s="3" t="s">
        <v>5990</v>
      </c>
    </row>
    <row r="1169" customFormat="false" ht="15" hidden="false" customHeight="true" outlineLevel="0" collapsed="false">
      <c r="A1169" s="3" t="s">
        <v>7283</v>
      </c>
      <c r="B1169" s="3" t="s">
        <v>1598</v>
      </c>
      <c r="C1169" s="3" t="s">
        <v>1386</v>
      </c>
      <c r="D1169" s="3" t="s">
        <v>97</v>
      </c>
      <c r="E1169" s="3" t="s">
        <v>48</v>
      </c>
      <c r="F1169" s="3" t="s">
        <v>40</v>
      </c>
      <c r="G1169" s="3" t="s">
        <v>63</v>
      </c>
      <c r="H1169" s="3" t="s">
        <v>56</v>
      </c>
      <c r="I1169" s="3" t="s">
        <v>121</v>
      </c>
      <c r="J1169" s="3" t="s">
        <v>5989</v>
      </c>
      <c r="K1169" s="3" t="n">
        <v>2910869.95</v>
      </c>
      <c r="L1169" s="3" t="n">
        <v>0.2073</v>
      </c>
      <c r="M1169" s="3" t="n">
        <v>2307446.61</v>
      </c>
      <c r="N1169" s="3" t="n">
        <v>913956.73</v>
      </c>
      <c r="O1169" s="3" t="n">
        <v>0.3961</v>
      </c>
      <c r="P1169" s="3" t="n">
        <v>0.295</v>
      </c>
      <c r="Q1169" s="3" t="n">
        <v>680696.75</v>
      </c>
      <c r="R1169" s="3" t="n">
        <v>84</v>
      </c>
      <c r="S1169" s="3" t="n">
        <v>8.5</v>
      </c>
      <c r="T1169" s="3" t="n">
        <v>6.1</v>
      </c>
      <c r="U1169" s="3"/>
      <c r="V1169" s="3" t="n">
        <v>6.57</v>
      </c>
      <c r="W1169" s="3" t="s">
        <v>5997</v>
      </c>
    </row>
    <row r="1170" customFormat="false" ht="15" hidden="false" customHeight="true" outlineLevel="0" collapsed="false">
      <c r="A1170" s="3" t="s">
        <v>7284</v>
      </c>
      <c r="B1170" s="3" t="s">
        <v>2346</v>
      </c>
      <c r="C1170" s="3" t="s">
        <v>1078</v>
      </c>
      <c r="D1170" s="3" t="s">
        <v>69</v>
      </c>
      <c r="E1170" s="3" t="s">
        <v>39</v>
      </c>
      <c r="F1170" s="3" t="s">
        <v>70</v>
      </c>
      <c r="G1170" s="3" t="s">
        <v>100</v>
      </c>
      <c r="H1170" s="3" t="s">
        <v>27</v>
      </c>
      <c r="I1170" s="3" t="s">
        <v>117</v>
      </c>
      <c r="J1170" s="3" t="s">
        <v>6003</v>
      </c>
      <c r="K1170" s="3" t="n">
        <v>1968156.94</v>
      </c>
      <c r="L1170" s="3" t="n">
        <v>0.0669</v>
      </c>
      <c r="M1170" s="3" t="n">
        <v>1836487.24</v>
      </c>
      <c r="N1170" s="3" t="n">
        <v>671630.38</v>
      </c>
      <c r="O1170" s="3" t="n">
        <v>0.3657</v>
      </c>
      <c r="P1170" s="3" t="n">
        <v>0.089</v>
      </c>
      <c r="Q1170" s="3" t="n">
        <v>163447.36</v>
      </c>
      <c r="R1170" s="3" t="n">
        <v>153</v>
      </c>
      <c r="S1170" s="3" t="n">
        <v>1.4</v>
      </c>
      <c r="T1170" s="3" t="n">
        <v>6.8</v>
      </c>
      <c r="U1170" s="3"/>
      <c r="V1170" s="3" t="n">
        <v>5.61</v>
      </c>
      <c r="W1170" s="3" t="s">
        <v>5990</v>
      </c>
    </row>
    <row r="1171" customFormat="false" ht="15" hidden="false" customHeight="true" outlineLevel="0" collapsed="false">
      <c r="A1171" s="3" t="s">
        <v>7285</v>
      </c>
      <c r="B1171" s="3" t="s">
        <v>999</v>
      </c>
      <c r="C1171" s="3" t="s">
        <v>102</v>
      </c>
      <c r="D1171" s="3" t="s">
        <v>97</v>
      </c>
      <c r="E1171" s="3" t="s">
        <v>48</v>
      </c>
      <c r="F1171" s="3" t="s">
        <v>40</v>
      </c>
      <c r="G1171" s="3" t="s">
        <v>26</v>
      </c>
      <c r="H1171" s="3" t="s">
        <v>56</v>
      </c>
      <c r="I1171" s="3" t="s">
        <v>121</v>
      </c>
      <c r="J1171" s="3" t="s">
        <v>5999</v>
      </c>
      <c r="K1171" s="3" t="n">
        <v>4372878.22</v>
      </c>
      <c r="L1171" s="3" t="n">
        <v>0.1141</v>
      </c>
      <c r="M1171" s="3" t="n">
        <v>3873932.82</v>
      </c>
      <c r="N1171" s="3" t="n">
        <v>1220003.58</v>
      </c>
      <c r="O1171" s="3" t="n">
        <v>0.3149</v>
      </c>
      <c r="P1171" s="3" t="n">
        <v>0.412</v>
      </c>
      <c r="Q1171" s="3" t="n">
        <v>1596060.32</v>
      </c>
      <c r="R1171" s="3" t="n">
        <v>30</v>
      </c>
      <c r="S1171" s="3" t="n">
        <v>4.2</v>
      </c>
      <c r="T1171" s="3" t="n">
        <v>1.4</v>
      </c>
      <c r="U1171" s="3"/>
      <c r="V1171" s="3" t="n">
        <v>6.34</v>
      </c>
      <c r="W1171" s="3" t="s">
        <v>5990</v>
      </c>
    </row>
    <row r="1172" customFormat="false" ht="15" hidden="false" customHeight="true" outlineLevel="0" collapsed="false">
      <c r="A1172" s="3" t="s">
        <v>7286</v>
      </c>
      <c r="B1172" s="3" t="s">
        <v>2960</v>
      </c>
      <c r="C1172" s="3" t="s">
        <v>179</v>
      </c>
      <c r="D1172" s="3" t="s">
        <v>103</v>
      </c>
      <c r="E1172" s="3" t="s">
        <v>24</v>
      </c>
      <c r="F1172" s="3" t="s">
        <v>62</v>
      </c>
      <c r="G1172" s="3" t="s">
        <v>41</v>
      </c>
      <c r="H1172" s="3" t="s">
        <v>42</v>
      </c>
      <c r="I1172" s="3" t="s">
        <v>72</v>
      </c>
      <c r="J1172" s="3" t="s">
        <v>5999</v>
      </c>
      <c r="K1172" s="3" t="n">
        <v>4860802.12</v>
      </c>
      <c r="L1172" s="3" t="n">
        <v>0.1307</v>
      </c>
      <c r="M1172" s="3" t="n">
        <v>4225495.28</v>
      </c>
      <c r="N1172" s="3" t="n">
        <v>1277903.12</v>
      </c>
      <c r="O1172" s="3" t="n">
        <v>0.3024</v>
      </c>
      <c r="P1172" s="3" t="n">
        <v>0.474</v>
      </c>
      <c r="Q1172" s="3" t="n">
        <v>2002884.76</v>
      </c>
      <c r="R1172" s="3" t="n">
        <v>17</v>
      </c>
      <c r="S1172" s="3" t="n">
        <v>9.9</v>
      </c>
      <c r="T1172" s="3" t="n">
        <v>7.7</v>
      </c>
      <c r="U1172" s="3"/>
      <c r="V1172" s="3" t="n">
        <v>6.56</v>
      </c>
      <c r="W1172" s="3" t="s">
        <v>5997</v>
      </c>
    </row>
    <row r="1173" customFormat="false" ht="15" hidden="false" customHeight="true" outlineLevel="0" collapsed="false">
      <c r="A1173" s="3" t="s">
        <v>7287</v>
      </c>
      <c r="B1173" s="3" t="s">
        <v>3784</v>
      </c>
      <c r="C1173" s="3" t="s">
        <v>7288</v>
      </c>
      <c r="D1173" s="3" t="s">
        <v>107</v>
      </c>
      <c r="E1173" s="3" t="s">
        <v>33</v>
      </c>
      <c r="F1173" s="3" t="s">
        <v>70</v>
      </c>
      <c r="G1173" s="3" t="s">
        <v>49</v>
      </c>
      <c r="H1173" s="3" t="s">
        <v>77</v>
      </c>
      <c r="I1173" s="3" t="s">
        <v>131</v>
      </c>
      <c r="J1173" s="3" t="s">
        <v>5992</v>
      </c>
      <c r="K1173" s="3" t="n">
        <v>918305.14</v>
      </c>
      <c r="L1173" s="3" t="n">
        <v>0.1061</v>
      </c>
      <c r="M1173" s="3" t="n">
        <v>820872.96</v>
      </c>
      <c r="N1173" s="3" t="n">
        <v>372475.2</v>
      </c>
      <c r="O1173" s="3" t="n">
        <v>0.4538</v>
      </c>
      <c r="P1173" s="3" t="n">
        <v>0.743</v>
      </c>
      <c r="Q1173" s="3" t="n">
        <v>609908.61</v>
      </c>
      <c r="R1173" s="3" t="n">
        <v>135</v>
      </c>
      <c r="S1173" s="3" t="n">
        <v>9.3</v>
      </c>
      <c r="T1173" s="3" t="n">
        <v>2.6</v>
      </c>
      <c r="U1173" s="3"/>
      <c r="V1173" s="3" t="n">
        <v>8.56</v>
      </c>
      <c r="W1173" s="3" t="s">
        <v>5997</v>
      </c>
    </row>
    <row r="1174" customFormat="false" ht="15" hidden="false" customHeight="true" outlineLevel="0" collapsed="false">
      <c r="A1174" s="3" t="s">
        <v>7289</v>
      </c>
      <c r="B1174" s="3" t="s">
        <v>1074</v>
      </c>
      <c r="C1174" s="3" t="s">
        <v>6712</v>
      </c>
      <c r="D1174" s="3" t="s">
        <v>97</v>
      </c>
      <c r="E1174" s="3" t="s">
        <v>48</v>
      </c>
      <c r="F1174" s="3" t="s">
        <v>40</v>
      </c>
      <c r="G1174" s="3" t="s">
        <v>116</v>
      </c>
      <c r="H1174" s="3" t="s">
        <v>42</v>
      </c>
      <c r="I1174" s="3" t="s">
        <v>43</v>
      </c>
      <c r="J1174" s="3" t="s">
        <v>5996</v>
      </c>
      <c r="K1174" s="3" t="n">
        <v>4220834.57</v>
      </c>
      <c r="L1174" s="3" t="n">
        <v>0.092</v>
      </c>
      <c r="M1174" s="3" t="n">
        <v>3832517.79</v>
      </c>
      <c r="N1174" s="3" t="n">
        <v>1242825.7</v>
      </c>
      <c r="O1174" s="3" t="n">
        <v>0.3243</v>
      </c>
      <c r="P1174" s="3" t="n">
        <v>0.974</v>
      </c>
      <c r="Q1174" s="3" t="n">
        <v>3732872.33</v>
      </c>
      <c r="R1174" s="3" t="n">
        <v>51</v>
      </c>
      <c r="S1174" s="3" t="n">
        <v>8.8</v>
      </c>
      <c r="T1174" s="3" t="n">
        <v>7.3</v>
      </c>
      <c r="U1174" s="3"/>
      <c r="V1174" s="3" t="n">
        <v>6.85</v>
      </c>
      <c r="W1174" s="3" t="s">
        <v>5997</v>
      </c>
    </row>
    <row r="1175" customFormat="false" ht="15" hidden="false" customHeight="true" outlineLevel="0" collapsed="false">
      <c r="A1175" s="3" t="s">
        <v>7290</v>
      </c>
      <c r="B1175" s="3" t="s">
        <v>1332</v>
      </c>
      <c r="C1175" s="3" t="s">
        <v>680</v>
      </c>
      <c r="D1175" s="3" t="s">
        <v>69</v>
      </c>
      <c r="E1175" s="3" t="s">
        <v>39</v>
      </c>
      <c r="F1175" s="3" t="s">
        <v>70</v>
      </c>
      <c r="G1175" s="3" t="s">
        <v>26</v>
      </c>
      <c r="H1175" s="3" t="s">
        <v>42</v>
      </c>
      <c r="I1175" s="3" t="s">
        <v>43</v>
      </c>
      <c r="J1175" s="3" t="s">
        <v>5999</v>
      </c>
      <c r="K1175" s="3" t="n">
        <v>4792858.57</v>
      </c>
      <c r="L1175" s="3" t="n">
        <v>0.1085</v>
      </c>
      <c r="M1175" s="3" t="n">
        <v>4272833.42</v>
      </c>
      <c r="N1175" s="3" t="n">
        <v>1915351.79</v>
      </c>
      <c r="O1175" s="3" t="n">
        <v>0.4483</v>
      </c>
      <c r="P1175" s="3" t="n">
        <v>0.476</v>
      </c>
      <c r="Q1175" s="3" t="n">
        <v>2033868.71</v>
      </c>
      <c r="R1175" s="3" t="n">
        <v>126</v>
      </c>
      <c r="S1175" s="3" t="n">
        <v>8.2</v>
      </c>
      <c r="T1175" s="3" t="n">
        <v>5</v>
      </c>
      <c r="U1175" s="3"/>
      <c r="V1175" s="3" t="n">
        <v>7.9</v>
      </c>
      <c r="W1175" s="3" t="s">
        <v>5997</v>
      </c>
    </row>
    <row r="1176" customFormat="false" ht="15" hidden="false" customHeight="true" outlineLevel="0" collapsed="false">
      <c r="A1176" s="3" t="s">
        <v>7291</v>
      </c>
      <c r="B1176" s="3" t="s">
        <v>1971</v>
      </c>
      <c r="C1176" s="3" t="s">
        <v>1548</v>
      </c>
      <c r="D1176" s="3" t="s">
        <v>83</v>
      </c>
      <c r="E1176" s="3" t="s">
        <v>48</v>
      </c>
      <c r="F1176" s="3" t="s">
        <v>62</v>
      </c>
      <c r="G1176" s="3" t="s">
        <v>116</v>
      </c>
      <c r="H1176" s="3" t="s">
        <v>77</v>
      </c>
      <c r="I1176" s="3" t="s">
        <v>78</v>
      </c>
      <c r="J1176" s="3" t="s">
        <v>5996</v>
      </c>
      <c r="K1176" s="3" t="n">
        <v>2569196.25</v>
      </c>
      <c r="L1176" s="3" t="n">
        <v>0.1188</v>
      </c>
      <c r="M1176" s="3" t="n">
        <v>2263975.74</v>
      </c>
      <c r="N1176" s="3" t="n">
        <v>1074679.19</v>
      </c>
      <c r="O1176" s="3" t="n">
        <v>0.4747</v>
      </c>
      <c r="P1176" s="3" t="n">
        <v>1</v>
      </c>
      <c r="Q1176" s="3" t="n">
        <v>2263975.74</v>
      </c>
      <c r="R1176" s="3" t="n">
        <v>91</v>
      </c>
      <c r="S1176" s="3" t="n">
        <v>9.3</v>
      </c>
      <c r="T1176" s="3" t="n">
        <v>4</v>
      </c>
      <c r="U1176" s="3"/>
      <c r="V1176" s="3" t="n">
        <v>8.22</v>
      </c>
      <c r="W1176" s="3" t="s">
        <v>5997</v>
      </c>
    </row>
    <row r="1177" customFormat="false" ht="15" hidden="false" customHeight="true" outlineLevel="0" collapsed="false">
      <c r="A1177" s="3" t="s">
        <v>7292</v>
      </c>
      <c r="B1177" s="3" t="s">
        <v>3994</v>
      </c>
      <c r="C1177" s="3" t="s">
        <v>2936</v>
      </c>
      <c r="D1177" s="3" t="s">
        <v>83</v>
      </c>
      <c r="E1177" s="3" t="s">
        <v>48</v>
      </c>
      <c r="F1177" s="3" t="s">
        <v>62</v>
      </c>
      <c r="G1177" s="3" t="s">
        <v>55</v>
      </c>
      <c r="H1177" s="3" t="s">
        <v>42</v>
      </c>
      <c r="I1177" s="3" t="s">
        <v>43</v>
      </c>
      <c r="J1177" s="3" t="s">
        <v>5999</v>
      </c>
      <c r="K1177" s="3" t="n">
        <v>2714276.91</v>
      </c>
      <c r="L1177" s="3" t="n">
        <v>0.1149</v>
      </c>
      <c r="M1177" s="3" t="n">
        <v>2402406.49</v>
      </c>
      <c r="N1177" s="3" t="n">
        <v>842411.22</v>
      </c>
      <c r="O1177" s="3" t="n">
        <v>0.3507</v>
      </c>
      <c r="P1177" s="3" t="n">
        <v>0.46</v>
      </c>
      <c r="Q1177" s="3" t="n">
        <v>1105106.99</v>
      </c>
      <c r="R1177" s="3" t="n">
        <v>174</v>
      </c>
      <c r="S1177" s="3" t="n">
        <v>5.4</v>
      </c>
      <c r="T1177" s="3" t="n">
        <v>4.8</v>
      </c>
      <c r="U1177" s="3"/>
      <c r="V1177" s="3" t="n">
        <v>6.41</v>
      </c>
      <c r="W1177" s="3" t="s">
        <v>5990</v>
      </c>
    </row>
    <row r="1178" customFormat="false" ht="15" hidden="false" customHeight="true" outlineLevel="0" collapsed="false">
      <c r="A1178" s="3" t="s">
        <v>7293</v>
      </c>
      <c r="B1178" s="3" t="s">
        <v>2524</v>
      </c>
      <c r="C1178" s="3" t="s">
        <v>1078</v>
      </c>
      <c r="D1178" s="3" t="s">
        <v>54</v>
      </c>
      <c r="E1178" s="3" t="s">
        <v>24</v>
      </c>
      <c r="F1178" s="3" t="s">
        <v>40</v>
      </c>
      <c r="G1178" s="3" t="s">
        <v>55</v>
      </c>
      <c r="H1178" s="3" t="s">
        <v>77</v>
      </c>
      <c r="I1178" s="3" t="s">
        <v>131</v>
      </c>
      <c r="J1178" s="3" t="s">
        <v>5989</v>
      </c>
      <c r="K1178" s="3" t="n">
        <v>512134.35</v>
      </c>
      <c r="L1178" s="3" t="n">
        <v>0.1744</v>
      </c>
      <c r="M1178" s="3" t="n">
        <v>422818.12</v>
      </c>
      <c r="N1178" s="3" t="n">
        <v>139371.01</v>
      </c>
      <c r="O1178" s="3" t="n">
        <v>0.3296</v>
      </c>
      <c r="P1178" s="3" t="n">
        <v>0.233</v>
      </c>
      <c r="Q1178" s="3" t="n">
        <v>98516.62</v>
      </c>
      <c r="R1178" s="3" t="n">
        <v>18</v>
      </c>
      <c r="S1178" s="3" t="n">
        <v>7.8</v>
      </c>
      <c r="T1178" s="3" t="n">
        <v>6.4</v>
      </c>
      <c r="U1178" s="3"/>
      <c r="V1178" s="3" t="n">
        <v>6.09</v>
      </c>
      <c r="W1178" s="3" t="s">
        <v>5990</v>
      </c>
    </row>
    <row r="1179" customFormat="false" ht="15" hidden="false" customHeight="true" outlineLevel="0" collapsed="false">
      <c r="A1179" s="3" t="s">
        <v>7294</v>
      </c>
      <c r="B1179" s="3" t="s">
        <v>128</v>
      </c>
      <c r="C1179" s="3" t="s">
        <v>1327</v>
      </c>
      <c r="D1179" s="3" t="s">
        <v>107</v>
      </c>
      <c r="E1179" s="3" t="s">
        <v>33</v>
      </c>
      <c r="F1179" s="3" t="s">
        <v>70</v>
      </c>
      <c r="G1179" s="3" t="s">
        <v>104</v>
      </c>
      <c r="H1179" s="3" t="s">
        <v>27</v>
      </c>
      <c r="I1179" s="3" t="s">
        <v>28</v>
      </c>
      <c r="J1179" s="3" t="s">
        <v>6003</v>
      </c>
      <c r="K1179" s="3" t="n">
        <v>2436562.52</v>
      </c>
      <c r="L1179" s="3" t="n">
        <v>0.2257</v>
      </c>
      <c r="M1179" s="3" t="n">
        <v>1886630.36</v>
      </c>
      <c r="N1179" s="3" t="n">
        <v>701665.06</v>
      </c>
      <c r="O1179" s="3" t="n">
        <v>0.3719</v>
      </c>
      <c r="P1179" s="3" t="n">
        <v>0.133</v>
      </c>
      <c r="Q1179" s="3" t="n">
        <v>250921.84</v>
      </c>
      <c r="R1179" s="3" t="n">
        <v>146</v>
      </c>
      <c r="S1179" s="3" t="n">
        <v>2.4</v>
      </c>
      <c r="T1179" s="3" t="n">
        <v>4.7</v>
      </c>
      <c r="U1179" s="3"/>
      <c r="V1179" s="3" t="n">
        <v>4.92</v>
      </c>
      <c r="W1179" s="3" t="s">
        <v>6000</v>
      </c>
    </row>
    <row r="1180" customFormat="false" ht="15" hidden="false" customHeight="true" outlineLevel="0" collapsed="false">
      <c r="A1180" s="3" t="s">
        <v>7295</v>
      </c>
      <c r="B1180" s="3" t="s">
        <v>502</v>
      </c>
      <c r="C1180" s="3" t="s">
        <v>1918</v>
      </c>
      <c r="D1180" s="3" t="s">
        <v>83</v>
      </c>
      <c r="E1180" s="3" t="s">
        <v>48</v>
      </c>
      <c r="F1180" s="3" t="s">
        <v>62</v>
      </c>
      <c r="G1180" s="3" t="s">
        <v>55</v>
      </c>
      <c r="H1180" s="3" t="s">
        <v>42</v>
      </c>
      <c r="I1180" s="3" t="s">
        <v>43</v>
      </c>
      <c r="J1180" s="3" t="s">
        <v>5992</v>
      </c>
      <c r="K1180" s="3" t="n">
        <v>3410371.86</v>
      </c>
      <c r="L1180" s="3" t="n">
        <v>0.0619</v>
      </c>
      <c r="M1180" s="3" t="n">
        <v>3199269.84</v>
      </c>
      <c r="N1180" s="3" t="n">
        <v>952388.13</v>
      </c>
      <c r="O1180" s="3" t="n">
        <v>0.2977</v>
      </c>
      <c r="P1180" s="3" t="n">
        <v>0.656</v>
      </c>
      <c r="Q1180" s="3" t="n">
        <v>2098721.02</v>
      </c>
      <c r="R1180" s="3" t="n">
        <v>95</v>
      </c>
      <c r="S1180" s="3" t="n">
        <v>5.6</v>
      </c>
      <c r="T1180" s="3" t="n">
        <v>6.6</v>
      </c>
      <c r="U1180" s="3"/>
      <c r="V1180" s="3" t="n">
        <v>6.2</v>
      </c>
      <c r="W1180" s="3" t="s">
        <v>5990</v>
      </c>
    </row>
    <row r="1181" customFormat="false" ht="15" hidden="false" customHeight="true" outlineLevel="0" collapsed="false">
      <c r="A1181" s="3" t="s">
        <v>7296</v>
      </c>
      <c r="B1181" s="3" t="s">
        <v>4607</v>
      </c>
      <c r="C1181" s="3" t="s">
        <v>4274</v>
      </c>
      <c r="D1181" s="3" t="s">
        <v>69</v>
      </c>
      <c r="E1181" s="3" t="s">
        <v>39</v>
      </c>
      <c r="F1181" s="3" t="s">
        <v>70</v>
      </c>
      <c r="G1181" s="3" t="s">
        <v>41</v>
      </c>
      <c r="H1181" s="3" t="s">
        <v>56</v>
      </c>
      <c r="I1181" s="3" t="s">
        <v>121</v>
      </c>
      <c r="J1181" s="3" t="s">
        <v>5989</v>
      </c>
      <c r="K1181" s="3" t="n">
        <v>4865358.75</v>
      </c>
      <c r="L1181" s="3" t="n">
        <v>0.1145</v>
      </c>
      <c r="M1181" s="3" t="n">
        <v>4308275.17</v>
      </c>
      <c r="N1181" s="3" t="n">
        <v>1817145.43</v>
      </c>
      <c r="O1181" s="3" t="n">
        <v>0.4218</v>
      </c>
      <c r="P1181" s="3" t="n">
        <v>0.266</v>
      </c>
      <c r="Q1181" s="3" t="n">
        <v>1146001.2</v>
      </c>
      <c r="R1181" s="3" t="n">
        <v>81</v>
      </c>
      <c r="S1181" s="3" t="n">
        <v>4.2</v>
      </c>
      <c r="T1181" s="3" t="n">
        <v>9.7</v>
      </c>
      <c r="U1181" s="3"/>
      <c r="V1181" s="3" t="n">
        <v>5.93</v>
      </c>
      <c r="W1181" s="3" t="s">
        <v>5990</v>
      </c>
    </row>
    <row r="1182" customFormat="false" ht="15" hidden="false" customHeight="true" outlineLevel="0" collapsed="false">
      <c r="A1182" s="3" t="s">
        <v>7297</v>
      </c>
      <c r="B1182" s="3" t="s">
        <v>751</v>
      </c>
      <c r="C1182" s="3" t="s">
        <v>285</v>
      </c>
      <c r="D1182" s="3" t="s">
        <v>54</v>
      </c>
      <c r="E1182" s="3" t="s">
        <v>24</v>
      </c>
      <c r="F1182" s="3" t="s">
        <v>40</v>
      </c>
      <c r="G1182" s="3" t="s">
        <v>84</v>
      </c>
      <c r="H1182" s="3" t="s">
        <v>77</v>
      </c>
      <c r="I1182" s="3" t="s">
        <v>131</v>
      </c>
      <c r="J1182" s="3" t="s">
        <v>5992</v>
      </c>
      <c r="K1182" s="3" t="n">
        <v>2496728.12</v>
      </c>
      <c r="L1182" s="3" t="n">
        <v>0.1999</v>
      </c>
      <c r="M1182" s="3" t="n">
        <v>1997632.17</v>
      </c>
      <c r="N1182" s="3" t="n">
        <v>889068.51</v>
      </c>
      <c r="O1182" s="3" t="n">
        <v>0.4451</v>
      </c>
      <c r="P1182" s="3" t="n">
        <v>0.732</v>
      </c>
      <c r="Q1182" s="3" t="n">
        <v>1462266.75</v>
      </c>
      <c r="R1182" s="3" t="n">
        <v>126</v>
      </c>
      <c r="S1182" s="3" t="n">
        <v>7.6</v>
      </c>
      <c r="T1182" s="3" t="n">
        <v>5.1</v>
      </c>
      <c r="U1182" s="3"/>
      <c r="V1182" s="3" t="n">
        <v>6.92</v>
      </c>
      <c r="W1182" s="3" t="s">
        <v>5997</v>
      </c>
    </row>
    <row r="1183" customFormat="false" ht="15" hidden="false" customHeight="true" outlineLevel="0" collapsed="false">
      <c r="A1183" s="3" t="s">
        <v>7298</v>
      </c>
      <c r="B1183" s="3" t="s">
        <v>1731</v>
      </c>
      <c r="C1183" s="3" t="s">
        <v>2629</v>
      </c>
      <c r="D1183" s="3" t="s">
        <v>61</v>
      </c>
      <c r="E1183" s="3" t="s">
        <v>33</v>
      </c>
      <c r="F1183" s="3" t="s">
        <v>62</v>
      </c>
      <c r="G1183" s="3" t="s">
        <v>104</v>
      </c>
      <c r="H1183" s="3" t="s">
        <v>77</v>
      </c>
      <c r="I1183" s="3" t="s">
        <v>78</v>
      </c>
      <c r="J1183" s="3" t="s">
        <v>5999</v>
      </c>
      <c r="K1183" s="3" t="n">
        <v>1990083.57</v>
      </c>
      <c r="L1183" s="3" t="n">
        <v>0.1469</v>
      </c>
      <c r="M1183" s="3" t="n">
        <v>1697740.29</v>
      </c>
      <c r="N1183" s="3" t="n">
        <v>621898.85</v>
      </c>
      <c r="O1183" s="3" t="n">
        <v>0.3663</v>
      </c>
      <c r="P1183" s="3" t="n">
        <v>0.413</v>
      </c>
      <c r="Q1183" s="3" t="n">
        <v>701166.74</v>
      </c>
      <c r="R1183" s="3" t="n">
        <v>80</v>
      </c>
      <c r="S1183" s="3" t="n">
        <v>1.1</v>
      </c>
      <c r="T1183" s="3" t="n">
        <v>7.9</v>
      </c>
      <c r="U1183" s="3"/>
      <c r="V1183" s="3" t="n">
        <v>4.7</v>
      </c>
      <c r="W1183" s="3" t="s">
        <v>6000</v>
      </c>
    </row>
    <row r="1184" customFormat="false" ht="15" hidden="false" customHeight="true" outlineLevel="0" collapsed="false">
      <c r="A1184" s="3" t="s">
        <v>7299</v>
      </c>
      <c r="B1184" s="3" t="s">
        <v>618</v>
      </c>
      <c r="C1184" s="3" t="s">
        <v>1473</v>
      </c>
      <c r="D1184" s="3" t="s">
        <v>61</v>
      </c>
      <c r="E1184" s="3" t="s">
        <v>33</v>
      </c>
      <c r="F1184" s="3" t="s">
        <v>62</v>
      </c>
      <c r="G1184" s="3" t="s">
        <v>63</v>
      </c>
      <c r="H1184" s="3" t="s">
        <v>64</v>
      </c>
      <c r="I1184" s="3" t="s">
        <v>90</v>
      </c>
      <c r="J1184" s="3" t="s">
        <v>5992</v>
      </c>
      <c r="K1184" s="3" t="n">
        <v>2682787</v>
      </c>
      <c r="L1184" s="3" t="n">
        <v>0.0913</v>
      </c>
      <c r="M1184" s="3" t="n">
        <v>2437848.55</v>
      </c>
      <c r="N1184" s="3" t="n">
        <v>949471.85</v>
      </c>
      <c r="O1184" s="3" t="n">
        <v>0.3895</v>
      </c>
      <c r="P1184" s="3" t="n">
        <v>0.663</v>
      </c>
      <c r="Q1184" s="3" t="n">
        <v>1616293.59</v>
      </c>
      <c r="R1184" s="3" t="n">
        <v>157</v>
      </c>
      <c r="S1184" s="3" t="n">
        <v>9.8</v>
      </c>
      <c r="T1184" s="3" t="n">
        <v>6.4</v>
      </c>
      <c r="U1184" s="3"/>
      <c r="V1184" s="3" t="n">
        <v>7.79</v>
      </c>
      <c r="W1184" s="3" t="s">
        <v>5997</v>
      </c>
    </row>
    <row r="1185" customFormat="false" ht="15" hidden="false" customHeight="true" outlineLevel="0" collapsed="false">
      <c r="A1185" s="3" t="s">
        <v>7300</v>
      </c>
      <c r="B1185" s="3" t="s">
        <v>4398</v>
      </c>
      <c r="C1185" s="3" t="s">
        <v>204</v>
      </c>
      <c r="D1185" s="3" t="s">
        <v>69</v>
      </c>
      <c r="E1185" s="3" t="s">
        <v>39</v>
      </c>
      <c r="F1185" s="3" t="s">
        <v>70</v>
      </c>
      <c r="G1185" s="3" t="s">
        <v>84</v>
      </c>
      <c r="H1185" s="3" t="s">
        <v>27</v>
      </c>
      <c r="I1185" s="3" t="s">
        <v>94</v>
      </c>
      <c r="J1185" s="3" t="s">
        <v>5992</v>
      </c>
      <c r="K1185" s="3" t="n">
        <v>3868614.7</v>
      </c>
      <c r="L1185" s="3" t="n">
        <v>0.1909</v>
      </c>
      <c r="M1185" s="3" t="n">
        <v>3130096.15</v>
      </c>
      <c r="N1185" s="3" t="n">
        <v>1126766.92</v>
      </c>
      <c r="O1185" s="3" t="n">
        <v>0.36</v>
      </c>
      <c r="P1185" s="3" t="n">
        <v>0.748</v>
      </c>
      <c r="Q1185" s="3" t="n">
        <v>2341311.92</v>
      </c>
      <c r="R1185" s="3" t="n">
        <v>142</v>
      </c>
      <c r="S1185" s="3" t="n">
        <v>2.6</v>
      </c>
      <c r="T1185" s="3" t="n">
        <v>1.7</v>
      </c>
      <c r="U1185" s="3"/>
      <c r="V1185" s="3" t="n">
        <v>5.59</v>
      </c>
      <c r="W1185" s="3" t="s">
        <v>5990</v>
      </c>
    </row>
    <row r="1186" customFormat="false" ht="15" hidden="false" customHeight="true" outlineLevel="0" collapsed="false">
      <c r="A1186" s="3" t="s">
        <v>7301</v>
      </c>
      <c r="B1186" s="3" t="s">
        <v>1674</v>
      </c>
      <c r="C1186" s="3" t="s">
        <v>1662</v>
      </c>
      <c r="D1186" s="3" t="s">
        <v>75</v>
      </c>
      <c r="E1186" s="3" t="s">
        <v>39</v>
      </c>
      <c r="F1186" s="3" t="s">
        <v>25</v>
      </c>
      <c r="G1186" s="3" t="s">
        <v>49</v>
      </c>
      <c r="H1186" s="3" t="s">
        <v>77</v>
      </c>
      <c r="I1186" s="3" t="s">
        <v>131</v>
      </c>
      <c r="J1186" s="3" t="s">
        <v>5996</v>
      </c>
      <c r="K1186" s="3" t="n">
        <v>4821666.2</v>
      </c>
      <c r="L1186" s="3" t="n">
        <v>0.247</v>
      </c>
      <c r="M1186" s="3" t="n">
        <v>3630714.65</v>
      </c>
      <c r="N1186" s="3" t="n">
        <v>1661668.21</v>
      </c>
      <c r="O1186" s="3" t="n">
        <v>0.4577</v>
      </c>
      <c r="P1186" s="3" t="n">
        <v>0.957</v>
      </c>
      <c r="Q1186" s="3" t="n">
        <v>3474593.92</v>
      </c>
      <c r="R1186" s="3" t="n">
        <v>136</v>
      </c>
      <c r="S1186" s="3" t="n">
        <v>2.6</v>
      </c>
      <c r="T1186" s="3" t="n">
        <v>9.1</v>
      </c>
      <c r="U1186" s="3"/>
      <c r="V1186" s="3" t="n">
        <v>4.74</v>
      </c>
      <c r="W1186" s="3" t="s">
        <v>6000</v>
      </c>
    </row>
    <row r="1187" customFormat="false" ht="15" hidden="false" customHeight="true" outlineLevel="0" collapsed="false">
      <c r="A1187" s="3" t="s">
        <v>7302</v>
      </c>
      <c r="B1187" s="3" t="s">
        <v>1227</v>
      </c>
      <c r="C1187" s="3" t="s">
        <v>3361</v>
      </c>
      <c r="D1187" s="3" t="s">
        <v>75</v>
      </c>
      <c r="E1187" s="3" t="s">
        <v>39</v>
      </c>
      <c r="F1187" s="3" t="s">
        <v>25</v>
      </c>
      <c r="G1187" s="3" t="s">
        <v>26</v>
      </c>
      <c r="H1187" s="3" t="s">
        <v>64</v>
      </c>
      <c r="I1187" s="3" t="s">
        <v>145</v>
      </c>
      <c r="J1187" s="3" t="s">
        <v>6003</v>
      </c>
      <c r="K1187" s="3" t="n">
        <v>1038899.44</v>
      </c>
      <c r="L1187" s="3" t="n">
        <v>0.1292</v>
      </c>
      <c r="M1187" s="3" t="n">
        <v>904673.63</v>
      </c>
      <c r="N1187" s="3" t="n">
        <v>410625.42</v>
      </c>
      <c r="O1187" s="3" t="n">
        <v>0.4539</v>
      </c>
      <c r="P1187" s="3" t="n">
        <v>0.079</v>
      </c>
      <c r="Q1187" s="3" t="n">
        <v>71469.22</v>
      </c>
      <c r="R1187" s="3" t="n">
        <v>87</v>
      </c>
      <c r="S1187" s="3" t="n">
        <v>5.4</v>
      </c>
      <c r="T1187" s="3" t="n">
        <v>2.6</v>
      </c>
      <c r="U1187" s="3"/>
      <c r="V1187" s="3" t="n">
        <v>7.39</v>
      </c>
      <c r="W1187" s="3" t="s">
        <v>5997</v>
      </c>
    </row>
    <row r="1188" customFormat="false" ht="15" hidden="false" customHeight="true" outlineLevel="0" collapsed="false">
      <c r="A1188" s="3" t="s">
        <v>7303</v>
      </c>
      <c r="B1188" s="3" t="s">
        <v>1790</v>
      </c>
      <c r="C1188" s="3" t="s">
        <v>1868</v>
      </c>
      <c r="D1188" s="3" t="s">
        <v>107</v>
      </c>
      <c r="E1188" s="3" t="s">
        <v>33</v>
      </c>
      <c r="F1188" s="3" t="s">
        <v>70</v>
      </c>
      <c r="G1188" s="3" t="s">
        <v>104</v>
      </c>
      <c r="H1188" s="3" t="s">
        <v>64</v>
      </c>
      <c r="I1188" s="3" t="s">
        <v>145</v>
      </c>
      <c r="J1188" s="3" t="s">
        <v>5996</v>
      </c>
      <c r="K1188" s="3" t="n">
        <v>541588.2</v>
      </c>
      <c r="L1188" s="3" t="n">
        <v>0.0919</v>
      </c>
      <c r="M1188" s="3" t="n">
        <v>491816.24</v>
      </c>
      <c r="N1188" s="3" t="n">
        <v>148946.72</v>
      </c>
      <c r="O1188" s="3" t="n">
        <v>0.3029</v>
      </c>
      <c r="P1188" s="3" t="n">
        <v>0.954</v>
      </c>
      <c r="Q1188" s="3" t="n">
        <v>469192.69</v>
      </c>
      <c r="R1188" s="3" t="n">
        <v>28</v>
      </c>
      <c r="S1188" s="3" t="n">
        <v>3.2</v>
      </c>
      <c r="T1188" s="3" t="n">
        <v>1.4</v>
      </c>
      <c r="U1188" s="3"/>
      <c r="V1188" s="3" t="n">
        <v>6.16</v>
      </c>
      <c r="W1188" s="3" t="s">
        <v>5990</v>
      </c>
    </row>
    <row r="1189" customFormat="false" ht="15" hidden="false" customHeight="true" outlineLevel="0" collapsed="false">
      <c r="A1189" s="3" t="s">
        <v>7304</v>
      </c>
      <c r="B1189" s="3" t="s">
        <v>797</v>
      </c>
      <c r="C1189" s="3" t="s">
        <v>1952</v>
      </c>
      <c r="D1189" s="3" t="s">
        <v>61</v>
      </c>
      <c r="E1189" s="3" t="s">
        <v>33</v>
      </c>
      <c r="F1189" s="3" t="s">
        <v>62</v>
      </c>
      <c r="G1189" s="3" t="s">
        <v>100</v>
      </c>
      <c r="H1189" s="3" t="s">
        <v>56</v>
      </c>
      <c r="I1189" s="3" t="s">
        <v>188</v>
      </c>
      <c r="J1189" s="3" t="s">
        <v>5996</v>
      </c>
      <c r="K1189" s="3" t="n">
        <v>632624.72</v>
      </c>
      <c r="L1189" s="3" t="n">
        <v>0.1229</v>
      </c>
      <c r="M1189" s="3" t="n">
        <v>554875.14</v>
      </c>
      <c r="N1189" s="3" t="n">
        <v>164879.53</v>
      </c>
      <c r="O1189" s="3" t="n">
        <v>0.2971</v>
      </c>
      <c r="P1189" s="3" t="n">
        <v>0.993</v>
      </c>
      <c r="Q1189" s="3" t="n">
        <v>550991.01</v>
      </c>
      <c r="R1189" s="3" t="n">
        <v>121</v>
      </c>
      <c r="S1189" s="3" t="n">
        <v>8.2</v>
      </c>
      <c r="T1189" s="3" t="n">
        <v>5.2</v>
      </c>
      <c r="U1189" s="3"/>
      <c r="V1189" s="3" t="n">
        <v>6.55</v>
      </c>
      <c r="W1189" s="3" t="s">
        <v>5997</v>
      </c>
    </row>
    <row r="1190" customFormat="false" ht="15" hidden="false" customHeight="true" outlineLevel="0" collapsed="false">
      <c r="A1190" s="3" t="s">
        <v>7305</v>
      </c>
      <c r="B1190" s="3" t="s">
        <v>2426</v>
      </c>
      <c r="C1190" s="3" t="s">
        <v>4632</v>
      </c>
      <c r="D1190" s="3" t="s">
        <v>69</v>
      </c>
      <c r="E1190" s="3" t="s">
        <v>39</v>
      </c>
      <c r="F1190" s="3" t="s">
        <v>70</v>
      </c>
      <c r="G1190" s="3" t="s">
        <v>116</v>
      </c>
      <c r="H1190" s="3" t="s">
        <v>27</v>
      </c>
      <c r="I1190" s="3" t="s">
        <v>117</v>
      </c>
      <c r="J1190" s="3" t="s">
        <v>5999</v>
      </c>
      <c r="K1190" s="3" t="n">
        <v>3003861.52</v>
      </c>
      <c r="L1190" s="3" t="n">
        <v>0.1166</v>
      </c>
      <c r="M1190" s="3" t="n">
        <v>2653611.27</v>
      </c>
      <c r="N1190" s="3" t="n">
        <v>947322.22</v>
      </c>
      <c r="O1190" s="3" t="n">
        <v>0.357</v>
      </c>
      <c r="P1190" s="3" t="n">
        <v>0.435</v>
      </c>
      <c r="Q1190" s="3" t="n">
        <v>1154320.9</v>
      </c>
      <c r="R1190" s="3" t="n">
        <v>135</v>
      </c>
      <c r="S1190" s="3" t="n">
        <v>2.9</v>
      </c>
      <c r="T1190" s="3" t="n">
        <v>4.7</v>
      </c>
      <c r="U1190" s="3"/>
      <c r="V1190" s="3" t="n">
        <v>5.81</v>
      </c>
      <c r="W1190" s="3" t="s">
        <v>5990</v>
      </c>
    </row>
    <row r="1191" customFormat="false" ht="15" hidden="false" customHeight="true" outlineLevel="0" collapsed="false">
      <c r="A1191" s="3" t="s">
        <v>7306</v>
      </c>
      <c r="B1191" s="3" t="s">
        <v>2561</v>
      </c>
      <c r="C1191" s="3" t="s">
        <v>1198</v>
      </c>
      <c r="D1191" s="3" t="s">
        <v>23</v>
      </c>
      <c r="E1191" s="3" t="s">
        <v>24</v>
      </c>
      <c r="F1191" s="3" t="s">
        <v>25</v>
      </c>
      <c r="G1191" s="3" t="s">
        <v>100</v>
      </c>
      <c r="H1191" s="3" t="s">
        <v>56</v>
      </c>
      <c r="I1191" s="3" t="s">
        <v>57</v>
      </c>
      <c r="J1191" s="3" t="s">
        <v>6003</v>
      </c>
      <c r="K1191" s="3" t="n">
        <v>3697046.91</v>
      </c>
      <c r="L1191" s="3" t="n">
        <v>0.0754</v>
      </c>
      <c r="M1191" s="3" t="n">
        <v>3418289.57</v>
      </c>
      <c r="N1191" s="3" t="n">
        <v>1233687.33</v>
      </c>
      <c r="O1191" s="3" t="n">
        <v>0.3609</v>
      </c>
      <c r="P1191" s="3" t="n">
        <v>0.106</v>
      </c>
      <c r="Q1191" s="3" t="n">
        <v>362338.69</v>
      </c>
      <c r="R1191" s="3" t="n">
        <v>140</v>
      </c>
      <c r="S1191" s="3" t="n">
        <v>8.7</v>
      </c>
      <c r="T1191" s="3" t="n">
        <v>9.7</v>
      </c>
      <c r="U1191" s="3"/>
      <c r="V1191" s="3" t="n">
        <v>6.89</v>
      </c>
      <c r="W1191" s="3" t="s">
        <v>5997</v>
      </c>
    </row>
    <row r="1192" customFormat="false" ht="15" hidden="false" customHeight="true" outlineLevel="0" collapsed="false">
      <c r="A1192" s="3" t="s">
        <v>7307</v>
      </c>
      <c r="B1192" s="3" t="s">
        <v>1619</v>
      </c>
      <c r="C1192" s="3" t="s">
        <v>6764</v>
      </c>
      <c r="D1192" s="3" t="s">
        <v>107</v>
      </c>
      <c r="E1192" s="3" t="s">
        <v>33</v>
      </c>
      <c r="F1192" s="3" t="s">
        <v>70</v>
      </c>
      <c r="G1192" s="3" t="s">
        <v>116</v>
      </c>
      <c r="H1192" s="3" t="s">
        <v>42</v>
      </c>
      <c r="I1192" s="3" t="s">
        <v>134</v>
      </c>
      <c r="J1192" s="3" t="s">
        <v>5992</v>
      </c>
      <c r="K1192" s="3" t="n">
        <v>64178.13</v>
      </c>
      <c r="L1192" s="3" t="n">
        <v>0.2304</v>
      </c>
      <c r="M1192" s="3" t="n">
        <v>49391.49</v>
      </c>
      <c r="N1192" s="3" t="n">
        <v>21022.84</v>
      </c>
      <c r="O1192" s="3" t="n">
        <v>0.4256</v>
      </c>
      <c r="P1192" s="3" t="n">
        <v>0.685</v>
      </c>
      <c r="Q1192" s="3" t="n">
        <v>33833.17</v>
      </c>
      <c r="R1192" s="3" t="n">
        <v>123</v>
      </c>
      <c r="S1192" s="3" t="n">
        <v>8.1</v>
      </c>
      <c r="T1192" s="3" t="n">
        <v>4</v>
      </c>
      <c r="U1192" s="3"/>
      <c r="V1192" s="3" t="n">
        <v>6.82</v>
      </c>
      <c r="W1192" s="3" t="s">
        <v>5997</v>
      </c>
    </row>
    <row r="1193" customFormat="false" ht="15" hidden="false" customHeight="true" outlineLevel="0" collapsed="false">
      <c r="A1193" s="3" t="s">
        <v>7308</v>
      </c>
      <c r="B1193" s="3" t="s">
        <v>3250</v>
      </c>
      <c r="C1193" s="3" t="s">
        <v>730</v>
      </c>
      <c r="D1193" s="3" t="s">
        <v>38</v>
      </c>
      <c r="E1193" s="3" t="s">
        <v>39</v>
      </c>
      <c r="F1193" s="3" t="s">
        <v>40</v>
      </c>
      <c r="G1193" s="3" t="s">
        <v>49</v>
      </c>
      <c r="H1193" s="3" t="s">
        <v>42</v>
      </c>
      <c r="I1193" s="3" t="s">
        <v>43</v>
      </c>
      <c r="J1193" s="3" t="s">
        <v>6009</v>
      </c>
      <c r="K1193" s="3" t="n">
        <v>2720863.12</v>
      </c>
      <c r="L1193" s="3" t="n">
        <v>0.2384</v>
      </c>
      <c r="M1193" s="3" t="n">
        <v>2072209.35</v>
      </c>
      <c r="N1193" s="3" t="n">
        <v>850855.31</v>
      </c>
      <c r="O1193" s="3" t="n">
        <v>0.4106</v>
      </c>
      <c r="P1193" s="3" t="n">
        <v>0.019</v>
      </c>
      <c r="Q1193" s="3" t="n">
        <v>39371.98</v>
      </c>
      <c r="R1193" s="3" t="n">
        <v>68</v>
      </c>
      <c r="S1193" s="3" t="n">
        <v>1.5</v>
      </c>
      <c r="T1193" s="3" t="n">
        <v>8.9</v>
      </c>
      <c r="U1193" s="3" t="s">
        <v>6041</v>
      </c>
      <c r="V1193" s="3" t="n">
        <v>4.25</v>
      </c>
      <c r="W1193" s="3" t="s">
        <v>6000</v>
      </c>
    </row>
    <row r="1194" customFormat="false" ht="15" hidden="false" customHeight="true" outlineLevel="0" collapsed="false">
      <c r="A1194" s="3" t="s">
        <v>7309</v>
      </c>
      <c r="B1194" s="3" t="s">
        <v>465</v>
      </c>
      <c r="C1194" s="3" t="s">
        <v>1743</v>
      </c>
      <c r="D1194" s="3" t="s">
        <v>83</v>
      </c>
      <c r="E1194" s="3" t="s">
        <v>48</v>
      </c>
      <c r="F1194" s="3" t="s">
        <v>62</v>
      </c>
      <c r="G1194" s="3" t="s">
        <v>100</v>
      </c>
      <c r="H1194" s="3" t="s">
        <v>42</v>
      </c>
      <c r="I1194" s="3" t="s">
        <v>43</v>
      </c>
      <c r="J1194" s="3" t="s">
        <v>5999</v>
      </c>
      <c r="K1194" s="3" t="n">
        <v>4079063.54</v>
      </c>
      <c r="L1194" s="3" t="n">
        <v>0.2021</v>
      </c>
      <c r="M1194" s="3" t="n">
        <v>3254684.8</v>
      </c>
      <c r="N1194" s="3" t="n">
        <v>1253806.05</v>
      </c>
      <c r="O1194" s="3" t="n">
        <v>0.3852</v>
      </c>
      <c r="P1194" s="3" t="n">
        <v>0.447</v>
      </c>
      <c r="Q1194" s="3" t="n">
        <v>1454844.11</v>
      </c>
      <c r="R1194" s="3" t="n">
        <v>100</v>
      </c>
      <c r="S1194" s="3" t="n">
        <v>7.6</v>
      </c>
      <c r="T1194" s="3" t="n">
        <v>7.4</v>
      </c>
      <c r="U1194" s="3"/>
      <c r="V1194" s="3" t="n">
        <v>6.12</v>
      </c>
      <c r="W1194" s="3" t="s">
        <v>5990</v>
      </c>
    </row>
    <row r="1195" customFormat="false" ht="15" hidden="false" customHeight="true" outlineLevel="0" collapsed="false">
      <c r="A1195" s="3" t="s">
        <v>7310</v>
      </c>
      <c r="B1195" s="3" t="s">
        <v>235</v>
      </c>
      <c r="C1195" s="3" t="s">
        <v>36</v>
      </c>
      <c r="D1195" s="3" t="s">
        <v>32</v>
      </c>
      <c r="E1195" s="3" t="s">
        <v>33</v>
      </c>
      <c r="F1195" s="3" t="s">
        <v>25</v>
      </c>
      <c r="G1195" s="3" t="s">
        <v>49</v>
      </c>
      <c r="H1195" s="3" t="s">
        <v>64</v>
      </c>
      <c r="I1195" s="3" t="s">
        <v>108</v>
      </c>
      <c r="J1195" s="3" t="s">
        <v>5992</v>
      </c>
      <c r="K1195" s="3" t="n">
        <v>4477323.59</v>
      </c>
      <c r="L1195" s="3" t="n">
        <v>0.2529</v>
      </c>
      <c r="M1195" s="3" t="n">
        <v>3345008.45</v>
      </c>
      <c r="N1195" s="3" t="n">
        <v>1162665.2</v>
      </c>
      <c r="O1195" s="3" t="n">
        <v>0.3476</v>
      </c>
      <c r="P1195" s="3" t="n">
        <v>0.667</v>
      </c>
      <c r="Q1195" s="3" t="n">
        <v>2231120.64</v>
      </c>
      <c r="R1195" s="3" t="n">
        <v>135</v>
      </c>
      <c r="S1195" s="3" t="n">
        <v>3.4</v>
      </c>
      <c r="T1195" s="3" t="n">
        <v>3.6</v>
      </c>
      <c r="U1195" s="3"/>
      <c r="V1195" s="3" t="n">
        <v>4.9</v>
      </c>
      <c r="W1195" s="3" t="s">
        <v>6000</v>
      </c>
    </row>
    <row r="1196" customFormat="false" ht="15" hidden="false" customHeight="true" outlineLevel="0" collapsed="false">
      <c r="A1196" s="3" t="s">
        <v>7311</v>
      </c>
      <c r="B1196" s="3" t="s">
        <v>1790</v>
      </c>
      <c r="C1196" s="3" t="s">
        <v>2057</v>
      </c>
      <c r="D1196" s="3" t="s">
        <v>38</v>
      </c>
      <c r="E1196" s="3" t="s">
        <v>39</v>
      </c>
      <c r="F1196" s="3" t="s">
        <v>40</v>
      </c>
      <c r="G1196" s="3" t="s">
        <v>71</v>
      </c>
      <c r="H1196" s="3" t="s">
        <v>42</v>
      </c>
      <c r="I1196" s="3" t="s">
        <v>134</v>
      </c>
      <c r="J1196" s="3" t="s">
        <v>6003</v>
      </c>
      <c r="K1196" s="3" t="n">
        <v>3420708.77</v>
      </c>
      <c r="L1196" s="3" t="n">
        <v>0.1632</v>
      </c>
      <c r="M1196" s="3" t="n">
        <v>2862449.1</v>
      </c>
      <c r="N1196" s="3" t="n">
        <v>1192382.95</v>
      </c>
      <c r="O1196" s="3" t="n">
        <v>0.4166</v>
      </c>
      <c r="P1196" s="3" t="n">
        <v>0.075</v>
      </c>
      <c r="Q1196" s="3" t="n">
        <v>214683.68</v>
      </c>
      <c r="R1196" s="3" t="n">
        <v>98</v>
      </c>
      <c r="S1196" s="3" t="n">
        <v>4.9</v>
      </c>
      <c r="T1196" s="3" t="n">
        <v>9.7</v>
      </c>
      <c r="U1196" s="3"/>
      <c r="V1196" s="3" t="n">
        <v>5.67</v>
      </c>
      <c r="W1196" s="3" t="s">
        <v>5990</v>
      </c>
    </row>
    <row r="1197" customFormat="false" ht="15" hidden="false" customHeight="true" outlineLevel="0" collapsed="false">
      <c r="A1197" s="3" t="s">
        <v>7312</v>
      </c>
      <c r="B1197" s="3" t="s">
        <v>386</v>
      </c>
      <c r="C1197" s="3" t="s">
        <v>2100</v>
      </c>
      <c r="D1197" s="3" t="s">
        <v>75</v>
      </c>
      <c r="E1197" s="3" t="s">
        <v>39</v>
      </c>
      <c r="F1197" s="3" t="s">
        <v>25</v>
      </c>
      <c r="G1197" s="3" t="s">
        <v>84</v>
      </c>
      <c r="H1197" s="3" t="s">
        <v>64</v>
      </c>
      <c r="I1197" s="3" t="s">
        <v>90</v>
      </c>
      <c r="J1197" s="3" t="s">
        <v>5996</v>
      </c>
      <c r="K1197" s="3" t="n">
        <v>2624799.7</v>
      </c>
      <c r="L1197" s="3" t="n">
        <v>0.1909</v>
      </c>
      <c r="M1197" s="3" t="n">
        <v>2123725.44</v>
      </c>
      <c r="N1197" s="3" t="n">
        <v>611714.24</v>
      </c>
      <c r="O1197" s="3" t="n">
        <v>0.288</v>
      </c>
      <c r="P1197" s="3" t="n">
        <v>0.991</v>
      </c>
      <c r="Q1197" s="3" t="n">
        <v>2104611.91</v>
      </c>
      <c r="R1197" s="3" t="n">
        <v>34</v>
      </c>
      <c r="S1197" s="3" t="n">
        <v>5.9</v>
      </c>
      <c r="T1197" s="3" t="n">
        <v>4.6</v>
      </c>
      <c r="U1197" s="3"/>
      <c r="V1197" s="3" t="n">
        <v>5.43</v>
      </c>
      <c r="W1197" s="3" t="s">
        <v>5990</v>
      </c>
    </row>
    <row r="1198" customFormat="false" ht="15" hidden="false" customHeight="true" outlineLevel="0" collapsed="false">
      <c r="A1198" s="3" t="s">
        <v>7313</v>
      </c>
      <c r="B1198" s="3" t="s">
        <v>1693</v>
      </c>
      <c r="C1198" s="3" t="s">
        <v>3996</v>
      </c>
      <c r="D1198" s="3" t="s">
        <v>75</v>
      </c>
      <c r="E1198" s="3" t="s">
        <v>39</v>
      </c>
      <c r="F1198" s="3" t="s">
        <v>25</v>
      </c>
      <c r="G1198" s="3" t="s">
        <v>55</v>
      </c>
      <c r="H1198" s="3" t="s">
        <v>77</v>
      </c>
      <c r="I1198" s="3" t="s">
        <v>78</v>
      </c>
      <c r="J1198" s="3" t="s">
        <v>6009</v>
      </c>
      <c r="K1198" s="3" t="n">
        <v>114465.51</v>
      </c>
      <c r="L1198" s="3" t="n">
        <v>0.2236</v>
      </c>
      <c r="M1198" s="3" t="n">
        <v>88871.02</v>
      </c>
      <c r="N1198" s="3" t="n">
        <v>27798</v>
      </c>
      <c r="O1198" s="3" t="n">
        <v>0.3128</v>
      </c>
      <c r="P1198" s="3" t="n">
        <v>0</v>
      </c>
      <c r="Q1198" s="3" t="n">
        <v>0</v>
      </c>
      <c r="R1198" s="3" t="n">
        <v>131</v>
      </c>
      <c r="S1198" s="3" t="n">
        <v>7.5</v>
      </c>
      <c r="T1198" s="3" t="n">
        <v>2.5</v>
      </c>
      <c r="U1198" s="3"/>
      <c r="V1198" s="3" t="n">
        <v>6.07</v>
      </c>
      <c r="W1198" s="3" t="s">
        <v>5990</v>
      </c>
    </row>
    <row r="1199" customFormat="false" ht="15" hidden="false" customHeight="true" outlineLevel="0" collapsed="false">
      <c r="A1199" s="3" t="s">
        <v>7314</v>
      </c>
      <c r="B1199" s="3" t="s">
        <v>1371</v>
      </c>
      <c r="C1199" s="3" t="s">
        <v>351</v>
      </c>
      <c r="D1199" s="3" t="s">
        <v>61</v>
      </c>
      <c r="E1199" s="3" t="s">
        <v>33</v>
      </c>
      <c r="F1199" s="3" t="s">
        <v>62</v>
      </c>
      <c r="G1199" s="3" t="s">
        <v>76</v>
      </c>
      <c r="H1199" s="3" t="s">
        <v>77</v>
      </c>
      <c r="I1199" s="3" t="s">
        <v>78</v>
      </c>
      <c r="J1199" s="3" t="s">
        <v>5992</v>
      </c>
      <c r="K1199" s="3" t="n">
        <v>1126648.59</v>
      </c>
      <c r="L1199" s="3" t="n">
        <v>0.0672</v>
      </c>
      <c r="M1199" s="3" t="n">
        <v>1050937.8</v>
      </c>
      <c r="N1199" s="3" t="n">
        <v>371103.32</v>
      </c>
      <c r="O1199" s="3" t="n">
        <v>0.3531</v>
      </c>
      <c r="P1199" s="3" t="n">
        <v>0.675</v>
      </c>
      <c r="Q1199" s="3" t="n">
        <v>709383.02</v>
      </c>
      <c r="R1199" s="3" t="n">
        <v>91</v>
      </c>
      <c r="S1199" s="3" t="n">
        <v>7.1</v>
      </c>
      <c r="T1199" s="3" t="n">
        <v>2.6</v>
      </c>
      <c r="U1199" s="3"/>
      <c r="V1199" s="3" t="n">
        <v>7.57</v>
      </c>
      <c r="W1199" s="3" t="s">
        <v>5997</v>
      </c>
    </row>
    <row r="1200" customFormat="false" ht="15" hidden="false" customHeight="true" outlineLevel="0" collapsed="false">
      <c r="A1200" s="3" t="s">
        <v>7315</v>
      </c>
      <c r="B1200" s="3" t="s">
        <v>2218</v>
      </c>
      <c r="C1200" s="3" t="s">
        <v>730</v>
      </c>
      <c r="D1200" s="3" t="s">
        <v>61</v>
      </c>
      <c r="E1200" s="3" t="s">
        <v>33</v>
      </c>
      <c r="F1200" s="3" t="s">
        <v>62</v>
      </c>
      <c r="G1200" s="3" t="s">
        <v>63</v>
      </c>
      <c r="H1200" s="3" t="s">
        <v>56</v>
      </c>
      <c r="I1200" s="3" t="s">
        <v>57</v>
      </c>
      <c r="J1200" s="3" t="s">
        <v>5999</v>
      </c>
      <c r="K1200" s="3" t="n">
        <v>3343208.24</v>
      </c>
      <c r="L1200" s="3" t="n">
        <v>0.1312</v>
      </c>
      <c r="M1200" s="3" t="n">
        <v>2904579.32</v>
      </c>
      <c r="N1200" s="3" t="n">
        <v>1090619.06</v>
      </c>
      <c r="O1200" s="3" t="n">
        <v>0.3755</v>
      </c>
      <c r="P1200" s="3" t="n">
        <v>0.407</v>
      </c>
      <c r="Q1200" s="3" t="n">
        <v>1182163.78</v>
      </c>
      <c r="R1200" s="3" t="n">
        <v>90</v>
      </c>
      <c r="S1200" s="3" t="n">
        <v>6.8</v>
      </c>
      <c r="T1200" s="3" t="n">
        <v>6.1</v>
      </c>
      <c r="U1200" s="3"/>
      <c r="V1200" s="3" t="n">
        <v>6.59</v>
      </c>
      <c r="W1200" s="3" t="s">
        <v>5997</v>
      </c>
    </row>
    <row r="1201" customFormat="false" ht="15" hidden="false" customHeight="true" outlineLevel="0" collapsed="false">
      <c r="A1201" s="3" t="s">
        <v>7316</v>
      </c>
      <c r="B1201" s="3" t="s">
        <v>308</v>
      </c>
      <c r="C1201" s="3" t="s">
        <v>5408</v>
      </c>
      <c r="D1201" s="3" t="s">
        <v>75</v>
      </c>
      <c r="E1201" s="3" t="s">
        <v>39</v>
      </c>
      <c r="F1201" s="3" t="s">
        <v>25</v>
      </c>
      <c r="G1201" s="3" t="s">
        <v>49</v>
      </c>
      <c r="H1201" s="3" t="s">
        <v>56</v>
      </c>
      <c r="I1201" s="3" t="s">
        <v>188</v>
      </c>
      <c r="J1201" s="3" t="s">
        <v>5996</v>
      </c>
      <c r="K1201" s="3" t="n">
        <v>218030.48</v>
      </c>
      <c r="L1201" s="3" t="n">
        <v>0.0834</v>
      </c>
      <c r="M1201" s="3" t="n">
        <v>199846.74</v>
      </c>
      <c r="N1201" s="3" t="n">
        <v>62455.88</v>
      </c>
      <c r="O1201" s="3" t="n">
        <v>0.3125</v>
      </c>
      <c r="P1201" s="3" t="n">
        <v>1</v>
      </c>
      <c r="Q1201" s="3" t="n">
        <v>199846.74</v>
      </c>
      <c r="R1201" s="3" t="n">
        <v>105</v>
      </c>
      <c r="S1201" s="3" t="n">
        <v>1.7</v>
      </c>
      <c r="T1201" s="3" t="n">
        <v>5.4</v>
      </c>
      <c r="U1201" s="3"/>
      <c r="V1201" s="3" t="n">
        <v>5.33</v>
      </c>
      <c r="W1201" s="3" t="s">
        <v>5990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6"/>
  </cols>
  <sheetData>
    <row r="1" customFormat="false" ht="15" hidden="false" customHeight="true" outlineLevel="0" collapsed="false">
      <c r="A1" s="2" t="s">
        <v>3</v>
      </c>
      <c r="B1" s="2" t="s">
        <v>4</v>
      </c>
      <c r="C1" s="2" t="s">
        <v>5</v>
      </c>
      <c r="D1" s="2" t="s">
        <v>7317</v>
      </c>
      <c r="E1" s="2" t="s">
        <v>7318</v>
      </c>
      <c r="F1" s="2" t="s">
        <v>7319</v>
      </c>
      <c r="G1" s="2" t="s">
        <v>7320</v>
      </c>
      <c r="H1" s="2" t="s">
        <v>7321</v>
      </c>
      <c r="I1" s="2" t="s">
        <v>7322</v>
      </c>
      <c r="J1" s="2" t="s">
        <v>7323</v>
      </c>
      <c r="K1" s="2" t="s">
        <v>7324</v>
      </c>
      <c r="L1" s="2" t="s">
        <v>7325</v>
      </c>
      <c r="M1" s="2" t="s">
        <v>7326</v>
      </c>
      <c r="N1" s="2" t="s">
        <v>7327</v>
      </c>
    </row>
    <row r="2" customFormat="false" ht="15" hidden="false" customHeight="true" outlineLevel="0" collapsed="false">
      <c r="A2" s="3" t="s">
        <v>32</v>
      </c>
      <c r="B2" s="3" t="s">
        <v>33</v>
      </c>
      <c r="C2" s="3" t="s">
        <v>25</v>
      </c>
      <c r="D2" s="3" t="n">
        <v>7348119.78</v>
      </c>
      <c r="E2" s="3" t="n">
        <v>4275870.9</v>
      </c>
      <c r="F2" s="3" t="n">
        <v>0.5819</v>
      </c>
      <c r="G2" s="3" t="n">
        <v>12</v>
      </c>
      <c r="H2" s="3" t="n">
        <v>3</v>
      </c>
      <c r="I2" s="3" t="n">
        <v>0.8</v>
      </c>
      <c r="J2" s="3" t="n">
        <v>350950.28</v>
      </c>
      <c r="K2" s="3" t="n">
        <v>115</v>
      </c>
      <c r="L2" s="3" t="n">
        <v>0.2414</v>
      </c>
      <c r="M2" s="3" t="n">
        <v>0.3281</v>
      </c>
      <c r="N2" s="3" t="n">
        <v>2024</v>
      </c>
    </row>
    <row r="3" customFormat="false" ht="15" hidden="false" customHeight="true" outlineLevel="0" collapsed="false">
      <c r="A3" s="3" t="s">
        <v>61</v>
      </c>
      <c r="B3" s="3" t="s">
        <v>33</v>
      </c>
      <c r="C3" s="3" t="s">
        <v>62</v>
      </c>
      <c r="D3" s="3" t="n">
        <v>7159328.67</v>
      </c>
      <c r="E3" s="3" t="n">
        <v>5361621.24</v>
      </c>
      <c r="F3" s="3" t="n">
        <v>0.7489</v>
      </c>
      <c r="G3" s="3" t="n">
        <v>31</v>
      </c>
      <c r="H3" s="3" t="n">
        <v>19</v>
      </c>
      <c r="I3" s="3" t="n">
        <v>0.62</v>
      </c>
      <c r="J3" s="3" t="n">
        <v>168452.33</v>
      </c>
      <c r="K3" s="3" t="n">
        <v>55</v>
      </c>
      <c r="L3" s="3" t="n">
        <v>0.1728</v>
      </c>
      <c r="M3" s="3" t="n">
        <v>0.342</v>
      </c>
      <c r="N3" s="3" t="n">
        <v>2024</v>
      </c>
    </row>
    <row r="4" customFormat="false" ht="15" hidden="false" customHeight="true" outlineLevel="0" collapsed="false">
      <c r="A4" s="3" t="s">
        <v>75</v>
      </c>
      <c r="B4" s="3" t="s">
        <v>39</v>
      </c>
      <c r="C4" s="3" t="s">
        <v>25</v>
      </c>
      <c r="D4" s="3" t="n">
        <v>9568062.43</v>
      </c>
      <c r="E4" s="3" t="n">
        <v>6915795.52</v>
      </c>
      <c r="F4" s="3" t="n">
        <v>0.7228</v>
      </c>
      <c r="G4" s="3" t="n">
        <v>34</v>
      </c>
      <c r="H4" s="3" t="n">
        <v>22</v>
      </c>
      <c r="I4" s="3" t="n">
        <v>0.6071</v>
      </c>
      <c r="J4" s="3" t="n">
        <v>201799.31</v>
      </c>
      <c r="K4" s="3" t="n">
        <v>48</v>
      </c>
      <c r="L4" s="3" t="n">
        <v>0.2272</v>
      </c>
      <c r="M4" s="3" t="n">
        <v>0.3175</v>
      </c>
      <c r="N4" s="3" t="n">
        <v>2024</v>
      </c>
    </row>
    <row r="5" customFormat="false" ht="15" hidden="false" customHeight="true" outlineLevel="0" collapsed="false">
      <c r="A5" s="3" t="s">
        <v>69</v>
      </c>
      <c r="B5" s="3" t="s">
        <v>39</v>
      </c>
      <c r="C5" s="3" t="s">
        <v>70</v>
      </c>
      <c r="D5" s="3" t="n">
        <v>6830647.89</v>
      </c>
      <c r="E5" s="3" t="n">
        <v>8043087.89</v>
      </c>
      <c r="F5" s="3" t="n">
        <v>1.1775</v>
      </c>
      <c r="G5" s="3" t="n">
        <v>33</v>
      </c>
      <c r="H5" s="3" t="n">
        <v>15</v>
      </c>
      <c r="I5" s="3" t="n">
        <v>0.6875</v>
      </c>
      <c r="J5" s="3" t="n">
        <v>238121.24</v>
      </c>
      <c r="K5" s="3" t="n">
        <v>86</v>
      </c>
      <c r="L5" s="3" t="n">
        <v>0.1201</v>
      </c>
      <c r="M5" s="3" t="n">
        <v>0.3993</v>
      </c>
      <c r="N5" s="3" t="n">
        <v>2024</v>
      </c>
    </row>
    <row r="6" customFormat="false" ht="15" hidden="false" customHeight="true" outlineLevel="0" collapsed="false">
      <c r="A6" s="3" t="s">
        <v>54</v>
      </c>
      <c r="B6" s="3" t="s">
        <v>24</v>
      </c>
      <c r="C6" s="3" t="s">
        <v>40</v>
      </c>
      <c r="D6" s="3" t="n">
        <v>9661127.96</v>
      </c>
      <c r="E6" s="3" t="n">
        <v>12233886.34</v>
      </c>
      <c r="F6" s="3" t="n">
        <v>1.2663</v>
      </c>
      <c r="G6" s="3" t="n">
        <v>60</v>
      </c>
      <c r="H6" s="3" t="n">
        <v>18</v>
      </c>
      <c r="I6" s="3" t="n">
        <v>0.7692</v>
      </c>
      <c r="J6" s="3" t="n">
        <v>200581.67</v>
      </c>
      <c r="K6" s="3" t="n">
        <v>37</v>
      </c>
      <c r="L6" s="3" t="n">
        <v>0.1242</v>
      </c>
      <c r="M6" s="3" t="n">
        <v>0.4398</v>
      </c>
      <c r="N6" s="3" t="n">
        <v>2024</v>
      </c>
    </row>
    <row r="7" customFormat="false" ht="15" hidden="false" customHeight="true" outlineLevel="0" collapsed="false">
      <c r="A7" s="3" t="s">
        <v>103</v>
      </c>
      <c r="B7" s="3" t="s">
        <v>24</v>
      </c>
      <c r="C7" s="3" t="s">
        <v>62</v>
      </c>
      <c r="D7" s="3" t="n">
        <v>5309498.67</v>
      </c>
      <c r="E7" s="3" t="n">
        <v>4970752.65</v>
      </c>
      <c r="F7" s="3" t="n">
        <v>0.9362</v>
      </c>
      <c r="G7" s="3" t="n">
        <v>8</v>
      </c>
      <c r="H7" s="3" t="n">
        <v>2</v>
      </c>
      <c r="I7" s="3" t="n">
        <v>0.8</v>
      </c>
      <c r="J7" s="3" t="n">
        <v>562269.66</v>
      </c>
      <c r="K7" s="3" t="n">
        <v>59</v>
      </c>
      <c r="L7" s="3" t="n">
        <v>0.1701</v>
      </c>
      <c r="M7" s="3" t="n">
        <v>0.4088</v>
      </c>
      <c r="N7" s="3" t="n">
        <v>2024</v>
      </c>
    </row>
    <row r="8" customFormat="false" ht="15" hidden="false" customHeight="true" outlineLevel="0" collapsed="false">
      <c r="A8" s="3" t="s">
        <v>47</v>
      </c>
      <c r="B8" s="3" t="s">
        <v>48</v>
      </c>
      <c r="C8" s="3" t="s">
        <v>25</v>
      </c>
      <c r="D8" s="3" t="n">
        <v>11800683.39</v>
      </c>
      <c r="E8" s="3" t="n">
        <v>13472840.23</v>
      </c>
      <c r="F8" s="3" t="n">
        <v>1.1417</v>
      </c>
      <c r="G8" s="3" t="n">
        <v>24</v>
      </c>
      <c r="H8" s="3" t="n">
        <v>8</v>
      </c>
      <c r="I8" s="3" t="n">
        <v>0.75</v>
      </c>
      <c r="J8" s="3" t="n">
        <v>547572.84</v>
      </c>
      <c r="K8" s="3" t="n">
        <v>97</v>
      </c>
      <c r="L8" s="3" t="n">
        <v>0.1336</v>
      </c>
      <c r="M8" s="3" t="n">
        <v>0.2831</v>
      </c>
      <c r="N8" s="3" t="n">
        <v>2024</v>
      </c>
    </row>
    <row r="9" customFormat="false" ht="15" hidden="false" customHeight="true" outlineLevel="0" collapsed="false">
      <c r="A9" s="3" t="s">
        <v>83</v>
      </c>
      <c r="B9" s="3" t="s">
        <v>48</v>
      </c>
      <c r="C9" s="3" t="s">
        <v>62</v>
      </c>
      <c r="D9" s="3" t="n">
        <v>4908835.06</v>
      </c>
      <c r="E9" s="3" t="n">
        <v>4643757.97</v>
      </c>
      <c r="F9" s="3" t="n">
        <v>0.946</v>
      </c>
      <c r="G9" s="3" t="n">
        <v>8</v>
      </c>
      <c r="H9" s="3" t="n">
        <v>2</v>
      </c>
      <c r="I9" s="3" t="n">
        <v>0.8</v>
      </c>
      <c r="J9" s="3" t="n">
        <v>519285.9</v>
      </c>
      <c r="K9" s="3" t="n">
        <v>116</v>
      </c>
      <c r="L9" s="3" t="n">
        <v>0.2383</v>
      </c>
      <c r="M9" s="3" t="n">
        <v>0.3053</v>
      </c>
      <c r="N9" s="3" t="n">
        <v>2024</v>
      </c>
    </row>
    <row r="10" customFormat="false" ht="15" hidden="false" customHeight="true" outlineLevel="0" collapsed="false">
      <c r="A10" s="3" t="s">
        <v>107</v>
      </c>
      <c r="B10" s="3" t="s">
        <v>33</v>
      </c>
      <c r="C10" s="3" t="s">
        <v>70</v>
      </c>
      <c r="D10" s="3" t="n">
        <v>5433641.68</v>
      </c>
      <c r="E10" s="3" t="n">
        <v>3935586.67</v>
      </c>
      <c r="F10" s="3" t="n">
        <v>0.7243</v>
      </c>
      <c r="G10" s="3" t="n">
        <v>14</v>
      </c>
      <c r="H10" s="3" t="n">
        <v>4</v>
      </c>
      <c r="I10" s="3" t="n">
        <v>0.7778</v>
      </c>
      <c r="J10" s="3" t="n">
        <v>269055.34</v>
      </c>
      <c r="K10" s="3" t="n">
        <v>102</v>
      </c>
      <c r="L10" s="3" t="n">
        <v>0.1717</v>
      </c>
      <c r="M10" s="3" t="n">
        <v>0.4135</v>
      </c>
      <c r="N10" s="3" t="n">
        <v>2024</v>
      </c>
    </row>
    <row r="11" customFormat="false" ht="15" hidden="false" customHeight="true" outlineLevel="0" collapsed="false">
      <c r="A11" s="3" t="s">
        <v>38</v>
      </c>
      <c r="B11" s="3" t="s">
        <v>39</v>
      </c>
      <c r="C11" s="3" t="s">
        <v>40</v>
      </c>
      <c r="D11" s="3" t="n">
        <v>8287111.26</v>
      </c>
      <c r="E11" s="3" t="n">
        <v>9879894.04</v>
      </c>
      <c r="F11" s="3" t="n">
        <v>1.1922</v>
      </c>
      <c r="G11" s="3" t="n">
        <v>19</v>
      </c>
      <c r="H11" s="3" t="n">
        <v>5</v>
      </c>
      <c r="I11" s="3" t="n">
        <v>0.7917</v>
      </c>
      <c r="J11" s="3" t="n">
        <v>506372.47</v>
      </c>
      <c r="K11" s="3" t="n">
        <v>112</v>
      </c>
      <c r="L11" s="3" t="n">
        <v>0.1786</v>
      </c>
      <c r="M11" s="3" t="n">
        <v>0.3318</v>
      </c>
      <c r="N11" s="3" t="n">
        <v>2024</v>
      </c>
    </row>
    <row r="12" customFormat="false" ht="15" hidden="false" customHeight="true" outlineLevel="0" collapsed="false">
      <c r="A12" s="3" t="s">
        <v>23</v>
      </c>
      <c r="B12" s="3" t="s">
        <v>24</v>
      </c>
      <c r="C12" s="3" t="s">
        <v>25</v>
      </c>
      <c r="D12" s="3" t="n">
        <v>3177603.01</v>
      </c>
      <c r="E12" s="3" t="n">
        <v>3600859.73</v>
      </c>
      <c r="F12" s="3" t="n">
        <v>1.1332</v>
      </c>
      <c r="G12" s="3" t="n">
        <v>6</v>
      </c>
      <c r="H12" s="3" t="n">
        <v>4</v>
      </c>
      <c r="I12" s="3" t="n">
        <v>0.6</v>
      </c>
      <c r="J12" s="3" t="n">
        <v>560002.21</v>
      </c>
      <c r="K12" s="3" t="n">
        <v>92</v>
      </c>
      <c r="L12" s="3" t="n">
        <v>0.1296</v>
      </c>
      <c r="M12" s="3" t="n">
        <v>0.3553</v>
      </c>
      <c r="N12" s="3" t="n">
        <v>2024</v>
      </c>
    </row>
    <row r="13" customFormat="false" ht="15" hidden="false" customHeight="true" outlineLevel="0" collapsed="false">
      <c r="A13" s="3" t="s">
        <v>97</v>
      </c>
      <c r="B13" s="3" t="s">
        <v>48</v>
      </c>
      <c r="C13" s="3" t="s">
        <v>40</v>
      </c>
      <c r="D13" s="3" t="n">
        <v>6361838.29</v>
      </c>
      <c r="E13" s="3" t="n">
        <v>6152533.81</v>
      </c>
      <c r="F13" s="3" t="n">
        <v>0.9671</v>
      </c>
      <c r="G13" s="3" t="n">
        <v>25</v>
      </c>
      <c r="H13" s="3" t="n">
        <v>12</v>
      </c>
      <c r="I13" s="3" t="n">
        <v>0.6757</v>
      </c>
      <c r="J13" s="3" t="n">
        <v>237652.11</v>
      </c>
      <c r="K13" s="3" t="n">
        <v>72</v>
      </c>
      <c r="L13" s="3" t="n">
        <v>0.1115</v>
      </c>
      <c r="M13" s="3" t="n">
        <v>0.3429</v>
      </c>
      <c r="N13" s="3" t="n">
        <v>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I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</cols>
  <sheetData>
    <row r="1" customFormat="false" ht="15" hidden="false" customHeight="true" outlineLevel="0" collapsed="false">
      <c r="A1" s="2" t="s">
        <v>3</v>
      </c>
      <c r="B1" s="2" t="s">
        <v>4</v>
      </c>
      <c r="C1" s="2" t="s">
        <v>7328</v>
      </c>
      <c r="D1" s="2" t="s">
        <v>7318</v>
      </c>
      <c r="E1" s="2" t="s">
        <v>7329</v>
      </c>
      <c r="F1" s="2" t="s">
        <v>7330</v>
      </c>
      <c r="G1" s="2" t="s">
        <v>7331</v>
      </c>
      <c r="H1" s="2" t="s">
        <v>7332</v>
      </c>
      <c r="I1" s="2" t="s">
        <v>7333</v>
      </c>
    </row>
    <row r="2" customFormat="false" ht="15" hidden="false" customHeight="true" outlineLevel="0" collapsed="false">
      <c r="A2" s="3" t="s">
        <v>32</v>
      </c>
      <c r="B2" s="3" t="s">
        <v>33</v>
      </c>
      <c r="C2" s="3" t="s">
        <v>7334</v>
      </c>
      <c r="D2" s="3" t="n">
        <v>349193.53</v>
      </c>
      <c r="E2" s="3" t="n">
        <v>322370.96</v>
      </c>
      <c r="F2" s="3" t="n">
        <v>26822.57</v>
      </c>
      <c r="G2" s="3" t="n">
        <v>0.0832</v>
      </c>
      <c r="H2" s="3" t="n">
        <v>0.1473</v>
      </c>
      <c r="I2" s="3" t="n">
        <v>0.2698</v>
      </c>
    </row>
    <row r="3" customFormat="false" ht="15" hidden="false" customHeight="true" outlineLevel="0" collapsed="false">
      <c r="A3" s="3" t="s">
        <v>32</v>
      </c>
      <c r="B3" s="3" t="s">
        <v>33</v>
      </c>
      <c r="C3" s="3" t="s">
        <v>7335</v>
      </c>
      <c r="D3" s="3" t="n">
        <v>394911.92</v>
      </c>
      <c r="E3" s="3" t="n">
        <v>388225.74</v>
      </c>
      <c r="F3" s="3" t="n">
        <v>6686.18</v>
      </c>
      <c r="G3" s="3" t="n">
        <v>0.0172</v>
      </c>
      <c r="H3" s="3" t="n">
        <v>0.14</v>
      </c>
      <c r="I3" s="3" t="n">
        <v>0.4106</v>
      </c>
    </row>
    <row r="4" customFormat="false" ht="15" hidden="false" customHeight="true" outlineLevel="0" collapsed="false">
      <c r="A4" s="3" t="s">
        <v>32</v>
      </c>
      <c r="B4" s="3" t="s">
        <v>33</v>
      </c>
      <c r="C4" s="3" t="s">
        <v>7336</v>
      </c>
      <c r="D4" s="3" t="n">
        <v>274968.49</v>
      </c>
      <c r="E4" s="3" t="n">
        <v>387026.09</v>
      </c>
      <c r="F4" s="3" t="n">
        <v>-112057.6</v>
      </c>
      <c r="G4" s="3" t="n">
        <v>-0.2895</v>
      </c>
      <c r="H4" s="3" t="n">
        <v>0.2171</v>
      </c>
      <c r="I4" s="3" t="n">
        <v>0.3751</v>
      </c>
    </row>
    <row r="5" customFormat="false" ht="15" hidden="false" customHeight="true" outlineLevel="0" collapsed="false">
      <c r="A5" s="3" t="s">
        <v>32</v>
      </c>
      <c r="B5" s="3" t="s">
        <v>33</v>
      </c>
      <c r="C5" s="3" t="s">
        <v>7337</v>
      </c>
      <c r="D5" s="3" t="n">
        <v>289088.6</v>
      </c>
      <c r="E5" s="3" t="n">
        <v>357832.79</v>
      </c>
      <c r="F5" s="3" t="n">
        <v>-68744.19</v>
      </c>
      <c r="G5" s="3" t="n">
        <v>-0.1921</v>
      </c>
      <c r="H5" s="3" t="n">
        <v>0.2152</v>
      </c>
      <c r="I5" s="3" t="n">
        <v>0.3712</v>
      </c>
    </row>
    <row r="6" customFormat="false" ht="15" hidden="false" customHeight="true" outlineLevel="0" collapsed="false">
      <c r="A6" s="3" t="s">
        <v>32</v>
      </c>
      <c r="B6" s="3" t="s">
        <v>33</v>
      </c>
      <c r="C6" s="3" t="s">
        <v>7338</v>
      </c>
      <c r="D6" s="3" t="n">
        <v>335144.66</v>
      </c>
      <c r="E6" s="3" t="n">
        <v>328130.39</v>
      </c>
      <c r="F6" s="3" t="n">
        <v>7014.27</v>
      </c>
      <c r="G6" s="3" t="n">
        <v>0.0214</v>
      </c>
      <c r="H6" s="3" t="n">
        <v>0.1433</v>
      </c>
      <c r="I6" s="3" t="n">
        <v>0.3556</v>
      </c>
    </row>
    <row r="7" customFormat="false" ht="15" hidden="false" customHeight="true" outlineLevel="0" collapsed="false">
      <c r="A7" s="3" t="s">
        <v>32</v>
      </c>
      <c r="B7" s="3" t="s">
        <v>33</v>
      </c>
      <c r="C7" s="3" t="s">
        <v>7339</v>
      </c>
      <c r="D7" s="3" t="n">
        <v>272143.73</v>
      </c>
      <c r="E7" s="3" t="n">
        <v>355467.26</v>
      </c>
      <c r="F7" s="3" t="n">
        <v>-83323.53</v>
      </c>
      <c r="G7" s="3" t="n">
        <v>-0.2344</v>
      </c>
      <c r="H7" s="3" t="n">
        <v>0.2048</v>
      </c>
      <c r="I7" s="3" t="n">
        <v>0.3377</v>
      </c>
    </row>
    <row r="8" customFormat="false" ht="15" hidden="false" customHeight="true" outlineLevel="0" collapsed="false">
      <c r="A8" s="3" t="s">
        <v>32</v>
      </c>
      <c r="B8" s="3" t="s">
        <v>33</v>
      </c>
      <c r="C8" s="3" t="s">
        <v>7340</v>
      </c>
      <c r="D8" s="3" t="n">
        <v>318672.66</v>
      </c>
      <c r="E8" s="3" t="n">
        <v>388523.75</v>
      </c>
      <c r="F8" s="3" t="n">
        <v>-69851.09</v>
      </c>
      <c r="G8" s="3" t="n">
        <v>-0.1798</v>
      </c>
      <c r="H8" s="3" t="n">
        <v>0.0813</v>
      </c>
      <c r="I8" s="3" t="n">
        <v>0.2658</v>
      </c>
    </row>
    <row r="9" customFormat="false" ht="15" hidden="false" customHeight="true" outlineLevel="0" collapsed="false">
      <c r="A9" s="3" t="s">
        <v>32</v>
      </c>
      <c r="B9" s="3" t="s">
        <v>33</v>
      </c>
      <c r="C9" s="3" t="s">
        <v>7341</v>
      </c>
      <c r="D9" s="3" t="n">
        <v>330439.16</v>
      </c>
      <c r="E9" s="3" t="n">
        <v>385263.68</v>
      </c>
      <c r="F9" s="3" t="n">
        <v>-54824.52</v>
      </c>
      <c r="G9" s="3" t="n">
        <v>-0.1423</v>
      </c>
      <c r="H9" s="3" t="n">
        <v>0.1163</v>
      </c>
      <c r="I9" s="3" t="n">
        <v>0.2734</v>
      </c>
    </row>
    <row r="10" customFormat="false" ht="15" hidden="false" customHeight="true" outlineLevel="0" collapsed="false">
      <c r="A10" s="3" t="s">
        <v>32</v>
      </c>
      <c r="B10" s="3" t="s">
        <v>33</v>
      </c>
      <c r="C10" s="3" t="s">
        <v>7342</v>
      </c>
      <c r="D10" s="3" t="n">
        <v>442581.31</v>
      </c>
      <c r="E10" s="3" t="n">
        <v>365982.32</v>
      </c>
      <c r="F10" s="3" t="n">
        <v>76598.99</v>
      </c>
      <c r="G10" s="3" t="n">
        <v>0.2093</v>
      </c>
      <c r="H10" s="3" t="n">
        <v>0.2284</v>
      </c>
      <c r="I10" s="3" t="n">
        <v>0.2872</v>
      </c>
    </row>
    <row r="11" customFormat="false" ht="15" hidden="false" customHeight="true" outlineLevel="0" collapsed="false">
      <c r="A11" s="3" t="s">
        <v>32</v>
      </c>
      <c r="B11" s="3" t="s">
        <v>33</v>
      </c>
      <c r="C11" s="3" t="s">
        <v>7343</v>
      </c>
      <c r="D11" s="3" t="n">
        <v>437822.66</v>
      </c>
      <c r="E11" s="3" t="n">
        <v>451572.44</v>
      </c>
      <c r="F11" s="3" t="n">
        <v>-13749.78</v>
      </c>
      <c r="G11" s="3" t="n">
        <v>-0.0304</v>
      </c>
      <c r="H11" s="3" t="n">
        <v>0.229</v>
      </c>
      <c r="I11" s="3" t="n">
        <v>0.2638</v>
      </c>
    </row>
    <row r="12" customFormat="false" ht="15" hidden="false" customHeight="true" outlineLevel="0" collapsed="false">
      <c r="A12" s="3" t="s">
        <v>32</v>
      </c>
      <c r="B12" s="3" t="s">
        <v>33</v>
      </c>
      <c r="C12" s="3" t="s">
        <v>7344</v>
      </c>
      <c r="D12" s="3" t="n">
        <v>369770.16</v>
      </c>
      <c r="E12" s="3" t="n">
        <v>474798.72</v>
      </c>
      <c r="F12" s="3" t="n">
        <v>-105028.56</v>
      </c>
      <c r="G12" s="3" t="n">
        <v>-0.2212</v>
      </c>
      <c r="H12" s="3" t="n">
        <v>0.2474</v>
      </c>
      <c r="I12" s="3" t="n">
        <v>0.3335</v>
      </c>
    </row>
    <row r="13" customFormat="false" ht="15" hidden="false" customHeight="true" outlineLevel="0" collapsed="false">
      <c r="A13" s="3" t="s">
        <v>32</v>
      </c>
      <c r="B13" s="3" t="s">
        <v>33</v>
      </c>
      <c r="C13" s="3" t="s">
        <v>7345</v>
      </c>
      <c r="D13" s="3" t="n">
        <v>349847.3</v>
      </c>
      <c r="E13" s="3" t="n">
        <v>441509.5</v>
      </c>
      <c r="F13" s="3" t="n">
        <v>-91662.2</v>
      </c>
      <c r="G13" s="3" t="n">
        <v>-0.2076</v>
      </c>
      <c r="H13" s="3" t="n">
        <v>0.1367</v>
      </c>
      <c r="I13" s="3" t="n">
        <v>0.2804</v>
      </c>
    </row>
    <row r="14" customFormat="false" ht="15" hidden="false" customHeight="true" outlineLevel="0" collapsed="false">
      <c r="A14" s="3" t="s">
        <v>61</v>
      </c>
      <c r="B14" s="3" t="s">
        <v>33</v>
      </c>
      <c r="C14" s="3" t="s">
        <v>7334</v>
      </c>
      <c r="D14" s="3" t="n">
        <v>425680.88</v>
      </c>
      <c r="E14" s="3" t="n">
        <v>451424.23</v>
      </c>
      <c r="F14" s="3" t="n">
        <v>-25743.35</v>
      </c>
      <c r="G14" s="3" t="n">
        <v>-0.057</v>
      </c>
      <c r="H14" s="3" t="n">
        <v>0.1013</v>
      </c>
      <c r="I14" s="3" t="n">
        <v>0.4377</v>
      </c>
    </row>
    <row r="15" customFormat="false" ht="15" hidden="false" customHeight="true" outlineLevel="0" collapsed="false">
      <c r="A15" s="3" t="s">
        <v>61</v>
      </c>
      <c r="B15" s="3" t="s">
        <v>33</v>
      </c>
      <c r="C15" s="3" t="s">
        <v>7335</v>
      </c>
      <c r="D15" s="3" t="n">
        <v>350112.56</v>
      </c>
      <c r="E15" s="3" t="n">
        <v>475368.94</v>
      </c>
      <c r="F15" s="3" t="n">
        <v>-125256.38</v>
      </c>
      <c r="G15" s="3" t="n">
        <v>-0.2635</v>
      </c>
      <c r="H15" s="3" t="n">
        <v>0.1306</v>
      </c>
      <c r="I15" s="3" t="n">
        <v>0.3395</v>
      </c>
    </row>
    <row r="16" customFormat="false" ht="15" hidden="false" customHeight="true" outlineLevel="0" collapsed="false">
      <c r="A16" s="3" t="s">
        <v>61</v>
      </c>
      <c r="B16" s="3" t="s">
        <v>33</v>
      </c>
      <c r="C16" s="3" t="s">
        <v>7336</v>
      </c>
      <c r="D16" s="3" t="n">
        <v>465114.27</v>
      </c>
      <c r="E16" s="3" t="n">
        <v>402231.35</v>
      </c>
      <c r="F16" s="3" t="n">
        <v>62882.92</v>
      </c>
      <c r="G16" s="3" t="n">
        <v>0.1563</v>
      </c>
      <c r="H16" s="3" t="n">
        <v>0.1023</v>
      </c>
      <c r="I16" s="3" t="n">
        <v>0.2995</v>
      </c>
    </row>
    <row r="17" customFormat="false" ht="15" hidden="false" customHeight="true" outlineLevel="0" collapsed="false">
      <c r="A17" s="3" t="s">
        <v>61</v>
      </c>
      <c r="B17" s="3" t="s">
        <v>33</v>
      </c>
      <c r="C17" s="3" t="s">
        <v>7337</v>
      </c>
      <c r="D17" s="3" t="n">
        <v>446040.48</v>
      </c>
      <c r="E17" s="3" t="n">
        <v>411537.22</v>
      </c>
      <c r="F17" s="3" t="n">
        <v>34503.26</v>
      </c>
      <c r="G17" s="3" t="n">
        <v>0.0838</v>
      </c>
      <c r="H17" s="3" t="n">
        <v>0.2399</v>
      </c>
      <c r="I17" s="3" t="n">
        <v>0.3894</v>
      </c>
    </row>
    <row r="18" customFormat="false" ht="15" hidden="false" customHeight="true" outlineLevel="0" collapsed="false">
      <c r="A18" s="3" t="s">
        <v>61</v>
      </c>
      <c r="B18" s="3" t="s">
        <v>33</v>
      </c>
      <c r="C18" s="3" t="s">
        <v>7338</v>
      </c>
      <c r="D18" s="3" t="n">
        <v>509728.87</v>
      </c>
      <c r="E18" s="3" t="n">
        <v>413381.61</v>
      </c>
      <c r="F18" s="3" t="n">
        <v>96347.26</v>
      </c>
      <c r="G18" s="3" t="n">
        <v>0.2331</v>
      </c>
      <c r="H18" s="3" t="n">
        <v>0.2415</v>
      </c>
      <c r="I18" s="3" t="n">
        <v>0.3231</v>
      </c>
    </row>
    <row r="19" customFormat="false" ht="15" hidden="false" customHeight="true" outlineLevel="0" collapsed="false">
      <c r="A19" s="3" t="s">
        <v>61</v>
      </c>
      <c r="B19" s="3" t="s">
        <v>33</v>
      </c>
      <c r="C19" s="3" t="s">
        <v>7339</v>
      </c>
      <c r="D19" s="3" t="n">
        <v>520923.16</v>
      </c>
      <c r="E19" s="3" t="n">
        <v>412883.09</v>
      </c>
      <c r="F19" s="3" t="n">
        <v>108040.07</v>
      </c>
      <c r="G19" s="3" t="n">
        <v>0.2617</v>
      </c>
      <c r="H19" s="3" t="n">
        <v>0.1108</v>
      </c>
      <c r="I19" s="3" t="n">
        <v>0.4123</v>
      </c>
    </row>
    <row r="20" customFormat="false" ht="15" hidden="false" customHeight="true" outlineLevel="0" collapsed="false">
      <c r="A20" s="3" t="s">
        <v>61</v>
      </c>
      <c r="B20" s="3" t="s">
        <v>33</v>
      </c>
      <c r="C20" s="3" t="s">
        <v>7340</v>
      </c>
      <c r="D20" s="3" t="n">
        <v>566902.58</v>
      </c>
      <c r="E20" s="3" t="n">
        <v>462270.34</v>
      </c>
      <c r="F20" s="3" t="n">
        <v>104632.24</v>
      </c>
      <c r="G20" s="3" t="n">
        <v>0.2263</v>
      </c>
      <c r="H20" s="3" t="n">
        <v>0.1309</v>
      </c>
      <c r="I20" s="3" t="n">
        <v>0.3726</v>
      </c>
    </row>
    <row r="21" customFormat="false" ht="15" hidden="false" customHeight="true" outlineLevel="0" collapsed="false">
      <c r="A21" s="3" t="s">
        <v>61</v>
      </c>
      <c r="B21" s="3" t="s">
        <v>33</v>
      </c>
      <c r="C21" s="3" t="s">
        <v>7341</v>
      </c>
      <c r="D21" s="3" t="n">
        <v>556087.4</v>
      </c>
      <c r="E21" s="3" t="n">
        <v>504900.17</v>
      </c>
      <c r="F21" s="3" t="n">
        <v>51187.23</v>
      </c>
      <c r="G21" s="3" t="n">
        <v>0.1014</v>
      </c>
      <c r="H21" s="3" t="n">
        <v>0.1352</v>
      </c>
      <c r="I21" s="3" t="n">
        <v>0.3926</v>
      </c>
    </row>
    <row r="22" customFormat="false" ht="15" hidden="false" customHeight="true" outlineLevel="0" collapsed="false">
      <c r="A22" s="3" t="s">
        <v>61</v>
      </c>
      <c r="B22" s="3" t="s">
        <v>33</v>
      </c>
      <c r="C22" s="3" t="s">
        <v>7342</v>
      </c>
      <c r="D22" s="3" t="n">
        <v>603330.88</v>
      </c>
      <c r="E22" s="3" t="n">
        <v>462420.4</v>
      </c>
      <c r="F22" s="3" t="n">
        <v>140910.48</v>
      </c>
      <c r="G22" s="3" t="n">
        <v>0.3047</v>
      </c>
      <c r="H22" s="3" t="n">
        <v>0.245</v>
      </c>
      <c r="I22" s="3" t="n">
        <v>0.2663</v>
      </c>
    </row>
    <row r="23" customFormat="false" ht="15" hidden="false" customHeight="true" outlineLevel="0" collapsed="false">
      <c r="A23" s="3" t="s">
        <v>61</v>
      </c>
      <c r="B23" s="3" t="s">
        <v>33</v>
      </c>
      <c r="C23" s="3" t="s">
        <v>7343</v>
      </c>
      <c r="D23" s="3" t="n">
        <v>475615.6</v>
      </c>
      <c r="E23" s="3" t="n">
        <v>632571.7</v>
      </c>
      <c r="F23" s="3" t="n">
        <v>-156956.1</v>
      </c>
      <c r="G23" s="3" t="n">
        <v>-0.2481</v>
      </c>
      <c r="H23" s="3" t="n">
        <v>0.2053</v>
      </c>
      <c r="I23" s="3" t="n">
        <v>0.3792</v>
      </c>
    </row>
    <row r="24" customFormat="false" ht="15" hidden="false" customHeight="true" outlineLevel="0" collapsed="false">
      <c r="A24" s="3" t="s">
        <v>61</v>
      </c>
      <c r="B24" s="3" t="s">
        <v>33</v>
      </c>
      <c r="C24" s="3" t="s">
        <v>7344</v>
      </c>
      <c r="D24" s="3" t="n">
        <v>516902.59</v>
      </c>
      <c r="E24" s="3" t="n">
        <v>637266.06</v>
      </c>
      <c r="F24" s="3" t="n">
        <v>-120363.47</v>
      </c>
      <c r="G24" s="3" t="n">
        <v>-0.1889</v>
      </c>
      <c r="H24" s="3" t="n">
        <v>0.1156</v>
      </c>
      <c r="I24" s="3" t="n">
        <v>0.4126</v>
      </c>
    </row>
    <row r="25" customFormat="false" ht="15" hidden="false" customHeight="true" outlineLevel="0" collapsed="false">
      <c r="A25" s="3" t="s">
        <v>61</v>
      </c>
      <c r="B25" s="3" t="s">
        <v>33</v>
      </c>
      <c r="C25" s="3" t="s">
        <v>7345</v>
      </c>
      <c r="D25" s="3" t="n">
        <v>665195.88</v>
      </c>
      <c r="E25" s="3" t="n">
        <v>583748.67</v>
      </c>
      <c r="F25" s="3" t="n">
        <v>81447.21</v>
      </c>
      <c r="G25" s="3" t="n">
        <v>0.1395</v>
      </c>
      <c r="H25" s="3" t="n">
        <v>0.1457</v>
      </c>
      <c r="I25" s="3" t="n">
        <v>0.4277</v>
      </c>
    </row>
    <row r="26" customFormat="false" ht="15" hidden="false" customHeight="true" outlineLevel="0" collapsed="false">
      <c r="A26" s="3" t="s">
        <v>75</v>
      </c>
      <c r="B26" s="3" t="s">
        <v>39</v>
      </c>
      <c r="C26" s="3" t="s">
        <v>7334</v>
      </c>
      <c r="D26" s="3" t="n">
        <v>563317.89</v>
      </c>
      <c r="E26" s="3" t="n">
        <v>520547.38</v>
      </c>
      <c r="F26" s="3" t="n">
        <v>42770.51</v>
      </c>
      <c r="G26" s="3" t="n">
        <v>0.0822</v>
      </c>
      <c r="H26" s="3" t="n">
        <v>0.0913</v>
      </c>
      <c r="I26" s="3" t="n">
        <v>0.3575</v>
      </c>
    </row>
    <row r="27" customFormat="false" ht="15" hidden="false" customHeight="true" outlineLevel="0" collapsed="false">
      <c r="A27" s="3" t="s">
        <v>75</v>
      </c>
      <c r="B27" s="3" t="s">
        <v>39</v>
      </c>
      <c r="C27" s="3" t="s">
        <v>7335</v>
      </c>
      <c r="D27" s="3" t="n">
        <v>586268.64</v>
      </c>
      <c r="E27" s="3" t="n">
        <v>616759.56</v>
      </c>
      <c r="F27" s="3" t="n">
        <v>-30490.92</v>
      </c>
      <c r="G27" s="3" t="n">
        <v>-0.0494</v>
      </c>
      <c r="H27" s="3" t="n">
        <v>0.1395</v>
      </c>
      <c r="I27" s="3" t="n">
        <v>0.3865</v>
      </c>
    </row>
    <row r="28" customFormat="false" ht="15" hidden="false" customHeight="true" outlineLevel="0" collapsed="false">
      <c r="A28" s="3" t="s">
        <v>75</v>
      </c>
      <c r="B28" s="3" t="s">
        <v>39</v>
      </c>
      <c r="C28" s="3" t="s">
        <v>7336</v>
      </c>
      <c r="D28" s="3" t="n">
        <v>518946.87</v>
      </c>
      <c r="E28" s="3" t="n">
        <v>552707.74</v>
      </c>
      <c r="F28" s="3" t="n">
        <v>-33760.87</v>
      </c>
      <c r="G28" s="3" t="n">
        <v>-0.0611</v>
      </c>
      <c r="H28" s="3" t="n">
        <v>0.1853</v>
      </c>
      <c r="I28" s="3" t="n">
        <v>0.2718</v>
      </c>
    </row>
    <row r="29" customFormat="false" ht="15" hidden="false" customHeight="true" outlineLevel="0" collapsed="false">
      <c r="A29" s="3" t="s">
        <v>75</v>
      </c>
      <c r="B29" s="3" t="s">
        <v>39</v>
      </c>
      <c r="C29" s="3" t="s">
        <v>7337</v>
      </c>
      <c r="D29" s="3" t="n">
        <v>462955.83</v>
      </c>
      <c r="E29" s="3" t="n">
        <v>630771.96</v>
      </c>
      <c r="F29" s="3" t="n">
        <v>-167816.13</v>
      </c>
      <c r="G29" s="3" t="n">
        <v>-0.266</v>
      </c>
      <c r="H29" s="3" t="n">
        <v>0.1053</v>
      </c>
      <c r="I29" s="3" t="n">
        <v>0.3085</v>
      </c>
    </row>
    <row r="30" customFormat="false" ht="15" hidden="false" customHeight="true" outlineLevel="0" collapsed="false">
      <c r="A30" s="3" t="s">
        <v>75</v>
      </c>
      <c r="B30" s="3" t="s">
        <v>39</v>
      </c>
      <c r="C30" s="3" t="s">
        <v>7338</v>
      </c>
      <c r="D30" s="3" t="n">
        <v>559959.84</v>
      </c>
      <c r="E30" s="3" t="n">
        <v>629217.58</v>
      </c>
      <c r="F30" s="3" t="n">
        <v>-69257.74</v>
      </c>
      <c r="G30" s="3" t="n">
        <v>-0.1101</v>
      </c>
      <c r="H30" s="3" t="n">
        <v>0.1782</v>
      </c>
      <c r="I30" s="3" t="n">
        <v>0.3499</v>
      </c>
    </row>
    <row r="31" customFormat="false" ht="15" hidden="false" customHeight="true" outlineLevel="0" collapsed="false">
      <c r="A31" s="3" t="s">
        <v>75</v>
      </c>
      <c r="B31" s="3" t="s">
        <v>39</v>
      </c>
      <c r="C31" s="3" t="s">
        <v>7339</v>
      </c>
      <c r="D31" s="3" t="n">
        <v>505979.8</v>
      </c>
      <c r="E31" s="3" t="n">
        <v>530594.82</v>
      </c>
      <c r="F31" s="3" t="n">
        <v>-24615.02</v>
      </c>
      <c r="G31" s="3" t="n">
        <v>-0.0464</v>
      </c>
      <c r="H31" s="3" t="n">
        <v>0.1408</v>
      </c>
      <c r="I31" s="3" t="n">
        <v>0.4193</v>
      </c>
    </row>
    <row r="32" customFormat="false" ht="15" hidden="false" customHeight="true" outlineLevel="0" collapsed="false">
      <c r="A32" s="3" t="s">
        <v>75</v>
      </c>
      <c r="B32" s="3" t="s">
        <v>39</v>
      </c>
      <c r="C32" s="3" t="s">
        <v>7340</v>
      </c>
      <c r="D32" s="3" t="n">
        <v>482234.53</v>
      </c>
      <c r="E32" s="3" t="n">
        <v>613917.84</v>
      </c>
      <c r="F32" s="3" t="n">
        <v>-131683.31</v>
      </c>
      <c r="G32" s="3" t="n">
        <v>-0.2145</v>
      </c>
      <c r="H32" s="3" t="n">
        <v>0.1977</v>
      </c>
      <c r="I32" s="3" t="n">
        <v>0.3399</v>
      </c>
    </row>
    <row r="33" customFormat="false" ht="15" hidden="false" customHeight="true" outlineLevel="0" collapsed="false">
      <c r="A33" s="3" t="s">
        <v>75</v>
      </c>
      <c r="B33" s="3" t="s">
        <v>39</v>
      </c>
      <c r="C33" s="3" t="s">
        <v>7341</v>
      </c>
      <c r="D33" s="3" t="n">
        <v>746225.98</v>
      </c>
      <c r="E33" s="3" t="n">
        <v>602777.11</v>
      </c>
      <c r="F33" s="3" t="n">
        <v>143448.87</v>
      </c>
      <c r="G33" s="3" t="n">
        <v>0.238</v>
      </c>
      <c r="H33" s="3" t="n">
        <v>0.2305</v>
      </c>
      <c r="I33" s="3" t="n">
        <v>0.2719</v>
      </c>
    </row>
    <row r="34" customFormat="false" ht="15" hidden="false" customHeight="true" outlineLevel="0" collapsed="false">
      <c r="A34" s="3" t="s">
        <v>75</v>
      </c>
      <c r="B34" s="3" t="s">
        <v>39</v>
      </c>
      <c r="C34" s="3" t="s">
        <v>7342</v>
      </c>
      <c r="D34" s="3" t="n">
        <v>651876.52</v>
      </c>
      <c r="E34" s="3" t="n">
        <v>656988.72</v>
      </c>
      <c r="F34" s="3" t="n">
        <v>-5112.2</v>
      </c>
      <c r="G34" s="3" t="n">
        <v>-0.0078</v>
      </c>
      <c r="H34" s="3" t="n">
        <v>0.1976</v>
      </c>
      <c r="I34" s="3" t="n">
        <v>0.376</v>
      </c>
    </row>
    <row r="35" customFormat="false" ht="15" hidden="false" customHeight="true" outlineLevel="0" collapsed="false">
      <c r="A35" s="3" t="s">
        <v>75</v>
      </c>
      <c r="B35" s="3" t="s">
        <v>39</v>
      </c>
      <c r="C35" s="3" t="s">
        <v>7343</v>
      </c>
      <c r="D35" s="3" t="n">
        <v>663059.03</v>
      </c>
      <c r="E35" s="3" t="n">
        <v>735581.12</v>
      </c>
      <c r="F35" s="3" t="n">
        <v>-72522.09</v>
      </c>
      <c r="G35" s="3" t="n">
        <v>-0.0986</v>
      </c>
      <c r="H35" s="3" t="n">
        <v>0.1973</v>
      </c>
      <c r="I35" s="3" t="n">
        <v>0.2879</v>
      </c>
    </row>
    <row r="36" customFormat="false" ht="15" hidden="false" customHeight="true" outlineLevel="0" collapsed="false">
      <c r="A36" s="3" t="s">
        <v>75</v>
      </c>
      <c r="B36" s="3" t="s">
        <v>39</v>
      </c>
      <c r="C36" s="3" t="s">
        <v>7344</v>
      </c>
      <c r="D36" s="3" t="n">
        <v>672633.68</v>
      </c>
      <c r="E36" s="3" t="n">
        <v>724193.31</v>
      </c>
      <c r="F36" s="3" t="n">
        <v>-51559.63</v>
      </c>
      <c r="G36" s="3" t="n">
        <v>-0.0712</v>
      </c>
      <c r="H36" s="3" t="n">
        <v>0.239</v>
      </c>
      <c r="I36" s="3" t="n">
        <v>0.2968</v>
      </c>
    </row>
    <row r="37" customFormat="false" ht="15" hidden="false" customHeight="true" outlineLevel="0" collapsed="false">
      <c r="A37" s="3" t="s">
        <v>75</v>
      </c>
      <c r="B37" s="3" t="s">
        <v>39</v>
      </c>
      <c r="C37" s="3" t="s">
        <v>7345</v>
      </c>
      <c r="D37" s="3" t="n">
        <v>792533.03</v>
      </c>
      <c r="E37" s="3" t="n">
        <v>757124.21</v>
      </c>
      <c r="F37" s="3" t="n">
        <v>35408.82</v>
      </c>
      <c r="G37" s="3" t="n">
        <v>0.0468</v>
      </c>
      <c r="H37" s="3" t="n">
        <v>0.0814</v>
      </c>
      <c r="I37" s="3" t="n">
        <v>0.3437</v>
      </c>
    </row>
    <row r="38" customFormat="false" ht="15" hidden="false" customHeight="true" outlineLevel="0" collapsed="false">
      <c r="A38" s="3" t="s">
        <v>69</v>
      </c>
      <c r="B38" s="3" t="s">
        <v>39</v>
      </c>
      <c r="C38" s="3" t="s">
        <v>7334</v>
      </c>
      <c r="D38" s="3" t="n">
        <v>547517.75</v>
      </c>
      <c r="E38" s="3" t="n">
        <v>606253.23</v>
      </c>
      <c r="F38" s="3" t="n">
        <v>-58735.48</v>
      </c>
      <c r="G38" s="3" t="n">
        <v>-0.0969</v>
      </c>
      <c r="H38" s="3" t="n">
        <v>0.2206</v>
      </c>
      <c r="I38" s="3" t="n">
        <v>0.4029</v>
      </c>
    </row>
    <row r="39" customFormat="false" ht="15" hidden="false" customHeight="true" outlineLevel="0" collapsed="false">
      <c r="A39" s="3" t="s">
        <v>69</v>
      </c>
      <c r="B39" s="3" t="s">
        <v>39</v>
      </c>
      <c r="C39" s="3" t="s">
        <v>7335</v>
      </c>
      <c r="D39" s="3" t="n">
        <v>787624.93</v>
      </c>
      <c r="E39" s="3" t="n">
        <v>701010.21</v>
      </c>
      <c r="F39" s="3" t="n">
        <v>86614.72</v>
      </c>
      <c r="G39" s="3" t="n">
        <v>0.1236</v>
      </c>
      <c r="H39" s="3" t="n">
        <v>0.1389</v>
      </c>
      <c r="I39" s="3" t="n">
        <v>0.4484</v>
      </c>
    </row>
    <row r="40" customFormat="false" ht="15" hidden="false" customHeight="true" outlineLevel="0" collapsed="false">
      <c r="A40" s="3" t="s">
        <v>69</v>
      </c>
      <c r="B40" s="3" t="s">
        <v>39</v>
      </c>
      <c r="C40" s="3" t="s">
        <v>7336</v>
      </c>
      <c r="D40" s="3" t="n">
        <v>595529.71</v>
      </c>
      <c r="E40" s="3" t="n">
        <v>675041.76</v>
      </c>
      <c r="F40" s="3" t="n">
        <v>-79512.05</v>
      </c>
      <c r="G40" s="3" t="n">
        <v>-0.1178</v>
      </c>
      <c r="H40" s="3" t="n">
        <v>0.0892</v>
      </c>
      <c r="I40" s="3" t="n">
        <v>0.2764</v>
      </c>
    </row>
    <row r="41" customFormat="false" ht="15" hidden="false" customHeight="true" outlineLevel="0" collapsed="false">
      <c r="A41" s="3" t="s">
        <v>69</v>
      </c>
      <c r="B41" s="3" t="s">
        <v>39</v>
      </c>
      <c r="C41" s="3" t="s">
        <v>7337</v>
      </c>
      <c r="D41" s="3" t="n">
        <v>651317.02</v>
      </c>
      <c r="E41" s="3" t="n">
        <v>668041.02</v>
      </c>
      <c r="F41" s="3" t="n">
        <v>-16724</v>
      </c>
      <c r="G41" s="3" t="n">
        <v>-0.025</v>
      </c>
      <c r="H41" s="3" t="n">
        <v>0.1444</v>
      </c>
      <c r="I41" s="3" t="n">
        <v>0.2512</v>
      </c>
    </row>
    <row r="42" customFormat="false" ht="15" hidden="false" customHeight="true" outlineLevel="0" collapsed="false">
      <c r="A42" s="3" t="s">
        <v>69</v>
      </c>
      <c r="B42" s="3" t="s">
        <v>39</v>
      </c>
      <c r="C42" s="3" t="s">
        <v>7338</v>
      </c>
      <c r="D42" s="3" t="n">
        <v>534799.01</v>
      </c>
      <c r="E42" s="3" t="n">
        <v>735074.91</v>
      </c>
      <c r="F42" s="3" t="n">
        <v>-200275.9</v>
      </c>
      <c r="G42" s="3" t="n">
        <v>-0.2725</v>
      </c>
      <c r="H42" s="3" t="n">
        <v>0.152</v>
      </c>
      <c r="I42" s="3" t="n">
        <v>0.3368</v>
      </c>
    </row>
    <row r="43" customFormat="false" ht="15" hidden="false" customHeight="true" outlineLevel="0" collapsed="false">
      <c r="A43" s="3" t="s">
        <v>69</v>
      </c>
      <c r="B43" s="3" t="s">
        <v>39</v>
      </c>
      <c r="C43" s="3" t="s">
        <v>7339</v>
      </c>
      <c r="D43" s="3" t="n">
        <v>665196.7</v>
      </c>
      <c r="E43" s="3" t="n">
        <v>648239.18</v>
      </c>
      <c r="F43" s="3" t="n">
        <v>16957.52</v>
      </c>
      <c r="G43" s="3" t="n">
        <v>0.0262</v>
      </c>
      <c r="H43" s="3" t="n">
        <v>0.1563</v>
      </c>
      <c r="I43" s="3" t="n">
        <v>0.2884</v>
      </c>
    </row>
    <row r="44" customFormat="false" ht="15" hidden="false" customHeight="true" outlineLevel="0" collapsed="false">
      <c r="A44" s="3" t="s">
        <v>69</v>
      </c>
      <c r="B44" s="3" t="s">
        <v>39</v>
      </c>
      <c r="C44" s="3" t="s">
        <v>7340</v>
      </c>
      <c r="D44" s="3" t="n">
        <v>820844.47</v>
      </c>
      <c r="E44" s="3" t="n">
        <v>784086.21</v>
      </c>
      <c r="F44" s="3" t="n">
        <v>36758.26</v>
      </c>
      <c r="G44" s="3" t="n">
        <v>0.0469</v>
      </c>
      <c r="H44" s="3" t="n">
        <v>0.1233</v>
      </c>
      <c r="I44" s="3" t="n">
        <v>0.3042</v>
      </c>
    </row>
    <row r="45" customFormat="false" ht="15" hidden="false" customHeight="true" outlineLevel="0" collapsed="false">
      <c r="A45" s="3" t="s">
        <v>69</v>
      </c>
      <c r="B45" s="3" t="s">
        <v>39</v>
      </c>
      <c r="C45" s="3" t="s">
        <v>7341</v>
      </c>
      <c r="D45" s="3" t="n">
        <v>880624.05</v>
      </c>
      <c r="E45" s="3" t="n">
        <v>681680.63</v>
      </c>
      <c r="F45" s="3" t="n">
        <v>198943.42</v>
      </c>
      <c r="G45" s="3" t="n">
        <v>0.2918</v>
      </c>
      <c r="H45" s="3" t="n">
        <v>0.2168</v>
      </c>
      <c r="I45" s="3" t="n">
        <v>0.2576</v>
      </c>
    </row>
    <row r="46" customFormat="false" ht="15" hidden="false" customHeight="true" outlineLevel="0" collapsed="false">
      <c r="A46" s="3" t="s">
        <v>69</v>
      </c>
      <c r="B46" s="3" t="s">
        <v>39</v>
      </c>
      <c r="C46" s="3" t="s">
        <v>7342</v>
      </c>
      <c r="D46" s="3" t="n">
        <v>715184.18</v>
      </c>
      <c r="E46" s="3" t="n">
        <v>707368.86</v>
      </c>
      <c r="F46" s="3" t="n">
        <v>7815.32</v>
      </c>
      <c r="G46" s="3" t="n">
        <v>0.011</v>
      </c>
      <c r="H46" s="3" t="n">
        <v>0.1044</v>
      </c>
      <c r="I46" s="3" t="n">
        <v>0.3965</v>
      </c>
    </row>
    <row r="47" customFormat="false" ht="15" hidden="false" customHeight="true" outlineLevel="0" collapsed="false">
      <c r="A47" s="3" t="s">
        <v>69</v>
      </c>
      <c r="B47" s="3" t="s">
        <v>39</v>
      </c>
      <c r="C47" s="3" t="s">
        <v>7343</v>
      </c>
      <c r="D47" s="3" t="n">
        <v>656885.02</v>
      </c>
      <c r="E47" s="3" t="n">
        <v>916329.39</v>
      </c>
      <c r="F47" s="3" t="n">
        <v>-259444.37</v>
      </c>
      <c r="G47" s="3" t="n">
        <v>-0.2831</v>
      </c>
      <c r="H47" s="3" t="n">
        <v>0.1746</v>
      </c>
      <c r="I47" s="3" t="n">
        <v>0.253</v>
      </c>
    </row>
    <row r="48" customFormat="false" ht="15" hidden="false" customHeight="true" outlineLevel="0" collapsed="false">
      <c r="A48" s="3" t="s">
        <v>69</v>
      </c>
      <c r="B48" s="3" t="s">
        <v>39</v>
      </c>
      <c r="C48" s="3" t="s">
        <v>7344</v>
      </c>
      <c r="D48" s="3" t="n">
        <v>744379.42</v>
      </c>
      <c r="E48" s="3" t="n">
        <v>832418.32</v>
      </c>
      <c r="F48" s="3" t="n">
        <v>-88038.9</v>
      </c>
      <c r="G48" s="3" t="n">
        <v>-0.1058</v>
      </c>
      <c r="H48" s="3" t="n">
        <v>0.114</v>
      </c>
      <c r="I48" s="3" t="n">
        <v>0.3952</v>
      </c>
    </row>
    <row r="49" customFormat="false" ht="15" hidden="false" customHeight="true" outlineLevel="0" collapsed="false">
      <c r="A49" s="3" t="s">
        <v>69</v>
      </c>
      <c r="B49" s="3" t="s">
        <v>39</v>
      </c>
      <c r="C49" s="3" t="s">
        <v>7345</v>
      </c>
      <c r="D49" s="3" t="n">
        <v>698303.53</v>
      </c>
      <c r="E49" s="3" t="n">
        <v>903206.55</v>
      </c>
      <c r="F49" s="3" t="n">
        <v>-204903.02</v>
      </c>
      <c r="G49" s="3" t="n">
        <v>-0.2269</v>
      </c>
      <c r="H49" s="3" t="n">
        <v>0.1682</v>
      </c>
      <c r="I49" s="3" t="n">
        <v>0.2834</v>
      </c>
    </row>
    <row r="50" customFormat="false" ht="15" hidden="false" customHeight="true" outlineLevel="0" collapsed="false">
      <c r="A50" s="3" t="s">
        <v>54</v>
      </c>
      <c r="B50" s="3" t="s">
        <v>24</v>
      </c>
      <c r="C50" s="3" t="s">
        <v>7334</v>
      </c>
      <c r="D50" s="3" t="n">
        <v>991129.41</v>
      </c>
      <c r="E50" s="3" t="n">
        <v>1065763.08</v>
      </c>
      <c r="F50" s="3" t="n">
        <v>-74633.67</v>
      </c>
      <c r="G50" s="3" t="n">
        <v>-0.07</v>
      </c>
      <c r="H50" s="3" t="n">
        <v>0.1388</v>
      </c>
      <c r="I50" s="3" t="n">
        <v>0.3039</v>
      </c>
    </row>
    <row r="51" customFormat="false" ht="15" hidden="false" customHeight="true" outlineLevel="0" collapsed="false">
      <c r="A51" s="3" t="s">
        <v>54</v>
      </c>
      <c r="B51" s="3" t="s">
        <v>24</v>
      </c>
      <c r="C51" s="3" t="s">
        <v>7335</v>
      </c>
      <c r="D51" s="3" t="n">
        <v>1178152.3</v>
      </c>
      <c r="E51" s="3" t="n">
        <v>1011374.94</v>
      </c>
      <c r="F51" s="3" t="n">
        <v>166777.36</v>
      </c>
      <c r="G51" s="3" t="n">
        <v>0.1649</v>
      </c>
      <c r="H51" s="3" t="n">
        <v>0.1205</v>
      </c>
      <c r="I51" s="3" t="n">
        <v>0.2922</v>
      </c>
    </row>
    <row r="52" customFormat="false" ht="15" hidden="false" customHeight="true" outlineLevel="0" collapsed="false">
      <c r="A52" s="3" t="s">
        <v>54</v>
      </c>
      <c r="B52" s="3" t="s">
        <v>24</v>
      </c>
      <c r="C52" s="3" t="s">
        <v>7336</v>
      </c>
      <c r="D52" s="3" t="n">
        <v>896179.51</v>
      </c>
      <c r="E52" s="3" t="n">
        <v>1091513.98</v>
      </c>
      <c r="F52" s="3" t="n">
        <v>-195334.47</v>
      </c>
      <c r="G52" s="3" t="n">
        <v>-0.179</v>
      </c>
      <c r="H52" s="3" t="n">
        <v>0.1013</v>
      </c>
      <c r="I52" s="3" t="n">
        <v>0.3123</v>
      </c>
    </row>
    <row r="53" customFormat="false" ht="15" hidden="false" customHeight="true" outlineLevel="0" collapsed="false">
      <c r="A53" s="3" t="s">
        <v>54</v>
      </c>
      <c r="B53" s="3" t="s">
        <v>24</v>
      </c>
      <c r="C53" s="3" t="s">
        <v>7337</v>
      </c>
      <c r="D53" s="3" t="n">
        <v>1030488.01</v>
      </c>
      <c r="E53" s="3" t="n">
        <v>1023609.46</v>
      </c>
      <c r="F53" s="3" t="n">
        <v>6878.55</v>
      </c>
      <c r="G53" s="3" t="n">
        <v>0.0067</v>
      </c>
      <c r="H53" s="3" t="n">
        <v>0.2443</v>
      </c>
      <c r="I53" s="3" t="n">
        <v>0.4178</v>
      </c>
    </row>
    <row r="54" customFormat="false" ht="15" hidden="false" customHeight="true" outlineLevel="0" collapsed="false">
      <c r="A54" s="3" t="s">
        <v>54</v>
      </c>
      <c r="B54" s="3" t="s">
        <v>24</v>
      </c>
      <c r="C54" s="3" t="s">
        <v>7338</v>
      </c>
      <c r="D54" s="3" t="n">
        <v>1096307.52</v>
      </c>
      <c r="E54" s="3" t="n">
        <v>1070199.2</v>
      </c>
      <c r="F54" s="3" t="n">
        <v>26108.32</v>
      </c>
      <c r="G54" s="3" t="n">
        <v>0.0244</v>
      </c>
      <c r="H54" s="3" t="n">
        <v>0.2332</v>
      </c>
      <c r="I54" s="3" t="n">
        <v>0.2832</v>
      </c>
    </row>
    <row r="55" customFormat="false" ht="15" hidden="false" customHeight="true" outlineLevel="0" collapsed="false">
      <c r="A55" s="3" t="s">
        <v>54</v>
      </c>
      <c r="B55" s="3" t="s">
        <v>24</v>
      </c>
      <c r="C55" s="3" t="s">
        <v>7339</v>
      </c>
      <c r="D55" s="3" t="n">
        <v>1222280.78</v>
      </c>
      <c r="E55" s="3" t="n">
        <v>1090590.96</v>
      </c>
      <c r="F55" s="3" t="n">
        <v>131689.82</v>
      </c>
      <c r="G55" s="3" t="n">
        <v>0.1208</v>
      </c>
      <c r="H55" s="3" t="n">
        <v>0.2276</v>
      </c>
      <c r="I55" s="3" t="n">
        <v>0.2942</v>
      </c>
    </row>
    <row r="56" customFormat="false" ht="15" hidden="false" customHeight="true" outlineLevel="0" collapsed="false">
      <c r="A56" s="3" t="s">
        <v>54</v>
      </c>
      <c r="B56" s="3" t="s">
        <v>24</v>
      </c>
      <c r="C56" s="3" t="s">
        <v>7340</v>
      </c>
      <c r="D56" s="3" t="n">
        <v>855807.19</v>
      </c>
      <c r="E56" s="3" t="n">
        <v>1223965.16</v>
      </c>
      <c r="F56" s="3" t="n">
        <v>-368157.97</v>
      </c>
      <c r="G56" s="3" t="n">
        <v>-0.3008</v>
      </c>
      <c r="H56" s="3" t="n">
        <v>0.1109</v>
      </c>
      <c r="I56" s="3" t="n">
        <v>0.4368</v>
      </c>
    </row>
    <row r="57" customFormat="false" ht="15" hidden="false" customHeight="true" outlineLevel="0" collapsed="false">
      <c r="A57" s="3" t="s">
        <v>54</v>
      </c>
      <c r="B57" s="3" t="s">
        <v>24</v>
      </c>
      <c r="C57" s="3" t="s">
        <v>7341</v>
      </c>
      <c r="D57" s="3" t="n">
        <v>987740.25</v>
      </c>
      <c r="E57" s="3" t="n">
        <v>1098011.11</v>
      </c>
      <c r="F57" s="3" t="n">
        <v>-110270.86</v>
      </c>
      <c r="G57" s="3" t="n">
        <v>-0.1004</v>
      </c>
      <c r="H57" s="3" t="n">
        <v>0.1784</v>
      </c>
      <c r="I57" s="3" t="n">
        <v>0.2885</v>
      </c>
    </row>
    <row r="58" customFormat="false" ht="15" hidden="false" customHeight="true" outlineLevel="0" collapsed="false">
      <c r="A58" s="3" t="s">
        <v>54</v>
      </c>
      <c r="B58" s="3" t="s">
        <v>24</v>
      </c>
      <c r="C58" s="3" t="s">
        <v>7342</v>
      </c>
      <c r="D58" s="3" t="n">
        <v>1131432.92</v>
      </c>
      <c r="E58" s="3" t="n">
        <v>1119679.2</v>
      </c>
      <c r="F58" s="3" t="n">
        <v>11753.72</v>
      </c>
      <c r="G58" s="3" t="n">
        <v>0.0105</v>
      </c>
      <c r="H58" s="3" t="n">
        <v>0.0988</v>
      </c>
      <c r="I58" s="3" t="n">
        <v>0.4356</v>
      </c>
    </row>
    <row r="59" customFormat="false" ht="15" hidden="false" customHeight="true" outlineLevel="0" collapsed="false">
      <c r="A59" s="3" t="s">
        <v>54</v>
      </c>
      <c r="B59" s="3" t="s">
        <v>24</v>
      </c>
      <c r="C59" s="3" t="s">
        <v>7343</v>
      </c>
      <c r="D59" s="3" t="n">
        <v>1581698.35</v>
      </c>
      <c r="E59" s="3" t="n">
        <v>1282794.16</v>
      </c>
      <c r="F59" s="3" t="n">
        <v>298904.19</v>
      </c>
      <c r="G59" s="3" t="n">
        <v>0.233</v>
      </c>
      <c r="H59" s="3" t="n">
        <v>0.2299</v>
      </c>
      <c r="I59" s="3" t="n">
        <v>0.426</v>
      </c>
    </row>
    <row r="60" customFormat="false" ht="15" hidden="false" customHeight="true" outlineLevel="0" collapsed="false">
      <c r="A60" s="3" t="s">
        <v>54</v>
      </c>
      <c r="B60" s="3" t="s">
        <v>24</v>
      </c>
      <c r="C60" s="3" t="s">
        <v>7344</v>
      </c>
      <c r="D60" s="3" t="n">
        <v>1465984.56</v>
      </c>
      <c r="E60" s="3" t="n">
        <v>1385846.57</v>
      </c>
      <c r="F60" s="3" t="n">
        <v>80137.99</v>
      </c>
      <c r="G60" s="3" t="n">
        <v>0.0578</v>
      </c>
      <c r="H60" s="3" t="n">
        <v>0.1039</v>
      </c>
      <c r="I60" s="3" t="n">
        <v>0.2865</v>
      </c>
    </row>
    <row r="61" customFormat="false" ht="15" hidden="false" customHeight="true" outlineLevel="0" collapsed="false">
      <c r="A61" s="3" t="s">
        <v>54</v>
      </c>
      <c r="B61" s="3" t="s">
        <v>24</v>
      </c>
      <c r="C61" s="3" t="s">
        <v>7345</v>
      </c>
      <c r="D61" s="3" t="n">
        <v>1048677.93</v>
      </c>
      <c r="E61" s="3" t="n">
        <v>1373791.58</v>
      </c>
      <c r="F61" s="3" t="n">
        <v>-325113.65</v>
      </c>
      <c r="G61" s="3" t="n">
        <v>-0.2367</v>
      </c>
      <c r="H61" s="3" t="n">
        <v>0.1865</v>
      </c>
      <c r="I61" s="3" t="n">
        <v>0.282</v>
      </c>
    </row>
    <row r="62" customFormat="false" ht="15" hidden="false" customHeight="true" outlineLevel="0" collapsed="false">
      <c r="A62" s="3" t="s">
        <v>103</v>
      </c>
      <c r="B62" s="3" t="s">
        <v>24</v>
      </c>
      <c r="C62" s="3" t="s">
        <v>7334</v>
      </c>
      <c r="D62" s="3" t="n">
        <v>460546.55</v>
      </c>
      <c r="E62" s="3" t="n">
        <v>376545.96</v>
      </c>
      <c r="F62" s="3" t="n">
        <v>84000.59</v>
      </c>
      <c r="G62" s="3" t="n">
        <v>0.2231</v>
      </c>
      <c r="H62" s="3" t="n">
        <v>0.2048</v>
      </c>
      <c r="I62" s="3" t="n">
        <v>0.2524</v>
      </c>
    </row>
    <row r="63" customFormat="false" ht="15" hidden="false" customHeight="true" outlineLevel="0" collapsed="false">
      <c r="A63" s="3" t="s">
        <v>103</v>
      </c>
      <c r="B63" s="3" t="s">
        <v>24</v>
      </c>
      <c r="C63" s="3" t="s">
        <v>7335</v>
      </c>
      <c r="D63" s="3" t="n">
        <v>341802.32</v>
      </c>
      <c r="E63" s="3" t="n">
        <v>427627.97</v>
      </c>
      <c r="F63" s="3" t="n">
        <v>-85825.65</v>
      </c>
      <c r="G63" s="3" t="n">
        <v>-0.2007</v>
      </c>
      <c r="H63" s="3" t="n">
        <v>0.1278</v>
      </c>
      <c r="I63" s="3" t="n">
        <v>0.4431</v>
      </c>
    </row>
    <row r="64" customFormat="false" ht="15" hidden="false" customHeight="true" outlineLevel="0" collapsed="false">
      <c r="A64" s="3" t="s">
        <v>103</v>
      </c>
      <c r="B64" s="3" t="s">
        <v>24</v>
      </c>
      <c r="C64" s="3" t="s">
        <v>7336</v>
      </c>
      <c r="D64" s="3" t="n">
        <v>517732.44</v>
      </c>
      <c r="E64" s="3" t="n">
        <v>388360.14</v>
      </c>
      <c r="F64" s="3" t="n">
        <v>129372.3</v>
      </c>
      <c r="G64" s="3" t="n">
        <v>0.3331</v>
      </c>
      <c r="H64" s="3" t="n">
        <v>0.1952</v>
      </c>
      <c r="I64" s="3" t="n">
        <v>0.359</v>
      </c>
    </row>
    <row r="65" customFormat="false" ht="15" hidden="false" customHeight="true" outlineLevel="0" collapsed="false">
      <c r="A65" s="3" t="s">
        <v>103</v>
      </c>
      <c r="B65" s="3" t="s">
        <v>24</v>
      </c>
      <c r="C65" s="3" t="s">
        <v>7337</v>
      </c>
      <c r="D65" s="3" t="n">
        <v>443347.51</v>
      </c>
      <c r="E65" s="3" t="n">
        <v>418621.83</v>
      </c>
      <c r="F65" s="3" t="n">
        <v>24725.68</v>
      </c>
      <c r="G65" s="3" t="n">
        <v>0.0591</v>
      </c>
      <c r="H65" s="3" t="n">
        <v>0.1434</v>
      </c>
      <c r="I65" s="3" t="n">
        <v>0.4036</v>
      </c>
    </row>
    <row r="66" customFormat="false" ht="15" hidden="false" customHeight="true" outlineLevel="0" collapsed="false">
      <c r="A66" s="3" t="s">
        <v>103</v>
      </c>
      <c r="B66" s="3" t="s">
        <v>24</v>
      </c>
      <c r="C66" s="3" t="s">
        <v>7338</v>
      </c>
      <c r="D66" s="3" t="n">
        <v>354206.92</v>
      </c>
      <c r="E66" s="3" t="n">
        <v>442035.6</v>
      </c>
      <c r="F66" s="3" t="n">
        <v>-87828.68</v>
      </c>
      <c r="G66" s="3" t="n">
        <v>-0.1987</v>
      </c>
      <c r="H66" s="3" t="n">
        <v>0.215</v>
      </c>
      <c r="I66" s="3" t="n">
        <v>0.2751</v>
      </c>
    </row>
    <row r="67" customFormat="false" ht="15" hidden="false" customHeight="true" outlineLevel="0" collapsed="false">
      <c r="A67" s="3" t="s">
        <v>103</v>
      </c>
      <c r="B67" s="3" t="s">
        <v>24</v>
      </c>
      <c r="C67" s="3" t="s">
        <v>7339</v>
      </c>
      <c r="D67" s="3" t="n">
        <v>375679.62</v>
      </c>
      <c r="E67" s="3" t="n">
        <v>433082.91</v>
      </c>
      <c r="F67" s="3" t="n">
        <v>-57403.29</v>
      </c>
      <c r="G67" s="3" t="n">
        <v>-0.1325</v>
      </c>
      <c r="H67" s="3" t="n">
        <v>0.1208</v>
      </c>
      <c r="I67" s="3" t="n">
        <v>0.2897</v>
      </c>
    </row>
    <row r="68" customFormat="false" ht="15" hidden="false" customHeight="true" outlineLevel="0" collapsed="false">
      <c r="A68" s="3" t="s">
        <v>103</v>
      </c>
      <c r="B68" s="3" t="s">
        <v>24</v>
      </c>
      <c r="C68" s="3" t="s">
        <v>7340</v>
      </c>
      <c r="D68" s="3" t="n">
        <v>427761.8</v>
      </c>
      <c r="E68" s="3" t="n">
        <v>461651.84</v>
      </c>
      <c r="F68" s="3" t="n">
        <v>-33890.04</v>
      </c>
      <c r="G68" s="3" t="n">
        <v>-0.0734</v>
      </c>
      <c r="H68" s="3" t="n">
        <v>0.1888</v>
      </c>
      <c r="I68" s="3" t="n">
        <v>0.2877</v>
      </c>
    </row>
    <row r="69" customFormat="false" ht="15" hidden="false" customHeight="true" outlineLevel="0" collapsed="false">
      <c r="A69" s="3" t="s">
        <v>103</v>
      </c>
      <c r="B69" s="3" t="s">
        <v>24</v>
      </c>
      <c r="C69" s="3" t="s">
        <v>7341</v>
      </c>
      <c r="D69" s="3" t="n">
        <v>540271.34</v>
      </c>
      <c r="E69" s="3" t="n">
        <v>456358.88</v>
      </c>
      <c r="F69" s="3" t="n">
        <v>83912.46</v>
      </c>
      <c r="G69" s="3" t="n">
        <v>0.1839</v>
      </c>
      <c r="H69" s="3" t="n">
        <v>0.2042</v>
      </c>
      <c r="I69" s="3" t="n">
        <v>0.4341</v>
      </c>
    </row>
    <row r="70" customFormat="false" ht="15" hidden="false" customHeight="true" outlineLevel="0" collapsed="false">
      <c r="A70" s="3" t="s">
        <v>103</v>
      </c>
      <c r="B70" s="3" t="s">
        <v>24</v>
      </c>
      <c r="C70" s="3" t="s">
        <v>7342</v>
      </c>
      <c r="D70" s="3" t="n">
        <v>482155.97</v>
      </c>
      <c r="E70" s="3" t="n">
        <v>465289.9</v>
      </c>
      <c r="F70" s="3" t="n">
        <v>16866.07</v>
      </c>
      <c r="G70" s="3" t="n">
        <v>0.0362</v>
      </c>
      <c r="H70" s="3" t="n">
        <v>0.1615</v>
      </c>
      <c r="I70" s="3" t="n">
        <v>0.3889</v>
      </c>
    </row>
    <row r="71" customFormat="false" ht="15" hidden="false" customHeight="true" outlineLevel="0" collapsed="false">
      <c r="A71" s="3" t="s">
        <v>103</v>
      </c>
      <c r="B71" s="3" t="s">
        <v>24</v>
      </c>
      <c r="C71" s="3" t="s">
        <v>7343</v>
      </c>
      <c r="D71" s="3" t="n">
        <v>490326.4</v>
      </c>
      <c r="E71" s="3" t="n">
        <v>559368.09</v>
      </c>
      <c r="F71" s="3" t="n">
        <v>-69041.69</v>
      </c>
      <c r="G71" s="3" t="n">
        <v>-0.1234</v>
      </c>
      <c r="H71" s="3" t="n">
        <v>0.2227</v>
      </c>
      <c r="I71" s="3" t="n">
        <v>0.3919</v>
      </c>
    </row>
    <row r="72" customFormat="false" ht="15" hidden="false" customHeight="true" outlineLevel="0" collapsed="false">
      <c r="A72" s="3" t="s">
        <v>103</v>
      </c>
      <c r="B72" s="3" t="s">
        <v>24</v>
      </c>
      <c r="C72" s="3" t="s">
        <v>7344</v>
      </c>
      <c r="D72" s="3" t="n">
        <v>645165.44</v>
      </c>
      <c r="E72" s="3" t="n">
        <v>516285.91</v>
      </c>
      <c r="F72" s="3" t="n">
        <v>128879.53</v>
      </c>
      <c r="G72" s="3" t="n">
        <v>0.2496</v>
      </c>
      <c r="H72" s="3" t="n">
        <v>0.1336</v>
      </c>
      <c r="I72" s="3" t="n">
        <v>0.3141</v>
      </c>
    </row>
    <row r="73" customFormat="false" ht="15" hidden="false" customHeight="true" outlineLevel="0" collapsed="false">
      <c r="A73" s="3" t="s">
        <v>103</v>
      </c>
      <c r="B73" s="3" t="s">
        <v>24</v>
      </c>
      <c r="C73" s="3" t="s">
        <v>7345</v>
      </c>
      <c r="D73" s="3" t="n">
        <v>591340.96</v>
      </c>
      <c r="E73" s="3" t="n">
        <v>548888.29</v>
      </c>
      <c r="F73" s="3" t="n">
        <v>42452.67</v>
      </c>
      <c r="G73" s="3" t="n">
        <v>0.0773</v>
      </c>
      <c r="H73" s="3" t="n">
        <v>0.1647</v>
      </c>
      <c r="I73" s="3" t="n">
        <v>0.288</v>
      </c>
    </row>
    <row r="74" customFormat="false" ht="15" hidden="false" customHeight="true" outlineLevel="0" collapsed="false">
      <c r="A74" s="3" t="s">
        <v>47</v>
      </c>
      <c r="B74" s="3" t="s">
        <v>48</v>
      </c>
      <c r="C74" s="3" t="s">
        <v>7334</v>
      </c>
      <c r="D74" s="3" t="n">
        <v>1321157.84</v>
      </c>
      <c r="E74" s="3" t="n">
        <v>1141046.61</v>
      </c>
      <c r="F74" s="3" t="n">
        <v>180111.23</v>
      </c>
      <c r="G74" s="3" t="n">
        <v>0.1578</v>
      </c>
      <c r="H74" s="3" t="n">
        <v>0.2282</v>
      </c>
      <c r="I74" s="3" t="n">
        <v>0.2812</v>
      </c>
    </row>
    <row r="75" customFormat="false" ht="15" hidden="false" customHeight="true" outlineLevel="0" collapsed="false">
      <c r="A75" s="3" t="s">
        <v>47</v>
      </c>
      <c r="B75" s="3" t="s">
        <v>48</v>
      </c>
      <c r="C75" s="3" t="s">
        <v>7335</v>
      </c>
      <c r="D75" s="3" t="n">
        <v>959373.1</v>
      </c>
      <c r="E75" s="3" t="n">
        <v>1123517.92</v>
      </c>
      <c r="F75" s="3" t="n">
        <v>-164144.82</v>
      </c>
      <c r="G75" s="3" t="n">
        <v>-0.1461</v>
      </c>
      <c r="H75" s="3" t="n">
        <v>0.1724</v>
      </c>
      <c r="I75" s="3" t="n">
        <v>0.3815</v>
      </c>
    </row>
    <row r="76" customFormat="false" ht="15" hidden="false" customHeight="true" outlineLevel="0" collapsed="false">
      <c r="A76" s="3" t="s">
        <v>47</v>
      </c>
      <c r="B76" s="3" t="s">
        <v>48</v>
      </c>
      <c r="C76" s="3" t="s">
        <v>7336</v>
      </c>
      <c r="D76" s="3" t="n">
        <v>903121.49</v>
      </c>
      <c r="E76" s="3" t="n">
        <v>1223847.21</v>
      </c>
      <c r="F76" s="3" t="n">
        <v>-320725.72</v>
      </c>
      <c r="G76" s="3" t="n">
        <v>-0.2621</v>
      </c>
      <c r="H76" s="3" t="n">
        <v>0.148</v>
      </c>
      <c r="I76" s="3" t="n">
        <v>0.2988</v>
      </c>
    </row>
    <row r="77" customFormat="false" ht="15" hidden="false" customHeight="true" outlineLevel="0" collapsed="false">
      <c r="A77" s="3" t="s">
        <v>47</v>
      </c>
      <c r="B77" s="3" t="s">
        <v>48</v>
      </c>
      <c r="C77" s="3" t="s">
        <v>7337</v>
      </c>
      <c r="D77" s="3" t="n">
        <v>1010134.11</v>
      </c>
      <c r="E77" s="3" t="n">
        <v>1188517.62</v>
      </c>
      <c r="F77" s="3" t="n">
        <v>-178383.51</v>
      </c>
      <c r="G77" s="3" t="n">
        <v>-0.1501</v>
      </c>
      <c r="H77" s="3" t="n">
        <v>0.2178</v>
      </c>
      <c r="I77" s="3" t="n">
        <v>0.3706</v>
      </c>
    </row>
    <row r="78" customFormat="false" ht="15" hidden="false" customHeight="true" outlineLevel="0" collapsed="false">
      <c r="A78" s="3" t="s">
        <v>47</v>
      </c>
      <c r="B78" s="3" t="s">
        <v>48</v>
      </c>
      <c r="C78" s="3" t="s">
        <v>7338</v>
      </c>
      <c r="D78" s="3" t="n">
        <v>896731.5</v>
      </c>
      <c r="E78" s="3" t="n">
        <v>1068753.36</v>
      </c>
      <c r="F78" s="3" t="n">
        <v>-172021.86</v>
      </c>
      <c r="G78" s="3" t="n">
        <v>-0.161</v>
      </c>
      <c r="H78" s="3" t="n">
        <v>0.0991</v>
      </c>
      <c r="I78" s="3" t="n">
        <v>0.3521</v>
      </c>
    </row>
    <row r="79" customFormat="false" ht="15" hidden="false" customHeight="true" outlineLevel="0" collapsed="false">
      <c r="A79" s="3" t="s">
        <v>47</v>
      </c>
      <c r="B79" s="3" t="s">
        <v>48</v>
      </c>
      <c r="C79" s="3" t="s">
        <v>7339</v>
      </c>
      <c r="D79" s="3" t="n">
        <v>1007839.37</v>
      </c>
      <c r="E79" s="3" t="n">
        <v>1188674.44</v>
      </c>
      <c r="F79" s="3" t="n">
        <v>-180835.07</v>
      </c>
      <c r="G79" s="3" t="n">
        <v>-0.1521</v>
      </c>
      <c r="H79" s="3" t="n">
        <v>0.1576</v>
      </c>
      <c r="I79" s="3" t="n">
        <v>0.4012</v>
      </c>
    </row>
    <row r="80" customFormat="false" ht="15" hidden="false" customHeight="true" outlineLevel="0" collapsed="false">
      <c r="A80" s="3" t="s">
        <v>47</v>
      </c>
      <c r="B80" s="3" t="s">
        <v>48</v>
      </c>
      <c r="C80" s="3" t="s">
        <v>7340</v>
      </c>
      <c r="D80" s="3" t="n">
        <v>1344532.09</v>
      </c>
      <c r="E80" s="3" t="n">
        <v>1175520.95</v>
      </c>
      <c r="F80" s="3" t="n">
        <v>169011.14</v>
      </c>
      <c r="G80" s="3" t="n">
        <v>0.1438</v>
      </c>
      <c r="H80" s="3" t="n">
        <v>0.1776</v>
      </c>
      <c r="I80" s="3" t="n">
        <v>0.2641</v>
      </c>
    </row>
    <row r="81" customFormat="false" ht="15" hidden="false" customHeight="true" outlineLevel="0" collapsed="false">
      <c r="A81" s="3" t="s">
        <v>47</v>
      </c>
      <c r="B81" s="3" t="s">
        <v>48</v>
      </c>
      <c r="C81" s="3" t="s">
        <v>7341</v>
      </c>
      <c r="D81" s="3" t="n">
        <v>1342813.07</v>
      </c>
      <c r="E81" s="3" t="n">
        <v>1278348.38</v>
      </c>
      <c r="F81" s="3" t="n">
        <v>64464.69</v>
      </c>
      <c r="G81" s="3" t="n">
        <v>0.0504</v>
      </c>
      <c r="H81" s="3" t="n">
        <v>0.2303</v>
      </c>
      <c r="I81" s="3" t="n">
        <v>0.4387</v>
      </c>
    </row>
    <row r="82" customFormat="false" ht="15" hidden="false" customHeight="true" outlineLevel="0" collapsed="false">
      <c r="A82" s="3" t="s">
        <v>47</v>
      </c>
      <c r="B82" s="3" t="s">
        <v>48</v>
      </c>
      <c r="C82" s="3" t="s">
        <v>7342</v>
      </c>
      <c r="D82" s="3" t="n">
        <v>1190934.84</v>
      </c>
      <c r="E82" s="3" t="n">
        <v>1270331.16</v>
      </c>
      <c r="F82" s="3" t="n">
        <v>-79396.32</v>
      </c>
      <c r="G82" s="3" t="n">
        <v>-0.0625</v>
      </c>
      <c r="H82" s="3" t="n">
        <v>0.2479</v>
      </c>
      <c r="I82" s="3" t="n">
        <v>0.3293</v>
      </c>
    </row>
    <row r="83" customFormat="false" ht="15" hidden="false" customHeight="true" outlineLevel="0" collapsed="false">
      <c r="A83" s="3" t="s">
        <v>47</v>
      </c>
      <c r="B83" s="3" t="s">
        <v>48</v>
      </c>
      <c r="C83" s="3" t="s">
        <v>7343</v>
      </c>
      <c r="D83" s="3" t="n">
        <v>1164460.66</v>
      </c>
      <c r="E83" s="3" t="n">
        <v>1366583.71</v>
      </c>
      <c r="F83" s="3" t="n">
        <v>-202123.05</v>
      </c>
      <c r="G83" s="3" t="n">
        <v>-0.1479</v>
      </c>
      <c r="H83" s="3" t="n">
        <v>0.2495</v>
      </c>
      <c r="I83" s="3" t="n">
        <v>0.3465</v>
      </c>
    </row>
    <row r="84" customFormat="false" ht="15" hidden="false" customHeight="true" outlineLevel="0" collapsed="false">
      <c r="A84" s="3" t="s">
        <v>47</v>
      </c>
      <c r="B84" s="3" t="s">
        <v>48</v>
      </c>
      <c r="C84" s="3" t="s">
        <v>7344</v>
      </c>
      <c r="D84" s="3" t="n">
        <v>1562100.77</v>
      </c>
      <c r="E84" s="3" t="n">
        <v>1502918.81</v>
      </c>
      <c r="F84" s="3" t="n">
        <v>59181.96</v>
      </c>
      <c r="G84" s="3" t="n">
        <v>0.0394</v>
      </c>
      <c r="H84" s="3" t="n">
        <v>0.1265</v>
      </c>
      <c r="I84" s="3" t="n">
        <v>0.3694</v>
      </c>
    </row>
    <row r="85" customFormat="false" ht="15" hidden="false" customHeight="true" outlineLevel="0" collapsed="false">
      <c r="A85" s="3" t="s">
        <v>47</v>
      </c>
      <c r="B85" s="3" t="s">
        <v>48</v>
      </c>
      <c r="C85" s="3" t="s">
        <v>7345</v>
      </c>
      <c r="D85" s="3" t="n">
        <v>1107483.58</v>
      </c>
      <c r="E85" s="3" t="n">
        <v>1417658.37</v>
      </c>
      <c r="F85" s="3" t="n">
        <v>-310174.79</v>
      </c>
      <c r="G85" s="3" t="n">
        <v>-0.2188</v>
      </c>
      <c r="H85" s="3" t="n">
        <v>0.1184</v>
      </c>
      <c r="I85" s="3" t="n">
        <v>0.2703</v>
      </c>
    </row>
    <row r="86" customFormat="false" ht="15" hidden="false" customHeight="true" outlineLevel="0" collapsed="false">
      <c r="A86" s="3" t="s">
        <v>83</v>
      </c>
      <c r="B86" s="3" t="s">
        <v>48</v>
      </c>
      <c r="C86" s="3" t="s">
        <v>7334</v>
      </c>
      <c r="D86" s="3" t="n">
        <v>389592.04</v>
      </c>
      <c r="E86" s="3" t="n">
        <v>368459.06</v>
      </c>
      <c r="F86" s="3" t="n">
        <v>21132.98</v>
      </c>
      <c r="G86" s="3" t="n">
        <v>0.0574</v>
      </c>
      <c r="H86" s="3" t="n">
        <v>0.1422</v>
      </c>
      <c r="I86" s="3" t="n">
        <v>0.2829</v>
      </c>
    </row>
    <row r="87" customFormat="false" ht="15" hidden="false" customHeight="true" outlineLevel="0" collapsed="false">
      <c r="A87" s="3" t="s">
        <v>83</v>
      </c>
      <c r="B87" s="3" t="s">
        <v>48</v>
      </c>
      <c r="C87" s="3" t="s">
        <v>7335</v>
      </c>
      <c r="D87" s="3" t="n">
        <v>399608.86</v>
      </c>
      <c r="E87" s="3" t="n">
        <v>365388.62</v>
      </c>
      <c r="F87" s="3" t="n">
        <v>34220.24</v>
      </c>
      <c r="G87" s="3" t="n">
        <v>0.0937</v>
      </c>
      <c r="H87" s="3" t="n">
        <v>0.1933</v>
      </c>
      <c r="I87" s="3" t="n">
        <v>0.315</v>
      </c>
    </row>
    <row r="88" customFormat="false" ht="15" hidden="false" customHeight="true" outlineLevel="0" collapsed="false">
      <c r="A88" s="3" t="s">
        <v>83</v>
      </c>
      <c r="B88" s="3" t="s">
        <v>48</v>
      </c>
      <c r="C88" s="3" t="s">
        <v>7336</v>
      </c>
      <c r="D88" s="3" t="n">
        <v>453889.79</v>
      </c>
      <c r="E88" s="3" t="n">
        <v>356686.61</v>
      </c>
      <c r="F88" s="3" t="n">
        <v>97203.18</v>
      </c>
      <c r="G88" s="3" t="n">
        <v>0.2725</v>
      </c>
      <c r="H88" s="3" t="n">
        <v>0.1977</v>
      </c>
      <c r="I88" s="3" t="n">
        <v>0.2807</v>
      </c>
    </row>
    <row r="89" customFormat="false" ht="15" hidden="false" customHeight="true" outlineLevel="0" collapsed="false">
      <c r="A89" s="3" t="s">
        <v>83</v>
      </c>
      <c r="B89" s="3" t="s">
        <v>48</v>
      </c>
      <c r="C89" s="3" t="s">
        <v>7337</v>
      </c>
      <c r="D89" s="3" t="n">
        <v>426636.19</v>
      </c>
      <c r="E89" s="3" t="n">
        <v>416790.14</v>
      </c>
      <c r="F89" s="3" t="n">
        <v>9846.05</v>
      </c>
      <c r="G89" s="3" t="n">
        <v>0.0236</v>
      </c>
      <c r="H89" s="3" t="n">
        <v>0.2238</v>
      </c>
      <c r="I89" s="3" t="n">
        <v>0.3688</v>
      </c>
    </row>
    <row r="90" customFormat="false" ht="15" hidden="false" customHeight="true" outlineLevel="0" collapsed="false">
      <c r="A90" s="3" t="s">
        <v>83</v>
      </c>
      <c r="B90" s="3" t="s">
        <v>48</v>
      </c>
      <c r="C90" s="3" t="s">
        <v>7338</v>
      </c>
      <c r="D90" s="3" t="n">
        <v>481368.46</v>
      </c>
      <c r="E90" s="3" t="n">
        <v>385968.92</v>
      </c>
      <c r="F90" s="3" t="n">
        <v>95399.54</v>
      </c>
      <c r="G90" s="3" t="n">
        <v>0.2472</v>
      </c>
      <c r="H90" s="3" t="n">
        <v>0.0862</v>
      </c>
      <c r="I90" s="3" t="n">
        <v>0.3635</v>
      </c>
    </row>
    <row r="91" customFormat="false" ht="15" hidden="false" customHeight="true" outlineLevel="0" collapsed="false">
      <c r="A91" s="3" t="s">
        <v>83</v>
      </c>
      <c r="B91" s="3" t="s">
        <v>48</v>
      </c>
      <c r="C91" s="3" t="s">
        <v>7339</v>
      </c>
      <c r="D91" s="3" t="n">
        <v>376815.85</v>
      </c>
      <c r="E91" s="3" t="n">
        <v>424166.07</v>
      </c>
      <c r="F91" s="3" t="n">
        <v>-47350.22</v>
      </c>
      <c r="G91" s="3" t="n">
        <v>-0.1116</v>
      </c>
      <c r="H91" s="3" t="n">
        <v>0.2192</v>
      </c>
      <c r="I91" s="3" t="n">
        <v>0.384</v>
      </c>
    </row>
    <row r="92" customFormat="false" ht="15" hidden="false" customHeight="true" outlineLevel="0" collapsed="false">
      <c r="A92" s="3" t="s">
        <v>83</v>
      </c>
      <c r="B92" s="3" t="s">
        <v>48</v>
      </c>
      <c r="C92" s="3" t="s">
        <v>7340</v>
      </c>
      <c r="D92" s="3" t="n">
        <v>411363.38</v>
      </c>
      <c r="E92" s="3" t="n">
        <v>397393.47</v>
      </c>
      <c r="F92" s="3" t="n">
        <v>13969.91</v>
      </c>
      <c r="G92" s="3" t="n">
        <v>0.0352</v>
      </c>
      <c r="H92" s="3" t="n">
        <v>0.176</v>
      </c>
      <c r="I92" s="3" t="n">
        <v>0.3596</v>
      </c>
    </row>
    <row r="93" customFormat="false" ht="15" hidden="false" customHeight="true" outlineLevel="0" collapsed="false">
      <c r="A93" s="3" t="s">
        <v>83</v>
      </c>
      <c r="B93" s="3" t="s">
        <v>48</v>
      </c>
      <c r="C93" s="3" t="s">
        <v>7341</v>
      </c>
      <c r="D93" s="3" t="n">
        <v>365760.83</v>
      </c>
      <c r="E93" s="3" t="n">
        <v>448979.84</v>
      </c>
      <c r="F93" s="3" t="n">
        <v>-83219.01</v>
      </c>
      <c r="G93" s="3" t="n">
        <v>-0.1854</v>
      </c>
      <c r="H93" s="3" t="n">
        <v>0.1308</v>
      </c>
      <c r="I93" s="3" t="n">
        <v>0.2695</v>
      </c>
    </row>
    <row r="94" customFormat="false" ht="15" hidden="false" customHeight="true" outlineLevel="0" collapsed="false">
      <c r="A94" s="3" t="s">
        <v>83</v>
      </c>
      <c r="B94" s="3" t="s">
        <v>48</v>
      </c>
      <c r="C94" s="3" t="s">
        <v>7342</v>
      </c>
      <c r="D94" s="3" t="n">
        <v>400539.63</v>
      </c>
      <c r="E94" s="3" t="n">
        <v>451116.01</v>
      </c>
      <c r="F94" s="3" t="n">
        <v>-50576.38</v>
      </c>
      <c r="G94" s="3" t="n">
        <v>-0.1121</v>
      </c>
      <c r="H94" s="3" t="n">
        <v>0.2234</v>
      </c>
      <c r="I94" s="3" t="n">
        <v>0.3663</v>
      </c>
    </row>
    <row r="95" customFormat="false" ht="15" hidden="false" customHeight="true" outlineLevel="0" collapsed="false">
      <c r="A95" s="3" t="s">
        <v>83</v>
      </c>
      <c r="B95" s="3" t="s">
        <v>48</v>
      </c>
      <c r="C95" s="3" t="s">
        <v>7343</v>
      </c>
      <c r="D95" s="3" t="n">
        <v>563020.99</v>
      </c>
      <c r="E95" s="3" t="n">
        <v>473361.16</v>
      </c>
      <c r="F95" s="3" t="n">
        <v>89659.83</v>
      </c>
      <c r="G95" s="3" t="n">
        <v>0.1894</v>
      </c>
      <c r="H95" s="3" t="n">
        <v>0.1798</v>
      </c>
      <c r="I95" s="3" t="n">
        <v>0.3243</v>
      </c>
    </row>
    <row r="96" customFormat="false" ht="15" hidden="false" customHeight="true" outlineLevel="0" collapsed="false">
      <c r="A96" s="3" t="s">
        <v>83</v>
      </c>
      <c r="B96" s="3" t="s">
        <v>48</v>
      </c>
      <c r="C96" s="3" t="s">
        <v>7344</v>
      </c>
      <c r="D96" s="3" t="n">
        <v>418810.74</v>
      </c>
      <c r="E96" s="3" t="n">
        <v>514657.4</v>
      </c>
      <c r="F96" s="3" t="n">
        <v>-95846.66</v>
      </c>
      <c r="G96" s="3" t="n">
        <v>-0.1862</v>
      </c>
      <c r="H96" s="3" t="n">
        <v>0.2173</v>
      </c>
      <c r="I96" s="3" t="n">
        <v>0.3785</v>
      </c>
    </row>
    <row r="97" customFormat="false" ht="15" hidden="false" customHeight="true" outlineLevel="0" collapsed="false">
      <c r="A97" s="3" t="s">
        <v>83</v>
      </c>
      <c r="B97" s="3" t="s">
        <v>48</v>
      </c>
      <c r="C97" s="3" t="s">
        <v>7345</v>
      </c>
      <c r="D97" s="3" t="n">
        <v>433580.64</v>
      </c>
      <c r="E97" s="3" t="n">
        <v>500401.37</v>
      </c>
      <c r="F97" s="3" t="n">
        <v>-66820.73</v>
      </c>
      <c r="G97" s="3" t="n">
        <v>-0.1335</v>
      </c>
      <c r="H97" s="3" t="n">
        <v>0.1162</v>
      </c>
      <c r="I97" s="3" t="n">
        <v>0.3178</v>
      </c>
    </row>
    <row r="98" customFormat="false" ht="15" hidden="false" customHeight="true" outlineLevel="0" collapsed="false">
      <c r="A98" s="3" t="s">
        <v>107</v>
      </c>
      <c r="B98" s="3" t="s">
        <v>33</v>
      </c>
      <c r="C98" s="3" t="s">
        <v>7334</v>
      </c>
      <c r="D98" s="3" t="n">
        <v>352907.89</v>
      </c>
      <c r="E98" s="3" t="n">
        <v>305634.88</v>
      </c>
      <c r="F98" s="3" t="n">
        <v>47273.01</v>
      </c>
      <c r="G98" s="3" t="n">
        <v>0.1547</v>
      </c>
      <c r="H98" s="3" t="n">
        <v>0.0881</v>
      </c>
      <c r="I98" s="3" t="n">
        <v>0.4369</v>
      </c>
    </row>
    <row r="99" customFormat="false" ht="15" hidden="false" customHeight="true" outlineLevel="0" collapsed="false">
      <c r="A99" s="3" t="s">
        <v>107</v>
      </c>
      <c r="B99" s="3" t="s">
        <v>33</v>
      </c>
      <c r="C99" s="3" t="s">
        <v>7335</v>
      </c>
      <c r="D99" s="3" t="n">
        <v>259756.12</v>
      </c>
      <c r="E99" s="3" t="n">
        <v>343284.82</v>
      </c>
      <c r="F99" s="3" t="n">
        <v>-83528.7</v>
      </c>
      <c r="G99" s="3" t="n">
        <v>-0.2433</v>
      </c>
      <c r="H99" s="3" t="n">
        <v>0.1993</v>
      </c>
      <c r="I99" s="3" t="n">
        <v>0.3877</v>
      </c>
    </row>
    <row r="100" customFormat="false" ht="15" hidden="false" customHeight="true" outlineLevel="0" collapsed="false">
      <c r="A100" s="3" t="s">
        <v>107</v>
      </c>
      <c r="B100" s="3" t="s">
        <v>33</v>
      </c>
      <c r="C100" s="3" t="s">
        <v>7336</v>
      </c>
      <c r="D100" s="3" t="n">
        <v>330373.18</v>
      </c>
      <c r="E100" s="3" t="n">
        <v>324533.88</v>
      </c>
      <c r="F100" s="3" t="n">
        <v>5839.3</v>
      </c>
      <c r="G100" s="3" t="n">
        <v>0.018</v>
      </c>
      <c r="H100" s="3" t="n">
        <v>0.1249</v>
      </c>
      <c r="I100" s="3" t="n">
        <v>0.4152</v>
      </c>
    </row>
    <row r="101" customFormat="false" ht="15" hidden="false" customHeight="true" outlineLevel="0" collapsed="false">
      <c r="A101" s="3" t="s">
        <v>107</v>
      </c>
      <c r="B101" s="3" t="s">
        <v>33</v>
      </c>
      <c r="C101" s="3" t="s">
        <v>7337</v>
      </c>
      <c r="D101" s="3" t="n">
        <v>373658.66</v>
      </c>
      <c r="E101" s="3" t="n">
        <v>324555.68</v>
      </c>
      <c r="F101" s="3" t="n">
        <v>49102.98</v>
      </c>
      <c r="G101" s="3" t="n">
        <v>0.1513</v>
      </c>
      <c r="H101" s="3" t="n">
        <v>0.2478</v>
      </c>
      <c r="I101" s="3" t="n">
        <v>0.4167</v>
      </c>
    </row>
    <row r="102" customFormat="false" ht="15" hidden="false" customHeight="true" outlineLevel="0" collapsed="false">
      <c r="A102" s="3" t="s">
        <v>107</v>
      </c>
      <c r="B102" s="3" t="s">
        <v>33</v>
      </c>
      <c r="C102" s="3" t="s">
        <v>7338</v>
      </c>
      <c r="D102" s="3" t="n">
        <v>396320.28</v>
      </c>
      <c r="E102" s="3" t="n">
        <v>308248.8</v>
      </c>
      <c r="F102" s="3" t="n">
        <v>88071.48</v>
      </c>
      <c r="G102" s="3" t="n">
        <v>0.2857</v>
      </c>
      <c r="H102" s="3" t="n">
        <v>0.0806</v>
      </c>
      <c r="I102" s="3" t="n">
        <v>0.2627</v>
      </c>
    </row>
    <row r="103" customFormat="false" ht="15" hidden="false" customHeight="true" outlineLevel="0" collapsed="false">
      <c r="A103" s="3" t="s">
        <v>107</v>
      </c>
      <c r="B103" s="3" t="s">
        <v>33</v>
      </c>
      <c r="C103" s="3" t="s">
        <v>7339</v>
      </c>
      <c r="D103" s="3" t="n">
        <v>260184.92</v>
      </c>
      <c r="E103" s="3" t="n">
        <v>301540.03</v>
      </c>
      <c r="F103" s="3" t="n">
        <v>-41355.11</v>
      </c>
      <c r="G103" s="3" t="n">
        <v>-0.1371</v>
      </c>
      <c r="H103" s="3" t="n">
        <v>0.1849</v>
      </c>
      <c r="I103" s="3" t="n">
        <v>0.3002</v>
      </c>
    </row>
    <row r="104" customFormat="false" ht="15" hidden="false" customHeight="true" outlineLevel="0" collapsed="false">
      <c r="A104" s="3" t="s">
        <v>107</v>
      </c>
      <c r="B104" s="3" t="s">
        <v>33</v>
      </c>
      <c r="C104" s="3" t="s">
        <v>7340</v>
      </c>
      <c r="D104" s="3" t="n">
        <v>291250.65</v>
      </c>
      <c r="E104" s="3" t="n">
        <v>364266.7</v>
      </c>
      <c r="F104" s="3" t="n">
        <v>-73016.05</v>
      </c>
      <c r="G104" s="3" t="n">
        <v>-0.2004</v>
      </c>
      <c r="H104" s="3" t="n">
        <v>0.1043</v>
      </c>
      <c r="I104" s="3" t="n">
        <v>0.4006</v>
      </c>
    </row>
    <row r="105" customFormat="false" ht="15" hidden="false" customHeight="true" outlineLevel="0" collapsed="false">
      <c r="A105" s="3" t="s">
        <v>107</v>
      </c>
      <c r="B105" s="3" t="s">
        <v>33</v>
      </c>
      <c r="C105" s="3" t="s">
        <v>7341</v>
      </c>
      <c r="D105" s="3" t="n">
        <v>360420.77</v>
      </c>
      <c r="E105" s="3" t="n">
        <v>393333.23</v>
      </c>
      <c r="F105" s="3" t="n">
        <v>-32912.46</v>
      </c>
      <c r="G105" s="3" t="n">
        <v>-0.0837</v>
      </c>
      <c r="H105" s="3" t="n">
        <v>0.094</v>
      </c>
      <c r="I105" s="3" t="n">
        <v>0.393</v>
      </c>
    </row>
    <row r="106" customFormat="false" ht="15" hidden="false" customHeight="true" outlineLevel="0" collapsed="false">
      <c r="A106" s="3" t="s">
        <v>107</v>
      </c>
      <c r="B106" s="3" t="s">
        <v>33</v>
      </c>
      <c r="C106" s="3" t="s">
        <v>7342</v>
      </c>
      <c r="D106" s="3" t="n">
        <v>354798.41</v>
      </c>
      <c r="E106" s="3" t="n">
        <v>328789.55</v>
      </c>
      <c r="F106" s="3" t="n">
        <v>26008.86</v>
      </c>
      <c r="G106" s="3" t="n">
        <v>0.0791</v>
      </c>
      <c r="H106" s="3" t="n">
        <v>0.0994</v>
      </c>
      <c r="I106" s="3" t="n">
        <v>0.2957</v>
      </c>
    </row>
    <row r="107" customFormat="false" ht="15" hidden="false" customHeight="true" outlineLevel="0" collapsed="false">
      <c r="A107" s="3" t="s">
        <v>107</v>
      </c>
      <c r="B107" s="3" t="s">
        <v>33</v>
      </c>
      <c r="C107" s="3" t="s">
        <v>7343</v>
      </c>
      <c r="D107" s="3" t="n">
        <v>441594.81</v>
      </c>
      <c r="E107" s="3" t="n">
        <v>441130.08</v>
      </c>
      <c r="F107" s="3" t="n">
        <v>464.73</v>
      </c>
      <c r="G107" s="3" t="n">
        <v>0.0011</v>
      </c>
      <c r="H107" s="3" t="n">
        <v>0.1256</v>
      </c>
      <c r="I107" s="3" t="n">
        <v>0.4137</v>
      </c>
    </row>
    <row r="108" customFormat="false" ht="15" hidden="false" customHeight="true" outlineLevel="0" collapsed="false">
      <c r="A108" s="3" t="s">
        <v>107</v>
      </c>
      <c r="B108" s="3" t="s">
        <v>33</v>
      </c>
      <c r="C108" s="3" t="s">
        <v>7344</v>
      </c>
      <c r="D108" s="3" t="n">
        <v>394536.59</v>
      </c>
      <c r="E108" s="3" t="n">
        <v>406902.03</v>
      </c>
      <c r="F108" s="3" t="n">
        <v>-12365.44</v>
      </c>
      <c r="G108" s="3" t="n">
        <v>-0.0304</v>
      </c>
      <c r="H108" s="3" t="n">
        <v>0.1782</v>
      </c>
      <c r="I108" s="3" t="n">
        <v>0.3666</v>
      </c>
    </row>
    <row r="109" customFormat="false" ht="15" hidden="false" customHeight="true" outlineLevel="0" collapsed="false">
      <c r="A109" s="3" t="s">
        <v>107</v>
      </c>
      <c r="B109" s="3" t="s">
        <v>33</v>
      </c>
      <c r="C109" s="3" t="s">
        <v>7345</v>
      </c>
      <c r="D109" s="3" t="n">
        <v>502154.63</v>
      </c>
      <c r="E109" s="3" t="n">
        <v>433672.49</v>
      </c>
      <c r="F109" s="3" t="n">
        <v>68482.14</v>
      </c>
      <c r="G109" s="3" t="n">
        <v>0.1579</v>
      </c>
      <c r="H109" s="3" t="n">
        <v>0.1309</v>
      </c>
      <c r="I109" s="3" t="n">
        <v>0.4275</v>
      </c>
    </row>
    <row r="110" customFormat="false" ht="15" hidden="false" customHeight="true" outlineLevel="0" collapsed="false">
      <c r="A110" s="3" t="s">
        <v>38</v>
      </c>
      <c r="B110" s="3" t="s">
        <v>39</v>
      </c>
      <c r="C110" s="3" t="s">
        <v>7334</v>
      </c>
      <c r="D110" s="3" t="n">
        <v>865139.35</v>
      </c>
      <c r="E110" s="3" t="n">
        <v>845205.38</v>
      </c>
      <c r="F110" s="3" t="n">
        <v>19933.97</v>
      </c>
      <c r="G110" s="3" t="n">
        <v>0.0236</v>
      </c>
      <c r="H110" s="3" t="n">
        <v>0.1916</v>
      </c>
      <c r="I110" s="3" t="n">
        <v>0.2743</v>
      </c>
    </row>
    <row r="111" customFormat="false" ht="15" hidden="false" customHeight="true" outlineLevel="0" collapsed="false">
      <c r="A111" s="3" t="s">
        <v>38</v>
      </c>
      <c r="B111" s="3" t="s">
        <v>39</v>
      </c>
      <c r="C111" s="3" t="s">
        <v>7335</v>
      </c>
      <c r="D111" s="3" t="n">
        <v>667779.91</v>
      </c>
      <c r="E111" s="3" t="n">
        <v>820201.89</v>
      </c>
      <c r="F111" s="3" t="n">
        <v>-152421.98</v>
      </c>
      <c r="G111" s="3" t="n">
        <v>-0.1858</v>
      </c>
      <c r="H111" s="3" t="n">
        <v>0.1087</v>
      </c>
      <c r="I111" s="3" t="n">
        <v>0.266</v>
      </c>
    </row>
    <row r="112" customFormat="false" ht="15" hidden="false" customHeight="true" outlineLevel="0" collapsed="false">
      <c r="A112" s="3" t="s">
        <v>38</v>
      </c>
      <c r="B112" s="3" t="s">
        <v>39</v>
      </c>
      <c r="C112" s="3" t="s">
        <v>7336</v>
      </c>
      <c r="D112" s="3" t="n">
        <v>671435.81</v>
      </c>
      <c r="E112" s="3" t="n">
        <v>888202.91</v>
      </c>
      <c r="F112" s="3" t="n">
        <v>-216767.1</v>
      </c>
      <c r="G112" s="3" t="n">
        <v>-0.2441</v>
      </c>
      <c r="H112" s="3" t="n">
        <v>0.1328</v>
      </c>
      <c r="I112" s="3" t="n">
        <v>0.3093</v>
      </c>
    </row>
    <row r="113" customFormat="false" ht="15" hidden="false" customHeight="true" outlineLevel="0" collapsed="false">
      <c r="A113" s="3" t="s">
        <v>38</v>
      </c>
      <c r="B113" s="3" t="s">
        <v>39</v>
      </c>
      <c r="C113" s="3" t="s">
        <v>7337</v>
      </c>
      <c r="D113" s="3" t="n">
        <v>651199.26</v>
      </c>
      <c r="E113" s="3" t="n">
        <v>768626.79</v>
      </c>
      <c r="F113" s="3" t="n">
        <v>-117427.53</v>
      </c>
      <c r="G113" s="3" t="n">
        <v>-0.1528</v>
      </c>
      <c r="H113" s="3" t="n">
        <v>0.1083</v>
      </c>
      <c r="I113" s="3" t="n">
        <v>0.3859</v>
      </c>
    </row>
    <row r="114" customFormat="false" ht="15" hidden="false" customHeight="true" outlineLevel="0" collapsed="false">
      <c r="A114" s="3" t="s">
        <v>38</v>
      </c>
      <c r="B114" s="3" t="s">
        <v>39</v>
      </c>
      <c r="C114" s="3" t="s">
        <v>7338</v>
      </c>
      <c r="D114" s="3" t="n">
        <v>968304.23</v>
      </c>
      <c r="E114" s="3" t="n">
        <v>880404.87</v>
      </c>
      <c r="F114" s="3" t="n">
        <v>87899.36</v>
      </c>
      <c r="G114" s="3" t="n">
        <v>0.0998</v>
      </c>
      <c r="H114" s="3" t="n">
        <v>0.1652</v>
      </c>
      <c r="I114" s="3" t="n">
        <v>0.3787</v>
      </c>
    </row>
    <row r="115" customFormat="false" ht="15" hidden="false" customHeight="true" outlineLevel="0" collapsed="false">
      <c r="A115" s="3" t="s">
        <v>38</v>
      </c>
      <c r="B115" s="3" t="s">
        <v>39</v>
      </c>
      <c r="C115" s="3" t="s">
        <v>7339</v>
      </c>
      <c r="D115" s="3" t="n">
        <v>991684.71</v>
      </c>
      <c r="E115" s="3" t="n">
        <v>847982.92</v>
      </c>
      <c r="F115" s="3" t="n">
        <v>143701.79</v>
      </c>
      <c r="G115" s="3" t="n">
        <v>0.1695</v>
      </c>
      <c r="H115" s="3" t="n">
        <v>0.0851</v>
      </c>
      <c r="I115" s="3" t="n">
        <v>0.2731</v>
      </c>
    </row>
    <row r="116" customFormat="false" ht="15" hidden="false" customHeight="true" outlineLevel="0" collapsed="false">
      <c r="A116" s="3" t="s">
        <v>38</v>
      </c>
      <c r="B116" s="3" t="s">
        <v>39</v>
      </c>
      <c r="C116" s="3" t="s">
        <v>7340</v>
      </c>
      <c r="D116" s="3" t="n">
        <v>1015825.27</v>
      </c>
      <c r="E116" s="3" t="n">
        <v>877701.55</v>
      </c>
      <c r="F116" s="3" t="n">
        <v>138123.72</v>
      </c>
      <c r="G116" s="3" t="n">
        <v>0.1574</v>
      </c>
      <c r="H116" s="3" t="n">
        <v>0.1962</v>
      </c>
      <c r="I116" s="3" t="n">
        <v>0.2948</v>
      </c>
    </row>
    <row r="117" customFormat="false" ht="15" hidden="false" customHeight="true" outlineLevel="0" collapsed="false">
      <c r="A117" s="3" t="s">
        <v>38</v>
      </c>
      <c r="B117" s="3" t="s">
        <v>39</v>
      </c>
      <c r="C117" s="3" t="s">
        <v>7341</v>
      </c>
      <c r="D117" s="3" t="n">
        <v>718785.32</v>
      </c>
      <c r="E117" s="3" t="n">
        <v>917705.84</v>
      </c>
      <c r="F117" s="3" t="n">
        <v>-198920.52</v>
      </c>
      <c r="G117" s="3" t="n">
        <v>-0.2168</v>
      </c>
      <c r="H117" s="3" t="n">
        <v>0.0998</v>
      </c>
      <c r="I117" s="3" t="n">
        <v>0.2559</v>
      </c>
    </row>
    <row r="118" customFormat="false" ht="15" hidden="false" customHeight="true" outlineLevel="0" collapsed="false">
      <c r="A118" s="3" t="s">
        <v>38</v>
      </c>
      <c r="B118" s="3" t="s">
        <v>39</v>
      </c>
      <c r="C118" s="3" t="s">
        <v>7342</v>
      </c>
      <c r="D118" s="3" t="n">
        <v>971762.21</v>
      </c>
      <c r="E118" s="3" t="n">
        <v>920580.9</v>
      </c>
      <c r="F118" s="3" t="n">
        <v>51181.31</v>
      </c>
      <c r="G118" s="3" t="n">
        <v>0.0556</v>
      </c>
      <c r="H118" s="3" t="n">
        <v>0.1105</v>
      </c>
      <c r="I118" s="3" t="n">
        <v>0.3304</v>
      </c>
    </row>
    <row r="119" customFormat="false" ht="15" hidden="false" customHeight="true" outlineLevel="0" collapsed="false">
      <c r="A119" s="3" t="s">
        <v>38</v>
      </c>
      <c r="B119" s="3" t="s">
        <v>39</v>
      </c>
      <c r="C119" s="3" t="s">
        <v>7343</v>
      </c>
      <c r="D119" s="3" t="n">
        <v>1249135.59</v>
      </c>
      <c r="E119" s="3" t="n">
        <v>989088.18</v>
      </c>
      <c r="F119" s="3" t="n">
        <v>260047.41</v>
      </c>
      <c r="G119" s="3" t="n">
        <v>0.2629</v>
      </c>
      <c r="H119" s="3" t="n">
        <v>0.2266</v>
      </c>
      <c r="I119" s="3" t="n">
        <v>0.2801</v>
      </c>
    </row>
    <row r="120" customFormat="false" ht="15" hidden="false" customHeight="true" outlineLevel="0" collapsed="false">
      <c r="A120" s="3" t="s">
        <v>38</v>
      </c>
      <c r="B120" s="3" t="s">
        <v>39</v>
      </c>
      <c r="C120" s="3" t="s">
        <v>7344</v>
      </c>
      <c r="D120" s="3" t="n">
        <v>1138122.55</v>
      </c>
      <c r="E120" s="3" t="n">
        <v>1018851.17</v>
      </c>
      <c r="F120" s="3" t="n">
        <v>119271.38</v>
      </c>
      <c r="G120" s="3" t="n">
        <v>0.1171</v>
      </c>
      <c r="H120" s="3" t="n">
        <v>0.1913</v>
      </c>
      <c r="I120" s="3" t="n">
        <v>0.365</v>
      </c>
    </row>
    <row r="121" customFormat="false" ht="15" hidden="false" customHeight="true" outlineLevel="0" collapsed="false">
      <c r="A121" s="3" t="s">
        <v>38</v>
      </c>
      <c r="B121" s="3" t="s">
        <v>39</v>
      </c>
      <c r="C121" s="3" t="s">
        <v>7345</v>
      </c>
      <c r="D121" s="3" t="n">
        <v>1229210.56</v>
      </c>
      <c r="E121" s="3" t="n">
        <v>1100229.55</v>
      </c>
      <c r="F121" s="3" t="n">
        <v>128981.01</v>
      </c>
      <c r="G121" s="3" t="n">
        <v>0.1172</v>
      </c>
      <c r="H121" s="3" t="n">
        <v>0.2332</v>
      </c>
      <c r="I121" s="3" t="n">
        <v>0.3301</v>
      </c>
    </row>
    <row r="122" customFormat="false" ht="15" hidden="false" customHeight="true" outlineLevel="0" collapsed="false">
      <c r="A122" s="3" t="s">
        <v>23</v>
      </c>
      <c r="B122" s="3" t="s">
        <v>24</v>
      </c>
      <c r="C122" s="3" t="s">
        <v>7334</v>
      </c>
      <c r="D122" s="3" t="n">
        <v>355868.57</v>
      </c>
      <c r="E122" s="3" t="n">
        <v>276078.89</v>
      </c>
      <c r="F122" s="3" t="n">
        <v>79789.68</v>
      </c>
      <c r="G122" s="3" t="n">
        <v>0.289</v>
      </c>
      <c r="H122" s="3" t="n">
        <v>0.1369</v>
      </c>
      <c r="I122" s="3" t="n">
        <v>0.3524</v>
      </c>
    </row>
    <row r="123" customFormat="false" ht="15" hidden="false" customHeight="true" outlineLevel="0" collapsed="false">
      <c r="A123" s="3" t="s">
        <v>23</v>
      </c>
      <c r="B123" s="3" t="s">
        <v>24</v>
      </c>
      <c r="C123" s="3" t="s">
        <v>7335</v>
      </c>
      <c r="D123" s="3" t="n">
        <v>226236.02</v>
      </c>
      <c r="E123" s="3" t="n">
        <v>296159.7</v>
      </c>
      <c r="F123" s="3" t="n">
        <v>-69923.68</v>
      </c>
      <c r="G123" s="3" t="n">
        <v>-0.2361</v>
      </c>
      <c r="H123" s="3" t="n">
        <v>0.1552</v>
      </c>
      <c r="I123" s="3" t="n">
        <v>0.2606</v>
      </c>
    </row>
    <row r="124" customFormat="false" ht="15" hidden="false" customHeight="true" outlineLevel="0" collapsed="false">
      <c r="A124" s="3" t="s">
        <v>23</v>
      </c>
      <c r="B124" s="3" t="s">
        <v>24</v>
      </c>
      <c r="C124" s="3" t="s">
        <v>7336</v>
      </c>
      <c r="D124" s="3" t="n">
        <v>364350.94</v>
      </c>
      <c r="E124" s="3" t="n">
        <v>316517.53</v>
      </c>
      <c r="F124" s="3" t="n">
        <v>47833.41</v>
      </c>
      <c r="G124" s="3" t="n">
        <v>0.1511</v>
      </c>
      <c r="H124" s="3" t="n">
        <v>0.2053</v>
      </c>
      <c r="I124" s="3" t="n">
        <v>0.3218</v>
      </c>
    </row>
    <row r="125" customFormat="false" ht="15" hidden="false" customHeight="true" outlineLevel="0" collapsed="false">
      <c r="A125" s="3" t="s">
        <v>23</v>
      </c>
      <c r="B125" s="3" t="s">
        <v>24</v>
      </c>
      <c r="C125" s="3" t="s">
        <v>7337</v>
      </c>
      <c r="D125" s="3" t="n">
        <v>328154.39</v>
      </c>
      <c r="E125" s="3" t="n">
        <v>305999.34</v>
      </c>
      <c r="F125" s="3" t="n">
        <v>22155.05</v>
      </c>
      <c r="G125" s="3" t="n">
        <v>0.0724</v>
      </c>
      <c r="H125" s="3" t="n">
        <v>0.2453</v>
      </c>
      <c r="I125" s="3" t="n">
        <v>0.3144</v>
      </c>
    </row>
    <row r="126" customFormat="false" ht="15" hidden="false" customHeight="true" outlineLevel="0" collapsed="false">
      <c r="A126" s="3" t="s">
        <v>23</v>
      </c>
      <c r="B126" s="3" t="s">
        <v>24</v>
      </c>
      <c r="C126" s="3" t="s">
        <v>7338</v>
      </c>
      <c r="D126" s="3" t="n">
        <v>325690.64</v>
      </c>
      <c r="E126" s="3" t="n">
        <v>319889.86</v>
      </c>
      <c r="F126" s="3" t="n">
        <v>5800.78</v>
      </c>
      <c r="G126" s="3" t="n">
        <v>0.0181</v>
      </c>
      <c r="H126" s="3" t="n">
        <v>0.1459</v>
      </c>
      <c r="I126" s="3" t="n">
        <v>0.2799</v>
      </c>
    </row>
    <row r="127" customFormat="false" ht="15" hidden="false" customHeight="true" outlineLevel="0" collapsed="false">
      <c r="A127" s="3" t="s">
        <v>23</v>
      </c>
      <c r="B127" s="3" t="s">
        <v>24</v>
      </c>
      <c r="C127" s="3" t="s">
        <v>7339</v>
      </c>
      <c r="D127" s="3" t="n">
        <v>323046.33</v>
      </c>
      <c r="E127" s="3" t="n">
        <v>279591.66</v>
      </c>
      <c r="F127" s="3" t="n">
        <v>43454.67</v>
      </c>
      <c r="G127" s="3" t="n">
        <v>0.1554</v>
      </c>
      <c r="H127" s="3" t="n">
        <v>0.2249</v>
      </c>
      <c r="I127" s="3" t="n">
        <v>0.3637</v>
      </c>
    </row>
    <row r="128" customFormat="false" ht="15" hidden="false" customHeight="true" outlineLevel="0" collapsed="false">
      <c r="A128" s="3" t="s">
        <v>23</v>
      </c>
      <c r="B128" s="3" t="s">
        <v>24</v>
      </c>
      <c r="C128" s="3" t="s">
        <v>7340</v>
      </c>
      <c r="D128" s="3" t="n">
        <v>330219.24</v>
      </c>
      <c r="E128" s="3" t="n">
        <v>350434.65</v>
      </c>
      <c r="F128" s="3" t="n">
        <v>-20215.41</v>
      </c>
      <c r="G128" s="3" t="n">
        <v>-0.0577</v>
      </c>
      <c r="H128" s="3" t="n">
        <v>0.1655</v>
      </c>
      <c r="I128" s="3" t="n">
        <v>0.347</v>
      </c>
    </row>
    <row r="129" customFormat="false" ht="15" hidden="false" customHeight="true" outlineLevel="0" collapsed="false">
      <c r="A129" s="3" t="s">
        <v>23</v>
      </c>
      <c r="B129" s="3" t="s">
        <v>24</v>
      </c>
      <c r="C129" s="3" t="s">
        <v>7341</v>
      </c>
      <c r="D129" s="3" t="n">
        <v>404016</v>
      </c>
      <c r="E129" s="3" t="n">
        <v>340828.15</v>
      </c>
      <c r="F129" s="3" t="n">
        <v>63187.85</v>
      </c>
      <c r="G129" s="3" t="n">
        <v>0.1854</v>
      </c>
      <c r="H129" s="3" t="n">
        <v>0.1714</v>
      </c>
      <c r="I129" s="3" t="n">
        <v>0.41</v>
      </c>
    </row>
    <row r="130" customFormat="false" ht="15" hidden="false" customHeight="true" outlineLevel="0" collapsed="false">
      <c r="A130" s="3" t="s">
        <v>23</v>
      </c>
      <c r="B130" s="3" t="s">
        <v>24</v>
      </c>
      <c r="C130" s="3" t="s">
        <v>7342</v>
      </c>
      <c r="D130" s="3" t="n">
        <v>294195.7</v>
      </c>
      <c r="E130" s="3" t="n">
        <v>347574.07</v>
      </c>
      <c r="F130" s="3" t="n">
        <v>-53378.37</v>
      </c>
      <c r="G130" s="3" t="n">
        <v>-0.1536</v>
      </c>
      <c r="H130" s="3" t="n">
        <v>0.1681</v>
      </c>
      <c r="I130" s="3" t="n">
        <v>0.4364</v>
      </c>
    </row>
    <row r="131" customFormat="false" ht="15" hidden="false" customHeight="true" outlineLevel="0" collapsed="false">
      <c r="A131" s="3" t="s">
        <v>23</v>
      </c>
      <c r="B131" s="3" t="s">
        <v>24</v>
      </c>
      <c r="C131" s="3" t="s">
        <v>7343</v>
      </c>
      <c r="D131" s="3" t="n">
        <v>307366.88</v>
      </c>
      <c r="E131" s="3" t="n">
        <v>364793.5</v>
      </c>
      <c r="F131" s="3" t="n">
        <v>-57426.62</v>
      </c>
      <c r="G131" s="3" t="n">
        <v>-0.1574</v>
      </c>
      <c r="H131" s="3" t="n">
        <v>0.1053</v>
      </c>
      <c r="I131" s="3" t="n">
        <v>0.3063</v>
      </c>
    </row>
    <row r="132" customFormat="false" ht="15" hidden="false" customHeight="true" outlineLevel="0" collapsed="false">
      <c r="A132" s="3" t="s">
        <v>23</v>
      </c>
      <c r="B132" s="3" t="s">
        <v>24</v>
      </c>
      <c r="C132" s="3" t="s">
        <v>7344</v>
      </c>
      <c r="D132" s="3" t="n">
        <v>366605.37</v>
      </c>
      <c r="E132" s="3" t="n">
        <v>378403.56</v>
      </c>
      <c r="F132" s="3" t="n">
        <v>-11798.19</v>
      </c>
      <c r="G132" s="3" t="n">
        <v>-0.0312</v>
      </c>
      <c r="H132" s="3" t="n">
        <v>0.2321</v>
      </c>
      <c r="I132" s="3" t="n">
        <v>0.2908</v>
      </c>
    </row>
    <row r="133" customFormat="false" ht="15" hidden="false" customHeight="true" outlineLevel="0" collapsed="false">
      <c r="A133" s="3" t="s">
        <v>23</v>
      </c>
      <c r="B133" s="3" t="s">
        <v>24</v>
      </c>
      <c r="C133" s="3" t="s">
        <v>7345</v>
      </c>
      <c r="D133" s="3" t="n">
        <v>390045.43</v>
      </c>
      <c r="E133" s="3" t="n">
        <v>406169.05</v>
      </c>
      <c r="F133" s="3" t="n">
        <v>-16123.62</v>
      </c>
      <c r="G133" s="3" t="n">
        <v>-0.0397</v>
      </c>
      <c r="H133" s="3" t="n">
        <v>0.1049</v>
      </c>
      <c r="I133" s="3" t="n">
        <v>0.2786</v>
      </c>
    </row>
    <row r="134" customFormat="false" ht="15" hidden="false" customHeight="true" outlineLevel="0" collapsed="false">
      <c r="A134" s="3" t="s">
        <v>97</v>
      </c>
      <c r="B134" s="3" t="s">
        <v>48</v>
      </c>
      <c r="C134" s="3" t="s">
        <v>7334</v>
      </c>
      <c r="D134" s="3" t="n">
        <v>470176.27</v>
      </c>
      <c r="E134" s="3" t="n">
        <v>501570.64</v>
      </c>
      <c r="F134" s="3" t="n">
        <v>-31394.37</v>
      </c>
      <c r="G134" s="3" t="n">
        <v>-0.0626</v>
      </c>
      <c r="H134" s="3" t="n">
        <v>0.201</v>
      </c>
      <c r="I134" s="3" t="n">
        <v>0.4081</v>
      </c>
    </row>
    <row r="135" customFormat="false" ht="15" hidden="false" customHeight="true" outlineLevel="0" collapsed="false">
      <c r="A135" s="3" t="s">
        <v>97</v>
      </c>
      <c r="B135" s="3" t="s">
        <v>48</v>
      </c>
      <c r="C135" s="3" t="s">
        <v>7335</v>
      </c>
      <c r="D135" s="3" t="n">
        <v>482346.76</v>
      </c>
      <c r="E135" s="3" t="n">
        <v>472810.47</v>
      </c>
      <c r="F135" s="3" t="n">
        <v>9536.29</v>
      </c>
      <c r="G135" s="3" t="n">
        <v>0.0202</v>
      </c>
      <c r="H135" s="3" t="n">
        <v>0.2238</v>
      </c>
      <c r="I135" s="3" t="n">
        <v>0.4473</v>
      </c>
    </row>
    <row r="136" customFormat="false" ht="15" hidden="false" customHeight="true" outlineLevel="0" collapsed="false">
      <c r="A136" s="3" t="s">
        <v>97</v>
      </c>
      <c r="B136" s="3" t="s">
        <v>48</v>
      </c>
      <c r="C136" s="3" t="s">
        <v>7336</v>
      </c>
      <c r="D136" s="3" t="n">
        <v>588424.92</v>
      </c>
      <c r="E136" s="3" t="n">
        <v>516167.64</v>
      </c>
      <c r="F136" s="3" t="n">
        <v>72257.28</v>
      </c>
      <c r="G136" s="3" t="n">
        <v>0.14</v>
      </c>
      <c r="H136" s="3" t="n">
        <v>0.0898</v>
      </c>
      <c r="I136" s="3" t="n">
        <v>0.3141</v>
      </c>
    </row>
    <row r="137" customFormat="false" ht="15" hidden="false" customHeight="true" outlineLevel="0" collapsed="false">
      <c r="A137" s="3" t="s">
        <v>97</v>
      </c>
      <c r="B137" s="3" t="s">
        <v>48</v>
      </c>
      <c r="C137" s="3" t="s">
        <v>7337</v>
      </c>
      <c r="D137" s="3" t="n">
        <v>410845.07</v>
      </c>
      <c r="E137" s="3" t="n">
        <v>548029.24</v>
      </c>
      <c r="F137" s="3" t="n">
        <v>-137184.17</v>
      </c>
      <c r="G137" s="3" t="n">
        <v>-0.2503</v>
      </c>
      <c r="H137" s="3" t="n">
        <v>0.1075</v>
      </c>
      <c r="I137" s="3" t="n">
        <v>0.3741</v>
      </c>
    </row>
    <row r="138" customFormat="false" ht="15" hidden="false" customHeight="true" outlineLevel="0" collapsed="false">
      <c r="A138" s="3" t="s">
        <v>97</v>
      </c>
      <c r="B138" s="3" t="s">
        <v>48</v>
      </c>
      <c r="C138" s="3" t="s">
        <v>7338</v>
      </c>
      <c r="D138" s="3" t="n">
        <v>456360.98</v>
      </c>
      <c r="E138" s="3" t="n">
        <v>536584.09</v>
      </c>
      <c r="F138" s="3" t="n">
        <v>-80223.11</v>
      </c>
      <c r="G138" s="3" t="n">
        <v>-0.1495</v>
      </c>
      <c r="H138" s="3" t="n">
        <v>0.2358</v>
      </c>
      <c r="I138" s="3" t="n">
        <v>0.3508</v>
      </c>
    </row>
    <row r="139" customFormat="false" ht="15" hidden="false" customHeight="true" outlineLevel="0" collapsed="false">
      <c r="A139" s="3" t="s">
        <v>97</v>
      </c>
      <c r="B139" s="3" t="s">
        <v>48</v>
      </c>
      <c r="C139" s="3" t="s">
        <v>7339</v>
      </c>
      <c r="D139" s="3" t="n">
        <v>631634.3</v>
      </c>
      <c r="E139" s="3" t="n">
        <v>537163.03</v>
      </c>
      <c r="F139" s="3" t="n">
        <v>94471.27</v>
      </c>
      <c r="G139" s="3" t="n">
        <v>0.1759</v>
      </c>
      <c r="H139" s="3" t="n">
        <v>0.089</v>
      </c>
      <c r="I139" s="3" t="n">
        <v>0.3361</v>
      </c>
    </row>
    <row r="140" customFormat="false" ht="15" hidden="false" customHeight="true" outlineLevel="0" collapsed="false">
      <c r="A140" s="3" t="s">
        <v>97</v>
      </c>
      <c r="B140" s="3" t="s">
        <v>48</v>
      </c>
      <c r="C140" s="3" t="s">
        <v>7340</v>
      </c>
      <c r="D140" s="3" t="n">
        <v>539127.31</v>
      </c>
      <c r="E140" s="3" t="n">
        <v>537691.73</v>
      </c>
      <c r="F140" s="3" t="n">
        <v>1435.58</v>
      </c>
      <c r="G140" s="3" t="n">
        <v>0.0027</v>
      </c>
      <c r="H140" s="3" t="n">
        <v>0.1775</v>
      </c>
      <c r="I140" s="3" t="n">
        <v>0.3059</v>
      </c>
    </row>
    <row r="141" customFormat="false" ht="15" hidden="false" customHeight="true" outlineLevel="0" collapsed="false">
      <c r="A141" s="3" t="s">
        <v>97</v>
      </c>
      <c r="B141" s="3" t="s">
        <v>48</v>
      </c>
      <c r="C141" s="3" t="s">
        <v>7341</v>
      </c>
      <c r="D141" s="3" t="n">
        <v>492021.48</v>
      </c>
      <c r="E141" s="3" t="n">
        <v>598374</v>
      </c>
      <c r="F141" s="3" t="n">
        <v>-106352.52</v>
      </c>
      <c r="G141" s="3" t="n">
        <v>-0.1777</v>
      </c>
      <c r="H141" s="3" t="n">
        <v>0.1671</v>
      </c>
      <c r="I141" s="3" t="n">
        <v>0.4285</v>
      </c>
    </row>
    <row r="142" customFormat="false" ht="15" hidden="false" customHeight="true" outlineLevel="0" collapsed="false">
      <c r="A142" s="3" t="s">
        <v>97</v>
      </c>
      <c r="B142" s="3" t="s">
        <v>48</v>
      </c>
      <c r="C142" s="3" t="s">
        <v>7342</v>
      </c>
      <c r="D142" s="3" t="n">
        <v>522378.21</v>
      </c>
      <c r="E142" s="3" t="n">
        <v>589074.84</v>
      </c>
      <c r="F142" s="3" t="n">
        <v>-66696.63</v>
      </c>
      <c r="G142" s="3" t="n">
        <v>-0.1132</v>
      </c>
      <c r="H142" s="3" t="n">
        <v>0.1008</v>
      </c>
      <c r="I142" s="3" t="n">
        <v>0.4112</v>
      </c>
    </row>
    <row r="143" customFormat="false" ht="15" hidden="false" customHeight="true" outlineLevel="0" collapsed="false">
      <c r="A143" s="3" t="s">
        <v>97</v>
      </c>
      <c r="B143" s="3" t="s">
        <v>48</v>
      </c>
      <c r="C143" s="3" t="s">
        <v>7343</v>
      </c>
      <c r="D143" s="3" t="n">
        <v>667545.06</v>
      </c>
      <c r="E143" s="3" t="n">
        <v>673709.53</v>
      </c>
      <c r="F143" s="3" t="n">
        <v>-6164.47</v>
      </c>
      <c r="G143" s="3" t="n">
        <v>-0.0092</v>
      </c>
      <c r="H143" s="3" t="n">
        <v>0.2094</v>
      </c>
      <c r="I143" s="3" t="n">
        <v>0.3409</v>
      </c>
    </row>
    <row r="144" customFormat="false" ht="15" hidden="false" customHeight="true" outlineLevel="0" collapsed="false">
      <c r="A144" s="3" t="s">
        <v>97</v>
      </c>
      <c r="B144" s="3" t="s">
        <v>48</v>
      </c>
      <c r="C144" s="3" t="s">
        <v>7344</v>
      </c>
      <c r="D144" s="3" t="n">
        <v>761534.08</v>
      </c>
      <c r="E144" s="3" t="n">
        <v>670085.87</v>
      </c>
      <c r="F144" s="3" t="n">
        <v>91448.21</v>
      </c>
      <c r="G144" s="3" t="n">
        <v>0.1365</v>
      </c>
      <c r="H144" s="3" t="n">
        <v>0.1366</v>
      </c>
      <c r="I144" s="3" t="n">
        <v>0.3967</v>
      </c>
    </row>
    <row r="145" customFormat="false" ht="15" hidden="false" customHeight="true" outlineLevel="0" collapsed="false">
      <c r="A145" s="3" t="s">
        <v>97</v>
      </c>
      <c r="B145" s="3" t="s">
        <v>48</v>
      </c>
      <c r="C145" s="3" t="s">
        <v>7345</v>
      </c>
      <c r="D145" s="3" t="n">
        <v>602175.58</v>
      </c>
      <c r="E145" s="3" t="n">
        <v>659928.29</v>
      </c>
      <c r="F145" s="3" t="n">
        <v>-57752.71</v>
      </c>
      <c r="G145" s="3" t="n">
        <v>-0.0875</v>
      </c>
      <c r="H145" s="3" t="n">
        <v>0.1371</v>
      </c>
      <c r="I145" s="3" t="n">
        <v>0.2931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42"/>
  </cols>
  <sheetData>
    <row r="1" customFormat="false" ht="25.5" hidden="false" customHeight="true" outlineLevel="0" collapsed="false">
      <c r="A1" s="4" t="s">
        <v>7346</v>
      </c>
      <c r="B1" s="4"/>
      <c r="C1" s="4"/>
    </row>
    <row r="2" customFormat="false" ht="6" hidden="false" customHeight="true" outlineLevel="0" collapsed="false"/>
    <row r="3" customFormat="false" ht="19.5" hidden="false" customHeight="true" outlineLevel="0" collapsed="false">
      <c r="A3" s="5" t="s">
        <v>7347</v>
      </c>
      <c r="B3" s="5"/>
      <c r="C3" s="5"/>
    </row>
    <row r="4" customFormat="false" ht="18" hidden="false" customHeight="true" outlineLevel="0" collapsed="false">
      <c r="A4" s="6" t="s">
        <v>7348</v>
      </c>
      <c r="B4" s="7" t="n">
        <v>0.3</v>
      </c>
      <c r="C4" s="8" t="s">
        <v>7349</v>
      </c>
    </row>
    <row r="5" customFormat="false" ht="18" hidden="false" customHeight="true" outlineLevel="0" collapsed="false">
      <c r="A5" s="6" t="s">
        <v>7350</v>
      </c>
      <c r="B5" s="7" t="n">
        <v>0.22</v>
      </c>
      <c r="C5" s="8" t="s">
        <v>7349</v>
      </c>
    </row>
    <row r="6" customFormat="false" ht="18" hidden="false" customHeight="true" outlineLevel="0" collapsed="false">
      <c r="A6" s="6" t="s">
        <v>7351</v>
      </c>
      <c r="B6" s="7" t="n">
        <v>0.18</v>
      </c>
      <c r="C6" s="8" t="s">
        <v>7349</v>
      </c>
    </row>
    <row r="7" customFormat="false" ht="18" hidden="false" customHeight="true" outlineLevel="0" collapsed="false">
      <c r="A7" s="6" t="s">
        <v>7352</v>
      </c>
      <c r="B7" s="7" t="n">
        <v>0.14</v>
      </c>
      <c r="C7" s="8" t="s">
        <v>7353</v>
      </c>
    </row>
    <row r="9" customFormat="false" ht="19.5" hidden="false" customHeight="true" outlineLevel="0" collapsed="false">
      <c r="A9" s="5" t="s">
        <v>7354</v>
      </c>
      <c r="B9" s="5"/>
      <c r="C9" s="5"/>
    </row>
    <row r="10" customFormat="false" ht="18" hidden="false" customHeight="true" outlineLevel="0" collapsed="false">
      <c r="A10" s="6" t="s">
        <v>7355</v>
      </c>
      <c r="B10" s="7" t="n">
        <v>0.35</v>
      </c>
      <c r="C10" s="8" t="s">
        <v>7356</v>
      </c>
    </row>
    <row r="11" customFormat="false" ht="18" hidden="false" customHeight="true" outlineLevel="0" collapsed="false">
      <c r="A11" s="6" t="s">
        <v>7357</v>
      </c>
      <c r="B11" s="7" t="n">
        <v>0.38</v>
      </c>
      <c r="C11" s="8" t="s">
        <v>7356</v>
      </c>
    </row>
    <row r="12" customFormat="false" ht="18" hidden="false" customHeight="true" outlineLevel="0" collapsed="false">
      <c r="A12" s="6" t="s">
        <v>7358</v>
      </c>
      <c r="B12" s="7" t="n">
        <v>0.42</v>
      </c>
      <c r="C12" s="8" t="s">
        <v>7356</v>
      </c>
    </row>
    <row r="13" customFormat="false" ht="18" hidden="false" customHeight="true" outlineLevel="0" collapsed="false">
      <c r="A13" s="6" t="s">
        <v>7359</v>
      </c>
      <c r="B13" s="7" t="n">
        <v>0.28</v>
      </c>
      <c r="C13" s="8" t="s">
        <v>7356</v>
      </c>
    </row>
    <row r="14" customFormat="false" ht="18" hidden="false" customHeight="true" outlineLevel="0" collapsed="false">
      <c r="A14" s="6" t="s">
        <v>7360</v>
      </c>
      <c r="B14" s="7" t="n">
        <v>0.4</v>
      </c>
      <c r="C14" s="8" t="s">
        <v>7356</v>
      </c>
    </row>
    <row r="16" customFormat="false" ht="19.5" hidden="false" customHeight="true" outlineLevel="0" collapsed="false">
      <c r="A16" s="5" t="s">
        <v>7361</v>
      </c>
      <c r="B16" s="5"/>
      <c r="C16" s="5"/>
    </row>
    <row r="17" customFormat="false" ht="18" hidden="false" customHeight="true" outlineLevel="0" collapsed="false">
      <c r="A17" s="6" t="s">
        <v>7362</v>
      </c>
      <c r="B17" s="7" t="n">
        <v>0.05</v>
      </c>
      <c r="C17" s="8" t="s">
        <v>7363</v>
      </c>
    </row>
    <row r="18" customFormat="false" ht="18" hidden="false" customHeight="true" outlineLevel="0" collapsed="false">
      <c r="A18" s="6" t="s">
        <v>7364</v>
      </c>
      <c r="B18" s="7" t="n">
        <v>0.03</v>
      </c>
      <c r="C18" s="8" t="s">
        <v>7363</v>
      </c>
    </row>
    <row r="19" customFormat="false" ht="18" hidden="false" customHeight="true" outlineLevel="0" collapsed="false">
      <c r="A19" s="6" t="s">
        <v>7365</v>
      </c>
      <c r="B19" s="7" t="n">
        <v>0.015</v>
      </c>
      <c r="C19" s="8" t="s">
        <v>7363</v>
      </c>
    </row>
    <row r="20" customFormat="false" ht="18" hidden="false" customHeight="true" outlineLevel="0" collapsed="false">
      <c r="A20" s="6" t="s">
        <v>7366</v>
      </c>
      <c r="B20" s="7" t="n">
        <v>0.02</v>
      </c>
      <c r="C20" s="8" t="s">
        <v>7367</v>
      </c>
    </row>
    <row r="22" customFormat="false" ht="19.5" hidden="false" customHeight="true" outlineLevel="0" collapsed="false">
      <c r="A22" s="5" t="s">
        <v>7368</v>
      </c>
      <c r="B22" s="5"/>
      <c r="C22" s="5"/>
    </row>
    <row r="23" customFormat="false" ht="18" hidden="false" customHeight="true" outlineLevel="0" collapsed="false">
      <c r="A23" s="6" t="s">
        <v>7369</v>
      </c>
      <c r="B23" s="7" t="n">
        <v>0.35</v>
      </c>
      <c r="C23" s="8" t="s">
        <v>7370</v>
      </c>
    </row>
    <row r="24" customFormat="false" ht="18" hidden="false" customHeight="true" outlineLevel="0" collapsed="false">
      <c r="A24" s="6" t="s">
        <v>7371</v>
      </c>
      <c r="B24" s="7" t="n">
        <v>0.25</v>
      </c>
      <c r="C24" s="8" t="s">
        <v>7372</v>
      </c>
    </row>
    <row r="25" customFormat="false" ht="18" hidden="false" customHeight="true" outlineLevel="0" collapsed="false">
      <c r="A25" s="6" t="s">
        <v>7373</v>
      </c>
      <c r="B25" s="7" t="n">
        <v>0.25</v>
      </c>
      <c r="C25" s="8" t="s">
        <v>7372</v>
      </c>
    </row>
    <row r="26" customFormat="false" ht="18" hidden="false" customHeight="true" outlineLevel="0" collapsed="false">
      <c r="A26" s="6" t="s">
        <v>7374</v>
      </c>
      <c r="B26" s="7" t="n">
        <v>0.15</v>
      </c>
      <c r="C26" s="8" t="s">
        <v>7372</v>
      </c>
    </row>
    <row r="27" customFormat="false" ht="18" hidden="false" customHeight="true" outlineLevel="0" collapsed="false">
      <c r="A27" s="6" t="s">
        <v>7375</v>
      </c>
      <c r="B27" s="9" t="n">
        <v>6.5</v>
      </c>
      <c r="C27" s="8" t="s">
        <v>7376</v>
      </c>
    </row>
    <row r="28" customFormat="false" ht="18" hidden="false" customHeight="true" outlineLevel="0" collapsed="false">
      <c r="A28" s="6" t="s">
        <v>7377</v>
      </c>
      <c r="B28" s="9" t="n">
        <v>5</v>
      </c>
      <c r="C28" s="8" t="s">
        <v>7378</v>
      </c>
    </row>
    <row r="31" customFormat="false" ht="15" hidden="false" customHeight="true" outlineLevel="0" collapsed="false">
      <c r="A31" s="10" t="s">
        <v>7379</v>
      </c>
    </row>
    <row r="32" customFormat="false" ht="15" hidden="false" customHeight="true" outlineLevel="0" collapsed="false">
      <c r="A32" s="11" t="s">
        <v>7380</v>
      </c>
      <c r="C32" s="8" t="s">
        <v>7381</v>
      </c>
    </row>
    <row r="33" customFormat="false" ht="15" hidden="false" customHeight="true" outlineLevel="0" collapsed="false">
      <c r="A33" s="6" t="s">
        <v>7382</v>
      </c>
      <c r="C33" s="8" t="s">
        <v>7383</v>
      </c>
    </row>
    <row r="34" customFormat="false" ht="15" hidden="false" customHeight="true" outlineLevel="0" collapsed="false">
      <c r="A34" s="12" t="s">
        <v>7384</v>
      </c>
      <c r="C34" s="8" t="s">
        <v>7385</v>
      </c>
    </row>
  </sheetData>
  <mergeCells count="5">
    <mergeCell ref="A1:C1"/>
    <mergeCell ref="A3:C3"/>
    <mergeCell ref="A9:C9"/>
    <mergeCell ref="A16:C16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5" min="4" style="1" width="13"/>
    <col collapsed="false" customWidth="true" hidden="false" outlineLevel="0" max="6" min="6" style="1" width="14"/>
    <col collapsed="false" customWidth="true" hidden="false" outlineLevel="0" max="8" min="7" style="1" width="13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3"/>
  </cols>
  <sheetData>
    <row r="1" customFormat="false" ht="25.5" hidden="false" customHeight="true" outlineLevel="0" collapsed="false">
      <c r="A1" s="4" t="s">
        <v>7386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6" hidden="false" customHeight="true" outlineLevel="0" collapsed="false"/>
    <row r="3" customFormat="false" ht="25.5" hidden="false" customHeight="true" outlineLevel="0" collapsed="false">
      <c r="A3" s="13" t="s">
        <v>7387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customFormat="false" ht="31.5" hidden="false" customHeight="true" outlineLevel="0" collapsed="false">
      <c r="A4" s="14" t="s">
        <v>7388</v>
      </c>
      <c r="B4" s="14" t="s">
        <v>7389</v>
      </c>
      <c r="C4" s="14" t="s">
        <v>7390</v>
      </c>
      <c r="D4" s="14" t="s">
        <v>7391</v>
      </c>
      <c r="E4" s="14" t="s">
        <v>7392</v>
      </c>
      <c r="F4" s="14" t="s">
        <v>7393</v>
      </c>
      <c r="G4" s="14" t="s">
        <v>7394</v>
      </c>
      <c r="H4" s="14" t="s">
        <v>7395</v>
      </c>
      <c r="I4" s="14" t="s">
        <v>7396</v>
      </c>
      <c r="J4" s="14" t="s">
        <v>7397</v>
      </c>
      <c r="K4" s="14" t="s">
        <v>7398</v>
      </c>
    </row>
    <row r="5" customFormat="false" ht="15" hidden="false" customHeight="true" outlineLevel="0" collapsed="false">
      <c r="A5" s="15" t="s">
        <v>27</v>
      </c>
      <c r="B5" s="16" t="n">
        <v>304</v>
      </c>
      <c r="C5" s="17" t="n">
        <f aca="false">SUMIF(Data_Transactions!H:H,A5,Data_Transactions!O:O)/1000000</f>
        <v>517.45006383</v>
      </c>
      <c r="D5" s="18" t="n">
        <f aca="false">AVERAGEIF(Data_Transactions!H:H,A5,Data_Transactions!M:M)</f>
        <v>0.0947348663101604</v>
      </c>
      <c r="E5" s="19" t="n">
        <f aca="false">AVERAGEIF(Data_Transactions!H:H,A5,Data_Transactions!S:S)</f>
        <v>0.0896781818181818</v>
      </c>
      <c r="F5" s="20" t="n">
        <f aca="false">D5-E5</f>
        <v>0.00505668449197862</v>
      </c>
      <c r="G5" s="18" t="n">
        <f aca="false">AVERAGEIF(Data_Transactions!H:H,A5,Data_Transactions!R:R)</f>
        <v>0.313201711229947</v>
      </c>
      <c r="H5" s="21" t="n">
        <f aca="false">Assumptions!B9</f>
        <v>0</v>
      </c>
      <c r="I5" s="20" t="n">
        <f aca="false">G5-H5</f>
        <v>0.313201711229947</v>
      </c>
      <c r="J5" s="22" t="n">
        <f aca="false">C5*Assumptions!B15*1000</f>
        <v>0</v>
      </c>
      <c r="K5" s="23" t="str">
        <f aca="false">IF(ABS(F5)&lt;0.005,"✓ On Plan",IF(F5&gt;0,"⚠ Over-Disc.","↓ Under Plan"))</f>
        <v>⚠ Over-Disc.</v>
      </c>
    </row>
    <row r="6" customFormat="false" ht="15" hidden="false" customHeight="true" outlineLevel="0" collapsed="false">
      <c r="A6" s="24" t="s">
        <v>64</v>
      </c>
      <c r="B6" s="25" t="n">
        <v>309</v>
      </c>
      <c r="C6" s="26" t="n">
        <f aca="false">SUMIF(Data_Transactions!H:H,A6,Data_Transactions!O:O)/1000000</f>
        <v>167.1915943</v>
      </c>
      <c r="D6" s="27" t="n">
        <f aca="false">AVERAGEIF(Data_Transactions!H:H,A6,Data_Transactions!M:M)</f>
        <v>0.0961711134453782</v>
      </c>
      <c r="E6" s="28" t="n">
        <f aca="false">AVERAGEIF(Data_Transactions!H:H,A6,Data_Transactions!S:S)</f>
        <v>0.0911607142857143</v>
      </c>
      <c r="F6" s="29" t="n">
        <f aca="false">D6-E6</f>
        <v>0.00501039915966388</v>
      </c>
      <c r="G6" s="27" t="n">
        <f aca="false">AVERAGEIF(Data_Transactions!H:H,A6,Data_Transactions!R:R)</f>
        <v>0.356444117647059</v>
      </c>
      <c r="H6" s="30" t="n">
        <f aca="false">Assumptions!B10</f>
        <v>0.35</v>
      </c>
      <c r="I6" s="29" t="n">
        <f aca="false">G6-H6</f>
        <v>0.00644411764705882</v>
      </c>
      <c r="J6" s="31" t="n">
        <f aca="false">C6*Assumptions!B15*1000</f>
        <v>0</v>
      </c>
      <c r="K6" s="32" t="str">
        <f aca="false">IF(ABS(F6)&lt;0.005,"✓ On Plan",IF(F6&gt;0,"⚠ Over-Disc.","↓ Under Plan"))</f>
        <v>⚠ Over-Disc.</v>
      </c>
    </row>
    <row r="7" customFormat="false" ht="15" hidden="false" customHeight="true" outlineLevel="0" collapsed="false">
      <c r="A7" s="15" t="s">
        <v>42</v>
      </c>
      <c r="B7" s="16" t="n">
        <v>311</v>
      </c>
      <c r="C7" s="17" t="n">
        <f aca="false">SUMIF(Data_Transactions!H:H,A7,Data_Transactions!O:O)/1000000</f>
        <v>49.5258146</v>
      </c>
      <c r="D7" s="18" t="n">
        <f aca="false">AVERAGEIF(Data_Transactions!H:H,A7,Data_Transactions!M:M)</f>
        <v>0.0951795064377683</v>
      </c>
      <c r="E7" s="19" t="n">
        <f aca="false">AVERAGEIF(Data_Transactions!H:H,A7,Data_Transactions!S:S)</f>
        <v>0.0906429184549356</v>
      </c>
      <c r="F7" s="20" t="n">
        <f aca="false">D7-E7</f>
        <v>0.00453658798283262</v>
      </c>
      <c r="G7" s="18" t="n">
        <f aca="false">AVERAGEIF(Data_Transactions!H:H,A7,Data_Transactions!R:R)</f>
        <v>0.390460729613734</v>
      </c>
      <c r="H7" s="21" t="n">
        <f aca="false">Assumptions!B11</f>
        <v>0.38</v>
      </c>
      <c r="I7" s="20" t="n">
        <f aca="false">G7-H7</f>
        <v>0.0104607296137339</v>
      </c>
      <c r="J7" s="22" t="n">
        <f aca="false">C7*Assumptions!B15*1000</f>
        <v>0</v>
      </c>
      <c r="K7" s="23" t="str">
        <f aca="false">IF(ABS(F7)&lt;0.005,"✓ On Plan",IF(F7&gt;0,"⚠ Over-Disc.","↓ Under Plan"))</f>
        <v>✓ On Plan</v>
      </c>
    </row>
    <row r="8" customFormat="false" ht="15" hidden="false" customHeight="true" outlineLevel="0" collapsed="false">
      <c r="A8" s="24" t="s">
        <v>77</v>
      </c>
      <c r="B8" s="25" t="n">
        <v>354</v>
      </c>
      <c r="C8" s="26" t="n">
        <f aca="false">SUMIF(Data_Transactions!H:H,A8,Data_Transactions!O:O)/1000000</f>
        <v>86.42798291</v>
      </c>
      <c r="D8" s="27" t="n">
        <f aca="false">AVERAGEIF(Data_Transactions!H:H,A8,Data_Transactions!M:M)</f>
        <v>0.0958893658536585</v>
      </c>
      <c r="E8" s="28" t="n">
        <f aca="false">AVERAGEIF(Data_Transactions!H:H,A8,Data_Transactions!S:S)</f>
        <v>0.0913783414634146</v>
      </c>
      <c r="F8" s="29" t="n">
        <f aca="false">D8-E8</f>
        <v>0.0045110243902439</v>
      </c>
      <c r="G8" s="27" t="n">
        <f aca="false">AVERAGEIF(Data_Transactions!H:H,A8,Data_Transactions!R:R)</f>
        <v>0.245825365853659</v>
      </c>
      <c r="H8" s="30" t="n">
        <f aca="false">Assumptions!B12</f>
        <v>0.42</v>
      </c>
      <c r="I8" s="29" t="n">
        <f aca="false">G8-H8</f>
        <v>-0.174174634146341</v>
      </c>
      <c r="J8" s="31" t="n">
        <f aca="false">C8*Assumptions!B15*1000</f>
        <v>0</v>
      </c>
      <c r="K8" s="32" t="str">
        <f aca="false">IF(ABS(F8)&lt;0.005,"✓ On Plan",IF(F8&gt;0,"⚠ Over-Disc.","↓ Under Plan"))</f>
        <v>✓ On Plan</v>
      </c>
    </row>
    <row r="9" customFormat="false" ht="15" hidden="false" customHeight="true" outlineLevel="0" collapsed="false">
      <c r="A9" s="15" t="s">
        <v>56</v>
      </c>
      <c r="B9" s="16" t="n">
        <v>348</v>
      </c>
      <c r="C9" s="17" t="n">
        <f aca="false">SUMIF(Data_Transactions!H:H,A9,Data_Transactions!O:O)/1000000</f>
        <v>217.18112559</v>
      </c>
      <c r="D9" s="18" t="n">
        <f aca="false">AVERAGEIF(Data_Transactions!H:H,A9,Data_Transactions!M:M)</f>
        <v>0.0975518828451883</v>
      </c>
      <c r="E9" s="19" t="n">
        <f aca="false">AVERAGEIF(Data_Transactions!H:H,A9,Data_Transactions!S:S)</f>
        <v>0.0926912133891213</v>
      </c>
      <c r="F9" s="20" t="n">
        <f aca="false">D9-E9</f>
        <v>0.00486066945606696</v>
      </c>
      <c r="G9" s="18" t="n">
        <f aca="false">AVERAGEIF(Data_Transactions!H:H,A9,Data_Transactions!R:R)</f>
        <v>0.333245711297071</v>
      </c>
      <c r="H9" s="21" t="n">
        <f aca="false">Assumptions!B13</f>
        <v>0.28</v>
      </c>
      <c r="I9" s="20" t="n">
        <f aca="false">G9-H9</f>
        <v>0.0532457112970711</v>
      </c>
      <c r="J9" s="22" t="n">
        <f aca="false">C9*Assumptions!B15*1000</f>
        <v>0</v>
      </c>
      <c r="K9" s="23" t="str">
        <f aca="false">IF(ABS(F9)&lt;0.005,"✓ On Plan",IF(F9&gt;0,"⚠ Over-Disc.","↓ Under Plan"))</f>
        <v>✓ On Plan</v>
      </c>
    </row>
    <row r="10" customFormat="false" ht="15" hidden="false" customHeight="true" outlineLevel="0" collapsed="false">
      <c r="A10" s="33" t="s">
        <v>7399</v>
      </c>
      <c r="B10" s="34" t="n">
        <f aca="false">SUM(B5:B9)</f>
        <v>1626</v>
      </c>
      <c r="C10" s="35" t="n">
        <f aca="false">SUM(C5:C9)</f>
        <v>1037.77658123</v>
      </c>
      <c r="D10" s="36" t="n">
        <f aca="false">AVERAGE(D5:D9)</f>
        <v>0.0959053469784307</v>
      </c>
      <c r="E10" s="36" t="n">
        <f aca="false">AVERAGE(E5:E9)</f>
        <v>0.0911102738822735</v>
      </c>
      <c r="F10" s="37" t="n">
        <f aca="false">D10-E10</f>
        <v>0.00479507309615719</v>
      </c>
      <c r="G10" s="36" t="n">
        <f aca="false">AVERAGE(G5:G9)</f>
        <v>0.327835527128294</v>
      </c>
      <c r="H10" s="36" t="n">
        <f aca="false">AVERAGE(H5:H9)</f>
        <v>0.286</v>
      </c>
      <c r="I10" s="37" t="n">
        <f aca="false">G10-H10</f>
        <v>0.0418355271282938</v>
      </c>
      <c r="J10" s="38" t="n">
        <f aca="false">SUM(J5:J9)</f>
        <v>0</v>
      </c>
    </row>
    <row r="12" customFormat="false" ht="25.5" hidden="false" customHeight="true" outlineLevel="0" collapsed="false">
      <c r="A12" s="13" t="s">
        <v>7400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31.5" hidden="false" customHeight="true" outlineLevel="0" collapsed="false">
      <c r="A13" s="14" t="s">
        <v>7401</v>
      </c>
      <c r="B13" s="14" t="s">
        <v>7402</v>
      </c>
      <c r="C13" s="14" t="s">
        <v>7403</v>
      </c>
      <c r="D13" s="14" t="s">
        <v>7390</v>
      </c>
      <c r="E13" s="14" t="s">
        <v>7404</v>
      </c>
      <c r="F13" s="14" t="s">
        <v>7405</v>
      </c>
      <c r="G13" s="14" t="s">
        <v>7406</v>
      </c>
      <c r="H13" s="14" t="s">
        <v>7407</v>
      </c>
    </row>
    <row r="14" customFormat="false" ht="15" hidden="false" customHeight="true" outlineLevel="0" collapsed="false">
      <c r="A14" s="24" t="s">
        <v>104</v>
      </c>
      <c r="B14" s="32" t="s">
        <v>7408</v>
      </c>
      <c r="C14" s="39" t="n">
        <v>5</v>
      </c>
      <c r="D14" s="40" t="n">
        <f aca="false">SUMIF(Data_Transactions!G:G,A14,Data_Transactions!O:O)/1000000</f>
        <v>82.99238331</v>
      </c>
      <c r="E14" s="30" t="n">
        <f aca="false">Assumptions!B15</f>
        <v>0</v>
      </c>
      <c r="F14" s="31" t="n">
        <f aca="false">D14*E14*1000</f>
        <v>0</v>
      </c>
      <c r="G14" s="32" t="s">
        <v>7409</v>
      </c>
      <c r="H14" s="32" t="s">
        <v>747</v>
      </c>
    </row>
    <row r="15" customFormat="false" ht="15" hidden="false" customHeight="true" outlineLevel="0" collapsed="false">
      <c r="A15" s="15" t="s">
        <v>116</v>
      </c>
      <c r="B15" s="23" t="s">
        <v>7410</v>
      </c>
      <c r="C15" s="41" t="n">
        <v>1</v>
      </c>
      <c r="D15" s="42" t="n">
        <f aca="false">SUMIF(Data_Transactions!G:G,A15,Data_Transactions!O:O)/1000000</f>
        <v>102.25895738</v>
      </c>
      <c r="E15" s="21" t="n">
        <f aca="false">Assumptions!B16</f>
        <v>0</v>
      </c>
      <c r="F15" s="22" t="n">
        <f aca="false">D15*E15*1000</f>
        <v>0</v>
      </c>
      <c r="G15" s="23" t="s">
        <v>7409</v>
      </c>
      <c r="H15" s="23" t="s">
        <v>747</v>
      </c>
    </row>
    <row r="16" customFormat="false" ht="15" hidden="false" customHeight="true" outlineLevel="0" collapsed="false">
      <c r="A16" s="24" t="s">
        <v>76</v>
      </c>
      <c r="B16" s="32" t="s">
        <v>7410</v>
      </c>
      <c r="C16" s="39" t="n">
        <v>2.5</v>
      </c>
      <c r="D16" s="40" t="n">
        <f aca="false">SUMIF(Data_Transactions!G:G,A16,Data_Transactions!O:O)/1000000</f>
        <v>85.60714291</v>
      </c>
      <c r="E16" s="30" t="n">
        <f aca="false">Assumptions!B16</f>
        <v>0</v>
      </c>
      <c r="F16" s="31" t="n">
        <f aca="false">D16*E16*1000</f>
        <v>0</v>
      </c>
      <c r="G16" s="32" t="s">
        <v>7409</v>
      </c>
      <c r="H16" s="32" t="s">
        <v>747</v>
      </c>
    </row>
    <row r="17" customFormat="false" ht="15" hidden="false" customHeight="true" outlineLevel="0" collapsed="false">
      <c r="A17" s="15" t="s">
        <v>84</v>
      </c>
      <c r="B17" s="23" t="s">
        <v>7410</v>
      </c>
      <c r="C17" s="41" t="n">
        <v>2.5</v>
      </c>
      <c r="D17" s="42" t="n">
        <f aca="false">SUMIF(Data_Transactions!G:G,A17,Data_Transactions!O:O)/1000000</f>
        <v>73.96888893</v>
      </c>
      <c r="E17" s="21" t="n">
        <f aca="false">Assumptions!B16</f>
        <v>0</v>
      </c>
      <c r="F17" s="22" t="n">
        <f aca="false">D17*E17*1000</f>
        <v>0</v>
      </c>
      <c r="G17" s="23" t="s">
        <v>7409</v>
      </c>
      <c r="H17" s="23" t="s">
        <v>747</v>
      </c>
    </row>
    <row r="18" customFormat="false" ht="15" hidden="false" customHeight="true" outlineLevel="0" collapsed="false">
      <c r="A18" s="24" t="s">
        <v>34</v>
      </c>
      <c r="B18" s="32" t="s">
        <v>7411</v>
      </c>
      <c r="C18" s="39" t="n">
        <v>0.5</v>
      </c>
      <c r="D18" s="40" t="n">
        <f aca="false">SUMIF(Data_Transactions!G:G,A18,Data_Transactions!O:O)/1000000</f>
        <v>81.14169039</v>
      </c>
      <c r="E18" s="30" t="n">
        <f aca="false">Assumptions!B17</f>
        <v>0.05</v>
      </c>
      <c r="F18" s="31" t="n">
        <f aca="false">D18*E18*1000</f>
        <v>4057.0845195</v>
      </c>
      <c r="G18" s="32" t="s">
        <v>7412</v>
      </c>
      <c r="H18" s="32" t="s">
        <v>747</v>
      </c>
    </row>
    <row r="19" customFormat="false" ht="15" hidden="false" customHeight="true" outlineLevel="0" collapsed="false">
      <c r="A19" s="15" t="s">
        <v>49</v>
      </c>
      <c r="B19" s="23" t="s">
        <v>7408</v>
      </c>
      <c r="C19" s="41" t="n">
        <v>10</v>
      </c>
      <c r="D19" s="42" t="n">
        <f aca="false">SUMIF(Data_Transactions!G:G,A19,Data_Transactions!O:O)/1000000</f>
        <v>81.39650106</v>
      </c>
      <c r="E19" s="21" t="n">
        <f aca="false">Assumptions!B15</f>
        <v>0</v>
      </c>
      <c r="F19" s="22" t="n">
        <f aca="false">D19*E19*1000</f>
        <v>0</v>
      </c>
      <c r="G19" s="23" t="s">
        <v>7409</v>
      </c>
      <c r="H19" s="23" t="s">
        <v>747</v>
      </c>
    </row>
    <row r="20" customFormat="false" ht="15" hidden="false" customHeight="true" outlineLevel="0" collapsed="false">
      <c r="A20" s="24" t="s">
        <v>100</v>
      </c>
      <c r="B20" s="32" t="s">
        <v>7408</v>
      </c>
      <c r="C20" s="39" t="n">
        <v>10</v>
      </c>
      <c r="D20" s="40" t="n">
        <f aca="false">SUMIF(Data_Transactions!G:G,A20,Data_Transactions!O:O)/1000000</f>
        <v>87.08603629</v>
      </c>
      <c r="E20" s="30" t="n">
        <f aca="false">Assumptions!B15</f>
        <v>0</v>
      </c>
      <c r="F20" s="31" t="n">
        <f aca="false">D20*E20*1000</f>
        <v>0</v>
      </c>
      <c r="G20" s="32" t="s">
        <v>7409</v>
      </c>
      <c r="H20" s="32" t="s">
        <v>747</v>
      </c>
    </row>
    <row r="21" customFormat="false" ht="15" hidden="false" customHeight="true" outlineLevel="0" collapsed="false">
      <c r="A21" s="15" t="s">
        <v>55</v>
      </c>
      <c r="B21" s="23" t="s">
        <v>7411</v>
      </c>
      <c r="C21" s="41" t="n">
        <v>0.5</v>
      </c>
      <c r="D21" s="42" t="n">
        <f aca="false">SUMIF(Data_Transactions!G:G,A21,Data_Transactions!O:O)/1000000</f>
        <v>82.77539385</v>
      </c>
      <c r="E21" s="21" t="n">
        <f aca="false">Assumptions!B17</f>
        <v>0.05</v>
      </c>
      <c r="F21" s="22" t="n">
        <f aca="false">D21*E21*1000</f>
        <v>4138.7696925</v>
      </c>
      <c r="G21" s="23" t="s">
        <v>7409</v>
      </c>
      <c r="H21" s="23" t="s">
        <v>747</v>
      </c>
    </row>
    <row r="22" customFormat="false" ht="15" hidden="false" customHeight="true" outlineLevel="0" collapsed="false">
      <c r="A22" s="24" t="s">
        <v>63</v>
      </c>
      <c r="B22" s="32" t="s">
        <v>7408</v>
      </c>
      <c r="C22" s="39" t="n">
        <v>10</v>
      </c>
      <c r="D22" s="40" t="n">
        <f aca="false">SUMIF(Data_Transactions!G:G,A22,Data_Transactions!O:O)/1000000</f>
        <v>91.32599975</v>
      </c>
      <c r="E22" s="30" t="n">
        <f aca="false">Assumptions!B15</f>
        <v>0</v>
      </c>
      <c r="F22" s="31" t="n">
        <f aca="false">D22*E22*1000</f>
        <v>0</v>
      </c>
      <c r="G22" s="32" t="s">
        <v>7409</v>
      </c>
      <c r="H22" s="32" t="s">
        <v>747</v>
      </c>
    </row>
    <row r="23" customFormat="false" ht="15" hidden="false" customHeight="true" outlineLevel="0" collapsed="false">
      <c r="A23" s="15" t="s">
        <v>41</v>
      </c>
      <c r="B23" s="23" t="s">
        <v>7411</v>
      </c>
      <c r="C23" s="41" t="n">
        <v>0.5</v>
      </c>
      <c r="D23" s="42" t="n">
        <f aca="false">SUMIF(Data_Transactions!G:G,A23,Data_Transactions!O:O)/1000000</f>
        <v>90.60303481</v>
      </c>
      <c r="E23" s="21" t="n">
        <f aca="false">Assumptions!B17</f>
        <v>0.05</v>
      </c>
      <c r="F23" s="22" t="n">
        <f aca="false">D23*E23*1000</f>
        <v>4530.1517405</v>
      </c>
      <c r="G23" s="23" t="s">
        <v>7409</v>
      </c>
      <c r="H23" s="23" t="s">
        <v>747</v>
      </c>
    </row>
    <row r="24" customFormat="false" ht="15" hidden="false" customHeight="true" outlineLevel="0" collapsed="false">
      <c r="A24" s="24" t="s">
        <v>26</v>
      </c>
      <c r="B24" s="32" t="s">
        <v>7411</v>
      </c>
      <c r="C24" s="39" t="n">
        <v>0.5</v>
      </c>
      <c r="D24" s="40" t="n">
        <f aca="false">SUMIF(Data_Transactions!G:G,A24,Data_Transactions!O:O)/1000000</f>
        <v>81.7128462</v>
      </c>
      <c r="E24" s="30" t="n">
        <f aca="false">Assumptions!B17</f>
        <v>0.05</v>
      </c>
      <c r="F24" s="31" t="n">
        <f aca="false">D24*E24*1000</f>
        <v>4085.64231</v>
      </c>
      <c r="G24" s="32" t="s">
        <v>7409</v>
      </c>
      <c r="H24" s="32" t="s">
        <v>747</v>
      </c>
    </row>
    <row r="25" customFormat="false" ht="15" hidden="false" customHeight="true" outlineLevel="0" collapsed="false">
      <c r="A25" s="15" t="s">
        <v>71</v>
      </c>
      <c r="B25" s="23" t="s">
        <v>7408</v>
      </c>
      <c r="C25" s="41" t="n">
        <v>5</v>
      </c>
      <c r="D25" s="42" t="n">
        <f aca="false">SUMIF(Data_Transactions!G:G,A25,Data_Transactions!O:O)/1000000</f>
        <v>96.90770635</v>
      </c>
      <c r="E25" s="21" t="n">
        <f aca="false">Assumptions!B15</f>
        <v>0</v>
      </c>
      <c r="F25" s="22" t="n">
        <f aca="false">D25*E25*1000</f>
        <v>0</v>
      </c>
      <c r="G25" s="23" t="s">
        <v>7412</v>
      </c>
      <c r="H25" s="23" t="s">
        <v>747</v>
      </c>
    </row>
    <row r="27" customFormat="false" ht="25.5" hidden="false" customHeight="true" outlineLevel="0" collapsed="false">
      <c r="A27" s="13" t="s">
        <v>7413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31.5" hidden="false" customHeight="true" outlineLevel="0" collapsed="false">
      <c r="A28" s="14" t="s">
        <v>7414</v>
      </c>
      <c r="B28" s="14" t="s">
        <v>7389</v>
      </c>
      <c r="C28" s="14" t="s">
        <v>7390</v>
      </c>
      <c r="D28" s="14" t="s">
        <v>7391</v>
      </c>
      <c r="E28" s="14" t="s">
        <v>7392</v>
      </c>
      <c r="F28" s="14" t="s">
        <v>7393</v>
      </c>
      <c r="G28" s="14" t="s">
        <v>7415</v>
      </c>
      <c r="H28" s="14" t="s">
        <v>7416</v>
      </c>
    </row>
    <row r="29" customFormat="false" ht="15" hidden="false" customHeight="true" outlineLevel="0" collapsed="false">
      <c r="A29" s="43" t="s">
        <v>113</v>
      </c>
      <c r="B29" s="16" t="n">
        <f aca="false">COUNTIF(Data_Transactions!C:C,A29)</f>
        <v>407</v>
      </c>
      <c r="C29" s="17" t="n">
        <f aca="false">SUMIF(Data_Transactions!C:C,A29,Data_Transactions!O:O)/1000000</f>
        <v>84.27677619</v>
      </c>
      <c r="D29" s="18" t="n">
        <f aca="false">AVERAGEIF(Data_Transactions!C:C,A29,Data_Transactions!M:M)</f>
        <v>0.0956611793611794</v>
      </c>
      <c r="E29" s="18" t="n">
        <f aca="false">AVERAGEIF(Data_Transactions!C:C,A29,Data_Transactions!S:S)</f>
        <v>0.090677886977887</v>
      </c>
      <c r="F29" s="20" t="n">
        <f aca="false">D29-E29</f>
        <v>0.00498329238329238</v>
      </c>
      <c r="G29" s="18" t="n">
        <f aca="false">AVERAGEIF(Data_Transactions!C:C,A29,Data_Transactions!R:R)</f>
        <v>0.325798525798526</v>
      </c>
      <c r="H29" s="23" t="str">
        <f aca="false">IF(F29&lt;-0.005,"▲ Improving",IF(F29&gt;0.005,"▼ Worsening","→ Stable"))</f>
        <v>→ Stable</v>
      </c>
    </row>
    <row r="30" customFormat="false" ht="15" hidden="false" customHeight="true" outlineLevel="0" collapsed="false">
      <c r="A30" s="44" t="s">
        <v>53</v>
      </c>
      <c r="B30" s="25" t="n">
        <f aca="false">COUNTIF(Data_Transactions!C:C,A30)</f>
        <v>400</v>
      </c>
      <c r="C30" s="26" t="n">
        <f aca="false">SUMIF(Data_Transactions!C:C,A30,Data_Transactions!O:O)/1000000</f>
        <v>93.04237448</v>
      </c>
      <c r="D30" s="27" t="n">
        <f aca="false">AVERAGEIF(Data_Transactions!C:C,A30,Data_Transactions!M:M)</f>
        <v>0.09480675</v>
      </c>
      <c r="E30" s="27" t="n">
        <f aca="false">AVERAGEIF(Data_Transactions!C:C,A30,Data_Transactions!S:S)</f>
        <v>0.09046125</v>
      </c>
      <c r="F30" s="29" t="n">
        <f aca="false">D30-E30</f>
        <v>0.0043455</v>
      </c>
      <c r="G30" s="27" t="n">
        <f aca="false">AVERAGEIF(Data_Transactions!C:C,A30,Data_Transactions!R:R)</f>
        <v>0.3281745</v>
      </c>
      <c r="H30" s="32" t="str">
        <f aca="false">IF(F30&lt;-0.005,"▲ Improving",IF(F30&gt;0.005,"▼ Worsening","→ Stable"))</f>
        <v>→ Stable</v>
      </c>
    </row>
    <row r="31" customFormat="false" ht="15" hidden="false" customHeight="true" outlineLevel="0" collapsed="false">
      <c r="A31" s="43" t="s">
        <v>126</v>
      </c>
      <c r="B31" s="16" t="n">
        <f aca="false">COUNTIF(Data_Transactions!C:C,A31)</f>
        <v>422</v>
      </c>
      <c r="C31" s="17" t="n">
        <f aca="false">SUMIF(Data_Transactions!C:C,A31,Data_Transactions!O:O)/1000000</f>
        <v>93.44329283</v>
      </c>
      <c r="D31" s="18" t="n">
        <f aca="false">AVERAGEIF(Data_Transactions!C:C,A31,Data_Transactions!M:M)</f>
        <v>0.0911445497630332</v>
      </c>
      <c r="E31" s="18" t="n">
        <f aca="false">AVERAGEIF(Data_Transactions!C:C,A31,Data_Transactions!S:S)</f>
        <v>0.0862175355450237</v>
      </c>
      <c r="F31" s="20" t="n">
        <f aca="false">D31-E31</f>
        <v>0.00492701421800948</v>
      </c>
      <c r="G31" s="18" t="n">
        <f aca="false">AVERAGEIF(Data_Transactions!C:C,A31,Data_Transactions!R:R)</f>
        <v>0.326532464454976</v>
      </c>
      <c r="H31" s="23" t="str">
        <f aca="false">IF(F31&lt;-0.005,"▲ Improving",IF(F31&gt;0.005,"▼ Worsening","→ Stable"))</f>
        <v>→ Stable</v>
      </c>
    </row>
    <row r="32" customFormat="false" ht="15" hidden="false" customHeight="true" outlineLevel="0" collapsed="false">
      <c r="A32" s="44" t="s">
        <v>37</v>
      </c>
      <c r="B32" s="25" t="n">
        <f aca="false">COUNTIF(Data_Transactions!C:C,A32)</f>
        <v>397</v>
      </c>
      <c r="C32" s="26" t="n">
        <f aca="false">SUMIF(Data_Transactions!C:C,A32,Data_Transactions!O:O)/1000000</f>
        <v>81.46403941</v>
      </c>
      <c r="D32" s="27" t="n">
        <f aca="false">AVERAGEIF(Data_Transactions!C:C,A32,Data_Transactions!M:M)</f>
        <v>0.0970904282115869</v>
      </c>
      <c r="E32" s="27" t="n">
        <f aca="false">AVERAGEIF(Data_Transactions!C:C,A32,Data_Transactions!S:S)</f>
        <v>0.0927188916876574</v>
      </c>
      <c r="F32" s="29" t="n">
        <f aca="false">D32-E32</f>
        <v>0.00437153652392947</v>
      </c>
      <c r="G32" s="27" t="n">
        <f aca="false">AVERAGEIF(Data_Transactions!C:C,A32,Data_Transactions!R:R)</f>
        <v>0.326235516372796</v>
      </c>
      <c r="H32" s="32" t="str">
        <f aca="false">IF(F32&lt;-0.005,"▲ Improving",IF(F32&gt;0.005,"▼ Worsening","→ Stable"))</f>
        <v>→ Stable</v>
      </c>
    </row>
  </sheetData>
  <mergeCells count="4">
    <mergeCell ref="A1:K1"/>
    <mergeCell ref="A3:K3"/>
    <mergeCell ref="A12:K12"/>
    <mergeCell ref="A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18D"/>
    <pageSetUpPr fitToPage="false"/>
  </sheetPr>
  <dimension ref="A1:L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9" min="4" style="1" width="12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4"/>
  </cols>
  <sheetData>
    <row r="1" customFormat="false" ht="25.5" hidden="false" customHeight="true" outlineLevel="0" collapsed="false">
      <c r="A1" s="4" t="s">
        <v>7417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6" hidden="false" customHeight="true" outlineLevel="0" collapsed="false"/>
    <row r="3" customFormat="false" ht="25.5" hidden="false" customHeight="true" outlineLevel="0" collapsed="false">
      <c r="A3" s="13" t="s">
        <v>7418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customFormat="false" ht="31.5" hidden="false" customHeight="true" outlineLevel="0" collapsed="false">
      <c r="A4" s="14" t="s">
        <v>7419</v>
      </c>
      <c r="B4" s="14" t="s">
        <v>7420</v>
      </c>
      <c r="C4" s="14" t="s">
        <v>7421</v>
      </c>
      <c r="D4" s="14" t="s">
        <v>7422</v>
      </c>
      <c r="E4" s="14" t="s">
        <v>7423</v>
      </c>
      <c r="F4" s="14" t="s">
        <v>7424</v>
      </c>
      <c r="G4" s="14" t="s">
        <v>7425</v>
      </c>
      <c r="H4" s="14" t="s">
        <v>7426</v>
      </c>
    </row>
    <row r="5" customFormat="false" ht="15" hidden="false" customHeight="true" outlineLevel="0" collapsed="false">
      <c r="A5" s="24" t="s">
        <v>7427</v>
      </c>
      <c r="B5" s="30" t="n">
        <f aca="false">Assumptions!B6*0.6</f>
        <v>0.108</v>
      </c>
      <c r="C5" s="45" t="n">
        <f aca="false">2385449*(1-B5)</f>
        <v>2127820.508</v>
      </c>
      <c r="D5" s="45" t="n">
        <f aca="false">C5*0.62</f>
        <v>1319248.71496</v>
      </c>
      <c r="E5" s="45" t="n">
        <f aca="false">C5-D5</f>
        <v>808571.79304</v>
      </c>
      <c r="F5" s="27" t="n">
        <f aca="false">IFERROR(E5/C5,0)</f>
        <v>0.38</v>
      </c>
      <c r="G5" s="46" t="n">
        <f aca="false">E5-E6</f>
        <v>29007.05984</v>
      </c>
      <c r="H5" s="32" t="str">
        <f aca="false">IF(AND(F5&gt;0.32,B5&lt;Assumptions!B24/10),"✓ Auto-Approve","⚠ Escalate")</f>
        <v>⚠ Escalate</v>
      </c>
    </row>
    <row r="6" customFormat="false" ht="15" hidden="false" customHeight="true" outlineLevel="0" collapsed="false">
      <c r="A6" s="47" t="s">
        <v>7428</v>
      </c>
      <c r="B6" s="21" t="n">
        <f aca="false">Assumptions!B7</f>
        <v>0.14</v>
      </c>
      <c r="C6" s="48" t="n">
        <f aca="false">2385449*(1-B6)</f>
        <v>2051486.14</v>
      </c>
      <c r="D6" s="48" t="n">
        <f aca="false">C6*0.62</f>
        <v>1271921.4068</v>
      </c>
      <c r="E6" s="49" t="n">
        <f aca="false">C6-D6</f>
        <v>779564.7332</v>
      </c>
      <c r="F6" s="50" t="n">
        <f aca="false">IFERROR(E6/C6,0)</f>
        <v>0.38</v>
      </c>
      <c r="G6" s="23" t="s">
        <v>7429</v>
      </c>
      <c r="H6" s="23" t="str">
        <f aca="false">IF(AND(F6&gt;0.32,B6&lt;Assumptions!B24/10),"✓ Auto-Approve","⚠ Escalate")</f>
        <v>⚠ Escalate</v>
      </c>
    </row>
    <row r="7" customFormat="false" ht="15" hidden="false" customHeight="true" outlineLevel="0" collapsed="false">
      <c r="A7" s="24" t="s">
        <v>7430</v>
      </c>
      <c r="B7" s="30" t="n">
        <f aca="false">Assumptions!B5</f>
        <v>0.22</v>
      </c>
      <c r="C7" s="45" t="n">
        <f aca="false">2385449*(1-B7)</f>
        <v>1860650.22</v>
      </c>
      <c r="D7" s="45" t="n">
        <f aca="false">C7*0.62</f>
        <v>1153603.1364</v>
      </c>
      <c r="E7" s="45" t="n">
        <f aca="false">C7-D7</f>
        <v>707047.0836</v>
      </c>
      <c r="F7" s="27" t="n">
        <f aca="false">IFERROR(E7/C7,0)</f>
        <v>0.38</v>
      </c>
      <c r="G7" s="46" t="n">
        <f aca="false">E7-E6</f>
        <v>-72517.6495999999</v>
      </c>
      <c r="H7" s="32" t="str">
        <f aca="false">IF(AND(F7&gt;0.32,B7&lt;Assumptions!B24/10),"✓ Auto-Approve","⚠ Escalate")</f>
        <v>⚠ Escalate</v>
      </c>
    </row>
    <row r="8" customFormat="false" ht="15" hidden="false" customHeight="true" outlineLevel="0" collapsed="false">
      <c r="A8" s="15" t="s">
        <v>7431</v>
      </c>
      <c r="B8" s="21" t="n">
        <f aca="false">Assumptions!B4</f>
        <v>0.3</v>
      </c>
      <c r="C8" s="48" t="n">
        <f aca="false">2385449*(1-B8)</f>
        <v>1669814.3</v>
      </c>
      <c r="D8" s="48" t="n">
        <f aca="false">C8*0.62</f>
        <v>1035284.866</v>
      </c>
      <c r="E8" s="48" t="n">
        <f aca="false">C8-D8</f>
        <v>634529.434</v>
      </c>
      <c r="F8" s="18" t="n">
        <f aca="false">IFERROR(E8/C8,0)</f>
        <v>0.38</v>
      </c>
      <c r="G8" s="51" t="n">
        <f aca="false">E8-E6</f>
        <v>-145035.2992</v>
      </c>
      <c r="H8" s="23" t="str">
        <f aca="false">IF(AND(F8&gt;0.32,B8&lt;Assumptions!B24/10),"✓ Auto-Approve","⚠ Escalate")</f>
        <v>⚠ Escalate</v>
      </c>
    </row>
    <row r="10" customFormat="false" ht="25.5" hidden="false" customHeight="true" outlineLevel="0" collapsed="false">
      <c r="A10" s="13" t="s">
        <v>7432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customFormat="false" ht="31.5" hidden="false" customHeight="true" outlineLevel="0" collapsed="false">
      <c r="A11" s="14" t="s">
        <v>7433</v>
      </c>
      <c r="B11" s="14" t="s">
        <v>7434</v>
      </c>
      <c r="C11" s="14" t="s">
        <v>7388</v>
      </c>
      <c r="D11" s="14" t="s">
        <v>7435</v>
      </c>
      <c r="E11" s="14" t="s">
        <v>7436</v>
      </c>
      <c r="F11" s="14" t="s">
        <v>7437</v>
      </c>
      <c r="G11" s="14" t="s">
        <v>7438</v>
      </c>
      <c r="H11" s="14" t="s">
        <v>7439</v>
      </c>
      <c r="I11" s="14" t="s">
        <v>7424</v>
      </c>
      <c r="J11" s="14" t="s">
        <v>7440</v>
      </c>
      <c r="K11" s="14" t="s">
        <v>7441</v>
      </c>
      <c r="L11" s="14" t="s">
        <v>7442</v>
      </c>
    </row>
    <row r="12" customFormat="false" ht="15" hidden="false" customHeight="true" outlineLevel="0" collapsed="false">
      <c r="A12" s="52" t="s">
        <v>6698</v>
      </c>
      <c r="B12" s="52" t="s">
        <v>6009</v>
      </c>
      <c r="C12" s="53" t="s">
        <v>77</v>
      </c>
      <c r="D12" s="52" t="s">
        <v>39</v>
      </c>
      <c r="E12" s="52" t="s">
        <v>25</v>
      </c>
      <c r="F12" s="54" t="n">
        <v>1294228.08</v>
      </c>
      <c r="G12" s="55" t="n">
        <v>0.0879</v>
      </c>
      <c r="H12" s="56" t="n">
        <v>1180465.43</v>
      </c>
      <c r="I12" s="55" t="n">
        <v>0.4285</v>
      </c>
      <c r="J12" s="57" t="n">
        <v>8.9</v>
      </c>
      <c r="K12" s="58" t="s">
        <v>5997</v>
      </c>
      <c r="L12" s="53" t="s">
        <v>116</v>
      </c>
    </row>
    <row r="13" customFormat="false" ht="15" hidden="false" customHeight="true" outlineLevel="0" collapsed="false">
      <c r="A13" s="52" t="s">
        <v>7134</v>
      </c>
      <c r="B13" s="52" t="s">
        <v>5999</v>
      </c>
      <c r="C13" s="53" t="s">
        <v>56</v>
      </c>
      <c r="D13" s="52" t="s">
        <v>24</v>
      </c>
      <c r="E13" s="52" t="s">
        <v>25</v>
      </c>
      <c r="F13" s="54" t="n">
        <v>4058196.77</v>
      </c>
      <c r="G13" s="55" t="n">
        <v>0.0737</v>
      </c>
      <c r="H13" s="56" t="n">
        <v>3759107.67</v>
      </c>
      <c r="I13" s="55" t="n">
        <v>0.4519</v>
      </c>
      <c r="J13" s="57" t="n">
        <v>8.7</v>
      </c>
      <c r="K13" s="58" t="s">
        <v>5997</v>
      </c>
      <c r="L13" s="53" t="s">
        <v>104</v>
      </c>
    </row>
    <row r="14" customFormat="false" ht="15" hidden="false" customHeight="true" outlineLevel="0" collapsed="false">
      <c r="A14" s="52" t="s">
        <v>7130</v>
      </c>
      <c r="B14" s="52" t="s">
        <v>5992</v>
      </c>
      <c r="C14" s="53" t="s">
        <v>56</v>
      </c>
      <c r="D14" s="52" t="s">
        <v>33</v>
      </c>
      <c r="E14" s="52" t="s">
        <v>25</v>
      </c>
      <c r="F14" s="54" t="n">
        <v>833245.9</v>
      </c>
      <c r="G14" s="55" t="n">
        <v>0.0543</v>
      </c>
      <c r="H14" s="56" t="n">
        <v>788000.65</v>
      </c>
      <c r="I14" s="55" t="n">
        <v>0.4703</v>
      </c>
      <c r="J14" s="57" t="n">
        <v>8.7</v>
      </c>
      <c r="K14" s="58" t="s">
        <v>5997</v>
      </c>
      <c r="L14" s="53" t="s">
        <v>116</v>
      </c>
    </row>
    <row r="15" customFormat="false" ht="15" hidden="false" customHeight="true" outlineLevel="0" collapsed="false">
      <c r="A15" s="52" t="s">
        <v>7287</v>
      </c>
      <c r="B15" s="52" t="s">
        <v>5992</v>
      </c>
      <c r="C15" s="53" t="s">
        <v>77</v>
      </c>
      <c r="D15" s="52" t="s">
        <v>33</v>
      </c>
      <c r="E15" s="52" t="s">
        <v>70</v>
      </c>
      <c r="F15" s="54" t="n">
        <v>918305.14</v>
      </c>
      <c r="G15" s="55" t="n">
        <v>0.1061</v>
      </c>
      <c r="H15" s="56" t="n">
        <v>820872.96</v>
      </c>
      <c r="I15" s="55" t="n">
        <v>0.4538</v>
      </c>
      <c r="J15" s="57" t="n">
        <v>8.6</v>
      </c>
      <c r="K15" s="58" t="s">
        <v>5997</v>
      </c>
      <c r="L15" s="53" t="s">
        <v>49</v>
      </c>
    </row>
    <row r="16" customFormat="false" ht="15" hidden="false" customHeight="true" outlineLevel="0" collapsed="false">
      <c r="A16" s="52" t="s">
        <v>6345</v>
      </c>
      <c r="B16" s="52" t="s">
        <v>5996</v>
      </c>
      <c r="C16" s="53" t="s">
        <v>56</v>
      </c>
      <c r="D16" s="52" t="s">
        <v>39</v>
      </c>
      <c r="E16" s="52" t="s">
        <v>40</v>
      </c>
      <c r="F16" s="54" t="n">
        <v>450853.65</v>
      </c>
      <c r="G16" s="55" t="n">
        <v>0.0515</v>
      </c>
      <c r="H16" s="56" t="n">
        <v>427634.69</v>
      </c>
      <c r="I16" s="55" t="n">
        <v>0.4584</v>
      </c>
      <c r="J16" s="57" t="n">
        <v>8.5</v>
      </c>
      <c r="K16" s="58" t="s">
        <v>5997</v>
      </c>
      <c r="L16" s="53" t="s">
        <v>84</v>
      </c>
    </row>
    <row r="17" customFormat="false" ht="15" hidden="false" customHeight="true" outlineLevel="0" collapsed="false">
      <c r="A17" s="52" t="s">
        <v>7060</v>
      </c>
      <c r="B17" s="52" t="s">
        <v>6009</v>
      </c>
      <c r="C17" s="53" t="s">
        <v>42</v>
      </c>
      <c r="D17" s="52" t="s">
        <v>48</v>
      </c>
      <c r="E17" s="52" t="s">
        <v>40</v>
      </c>
      <c r="F17" s="54" t="n">
        <v>2126849.53</v>
      </c>
      <c r="G17" s="55" t="n">
        <v>0.0871</v>
      </c>
      <c r="H17" s="56" t="n">
        <v>1941600.94</v>
      </c>
      <c r="I17" s="55" t="n">
        <v>0.4257</v>
      </c>
      <c r="J17" s="57" t="n">
        <v>8.5</v>
      </c>
      <c r="K17" s="58" t="s">
        <v>5997</v>
      </c>
      <c r="L17" s="53" t="s">
        <v>55</v>
      </c>
    </row>
    <row r="18" customFormat="false" ht="15" hidden="false" customHeight="true" outlineLevel="0" collapsed="false">
      <c r="A18" s="52" t="s">
        <v>6097</v>
      </c>
      <c r="B18" s="52" t="s">
        <v>5989</v>
      </c>
      <c r="C18" s="53" t="s">
        <v>64</v>
      </c>
      <c r="D18" s="52" t="s">
        <v>39</v>
      </c>
      <c r="E18" s="52" t="s">
        <v>25</v>
      </c>
      <c r="F18" s="54" t="n">
        <v>3508412.15</v>
      </c>
      <c r="G18" s="55" t="n">
        <v>0.074</v>
      </c>
      <c r="H18" s="56" t="n">
        <v>3248789.65</v>
      </c>
      <c r="I18" s="55" t="n">
        <v>0.4391</v>
      </c>
      <c r="J18" s="57" t="n">
        <v>8.5</v>
      </c>
      <c r="K18" s="58" t="s">
        <v>5997</v>
      </c>
      <c r="L18" s="53" t="s">
        <v>76</v>
      </c>
    </row>
    <row r="19" customFormat="false" ht="15" hidden="false" customHeight="true" outlineLevel="0" collapsed="false">
      <c r="A19" s="52" t="s">
        <v>6389</v>
      </c>
      <c r="B19" s="52" t="s">
        <v>5996</v>
      </c>
      <c r="C19" s="53" t="s">
        <v>42</v>
      </c>
      <c r="D19" s="52" t="s">
        <v>24</v>
      </c>
      <c r="E19" s="52" t="s">
        <v>25</v>
      </c>
      <c r="F19" s="54" t="n">
        <v>4466937.4</v>
      </c>
      <c r="G19" s="55" t="n">
        <v>0.0758</v>
      </c>
      <c r="H19" s="56" t="n">
        <v>4128343.55</v>
      </c>
      <c r="I19" s="55" t="n">
        <v>0.4579</v>
      </c>
      <c r="J19" s="57" t="n">
        <v>8.5</v>
      </c>
      <c r="K19" s="58" t="s">
        <v>5997</v>
      </c>
      <c r="L19" s="53" t="s">
        <v>71</v>
      </c>
    </row>
    <row r="20" customFormat="false" ht="15" hidden="false" customHeight="true" outlineLevel="0" collapsed="false">
      <c r="A20" s="52" t="s">
        <v>7187</v>
      </c>
      <c r="B20" s="52" t="s">
        <v>5999</v>
      </c>
      <c r="C20" s="53" t="s">
        <v>77</v>
      </c>
      <c r="D20" s="52" t="s">
        <v>48</v>
      </c>
      <c r="E20" s="52" t="s">
        <v>62</v>
      </c>
      <c r="F20" s="54" t="n">
        <v>1815291.85</v>
      </c>
      <c r="G20" s="55" t="n">
        <v>0.0879</v>
      </c>
      <c r="H20" s="56" t="n">
        <v>1655727.7</v>
      </c>
      <c r="I20" s="55" t="n">
        <v>0.4286</v>
      </c>
      <c r="J20" s="57" t="n">
        <v>8.5</v>
      </c>
      <c r="K20" s="58" t="s">
        <v>5997</v>
      </c>
      <c r="L20" s="53" t="s">
        <v>26</v>
      </c>
    </row>
    <row r="21" customFormat="false" ht="15" hidden="false" customHeight="true" outlineLevel="0" collapsed="false">
      <c r="A21" s="52" t="s">
        <v>7102</v>
      </c>
      <c r="B21" s="52" t="s">
        <v>5999</v>
      </c>
      <c r="C21" s="53" t="s">
        <v>27</v>
      </c>
      <c r="D21" s="52" t="s">
        <v>33</v>
      </c>
      <c r="E21" s="52" t="s">
        <v>70</v>
      </c>
      <c r="F21" s="54" t="n">
        <v>2485502.96</v>
      </c>
      <c r="G21" s="55" t="n">
        <v>0.0868</v>
      </c>
      <c r="H21" s="56" t="n">
        <v>2269761.3</v>
      </c>
      <c r="I21" s="55" t="n">
        <v>0.4223</v>
      </c>
      <c r="J21" s="57" t="n">
        <v>8.4</v>
      </c>
      <c r="K21" s="58" t="s">
        <v>5997</v>
      </c>
      <c r="L21" s="53" t="s">
        <v>41</v>
      </c>
    </row>
    <row r="22" customFormat="false" ht="15" hidden="false" customHeight="true" outlineLevel="0" collapsed="false">
      <c r="A22" s="52" t="s">
        <v>6371</v>
      </c>
      <c r="B22" s="52" t="s">
        <v>5989</v>
      </c>
      <c r="C22" s="53" t="s">
        <v>42</v>
      </c>
      <c r="D22" s="52" t="s">
        <v>24</v>
      </c>
      <c r="E22" s="52" t="s">
        <v>62</v>
      </c>
      <c r="F22" s="54" t="n">
        <v>2993371.06</v>
      </c>
      <c r="G22" s="55" t="n">
        <v>0.0927</v>
      </c>
      <c r="H22" s="56" t="n">
        <v>2715885.56</v>
      </c>
      <c r="I22" s="55" t="n">
        <v>0.432</v>
      </c>
      <c r="J22" s="57" t="n">
        <v>8.4</v>
      </c>
      <c r="K22" s="58" t="s">
        <v>5997</v>
      </c>
      <c r="L22" s="53" t="s">
        <v>41</v>
      </c>
    </row>
    <row r="23" customFormat="false" ht="15" hidden="false" customHeight="true" outlineLevel="0" collapsed="false">
      <c r="A23" s="52" t="s">
        <v>6727</v>
      </c>
      <c r="B23" s="52" t="s">
        <v>5989</v>
      </c>
      <c r="C23" s="53" t="s">
        <v>42</v>
      </c>
      <c r="D23" s="52" t="s">
        <v>48</v>
      </c>
      <c r="E23" s="52" t="s">
        <v>40</v>
      </c>
      <c r="F23" s="54" t="n">
        <v>512271.68</v>
      </c>
      <c r="G23" s="55" t="n">
        <v>0.0557</v>
      </c>
      <c r="H23" s="56" t="n">
        <v>483738.15</v>
      </c>
      <c r="I23" s="55" t="n">
        <v>0.3317</v>
      </c>
      <c r="J23" s="57" t="n">
        <v>8.3</v>
      </c>
      <c r="K23" s="58" t="s">
        <v>5997</v>
      </c>
      <c r="L23" s="53" t="s">
        <v>41</v>
      </c>
    </row>
    <row r="24" customFormat="false" ht="15" hidden="false" customHeight="true" outlineLevel="0" collapsed="false">
      <c r="A24" s="52" t="s">
        <v>7202</v>
      </c>
      <c r="B24" s="52" t="s">
        <v>6003</v>
      </c>
      <c r="C24" s="53" t="s">
        <v>64</v>
      </c>
      <c r="D24" s="52" t="s">
        <v>48</v>
      </c>
      <c r="E24" s="52" t="s">
        <v>40</v>
      </c>
      <c r="F24" s="54" t="n">
        <v>695813.56</v>
      </c>
      <c r="G24" s="55" t="n">
        <v>0.1231</v>
      </c>
      <c r="H24" s="56" t="n">
        <v>610158.91</v>
      </c>
      <c r="I24" s="55" t="n">
        <v>0.4443</v>
      </c>
      <c r="J24" s="57" t="n">
        <v>8.3</v>
      </c>
      <c r="K24" s="58" t="s">
        <v>5997</v>
      </c>
      <c r="L24" s="53" t="s">
        <v>104</v>
      </c>
    </row>
    <row r="25" customFormat="false" ht="15" hidden="false" customHeight="true" outlineLevel="0" collapsed="false">
      <c r="A25" s="52" t="s">
        <v>7166</v>
      </c>
      <c r="B25" s="52" t="s">
        <v>5999</v>
      </c>
      <c r="C25" s="53" t="s">
        <v>77</v>
      </c>
      <c r="D25" s="52" t="s">
        <v>39</v>
      </c>
      <c r="E25" s="52" t="s">
        <v>70</v>
      </c>
      <c r="F25" s="54" t="n">
        <v>2766149</v>
      </c>
      <c r="G25" s="55" t="n">
        <v>0.1196</v>
      </c>
      <c r="H25" s="56" t="n">
        <v>2435317.58</v>
      </c>
      <c r="I25" s="55" t="n">
        <v>0.4624</v>
      </c>
      <c r="J25" s="57" t="n">
        <v>8.3</v>
      </c>
      <c r="K25" s="58" t="s">
        <v>5997</v>
      </c>
      <c r="L25" s="53" t="s">
        <v>63</v>
      </c>
    </row>
    <row r="26" customFormat="false" ht="15" hidden="false" customHeight="true" outlineLevel="0" collapsed="false">
      <c r="A26" s="52" t="s">
        <v>7167</v>
      </c>
      <c r="B26" s="52" t="s">
        <v>5996</v>
      </c>
      <c r="C26" s="53" t="s">
        <v>56</v>
      </c>
      <c r="D26" s="52" t="s">
        <v>33</v>
      </c>
      <c r="E26" s="52" t="s">
        <v>62</v>
      </c>
      <c r="F26" s="54" t="n">
        <v>4137593.73</v>
      </c>
      <c r="G26" s="55" t="n">
        <v>0.0512</v>
      </c>
      <c r="H26" s="56" t="n">
        <v>3925748.93</v>
      </c>
      <c r="I26" s="55" t="n">
        <v>0.398</v>
      </c>
      <c r="J26" s="57" t="n">
        <v>8.3</v>
      </c>
      <c r="K26" s="58" t="s">
        <v>5997</v>
      </c>
      <c r="L26" s="53" t="s">
        <v>104</v>
      </c>
    </row>
    <row r="27" customFormat="false" ht="15" hidden="false" customHeight="true" outlineLevel="0" collapsed="false">
      <c r="A27" s="52" t="s">
        <v>6547</v>
      </c>
      <c r="B27" s="52" t="s">
        <v>5999</v>
      </c>
      <c r="C27" s="53" t="s">
        <v>27</v>
      </c>
      <c r="D27" s="52" t="s">
        <v>33</v>
      </c>
      <c r="E27" s="52" t="s">
        <v>70</v>
      </c>
      <c r="F27" s="54" t="n">
        <v>4282063.01</v>
      </c>
      <c r="G27" s="55" t="n">
        <v>0.0802</v>
      </c>
      <c r="H27" s="56" t="n">
        <v>3938641.56</v>
      </c>
      <c r="I27" s="55" t="n">
        <v>0.4373</v>
      </c>
      <c r="J27" s="57" t="n">
        <v>8.3</v>
      </c>
      <c r="K27" s="58" t="s">
        <v>5997</v>
      </c>
      <c r="L27" s="53" t="s">
        <v>63</v>
      </c>
    </row>
    <row r="28" customFormat="false" ht="15" hidden="false" customHeight="true" outlineLevel="0" collapsed="false">
      <c r="A28" s="52" t="s">
        <v>7045</v>
      </c>
      <c r="B28" s="52" t="s">
        <v>5989</v>
      </c>
      <c r="C28" s="53" t="s">
        <v>64</v>
      </c>
      <c r="D28" s="52" t="s">
        <v>39</v>
      </c>
      <c r="E28" s="52" t="s">
        <v>25</v>
      </c>
      <c r="F28" s="54" t="n">
        <v>1110848.71</v>
      </c>
      <c r="G28" s="55" t="n">
        <v>0.0702</v>
      </c>
      <c r="H28" s="56" t="n">
        <v>1032867.13</v>
      </c>
      <c r="I28" s="55" t="n">
        <v>0.47</v>
      </c>
      <c r="J28" s="57" t="n">
        <v>8.3</v>
      </c>
      <c r="K28" s="58" t="s">
        <v>5997</v>
      </c>
      <c r="L28" s="53" t="s">
        <v>26</v>
      </c>
    </row>
    <row r="29" customFormat="false" ht="15" hidden="false" customHeight="true" outlineLevel="0" collapsed="false">
      <c r="A29" s="52" t="s">
        <v>6098</v>
      </c>
      <c r="B29" s="52" t="s">
        <v>5989</v>
      </c>
      <c r="C29" s="53" t="s">
        <v>64</v>
      </c>
      <c r="D29" s="52" t="s">
        <v>48</v>
      </c>
      <c r="E29" s="52" t="s">
        <v>25</v>
      </c>
      <c r="F29" s="54" t="n">
        <v>1152319.91</v>
      </c>
      <c r="G29" s="55" t="n">
        <v>0.0548</v>
      </c>
      <c r="H29" s="56" t="n">
        <v>1089172.78</v>
      </c>
      <c r="I29" s="55" t="n">
        <v>0.3959</v>
      </c>
      <c r="J29" s="57" t="n">
        <v>8.3</v>
      </c>
      <c r="K29" s="58" t="s">
        <v>5997</v>
      </c>
      <c r="L29" s="53" t="s">
        <v>84</v>
      </c>
    </row>
    <row r="30" customFormat="false" ht="15" hidden="false" customHeight="true" outlineLevel="0" collapsed="false">
      <c r="A30" s="52" t="s">
        <v>6641</v>
      </c>
      <c r="B30" s="52" t="s">
        <v>5992</v>
      </c>
      <c r="C30" s="53" t="s">
        <v>42</v>
      </c>
      <c r="D30" s="52" t="s">
        <v>24</v>
      </c>
      <c r="E30" s="52" t="s">
        <v>25</v>
      </c>
      <c r="F30" s="54" t="n">
        <v>1912723.23</v>
      </c>
      <c r="G30" s="55" t="n">
        <v>0.1104</v>
      </c>
      <c r="H30" s="56" t="n">
        <v>1701558.59</v>
      </c>
      <c r="I30" s="55" t="n">
        <v>0.412</v>
      </c>
      <c r="J30" s="57" t="n">
        <v>8.2</v>
      </c>
      <c r="K30" s="58" t="s">
        <v>5997</v>
      </c>
      <c r="L30" s="53" t="s">
        <v>41</v>
      </c>
    </row>
    <row r="31" customFormat="false" ht="15" hidden="false" customHeight="true" outlineLevel="0" collapsed="false">
      <c r="A31" s="52" t="s">
        <v>7291</v>
      </c>
      <c r="B31" s="52" t="s">
        <v>5996</v>
      </c>
      <c r="C31" s="53" t="s">
        <v>77</v>
      </c>
      <c r="D31" s="52" t="s">
        <v>48</v>
      </c>
      <c r="E31" s="52" t="s">
        <v>62</v>
      </c>
      <c r="F31" s="54" t="n">
        <v>2569196.25</v>
      </c>
      <c r="G31" s="55" t="n">
        <v>0.1188</v>
      </c>
      <c r="H31" s="56" t="n">
        <v>2263975.74</v>
      </c>
      <c r="I31" s="55" t="n">
        <v>0.4747</v>
      </c>
      <c r="J31" s="57" t="n">
        <v>8.2</v>
      </c>
      <c r="K31" s="58" t="s">
        <v>5997</v>
      </c>
      <c r="L31" s="53" t="s">
        <v>116</v>
      </c>
    </row>
    <row r="32" customFormat="false" ht="15" hidden="false" customHeight="true" outlineLevel="0" collapsed="false">
      <c r="A32" s="52" t="s">
        <v>6406</v>
      </c>
      <c r="B32" s="52" t="s">
        <v>5999</v>
      </c>
      <c r="C32" s="53" t="s">
        <v>27</v>
      </c>
      <c r="D32" s="52" t="s">
        <v>48</v>
      </c>
      <c r="E32" s="52" t="s">
        <v>40</v>
      </c>
      <c r="F32" s="54" t="n">
        <v>418189.61</v>
      </c>
      <c r="G32" s="55" t="n">
        <v>0.0864</v>
      </c>
      <c r="H32" s="56" t="n">
        <v>382058.03</v>
      </c>
      <c r="I32" s="55" t="n">
        <v>0.3923</v>
      </c>
      <c r="J32" s="57" t="n">
        <v>8.2</v>
      </c>
      <c r="K32" s="58" t="s">
        <v>5997</v>
      </c>
      <c r="L32" s="53" t="s">
        <v>34</v>
      </c>
    </row>
    <row r="33" customFormat="false" ht="15" hidden="false" customHeight="true" outlineLevel="0" collapsed="false">
      <c r="A33" s="52" t="s">
        <v>6189</v>
      </c>
      <c r="B33" s="52" t="s">
        <v>5999</v>
      </c>
      <c r="C33" s="53" t="s">
        <v>56</v>
      </c>
      <c r="D33" s="52" t="s">
        <v>39</v>
      </c>
      <c r="E33" s="52" t="s">
        <v>40</v>
      </c>
      <c r="F33" s="54" t="n">
        <v>2398862.53</v>
      </c>
      <c r="G33" s="55" t="n">
        <v>0.0686</v>
      </c>
      <c r="H33" s="56" t="n">
        <v>2234300.56</v>
      </c>
      <c r="I33" s="55" t="n">
        <v>0.3974</v>
      </c>
      <c r="J33" s="57" t="n">
        <v>8.2</v>
      </c>
      <c r="K33" s="58" t="s">
        <v>5997</v>
      </c>
      <c r="L33" s="53" t="s">
        <v>63</v>
      </c>
    </row>
    <row r="34" customFormat="false" ht="15" hidden="false" customHeight="true" outlineLevel="0" collapsed="false">
      <c r="A34" s="52" t="s">
        <v>6274</v>
      </c>
      <c r="B34" s="52" t="s">
        <v>6003</v>
      </c>
      <c r="C34" s="53" t="s">
        <v>64</v>
      </c>
      <c r="D34" s="52" t="s">
        <v>39</v>
      </c>
      <c r="E34" s="52" t="s">
        <v>25</v>
      </c>
      <c r="F34" s="54" t="n">
        <v>1613291.3</v>
      </c>
      <c r="G34" s="55" t="n">
        <v>0.1035</v>
      </c>
      <c r="H34" s="56" t="n">
        <v>1446315.65</v>
      </c>
      <c r="I34" s="55" t="n">
        <v>0.4271</v>
      </c>
      <c r="J34" s="57" t="n">
        <v>8.2</v>
      </c>
      <c r="K34" s="58" t="s">
        <v>5997</v>
      </c>
      <c r="L34" s="53" t="s">
        <v>100</v>
      </c>
    </row>
    <row r="35" customFormat="false" ht="15" hidden="false" customHeight="true" outlineLevel="0" collapsed="false">
      <c r="A35" s="52" t="s">
        <v>7156</v>
      </c>
      <c r="B35" s="52" t="s">
        <v>6009</v>
      </c>
      <c r="C35" s="53" t="s">
        <v>56</v>
      </c>
      <c r="D35" s="52" t="s">
        <v>33</v>
      </c>
      <c r="E35" s="52" t="s">
        <v>25</v>
      </c>
      <c r="F35" s="54" t="n">
        <v>467103.52</v>
      </c>
      <c r="G35" s="55" t="n">
        <v>0.0967</v>
      </c>
      <c r="H35" s="56" t="n">
        <v>421934.61</v>
      </c>
      <c r="I35" s="55" t="n">
        <v>0.3508</v>
      </c>
      <c r="J35" s="57" t="n">
        <v>8.2</v>
      </c>
      <c r="K35" s="58" t="s">
        <v>5997</v>
      </c>
      <c r="L35" s="53" t="s">
        <v>116</v>
      </c>
    </row>
    <row r="36" customFormat="false" ht="15" hidden="false" customHeight="true" outlineLevel="0" collapsed="false">
      <c r="A36" s="52" t="s">
        <v>6038</v>
      </c>
      <c r="B36" s="52" t="s">
        <v>6009</v>
      </c>
      <c r="C36" s="53" t="s">
        <v>64</v>
      </c>
      <c r="D36" s="52" t="s">
        <v>24</v>
      </c>
      <c r="E36" s="52" t="s">
        <v>40</v>
      </c>
      <c r="F36" s="54" t="n">
        <v>4466577.41</v>
      </c>
      <c r="G36" s="55" t="n">
        <v>0.1376</v>
      </c>
      <c r="H36" s="56" t="n">
        <v>3851976.36</v>
      </c>
      <c r="I36" s="55" t="n">
        <v>0.4566</v>
      </c>
      <c r="J36" s="57" t="n">
        <v>8.2</v>
      </c>
      <c r="K36" s="58" t="s">
        <v>5997</v>
      </c>
      <c r="L36" s="53" t="s">
        <v>71</v>
      </c>
    </row>
    <row r="37" customFormat="false" ht="15" hidden="false" customHeight="true" outlineLevel="0" collapsed="false">
      <c r="A37" s="52" t="s">
        <v>6148</v>
      </c>
      <c r="B37" s="52" t="s">
        <v>5996</v>
      </c>
      <c r="C37" s="53" t="s">
        <v>27</v>
      </c>
      <c r="D37" s="52" t="s">
        <v>39</v>
      </c>
      <c r="E37" s="52" t="s">
        <v>70</v>
      </c>
      <c r="F37" s="54" t="n">
        <v>2278028.45</v>
      </c>
      <c r="G37" s="55" t="n">
        <v>0.0966</v>
      </c>
      <c r="H37" s="56" t="n">
        <v>2057970.9</v>
      </c>
      <c r="I37" s="55" t="n">
        <v>0.4427</v>
      </c>
      <c r="J37" s="57" t="n">
        <v>8.1</v>
      </c>
      <c r="K37" s="58" t="s">
        <v>5997</v>
      </c>
      <c r="L37" s="53" t="s">
        <v>76</v>
      </c>
    </row>
    <row r="38" customFormat="false" ht="15" hidden="false" customHeight="true" outlineLevel="0" collapsed="false">
      <c r="A38" s="52" t="s">
        <v>6851</v>
      </c>
      <c r="B38" s="52" t="s">
        <v>6009</v>
      </c>
      <c r="C38" s="53" t="s">
        <v>77</v>
      </c>
      <c r="D38" s="52" t="s">
        <v>48</v>
      </c>
      <c r="E38" s="52" t="s">
        <v>62</v>
      </c>
      <c r="F38" s="54" t="n">
        <v>3369908.96</v>
      </c>
      <c r="G38" s="55" t="n">
        <v>0.1072</v>
      </c>
      <c r="H38" s="56" t="n">
        <v>3008654.72</v>
      </c>
      <c r="I38" s="55" t="n">
        <v>0.3596</v>
      </c>
      <c r="J38" s="57" t="n">
        <v>8.1</v>
      </c>
      <c r="K38" s="58" t="s">
        <v>5997</v>
      </c>
      <c r="L38" s="53" t="s">
        <v>63</v>
      </c>
    </row>
    <row r="39" customFormat="false" ht="15" hidden="false" customHeight="true" outlineLevel="0" collapsed="false">
      <c r="A39" s="52" t="s">
        <v>6331</v>
      </c>
      <c r="B39" s="52" t="s">
        <v>5996</v>
      </c>
      <c r="C39" s="53" t="s">
        <v>56</v>
      </c>
      <c r="D39" s="52" t="s">
        <v>48</v>
      </c>
      <c r="E39" s="52" t="s">
        <v>40</v>
      </c>
      <c r="F39" s="54" t="n">
        <v>3658149.64</v>
      </c>
      <c r="G39" s="55" t="n">
        <v>0.0504</v>
      </c>
      <c r="H39" s="56" t="n">
        <v>3473778.9</v>
      </c>
      <c r="I39" s="55" t="n">
        <v>0.4121</v>
      </c>
      <c r="J39" s="57" t="n">
        <v>8.1</v>
      </c>
      <c r="K39" s="58" t="s">
        <v>5997</v>
      </c>
      <c r="L39" s="53" t="s">
        <v>63</v>
      </c>
    </row>
    <row r="40" customFormat="false" ht="15" hidden="false" customHeight="true" outlineLevel="0" collapsed="false">
      <c r="A40" s="52" t="s">
        <v>6786</v>
      </c>
      <c r="B40" s="52" t="s">
        <v>5999</v>
      </c>
      <c r="C40" s="53" t="s">
        <v>42</v>
      </c>
      <c r="D40" s="52" t="s">
        <v>24</v>
      </c>
      <c r="E40" s="52" t="s">
        <v>62</v>
      </c>
      <c r="F40" s="54" t="n">
        <v>4223004.84</v>
      </c>
      <c r="G40" s="55" t="n">
        <v>0.0748</v>
      </c>
      <c r="H40" s="56" t="n">
        <v>3907124.08</v>
      </c>
      <c r="I40" s="55" t="n">
        <v>0.4717</v>
      </c>
      <c r="J40" s="57" t="n">
        <v>8.1</v>
      </c>
      <c r="K40" s="58" t="s">
        <v>5997</v>
      </c>
      <c r="L40" s="53" t="s">
        <v>41</v>
      </c>
    </row>
    <row r="41" customFormat="false" ht="15" hidden="false" customHeight="true" outlineLevel="0" collapsed="false">
      <c r="A41" s="52" t="s">
        <v>6866</v>
      </c>
      <c r="B41" s="52" t="s">
        <v>5989</v>
      </c>
      <c r="C41" s="53" t="s">
        <v>77</v>
      </c>
      <c r="D41" s="52" t="s">
        <v>48</v>
      </c>
      <c r="E41" s="52" t="s">
        <v>62</v>
      </c>
      <c r="F41" s="54" t="n">
        <v>4691930.64</v>
      </c>
      <c r="G41" s="55" t="n">
        <v>0.1096</v>
      </c>
      <c r="H41" s="56" t="n">
        <v>4177695.04</v>
      </c>
      <c r="I41" s="55" t="n">
        <v>0.4642</v>
      </c>
      <c r="J41" s="57" t="n">
        <v>8.1</v>
      </c>
      <c r="K41" s="58" t="s">
        <v>5997</v>
      </c>
      <c r="L41" s="53" t="s">
        <v>55</v>
      </c>
    </row>
    <row r="42" customFormat="false" ht="15" hidden="false" customHeight="true" outlineLevel="0" collapsed="false">
      <c r="A42" s="52" t="s">
        <v>6352</v>
      </c>
      <c r="B42" s="52" t="s">
        <v>6003</v>
      </c>
      <c r="C42" s="53" t="s">
        <v>56</v>
      </c>
      <c r="D42" s="52" t="s">
        <v>48</v>
      </c>
      <c r="E42" s="52" t="s">
        <v>25</v>
      </c>
      <c r="F42" s="54" t="n">
        <v>2616224.09</v>
      </c>
      <c r="G42" s="55" t="n">
        <v>0.1628</v>
      </c>
      <c r="H42" s="56" t="n">
        <v>2190302.81</v>
      </c>
      <c r="I42" s="55" t="n">
        <v>0.4381</v>
      </c>
      <c r="J42" s="57" t="n">
        <v>8.1</v>
      </c>
      <c r="K42" s="58" t="s">
        <v>5997</v>
      </c>
      <c r="L42" s="53" t="s">
        <v>34</v>
      </c>
    </row>
    <row r="43" customFormat="false" ht="15" hidden="false" customHeight="true" outlineLevel="0" collapsed="false">
      <c r="A43" s="52" t="s">
        <v>6261</v>
      </c>
      <c r="B43" s="52" t="s">
        <v>5996</v>
      </c>
      <c r="C43" s="53" t="s">
        <v>77</v>
      </c>
      <c r="D43" s="52" t="s">
        <v>39</v>
      </c>
      <c r="E43" s="52" t="s">
        <v>40</v>
      </c>
      <c r="F43" s="54" t="n">
        <v>3757549.94</v>
      </c>
      <c r="G43" s="55" t="n">
        <v>0.0501</v>
      </c>
      <c r="H43" s="56" t="n">
        <v>3569296.69</v>
      </c>
      <c r="I43" s="55" t="n">
        <v>0.4665</v>
      </c>
      <c r="J43" s="57" t="n">
        <v>8</v>
      </c>
      <c r="K43" s="58" t="s">
        <v>5997</v>
      </c>
      <c r="L43" s="53" t="s">
        <v>100</v>
      </c>
    </row>
    <row r="44" customFormat="false" ht="15" hidden="false" customHeight="true" outlineLevel="0" collapsed="false">
      <c r="A44" s="52" t="s">
        <v>6584</v>
      </c>
      <c r="B44" s="52" t="s">
        <v>5996</v>
      </c>
      <c r="C44" s="53" t="s">
        <v>77</v>
      </c>
      <c r="D44" s="52" t="s">
        <v>48</v>
      </c>
      <c r="E44" s="52" t="s">
        <v>25</v>
      </c>
      <c r="F44" s="54" t="n">
        <v>3568829.45</v>
      </c>
      <c r="G44" s="55" t="n">
        <v>0.1711</v>
      </c>
      <c r="H44" s="56" t="n">
        <v>2958202.73</v>
      </c>
      <c r="I44" s="55" t="n">
        <v>0.4429</v>
      </c>
      <c r="J44" s="57" t="n">
        <v>8</v>
      </c>
      <c r="K44" s="58" t="s">
        <v>5997</v>
      </c>
      <c r="L44" s="53" t="s">
        <v>41</v>
      </c>
    </row>
    <row r="45" customFormat="false" ht="15" hidden="false" customHeight="true" outlineLevel="0" collapsed="false">
      <c r="A45" s="52" t="s">
        <v>6138</v>
      </c>
      <c r="B45" s="52" t="s">
        <v>5992</v>
      </c>
      <c r="C45" s="53" t="s">
        <v>27</v>
      </c>
      <c r="D45" s="52" t="s">
        <v>24</v>
      </c>
      <c r="E45" s="52" t="s">
        <v>62</v>
      </c>
      <c r="F45" s="54" t="n">
        <v>3039795.55</v>
      </c>
      <c r="G45" s="55" t="n">
        <v>0.1515</v>
      </c>
      <c r="H45" s="56" t="n">
        <v>2579266.52</v>
      </c>
      <c r="I45" s="55" t="n">
        <v>0.4768</v>
      </c>
      <c r="J45" s="57" t="n">
        <v>8</v>
      </c>
      <c r="K45" s="58" t="s">
        <v>5997</v>
      </c>
      <c r="L45" s="53" t="s">
        <v>100</v>
      </c>
    </row>
    <row r="46" customFormat="false" ht="15" hidden="false" customHeight="true" outlineLevel="0" collapsed="false">
      <c r="A46" s="52" t="s">
        <v>6247</v>
      </c>
      <c r="B46" s="52" t="s">
        <v>5992</v>
      </c>
      <c r="C46" s="53" t="s">
        <v>42</v>
      </c>
      <c r="D46" s="52" t="s">
        <v>39</v>
      </c>
      <c r="E46" s="52" t="s">
        <v>40</v>
      </c>
      <c r="F46" s="54" t="n">
        <v>3455379.18</v>
      </c>
      <c r="G46" s="55" t="n">
        <v>0.1135</v>
      </c>
      <c r="H46" s="56" t="n">
        <v>3063193.64</v>
      </c>
      <c r="I46" s="55" t="n">
        <v>0.4766</v>
      </c>
      <c r="J46" s="57" t="n">
        <v>8</v>
      </c>
      <c r="K46" s="58" t="s">
        <v>5997</v>
      </c>
      <c r="L46" s="53" t="s">
        <v>41</v>
      </c>
    </row>
    <row r="47" customFormat="false" ht="15" hidden="false" customHeight="true" outlineLevel="0" collapsed="false">
      <c r="A47" s="52" t="s">
        <v>6510</v>
      </c>
      <c r="B47" s="52" t="s">
        <v>6003</v>
      </c>
      <c r="C47" s="53" t="s">
        <v>27</v>
      </c>
      <c r="D47" s="52" t="s">
        <v>33</v>
      </c>
      <c r="E47" s="52" t="s">
        <v>70</v>
      </c>
      <c r="F47" s="54" t="n">
        <v>2288366.06</v>
      </c>
      <c r="G47" s="55" t="n">
        <v>0.1015</v>
      </c>
      <c r="H47" s="56" t="n">
        <v>2056096.9</v>
      </c>
      <c r="I47" s="55" t="n">
        <v>0.4635</v>
      </c>
      <c r="J47" s="57" t="n">
        <v>8</v>
      </c>
      <c r="K47" s="58" t="s">
        <v>5997</v>
      </c>
      <c r="L47" s="53" t="s">
        <v>84</v>
      </c>
    </row>
    <row r="48" customFormat="false" ht="15" hidden="false" customHeight="true" outlineLevel="0" collapsed="false">
      <c r="A48" s="52" t="s">
        <v>7003</v>
      </c>
      <c r="B48" s="52" t="s">
        <v>5999</v>
      </c>
      <c r="C48" s="53" t="s">
        <v>42</v>
      </c>
      <c r="D48" s="52" t="s">
        <v>48</v>
      </c>
      <c r="E48" s="52" t="s">
        <v>40</v>
      </c>
      <c r="F48" s="54" t="n">
        <v>2005455.09</v>
      </c>
      <c r="G48" s="55" t="n">
        <v>0.1549</v>
      </c>
      <c r="H48" s="56" t="n">
        <v>1694810.1</v>
      </c>
      <c r="I48" s="55" t="n">
        <v>0.461</v>
      </c>
      <c r="J48" s="57" t="n">
        <v>8</v>
      </c>
      <c r="K48" s="58" t="s">
        <v>5997</v>
      </c>
      <c r="L48" s="53" t="s">
        <v>71</v>
      </c>
    </row>
    <row r="49" customFormat="false" ht="15" hidden="false" customHeight="true" outlineLevel="0" collapsed="false">
      <c r="A49" s="52" t="s">
        <v>6084</v>
      </c>
      <c r="B49" s="52" t="s">
        <v>5992</v>
      </c>
      <c r="C49" s="53" t="s">
        <v>27</v>
      </c>
      <c r="D49" s="52" t="s">
        <v>33</v>
      </c>
      <c r="E49" s="52" t="s">
        <v>70</v>
      </c>
      <c r="F49" s="54" t="n">
        <v>1152557.46</v>
      </c>
      <c r="G49" s="55" t="n">
        <v>0.1137</v>
      </c>
      <c r="H49" s="56" t="n">
        <v>1021511.68</v>
      </c>
      <c r="I49" s="55" t="n">
        <v>0.4489</v>
      </c>
      <c r="J49" s="57" t="n">
        <v>8</v>
      </c>
      <c r="K49" s="58" t="s">
        <v>5997</v>
      </c>
      <c r="L49" s="53" t="s">
        <v>116</v>
      </c>
    </row>
    <row r="50" customFormat="false" ht="15" hidden="false" customHeight="true" outlineLevel="0" collapsed="false">
      <c r="A50" s="52" t="s">
        <v>6662</v>
      </c>
      <c r="B50" s="52" t="s">
        <v>5989</v>
      </c>
      <c r="C50" s="53" t="s">
        <v>42</v>
      </c>
      <c r="D50" s="52" t="s">
        <v>33</v>
      </c>
      <c r="E50" s="52" t="s">
        <v>62</v>
      </c>
      <c r="F50" s="54" t="n">
        <v>3006995.25</v>
      </c>
      <c r="G50" s="55" t="n">
        <v>0.1322</v>
      </c>
      <c r="H50" s="56" t="n">
        <v>2609470.48</v>
      </c>
      <c r="I50" s="55" t="n">
        <v>0.4061</v>
      </c>
      <c r="J50" s="57" t="n">
        <v>8</v>
      </c>
      <c r="K50" s="58" t="s">
        <v>5997</v>
      </c>
      <c r="L50" s="53" t="s">
        <v>116</v>
      </c>
    </row>
    <row r="51" customFormat="false" ht="15" hidden="false" customHeight="true" outlineLevel="0" collapsed="false">
      <c r="A51" s="52" t="s">
        <v>6048</v>
      </c>
      <c r="B51" s="52" t="s">
        <v>5996</v>
      </c>
      <c r="C51" s="53" t="s">
        <v>42</v>
      </c>
      <c r="D51" s="52" t="s">
        <v>24</v>
      </c>
      <c r="E51" s="52" t="s">
        <v>40</v>
      </c>
      <c r="F51" s="54" t="n">
        <v>2749469.43</v>
      </c>
      <c r="G51" s="55" t="n">
        <v>0.1061</v>
      </c>
      <c r="H51" s="56" t="n">
        <v>2457750.72</v>
      </c>
      <c r="I51" s="55" t="n">
        <v>0.3786</v>
      </c>
      <c r="J51" s="57" t="n">
        <v>8</v>
      </c>
      <c r="K51" s="58" t="s">
        <v>5997</v>
      </c>
      <c r="L51" s="53" t="s">
        <v>71</v>
      </c>
    </row>
    <row r="52" customFormat="false" ht="15" hidden="false" customHeight="true" outlineLevel="0" collapsed="false">
      <c r="A52" s="52" t="s">
        <v>7126</v>
      </c>
      <c r="B52" s="52" t="s">
        <v>5992</v>
      </c>
      <c r="C52" s="53" t="s">
        <v>77</v>
      </c>
      <c r="D52" s="52" t="s">
        <v>48</v>
      </c>
      <c r="E52" s="52" t="s">
        <v>25</v>
      </c>
      <c r="F52" s="54" t="n">
        <v>4120181.02</v>
      </c>
      <c r="G52" s="55" t="n">
        <v>0.102</v>
      </c>
      <c r="H52" s="56" t="n">
        <v>3699922.56</v>
      </c>
      <c r="I52" s="55" t="n">
        <v>0.4671</v>
      </c>
      <c r="J52" s="57" t="n">
        <v>7.9</v>
      </c>
      <c r="K52" s="58" t="s">
        <v>5997</v>
      </c>
      <c r="L52" s="53" t="s">
        <v>100</v>
      </c>
    </row>
    <row r="53" customFormat="false" ht="15" hidden="false" customHeight="true" outlineLevel="0" collapsed="false">
      <c r="A53" s="52" t="s">
        <v>6430</v>
      </c>
      <c r="B53" s="52" t="s">
        <v>5992</v>
      </c>
      <c r="C53" s="53" t="s">
        <v>77</v>
      </c>
      <c r="D53" s="52" t="s">
        <v>24</v>
      </c>
      <c r="E53" s="52" t="s">
        <v>25</v>
      </c>
      <c r="F53" s="54" t="n">
        <v>726316.59</v>
      </c>
      <c r="G53" s="55" t="n">
        <v>0.0503</v>
      </c>
      <c r="H53" s="56" t="n">
        <v>689782.87</v>
      </c>
      <c r="I53" s="55" t="n">
        <v>0.4591</v>
      </c>
      <c r="J53" s="57" t="n">
        <v>7.9</v>
      </c>
      <c r="K53" s="58" t="s">
        <v>5997</v>
      </c>
      <c r="L53" s="53" t="s">
        <v>34</v>
      </c>
    </row>
    <row r="54" customFormat="false" ht="15" hidden="false" customHeight="true" outlineLevel="0" collapsed="false">
      <c r="A54" s="52" t="s">
        <v>6701</v>
      </c>
      <c r="B54" s="52" t="s">
        <v>5989</v>
      </c>
      <c r="C54" s="53" t="s">
        <v>77</v>
      </c>
      <c r="D54" s="52" t="s">
        <v>33</v>
      </c>
      <c r="E54" s="52" t="s">
        <v>70</v>
      </c>
      <c r="F54" s="54" t="n">
        <v>1895481.49</v>
      </c>
      <c r="G54" s="55" t="n">
        <v>0.0742</v>
      </c>
      <c r="H54" s="56" t="n">
        <v>1754836.76</v>
      </c>
      <c r="I54" s="55" t="n">
        <v>0.4799</v>
      </c>
      <c r="J54" s="57" t="n">
        <v>7.9</v>
      </c>
      <c r="K54" s="58" t="s">
        <v>5997</v>
      </c>
      <c r="L54" s="53" t="s">
        <v>34</v>
      </c>
    </row>
    <row r="55" customFormat="false" ht="15" hidden="false" customHeight="true" outlineLevel="0" collapsed="false">
      <c r="A55" s="52" t="s">
        <v>7048</v>
      </c>
      <c r="B55" s="52" t="s">
        <v>5999</v>
      </c>
      <c r="C55" s="53" t="s">
        <v>56</v>
      </c>
      <c r="D55" s="52" t="s">
        <v>24</v>
      </c>
      <c r="E55" s="52" t="s">
        <v>40</v>
      </c>
      <c r="F55" s="54" t="n">
        <v>2589177.22</v>
      </c>
      <c r="G55" s="55" t="n">
        <v>0.0525</v>
      </c>
      <c r="H55" s="56" t="n">
        <v>2453245.42</v>
      </c>
      <c r="I55" s="55" t="n">
        <v>0.4257</v>
      </c>
      <c r="J55" s="57" t="n">
        <v>7.9</v>
      </c>
      <c r="K55" s="58" t="s">
        <v>5997</v>
      </c>
      <c r="L55" s="53" t="s">
        <v>34</v>
      </c>
    </row>
    <row r="56" customFormat="false" ht="15" hidden="false" customHeight="true" outlineLevel="0" collapsed="false">
      <c r="A56" s="52" t="s">
        <v>6539</v>
      </c>
      <c r="B56" s="52" t="s">
        <v>5989</v>
      </c>
      <c r="C56" s="53" t="s">
        <v>56</v>
      </c>
      <c r="D56" s="52" t="s">
        <v>48</v>
      </c>
      <c r="E56" s="52" t="s">
        <v>62</v>
      </c>
      <c r="F56" s="54" t="n">
        <v>347142.37</v>
      </c>
      <c r="G56" s="55" t="n">
        <v>0.0993</v>
      </c>
      <c r="H56" s="56" t="n">
        <v>312671.13</v>
      </c>
      <c r="I56" s="55" t="n">
        <v>0.4565</v>
      </c>
      <c r="J56" s="57" t="n">
        <v>7.9</v>
      </c>
      <c r="K56" s="58" t="s">
        <v>5997</v>
      </c>
      <c r="L56" s="53" t="s">
        <v>41</v>
      </c>
    </row>
    <row r="57" customFormat="false" ht="15" hidden="false" customHeight="true" outlineLevel="0" collapsed="false">
      <c r="A57" s="52" t="s">
        <v>6659</v>
      </c>
      <c r="B57" s="52" t="s">
        <v>5999</v>
      </c>
      <c r="C57" s="53" t="s">
        <v>64</v>
      </c>
      <c r="D57" s="52" t="s">
        <v>48</v>
      </c>
      <c r="E57" s="52" t="s">
        <v>25</v>
      </c>
      <c r="F57" s="54" t="n">
        <v>3594328.42</v>
      </c>
      <c r="G57" s="55" t="n">
        <v>0.0756</v>
      </c>
      <c r="H57" s="56" t="n">
        <v>3322597.19</v>
      </c>
      <c r="I57" s="55" t="n">
        <v>0.4516</v>
      </c>
      <c r="J57" s="57" t="n">
        <v>7.9</v>
      </c>
      <c r="K57" s="58" t="s">
        <v>5997</v>
      </c>
      <c r="L57" s="53" t="s">
        <v>100</v>
      </c>
    </row>
    <row r="58" customFormat="false" ht="15" hidden="false" customHeight="true" outlineLevel="0" collapsed="false">
      <c r="A58" s="52" t="s">
        <v>6600</v>
      </c>
      <c r="B58" s="52" t="s">
        <v>5999</v>
      </c>
      <c r="C58" s="53" t="s">
        <v>42</v>
      </c>
      <c r="D58" s="52" t="s">
        <v>39</v>
      </c>
      <c r="E58" s="52" t="s">
        <v>25</v>
      </c>
      <c r="F58" s="54" t="n">
        <v>2080326.75</v>
      </c>
      <c r="G58" s="55" t="n">
        <v>0.1929</v>
      </c>
      <c r="H58" s="56" t="n">
        <v>1679031.72</v>
      </c>
      <c r="I58" s="55" t="n">
        <v>0.4519</v>
      </c>
      <c r="J58" s="57" t="n">
        <v>7.9</v>
      </c>
      <c r="K58" s="58" t="s">
        <v>5997</v>
      </c>
      <c r="L58" s="53" t="s">
        <v>116</v>
      </c>
    </row>
    <row r="59" customFormat="false" ht="15" hidden="false" customHeight="true" outlineLevel="0" collapsed="false">
      <c r="A59" s="52" t="s">
        <v>7290</v>
      </c>
      <c r="B59" s="52" t="s">
        <v>5999</v>
      </c>
      <c r="C59" s="53" t="s">
        <v>42</v>
      </c>
      <c r="D59" s="52" t="s">
        <v>39</v>
      </c>
      <c r="E59" s="52" t="s">
        <v>70</v>
      </c>
      <c r="F59" s="54" t="n">
        <v>4792858.57</v>
      </c>
      <c r="G59" s="55" t="n">
        <v>0.1085</v>
      </c>
      <c r="H59" s="56" t="n">
        <v>4272833.42</v>
      </c>
      <c r="I59" s="55" t="n">
        <v>0.4483</v>
      </c>
      <c r="J59" s="57" t="n">
        <v>7.9</v>
      </c>
      <c r="K59" s="58" t="s">
        <v>5997</v>
      </c>
      <c r="L59" s="53" t="s">
        <v>26</v>
      </c>
    </row>
    <row r="60" customFormat="false" ht="15" hidden="false" customHeight="true" outlineLevel="0" collapsed="false">
      <c r="A60" s="52" t="s">
        <v>6723</v>
      </c>
      <c r="B60" s="52" t="s">
        <v>5999</v>
      </c>
      <c r="C60" s="53" t="s">
        <v>64</v>
      </c>
      <c r="D60" s="52" t="s">
        <v>39</v>
      </c>
      <c r="E60" s="52" t="s">
        <v>25</v>
      </c>
      <c r="F60" s="54" t="n">
        <v>415683.79</v>
      </c>
      <c r="G60" s="55" t="n">
        <v>0.126</v>
      </c>
      <c r="H60" s="56" t="n">
        <v>363307.63</v>
      </c>
      <c r="I60" s="55" t="n">
        <v>0.392</v>
      </c>
      <c r="J60" s="57" t="n">
        <v>7.9</v>
      </c>
      <c r="K60" s="58" t="s">
        <v>5997</v>
      </c>
      <c r="L60" s="53" t="s">
        <v>26</v>
      </c>
    </row>
    <row r="61" customFormat="false" ht="15" hidden="false" customHeight="true" outlineLevel="0" collapsed="false">
      <c r="A61" s="52" t="s">
        <v>6780</v>
      </c>
      <c r="B61" s="52" t="s">
        <v>5996</v>
      </c>
      <c r="C61" s="53" t="s">
        <v>42</v>
      </c>
      <c r="D61" s="52" t="s">
        <v>33</v>
      </c>
      <c r="E61" s="52" t="s">
        <v>25</v>
      </c>
      <c r="F61" s="54" t="n">
        <v>3891764.35</v>
      </c>
      <c r="G61" s="55" t="n">
        <v>0.0935</v>
      </c>
      <c r="H61" s="56" t="n">
        <v>3527884.38</v>
      </c>
      <c r="I61" s="55" t="n">
        <v>0.3934</v>
      </c>
      <c r="J61" s="57" t="n">
        <v>7.9</v>
      </c>
      <c r="K61" s="58" t="s">
        <v>5997</v>
      </c>
      <c r="L61" s="53" t="s">
        <v>100</v>
      </c>
    </row>
    <row r="62" customFormat="false" ht="15" hidden="false" customHeight="true" outlineLevel="0" collapsed="false">
      <c r="A62" s="52" t="s">
        <v>6125</v>
      </c>
      <c r="B62" s="52" t="s">
        <v>5996</v>
      </c>
      <c r="C62" s="53" t="s">
        <v>77</v>
      </c>
      <c r="D62" s="52" t="s">
        <v>33</v>
      </c>
      <c r="E62" s="52" t="s">
        <v>62</v>
      </c>
      <c r="F62" s="54" t="n">
        <v>3800800.72</v>
      </c>
      <c r="G62" s="55" t="n">
        <v>0.0661</v>
      </c>
      <c r="H62" s="56" t="n">
        <v>3549567.79</v>
      </c>
      <c r="I62" s="55" t="n">
        <v>0.4006</v>
      </c>
      <c r="J62" s="57" t="n">
        <v>7.9</v>
      </c>
      <c r="K62" s="58" t="s">
        <v>5997</v>
      </c>
      <c r="L62" s="53" t="s">
        <v>71</v>
      </c>
    </row>
    <row r="63" customFormat="false" ht="15" hidden="false" customHeight="true" outlineLevel="0" collapsed="false">
      <c r="A63" s="52" t="s">
        <v>6792</v>
      </c>
      <c r="B63" s="52" t="s">
        <v>6009</v>
      </c>
      <c r="C63" s="53" t="s">
        <v>27</v>
      </c>
      <c r="D63" s="52" t="s">
        <v>24</v>
      </c>
      <c r="E63" s="52" t="s">
        <v>62</v>
      </c>
      <c r="F63" s="54" t="n">
        <v>2167032.14</v>
      </c>
      <c r="G63" s="55" t="n">
        <v>0.0612</v>
      </c>
      <c r="H63" s="56" t="n">
        <v>2034409.77</v>
      </c>
      <c r="I63" s="55" t="n">
        <v>0.4027</v>
      </c>
      <c r="J63" s="57" t="n">
        <v>7.8</v>
      </c>
      <c r="K63" s="58" t="s">
        <v>5997</v>
      </c>
      <c r="L63" s="53" t="s">
        <v>26</v>
      </c>
    </row>
    <row r="64" customFormat="false" ht="15" hidden="false" customHeight="true" outlineLevel="0" collapsed="false">
      <c r="A64" s="52" t="s">
        <v>6169</v>
      </c>
      <c r="B64" s="52" t="s">
        <v>6009</v>
      </c>
      <c r="C64" s="53" t="s">
        <v>77</v>
      </c>
      <c r="D64" s="52" t="s">
        <v>24</v>
      </c>
      <c r="E64" s="52" t="s">
        <v>62</v>
      </c>
      <c r="F64" s="54" t="n">
        <v>4949611.38</v>
      </c>
      <c r="G64" s="55" t="n">
        <v>0.0661</v>
      </c>
      <c r="H64" s="56" t="n">
        <v>4622442.07</v>
      </c>
      <c r="I64" s="55" t="n">
        <v>0.4605</v>
      </c>
      <c r="J64" s="57" t="n">
        <v>7.8</v>
      </c>
      <c r="K64" s="58" t="s">
        <v>5997</v>
      </c>
      <c r="L64" s="53" t="s">
        <v>84</v>
      </c>
    </row>
    <row r="65" customFormat="false" ht="15" hidden="false" customHeight="true" outlineLevel="0" collapsed="false">
      <c r="A65" s="52" t="s">
        <v>6705</v>
      </c>
      <c r="B65" s="52" t="s">
        <v>5989</v>
      </c>
      <c r="C65" s="53" t="s">
        <v>56</v>
      </c>
      <c r="D65" s="52" t="s">
        <v>48</v>
      </c>
      <c r="E65" s="52" t="s">
        <v>40</v>
      </c>
      <c r="F65" s="54" t="n">
        <v>3230503.45</v>
      </c>
      <c r="G65" s="55" t="n">
        <v>0.1529</v>
      </c>
      <c r="H65" s="56" t="n">
        <v>2736559.47</v>
      </c>
      <c r="I65" s="55" t="n">
        <v>0.4421</v>
      </c>
      <c r="J65" s="57" t="n">
        <v>7.8</v>
      </c>
      <c r="K65" s="58" t="s">
        <v>5997</v>
      </c>
      <c r="L65" s="53" t="s">
        <v>76</v>
      </c>
    </row>
    <row r="66" customFormat="false" ht="15" hidden="false" customHeight="true" outlineLevel="0" collapsed="false">
      <c r="A66" s="52" t="s">
        <v>6923</v>
      </c>
      <c r="B66" s="52" t="s">
        <v>5996</v>
      </c>
      <c r="C66" s="53" t="s">
        <v>27</v>
      </c>
      <c r="D66" s="52" t="s">
        <v>39</v>
      </c>
      <c r="E66" s="52" t="s">
        <v>70</v>
      </c>
      <c r="F66" s="54" t="n">
        <v>3592919.8</v>
      </c>
      <c r="G66" s="55" t="n">
        <v>0.1024</v>
      </c>
      <c r="H66" s="56" t="n">
        <v>3225004.81</v>
      </c>
      <c r="I66" s="55" t="n">
        <v>0.4123</v>
      </c>
      <c r="J66" s="57" t="n">
        <v>7.8</v>
      </c>
      <c r="K66" s="58" t="s">
        <v>5997</v>
      </c>
      <c r="L66" s="53" t="s">
        <v>41</v>
      </c>
    </row>
    <row r="67" customFormat="false" ht="15" hidden="false" customHeight="true" outlineLevel="0" collapsed="false">
      <c r="A67" s="52" t="s">
        <v>6717</v>
      </c>
      <c r="B67" s="52" t="s">
        <v>6009</v>
      </c>
      <c r="C67" s="53" t="s">
        <v>64</v>
      </c>
      <c r="D67" s="52" t="s">
        <v>24</v>
      </c>
      <c r="E67" s="52" t="s">
        <v>25</v>
      </c>
      <c r="F67" s="54" t="n">
        <v>4094360.55</v>
      </c>
      <c r="G67" s="55" t="n">
        <v>0.0728</v>
      </c>
      <c r="H67" s="56" t="n">
        <v>3796291.1</v>
      </c>
      <c r="I67" s="55" t="n">
        <v>0.3414</v>
      </c>
      <c r="J67" s="57" t="n">
        <v>7.8</v>
      </c>
      <c r="K67" s="58" t="s">
        <v>5997</v>
      </c>
      <c r="L67" s="53" t="s">
        <v>84</v>
      </c>
    </row>
    <row r="68" customFormat="false" ht="15" hidden="false" customHeight="true" outlineLevel="0" collapsed="false">
      <c r="A68" s="52" t="s">
        <v>7157</v>
      </c>
      <c r="B68" s="52" t="s">
        <v>6009</v>
      </c>
      <c r="C68" s="53" t="s">
        <v>56</v>
      </c>
      <c r="D68" s="52" t="s">
        <v>39</v>
      </c>
      <c r="E68" s="52" t="s">
        <v>40</v>
      </c>
      <c r="F68" s="54" t="n">
        <v>1484284.7</v>
      </c>
      <c r="G68" s="55" t="n">
        <v>0.1202</v>
      </c>
      <c r="H68" s="56" t="n">
        <v>1305873.68</v>
      </c>
      <c r="I68" s="55" t="n">
        <v>0.4581</v>
      </c>
      <c r="J68" s="57" t="n">
        <v>7.8</v>
      </c>
      <c r="K68" s="58" t="s">
        <v>5997</v>
      </c>
      <c r="L68" s="53" t="s">
        <v>84</v>
      </c>
    </row>
    <row r="69" customFormat="false" ht="15" hidden="false" customHeight="true" outlineLevel="0" collapsed="false">
      <c r="A69" s="52" t="s">
        <v>7027</v>
      </c>
      <c r="B69" s="52" t="s">
        <v>6003</v>
      </c>
      <c r="C69" s="53" t="s">
        <v>42</v>
      </c>
      <c r="D69" s="52" t="s">
        <v>39</v>
      </c>
      <c r="E69" s="52" t="s">
        <v>40</v>
      </c>
      <c r="F69" s="54" t="n">
        <v>321299.84</v>
      </c>
      <c r="G69" s="55" t="n">
        <v>0.1142</v>
      </c>
      <c r="H69" s="56" t="n">
        <v>284607.4</v>
      </c>
      <c r="I69" s="55" t="n">
        <v>0.4252</v>
      </c>
      <c r="J69" s="57" t="n">
        <v>7.8</v>
      </c>
      <c r="K69" s="58" t="s">
        <v>5997</v>
      </c>
      <c r="L69" s="53" t="s">
        <v>104</v>
      </c>
    </row>
    <row r="70" customFormat="false" ht="15" hidden="false" customHeight="true" outlineLevel="0" collapsed="false">
      <c r="A70" s="52" t="s">
        <v>7299</v>
      </c>
      <c r="B70" s="52" t="s">
        <v>5992</v>
      </c>
      <c r="C70" s="53" t="s">
        <v>64</v>
      </c>
      <c r="D70" s="52" t="s">
        <v>33</v>
      </c>
      <c r="E70" s="52" t="s">
        <v>62</v>
      </c>
      <c r="F70" s="54" t="n">
        <v>2682787</v>
      </c>
      <c r="G70" s="55" t="n">
        <v>0.0913</v>
      </c>
      <c r="H70" s="56" t="n">
        <v>2437848.55</v>
      </c>
      <c r="I70" s="55" t="n">
        <v>0.3895</v>
      </c>
      <c r="J70" s="57" t="n">
        <v>7.8</v>
      </c>
      <c r="K70" s="58" t="s">
        <v>5997</v>
      </c>
      <c r="L70" s="53" t="s">
        <v>63</v>
      </c>
    </row>
    <row r="71" customFormat="false" ht="15" hidden="false" customHeight="true" outlineLevel="0" collapsed="false">
      <c r="A71" s="52" t="s">
        <v>6961</v>
      </c>
      <c r="B71" s="52" t="s">
        <v>5989</v>
      </c>
      <c r="C71" s="53" t="s">
        <v>27</v>
      </c>
      <c r="D71" s="52" t="s">
        <v>24</v>
      </c>
      <c r="E71" s="52" t="s">
        <v>25</v>
      </c>
      <c r="F71" s="54" t="n">
        <v>619383.34</v>
      </c>
      <c r="G71" s="55" t="n">
        <v>0.0756</v>
      </c>
      <c r="H71" s="56" t="n">
        <v>572557.96</v>
      </c>
      <c r="I71" s="55" t="n">
        <v>0.4767</v>
      </c>
      <c r="J71" s="57" t="n">
        <v>7.8</v>
      </c>
      <c r="K71" s="58" t="s">
        <v>5997</v>
      </c>
      <c r="L71" s="53" t="s">
        <v>71</v>
      </c>
    </row>
    <row r="72" customFormat="false" ht="15" hidden="false" customHeight="true" outlineLevel="0" collapsed="false">
      <c r="A72" s="52" t="s">
        <v>6889</v>
      </c>
      <c r="B72" s="52" t="s">
        <v>5996</v>
      </c>
      <c r="C72" s="53" t="s">
        <v>42</v>
      </c>
      <c r="D72" s="52" t="s">
        <v>48</v>
      </c>
      <c r="E72" s="52" t="s">
        <v>25</v>
      </c>
      <c r="F72" s="54" t="n">
        <v>3110504.5</v>
      </c>
      <c r="G72" s="55" t="n">
        <v>0.0614</v>
      </c>
      <c r="H72" s="56" t="n">
        <v>2919519.52</v>
      </c>
      <c r="I72" s="55" t="n">
        <v>0.3475</v>
      </c>
      <c r="J72" s="57" t="n">
        <v>7.8</v>
      </c>
      <c r="K72" s="58" t="s">
        <v>5997</v>
      </c>
      <c r="L72" s="53" t="s">
        <v>55</v>
      </c>
    </row>
    <row r="73" customFormat="false" ht="15" hidden="false" customHeight="true" outlineLevel="0" collapsed="false">
      <c r="A73" s="52" t="s">
        <v>6770</v>
      </c>
      <c r="B73" s="52" t="s">
        <v>5999</v>
      </c>
      <c r="C73" s="53" t="s">
        <v>64</v>
      </c>
      <c r="D73" s="52" t="s">
        <v>48</v>
      </c>
      <c r="E73" s="52" t="s">
        <v>40</v>
      </c>
      <c r="F73" s="54" t="n">
        <v>3557954.32</v>
      </c>
      <c r="G73" s="55" t="n">
        <v>0.0836</v>
      </c>
      <c r="H73" s="56" t="n">
        <v>3260509.34</v>
      </c>
      <c r="I73" s="55" t="n">
        <v>0.372</v>
      </c>
      <c r="J73" s="57" t="n">
        <v>7.8</v>
      </c>
      <c r="K73" s="58" t="s">
        <v>5997</v>
      </c>
      <c r="L73" s="53" t="s">
        <v>63</v>
      </c>
    </row>
    <row r="74" customFormat="false" ht="15" hidden="false" customHeight="true" outlineLevel="0" collapsed="false">
      <c r="A74" s="52" t="s">
        <v>6117</v>
      </c>
      <c r="B74" s="52" t="s">
        <v>5996</v>
      </c>
      <c r="C74" s="53" t="s">
        <v>77</v>
      </c>
      <c r="D74" s="52" t="s">
        <v>48</v>
      </c>
      <c r="E74" s="52" t="s">
        <v>40</v>
      </c>
      <c r="F74" s="54" t="n">
        <v>2099280.09</v>
      </c>
      <c r="G74" s="55" t="n">
        <v>0.0573</v>
      </c>
      <c r="H74" s="56" t="n">
        <v>1978991.34</v>
      </c>
      <c r="I74" s="55" t="n">
        <v>0.35</v>
      </c>
      <c r="J74" s="57" t="n">
        <v>7.8</v>
      </c>
      <c r="K74" s="58" t="s">
        <v>5997</v>
      </c>
      <c r="L74" s="53" t="s">
        <v>34</v>
      </c>
    </row>
    <row r="75" customFormat="false" ht="15" hidden="false" customHeight="true" outlineLevel="0" collapsed="false">
      <c r="A75" s="52" t="s">
        <v>6162</v>
      </c>
      <c r="B75" s="52" t="s">
        <v>6009</v>
      </c>
      <c r="C75" s="53" t="s">
        <v>64</v>
      </c>
      <c r="D75" s="52" t="s">
        <v>48</v>
      </c>
      <c r="E75" s="52" t="s">
        <v>62</v>
      </c>
      <c r="F75" s="54" t="n">
        <v>2470685.53</v>
      </c>
      <c r="G75" s="55" t="n">
        <v>0.0607</v>
      </c>
      <c r="H75" s="56" t="n">
        <v>2320714.92</v>
      </c>
      <c r="I75" s="55" t="n">
        <v>0.3447</v>
      </c>
      <c r="J75" s="57" t="n">
        <v>7.7</v>
      </c>
      <c r="K75" s="58" t="s">
        <v>5997</v>
      </c>
      <c r="L75" s="53" t="s">
        <v>76</v>
      </c>
    </row>
    <row r="76" customFormat="false" ht="15" hidden="false" customHeight="true" outlineLevel="0" collapsed="false">
      <c r="A76" s="52" t="s">
        <v>6978</v>
      </c>
      <c r="B76" s="52" t="s">
        <v>5992</v>
      </c>
      <c r="C76" s="53" t="s">
        <v>27</v>
      </c>
      <c r="D76" s="52" t="s">
        <v>24</v>
      </c>
      <c r="E76" s="52" t="s">
        <v>40</v>
      </c>
      <c r="F76" s="54" t="n">
        <v>3786247.94</v>
      </c>
      <c r="G76" s="55" t="n">
        <v>0.0689</v>
      </c>
      <c r="H76" s="56" t="n">
        <v>3525375.46</v>
      </c>
      <c r="I76" s="55" t="n">
        <v>0.288</v>
      </c>
      <c r="J76" s="57" t="n">
        <v>7.7</v>
      </c>
      <c r="K76" s="58" t="s">
        <v>5997</v>
      </c>
      <c r="L76" s="53" t="s">
        <v>26</v>
      </c>
    </row>
    <row r="77" customFormat="false" ht="15" hidden="false" customHeight="true" outlineLevel="0" collapsed="false">
      <c r="A77" s="52" t="s">
        <v>6543</v>
      </c>
      <c r="B77" s="52" t="s">
        <v>5992</v>
      </c>
      <c r="C77" s="53" t="s">
        <v>27</v>
      </c>
      <c r="D77" s="52" t="s">
        <v>24</v>
      </c>
      <c r="E77" s="52" t="s">
        <v>25</v>
      </c>
      <c r="F77" s="54" t="n">
        <v>3179054.78</v>
      </c>
      <c r="G77" s="55" t="n">
        <v>0.1198</v>
      </c>
      <c r="H77" s="56" t="n">
        <v>2798204.02</v>
      </c>
      <c r="I77" s="55" t="n">
        <v>0.4679</v>
      </c>
      <c r="J77" s="57" t="n">
        <v>7.7</v>
      </c>
      <c r="K77" s="58" t="s">
        <v>5997</v>
      </c>
      <c r="L77" s="53" t="s">
        <v>84</v>
      </c>
    </row>
    <row r="78" customFormat="false" ht="15" hidden="false" customHeight="true" outlineLevel="0" collapsed="false">
      <c r="A78" s="52" t="s">
        <v>7150</v>
      </c>
      <c r="B78" s="52" t="s">
        <v>5992</v>
      </c>
      <c r="C78" s="53" t="s">
        <v>42</v>
      </c>
      <c r="D78" s="52" t="s">
        <v>39</v>
      </c>
      <c r="E78" s="52" t="s">
        <v>40</v>
      </c>
      <c r="F78" s="54" t="n">
        <v>3409743.81</v>
      </c>
      <c r="G78" s="55" t="n">
        <v>0.1728</v>
      </c>
      <c r="H78" s="56" t="n">
        <v>2820540.08</v>
      </c>
      <c r="I78" s="55" t="n">
        <v>0.4636</v>
      </c>
      <c r="J78" s="57" t="n">
        <v>7.7</v>
      </c>
      <c r="K78" s="58" t="s">
        <v>5997</v>
      </c>
      <c r="L78" s="53" t="s">
        <v>34</v>
      </c>
    </row>
    <row r="79" customFormat="false" ht="15" hidden="false" customHeight="true" outlineLevel="0" collapsed="false">
      <c r="A79" s="52" t="s">
        <v>6131</v>
      </c>
      <c r="B79" s="52" t="s">
        <v>5989</v>
      </c>
      <c r="C79" s="53" t="s">
        <v>27</v>
      </c>
      <c r="D79" s="52" t="s">
        <v>24</v>
      </c>
      <c r="E79" s="52" t="s">
        <v>62</v>
      </c>
      <c r="F79" s="54" t="n">
        <v>3304756.03</v>
      </c>
      <c r="G79" s="55" t="n">
        <v>0.0573</v>
      </c>
      <c r="H79" s="56" t="n">
        <v>3115393.51</v>
      </c>
      <c r="I79" s="55" t="n">
        <v>0.4008</v>
      </c>
      <c r="J79" s="57" t="n">
        <v>7.7</v>
      </c>
      <c r="K79" s="58" t="s">
        <v>5997</v>
      </c>
      <c r="L79" s="53" t="s">
        <v>116</v>
      </c>
    </row>
    <row r="80" customFormat="false" ht="15" hidden="false" customHeight="true" outlineLevel="0" collapsed="false">
      <c r="A80" s="52" t="s">
        <v>6692</v>
      </c>
      <c r="B80" s="52" t="s">
        <v>5992</v>
      </c>
      <c r="C80" s="53" t="s">
        <v>56</v>
      </c>
      <c r="D80" s="52" t="s">
        <v>48</v>
      </c>
      <c r="E80" s="52" t="s">
        <v>40</v>
      </c>
      <c r="F80" s="54" t="n">
        <v>4108258.62</v>
      </c>
      <c r="G80" s="55" t="n">
        <v>0.0707</v>
      </c>
      <c r="H80" s="56" t="n">
        <v>3817804.74</v>
      </c>
      <c r="I80" s="55" t="n">
        <v>0.3149</v>
      </c>
      <c r="J80" s="57" t="n">
        <v>7.7</v>
      </c>
      <c r="K80" s="58" t="s">
        <v>5997</v>
      </c>
      <c r="L80" s="53" t="s">
        <v>104</v>
      </c>
    </row>
    <row r="81" customFormat="false" ht="15" hidden="false" customHeight="true" outlineLevel="0" collapsed="false">
      <c r="A81" s="52" t="s">
        <v>6936</v>
      </c>
      <c r="B81" s="52" t="s">
        <v>5989</v>
      </c>
      <c r="C81" s="53" t="s">
        <v>77</v>
      </c>
      <c r="D81" s="52" t="s">
        <v>39</v>
      </c>
      <c r="E81" s="52" t="s">
        <v>70</v>
      </c>
      <c r="F81" s="54" t="n">
        <v>870810.74</v>
      </c>
      <c r="G81" s="55" t="n">
        <v>0.1684</v>
      </c>
      <c r="H81" s="56" t="n">
        <v>724166.21</v>
      </c>
      <c r="I81" s="55" t="n">
        <v>0.4539</v>
      </c>
      <c r="J81" s="57" t="n">
        <v>7.7</v>
      </c>
      <c r="K81" s="58" t="s">
        <v>5997</v>
      </c>
      <c r="L81" s="53" t="s">
        <v>49</v>
      </c>
    </row>
    <row r="82" customFormat="false" ht="15" hidden="false" customHeight="true" outlineLevel="0" collapsed="false">
      <c r="A82" s="52" t="s">
        <v>6870</v>
      </c>
      <c r="B82" s="52" t="s">
        <v>5989</v>
      </c>
      <c r="C82" s="53" t="s">
        <v>27</v>
      </c>
      <c r="D82" s="52" t="s">
        <v>39</v>
      </c>
      <c r="E82" s="52" t="s">
        <v>70</v>
      </c>
      <c r="F82" s="54" t="n">
        <v>1835061.15</v>
      </c>
      <c r="G82" s="55" t="n">
        <v>0.0687</v>
      </c>
      <c r="H82" s="56" t="n">
        <v>1708992.45</v>
      </c>
      <c r="I82" s="55" t="n">
        <v>0.4082</v>
      </c>
      <c r="J82" s="57" t="n">
        <v>7.7</v>
      </c>
      <c r="K82" s="58" t="s">
        <v>5997</v>
      </c>
      <c r="L82" s="53" t="s">
        <v>100</v>
      </c>
    </row>
    <row r="83" customFormat="false" ht="15" hidden="false" customHeight="true" outlineLevel="0" collapsed="false">
      <c r="A83" s="52" t="s">
        <v>6213</v>
      </c>
      <c r="B83" s="52" t="s">
        <v>5996</v>
      </c>
      <c r="C83" s="53" t="s">
        <v>64</v>
      </c>
      <c r="D83" s="52" t="s">
        <v>39</v>
      </c>
      <c r="E83" s="52" t="s">
        <v>70</v>
      </c>
      <c r="F83" s="54" t="n">
        <v>1946000.79</v>
      </c>
      <c r="G83" s="55" t="n">
        <v>0.1045</v>
      </c>
      <c r="H83" s="56" t="n">
        <v>1742643.71</v>
      </c>
      <c r="I83" s="55" t="n">
        <v>0.4641</v>
      </c>
      <c r="J83" s="57" t="n">
        <v>7.7</v>
      </c>
      <c r="K83" s="58" t="s">
        <v>5997</v>
      </c>
      <c r="L83" s="53" t="s">
        <v>76</v>
      </c>
    </row>
    <row r="84" customFormat="false" ht="15" hidden="false" customHeight="true" outlineLevel="0" collapsed="false">
      <c r="A84" s="52" t="s">
        <v>6735</v>
      </c>
      <c r="B84" s="52" t="s">
        <v>6003</v>
      </c>
      <c r="C84" s="53" t="s">
        <v>77</v>
      </c>
      <c r="D84" s="52" t="s">
        <v>33</v>
      </c>
      <c r="E84" s="52" t="s">
        <v>70</v>
      </c>
      <c r="F84" s="54" t="n">
        <v>1059353.83</v>
      </c>
      <c r="G84" s="55" t="n">
        <v>0.0953</v>
      </c>
      <c r="H84" s="56" t="n">
        <v>958397.41</v>
      </c>
      <c r="I84" s="55" t="n">
        <v>0.3675</v>
      </c>
      <c r="J84" s="57" t="n">
        <v>7.7</v>
      </c>
      <c r="K84" s="58" t="s">
        <v>5997</v>
      </c>
      <c r="L84" s="53" t="s">
        <v>84</v>
      </c>
    </row>
    <row r="85" customFormat="false" ht="15" hidden="false" customHeight="true" outlineLevel="0" collapsed="false">
      <c r="A85" s="52" t="s">
        <v>6454</v>
      </c>
      <c r="B85" s="52" t="s">
        <v>5996</v>
      </c>
      <c r="C85" s="53" t="s">
        <v>77</v>
      </c>
      <c r="D85" s="52" t="s">
        <v>24</v>
      </c>
      <c r="E85" s="52" t="s">
        <v>25</v>
      </c>
      <c r="F85" s="54" t="n">
        <v>1992680.74</v>
      </c>
      <c r="G85" s="55" t="n">
        <v>0.1631</v>
      </c>
      <c r="H85" s="56" t="n">
        <v>1667674.51</v>
      </c>
      <c r="I85" s="55" t="n">
        <v>0.4365</v>
      </c>
      <c r="J85" s="57" t="n">
        <v>7.7</v>
      </c>
      <c r="K85" s="58" t="s">
        <v>5997</v>
      </c>
      <c r="L85" s="53" t="s">
        <v>104</v>
      </c>
    </row>
    <row r="86" customFormat="false" ht="15" hidden="false" customHeight="true" outlineLevel="0" collapsed="false">
      <c r="A86" s="52" t="s">
        <v>6426</v>
      </c>
      <c r="B86" s="52" t="s">
        <v>5989</v>
      </c>
      <c r="C86" s="53" t="s">
        <v>42</v>
      </c>
      <c r="D86" s="52" t="s">
        <v>33</v>
      </c>
      <c r="E86" s="52" t="s">
        <v>70</v>
      </c>
      <c r="F86" s="54" t="n">
        <v>4196047.31</v>
      </c>
      <c r="G86" s="55" t="n">
        <v>0.0734</v>
      </c>
      <c r="H86" s="56" t="n">
        <v>3888057.44</v>
      </c>
      <c r="I86" s="55" t="n">
        <v>0.3915</v>
      </c>
      <c r="J86" s="57" t="n">
        <v>7.7</v>
      </c>
      <c r="K86" s="58" t="s">
        <v>5997</v>
      </c>
      <c r="L86" s="53" t="s">
        <v>104</v>
      </c>
    </row>
    <row r="87" customFormat="false" ht="15" hidden="false" customHeight="true" outlineLevel="0" collapsed="false">
      <c r="A87" s="52" t="s">
        <v>6560</v>
      </c>
      <c r="B87" s="52" t="s">
        <v>5989</v>
      </c>
      <c r="C87" s="53" t="s">
        <v>64</v>
      </c>
      <c r="D87" s="52" t="s">
        <v>24</v>
      </c>
      <c r="E87" s="52" t="s">
        <v>40</v>
      </c>
      <c r="F87" s="54" t="n">
        <v>2501551.05</v>
      </c>
      <c r="G87" s="55" t="n">
        <v>0.0617</v>
      </c>
      <c r="H87" s="56" t="n">
        <v>2347205.35</v>
      </c>
      <c r="I87" s="55" t="n">
        <v>0.4226</v>
      </c>
      <c r="J87" s="57" t="n">
        <v>7.7</v>
      </c>
      <c r="K87" s="58" t="s">
        <v>5997</v>
      </c>
      <c r="L87" s="53" t="s">
        <v>41</v>
      </c>
    </row>
    <row r="88" customFormat="false" ht="15" hidden="false" customHeight="true" outlineLevel="0" collapsed="false">
      <c r="A88" s="52" t="s">
        <v>7120</v>
      </c>
      <c r="B88" s="52" t="s">
        <v>5989</v>
      </c>
      <c r="C88" s="53" t="s">
        <v>56</v>
      </c>
      <c r="D88" s="52" t="s">
        <v>48</v>
      </c>
      <c r="E88" s="52" t="s">
        <v>40</v>
      </c>
      <c r="F88" s="54" t="n">
        <v>4457663.22</v>
      </c>
      <c r="G88" s="55" t="n">
        <v>0.1691</v>
      </c>
      <c r="H88" s="56" t="n">
        <v>3703872.37</v>
      </c>
      <c r="I88" s="55" t="n">
        <v>0.4643</v>
      </c>
      <c r="J88" s="57" t="n">
        <v>7.7</v>
      </c>
      <c r="K88" s="58" t="s">
        <v>5997</v>
      </c>
      <c r="L88" s="53" t="s">
        <v>55</v>
      </c>
    </row>
    <row r="89" customFormat="false" ht="15" hidden="false" customHeight="true" outlineLevel="0" collapsed="false">
      <c r="A89" s="52" t="s">
        <v>6313</v>
      </c>
      <c r="B89" s="52" t="s">
        <v>5996</v>
      </c>
      <c r="C89" s="53" t="s">
        <v>64</v>
      </c>
      <c r="D89" s="52" t="s">
        <v>33</v>
      </c>
      <c r="E89" s="52" t="s">
        <v>25</v>
      </c>
      <c r="F89" s="54" t="n">
        <v>1635221.27</v>
      </c>
      <c r="G89" s="55" t="n">
        <v>0.0946</v>
      </c>
      <c r="H89" s="56" t="n">
        <v>1480529.34</v>
      </c>
      <c r="I89" s="55" t="n">
        <v>0.3972</v>
      </c>
      <c r="J89" s="57" t="n">
        <v>7.7</v>
      </c>
      <c r="K89" s="58" t="s">
        <v>5997</v>
      </c>
      <c r="L89" s="53" t="s">
        <v>100</v>
      </c>
    </row>
    <row r="90" customFormat="false" ht="15" hidden="false" customHeight="true" outlineLevel="0" collapsed="false">
      <c r="A90" s="52" t="s">
        <v>6887</v>
      </c>
      <c r="B90" s="52" t="s">
        <v>6003</v>
      </c>
      <c r="C90" s="53" t="s">
        <v>56</v>
      </c>
      <c r="D90" s="52" t="s">
        <v>24</v>
      </c>
      <c r="E90" s="52" t="s">
        <v>25</v>
      </c>
      <c r="F90" s="54" t="n">
        <v>511355.89</v>
      </c>
      <c r="G90" s="55" t="n">
        <v>0.0509</v>
      </c>
      <c r="H90" s="56" t="n">
        <v>485327.88</v>
      </c>
      <c r="I90" s="55" t="n">
        <v>0.3129</v>
      </c>
      <c r="J90" s="57" t="n">
        <v>7.7</v>
      </c>
      <c r="K90" s="58" t="s">
        <v>5997</v>
      </c>
      <c r="L90" s="53" t="s">
        <v>76</v>
      </c>
    </row>
    <row r="91" customFormat="false" ht="15" hidden="false" customHeight="true" outlineLevel="0" collapsed="false">
      <c r="A91" s="52" t="s">
        <v>7112</v>
      </c>
      <c r="B91" s="52" t="s">
        <v>6009</v>
      </c>
      <c r="C91" s="53" t="s">
        <v>64</v>
      </c>
      <c r="D91" s="52" t="s">
        <v>24</v>
      </c>
      <c r="E91" s="52" t="s">
        <v>62</v>
      </c>
      <c r="F91" s="54" t="n">
        <v>4697321.82</v>
      </c>
      <c r="G91" s="55" t="n">
        <v>0.0838</v>
      </c>
      <c r="H91" s="56" t="n">
        <v>4303686.25</v>
      </c>
      <c r="I91" s="55" t="n">
        <v>0.4303</v>
      </c>
      <c r="J91" s="57" t="n">
        <v>7.6</v>
      </c>
      <c r="K91" s="58" t="s">
        <v>5997</v>
      </c>
      <c r="L91" s="53" t="s">
        <v>84</v>
      </c>
    </row>
  </sheetData>
  <mergeCells count="3">
    <mergeCell ref="A1:L1"/>
    <mergeCell ref="A3:L3"/>
    <mergeCell ref="A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6" min="4" style="1" width="16"/>
    <col collapsed="false" customWidth="true" hidden="false" outlineLevel="0" max="7" min="7" style="1" width="14"/>
    <col collapsed="false" customWidth="true" hidden="false" outlineLevel="0" max="10" min="8" style="1" width="12"/>
  </cols>
  <sheetData>
    <row r="1" customFormat="false" ht="25.5" hidden="false" customHeight="true" outlineLevel="0" collapsed="false">
      <c r="A1" s="4" t="s">
        <v>7443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6" hidden="false" customHeight="true" outlineLevel="0" collapsed="false"/>
    <row r="3" customFormat="false" ht="25.5" hidden="false" customHeight="true" outlineLevel="0" collapsed="false">
      <c r="A3" s="13" t="s">
        <v>7444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31.5" hidden="false" customHeight="true" outlineLevel="0" collapsed="false">
      <c r="A4" s="14" t="s">
        <v>7445</v>
      </c>
      <c r="B4" s="14" t="s">
        <v>7435</v>
      </c>
      <c r="C4" s="14" t="s">
        <v>7436</v>
      </c>
      <c r="D4" s="14" t="s">
        <v>7446</v>
      </c>
      <c r="E4" s="14" t="s">
        <v>7447</v>
      </c>
      <c r="F4" s="14" t="s">
        <v>7448</v>
      </c>
      <c r="G4" s="14" t="s">
        <v>7449</v>
      </c>
      <c r="H4" s="14" t="s">
        <v>7450</v>
      </c>
      <c r="I4" s="14" t="s">
        <v>7451</v>
      </c>
      <c r="J4" s="14" t="s">
        <v>7415</v>
      </c>
    </row>
    <row r="5" customFormat="false" ht="15" hidden="false" customHeight="true" outlineLevel="0" collapsed="false">
      <c r="A5" s="59" t="s">
        <v>54</v>
      </c>
      <c r="B5" s="52" t="s">
        <v>24</v>
      </c>
      <c r="C5" s="52" t="s">
        <v>40</v>
      </c>
      <c r="D5" s="60" t="n">
        <f aca="false">IFERROR(xlookup(A5,Data_Reps!A:A,Data_Reps!D:D),0)</f>
        <v>0</v>
      </c>
      <c r="E5" s="54" t="n">
        <f aca="false">IFERROR(xlookup(A5,Data_Reps!A:A,Data_Reps!E:E),0)</f>
        <v>0</v>
      </c>
      <c r="F5" s="61" t="n">
        <f aca="false">IFERROR(E5/D5,0)</f>
        <v>0</v>
      </c>
      <c r="G5" s="54" t="n">
        <f aca="false">IFERROR(xlookup(A5,Data_Reps!A:A,Data_Reps!J:J),0)</f>
        <v>0</v>
      </c>
      <c r="H5" s="55" t="n">
        <f aca="false">IFERROR(xlookup(A5,Data_Reps!A:A,Data_Reps!I:I),0)</f>
        <v>0</v>
      </c>
      <c r="I5" s="55" t="n">
        <f aca="false">IFERROR(xlookup(A5,Data_Reps!A:A,Data_Reps!L:L),0)</f>
        <v>0</v>
      </c>
      <c r="J5" s="55" t="n">
        <f aca="false">IFERROR(xlookup(A5,Data_Reps!A:A,Data_Reps!M:M),0)</f>
        <v>0</v>
      </c>
    </row>
    <row r="6" customFormat="false" ht="15" hidden="false" customHeight="true" outlineLevel="0" collapsed="false">
      <c r="A6" s="59" t="s">
        <v>38</v>
      </c>
      <c r="B6" s="52" t="s">
        <v>39</v>
      </c>
      <c r="C6" s="52" t="s">
        <v>40</v>
      </c>
      <c r="D6" s="60" t="n">
        <f aca="false">IFERROR(xlookup(A6,Data_Reps!A:A,Data_Reps!D:D),0)</f>
        <v>0</v>
      </c>
      <c r="E6" s="54" t="n">
        <f aca="false">IFERROR(xlookup(A6,Data_Reps!A:A,Data_Reps!E:E),0)</f>
        <v>0</v>
      </c>
      <c r="F6" s="61" t="n">
        <f aca="false">IFERROR(E6/D6,0)</f>
        <v>0</v>
      </c>
      <c r="G6" s="54" t="n">
        <f aca="false">IFERROR(xlookup(A6,Data_Reps!A:A,Data_Reps!J:J),0)</f>
        <v>0</v>
      </c>
      <c r="H6" s="55" t="n">
        <f aca="false">IFERROR(xlookup(A6,Data_Reps!A:A,Data_Reps!I:I),0)</f>
        <v>0</v>
      </c>
      <c r="I6" s="55" t="n">
        <f aca="false">IFERROR(xlookup(A6,Data_Reps!A:A,Data_Reps!L:L),0)</f>
        <v>0</v>
      </c>
      <c r="J6" s="55" t="n">
        <f aca="false">IFERROR(xlookup(A6,Data_Reps!A:A,Data_Reps!M:M),0)</f>
        <v>0</v>
      </c>
    </row>
    <row r="7" customFormat="false" ht="15" hidden="false" customHeight="true" outlineLevel="0" collapsed="false">
      <c r="A7" s="59" t="s">
        <v>69</v>
      </c>
      <c r="B7" s="52" t="s">
        <v>39</v>
      </c>
      <c r="C7" s="52" t="s">
        <v>70</v>
      </c>
      <c r="D7" s="60" t="n">
        <f aca="false">IFERROR(xlookup(A7,Data_Reps!A:A,Data_Reps!D:D),0)</f>
        <v>0</v>
      </c>
      <c r="E7" s="54" t="n">
        <f aca="false">IFERROR(xlookup(A7,Data_Reps!A:A,Data_Reps!E:E),0)</f>
        <v>0</v>
      </c>
      <c r="F7" s="61" t="n">
        <f aca="false">IFERROR(E7/D7,0)</f>
        <v>0</v>
      </c>
      <c r="G7" s="54" t="n">
        <f aca="false">IFERROR(xlookup(A7,Data_Reps!A:A,Data_Reps!J:J),0)</f>
        <v>0</v>
      </c>
      <c r="H7" s="55" t="n">
        <f aca="false">IFERROR(xlookup(A7,Data_Reps!A:A,Data_Reps!I:I),0)</f>
        <v>0</v>
      </c>
      <c r="I7" s="55" t="n">
        <f aca="false">IFERROR(xlookup(A7,Data_Reps!A:A,Data_Reps!L:L),0)</f>
        <v>0</v>
      </c>
      <c r="J7" s="55" t="n">
        <f aca="false">IFERROR(xlookup(A7,Data_Reps!A:A,Data_Reps!M:M),0)</f>
        <v>0</v>
      </c>
    </row>
    <row r="8" customFormat="false" ht="15" hidden="false" customHeight="true" outlineLevel="0" collapsed="false">
      <c r="A8" s="59" t="s">
        <v>47</v>
      </c>
      <c r="B8" s="52" t="s">
        <v>48</v>
      </c>
      <c r="C8" s="52" t="s">
        <v>25</v>
      </c>
      <c r="D8" s="60" t="n">
        <f aca="false">IFERROR(xlookup(A8,Data_Reps!A:A,Data_Reps!D:D),0)</f>
        <v>0</v>
      </c>
      <c r="E8" s="54" t="n">
        <f aca="false">IFERROR(xlookup(A8,Data_Reps!A:A,Data_Reps!E:E),0)</f>
        <v>0</v>
      </c>
      <c r="F8" s="61" t="n">
        <f aca="false">IFERROR(E8/D8,0)</f>
        <v>0</v>
      </c>
      <c r="G8" s="54" t="n">
        <f aca="false">IFERROR(xlookup(A8,Data_Reps!A:A,Data_Reps!J:J),0)</f>
        <v>0</v>
      </c>
      <c r="H8" s="55" t="n">
        <f aca="false">IFERROR(xlookup(A8,Data_Reps!A:A,Data_Reps!I:I),0)</f>
        <v>0</v>
      </c>
      <c r="I8" s="55" t="n">
        <f aca="false">IFERROR(xlookup(A8,Data_Reps!A:A,Data_Reps!L:L),0)</f>
        <v>0</v>
      </c>
      <c r="J8" s="55" t="n">
        <f aca="false">IFERROR(xlookup(A8,Data_Reps!A:A,Data_Reps!M:M),0)</f>
        <v>0</v>
      </c>
    </row>
    <row r="9" customFormat="false" ht="15" hidden="false" customHeight="true" outlineLevel="0" collapsed="false">
      <c r="A9" s="59" t="s">
        <v>23</v>
      </c>
      <c r="B9" s="52" t="s">
        <v>24</v>
      </c>
      <c r="C9" s="52" t="s">
        <v>25</v>
      </c>
      <c r="D9" s="60" t="n">
        <f aca="false">IFERROR(xlookup(A9,Data_Reps!A:A,Data_Reps!D:D),0)</f>
        <v>0</v>
      </c>
      <c r="E9" s="54" t="n">
        <f aca="false">IFERROR(xlookup(A9,Data_Reps!A:A,Data_Reps!E:E),0)</f>
        <v>0</v>
      </c>
      <c r="F9" s="61" t="n">
        <f aca="false">IFERROR(E9/D9,0)</f>
        <v>0</v>
      </c>
      <c r="G9" s="54" t="n">
        <f aca="false">IFERROR(xlookup(A9,Data_Reps!A:A,Data_Reps!J:J),0)</f>
        <v>0</v>
      </c>
      <c r="H9" s="55" t="n">
        <f aca="false">IFERROR(xlookup(A9,Data_Reps!A:A,Data_Reps!I:I),0)</f>
        <v>0</v>
      </c>
      <c r="I9" s="55" t="n">
        <f aca="false">IFERROR(xlookup(A9,Data_Reps!A:A,Data_Reps!L:L),0)</f>
        <v>0</v>
      </c>
      <c r="J9" s="55" t="n">
        <f aca="false">IFERROR(xlookup(A9,Data_Reps!A:A,Data_Reps!M:M),0)</f>
        <v>0</v>
      </c>
    </row>
    <row r="10" customFormat="false" ht="15" hidden="false" customHeight="true" outlineLevel="0" collapsed="false">
      <c r="A10" s="62" t="s">
        <v>97</v>
      </c>
      <c r="B10" s="63" t="s">
        <v>48</v>
      </c>
      <c r="C10" s="63" t="s">
        <v>40</v>
      </c>
      <c r="D10" s="64" t="n">
        <f aca="false">IFERROR(xlookup(A10,Data_Reps!A:A,Data_Reps!D:D),0)</f>
        <v>0</v>
      </c>
      <c r="E10" s="65" t="n">
        <f aca="false">IFERROR(xlookup(A10,Data_Reps!A:A,Data_Reps!E:E),0)</f>
        <v>0</v>
      </c>
      <c r="F10" s="66" t="n">
        <f aca="false">IFERROR(E10/D10,0)</f>
        <v>0</v>
      </c>
      <c r="G10" s="65" t="n">
        <f aca="false">IFERROR(xlookup(A10,Data_Reps!A:A,Data_Reps!J:J),0)</f>
        <v>0</v>
      </c>
      <c r="H10" s="67" t="n">
        <f aca="false">IFERROR(xlookup(A10,Data_Reps!A:A,Data_Reps!I:I),0)</f>
        <v>0</v>
      </c>
      <c r="I10" s="67" t="n">
        <f aca="false">IFERROR(xlookup(A10,Data_Reps!A:A,Data_Reps!L:L),0)</f>
        <v>0</v>
      </c>
      <c r="J10" s="67" t="n">
        <f aca="false">IFERROR(xlookup(A10,Data_Reps!A:A,Data_Reps!M:M),0)</f>
        <v>0</v>
      </c>
    </row>
    <row r="11" customFormat="false" ht="15" hidden="false" customHeight="true" outlineLevel="0" collapsed="false">
      <c r="A11" s="62" t="s">
        <v>83</v>
      </c>
      <c r="B11" s="63" t="s">
        <v>48</v>
      </c>
      <c r="C11" s="63" t="s">
        <v>62</v>
      </c>
      <c r="D11" s="64" t="n">
        <f aca="false">IFERROR(xlookup(A11,Data_Reps!A:A,Data_Reps!D:D),0)</f>
        <v>0</v>
      </c>
      <c r="E11" s="65" t="n">
        <f aca="false">IFERROR(xlookup(A11,Data_Reps!A:A,Data_Reps!E:E),0)</f>
        <v>0</v>
      </c>
      <c r="F11" s="66" t="n">
        <f aca="false">IFERROR(E11/D11,0)</f>
        <v>0</v>
      </c>
      <c r="G11" s="65" t="n">
        <f aca="false">IFERROR(xlookup(A11,Data_Reps!A:A,Data_Reps!J:J),0)</f>
        <v>0</v>
      </c>
      <c r="H11" s="67" t="n">
        <f aca="false">IFERROR(xlookup(A11,Data_Reps!A:A,Data_Reps!I:I),0)</f>
        <v>0</v>
      </c>
      <c r="I11" s="67" t="n">
        <f aca="false">IFERROR(xlookup(A11,Data_Reps!A:A,Data_Reps!L:L),0)</f>
        <v>0</v>
      </c>
      <c r="J11" s="67" t="n">
        <f aca="false">IFERROR(xlookup(A11,Data_Reps!A:A,Data_Reps!M:M),0)</f>
        <v>0</v>
      </c>
    </row>
    <row r="12" customFormat="false" ht="15" hidden="false" customHeight="true" outlineLevel="0" collapsed="false">
      <c r="A12" s="62" t="s">
        <v>103</v>
      </c>
      <c r="B12" s="63" t="s">
        <v>24</v>
      </c>
      <c r="C12" s="63" t="s">
        <v>62</v>
      </c>
      <c r="D12" s="64" t="n">
        <f aca="false">IFERROR(xlookup(A12,Data_Reps!A:A,Data_Reps!D:D),0)</f>
        <v>0</v>
      </c>
      <c r="E12" s="65" t="n">
        <f aca="false">IFERROR(xlookup(A12,Data_Reps!A:A,Data_Reps!E:E),0)</f>
        <v>0</v>
      </c>
      <c r="F12" s="66" t="n">
        <f aca="false">IFERROR(E12/D12,0)</f>
        <v>0</v>
      </c>
      <c r="G12" s="65" t="n">
        <f aca="false">IFERROR(xlookup(A12,Data_Reps!A:A,Data_Reps!J:J),0)</f>
        <v>0</v>
      </c>
      <c r="H12" s="67" t="n">
        <f aca="false">IFERROR(xlookup(A12,Data_Reps!A:A,Data_Reps!I:I),0)</f>
        <v>0</v>
      </c>
      <c r="I12" s="67" t="n">
        <f aca="false">IFERROR(xlookup(A12,Data_Reps!A:A,Data_Reps!L:L),0)</f>
        <v>0</v>
      </c>
      <c r="J12" s="67" t="n">
        <f aca="false">IFERROR(xlookup(A12,Data_Reps!A:A,Data_Reps!M:M),0)</f>
        <v>0</v>
      </c>
    </row>
    <row r="13" customFormat="false" ht="15" hidden="false" customHeight="true" outlineLevel="0" collapsed="false">
      <c r="A13" s="68" t="s">
        <v>61</v>
      </c>
      <c r="B13" s="69" t="s">
        <v>33</v>
      </c>
      <c r="C13" s="69" t="s">
        <v>62</v>
      </c>
      <c r="D13" s="70" t="n">
        <f aca="false">IFERROR(xlookup(A13,Data_Reps!A:A,Data_Reps!D:D),0)</f>
        <v>0</v>
      </c>
      <c r="E13" s="71" t="n">
        <f aca="false">IFERROR(xlookup(A13,Data_Reps!A:A,Data_Reps!E:E),0)</f>
        <v>0</v>
      </c>
      <c r="F13" s="72" t="n">
        <f aca="false">IFERROR(E13/D13,0)</f>
        <v>0</v>
      </c>
      <c r="G13" s="71" t="n">
        <f aca="false">IFERROR(xlookup(A13,Data_Reps!A:A,Data_Reps!J:J),0)</f>
        <v>0</v>
      </c>
      <c r="H13" s="73" t="n">
        <f aca="false">IFERROR(xlookup(A13,Data_Reps!A:A,Data_Reps!I:I),0)</f>
        <v>0</v>
      </c>
      <c r="I13" s="73" t="n">
        <f aca="false">IFERROR(xlookup(A13,Data_Reps!A:A,Data_Reps!L:L),0)</f>
        <v>0</v>
      </c>
      <c r="J13" s="73" t="n">
        <f aca="false">IFERROR(xlookup(A13,Data_Reps!A:A,Data_Reps!M:M),0)</f>
        <v>0</v>
      </c>
    </row>
    <row r="14" customFormat="false" ht="15" hidden="false" customHeight="true" outlineLevel="0" collapsed="false">
      <c r="A14" s="68" t="s">
        <v>107</v>
      </c>
      <c r="B14" s="69" t="s">
        <v>33</v>
      </c>
      <c r="C14" s="69" t="s">
        <v>70</v>
      </c>
      <c r="D14" s="70" t="n">
        <f aca="false">IFERROR(xlookup(A14,Data_Reps!A:A,Data_Reps!D:D),0)</f>
        <v>0</v>
      </c>
      <c r="E14" s="71" t="n">
        <f aca="false">IFERROR(xlookup(A14,Data_Reps!A:A,Data_Reps!E:E),0)</f>
        <v>0</v>
      </c>
      <c r="F14" s="72" t="n">
        <f aca="false">IFERROR(E14/D14,0)</f>
        <v>0</v>
      </c>
      <c r="G14" s="71" t="n">
        <f aca="false">IFERROR(xlookup(A14,Data_Reps!A:A,Data_Reps!J:J),0)</f>
        <v>0</v>
      </c>
      <c r="H14" s="73" t="n">
        <f aca="false">IFERROR(xlookup(A14,Data_Reps!A:A,Data_Reps!I:I),0)</f>
        <v>0</v>
      </c>
      <c r="I14" s="73" t="n">
        <f aca="false">IFERROR(xlookup(A14,Data_Reps!A:A,Data_Reps!L:L),0)</f>
        <v>0</v>
      </c>
      <c r="J14" s="73" t="n">
        <f aca="false">IFERROR(xlookup(A14,Data_Reps!A:A,Data_Reps!M:M),0)</f>
        <v>0</v>
      </c>
    </row>
    <row r="15" customFormat="false" ht="15" hidden="false" customHeight="true" outlineLevel="0" collapsed="false">
      <c r="A15" s="68" t="s">
        <v>75</v>
      </c>
      <c r="B15" s="69" t="s">
        <v>39</v>
      </c>
      <c r="C15" s="69" t="s">
        <v>25</v>
      </c>
      <c r="D15" s="70" t="n">
        <f aca="false">IFERROR(xlookup(A15,Data_Reps!A:A,Data_Reps!D:D),0)</f>
        <v>0</v>
      </c>
      <c r="E15" s="71" t="n">
        <f aca="false">IFERROR(xlookup(A15,Data_Reps!A:A,Data_Reps!E:E),0)</f>
        <v>0</v>
      </c>
      <c r="F15" s="72" t="n">
        <f aca="false">IFERROR(E15/D15,0)</f>
        <v>0</v>
      </c>
      <c r="G15" s="71" t="n">
        <f aca="false">IFERROR(xlookup(A15,Data_Reps!A:A,Data_Reps!J:J),0)</f>
        <v>0</v>
      </c>
      <c r="H15" s="73" t="n">
        <f aca="false">IFERROR(xlookup(A15,Data_Reps!A:A,Data_Reps!I:I),0)</f>
        <v>0</v>
      </c>
      <c r="I15" s="73" t="n">
        <f aca="false">IFERROR(xlookup(A15,Data_Reps!A:A,Data_Reps!L:L),0)</f>
        <v>0</v>
      </c>
      <c r="J15" s="73" t="n">
        <f aca="false">IFERROR(xlookup(A15,Data_Reps!A:A,Data_Reps!M:M),0)</f>
        <v>0</v>
      </c>
    </row>
    <row r="16" customFormat="false" ht="15" hidden="false" customHeight="true" outlineLevel="0" collapsed="false">
      <c r="A16" s="68" t="s">
        <v>32</v>
      </c>
      <c r="B16" s="69" t="s">
        <v>33</v>
      </c>
      <c r="C16" s="69" t="s">
        <v>25</v>
      </c>
      <c r="D16" s="70" t="n">
        <f aca="false">IFERROR(xlookup(A16,Data_Reps!A:A,Data_Reps!D:D),0)</f>
        <v>0</v>
      </c>
      <c r="E16" s="71" t="n">
        <f aca="false">IFERROR(xlookup(A16,Data_Reps!A:A,Data_Reps!E:E),0)</f>
        <v>0</v>
      </c>
      <c r="F16" s="72" t="n">
        <f aca="false">IFERROR(E16/D16,0)</f>
        <v>0</v>
      </c>
      <c r="G16" s="71" t="n">
        <f aca="false">IFERROR(xlookup(A16,Data_Reps!A:A,Data_Reps!J:J),0)</f>
        <v>0</v>
      </c>
      <c r="H16" s="73" t="n">
        <f aca="false">IFERROR(xlookup(A16,Data_Reps!A:A,Data_Reps!I:I),0)</f>
        <v>0</v>
      </c>
      <c r="I16" s="73" t="n">
        <f aca="false">IFERROR(xlookup(A16,Data_Reps!A:A,Data_Reps!L:L),0)</f>
        <v>0</v>
      </c>
      <c r="J16" s="73" t="n">
        <f aca="false">IFERROR(xlookup(A16,Data_Reps!A:A,Data_Reps!M:M),0)</f>
        <v>0</v>
      </c>
    </row>
    <row r="17" customFormat="false" ht="15" hidden="false" customHeight="true" outlineLevel="0" collapsed="false">
      <c r="A17" s="33" t="s">
        <v>7452</v>
      </c>
      <c r="D17" s="74" t="n">
        <f aca="false">SUM(D5:D16)</f>
        <v>0</v>
      </c>
      <c r="E17" s="74" t="n">
        <f aca="false">SUM(E5:E16)</f>
        <v>0</v>
      </c>
      <c r="F17" s="36" t="n">
        <f aca="false">IFERROR(E17/D17,0)</f>
        <v>0</v>
      </c>
      <c r="G17" s="74" t="n">
        <f aca="false">AVERAGE(G5:G16)</f>
        <v>0</v>
      </c>
      <c r="H17" s="36" t="n">
        <f aca="false">AVERAGE(H5:H16)</f>
        <v>0</v>
      </c>
      <c r="I17" s="36" t="n">
        <f aca="false">AVERAGE(I5:I16)</f>
        <v>0</v>
      </c>
      <c r="J17" s="36" t="n">
        <f aca="false">AVERAGE(J5:J16)</f>
        <v>0</v>
      </c>
    </row>
    <row r="19" customFormat="false" ht="25.5" hidden="false" customHeight="true" outlineLevel="0" collapsed="false">
      <c r="A19" s="13" t="s">
        <v>7453</v>
      </c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31.5" hidden="false" customHeight="true" outlineLevel="0" collapsed="false">
      <c r="A20" s="14" t="s">
        <v>7454</v>
      </c>
      <c r="B20" s="14" t="s">
        <v>7445</v>
      </c>
      <c r="C20" s="14" t="s">
        <v>7435</v>
      </c>
      <c r="D20" s="14" t="s">
        <v>7455</v>
      </c>
      <c r="E20" s="14" t="s">
        <v>7447</v>
      </c>
      <c r="F20" s="14" t="s">
        <v>7456</v>
      </c>
      <c r="G20" s="14" t="s">
        <v>7457</v>
      </c>
      <c r="H20" s="14" t="s">
        <v>7391</v>
      </c>
      <c r="I20" s="14" t="s">
        <v>7394</v>
      </c>
      <c r="J20" s="14" t="s">
        <v>7398</v>
      </c>
    </row>
    <row r="21" customFormat="false" ht="15" hidden="false" customHeight="true" outlineLevel="0" collapsed="false">
      <c r="A21" s="43" t="s">
        <v>7343</v>
      </c>
      <c r="B21" s="15" t="s">
        <v>103</v>
      </c>
      <c r="C21" s="23" t="s">
        <v>24</v>
      </c>
      <c r="D21" s="75" t="n">
        <f aca="false">IFERROR(AVERAGEIFS(Data_Monthly!E:E,Data_Monthly!B:B,B21,Data_Monthly!C:C,A21),0)</f>
        <v>0</v>
      </c>
      <c r="E21" s="48" t="n">
        <f aca="false">IFERROR(AVERAGEIFS(Data_Monthly!D:D,Data_Monthly!B:B,B21,Data_Monthly!C:C,A21),0)</f>
        <v>0</v>
      </c>
      <c r="F21" s="76" t="n">
        <f aca="false">E21-D21</f>
        <v>0</v>
      </c>
      <c r="G21" s="20" t="n">
        <f aca="false">IFERROR(F21/D21,0)</f>
        <v>0</v>
      </c>
      <c r="H21" s="18" t="n">
        <f aca="false">IFERROR(AVERAGEIFS(Data_Monthly!H:H,Data_Monthly!B:B,B21,Data_Monthly!C:C,A21),0)</f>
        <v>0</v>
      </c>
      <c r="I21" s="18" t="n">
        <f aca="false">IFERROR(AVERAGEIFS(Data_Monthly!I:I,Data_Monthly!B:B,B21,Data_Monthly!C:C,A21),0)</f>
        <v>0</v>
      </c>
      <c r="J21" s="77" t="str">
        <f aca="false">IF(F21&gt;=0,"✓ Beat","✗ Miss")</f>
        <v>✓ Beat</v>
      </c>
    </row>
    <row r="22" customFormat="false" ht="15" hidden="false" customHeight="true" outlineLevel="0" collapsed="false">
      <c r="A22" s="44" t="s">
        <v>7343</v>
      </c>
      <c r="B22" s="24" t="s">
        <v>23</v>
      </c>
      <c r="C22" s="32" t="s">
        <v>24</v>
      </c>
      <c r="D22" s="78" t="n">
        <f aca="false">IFERROR(AVERAGEIFS(Data_Monthly!E:E,Data_Monthly!B:B,B22,Data_Monthly!C:C,A22),0)</f>
        <v>0</v>
      </c>
      <c r="E22" s="45" t="n">
        <f aca="false">IFERROR(AVERAGEIFS(Data_Monthly!D:D,Data_Monthly!B:B,B22,Data_Monthly!C:C,A22),0)</f>
        <v>0</v>
      </c>
      <c r="F22" s="79" t="n">
        <f aca="false">E22-D22</f>
        <v>0</v>
      </c>
      <c r="G22" s="29" t="n">
        <f aca="false">IFERROR(F22/D22,0)</f>
        <v>0</v>
      </c>
      <c r="H22" s="27" t="n">
        <f aca="false">IFERROR(AVERAGEIFS(Data_Monthly!H:H,Data_Monthly!B:B,B22,Data_Monthly!C:C,A22),0)</f>
        <v>0</v>
      </c>
      <c r="I22" s="27" t="n">
        <f aca="false">IFERROR(AVERAGEIFS(Data_Monthly!I:I,Data_Monthly!B:B,B22,Data_Monthly!C:C,A22),0)</f>
        <v>0</v>
      </c>
      <c r="J22" s="80" t="str">
        <f aca="false">IF(F22&gt;=0,"✓ Beat","✗ Miss")</f>
        <v>✓ Beat</v>
      </c>
    </row>
    <row r="23" customFormat="false" ht="15" hidden="false" customHeight="true" outlineLevel="0" collapsed="false">
      <c r="A23" s="43" t="s">
        <v>7343</v>
      </c>
      <c r="B23" s="15" t="s">
        <v>107</v>
      </c>
      <c r="C23" s="23" t="s">
        <v>33</v>
      </c>
      <c r="D23" s="75" t="n">
        <f aca="false">IFERROR(AVERAGEIFS(Data_Monthly!E:E,Data_Monthly!B:B,B23,Data_Monthly!C:C,A23),0)</f>
        <v>0</v>
      </c>
      <c r="E23" s="48" t="n">
        <f aca="false">IFERROR(AVERAGEIFS(Data_Monthly!D:D,Data_Monthly!B:B,B23,Data_Monthly!C:C,A23),0)</f>
        <v>0</v>
      </c>
      <c r="F23" s="76" t="n">
        <f aca="false">E23-D23</f>
        <v>0</v>
      </c>
      <c r="G23" s="20" t="n">
        <f aca="false">IFERROR(F23/D23,0)</f>
        <v>0</v>
      </c>
      <c r="H23" s="18" t="n">
        <f aca="false">IFERROR(AVERAGEIFS(Data_Monthly!H:H,Data_Monthly!B:B,B23,Data_Monthly!C:C,A23),0)</f>
        <v>0</v>
      </c>
      <c r="I23" s="18" t="n">
        <f aca="false">IFERROR(AVERAGEIFS(Data_Monthly!I:I,Data_Monthly!B:B,B23,Data_Monthly!C:C,A23),0)</f>
        <v>0</v>
      </c>
      <c r="J23" s="77" t="str">
        <f aca="false">IF(F23&gt;=0,"✓ Beat","✗ Miss")</f>
        <v>✓ Beat</v>
      </c>
    </row>
    <row r="24" customFormat="false" ht="15" hidden="false" customHeight="true" outlineLevel="0" collapsed="false">
      <c r="A24" s="44" t="s">
        <v>7343</v>
      </c>
      <c r="B24" s="24" t="s">
        <v>32</v>
      </c>
      <c r="C24" s="32" t="s">
        <v>33</v>
      </c>
      <c r="D24" s="78" t="n">
        <f aca="false">IFERROR(AVERAGEIFS(Data_Monthly!E:E,Data_Monthly!B:B,B24,Data_Monthly!C:C,A24),0)</f>
        <v>0</v>
      </c>
      <c r="E24" s="45" t="n">
        <f aca="false">IFERROR(AVERAGEIFS(Data_Monthly!D:D,Data_Monthly!B:B,B24,Data_Monthly!C:C,A24),0)</f>
        <v>0</v>
      </c>
      <c r="F24" s="79" t="n">
        <f aca="false">E24-D24</f>
        <v>0</v>
      </c>
      <c r="G24" s="29" t="n">
        <f aca="false">IFERROR(F24/D24,0)</f>
        <v>0</v>
      </c>
      <c r="H24" s="27" t="n">
        <f aca="false">IFERROR(AVERAGEIFS(Data_Monthly!H:H,Data_Monthly!B:B,B24,Data_Monthly!C:C,A24),0)</f>
        <v>0</v>
      </c>
      <c r="I24" s="27" t="n">
        <f aca="false">IFERROR(AVERAGEIFS(Data_Monthly!I:I,Data_Monthly!B:B,B24,Data_Monthly!C:C,A24),0)</f>
        <v>0</v>
      </c>
      <c r="J24" s="80" t="str">
        <f aca="false">IF(F24&gt;=0,"✓ Beat","✗ Miss")</f>
        <v>✓ Beat</v>
      </c>
    </row>
    <row r="25" customFormat="false" ht="15" hidden="false" customHeight="true" outlineLevel="0" collapsed="false">
      <c r="A25" s="43" t="s">
        <v>7343</v>
      </c>
      <c r="B25" s="15" t="s">
        <v>47</v>
      </c>
      <c r="C25" s="23" t="s">
        <v>48</v>
      </c>
      <c r="D25" s="75" t="n">
        <f aca="false">IFERROR(AVERAGEIFS(Data_Monthly!E:E,Data_Monthly!B:B,B25,Data_Monthly!C:C,A25),0)</f>
        <v>0</v>
      </c>
      <c r="E25" s="48" t="n">
        <f aca="false">IFERROR(AVERAGEIFS(Data_Monthly!D:D,Data_Monthly!B:B,B25,Data_Monthly!C:C,A25),0)</f>
        <v>0</v>
      </c>
      <c r="F25" s="76" t="n">
        <f aca="false">E25-D25</f>
        <v>0</v>
      </c>
      <c r="G25" s="20" t="n">
        <f aca="false">IFERROR(F25/D25,0)</f>
        <v>0</v>
      </c>
      <c r="H25" s="18" t="n">
        <f aca="false">IFERROR(AVERAGEIFS(Data_Monthly!H:H,Data_Monthly!B:B,B25,Data_Monthly!C:C,A25),0)</f>
        <v>0</v>
      </c>
      <c r="I25" s="18" t="n">
        <f aca="false">IFERROR(AVERAGEIFS(Data_Monthly!I:I,Data_Monthly!B:B,B25,Data_Monthly!C:C,A25),0)</f>
        <v>0</v>
      </c>
      <c r="J25" s="77" t="str">
        <f aca="false">IF(F25&gt;=0,"✓ Beat","✗ Miss")</f>
        <v>✓ Beat</v>
      </c>
    </row>
    <row r="26" customFormat="false" ht="15" hidden="false" customHeight="true" outlineLevel="0" collapsed="false">
      <c r="A26" s="44" t="s">
        <v>7343</v>
      </c>
      <c r="B26" s="24" t="s">
        <v>75</v>
      </c>
      <c r="C26" s="32" t="s">
        <v>39</v>
      </c>
      <c r="D26" s="78" t="n">
        <f aca="false">IFERROR(AVERAGEIFS(Data_Monthly!E:E,Data_Monthly!B:B,B26,Data_Monthly!C:C,A26),0)</f>
        <v>0</v>
      </c>
      <c r="E26" s="45" t="n">
        <f aca="false">IFERROR(AVERAGEIFS(Data_Monthly!D:D,Data_Monthly!B:B,B26,Data_Monthly!C:C,A26),0)</f>
        <v>0</v>
      </c>
      <c r="F26" s="79" t="n">
        <f aca="false">E26-D26</f>
        <v>0</v>
      </c>
      <c r="G26" s="29" t="n">
        <f aca="false">IFERROR(F26/D26,0)</f>
        <v>0</v>
      </c>
      <c r="H26" s="27" t="n">
        <f aca="false">IFERROR(AVERAGEIFS(Data_Monthly!H:H,Data_Monthly!B:B,B26,Data_Monthly!C:C,A26),0)</f>
        <v>0</v>
      </c>
      <c r="I26" s="27" t="n">
        <f aca="false">IFERROR(AVERAGEIFS(Data_Monthly!I:I,Data_Monthly!B:B,B26,Data_Monthly!C:C,A26),0)</f>
        <v>0</v>
      </c>
      <c r="J26" s="80" t="str">
        <f aca="false">IF(F26&gt;=0,"✓ Beat","✗ Miss")</f>
        <v>✓ Beat</v>
      </c>
    </row>
    <row r="27" customFormat="false" ht="15" hidden="false" customHeight="true" outlineLevel="0" collapsed="false">
      <c r="A27" s="43" t="s">
        <v>7343</v>
      </c>
      <c r="B27" s="15" t="s">
        <v>38</v>
      </c>
      <c r="C27" s="23" t="s">
        <v>39</v>
      </c>
      <c r="D27" s="75" t="n">
        <f aca="false">IFERROR(AVERAGEIFS(Data_Monthly!E:E,Data_Monthly!B:B,B27,Data_Monthly!C:C,A27),0)</f>
        <v>0</v>
      </c>
      <c r="E27" s="48" t="n">
        <f aca="false">IFERROR(AVERAGEIFS(Data_Monthly!D:D,Data_Monthly!B:B,B27,Data_Monthly!C:C,A27),0)</f>
        <v>0</v>
      </c>
      <c r="F27" s="76" t="n">
        <f aca="false">E27-D27</f>
        <v>0</v>
      </c>
      <c r="G27" s="20" t="n">
        <f aca="false">IFERROR(F27/D27,0)</f>
        <v>0</v>
      </c>
      <c r="H27" s="18" t="n">
        <f aca="false">IFERROR(AVERAGEIFS(Data_Monthly!H:H,Data_Monthly!B:B,B27,Data_Monthly!C:C,A27),0)</f>
        <v>0</v>
      </c>
      <c r="I27" s="18" t="n">
        <f aca="false">IFERROR(AVERAGEIFS(Data_Monthly!I:I,Data_Monthly!B:B,B27,Data_Monthly!C:C,A27),0)</f>
        <v>0</v>
      </c>
      <c r="J27" s="77" t="str">
        <f aca="false">IF(F27&gt;=0,"✓ Beat","✗ Miss")</f>
        <v>✓ Beat</v>
      </c>
    </row>
    <row r="28" customFormat="false" ht="15" hidden="false" customHeight="true" outlineLevel="0" collapsed="false">
      <c r="A28" s="44" t="s">
        <v>7343</v>
      </c>
      <c r="B28" s="24" t="s">
        <v>97</v>
      </c>
      <c r="C28" s="32" t="s">
        <v>48</v>
      </c>
      <c r="D28" s="78" t="n">
        <f aca="false">IFERROR(AVERAGEIFS(Data_Monthly!E:E,Data_Monthly!B:B,B28,Data_Monthly!C:C,A28),0)</f>
        <v>0</v>
      </c>
      <c r="E28" s="45" t="n">
        <f aca="false">IFERROR(AVERAGEIFS(Data_Monthly!D:D,Data_Monthly!B:B,B28,Data_Monthly!C:C,A28),0)</f>
        <v>0</v>
      </c>
      <c r="F28" s="79" t="n">
        <f aca="false">E28-D28</f>
        <v>0</v>
      </c>
      <c r="G28" s="29" t="n">
        <f aca="false">IFERROR(F28/D28,0)</f>
        <v>0</v>
      </c>
      <c r="H28" s="27" t="n">
        <f aca="false">IFERROR(AVERAGEIFS(Data_Monthly!H:H,Data_Monthly!B:B,B28,Data_Monthly!C:C,A28),0)</f>
        <v>0</v>
      </c>
      <c r="I28" s="27" t="n">
        <f aca="false">IFERROR(AVERAGEIFS(Data_Monthly!I:I,Data_Monthly!B:B,B28,Data_Monthly!C:C,A28),0)</f>
        <v>0</v>
      </c>
      <c r="J28" s="80" t="str">
        <f aca="false">IF(F28&gt;=0,"✓ Beat","✗ Miss")</f>
        <v>✓ Beat</v>
      </c>
    </row>
    <row r="29" customFormat="false" ht="15" hidden="false" customHeight="true" outlineLevel="0" collapsed="false">
      <c r="A29" s="43" t="s">
        <v>7343</v>
      </c>
      <c r="B29" s="15" t="s">
        <v>61</v>
      </c>
      <c r="C29" s="23" t="s">
        <v>33</v>
      </c>
      <c r="D29" s="75" t="n">
        <f aca="false">IFERROR(AVERAGEIFS(Data_Monthly!E:E,Data_Monthly!B:B,B29,Data_Monthly!C:C,A29),0)</f>
        <v>0</v>
      </c>
      <c r="E29" s="48" t="n">
        <f aca="false">IFERROR(AVERAGEIFS(Data_Monthly!D:D,Data_Monthly!B:B,B29,Data_Monthly!C:C,A29),0)</f>
        <v>0</v>
      </c>
      <c r="F29" s="76" t="n">
        <f aca="false">E29-D29</f>
        <v>0</v>
      </c>
      <c r="G29" s="20" t="n">
        <f aca="false">IFERROR(F29/D29,0)</f>
        <v>0</v>
      </c>
      <c r="H29" s="18" t="n">
        <f aca="false">IFERROR(AVERAGEIFS(Data_Monthly!H:H,Data_Monthly!B:B,B29,Data_Monthly!C:C,A29),0)</f>
        <v>0</v>
      </c>
      <c r="I29" s="18" t="n">
        <f aca="false">IFERROR(AVERAGEIFS(Data_Monthly!I:I,Data_Monthly!B:B,B29,Data_Monthly!C:C,A29),0)</f>
        <v>0</v>
      </c>
      <c r="J29" s="77" t="str">
        <f aca="false">IF(F29&gt;=0,"✓ Beat","✗ Miss")</f>
        <v>✓ Beat</v>
      </c>
    </row>
    <row r="30" customFormat="false" ht="15" hidden="false" customHeight="true" outlineLevel="0" collapsed="false">
      <c r="A30" s="44" t="s">
        <v>7343</v>
      </c>
      <c r="B30" s="24" t="s">
        <v>83</v>
      </c>
      <c r="C30" s="32" t="s">
        <v>48</v>
      </c>
      <c r="D30" s="78" t="n">
        <f aca="false">IFERROR(AVERAGEIFS(Data_Monthly!E:E,Data_Monthly!B:B,B30,Data_Monthly!C:C,A30),0)</f>
        <v>0</v>
      </c>
      <c r="E30" s="45" t="n">
        <f aca="false">IFERROR(AVERAGEIFS(Data_Monthly!D:D,Data_Monthly!B:B,B30,Data_Monthly!C:C,A30),0)</f>
        <v>0</v>
      </c>
      <c r="F30" s="79" t="n">
        <f aca="false">E30-D30</f>
        <v>0</v>
      </c>
      <c r="G30" s="29" t="n">
        <f aca="false">IFERROR(F30/D30,0)</f>
        <v>0</v>
      </c>
      <c r="H30" s="27" t="n">
        <f aca="false">IFERROR(AVERAGEIFS(Data_Monthly!H:H,Data_Monthly!B:B,B30,Data_Monthly!C:C,A30),0)</f>
        <v>0</v>
      </c>
      <c r="I30" s="27" t="n">
        <f aca="false">IFERROR(AVERAGEIFS(Data_Monthly!I:I,Data_Monthly!B:B,B30,Data_Monthly!C:C,A30),0)</f>
        <v>0</v>
      </c>
      <c r="J30" s="80" t="str">
        <f aca="false">IF(F30&gt;=0,"✓ Beat","✗ Miss")</f>
        <v>✓ Beat</v>
      </c>
    </row>
    <row r="31" customFormat="false" ht="15" hidden="false" customHeight="true" outlineLevel="0" collapsed="false">
      <c r="A31" s="43" t="s">
        <v>7343</v>
      </c>
      <c r="B31" s="15" t="s">
        <v>69</v>
      </c>
      <c r="C31" s="23" t="s">
        <v>39</v>
      </c>
      <c r="D31" s="75" t="n">
        <f aca="false">IFERROR(AVERAGEIFS(Data_Monthly!E:E,Data_Monthly!B:B,B31,Data_Monthly!C:C,A31),0)</f>
        <v>0</v>
      </c>
      <c r="E31" s="48" t="n">
        <f aca="false">IFERROR(AVERAGEIFS(Data_Monthly!D:D,Data_Monthly!B:B,B31,Data_Monthly!C:C,A31),0)</f>
        <v>0</v>
      </c>
      <c r="F31" s="76" t="n">
        <f aca="false">E31-D31</f>
        <v>0</v>
      </c>
      <c r="G31" s="20" t="n">
        <f aca="false">IFERROR(F31/D31,0)</f>
        <v>0</v>
      </c>
      <c r="H31" s="18" t="n">
        <f aca="false">IFERROR(AVERAGEIFS(Data_Monthly!H:H,Data_Monthly!B:B,B31,Data_Monthly!C:C,A31),0)</f>
        <v>0</v>
      </c>
      <c r="I31" s="18" t="n">
        <f aca="false">IFERROR(AVERAGEIFS(Data_Monthly!I:I,Data_Monthly!B:B,B31,Data_Monthly!C:C,A31),0)</f>
        <v>0</v>
      </c>
      <c r="J31" s="77" t="str">
        <f aca="false">IF(F31&gt;=0,"✓ Beat","✗ Miss")</f>
        <v>✓ Beat</v>
      </c>
    </row>
    <row r="32" customFormat="false" ht="15" hidden="false" customHeight="true" outlineLevel="0" collapsed="false">
      <c r="A32" s="44" t="s">
        <v>7343</v>
      </c>
      <c r="B32" s="24" t="s">
        <v>54</v>
      </c>
      <c r="C32" s="32" t="s">
        <v>24</v>
      </c>
      <c r="D32" s="78" t="n">
        <f aca="false">IFERROR(AVERAGEIFS(Data_Monthly!E:E,Data_Monthly!B:B,B32,Data_Monthly!C:C,A32),0)</f>
        <v>0</v>
      </c>
      <c r="E32" s="45" t="n">
        <f aca="false">IFERROR(AVERAGEIFS(Data_Monthly!D:D,Data_Monthly!B:B,B32,Data_Monthly!C:C,A32),0)</f>
        <v>0</v>
      </c>
      <c r="F32" s="79" t="n">
        <f aca="false">E32-D32</f>
        <v>0</v>
      </c>
      <c r="G32" s="29" t="n">
        <f aca="false">IFERROR(F32/D32,0)</f>
        <v>0</v>
      </c>
      <c r="H32" s="27" t="n">
        <f aca="false">IFERROR(AVERAGEIFS(Data_Monthly!H:H,Data_Monthly!B:B,B32,Data_Monthly!C:C,A32),0)</f>
        <v>0</v>
      </c>
      <c r="I32" s="27" t="n">
        <f aca="false">IFERROR(AVERAGEIFS(Data_Monthly!I:I,Data_Monthly!B:B,B32,Data_Monthly!C:C,A32),0)</f>
        <v>0</v>
      </c>
      <c r="J32" s="80" t="str">
        <f aca="false">IF(F32&gt;=0,"✓ Beat","✗ Miss")</f>
        <v>✓ Beat</v>
      </c>
    </row>
    <row r="33" customFormat="false" ht="15" hidden="false" customHeight="true" outlineLevel="0" collapsed="false">
      <c r="A33" s="43" t="s">
        <v>7344</v>
      </c>
      <c r="B33" s="15" t="s">
        <v>103</v>
      </c>
      <c r="C33" s="23" t="s">
        <v>24</v>
      </c>
      <c r="D33" s="75" t="n">
        <f aca="false">IFERROR(AVERAGEIFS(Data_Monthly!E:E,Data_Monthly!B:B,B33,Data_Monthly!C:C,A33),0)</f>
        <v>0</v>
      </c>
      <c r="E33" s="48" t="n">
        <f aca="false">IFERROR(AVERAGEIFS(Data_Monthly!D:D,Data_Monthly!B:B,B33,Data_Monthly!C:C,A33),0)</f>
        <v>0</v>
      </c>
      <c r="F33" s="76" t="n">
        <f aca="false">E33-D33</f>
        <v>0</v>
      </c>
      <c r="G33" s="20" t="n">
        <f aca="false">IFERROR(F33/D33,0)</f>
        <v>0</v>
      </c>
      <c r="H33" s="18" t="n">
        <f aca="false">IFERROR(AVERAGEIFS(Data_Monthly!H:H,Data_Monthly!B:B,B33,Data_Monthly!C:C,A33),0)</f>
        <v>0</v>
      </c>
      <c r="I33" s="18" t="n">
        <f aca="false">IFERROR(AVERAGEIFS(Data_Monthly!I:I,Data_Monthly!B:B,B33,Data_Monthly!C:C,A33),0)</f>
        <v>0</v>
      </c>
      <c r="J33" s="77" t="str">
        <f aca="false">IF(F33&gt;=0,"✓ Beat","✗ Miss")</f>
        <v>✓ Beat</v>
      </c>
    </row>
    <row r="34" customFormat="false" ht="15" hidden="false" customHeight="true" outlineLevel="0" collapsed="false">
      <c r="A34" s="44" t="s">
        <v>7344</v>
      </c>
      <c r="B34" s="24" t="s">
        <v>23</v>
      </c>
      <c r="C34" s="32" t="s">
        <v>24</v>
      </c>
      <c r="D34" s="78" t="n">
        <f aca="false">IFERROR(AVERAGEIFS(Data_Monthly!E:E,Data_Monthly!B:B,B34,Data_Monthly!C:C,A34),0)</f>
        <v>0</v>
      </c>
      <c r="E34" s="45" t="n">
        <f aca="false">IFERROR(AVERAGEIFS(Data_Monthly!D:D,Data_Monthly!B:B,B34,Data_Monthly!C:C,A34),0)</f>
        <v>0</v>
      </c>
      <c r="F34" s="79" t="n">
        <f aca="false">E34-D34</f>
        <v>0</v>
      </c>
      <c r="G34" s="29" t="n">
        <f aca="false">IFERROR(F34/D34,0)</f>
        <v>0</v>
      </c>
      <c r="H34" s="27" t="n">
        <f aca="false">IFERROR(AVERAGEIFS(Data_Monthly!H:H,Data_Monthly!B:B,B34,Data_Monthly!C:C,A34),0)</f>
        <v>0</v>
      </c>
      <c r="I34" s="27" t="n">
        <f aca="false">IFERROR(AVERAGEIFS(Data_Monthly!I:I,Data_Monthly!B:B,B34,Data_Monthly!C:C,A34),0)</f>
        <v>0</v>
      </c>
      <c r="J34" s="80" t="str">
        <f aca="false">IF(F34&gt;=0,"✓ Beat","✗ Miss")</f>
        <v>✓ Beat</v>
      </c>
    </row>
    <row r="35" customFormat="false" ht="15" hidden="false" customHeight="true" outlineLevel="0" collapsed="false">
      <c r="A35" s="43" t="s">
        <v>7344</v>
      </c>
      <c r="B35" s="15" t="s">
        <v>107</v>
      </c>
      <c r="C35" s="23" t="s">
        <v>33</v>
      </c>
      <c r="D35" s="75" t="n">
        <f aca="false">IFERROR(AVERAGEIFS(Data_Monthly!E:E,Data_Monthly!B:B,B35,Data_Monthly!C:C,A35),0)</f>
        <v>0</v>
      </c>
      <c r="E35" s="48" t="n">
        <f aca="false">IFERROR(AVERAGEIFS(Data_Monthly!D:D,Data_Monthly!B:B,B35,Data_Monthly!C:C,A35),0)</f>
        <v>0</v>
      </c>
      <c r="F35" s="76" t="n">
        <f aca="false">E35-D35</f>
        <v>0</v>
      </c>
      <c r="G35" s="20" t="n">
        <f aca="false">IFERROR(F35/D35,0)</f>
        <v>0</v>
      </c>
      <c r="H35" s="18" t="n">
        <f aca="false">IFERROR(AVERAGEIFS(Data_Monthly!H:H,Data_Monthly!B:B,B35,Data_Monthly!C:C,A35),0)</f>
        <v>0</v>
      </c>
      <c r="I35" s="18" t="n">
        <f aca="false">IFERROR(AVERAGEIFS(Data_Monthly!I:I,Data_Monthly!B:B,B35,Data_Monthly!C:C,A35),0)</f>
        <v>0</v>
      </c>
      <c r="J35" s="77" t="str">
        <f aca="false">IF(F35&gt;=0,"✓ Beat","✗ Miss")</f>
        <v>✓ Beat</v>
      </c>
    </row>
    <row r="36" customFormat="false" ht="15" hidden="false" customHeight="true" outlineLevel="0" collapsed="false">
      <c r="A36" s="44" t="s">
        <v>7344</v>
      </c>
      <c r="B36" s="24" t="s">
        <v>32</v>
      </c>
      <c r="C36" s="32" t="s">
        <v>33</v>
      </c>
      <c r="D36" s="78" t="n">
        <f aca="false">IFERROR(AVERAGEIFS(Data_Monthly!E:E,Data_Monthly!B:B,B36,Data_Monthly!C:C,A36),0)</f>
        <v>0</v>
      </c>
      <c r="E36" s="45" t="n">
        <f aca="false">IFERROR(AVERAGEIFS(Data_Monthly!D:D,Data_Monthly!B:B,B36,Data_Monthly!C:C,A36),0)</f>
        <v>0</v>
      </c>
      <c r="F36" s="79" t="n">
        <f aca="false">E36-D36</f>
        <v>0</v>
      </c>
      <c r="G36" s="29" t="n">
        <f aca="false">IFERROR(F36/D36,0)</f>
        <v>0</v>
      </c>
      <c r="H36" s="27" t="n">
        <f aca="false">IFERROR(AVERAGEIFS(Data_Monthly!H:H,Data_Monthly!B:B,B36,Data_Monthly!C:C,A36),0)</f>
        <v>0</v>
      </c>
      <c r="I36" s="27" t="n">
        <f aca="false">IFERROR(AVERAGEIFS(Data_Monthly!I:I,Data_Monthly!B:B,B36,Data_Monthly!C:C,A36),0)</f>
        <v>0</v>
      </c>
      <c r="J36" s="80" t="str">
        <f aca="false">IF(F36&gt;=0,"✓ Beat","✗ Miss")</f>
        <v>✓ Beat</v>
      </c>
    </row>
    <row r="37" customFormat="false" ht="15" hidden="false" customHeight="true" outlineLevel="0" collapsed="false">
      <c r="A37" s="43" t="s">
        <v>7344</v>
      </c>
      <c r="B37" s="15" t="s">
        <v>47</v>
      </c>
      <c r="C37" s="23" t="s">
        <v>48</v>
      </c>
      <c r="D37" s="75" t="n">
        <f aca="false">IFERROR(AVERAGEIFS(Data_Monthly!E:E,Data_Monthly!B:B,B37,Data_Monthly!C:C,A37),0)</f>
        <v>0</v>
      </c>
      <c r="E37" s="48" t="n">
        <f aca="false">IFERROR(AVERAGEIFS(Data_Monthly!D:D,Data_Monthly!B:B,B37,Data_Monthly!C:C,A37),0)</f>
        <v>0</v>
      </c>
      <c r="F37" s="76" t="n">
        <f aca="false">E37-D37</f>
        <v>0</v>
      </c>
      <c r="G37" s="20" t="n">
        <f aca="false">IFERROR(F37/D37,0)</f>
        <v>0</v>
      </c>
      <c r="H37" s="18" t="n">
        <f aca="false">IFERROR(AVERAGEIFS(Data_Monthly!H:H,Data_Monthly!B:B,B37,Data_Monthly!C:C,A37),0)</f>
        <v>0</v>
      </c>
      <c r="I37" s="18" t="n">
        <f aca="false">IFERROR(AVERAGEIFS(Data_Monthly!I:I,Data_Monthly!B:B,B37,Data_Monthly!C:C,A37),0)</f>
        <v>0</v>
      </c>
      <c r="J37" s="77" t="str">
        <f aca="false">IF(F37&gt;=0,"✓ Beat","✗ Miss")</f>
        <v>✓ Beat</v>
      </c>
    </row>
    <row r="38" customFormat="false" ht="15" hidden="false" customHeight="true" outlineLevel="0" collapsed="false">
      <c r="A38" s="44" t="s">
        <v>7344</v>
      </c>
      <c r="B38" s="24" t="s">
        <v>75</v>
      </c>
      <c r="C38" s="32" t="s">
        <v>39</v>
      </c>
      <c r="D38" s="78" t="n">
        <f aca="false">IFERROR(AVERAGEIFS(Data_Monthly!E:E,Data_Monthly!B:B,B38,Data_Monthly!C:C,A38),0)</f>
        <v>0</v>
      </c>
      <c r="E38" s="45" t="n">
        <f aca="false">IFERROR(AVERAGEIFS(Data_Monthly!D:D,Data_Monthly!B:B,B38,Data_Monthly!C:C,A38),0)</f>
        <v>0</v>
      </c>
      <c r="F38" s="79" t="n">
        <f aca="false">E38-D38</f>
        <v>0</v>
      </c>
      <c r="G38" s="29" t="n">
        <f aca="false">IFERROR(F38/D38,0)</f>
        <v>0</v>
      </c>
      <c r="H38" s="27" t="n">
        <f aca="false">IFERROR(AVERAGEIFS(Data_Monthly!H:H,Data_Monthly!B:B,B38,Data_Monthly!C:C,A38),0)</f>
        <v>0</v>
      </c>
      <c r="I38" s="27" t="n">
        <f aca="false">IFERROR(AVERAGEIFS(Data_Monthly!I:I,Data_Monthly!B:B,B38,Data_Monthly!C:C,A38),0)</f>
        <v>0</v>
      </c>
      <c r="J38" s="80" t="str">
        <f aca="false">IF(F38&gt;=0,"✓ Beat","✗ Miss")</f>
        <v>✓ Beat</v>
      </c>
    </row>
    <row r="39" customFormat="false" ht="15" hidden="false" customHeight="true" outlineLevel="0" collapsed="false">
      <c r="A39" s="43" t="s">
        <v>7344</v>
      </c>
      <c r="B39" s="15" t="s">
        <v>38</v>
      </c>
      <c r="C39" s="23" t="s">
        <v>39</v>
      </c>
      <c r="D39" s="75" t="n">
        <f aca="false">IFERROR(AVERAGEIFS(Data_Monthly!E:E,Data_Monthly!B:B,B39,Data_Monthly!C:C,A39),0)</f>
        <v>0</v>
      </c>
      <c r="E39" s="48" t="n">
        <f aca="false">IFERROR(AVERAGEIFS(Data_Monthly!D:D,Data_Monthly!B:B,B39,Data_Monthly!C:C,A39),0)</f>
        <v>0</v>
      </c>
      <c r="F39" s="76" t="n">
        <f aca="false">E39-D39</f>
        <v>0</v>
      </c>
      <c r="G39" s="20" t="n">
        <f aca="false">IFERROR(F39/D39,0)</f>
        <v>0</v>
      </c>
      <c r="H39" s="18" t="n">
        <f aca="false">IFERROR(AVERAGEIFS(Data_Monthly!H:H,Data_Monthly!B:B,B39,Data_Monthly!C:C,A39),0)</f>
        <v>0</v>
      </c>
      <c r="I39" s="18" t="n">
        <f aca="false">IFERROR(AVERAGEIFS(Data_Monthly!I:I,Data_Monthly!B:B,B39,Data_Monthly!C:C,A39),0)</f>
        <v>0</v>
      </c>
      <c r="J39" s="77" t="str">
        <f aca="false">IF(F39&gt;=0,"✓ Beat","✗ Miss")</f>
        <v>✓ Beat</v>
      </c>
    </row>
    <row r="40" customFormat="false" ht="15" hidden="false" customHeight="true" outlineLevel="0" collapsed="false">
      <c r="A40" s="44" t="s">
        <v>7344</v>
      </c>
      <c r="B40" s="24" t="s">
        <v>97</v>
      </c>
      <c r="C40" s="32" t="s">
        <v>48</v>
      </c>
      <c r="D40" s="78" t="n">
        <f aca="false">IFERROR(AVERAGEIFS(Data_Monthly!E:E,Data_Monthly!B:B,B40,Data_Monthly!C:C,A40),0)</f>
        <v>0</v>
      </c>
      <c r="E40" s="45" t="n">
        <f aca="false">IFERROR(AVERAGEIFS(Data_Monthly!D:D,Data_Monthly!B:B,B40,Data_Monthly!C:C,A40),0)</f>
        <v>0</v>
      </c>
      <c r="F40" s="79" t="n">
        <f aca="false">E40-D40</f>
        <v>0</v>
      </c>
      <c r="G40" s="29" t="n">
        <f aca="false">IFERROR(F40/D40,0)</f>
        <v>0</v>
      </c>
      <c r="H40" s="27" t="n">
        <f aca="false">IFERROR(AVERAGEIFS(Data_Monthly!H:H,Data_Monthly!B:B,B40,Data_Monthly!C:C,A40),0)</f>
        <v>0</v>
      </c>
      <c r="I40" s="27" t="n">
        <f aca="false">IFERROR(AVERAGEIFS(Data_Monthly!I:I,Data_Monthly!B:B,B40,Data_Monthly!C:C,A40),0)</f>
        <v>0</v>
      </c>
      <c r="J40" s="80" t="str">
        <f aca="false">IF(F40&gt;=0,"✓ Beat","✗ Miss")</f>
        <v>✓ Beat</v>
      </c>
    </row>
    <row r="41" customFormat="false" ht="15" hidden="false" customHeight="true" outlineLevel="0" collapsed="false">
      <c r="A41" s="43" t="s">
        <v>7344</v>
      </c>
      <c r="B41" s="15" t="s">
        <v>61</v>
      </c>
      <c r="C41" s="23" t="s">
        <v>33</v>
      </c>
      <c r="D41" s="75" t="n">
        <f aca="false">IFERROR(AVERAGEIFS(Data_Monthly!E:E,Data_Monthly!B:B,B41,Data_Monthly!C:C,A41),0)</f>
        <v>0</v>
      </c>
      <c r="E41" s="48" t="n">
        <f aca="false">IFERROR(AVERAGEIFS(Data_Monthly!D:D,Data_Monthly!B:B,B41,Data_Monthly!C:C,A41),0)</f>
        <v>0</v>
      </c>
      <c r="F41" s="76" t="n">
        <f aca="false">E41-D41</f>
        <v>0</v>
      </c>
      <c r="G41" s="20" t="n">
        <f aca="false">IFERROR(F41/D41,0)</f>
        <v>0</v>
      </c>
      <c r="H41" s="18" t="n">
        <f aca="false">IFERROR(AVERAGEIFS(Data_Monthly!H:H,Data_Monthly!B:B,B41,Data_Monthly!C:C,A41),0)</f>
        <v>0</v>
      </c>
      <c r="I41" s="18" t="n">
        <f aca="false">IFERROR(AVERAGEIFS(Data_Monthly!I:I,Data_Monthly!B:B,B41,Data_Monthly!C:C,A41),0)</f>
        <v>0</v>
      </c>
      <c r="J41" s="77" t="str">
        <f aca="false">IF(F41&gt;=0,"✓ Beat","✗ Miss")</f>
        <v>✓ Beat</v>
      </c>
    </row>
    <row r="42" customFormat="false" ht="15" hidden="false" customHeight="true" outlineLevel="0" collapsed="false">
      <c r="A42" s="44" t="s">
        <v>7344</v>
      </c>
      <c r="B42" s="24" t="s">
        <v>83</v>
      </c>
      <c r="C42" s="32" t="s">
        <v>48</v>
      </c>
      <c r="D42" s="78" t="n">
        <f aca="false">IFERROR(AVERAGEIFS(Data_Monthly!E:E,Data_Monthly!B:B,B42,Data_Monthly!C:C,A42),0)</f>
        <v>0</v>
      </c>
      <c r="E42" s="45" t="n">
        <f aca="false">IFERROR(AVERAGEIFS(Data_Monthly!D:D,Data_Monthly!B:B,B42,Data_Monthly!C:C,A42),0)</f>
        <v>0</v>
      </c>
      <c r="F42" s="79" t="n">
        <f aca="false">E42-D42</f>
        <v>0</v>
      </c>
      <c r="G42" s="29" t="n">
        <f aca="false">IFERROR(F42/D42,0)</f>
        <v>0</v>
      </c>
      <c r="H42" s="27" t="n">
        <f aca="false">IFERROR(AVERAGEIFS(Data_Monthly!H:H,Data_Monthly!B:B,B42,Data_Monthly!C:C,A42),0)</f>
        <v>0</v>
      </c>
      <c r="I42" s="27" t="n">
        <f aca="false">IFERROR(AVERAGEIFS(Data_Monthly!I:I,Data_Monthly!B:B,B42,Data_Monthly!C:C,A42),0)</f>
        <v>0</v>
      </c>
      <c r="J42" s="80" t="str">
        <f aca="false">IF(F42&gt;=0,"✓ Beat","✗ Miss")</f>
        <v>✓ Beat</v>
      </c>
    </row>
    <row r="43" customFormat="false" ht="15" hidden="false" customHeight="true" outlineLevel="0" collapsed="false">
      <c r="A43" s="43" t="s">
        <v>7344</v>
      </c>
      <c r="B43" s="15" t="s">
        <v>69</v>
      </c>
      <c r="C43" s="23" t="s">
        <v>39</v>
      </c>
      <c r="D43" s="75" t="n">
        <f aca="false">IFERROR(AVERAGEIFS(Data_Monthly!E:E,Data_Monthly!B:B,B43,Data_Monthly!C:C,A43),0)</f>
        <v>0</v>
      </c>
      <c r="E43" s="48" t="n">
        <f aca="false">IFERROR(AVERAGEIFS(Data_Monthly!D:D,Data_Monthly!B:B,B43,Data_Monthly!C:C,A43),0)</f>
        <v>0</v>
      </c>
      <c r="F43" s="76" t="n">
        <f aca="false">E43-D43</f>
        <v>0</v>
      </c>
      <c r="G43" s="20" t="n">
        <f aca="false">IFERROR(F43/D43,0)</f>
        <v>0</v>
      </c>
      <c r="H43" s="18" t="n">
        <f aca="false">IFERROR(AVERAGEIFS(Data_Monthly!H:H,Data_Monthly!B:B,B43,Data_Monthly!C:C,A43),0)</f>
        <v>0</v>
      </c>
      <c r="I43" s="18" t="n">
        <f aca="false">IFERROR(AVERAGEIFS(Data_Monthly!I:I,Data_Monthly!B:B,B43,Data_Monthly!C:C,A43),0)</f>
        <v>0</v>
      </c>
      <c r="J43" s="77" t="str">
        <f aca="false">IF(F43&gt;=0,"✓ Beat","✗ Miss")</f>
        <v>✓ Beat</v>
      </c>
    </row>
    <row r="44" customFormat="false" ht="15" hidden="false" customHeight="true" outlineLevel="0" collapsed="false">
      <c r="A44" s="44" t="s">
        <v>7344</v>
      </c>
      <c r="B44" s="24" t="s">
        <v>54</v>
      </c>
      <c r="C44" s="32" t="s">
        <v>24</v>
      </c>
      <c r="D44" s="78" t="n">
        <f aca="false">IFERROR(AVERAGEIFS(Data_Monthly!E:E,Data_Monthly!B:B,B44,Data_Monthly!C:C,A44),0)</f>
        <v>0</v>
      </c>
      <c r="E44" s="45" t="n">
        <f aca="false">IFERROR(AVERAGEIFS(Data_Monthly!D:D,Data_Monthly!B:B,B44,Data_Monthly!C:C,A44),0)</f>
        <v>0</v>
      </c>
      <c r="F44" s="79" t="n">
        <f aca="false">E44-D44</f>
        <v>0</v>
      </c>
      <c r="G44" s="29" t="n">
        <f aca="false">IFERROR(F44/D44,0)</f>
        <v>0</v>
      </c>
      <c r="H44" s="27" t="n">
        <f aca="false">IFERROR(AVERAGEIFS(Data_Monthly!H:H,Data_Monthly!B:B,B44,Data_Monthly!C:C,A44),0)</f>
        <v>0</v>
      </c>
      <c r="I44" s="27" t="n">
        <f aca="false">IFERROR(AVERAGEIFS(Data_Monthly!I:I,Data_Monthly!B:B,B44,Data_Monthly!C:C,A44),0)</f>
        <v>0</v>
      </c>
      <c r="J44" s="80" t="str">
        <f aca="false">IF(F44&gt;=0,"✓ Beat","✗ Miss")</f>
        <v>✓ Beat</v>
      </c>
    </row>
    <row r="45" customFormat="false" ht="15" hidden="false" customHeight="true" outlineLevel="0" collapsed="false">
      <c r="A45" s="43" t="s">
        <v>7345</v>
      </c>
      <c r="B45" s="15" t="s">
        <v>103</v>
      </c>
      <c r="C45" s="23" t="s">
        <v>24</v>
      </c>
      <c r="D45" s="75" t="n">
        <f aca="false">IFERROR(AVERAGEIFS(Data_Monthly!E:E,Data_Monthly!B:B,B45,Data_Monthly!C:C,A45),0)</f>
        <v>0</v>
      </c>
      <c r="E45" s="48" t="n">
        <f aca="false">IFERROR(AVERAGEIFS(Data_Monthly!D:D,Data_Monthly!B:B,B45,Data_Monthly!C:C,A45),0)</f>
        <v>0</v>
      </c>
      <c r="F45" s="76" t="n">
        <f aca="false">E45-D45</f>
        <v>0</v>
      </c>
      <c r="G45" s="20" t="n">
        <f aca="false">IFERROR(F45/D45,0)</f>
        <v>0</v>
      </c>
      <c r="H45" s="18" t="n">
        <f aca="false">IFERROR(AVERAGEIFS(Data_Monthly!H:H,Data_Monthly!B:B,B45,Data_Monthly!C:C,A45),0)</f>
        <v>0</v>
      </c>
      <c r="I45" s="18" t="n">
        <f aca="false">IFERROR(AVERAGEIFS(Data_Monthly!I:I,Data_Monthly!B:B,B45,Data_Monthly!C:C,A45),0)</f>
        <v>0</v>
      </c>
      <c r="J45" s="77" t="str">
        <f aca="false">IF(F45&gt;=0,"✓ Beat","✗ Miss")</f>
        <v>✓ Beat</v>
      </c>
    </row>
    <row r="46" customFormat="false" ht="15" hidden="false" customHeight="true" outlineLevel="0" collapsed="false">
      <c r="A46" s="44" t="s">
        <v>7345</v>
      </c>
      <c r="B46" s="24" t="s">
        <v>23</v>
      </c>
      <c r="C46" s="32" t="s">
        <v>24</v>
      </c>
      <c r="D46" s="78" t="n">
        <f aca="false">IFERROR(AVERAGEIFS(Data_Monthly!E:E,Data_Monthly!B:B,B46,Data_Monthly!C:C,A46),0)</f>
        <v>0</v>
      </c>
      <c r="E46" s="45" t="n">
        <f aca="false">IFERROR(AVERAGEIFS(Data_Monthly!D:D,Data_Monthly!B:B,B46,Data_Monthly!C:C,A46),0)</f>
        <v>0</v>
      </c>
      <c r="F46" s="79" t="n">
        <f aca="false">E46-D46</f>
        <v>0</v>
      </c>
      <c r="G46" s="29" t="n">
        <f aca="false">IFERROR(F46/D46,0)</f>
        <v>0</v>
      </c>
      <c r="H46" s="27" t="n">
        <f aca="false">IFERROR(AVERAGEIFS(Data_Monthly!H:H,Data_Monthly!B:B,B46,Data_Monthly!C:C,A46),0)</f>
        <v>0</v>
      </c>
      <c r="I46" s="27" t="n">
        <f aca="false">IFERROR(AVERAGEIFS(Data_Monthly!I:I,Data_Monthly!B:B,B46,Data_Monthly!C:C,A46),0)</f>
        <v>0</v>
      </c>
      <c r="J46" s="80" t="str">
        <f aca="false">IF(F46&gt;=0,"✓ Beat","✗ Miss")</f>
        <v>✓ Beat</v>
      </c>
    </row>
    <row r="47" customFormat="false" ht="15" hidden="false" customHeight="true" outlineLevel="0" collapsed="false">
      <c r="A47" s="43" t="s">
        <v>7345</v>
      </c>
      <c r="B47" s="15" t="s">
        <v>107</v>
      </c>
      <c r="C47" s="23" t="s">
        <v>33</v>
      </c>
      <c r="D47" s="75" t="n">
        <f aca="false">IFERROR(AVERAGEIFS(Data_Monthly!E:E,Data_Monthly!B:B,B47,Data_Monthly!C:C,A47),0)</f>
        <v>0</v>
      </c>
      <c r="E47" s="48" t="n">
        <f aca="false">IFERROR(AVERAGEIFS(Data_Monthly!D:D,Data_Monthly!B:B,B47,Data_Monthly!C:C,A47),0)</f>
        <v>0</v>
      </c>
      <c r="F47" s="76" t="n">
        <f aca="false">E47-D47</f>
        <v>0</v>
      </c>
      <c r="G47" s="20" t="n">
        <f aca="false">IFERROR(F47/D47,0)</f>
        <v>0</v>
      </c>
      <c r="H47" s="18" t="n">
        <f aca="false">IFERROR(AVERAGEIFS(Data_Monthly!H:H,Data_Monthly!B:B,B47,Data_Monthly!C:C,A47),0)</f>
        <v>0</v>
      </c>
      <c r="I47" s="18" t="n">
        <f aca="false">IFERROR(AVERAGEIFS(Data_Monthly!I:I,Data_Monthly!B:B,B47,Data_Monthly!C:C,A47),0)</f>
        <v>0</v>
      </c>
      <c r="J47" s="77" t="str">
        <f aca="false">IF(F47&gt;=0,"✓ Beat","✗ Miss")</f>
        <v>✓ Beat</v>
      </c>
    </row>
    <row r="48" customFormat="false" ht="15" hidden="false" customHeight="true" outlineLevel="0" collapsed="false">
      <c r="A48" s="44" t="s">
        <v>7345</v>
      </c>
      <c r="B48" s="24" t="s">
        <v>32</v>
      </c>
      <c r="C48" s="32" t="s">
        <v>33</v>
      </c>
      <c r="D48" s="78" t="n">
        <f aca="false">IFERROR(AVERAGEIFS(Data_Monthly!E:E,Data_Monthly!B:B,B48,Data_Monthly!C:C,A48),0)</f>
        <v>0</v>
      </c>
      <c r="E48" s="45" t="n">
        <f aca="false">IFERROR(AVERAGEIFS(Data_Monthly!D:D,Data_Monthly!B:B,B48,Data_Monthly!C:C,A48),0)</f>
        <v>0</v>
      </c>
      <c r="F48" s="79" t="n">
        <f aca="false">E48-D48</f>
        <v>0</v>
      </c>
      <c r="G48" s="29" t="n">
        <f aca="false">IFERROR(F48/D48,0)</f>
        <v>0</v>
      </c>
      <c r="H48" s="27" t="n">
        <f aca="false">IFERROR(AVERAGEIFS(Data_Monthly!H:H,Data_Monthly!B:B,B48,Data_Monthly!C:C,A48),0)</f>
        <v>0</v>
      </c>
      <c r="I48" s="27" t="n">
        <f aca="false">IFERROR(AVERAGEIFS(Data_Monthly!I:I,Data_Monthly!B:B,B48,Data_Monthly!C:C,A48),0)</f>
        <v>0</v>
      </c>
      <c r="J48" s="80" t="str">
        <f aca="false">IF(F48&gt;=0,"✓ Beat","✗ Miss")</f>
        <v>✓ Beat</v>
      </c>
    </row>
    <row r="49" customFormat="false" ht="15" hidden="false" customHeight="true" outlineLevel="0" collapsed="false">
      <c r="A49" s="43" t="s">
        <v>7345</v>
      </c>
      <c r="B49" s="15" t="s">
        <v>47</v>
      </c>
      <c r="C49" s="23" t="s">
        <v>48</v>
      </c>
      <c r="D49" s="75" t="n">
        <f aca="false">IFERROR(AVERAGEIFS(Data_Monthly!E:E,Data_Monthly!B:B,B49,Data_Monthly!C:C,A49),0)</f>
        <v>0</v>
      </c>
      <c r="E49" s="48" t="n">
        <f aca="false">IFERROR(AVERAGEIFS(Data_Monthly!D:D,Data_Monthly!B:B,B49,Data_Monthly!C:C,A49),0)</f>
        <v>0</v>
      </c>
      <c r="F49" s="76" t="n">
        <f aca="false">E49-D49</f>
        <v>0</v>
      </c>
      <c r="G49" s="20" t="n">
        <f aca="false">IFERROR(F49/D49,0)</f>
        <v>0</v>
      </c>
      <c r="H49" s="18" t="n">
        <f aca="false">IFERROR(AVERAGEIFS(Data_Monthly!H:H,Data_Monthly!B:B,B49,Data_Monthly!C:C,A49),0)</f>
        <v>0</v>
      </c>
      <c r="I49" s="18" t="n">
        <f aca="false">IFERROR(AVERAGEIFS(Data_Monthly!I:I,Data_Monthly!B:B,B49,Data_Monthly!C:C,A49),0)</f>
        <v>0</v>
      </c>
      <c r="J49" s="77" t="str">
        <f aca="false">IF(F49&gt;=0,"✓ Beat","✗ Miss")</f>
        <v>✓ Beat</v>
      </c>
    </row>
    <row r="50" customFormat="false" ht="15" hidden="false" customHeight="true" outlineLevel="0" collapsed="false">
      <c r="A50" s="44" t="s">
        <v>7345</v>
      </c>
      <c r="B50" s="24" t="s">
        <v>75</v>
      </c>
      <c r="C50" s="32" t="s">
        <v>39</v>
      </c>
      <c r="D50" s="78" t="n">
        <f aca="false">IFERROR(AVERAGEIFS(Data_Monthly!E:E,Data_Monthly!B:B,B50,Data_Monthly!C:C,A50),0)</f>
        <v>0</v>
      </c>
      <c r="E50" s="45" t="n">
        <f aca="false">IFERROR(AVERAGEIFS(Data_Monthly!D:D,Data_Monthly!B:B,B50,Data_Monthly!C:C,A50),0)</f>
        <v>0</v>
      </c>
      <c r="F50" s="79" t="n">
        <f aca="false">E50-D50</f>
        <v>0</v>
      </c>
      <c r="G50" s="29" t="n">
        <f aca="false">IFERROR(F50/D50,0)</f>
        <v>0</v>
      </c>
      <c r="H50" s="27" t="n">
        <f aca="false">IFERROR(AVERAGEIFS(Data_Monthly!H:H,Data_Monthly!B:B,B50,Data_Monthly!C:C,A50),0)</f>
        <v>0</v>
      </c>
      <c r="I50" s="27" t="n">
        <f aca="false">IFERROR(AVERAGEIFS(Data_Monthly!I:I,Data_Monthly!B:B,B50,Data_Monthly!C:C,A50),0)</f>
        <v>0</v>
      </c>
      <c r="J50" s="80" t="str">
        <f aca="false">IF(F50&gt;=0,"✓ Beat","✗ Miss")</f>
        <v>✓ Beat</v>
      </c>
    </row>
    <row r="51" customFormat="false" ht="15" hidden="false" customHeight="true" outlineLevel="0" collapsed="false">
      <c r="A51" s="43" t="s">
        <v>7345</v>
      </c>
      <c r="B51" s="15" t="s">
        <v>38</v>
      </c>
      <c r="C51" s="23" t="s">
        <v>39</v>
      </c>
      <c r="D51" s="75" t="n">
        <f aca="false">IFERROR(AVERAGEIFS(Data_Monthly!E:E,Data_Monthly!B:B,B51,Data_Monthly!C:C,A51),0)</f>
        <v>0</v>
      </c>
      <c r="E51" s="48" t="n">
        <f aca="false">IFERROR(AVERAGEIFS(Data_Monthly!D:D,Data_Monthly!B:B,B51,Data_Monthly!C:C,A51),0)</f>
        <v>0</v>
      </c>
      <c r="F51" s="76" t="n">
        <f aca="false">E51-D51</f>
        <v>0</v>
      </c>
      <c r="G51" s="20" t="n">
        <f aca="false">IFERROR(F51/D51,0)</f>
        <v>0</v>
      </c>
      <c r="H51" s="18" t="n">
        <f aca="false">IFERROR(AVERAGEIFS(Data_Monthly!H:H,Data_Monthly!B:B,B51,Data_Monthly!C:C,A51),0)</f>
        <v>0</v>
      </c>
      <c r="I51" s="18" t="n">
        <f aca="false">IFERROR(AVERAGEIFS(Data_Monthly!I:I,Data_Monthly!B:B,B51,Data_Monthly!C:C,A51),0)</f>
        <v>0</v>
      </c>
      <c r="J51" s="77" t="str">
        <f aca="false">IF(F51&gt;=0,"✓ Beat","✗ Miss")</f>
        <v>✓ Beat</v>
      </c>
    </row>
    <row r="52" customFormat="false" ht="15" hidden="false" customHeight="true" outlineLevel="0" collapsed="false">
      <c r="A52" s="44" t="s">
        <v>7345</v>
      </c>
      <c r="B52" s="24" t="s">
        <v>97</v>
      </c>
      <c r="C52" s="32" t="s">
        <v>48</v>
      </c>
      <c r="D52" s="78" t="n">
        <f aca="false">IFERROR(AVERAGEIFS(Data_Monthly!E:E,Data_Monthly!B:B,B52,Data_Monthly!C:C,A52),0)</f>
        <v>0</v>
      </c>
      <c r="E52" s="45" t="n">
        <f aca="false">IFERROR(AVERAGEIFS(Data_Monthly!D:D,Data_Monthly!B:B,B52,Data_Monthly!C:C,A52),0)</f>
        <v>0</v>
      </c>
      <c r="F52" s="79" t="n">
        <f aca="false">E52-D52</f>
        <v>0</v>
      </c>
      <c r="G52" s="29" t="n">
        <f aca="false">IFERROR(F52/D52,0)</f>
        <v>0</v>
      </c>
      <c r="H52" s="27" t="n">
        <f aca="false">IFERROR(AVERAGEIFS(Data_Monthly!H:H,Data_Monthly!B:B,B52,Data_Monthly!C:C,A52),0)</f>
        <v>0</v>
      </c>
      <c r="I52" s="27" t="n">
        <f aca="false">IFERROR(AVERAGEIFS(Data_Monthly!I:I,Data_Monthly!B:B,B52,Data_Monthly!C:C,A52),0)</f>
        <v>0</v>
      </c>
      <c r="J52" s="80" t="str">
        <f aca="false">IF(F52&gt;=0,"✓ Beat","✗ Miss")</f>
        <v>✓ Beat</v>
      </c>
    </row>
    <row r="53" customFormat="false" ht="15" hidden="false" customHeight="true" outlineLevel="0" collapsed="false">
      <c r="A53" s="43" t="s">
        <v>7345</v>
      </c>
      <c r="B53" s="15" t="s">
        <v>61</v>
      </c>
      <c r="C53" s="23" t="s">
        <v>33</v>
      </c>
      <c r="D53" s="75" t="n">
        <f aca="false">IFERROR(AVERAGEIFS(Data_Monthly!E:E,Data_Monthly!B:B,B53,Data_Monthly!C:C,A53),0)</f>
        <v>0</v>
      </c>
      <c r="E53" s="48" t="n">
        <f aca="false">IFERROR(AVERAGEIFS(Data_Monthly!D:D,Data_Monthly!B:B,B53,Data_Monthly!C:C,A53),0)</f>
        <v>0</v>
      </c>
      <c r="F53" s="76" t="n">
        <f aca="false">E53-D53</f>
        <v>0</v>
      </c>
      <c r="G53" s="20" t="n">
        <f aca="false">IFERROR(F53/D53,0)</f>
        <v>0</v>
      </c>
      <c r="H53" s="18" t="n">
        <f aca="false">IFERROR(AVERAGEIFS(Data_Monthly!H:H,Data_Monthly!B:B,B53,Data_Monthly!C:C,A53),0)</f>
        <v>0</v>
      </c>
      <c r="I53" s="18" t="n">
        <f aca="false">IFERROR(AVERAGEIFS(Data_Monthly!I:I,Data_Monthly!B:B,B53,Data_Monthly!C:C,A53),0)</f>
        <v>0</v>
      </c>
      <c r="J53" s="77" t="str">
        <f aca="false">IF(F53&gt;=0,"✓ Beat","✗ Miss")</f>
        <v>✓ Beat</v>
      </c>
    </row>
    <row r="54" customFormat="false" ht="15" hidden="false" customHeight="true" outlineLevel="0" collapsed="false">
      <c r="A54" s="44" t="s">
        <v>7345</v>
      </c>
      <c r="B54" s="24" t="s">
        <v>83</v>
      </c>
      <c r="C54" s="32" t="s">
        <v>48</v>
      </c>
      <c r="D54" s="78" t="n">
        <f aca="false">IFERROR(AVERAGEIFS(Data_Monthly!E:E,Data_Monthly!B:B,B54,Data_Monthly!C:C,A54),0)</f>
        <v>0</v>
      </c>
      <c r="E54" s="45" t="n">
        <f aca="false">IFERROR(AVERAGEIFS(Data_Monthly!D:D,Data_Monthly!B:B,B54,Data_Monthly!C:C,A54),0)</f>
        <v>0</v>
      </c>
      <c r="F54" s="79" t="n">
        <f aca="false">E54-D54</f>
        <v>0</v>
      </c>
      <c r="G54" s="29" t="n">
        <f aca="false">IFERROR(F54/D54,0)</f>
        <v>0</v>
      </c>
      <c r="H54" s="27" t="n">
        <f aca="false">IFERROR(AVERAGEIFS(Data_Monthly!H:H,Data_Monthly!B:B,B54,Data_Monthly!C:C,A54),0)</f>
        <v>0</v>
      </c>
      <c r="I54" s="27" t="n">
        <f aca="false">IFERROR(AVERAGEIFS(Data_Monthly!I:I,Data_Monthly!B:B,B54,Data_Monthly!C:C,A54),0)</f>
        <v>0</v>
      </c>
      <c r="J54" s="80" t="str">
        <f aca="false">IF(F54&gt;=0,"✓ Beat","✗ Miss")</f>
        <v>✓ Beat</v>
      </c>
    </row>
    <row r="55" customFormat="false" ht="15" hidden="false" customHeight="true" outlineLevel="0" collapsed="false">
      <c r="A55" s="43" t="s">
        <v>7345</v>
      </c>
      <c r="B55" s="15" t="s">
        <v>69</v>
      </c>
      <c r="C55" s="23" t="s">
        <v>39</v>
      </c>
      <c r="D55" s="75" t="n">
        <f aca="false">IFERROR(AVERAGEIFS(Data_Monthly!E:E,Data_Monthly!B:B,B55,Data_Monthly!C:C,A55),0)</f>
        <v>0</v>
      </c>
      <c r="E55" s="48" t="n">
        <f aca="false">IFERROR(AVERAGEIFS(Data_Monthly!D:D,Data_Monthly!B:B,B55,Data_Monthly!C:C,A55),0)</f>
        <v>0</v>
      </c>
      <c r="F55" s="76" t="n">
        <f aca="false">E55-D55</f>
        <v>0</v>
      </c>
      <c r="G55" s="20" t="n">
        <f aca="false">IFERROR(F55/D55,0)</f>
        <v>0</v>
      </c>
      <c r="H55" s="18" t="n">
        <f aca="false">IFERROR(AVERAGEIFS(Data_Monthly!H:H,Data_Monthly!B:B,B55,Data_Monthly!C:C,A55),0)</f>
        <v>0</v>
      </c>
      <c r="I55" s="18" t="n">
        <f aca="false">IFERROR(AVERAGEIFS(Data_Monthly!I:I,Data_Monthly!B:B,B55,Data_Monthly!C:C,A55),0)</f>
        <v>0</v>
      </c>
      <c r="J55" s="77" t="str">
        <f aca="false">IF(F55&gt;=0,"✓ Beat","✗ Miss")</f>
        <v>✓ Beat</v>
      </c>
    </row>
    <row r="56" customFormat="false" ht="15" hidden="false" customHeight="true" outlineLevel="0" collapsed="false">
      <c r="A56" s="44" t="s">
        <v>7345</v>
      </c>
      <c r="B56" s="24" t="s">
        <v>54</v>
      </c>
      <c r="C56" s="32" t="s">
        <v>24</v>
      </c>
      <c r="D56" s="78" t="n">
        <f aca="false">IFERROR(AVERAGEIFS(Data_Monthly!E:E,Data_Monthly!B:B,B56,Data_Monthly!C:C,A56),0)</f>
        <v>0</v>
      </c>
      <c r="E56" s="45" t="n">
        <f aca="false">IFERROR(AVERAGEIFS(Data_Monthly!D:D,Data_Monthly!B:B,B56,Data_Monthly!C:C,A56),0)</f>
        <v>0</v>
      </c>
      <c r="F56" s="79" t="n">
        <f aca="false">E56-D56</f>
        <v>0</v>
      </c>
      <c r="G56" s="29" t="n">
        <f aca="false">IFERROR(F56/D56,0)</f>
        <v>0</v>
      </c>
      <c r="H56" s="27" t="n">
        <f aca="false">IFERROR(AVERAGEIFS(Data_Monthly!H:H,Data_Monthly!B:B,B56,Data_Monthly!C:C,A56),0)</f>
        <v>0</v>
      </c>
      <c r="I56" s="27" t="n">
        <f aca="false">IFERROR(AVERAGEIFS(Data_Monthly!I:I,Data_Monthly!B:B,B56,Data_Monthly!C:C,A56),0)</f>
        <v>0</v>
      </c>
      <c r="J56" s="80" t="str">
        <f aca="false">IF(F56&gt;=0,"✓ Beat","✗ Miss")</f>
        <v>✓ Beat</v>
      </c>
    </row>
  </sheetData>
  <mergeCells count="3">
    <mergeCell ref="A1:J1"/>
    <mergeCell ref="A3:J3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2026-05-18T19:49:28Z</dcterms:created>
  <dc:creator>openpyxl</dc:creator>
  <dc:description/>
  <dc:language>en-US</dc:language>
  <cp:lastModifiedBy/>
  <dcterms:modified xsi:type="dcterms:W3CDTF">2026-05-18T19:49:54Z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